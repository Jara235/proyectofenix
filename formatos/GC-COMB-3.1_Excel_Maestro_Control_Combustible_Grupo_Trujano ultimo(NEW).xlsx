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8_{4B3362D1-DDE6-43E3-A2D3-79B7744A8AFE}" xr6:coauthVersionLast="47" xr6:coauthVersionMax="47" xr10:uidLastSave="{00000000-0000-0000-0000-000000000000}"/>
  <bookViews>
    <workbookView xWindow="-108" yWindow="-108" windowWidth="23256" windowHeight="12456" firstSheet="13" activeTab="14" xr2:uid="{00000000-000D-0000-FFFF-FFFF00000000}"/>
  </bookViews>
  <sheets>
    <sheet name="Dashboard" sheetId="17" r:id="rId1"/>
    <sheet name="Conciliacion_Auditoria" sheetId="21" r:id="rId2"/>
    <sheet name="Captura_Pegaso" sheetId="2" r:id="rId3"/>
    <sheet name="Captura_Obra" sheetId="4" r:id="rId4"/>
    <sheet name="Captura_Marimba_M01" sheetId="3" r:id="rId5"/>
    <sheet name="Captura_Jalisco" sheetId="13" r:id="rId6"/>
    <sheet name="Solicitudes" sheetId="10" r:id="rId7"/>
    <sheet name="Captura_Horas" sheetId="20" r:id="rId8"/>
    <sheet name="Catalogos" sheetId="6" r:id="rId9"/>
    <sheet name="Maquinaria_Inventario" sheetId="18" r:id="rId10"/>
    <sheet name="Captura_Facturas_Mobil" sheetId="22" r:id="rId11"/>
    <sheet name="Dashboard_Ejecutivo" sheetId="11" r:id="rId12"/>
    <sheet name="Estados_Cuenta_Mobil" sheetId="24" r:id="rId13"/>
    <sheet name="Captura_Gasolina" sheetId="26" r:id="rId14"/>
    <sheet name="Resumen_Ejecutivo" sheetId="27" r:id="rId15"/>
  </sheets>
  <definedNames>
    <definedName name="_xlnm._FilterDatabase" localSheetId="-1" hidden="1">Base_Datos!$A$1:$K$666</definedName>
    <definedName name="_xlnm._FilterDatabase" localSheetId="10" hidden="1">Captura_Facturas_Mobil!$A$4:$N$55</definedName>
    <definedName name="_xlnm._FilterDatabase" localSheetId="1" hidden="1">Conciliacion_Auditoria!$A$3:$H$1000</definedName>
    <definedName name="_xlnm._FilterDatabase" localSheetId="11" hidden="1">Dashboard_Ejecutivo!$A$122:$J$184</definedName>
    <definedName name="_xlnm._FilterDatabase" localSheetId="12" hidden="1">Estados_Cuenta_Mobil!$A$4:$K$47</definedName>
    <definedName name="_xlnm.Print_Area" localSheetId="0">Dashboard!$A$1:$M$88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<sst xmlns="http://schemas.openxmlformats.org/spreadsheetml/2006/main">
  <si>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Obra</t>
  </si>
  <si>
    <t>México-Toluca</t>
  </si>
  <si>
    <t>Lerma - Tres Marías</t>
  </si>
  <si>
    <t>Chamapa-Lechería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</si>
  <si>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</si>
  <si>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</si>
  <si>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</si>
  <si>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</si>
  <si>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</si>
  <si>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</si>
  <si>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</si>
  <si>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</si>
  <si>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</si>
  <si>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</si>
  <si>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</si>
  <si>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</si>
  <si>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</si>
  <si>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</si>
  <si>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</si>
  <si>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</si>
  <si>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</si>
  <si>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</si>
  <si>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</si>
  <si>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</si>
  <si>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</si>
  <si>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</si>
  <si>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</si>
  <si>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</si>
  <si>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</si>
  <si>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</si>
  <si>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</si>
  <si>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</si>
  <si>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</si>
  <si>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</si>
  <si>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</si>
  <si>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</si>
  <si>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</si>
  <si>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</si>
  <si>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</si>
  <si>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</si>
  <si>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</si>
  <si>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</si>
  <si>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</si>
  <si>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</si>
  <si>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</si>
  <si>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L3M</t>
  </si>
  <si>
    <t>PEG</t>
  </si>
  <si>
    <t>Tanque Pegaso</t>
  </si>
  <si>
    <t>Compactador</t>
  </si>
  <si>
    <t>CL</t>
  </si>
  <si>
    <t>M01</t>
  </si>
  <si>
    <t>Marimba M-01</t>
  </si>
  <si>
    <t>Excavadora</t>
  </si>
  <si>
    <t>DIR</t>
  </si>
  <si>
    <t>Carga directa</t>
  </si>
  <si>
    <t>RT-01</t>
  </si>
  <si>
    <t>Retroexcavadora</t>
  </si>
  <si>
    <t>Otro</t>
  </si>
  <si>
    <t>Motoconformadora</t>
  </si>
  <si>
    <t>PT-01</t>
  </si>
  <si>
    <t>Petrolizadora</t>
  </si>
  <si>
    <t>PP-01</t>
  </si>
  <si>
    <t>Pipa</t>
  </si>
  <si>
    <t>CR-01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</si>
  <si>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</si>
  <si>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</si>
  <si>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</si>
  <si>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</si>
  <si>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</si>
  <si>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</si>
  <si>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</si>
  <si>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</si>
  <si>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</si>
  <si>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</si>
  <si>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</si>
  <si>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</si>
  <si>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</si>
  <si>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</si>
  <si>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</si>
  <si>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</si>
  <si>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</si>
  <si>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</si>
  <si>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</si>
  <si>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</si>
  <si>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</si>
  <si>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</si>
  <si>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</si>
  <si>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</si>
  <si>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</si>
  <si>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</si>
  <si>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</si>
  <si>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</si>
  <si>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</si>
  <si>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</si>
  <si>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</si>
  <si>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</si>
  <si>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</si>
  <si>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</si>
  <si>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</si>
  <si>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</si>
  <si>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</si>
  <si>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</si>
  <si>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</si>
  <si>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</si>
  <si>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</si>
  <si>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</si>
  <si>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Solicitante</t>
  </si>
  <si>
    <t>Ingeniero</t>
  </si>
  <si>
    <t>Apolinar</t>
  </si>
  <si>
    <t>Francisco Javier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</si>
  <si>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</si>
  <si>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</si>
  <si>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</si>
  <si>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</si>
  <si>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</si>
  <si>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</si>
  <si>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</si>
  <si>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</si>
  <si>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</si>
  <si>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</si>
  <si>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</si>
  <si>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</si>
  <si>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</si>
  <si>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</si>
  <si>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</si>
  <si>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</si>
  <si>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</si>
  <si>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</si>
  <si>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</si>
  <si>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</si>
  <si>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</si>
  <si>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</si>
  <si>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</si>
  <si>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</si>
  <si>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</si>
  <si>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</si>
  <si>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</si>
  <si>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</si>
  <si>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</si>
  <si>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</si>
  <si>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</si>
  <si>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</si>
  <si>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</si>
  <si>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</si>
  <si>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</si>
  <si>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</si>
  <si>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</si>
  <si>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</si>
  <si>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</si>
  <si>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</si>
  <si>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</si>
  <si>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</si>
  <si>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</si>
  <si>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</si>
  <si>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</si>
  <si>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</si>
  <si>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</si>
  <si>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</si>
  <si>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MB-01</t>
  </si>
  <si>
    <t>Dragones</t>
  </si>
  <si>
    <t>Generador</t>
  </si>
  <si>
    <t>GR-01</t>
  </si>
  <si>
    <t>Criba Roja</t>
  </si>
  <si>
    <t>Tandem CAT</t>
  </si>
  <si>
    <t>TC-01</t>
  </si>
  <si>
    <t>GC-COMB-002 | BITÁCORA DE SUMINISTRO DE JALISCO</t>
  </si>
  <si>
    <t>Jalisco</t>
  </si>
  <si>
    <t>Motoconformadora Rentada</t>
  </si>
  <si>
    <t>MGR-01</t>
  </si>
  <si>
    <t>Vibro Compactador</t>
  </si>
  <si>
    <t>VC-01</t>
  </si>
  <si>
    <t>Salida</t>
  </si>
  <si>
    <t>Total Litros Suministrados</t>
  </si>
  <si>
    <t>Costo Total Acumulado</t>
  </si>
  <si>
    <t>TOTAL GENERAL</t>
  </si>
  <si>
    <t>ESTADO DE LA CONCILIACIÓN SEMANAL</t>
  </si>
  <si>
    <t>Fecha Fin (Rango):</t>
  </si>
  <si>
    <t>Período Resumen:</t>
  </si>
  <si>
    <t>Observaciones / Justificación</t>
  </si>
  <si>
    <t>TOTAL CONCILIADO</t>
  </si>
  <si>
    <t>RESUMEN ACUMULADO POR OBRA / PERÍODO SELECCIONADO</t>
  </si>
  <si>
    <t>RESUMEN DE CONSUMO SEMANAL POR OBRA (DETALLE HISTÓRICO POR SEMANA)</t>
  </si>
  <si>
    <t>Obra (Tabla Semanal):</t>
  </si>
  <si>
    <t>Semana (Lunes)</t>
  </si>
  <si>
    <t>Litros Despachados</t>
  </si>
  <si>
    <t>Costo/L ($)</t>
  </si>
  <si>
    <t>Costo Combustible ($)</t>
  </si>
  <si>
    <t>TOTAL ACUMULADO</t>
  </si>
  <si>
    <t>Semana Seleccionada</t>
  </si>
  <si>
    <t>Saldo inicial(vales)</t>
  </si>
  <si>
    <t>Saldo final(vales)</t>
  </si>
  <si>
    <t>Gasolina</t>
  </si>
  <si>
    <t>Saldo Inicial (Vales)</t>
  </si>
  <si>
    <t>Saldo Final (Vales)</t>
  </si>
  <si>
    <t>Ajuste semanal</t>
  </si>
  <si>
    <t>Litros de Disel Acumulado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</si>
  <si>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</si>
  <si>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</si>
  <si>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</si>
  <si>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</si>
  <si>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</si>
  <si>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</si>
  <si>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</si>
  <si>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</si>
  <si>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</si>
  <si>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</si>
  <si>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</si>
  <si>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</si>
  <si>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</si>
  <si>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</si>
  <si>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RETROEXCAVADORA JHONDEREE 310 K</t>
  </si>
  <si>
    <t>PAVIMENTADORA VOGELE 1800-3 I</t>
  </si>
  <si>
    <t>PAVIMENTADORA VOGELE 1800-2 SJ</t>
  </si>
  <si>
    <t>PAVIMENTADORA VOGELE SJ 1800-3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</si>
  <si>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</si>
  <si>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</si>
  <si>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</si>
  <si>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</si>
  <si>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</si>
  <si>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</si>
  <si>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</si>
  <si>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</si>
  <si>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</si>
  <si>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</si>
  <si>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</si>
  <si>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COMPRESOR SULLIVAN PALATEK D2010</t>
  </si>
  <si>
    <t>RETROEXCAVADORA CASE 420DN</t>
  </si>
  <si>
    <t>BARREDORA BROCE BROOM KR350</t>
  </si>
  <si>
    <t>RETROEXCAVADORA JHONDEREE 310SK</t>
  </si>
  <si>
    <t>DOBLE RODILLO INGERSOLL RAND DD-108HF</t>
  </si>
  <si>
    <t>TRASFER BUGGI RODATEC</t>
  </si>
  <si>
    <t>IMPACTO FORD 4300</t>
  </si>
  <si>
    <t>IMPACTO FORD F800</t>
  </si>
  <si>
    <t>PETROLIZADORA (IMPACTO 04) FORD F800</t>
  </si>
  <si>
    <t>PETROLIZADORA INTERNATIONAL</t>
  </si>
  <si>
    <t>PIPA DE AGUA (IMPACTO 01) FORD</t>
  </si>
  <si>
    <t>DOBLE RODILLO RAD ROLLER FILY-325 PRO</t>
  </si>
  <si>
    <t>BIDONES</t>
  </si>
  <si>
    <t>OTRO</t>
  </si>
  <si>
    <t>MARIMBA</t>
  </si>
  <si>
    <t>GENERADOR</t>
  </si>
  <si>
    <t>CRIBA ROJA</t>
  </si>
  <si>
    <t>TANDEM CAT</t>
  </si>
  <si>
    <t>MOTOCONFORMADORA RENTADA</t>
  </si>
  <si>
    <t>VIBRO COMPACTADOR</t>
  </si>
  <si>
    <t>PAYLODER</t>
  </si>
  <si>
    <t>LIMPIEZA</t>
  </si>
  <si>
    <t>RASTRILLADOR</t>
  </si>
  <si>
    <t>MAXILIGHT</t>
  </si>
  <si>
    <t>Luis</t>
  </si>
  <si>
    <t>HOMBRE A BORDO</t>
  </si>
  <si>
    <t>HB-01</t>
  </si>
  <si>
    <t>Janeth</t>
  </si>
  <si>
    <t>EXCAVADORA</t>
  </si>
  <si>
    <t>EX-01</t>
  </si>
  <si>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</si>
  <si>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</si>
  <si>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</si>
  <si>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</si>
  <si>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</si>
  <si>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</si>
  <si>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</si>
  <si>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Rendimiento Nuevo</t>
  </si>
  <si>
    <t>Unidad de Medida</t>
  </si>
  <si>
    <t>Edad (Años)</t>
  </si>
  <si>
    <t>Rendimiento Ajustado (2026)</t>
  </si>
  <si>
    <t>RETROEXCAVADORA</t>
  </si>
  <si>
    <t>TRITURADORA ROCA DURA SAN MIGUEL S.A. DE C.V.</t>
  </si>
  <si>
    <t>CASE</t>
  </si>
  <si>
    <t>580 N</t>
  </si>
  <si>
    <t>JJGN580NABC540211</t>
  </si>
  <si>
    <t>L/h</t>
  </si>
  <si>
    <t>JHONDEREE</t>
  </si>
  <si>
    <t>310 K</t>
  </si>
  <si>
    <t>1T0231KXTEE258108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</si>
  <si>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</si>
  <si>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</si>
  <si>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</si>
  <si>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</si>
  <si>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</si>
  <si>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</si>
  <si>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</si>
  <si>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</si>
  <si>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</si>
  <si>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</si>
  <si>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</si>
  <si>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</si>
  <si>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</si>
  <si>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</si>
  <si>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</si>
  <si>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</si>
  <si>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</si>
  <si>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</si>
  <si>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</si>
  <si>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</si>
  <si>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</si>
  <si>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</si>
  <si>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</si>
  <si>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</si>
  <si>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</si>
  <si>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</si>
  <si>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</si>
  <si>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</si>
  <si>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</si>
  <si>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</si>
  <si>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</si>
  <si>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</si>
  <si>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</si>
  <si>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</si>
  <si>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</si>
  <si>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</si>
  <si>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</si>
  <si>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</si>
  <si>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</si>
  <si>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</si>
  <si>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</si>
  <si>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</si>
  <si>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</si>
  <si>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</si>
  <si>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</si>
  <si>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</si>
  <si>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</si>
  <si>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</si>
  <si>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</si>
  <si>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</si>
  <si>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</si>
  <si>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</si>
  <si>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</si>
  <si>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</si>
  <si>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</si>
  <si>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</si>
  <si>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</si>
  <si>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</si>
  <si>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km/L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</si>
  <si>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</si>
  <si>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</si>
  <si>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</si>
  <si>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</si>
  <si>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</si>
  <si>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</si>
  <si>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</si>
  <si>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</si>
  <si>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</si>
  <si>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</si>
  <si>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</si>
  <si>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</si>
  <si>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</si>
  <si>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>CALDERA TECNO</t>
  </si>
  <si>
    <t>CT-01</t>
  </si>
  <si>
    <t>CALDERA TRIASO</t>
  </si>
  <si>
    <t>CTR-01</t>
  </si>
  <si>
    <t>RENDIMIENTO POR OBRA (TODAS LAS OBRAS)</t>
  </si>
  <si>
    <t>Total Lts (Semana Dashboard)</t>
  </si>
  <si>
    <t>Solicitado</t>
  </si>
  <si>
    <t>Autorizado</t>
  </si>
  <si>
    <t>Total Semanal Solicitado</t>
  </si>
  <si>
    <t>Total Seamanal Autorizado</t>
  </si>
  <si>
    <t>m</t>
  </si>
  <si>
    <t>p</t>
  </si>
  <si>
    <t>h</t>
  </si>
  <si>
    <t>Total Lts (Conciliacion)</t>
  </si>
  <si>
    <t>ASIGNACIÓN DE MAQUINARIA A OBRAS Y OPERADORES</t>
  </si>
  <si>
    <t>No. Económico</t>
  </si>
  <si>
    <t>Obra Asignada</t>
  </si>
  <si>
    <t>Operador Asignado</t>
  </si>
  <si>
    <t>PAVIMENTADORA  VOGELE 1800-3 i</t>
  </si>
  <si>
    <t>Gerardo Ezequiel Piña Fernández</t>
  </si>
  <si>
    <t>PAVIMENTADORA  VOGELE 1800-2 SJ</t>
  </si>
  <si>
    <t>PAVIMENTADORA  VOGELE SJ 1800-3</t>
  </si>
  <si>
    <t>Jose de Jesus Eusebio Martinez</t>
  </si>
  <si>
    <t>Alan Alexis Gutierrez Flores</t>
  </si>
  <si>
    <t>Edgar Rosales Martinez</t>
  </si>
  <si>
    <t>Fernando Angeles Reyes</t>
  </si>
  <si>
    <t>POR ASIGNAR</t>
  </si>
  <si>
    <t>Julián Piña Hernández</t>
  </si>
  <si>
    <t>Jose Manuel Reyes Flores</t>
  </si>
  <si>
    <t>Marco Antonio Estrada Arellano</t>
  </si>
  <si>
    <t>Luis Fernando Mendiola Vivero</t>
  </si>
  <si>
    <t>COMPRESOR  SULLIVAN PALATEK D2010</t>
  </si>
  <si>
    <t>Eduardo Guadarrama Garcia</t>
  </si>
  <si>
    <t>Adolfo Nava Lopez</t>
  </si>
  <si>
    <t>DOBLE RODILLO   INGERSOLL RAND DD-108HF</t>
  </si>
  <si>
    <t>Marco Antonio Millan Centeno</t>
  </si>
  <si>
    <t>PETROLIZADORA    INTERNATIONAL</t>
  </si>
  <si>
    <t>Francisco Gomora Angeles / Elthon Eduardo</t>
  </si>
  <si>
    <t>S/N (WIRGENT)</t>
  </si>
  <si>
    <t>PERFILADORA WIRGENT-W200i</t>
  </si>
  <si>
    <t>Alejandro de Jesus Fuentes Tapia</t>
  </si>
  <si>
    <t>S/N (IR185)</t>
  </si>
  <si>
    <t>COMPRESOR INGERSOLL RAND IR185</t>
  </si>
  <si>
    <t>Jose Carlos Romero Tellez</t>
  </si>
  <si>
    <t>REGISTRO TRANSACCIONAL DE HORAS DE TRABAJO (MAQUINARIA)</t>
  </si>
  <si>
    <t>ID Reporte / Semana</t>
  </si>
  <si>
    <t>Fecha (DD/MM/AAAA)</t>
  </si>
  <si>
    <t>Maquinaria (Destino)</t>
  </si>
  <si>
    <t>Operador</t>
  </si>
  <si>
    <t>Horas Trabajadas</t>
  </si>
  <si>
    <t>Actividad Principal</t>
  </si>
  <si>
    <t>PETROLIZADORA NUEVA AMARRILLA NO TENIA DIESEL, EL CARGO CORRE A MAQUINARIA</t>
  </si>
  <si>
    <t>*</t>
  </si>
  <si>
    <t>Maquinaria Pegaso</t>
  </si>
  <si>
    <t>Obra (Para Folio)</t>
  </si>
  <si>
    <t>Iniciales</t>
  </si>
  <si>
    <t>LT</t>
  </si>
  <si>
    <t>NA</t>
  </si>
  <si>
    <t>DR</t>
  </si>
  <si>
    <t>JA</t>
  </si>
  <si>
    <t>MP</t>
  </si>
  <si>
    <t>Semana (Helper)</t>
  </si>
  <si>
    <t>Rendimiento Esperado (Lts)</t>
  </si>
  <si>
    <t>Folio Ticket (Auto)</t>
  </si>
  <si>
    <t>AUDITORÍA DE CONCILIACIÓN (CRUCE TRANSACCIONAL)</t>
  </si>
  <si>
    <t>Máquina / Destino</t>
  </si>
  <si>
    <t>Diferencia Lts</t>
  </si>
  <si>
    <t>Estatus</t>
  </si>
  <si>
    <t>Origen</t>
  </si>
  <si>
    <t>Folio Suministro (Pipa)</t>
  </si>
  <si>
    <t>Folio Recepción (Obra)</t>
  </si>
  <si>
    <t>Lts Entregados</t>
  </si>
  <si>
    <t>Lts Recibidos</t>
  </si>
  <si>
    <t>CONCILIACIÓN FINANCIERA - FACTURAS GASOLINERA MOBIL (CASTILLA)</t>
  </si>
  <si>
    <t>Derivados de Petróleo Castilla S.A. de C.V. | RFC: DPC180725R47 | Tel: 5552441117</t>
  </si>
  <si>
    <t>No. Factura</t>
  </si>
  <si>
    <t>Fecha Suministro</t>
  </si>
  <si>
    <t>Cliente No.</t>
  </si>
  <si>
    <t>Obra / Destino</t>
  </si>
  <si>
    <t>Lts Facturados</t>
  </si>
  <si>
    <t>Precio Unitario ($/L)</t>
  </si>
  <si>
    <t>Monto Factura ($)</t>
  </si>
  <si>
    <t>Lts Reales (Registros Obra)</t>
  </si>
  <si>
    <t>% Eficiencia</t>
  </si>
  <si>
    <t>Costo Real ($/L Obra)</t>
  </si>
  <si>
    <t>Estatus Conciliación</t>
  </si>
  <si>
    <t>Notas / Destino Factura</t>
  </si>
  <si>
    <t>A-10128</t>
  </si>
  <si>
    <t>A-10088</t>
  </si>
  <si>
    <t>A-10090</t>
  </si>
  <si>
    <t>A-10148</t>
  </si>
  <si>
    <t>SUMINISTRO DE 660 LTS MEXICO TOLUCA MARIMBA</t>
  </si>
  <si>
    <t>A-10166</t>
  </si>
  <si>
    <t>Sin nota</t>
  </si>
  <si>
    <t>A-10167</t>
  </si>
  <si>
    <t>A-10168</t>
  </si>
  <si>
    <t>A-10172</t>
  </si>
  <si>
    <t>A-10198</t>
  </si>
  <si>
    <t>SUMINISTRO DE 550 LTS MEXICO TOLUCA 24/06/2026</t>
  </si>
  <si>
    <t>A-10211</t>
  </si>
  <si>
    <t>SUMINISTRO DE 550 LTS MEXICO TOLUCA 25/06/2026</t>
  </si>
  <si>
    <t>A-10213</t>
  </si>
  <si>
    <t>SUMINISTRO 24/06/2026 MEX-TOLUCA UTILITARIO NZT266B SAMUEL ORTEGA</t>
  </si>
  <si>
    <t>A-10214</t>
  </si>
  <si>
    <t>SUMINISTRO 24/06/2026</t>
  </si>
  <si>
    <t>A-10216</t>
  </si>
  <si>
    <t>SUMINISTRO DE 400 LTS PLANTA ASFALTO HUIXQUILUCAN 25/06/2026</t>
  </si>
  <si>
    <t>A-10217</t>
  </si>
  <si>
    <t>SUMINISTRO $1500 GASOLINA PLANTA ASFALTO HUIXQUI UNIDAD PCU7482 (GASOLINA)</t>
  </si>
  <si>
    <t>A-10225</t>
  </si>
  <si>
    <t>A-10226</t>
  </si>
  <si>
    <t>SUMINISTRO DE 480 LTS MEXICO TOLUCA 26/06/2026 MARIMBA</t>
  </si>
  <si>
    <t>ESTADOS DE CUENTA - GASOLINERA MOBIL (Derivados de Petróleo Castilla)</t>
  </si>
  <si>
    <t>Semana</t>
  </si>
  <si>
    <t>Obra / Centro de Trabajo</t>
  </si>
  <si>
    <t>Monto Estado Cta ($)</t>
  </si>
  <si>
    <t>Monto en CFDI ($)</t>
  </si>
  <si>
    <t>Diferencia EDO-CFDI ($)</t>
  </si>
  <si>
    <t>Lts en CFDI</t>
  </si>
  <si>
    <t>Costo ($/L) CFDI</t>
  </si>
  <si>
    <t>A-9890</t>
  </si>
  <si>
    <t>A-9904</t>
  </si>
  <si>
    <t>A-9915</t>
  </si>
  <si>
    <t>A-9962</t>
  </si>
  <si>
    <t>A-10034</t>
  </si>
  <si>
    <t>A-10052</t>
  </si>
  <si>
    <t>A-10058</t>
  </si>
  <si>
    <t>A-10078</t>
  </si>
  <si>
    <t>A-10087</t>
  </si>
  <si>
    <t>A-10108</t>
  </si>
  <si>
    <t>A-9772</t>
  </si>
  <si>
    <t>Colegio Militar</t>
  </si>
  <si>
    <t>A-9917</t>
  </si>
  <si>
    <t>A-9965</t>
  </si>
  <si>
    <t>A-9984</t>
  </si>
  <si>
    <t>A-10016</t>
  </si>
  <si>
    <t>A-10020</t>
  </si>
  <si>
    <t>A-10053</t>
  </si>
  <si>
    <t>A-10072</t>
  </si>
  <si>
    <t>A-10091</t>
  </si>
  <si>
    <t>A-23783082</t>
  </si>
  <si>
    <t>A-9964</t>
  </si>
  <si>
    <t>A-9606</t>
  </si>
  <si>
    <t>A-9618</t>
  </si>
  <si>
    <t>A-9658</t>
  </si>
  <si>
    <t>A-9646</t>
  </si>
  <si>
    <t>A-23783037</t>
  </si>
  <si>
    <t>A-9773</t>
  </si>
  <si>
    <t>A-23873042</t>
  </si>
  <si>
    <t>A-9888</t>
  </si>
  <si>
    <t>A-9901</t>
  </si>
  <si>
    <t>A-9930</t>
  </si>
  <si>
    <t>A-9987</t>
  </si>
  <si>
    <t>$ Estado Cuenta</t>
  </si>
  <si>
    <t>$ Facturas CFDI</t>
  </si>
  <si>
    <t>Diferencia ($)</t>
  </si>
  <si>
    <t>Litros CFDI</t>
  </si>
  <si>
    <t>Costo Prom $/L</t>
  </si>
  <si>
    <t>Cruce: Estado de Cuenta → Facturas CFDI → Consumo en Obra  |  Semanas: Lunes a Domingo</t>
  </si>
  <si>
    <t>Semana (Lun-Dom)</t>
  </si>
  <si>
    <t>RESUMEN POR SEMANA (Lunes a Domingo)</t>
  </si>
  <si>
    <t>Lts Obra Reales</t>
  </si>
  <si>
    <t>Balance Financiero ($)</t>
  </si>
  <si>
    <t>GC-GAS-003 | CONTROL DE GASOLINA - VEHÍCULOS Y EQUIPOS MENORES</t>
  </si>
  <si>
    <t>#</t>
  </si>
  <si>
    <t>Responsable</t>
  </si>
  <si>
    <t>Unidad / Vehículo</t>
  </si>
  <si>
    <t>Placas</t>
  </si>
  <si>
    <t>$ Autorizado Semanal</t>
  </si>
  <si>
    <t>Gasolinera Asignada</t>
  </si>
  <si>
    <t>ING.ARMANDO COLIN</t>
  </si>
  <si>
    <t>CHEVROLET S10</t>
  </si>
  <si>
    <t>PAT-8298</t>
  </si>
  <si>
    <t>LEVET</t>
  </si>
  <si>
    <t>ING.ARMANDO COLIN -EQUIPO MENOR</t>
  </si>
  <si>
    <t>CORTADORA/PR8</t>
  </si>
  <si>
    <t>ING.ANTONIO IBAÑEZ</t>
  </si>
  <si>
    <t>RAM 1200 DODGE</t>
  </si>
  <si>
    <t>LHB-188-D</t>
  </si>
  <si>
    <t>MECANICO ALBERTO HERNANDEZ DE JESUS</t>
  </si>
  <si>
    <t>MECANICO JUAN CARLOS NAZAR</t>
  </si>
  <si>
    <t>PICK UP DODGE</t>
  </si>
  <si>
    <t>PCW-9238</t>
  </si>
  <si>
    <t>MECANICO EDGAR VELAZQUEZ ESQUIVEL</t>
  </si>
  <si>
    <t>RAM-700</t>
  </si>
  <si>
    <t>PCW-9391</t>
  </si>
  <si>
    <t>ING.DIEGO CARREOLA</t>
  </si>
  <si>
    <t>L200</t>
  </si>
  <si>
    <t>NYC-829-C</t>
  </si>
  <si>
    <t>ING.DIEGO CARREOLA -EQUIPOS MENORES</t>
  </si>
  <si>
    <t>Equipos Menores</t>
  </si>
  <si>
    <t>—</t>
  </si>
  <si>
    <t>ING JAVIER PÉREZ DÍAZ</t>
  </si>
  <si>
    <t>MHL-758-A</t>
  </si>
  <si>
    <t>MOBIL HUIXQUILUCAN</t>
  </si>
  <si>
    <t>ALEXIS RENDÓN DOMÍNGUEZ</t>
  </si>
  <si>
    <t>URBAN TOYOTA</t>
  </si>
  <si>
    <t>PBT-1230</t>
  </si>
  <si>
    <t>CRISTIAN REYES GOMORA</t>
  </si>
  <si>
    <t>DODGE RAM 3 1/2</t>
  </si>
  <si>
    <t>LH-4973</t>
  </si>
  <si>
    <t>ING.APOLINAR REYES BOLAINA</t>
  </si>
  <si>
    <t>NYZ-971-C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</si>
  <si>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</si>
  <si>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</si>
  <si>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</si>
  <si>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</si>
  <si>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</si>
  <si>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</si>
  <si>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</si>
  <si>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CORTADORA DE CONCRETO</t>
  </si>
  <si>
    <t>MOTOR AUX PETROLIZADORA</t>
  </si>
  <si>
    <t>MOTOR AUX PIPA DE AGUA</t>
  </si>
  <si>
    <t>LUIS VALDEZ</t>
  </si>
  <si>
    <t>PCU-7482</t>
  </si>
  <si>
    <t>LUIS VALDEZ -EQUIPO MENOR</t>
  </si>
  <si>
    <t>GENERADOR DE LUZ LAB</t>
  </si>
  <si>
    <t>CLEMENTE SANABRIA</t>
  </si>
  <si>
    <t>RAM L200</t>
  </si>
  <si>
    <t>LHB-184-D</t>
  </si>
  <si>
    <t>Transportes Flotilla</t>
  </si>
  <si>
    <t>BRAYAN CHAVEZ</t>
  </si>
  <si>
    <t>TORNADO</t>
  </si>
  <si>
    <t>NUZ-948-C</t>
  </si>
  <si>
    <t>BRAYAN CHAVEZ -MOTORES LOWBOY</t>
  </si>
  <si>
    <t>Motor Lowboy 1</t>
  </si>
  <si>
    <t>Motor Lowboy 2</t>
  </si>
  <si>
    <t>ING.ROBERTO ORTEGA</t>
  </si>
  <si>
    <t>MNX-601-B</t>
  </si>
  <si>
    <t>San Pedro Totoltepec</t>
  </si>
  <si>
    <t>ING.ROBERTO ORTEGA EQUIPOS MENORES</t>
  </si>
  <si>
    <t>ARQ. SAMUEL ORTEGA</t>
  </si>
  <si>
    <t>NZT-266-B</t>
  </si>
  <si>
    <t>GT + Trituradora Roca Dura | Autorización Semanal vs Carga Real | Gasolineras: LEVET / MOBIL HUIXQUILUCAN / TARJETA SÍVALE</t>
  </si>
  <si>
    <t>1. CATÁLOGO DE VEHÍCULOS AUTORIZADOS (Semana Base)</t>
  </si>
  <si>
    <t>Grupo</t>
  </si>
  <si>
    <t>No. UT</t>
  </si>
  <si>
    <t>Centro de Trabajo</t>
  </si>
  <si>
    <t>Notas</t>
  </si>
  <si>
    <t>GRUPO TRUJANO (GT)</t>
  </si>
  <si>
    <t>GT</t>
  </si>
  <si>
    <t>Maquinaria (Gral)</t>
  </si>
  <si>
    <t>NXP-3814</t>
  </si>
  <si>
    <t>22/06 cargó en MOBIL HUIX (discrepancia gasolinera)</t>
  </si>
  <si>
    <t>ING.APOLINAR REYES -EQUIPO MENOR</t>
  </si>
  <si>
    <t>FORD RANGER</t>
  </si>
  <si>
    <t>Subtotal GT</t>
  </si>
  <si>
    <t>MINAS (GT LEVET)</t>
  </si>
  <si>
    <t>MINAS</t>
  </si>
  <si>
    <t>LAZARO PINAL</t>
  </si>
  <si>
    <t>Minas (General)</t>
  </si>
  <si>
    <t>CARLOS REYES</t>
  </si>
  <si>
    <t>FLOR ARANDA</t>
  </si>
  <si>
    <t>JESUS MARIN</t>
  </si>
  <si>
    <t>Subtotal MINAS</t>
  </si>
  <si>
    <t>TRITURADORA ROCA DURA SAN MIGUEL</t>
  </si>
  <si>
    <t>TRITURADORA</t>
  </si>
  <si>
    <t>S/N</t>
  </si>
  <si>
    <t>CARLOS REYES TRUJANO</t>
  </si>
  <si>
    <t>TOYOTA TACOMA</t>
  </si>
  <si>
    <t>33K-849</t>
  </si>
  <si>
    <t>Mina Tabernillas</t>
  </si>
  <si>
    <t>UT-36</t>
  </si>
  <si>
    <t>LAZARO PINAL RIOS</t>
  </si>
  <si>
    <t>MITSUBISHI L200</t>
  </si>
  <si>
    <t>MHL-757-A</t>
  </si>
  <si>
    <t>UT-29</t>
  </si>
  <si>
    <t>ARMANDO LANDIN MORENO</t>
  </si>
  <si>
    <t>MITSUBISHI L200 D/C</t>
  </si>
  <si>
    <t>LHB-180-D</t>
  </si>
  <si>
    <t>UT-13</t>
  </si>
  <si>
    <t>ABNER OSORIO BARTOLO</t>
  </si>
  <si>
    <t>NYZ-828-C</t>
  </si>
  <si>
    <t>Mina Zumpahuacan</t>
  </si>
  <si>
    <t>UT-6</t>
  </si>
  <si>
    <t>ISAAC GONZALEZ GONZALEZ</t>
  </si>
  <si>
    <t>NYZ-839-C</t>
  </si>
  <si>
    <t>UT-15</t>
  </si>
  <si>
    <t>JESUS MARIN GARCIA</t>
  </si>
  <si>
    <t>PCU-8771</t>
  </si>
  <si>
    <t>Mina Cuajomac</t>
  </si>
  <si>
    <t>2. CAPTURA DE CARGAS REALES (Una fila por carga / ticket)</t>
  </si>
  <si>
    <t>Fecha Carga</t>
  </si>
  <si>
    <t>$ Autorizado (Cat.)</t>
  </si>
  <si>
    <t>Remanente ($)</t>
  </si>
  <si>
    <t>Gasolinera Autorizada</t>
  </si>
  <si>
    <t>Diferencia Gasolinera</t>
  </si>
  <si>
    <t>Diferencia $</t>
  </si>
  <si>
    <t>Estatus / Notas</t>
  </si>
  <si>
    <t>❌ MOBIL HUIXQUILUCAN (aut: LEVET)</t>
  </si>
  <si>
    <t>⚠️ Cargó en MOBIL (autorizado: LEVET)</t>
  </si>
  <si>
    <t>✅ Correcta</t>
  </si>
  <si>
    <t>✅ OK</t>
  </si>
  <si>
    <t>⚠️ Consumo &lt; Autorizado ($4000 aut, $1500 cons)</t>
  </si>
  <si>
    <t>⚠️ Consumo &lt; Autorizado ($3000 aut, $1000 cons)</t>
  </si>
  <si>
    <t>3. TABLA AUTORIZACIÓN DIÉSEL HUIXQUILUCAN - SEMANA 26 (22/06/2026)</t>
  </si>
  <si>
    <t>No.</t>
  </si>
  <si>
    <t>Eje Suministro</t>
  </si>
  <si>
    <t>Responsable Transporte</t>
  </si>
  <si>
    <t>Lts Diarios Aut.</t>
  </si>
  <si>
    <t>Total Semanal Aut.</t>
  </si>
  <si>
    <t>Consumo Real</t>
  </si>
  <si>
    <t>Remanente</t>
  </si>
  <si>
    <t>Unidad Marimba</t>
  </si>
  <si>
    <t>Frente México-Toluca</t>
  </si>
  <si>
    <t>Brandan</t>
  </si>
  <si>
    <t>Planta Huixquilucan</t>
  </si>
  <si>
    <t>Planta Asfalto Huixquilucan</t>
  </si>
  <si>
    <t>Jack - PCU7482</t>
  </si>
  <si>
    <t>Planta Pegaso (Centro Distrib.)</t>
  </si>
  <si>
    <t>Camioneta 3½ Ton (LDG-1309)</t>
  </si>
  <si>
    <t>GRAN TOTAL AUTORIZADO</t>
  </si>
  <si>
    <t>NYZ971C</t>
  </si>
  <si>
    <t>APOLINAR REYES</t>
  </si>
  <si>
    <t>LERMA TENANGO</t>
  </si>
  <si>
    <t>NUZ948C</t>
  </si>
  <si>
    <t>BRYAN CHAVEZ</t>
  </si>
  <si>
    <t>TRANSPORTES FLOTILLA</t>
  </si>
  <si>
    <t>PCW9391</t>
  </si>
  <si>
    <t>JUAN CARLOS NAZAR MECANICO</t>
  </si>
  <si>
    <t>MAQUINARIA PEGASSO</t>
  </si>
  <si>
    <t>MNX601B</t>
  </si>
  <si>
    <t>ROBERTO ORTEGA</t>
  </si>
  <si>
    <t>REVOLUCION Y LERDO, SAN PEDRO TOTO</t>
  </si>
  <si>
    <t>PAT8298</t>
  </si>
  <si>
    <t>ARMANDO COLIN</t>
  </si>
  <si>
    <t>BACHEO TOLUCA</t>
  </si>
  <si>
    <t>PCU7482</t>
  </si>
  <si>
    <t>P. ASFALTO HUIX</t>
  </si>
  <si>
    <t>LF05470</t>
  </si>
  <si>
    <t xml:space="preserve">TOMAS </t>
  </si>
  <si>
    <t>BACHEO TOLUCA CALLE VICENTE LOMBARDO</t>
  </si>
  <si>
    <t>TBT1229</t>
  </si>
  <si>
    <t>DIEGO FERNANDEZ</t>
  </si>
  <si>
    <t>LH49746</t>
  </si>
  <si>
    <t>LHB188D</t>
  </si>
  <si>
    <t>JOSE ANTONIO IBAÑEZ</t>
  </si>
  <si>
    <t xml:space="preserve">MAQUINARIA </t>
  </si>
  <si>
    <t>MHL757A</t>
  </si>
  <si>
    <t>MINA TABERNILLAS</t>
  </si>
  <si>
    <t>NYC829C</t>
  </si>
  <si>
    <t>DIEGO CARREOLA</t>
  </si>
  <si>
    <t>33K849</t>
  </si>
  <si>
    <t>CARLOS TRUJANO</t>
  </si>
  <si>
    <t>HG6103D</t>
  </si>
  <si>
    <t>ENRIQUE COLIN</t>
  </si>
  <si>
    <t>JDJ TRANSPORTES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</si>
  <si>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</si>
  <si>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</si>
  <si>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</si>
  <si>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</si>
  <si>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</si>
  <si>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</si>
  <si>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</si>
  <si>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</si>
  <si>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LH16062</t>
  </si>
  <si>
    <t>JULIO CESAR</t>
  </si>
  <si>
    <t>NYZ790C</t>
  </si>
  <si>
    <t>LEOCIO MTZ</t>
  </si>
  <si>
    <t xml:space="preserve">BIDON </t>
  </si>
  <si>
    <t>TOMAS ARANDA</t>
  </si>
  <si>
    <t>SALDO X PAGAR</t>
  </si>
  <si>
    <t>A-10113</t>
  </si>
  <si>
    <t>A-10111</t>
  </si>
  <si>
    <t>A-10056</t>
  </si>
  <si>
    <t>⚠️ Gasolina mezclada en factura Diesel (PCU7482)</t>
  </si>
  <si>
    <t>Capturado desde Estado de Cuenta - Lts pendientes de PDF</t>
  </si>
  <si>
    <t>DASHBOARD EJECUTIVO - CONTROL DE COMBUSTIBLE GRUPO TRUJANO</t>
  </si>
  <si>
    <t>Semana Analizada →</t>
  </si>
  <si>
    <t>1. CORTE SEMANAL - COBRADO POR GASOLINERÍA vs FACTURADO (CFDI)</t>
  </si>
  <si>
    <t>$ Cobrado (Estado Cta)</t>
  </si>
  <si>
    <t>$ Facturado (CFDI)</t>
  </si>
  <si>
    <t>Lts (Estado Cta)</t>
  </si>
  <si>
    <t>Lts (CFDI)</t>
  </si>
  <si>
    <t>TOTAL</t>
  </si>
  <si>
    <t>Sem 21</t>
  </si>
  <si>
    <t>Sem 22</t>
  </si>
  <si>
    <t>Sem 23</t>
  </si>
  <si>
    <t>Sem 24</t>
  </si>
  <si>
    <t>Sem 25</t>
  </si>
  <si>
    <t>Sem 26</t>
  </si>
  <si>
    <t>3. LITROS FACTURADOS (CFDI) POR OBRA Y SEMANA</t>
  </si>
  <si>
    <t>4. CORTE SEMANAL - COSTO GASOLINERA vs CONSUMO REPORTADO EN OBRA</t>
  </si>
  <si>
    <t>5. RESUMEN HISTÓRICO DE ADEUDOS A GASOLINERÍA (DIÉSEL) - POR SEMANA Y OBRA</t>
  </si>
  <si>
    <t>Lts Facturados (CFDI)</t>
  </si>
  <si>
    <t>Deuda Total ($ CFDI)</t>
  </si>
  <si>
    <t>Lts Reales Obra</t>
  </si>
  <si>
    <t>Costo Real Obra ($)</t>
  </si>
  <si>
    <t>NO DETECTADA</t>
  </si>
  <si>
    <t>6. AUDITORÍA FINANCIERA DIRECTA: COBRO EN BANCO vs CONSUMO DE MAQUINARIA EN OBRA</t>
  </si>
  <si>
    <t>$ Cobrado Gasolinera
(Estado Cta)</t>
  </si>
  <si>
    <t>Precio Dinámico CFDI
($/L)</t>
  </si>
  <si>
    <t>Costo Real Máquinas
($)</t>
  </si>
  <si>
    <t>Diferencia Cobrado vs
Consumido ($)</t>
  </si>
  <si>
    <t>ℹ️ Si la diferencia es muy alta y positiva, usualmente significa que el cobro incluye pipas almacenadas en tanque que la maquinaria aún no quema.</t>
  </si>
  <si>
    <t>Domingo</t>
  </si>
  <si>
    <t>TRACTOR</t>
  </si>
  <si>
    <t>TR-01</t>
  </si>
  <si>
    <t>BALANCE DE INVENTARIO DIARIO (KARDEX) POR ALMACÉN</t>
  </si>
  <si>
    <t>FECHAS</t>
  </si>
  <si>
    <t>TANQUE PEGASO (LTS)</t>
  </si>
  <si>
    <t>MARIMBA M-01 (LTS)</t>
  </si>
  <si>
    <t>Inv. Inicial</t>
  </si>
  <si>
    <t>Entradas (Pipas)</t>
  </si>
  <si>
    <t>Salidas (Obra)</t>
  </si>
  <si>
    <t>Inv. Final</t>
  </si>
  <si>
    <t>Entradas (Gasolinera)</t>
  </si>
  <si>
    <t>sin factura:</t>
  </si>
  <si>
    <t>2. CONSUMO DIÉSEL POR OBRA - COBRADO POR GASOLINERÍA (ESTADO DE CUENTA)</t>
  </si>
  <si>
    <t>$ Cobrado
(Estado Cta)</t>
  </si>
  <si>
    <t>$ Facturado
(CFDI)</t>
  </si>
  <si>
    <t>Diferencia EDO-
CFDI ($)</t>
  </si>
  <si>
    <t>Lts Reportados
Obra</t>
  </si>
  <si>
    <t>Diferencia
Lts</t>
  </si>
  <si>
    <t>Precio ($/L)</t>
  </si>
  <si>
    <t>Consumo
Estimado ($)</t>
  </si>
  <si>
    <t>Balance Final
($)</t>
  </si>
  <si>
    <t>Lts Consumidos
Máquinas (Obra)</t>
  </si>
  <si>
    <t>Diferencia Cobrado
vs Consumido ($)</t>
  </si>
  <si>
    <t>Precio Diésel base (sin factura) →</t>
  </si>
  <si>
    <t>← edita si no hay CFDI esa semana</t>
  </si>
  <si>
    <t>Diferencia
EDO-CFDI ($)</t>
  </si>
  <si>
    <t>ℹ️ "Planta Asfalto Pegaso" agrupa: Planta Asfalto Pegaso, Lerma - Tres Marías, Chamapa-Lechería, Bacheo Toluca, Dragones, Colegio Militar, NO DETECTADA</t>
  </si>
  <si>
    <t>RESUMEN EJECUTIVO DE COMBUSTIBLE PARA DIRECTIVOS</t>
  </si>
  <si>
    <t>Semana Seleccionada:</t>
  </si>
  <si>
    <t>Precio Diésel Manual ($/L):</t>
  </si>
  <si>
    <t>← Edita la semana o el precio para actualizar ambas tablas automáticamente</t>
  </si>
  <si>
    <t>Estatus de Control</t>
  </si>
  <si>
    <t>Transportes Pegaso</t>
  </si>
  <si>
    <t>Reclasificado: Era "Tanque Maquinaria Pegaso". Corresponde a Transportes Pegaso.</t>
  </si>
  <si>
    <t>Reclasificado: Era "Planta Asfalto Pegaso". Corresponde a Transportes Pegaso.</t>
  </si>
  <si>
    <t>Reclasificado: Planta Asfalto Pegaso → Maquinaria Pegaso</t>
  </si>
  <si>
    <t>ℹ️ "Maquinaria Pegaso" agrupa: Maquinaria Pegaso, Lerma - Tres Marías, Chamapa-Lechería, Bacheo Toluca, Dragones, Colegio Militar, NO DETECTADA</t>
  </si>
  <si>
    <t>TABLA 3: HISTÓRICO DE CONTROL DE VALES Y GASOLINA (OBRA JALISCO)</t>
  </si>
  <si>
    <t>Lts de Diésel Acum.</t>
  </si>
  <si>
    <t>TABLA 4: AUDITORÍA DE INVENTARIO Y VACIADO DEL TANQUE PEGASO</t>
  </si>
  <si>
    <t>Inventario Inicial (Lts)</t>
  </si>
  <si>
    <t>Entradas / Pipas (Lts CFDI)</t>
  </si>
  <si>
    <t>Salidas / Consumos (Lts Obra)</t>
  </si>
  <si>
    <t>Inventario Final (Lts)</t>
  </si>
  <si>
    <t>Estatus del Tanque</t>
  </si>
  <si>
    <t>Semana 25</t>
  </si>
  <si>
    <t>Semana 26</t>
  </si>
  <si>
    <t>Semana 27</t>
  </si>
  <si>
    <t>Semana 21</t>
  </si>
  <si>
    <t>Semana 22</t>
  </si>
  <si>
    <t>Semana 23</t>
  </si>
  <si>
    <t>Semana 24</t>
  </si>
  <si>
    <t>TOTAL FACTURADO</t>
  </si>
  <si>
    <t>TABLA 5: MONTO TOTAL DE FACTURAS (CFDI) POR OBRA Y SEMANA ($)</t>
  </si>
  <si>
    <t>TABLA 2: ANÁLISIS DE COSTOS FINANCIEROS Y BALANCE (CFDI VS OBRA)</t>
  </si>
  <si>
    <t>GENERADOR AMMANN</t>
  </si>
  <si>
    <t>GA-01</t>
  </si>
  <si>
    <t>AUTOTANQUE(QUEMADOR)</t>
  </si>
  <si>
    <t>ATQ-01</t>
  </si>
  <si>
    <t>TABLA 1: CONTROL DE VOLUMEN Y EFICIENCIA OPERATIVA (CON INVENTARIO INICIAL)</t>
  </si>
  <si>
    <t>Inventario Inicial
(Lts Reserva)</t>
  </si>
  <si>
    <t>Lts Facturados
(CFDI)</t>
  </si>
  <si>
    <t>Lts Consumidos
(Bitácora Obra)</t>
  </si>
  <si>
    <t>Diferencia Semanal
(Lts)</t>
  </si>
  <si>
    <t>Inventario Final
(Lts Remanente)</t>
  </si>
  <si>
    <t>Eficiencia de
Conciliación (%)</t>
  </si>
  <si>
    <t>Horas Trabajadas
(Maquinaria)</t>
  </si>
  <si>
    <t>Rendimiento Real
(Lts/Hora)</t>
  </si>
  <si>
    <t>Monto Facturado
(CFDI)</t>
  </si>
  <si>
    <t>Costo Real Consumido
(Precio Manual)</t>
  </si>
  <si>
    <t>Diferencia
(CFDI vs Obra)</t>
  </si>
  <si>
    <t>ING. DIEGO CARREOLA MONROY</t>
  </si>
  <si>
    <t>SE CONSIDERA OPCIONAL ESTA CARGA, DEPENDEMOS DE INDICACIONES DE DIRECCION PARA TRABAJOS EL DIA DOMINGO 5 DE JULIO 2026</t>
  </si>
  <si>
    <t>MOTOCONFORMADORA CAT 120H</t>
  </si>
  <si>
    <t>GENERADOR PLANTA AMMANN</t>
  </si>
  <si>
    <t>TORRE DE LUZ MAXILIGHT</t>
  </si>
  <si>
    <t>CALDERA</t>
  </si>
  <si>
    <t>CARGADOR CASE 821 F</t>
  </si>
  <si>
    <t>CRIBA RAP</t>
  </si>
  <si>
    <t>ING. FCO. JAVIER PEREZ DIAZ</t>
  </si>
  <si>
    <t>100 LITROS PARA LIMPIEZA TREN DE RIEGO</t>
  </si>
  <si>
    <t>TABLA 5: ANÁLISIS ESTADÍSTICO DE CONSUMOS (SOLICITADO VS AUTORIZADO VS REAL)</t>
  </si>
  <si>
    <t>Lts Autorizados</t>
  </si>
  <si>
    <t>Lts Reales</t>
  </si>
  <si>
    <t>Desv. Estándar (σ) Real</t>
  </si>
  <si>
    <t>Varianza % (Sol vs Real)</t>
  </si>
  <si>
    <t>Varianza % (Aut vs Real)</t>
  </si>
  <si>
    <t>Prom. Diario Solicitado (μ)</t>
  </si>
  <si>
    <t>Prom. Diario Autorizado (μ)</t>
  </si>
  <si>
    <t>Prom. Diario Real (μ)</t>
  </si>
  <si>
    <t>Providencia</t>
  </si>
  <si>
    <t>Samuel</t>
  </si>
  <si>
    <t>NEUMATICO VOLVO PT-125R</t>
  </si>
  <si>
    <t>NV-02</t>
  </si>
  <si>
    <t>CAMION DE SELLO</t>
  </si>
  <si>
    <t>CS-01</t>
  </si>
  <si>
    <t>ID_TICKET</t>
  </si>
  <si>
    <t>SEMANA</t>
  </si>
  <si>
    <t>FECHA</t>
  </si>
  <si>
    <t>OBRA</t>
  </si>
  <si>
    <t>TIPO_REGISTRO</t>
  </si>
  <si>
    <t>EQUIPO_CONCEPTO</t>
  </si>
  <si>
    <t>LITROS</t>
  </si>
  <si>
    <t>PRECIO_UNITARIO</t>
  </si>
  <si>
    <t>COSTO_TOTAL</t>
  </si>
  <si>
    <t>CATEGORIA</t>
  </si>
  <si>
    <t>OBSERVACIONES</t>
  </si>
  <si>
    <t>1. Solicitud</t>
  </si>
  <si>
    <t>Vogel [object Object]</t>
  </si>
  <si>
    <t>DIESEL</t>
  </si>
  <si>
    <t>Perfiladora [object Object]</t>
  </si>
  <si>
    <t>Retroexcavadora [object Object]</t>
  </si>
  <si>
    <t>Barredora [object Object]</t>
  </si>
  <si>
    <t>Neuomatico [object Object]</t>
  </si>
  <si>
    <t>Compactador [object Object]</t>
  </si>
  <si>
    <t>Limpieza LP-01</t>
  </si>
  <si>
    <t>Petrolizadora [object Object]</t>
  </si>
  <si>
    <t>Perfiladora Wirgent [object Object]</t>
  </si>
  <si>
    <t>Perfiladora Cat-PM [object Object]</t>
  </si>
  <si>
    <t>Barredora Broce [object Object]</t>
  </si>
  <si>
    <t>Retroexcavadora Jonh Deere [object Object]</t>
  </si>
  <si>
    <t>Buggy Trasnfer [object Object]</t>
  </si>
  <si>
    <t>Vogele Guion [object Object]</t>
  </si>
  <si>
    <t>Tandem Hamm [object Object]</t>
  </si>
  <si>
    <t>Neuomatico Dynapac [object Object]</t>
  </si>
  <si>
    <t>Petrolizadora Elton [object Object]</t>
  </si>
  <si>
    <t>Camion de Impacto [object Object]</t>
  </si>
  <si>
    <t>Maxilihgs [object Object]</t>
  </si>
  <si>
    <t>Compresor [object Object]</t>
  </si>
  <si>
    <t>Rastrillador RS-01</t>
  </si>
  <si>
    <t>Doble Rodillo [object Object]</t>
  </si>
  <si>
    <t>Otro OT-01</t>
  </si>
  <si>
    <t>Pipa [object Object]</t>
  </si>
  <si>
    <t>Generador GR-01</t>
  </si>
  <si>
    <t>PayLoder PL-01</t>
  </si>
  <si>
    <t>Criba Roja CR-01</t>
  </si>
  <si>
    <t>Tandem CAT TC-01</t>
  </si>
  <si>
    <t>PERFILADORA RODATEC RX600E PR-02</t>
  </si>
  <si>
    <t>BARREDORA LAYMOR SM400 BR-02</t>
  </si>
  <si>
    <t>RETROEXCAVADORA JHONDEREE 310 K RT-02</t>
  </si>
  <si>
    <t>PAVIMENTADORA VOGELE 1800-3 I VG-01</t>
  </si>
  <si>
    <t>DOBLE RODILLO RAD ROLLER FILY-325 PRO DR-04</t>
  </si>
  <si>
    <t>NEUMATICO / COMPACTADOR DE NEUMATICOS DINAPAC CP271 NM-01</t>
  </si>
  <si>
    <t>IMPACTO FORD 4300 CI-01</t>
  </si>
  <si>
    <t>COMPRESOR SULLIVAN PALATEK D2010 CPR-01</t>
  </si>
  <si>
    <t>PETROLIZADORA INTERNATIONAL PT-02</t>
  </si>
  <si>
    <t>GENERADOR GR-01</t>
  </si>
  <si>
    <t>RETROEXCAVADORA CASE 580 N RT-01</t>
  </si>
  <si>
    <t>MAXILIGHT MX-01</t>
  </si>
  <si>
    <t>CRIBA ROJA CR-01</t>
  </si>
  <si>
    <t>TANDEM DOBLE RODILLO / VIBROCOMPACTOR RODILLO CAT CB54 TD-01</t>
  </si>
  <si>
    <t>NEUMATICO VOLVO PT-240R NM-02</t>
  </si>
  <si>
    <t>BARREDORA BROCE BROOM KR350 BR-05</t>
  </si>
  <si>
    <t>HOMBRE A BORDO HB-01</t>
  </si>
  <si>
    <t>LIMPIEZA LP-01</t>
  </si>
  <si>
    <t>PAYLODER PL-01</t>
  </si>
  <si>
    <t>CALDERA TECNO CT-01</t>
  </si>
  <si>
    <t>CALDERA TRIASO CTR-01</t>
  </si>
  <si>
    <t>PIPA DE AGUA (IMPACTO 01) FORD PP-01</t>
  </si>
  <si>
    <t>GENERADOR PLANTA AMMANN [object Object]</t>
  </si>
  <si>
    <t>TORRE DE LUZ MAXILIGHT [object Object]</t>
  </si>
  <si>
    <t>CALDERA [object Object]</t>
  </si>
  <si>
    <t>CARGADOR CASE 821 F [object Object]</t>
  </si>
  <si>
    <t>CRIBA RAP [object Object]</t>
  </si>
  <si>
    <t>DOBLE RODILLO/VIBROCOMPACTADOR DE RODILLOS HAMM 120HD VV DR-01</t>
  </si>
  <si>
    <t>BARREDORA BROCE RJ350 BR-01</t>
  </si>
  <si>
    <t>BIDONES BD-01</t>
  </si>
  <si>
    <t>MOTOCONFORMADORA CAT 120H [object Object]</t>
  </si>
  <si>
    <t>VIBROCOMPACTADOR CATERPILLAR CB66B VC-01</t>
  </si>
  <si>
    <t>2. Consumo Real</t>
  </si>
  <si>
    <t/>
  </si>
  <si>
    <t>3. Carga Almacén (Pipa)</t>
  </si>
  <si>
    <t>Ticket: Bidones</t>
  </si>
  <si>
    <t>Carga Tanque Fijo</t>
  </si>
  <si>
    <t>Ticket: Retroexcavadora</t>
  </si>
  <si>
    <t>Ticket: Doble Rodillo</t>
  </si>
  <si>
    <t>Ticket: Petrolizadora</t>
  </si>
  <si>
    <t>Ticket: PayLoder</t>
  </si>
  <si>
    <t>Ticket: Compresor</t>
  </si>
  <si>
    <t>Ticket: Camion de Impacto</t>
  </si>
  <si>
    <t>Ticket: Vogel</t>
  </si>
  <si>
    <t>Ticket: Neuomatico</t>
  </si>
  <si>
    <t>Ticket: Barredora Broce</t>
  </si>
  <si>
    <t>Ticket: BIDONES</t>
  </si>
  <si>
    <t>Ticket: TANDEM DOBLE RODILLO / VIBROCOMPACTOR RODILLO CAT CB54</t>
  </si>
  <si>
    <t>Ticket: PAYLODER</t>
  </si>
  <si>
    <t>Ticket: DOBLE RODILLO/VIBROCOMPACTADOR DE RODILLOS HAMM 140HD</t>
  </si>
  <si>
    <t>Ticket: PETROLIZADORA    INTERNATIONAL</t>
  </si>
  <si>
    <t>Ticket: BARREDORA LAYMOR SM400</t>
  </si>
  <si>
    <t>Ticket: LIMPIEZA</t>
  </si>
  <si>
    <t>Ticket: RETROEXCAVADORA JHONDEREE 310SK</t>
  </si>
  <si>
    <t>Ticket: PIPA DE AGUA (IMPACTO 01) FORD</t>
  </si>
  <si>
    <t>Ticket: PETROLIZADORA (IMPACTO 04) FORD F800</t>
  </si>
  <si>
    <t>Ticket: PERFILADORA RODATEC RX600-4-4008</t>
  </si>
  <si>
    <t>Ticket: PAVIMENTADORA  VOGELE 1800-3 i</t>
  </si>
  <si>
    <t>Ticket: IMPACTO FORD 4300</t>
  </si>
  <si>
    <t>Ticket: NEUMATICO / COMPACTADOR DE NEUMATICOS DINAPAC CP271</t>
  </si>
  <si>
    <t>Ticket: RETROEXCAVADORA CASE 580 N</t>
  </si>
  <si>
    <t>Ticket: PERFILADORA RODATEC RX600E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</si>
</sst>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\$#,##0.00"/>
    <numFmt numFmtId="165" formatCode="&quot;$&quot;#,##0.00"/>
    <numFmt numFmtId="166" formatCode="yyyy\-mm\-dd"/>
    <numFmt numFmtId="167" formatCode="0.0%"/>
    <numFmt numFmtId="168" formatCode="&quot;$&quot;#,##0.0000"/>
    <numFmt numFmtId="169" formatCode="#,##0.000"/>
    <numFmt numFmtId="170" formatCode="#,##0.0"/>
  </numFmts>
  <fonts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color theme="1"/>
      <name val="Segoe UI"/>
      <family val="2"/>
    </font>
    <font>
      <b/>
      <sz val="11"/>
      <color theme="1"/>
      <name val="Aptos Narrow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2"/>
      <color rgb="FFFFFFFF"/>
      <name val="Carlito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FFFFFF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b/>
      <sz val="11"/>
      <color rgb="FFFFFFFF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sz val="11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Carlito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name val="Carlito"/>
    </font>
    <font>
      <b/>
      <sz val="11"/>
      <name val="Carlito"/>
    </font>
    <font>
      <i/>
      <sz val="11"/>
      <color rgb="FFFF6600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name val="Carlito"/>
    </font>
    <font>
      <b/>
      <sz val="11"/>
      <name val="Carlito"/>
    </font>
    <font>
      <i/>
      <sz val="9"/>
      <color rgb="FF595959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theme="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660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2" fontId="0" fillId="0" borderId="0" xfId="0" applyNumberFormat="1"/>
    <xf numFmtId="0" fontId="5" fillId="3" borderId="1" xfId="0" applyFont="1" applyFill="1" applyBorder="1"/>
    <xf numFmtId="0" fontId="6" fillId="4" borderId="2" xfId="0" applyFont="1" applyFill="1" applyBorder="1"/>
    <xf numFmtId="166" fontId="7" fillId="5" borderId="3" xfId="0" applyNumberFormat="1" applyFont="1" applyFill="1" applyBorder="1"/>
    <xf numFmtId="166" fontId="8" fillId="6" borderId="4" xfId="0" applyNumberFormat="1" applyFont="1" applyFill="1" applyBorder="1"/>
    <xf numFmtId="166" fontId="9" fillId="7" borderId="5" xfId="0" applyNumberFormat="1" applyFont="1" applyFill="1" applyBorder="1"/>
    <xf numFmtId="166" fontId="10" fillId="8" borderId="6" xfId="0" applyNumberFormat="1" applyFont="1" applyFill="1" applyBorder="1"/>
    <xf numFmtId="166" fontId="11" fillId="9" borderId="7" xfId="0" applyNumberFormat="1" applyFont="1" applyFill="1" applyBorder="1"/>
    <xf numFmtId="166" fontId="12" fillId="10" borderId="8" xfId="0" applyNumberFormat="1" applyFont="1" applyFill="1" applyBorder="1"/>
    <xf numFmtId="166" fontId="13" fillId="11" borderId="9" xfId="0" applyNumberFormat="1" applyFont="1" applyFill="1" applyBorder="1"/>
    <xf numFmtId="166" fontId="14" fillId="12" borderId="10" xfId="0" applyNumberFormat="1" applyFont="1" applyFill="1" applyBorder="1"/>
    <xf numFmtId="166" fontId="15" fillId="13" borderId="11" xfId="0" applyNumberFormat="1" applyFont="1" applyFill="1" applyBorder="1"/>
    <xf numFmtId="166" fontId="16" fillId="14" borderId="12" xfId="0" applyNumberFormat="1" applyFont="1" applyFill="1" applyBorder="1"/>
    <xf numFmtId="166" fontId="17" fillId="15" borderId="13" xfId="0" applyNumberFormat="1" applyFont="1" applyFill="1" applyBorder="1"/>
    <xf numFmtId="166" fontId="18" fillId="16" borderId="14" xfId="0" applyNumberFormat="1" applyFont="1" applyFill="1" applyBorder="1"/>
    <xf numFmtId="166" fontId="19" fillId="17" borderId="15" xfId="0" applyNumberFormat="1" applyFont="1" applyFill="1" applyBorder="1"/>
    <xf numFmtId="166" fontId="20" fillId="18" borderId="16" xfId="0" applyNumberFormat="1" applyFont="1" applyFill="1" applyBorder="1"/>
    <xf numFmtId="166" fontId="21" fillId="19" borderId="17" xfId="0" applyNumberFormat="1" applyFont="1" applyFill="1" applyBorder="1"/>
    <xf numFmtId="166" fontId="22" fillId="20" borderId="18" xfId="0" applyNumberFormat="1" applyFont="1" applyFill="1" applyBorder="1"/>
    <xf numFmtId="166" fontId="23" fillId="21" borderId="19" xfId="0" applyNumberFormat="1" applyFont="1" applyFill="1" applyBorder="1"/>
    <xf numFmtId="166" fontId="24" fillId="22" borderId="20" xfId="0" applyNumberFormat="1" applyFont="1" applyFill="1" applyBorder="1"/>
    <xf numFmtId="166" fontId="25" fillId="23" borderId="21" xfId="0" applyNumberFormat="1" applyFont="1" applyFill="1" applyBorder="1"/>
    <xf numFmtId="166" fontId="26" fillId="24" borderId="22" xfId="0" applyNumberFormat="1" applyFont="1" applyFill="1" applyBorder="1"/>
    <xf numFmtId="166" fontId="27" fillId="25" borderId="23" xfId="0" applyNumberFormat="1" applyFont="1" applyFill="1" applyBorder="1"/>
    <xf numFmtId="166" fontId="28" fillId="26" borderId="24" xfId="0" applyNumberFormat="1" applyFont="1" applyFill="1" applyBorder="1"/>
    <xf numFmtId="166" fontId="29" fillId="27" borderId="25" xfId="0" applyNumberFormat="1" applyFont="1" applyFill="1" applyBorder="1"/>
    <xf numFmtId="166" fontId="30" fillId="28" borderId="26" xfId="0" applyNumberFormat="1" applyFont="1" applyFill="1" applyBorder="1"/>
    <xf numFmtId="166" fontId="31" fillId="29" borderId="27" xfId="0" applyNumberFormat="1" applyFont="1" applyFill="1" applyBorder="1"/>
    <xf numFmtId="166" fontId="32" fillId="30" borderId="28" xfId="0" applyNumberFormat="1" applyFont="1" applyFill="1" applyBorder="1"/>
    <xf numFmtId="166" fontId="33" fillId="31" borderId="29" xfId="0" applyNumberFormat="1" applyFont="1" applyFill="1" applyBorder="1"/>
    <xf numFmtId="166" fontId="34" fillId="32" borderId="30" xfId="0" applyNumberFormat="1" applyFont="1" applyFill="1" applyBorder="1"/>
    <xf numFmtId="166" fontId="35" fillId="33" borderId="31" xfId="0" applyNumberFormat="1" applyFont="1" applyFill="1" applyBorder="1"/>
    <xf numFmtId="166" fontId="36" fillId="34" borderId="32" xfId="0" applyNumberFormat="1" applyFont="1" applyFill="1" applyBorder="1"/>
    <xf numFmtId="0" fontId="37" fillId="35" borderId="33" xfId="0" applyFont="1" applyFill="1" applyBorder="1"/>
    <xf numFmtId="0" fontId="38" fillId="36" borderId="34" xfId="0" applyFont="1" applyFill="1" applyBorder="1"/>
    <xf numFmtId="0" fontId="39" fillId="37" borderId="35" xfId="0" applyFont="1" applyFill="1" applyBorder="1"/>
    <xf numFmtId="0" fontId="40" fillId="38" borderId="36" xfId="0" applyFont="1" applyFill="1" applyBorder="1"/>
    <xf numFmtId="0" fontId="41" fillId="39" borderId="37" xfId="0" applyFont="1" applyFill="1" applyBorder="1"/>
    <xf numFmtId="0" fontId="42" fillId="40" borderId="38" xfId="0" applyFont="1" applyFill="1" applyBorder="1"/>
    <xf numFmtId="0" fontId="43" fillId="41" borderId="39" xfId="0" applyFont="1" applyFill="1" applyBorder="1"/>
    <xf numFmtId="0" fontId="44" fillId="42" borderId="40" xfId="0" applyFont="1" applyFill="1" applyBorder="1"/>
    <xf numFmtId="0" fontId="45" fillId="43" borderId="41" xfId="0" applyFont="1" applyFill="1" applyBorder="1"/>
    <xf numFmtId="0" fontId="46" fillId="44" borderId="42" xfId="0" applyFont="1" applyFill="1" applyBorder="1"/>
    <xf numFmtId="0" fontId="47" fillId="45" borderId="43" xfId="0" applyFont="1" applyFill="1" applyBorder="1"/>
    <xf numFmtId="0" fontId="48" fillId="46" borderId="44" xfId="0" applyFont="1" applyFill="1" applyBorder="1"/>
    <xf numFmtId="0" fontId="49" fillId="47" borderId="45" xfId="0" applyFont="1" applyFill="1" applyBorder="1"/>
    <xf numFmtId="0" fontId="50" fillId="48" borderId="46" xfId="0" applyFont="1" applyFill="1" applyBorder="1"/>
    <xf numFmtId="0" fontId="51" fillId="49" borderId="47" xfId="0" applyFont="1" applyFill="1" applyBorder="1"/>
    <xf numFmtId="0" fontId="52" fillId="50" borderId="48" xfId="0" applyFont="1" applyFill="1" applyBorder="1"/>
    <xf numFmtId="0" fontId="53" fillId="51" borderId="49" xfId="0" applyFont="1" applyFill="1" applyBorder="1"/>
    <xf numFmtId="0" fontId="54" fillId="52" borderId="50" xfId="0" applyFont="1" applyFill="1" applyBorder="1"/>
    <xf numFmtId="0" fontId="55" fillId="53" borderId="51" xfId="0" applyFont="1" applyFill="1" applyBorder="1"/>
    <xf numFmtId="0" fontId="56" fillId="54" borderId="52" xfId="0" applyFont="1" applyFill="1" applyBorder="1"/>
    <xf numFmtId="0" fontId="57" fillId="55" borderId="53" xfId="0" applyFont="1" applyFill="1" applyBorder="1"/>
    <xf numFmtId="0" fontId="58" fillId="56" borderId="54" xfId="0" applyFont="1" applyFill="1" applyBorder="1"/>
    <xf numFmtId="0" fontId="59" fillId="57" borderId="55" xfId="0" applyFont="1" applyFill="1" applyBorder="1"/>
    <xf numFmtId="0" fontId="60" fillId="58" borderId="56" xfId="0" applyFont="1" applyFill="1" applyBorder="1"/>
    <xf numFmtId="0" fontId="61" fillId="59" borderId="57" xfId="0" applyFont="1" applyFill="1" applyBorder="1"/>
    <xf numFmtId="0" fontId="62" fillId="60" borderId="58" xfId="0" applyFont="1" applyFill="1" applyBorder="1"/>
    <xf numFmtId="0" fontId="63" fillId="61" borderId="59" xfId="0" applyFont="1" applyFill="1" applyBorder="1"/>
    <xf numFmtId="0" fontId="64" fillId="62" borderId="60" xfId="0" applyFont="1" applyFill="1" applyBorder="1"/>
    <xf numFmtId="0" fontId="65" fillId="63" borderId="61" xfId="0" applyFont="1" applyFill="1" applyBorder="1"/>
    <xf numFmtId="0" fontId="66" fillId="64" borderId="62" xfId="0" applyFont="1" applyFill="1" applyBorder="1"/>
    <xf numFmtId="0" fontId="67" fillId="65" borderId="63" xfId="0" applyFont="1" applyFill="1" applyBorder="1"/>
    <xf numFmtId="0" fontId="68" fillId="66" borderId="64" xfId="0" applyFont="1" applyFill="1" applyBorder="1"/>
    <xf numFmtId="0" fontId="69" fillId="67" borderId="65" xfId="0" applyFont="1" applyFill="1" applyBorder="1"/>
    <xf numFmtId="0" fontId="70" fillId="68" borderId="66" xfId="0" applyFont="1" applyFill="1" applyBorder="1"/>
    <xf numFmtId="0" fontId="71" fillId="69" borderId="67" xfId="0" applyFont="1" applyFill="1" applyBorder="1"/>
    <xf numFmtId="0" fontId="72" fillId="70" borderId="68" xfId="0" applyFont="1" applyFill="1" applyBorder="1"/>
    <xf numFmtId="0" fontId="73" fillId="71" borderId="69" xfId="0" applyFont="1" applyFill="1" applyBorder="1"/>
    <xf numFmtId="0" fontId="74" fillId="72" borderId="70" xfId="0" applyFont="1" applyFill="1" applyBorder="1"/>
    <xf numFmtId="0" fontId="75" fillId="73" borderId="71" xfId="0" applyFont="1" applyFill="1" applyBorder="1"/>
    <xf numFmtId="0" fontId="76" fillId="74" borderId="72" xfId="0" applyFont="1" applyFill="1" applyBorder="1"/>
    <xf numFmtId="0" fontId="77" fillId="75" borderId="73" xfId="0" applyFont="1" applyFill="1" applyBorder="1"/>
    <xf numFmtId="0" fontId="78" fillId="76" borderId="74" xfId="0" applyFont="1" applyFill="1" applyBorder="1"/>
    <xf numFmtId="0" fontId="79" fillId="77" borderId="75" xfId="0" applyFont="1" applyFill="1" applyBorder="1"/>
    <xf numFmtId="0" fontId="80" fillId="78" borderId="76" xfId="0" applyFont="1" applyFill="1" applyBorder="1"/>
    <xf numFmtId="0" fontId="81" fillId="79" borderId="77" xfId="0" applyFont="1" applyFill="1" applyBorder="1"/>
    <xf numFmtId="0" fontId="82" fillId="80" borderId="78" xfId="0" applyFont="1" applyFill="1" applyBorder="1"/>
    <xf numFmtId="0" fontId="83" fillId="81" borderId="79" xfId="0" applyFont="1" applyFill="1" applyBorder="1"/>
    <xf numFmtId="0" fontId="84" fillId="82" borderId="80" xfId="0" applyFont="1" applyFill="1" applyBorder="1"/>
    <xf numFmtId="0" fontId="85" fillId="83" borderId="81" xfId="0" applyFont="1" applyFill="1" applyBorder="1"/>
    <xf numFmtId="0" fontId="86" fillId="84" borderId="82" xfId="0" applyFont="1" applyFill="1" applyBorder="1"/>
    <xf numFmtId="0" fontId="87" fillId="85" borderId="83" xfId="0" applyFont="1" applyFill="1" applyBorder="1"/>
    <xf numFmtId="0" fontId="88" fillId="86" borderId="84" xfId="0" applyFont="1" applyFill="1" applyBorder="1"/>
    <xf numFmtId="0" fontId="89" fillId="87" borderId="85" xfId="0" applyFont="1" applyFill="1" applyBorder="1"/>
    <xf numFmtId="0" fontId="90" fillId="88" borderId="86" xfId="0" applyFont="1" applyFill="1" applyBorder="1"/>
    <xf numFmtId="0" fontId="91" fillId="89" borderId="87" xfId="0" applyFont="1" applyFill="1" applyBorder="1"/>
    <xf numFmtId="0" fontId="92" fillId="90" borderId="88" xfId="0" applyFont="1" applyFill="1" applyBorder="1"/>
    <xf numFmtId="0" fontId="93" fillId="91" borderId="89" xfId="0" applyFont="1" applyFill="1" applyBorder="1"/>
    <xf numFmtId="0" fontId="94" fillId="92" borderId="90" xfId="0" applyFont="1" applyFill="1" applyBorder="1"/>
    <xf numFmtId="0" fontId="95" fillId="93" borderId="91" xfId="0" applyFont="1" applyFill="1" applyBorder="1"/>
    <xf numFmtId="0" fontId="96" fillId="94" borderId="92" xfId="0" applyFont="1" applyFill="1" applyBorder="1"/>
    <xf numFmtId="0" fontId="97" fillId="95" borderId="93" xfId="0" applyFont="1" applyFill="1" applyBorder="1"/>
    <xf numFmtId="0" fontId="98" fillId="96" borderId="94" xfId="0" applyFont="1" applyFill="1" applyBorder="1"/>
    <xf numFmtId="0" fontId="99" fillId="97" borderId="95" xfId="0" applyFont="1" applyFill="1" applyBorder="1"/>
    <xf numFmtId="0" fontId="100" fillId="98" borderId="96" xfId="0" applyFont="1" applyFill="1" applyBorder="1"/>
    <xf numFmtId="0" fontId="101" fillId="99" borderId="97" xfId="0" applyFont="1" applyFill="1" applyBorder="1"/>
    <xf numFmtId="0" fontId="102" fillId="100" borderId="98" xfId="0" applyFont="1" applyFill="1" applyBorder="1"/>
    <xf numFmtId="0" fontId="103" fillId="101" borderId="99" xfId="0" applyFont="1" applyFill="1" applyBorder="1"/>
    <xf numFmtId="0" fontId="104" fillId="102" borderId="100" xfId="0" applyFont="1" applyFill="1" applyBorder="1"/>
    <xf numFmtId="0" fontId="105" fillId="103" borderId="101" xfId="0" applyFont="1" applyFill="1" applyBorder="1"/>
    <xf numFmtId="0" fontId="106" fillId="104" borderId="102" xfId="0" applyFont="1" applyFill="1" applyBorder="1"/>
    <xf numFmtId="0" fontId="107" fillId="105" borderId="103" xfId="0" applyFont="1" applyFill="1" applyBorder="1"/>
    <xf numFmtId="0" fontId="108" fillId="106" borderId="104" xfId="0" applyFont="1" applyFill="1" applyBorder="1"/>
    <xf numFmtId="0" fontId="109" fillId="107" borderId="105" xfId="0" applyFont="1" applyFill="1" applyBorder="1"/>
    <xf numFmtId="0" fontId="110" fillId="108" borderId="106" xfId="0" applyFont="1" applyFill="1" applyBorder="1"/>
    <xf numFmtId="0" fontId="111" fillId="109" borderId="107" xfId="0" applyFont="1" applyFill="1" applyBorder="1"/>
    <xf numFmtId="0" fontId="112" fillId="110" borderId="108" xfId="0" applyFont="1" applyFill="1" applyBorder="1"/>
    <xf numFmtId="0" fontId="113" fillId="111" borderId="109" xfId="0" applyFont="1" applyFill="1" applyBorder="1"/>
    <xf numFmtId="0" fontId="114" fillId="112" borderId="110" xfId="0" applyFont="1" applyFill="1" applyBorder="1"/>
    <xf numFmtId="0" fontId="115" fillId="113" borderId="111" xfId="0" applyFont="1" applyFill="1" applyBorder="1"/>
    <xf numFmtId="0" fontId="116" fillId="114" borderId="112" xfId="0" applyFont="1" applyFill="1" applyBorder="1"/>
    <xf numFmtId="0" fontId="117" fillId="115" borderId="113" xfId="0" applyFont="1" applyFill="1" applyBorder="1"/>
    <xf numFmtId="0" fontId="118" fillId="116" borderId="114" xfId="0" applyFont="1" applyFill="1" applyBorder="1"/>
    <xf numFmtId="0" fontId="119" fillId="117" borderId="115" xfId="0" applyFont="1" applyFill="1" applyBorder="1"/>
    <xf numFmtId="0" fontId="120" fillId="118" borderId="116" xfId="0" applyFont="1" applyFill="1" applyBorder="1"/>
    <xf numFmtId="0" fontId="121" fillId="119" borderId="117" xfId="0" applyFont="1" applyFill="1" applyBorder="1"/>
    <xf numFmtId="0" fontId="122" fillId="120" borderId="118" xfId="0" applyFont="1" applyFill="1" applyBorder="1"/>
    <xf numFmtId="0" fontId="123" fillId="121" borderId="119" xfId="0" applyFont="1" applyFill="1" applyBorder="1"/>
    <xf numFmtId="0" fontId="124" fillId="122" borderId="120" xfId="0" applyFont="1" applyFill="1" applyBorder="1"/>
    <xf numFmtId="0" fontId="125" fillId="123" borderId="121" xfId="0" applyFont="1" applyFill="1" applyBorder="1"/>
    <xf numFmtId="0" fontId="126" fillId="124" borderId="122" xfId="0" applyFont="1" applyFill="1" applyBorder="1"/>
    <xf numFmtId="0" fontId="127" fillId="125" borderId="123" xfId="0" applyFont="1" applyFill="1" applyBorder="1"/>
    <xf numFmtId="0" fontId="128" fillId="126" borderId="124" xfId="0" applyFont="1" applyFill="1" applyBorder="1"/>
    <xf numFmtId="0" fontId="129" fillId="127" borderId="125" xfId="0" applyFont="1" applyFill="1" applyBorder="1"/>
    <xf numFmtId="0" fontId="130" fillId="128" borderId="126" xfId="0" applyFont="1" applyFill="1" applyBorder="1"/>
    <xf numFmtId="0" fontId="131" fillId="129" borderId="127" xfId="0" applyFont="1" applyFill="1" applyBorder="1"/>
    <xf numFmtId="0" fontId="132" fillId="130" borderId="128" xfId="0" applyFont="1" applyFill="1" applyBorder="1"/>
    <xf numFmtId="0" fontId="133" fillId="131" borderId="129" xfId="0" applyFont="1" applyFill="1" applyBorder="1"/>
    <xf numFmtId="0" fontId="134" fillId="132" borderId="130" xfId="0" applyFont="1" applyFill="1" applyBorder="1"/>
    <xf numFmtId="0" fontId="135" fillId="133" borderId="131" xfId="0" applyFont="1" applyFill="1" applyBorder="1"/>
    <xf numFmtId="0" fontId="136" fillId="134" borderId="132" xfId="0" applyFont="1" applyFill="1" applyBorder="1"/>
    <xf numFmtId="0" fontId="137" fillId="135" borderId="133" xfId="0" applyFont="1" applyFill="1" applyBorder="1"/>
    <xf numFmtId="0" fontId="138" fillId="136" borderId="134" xfId="0" applyFont="1" applyFill="1" applyBorder="1"/>
    <xf numFmtId="0" fontId="139" fillId="137" borderId="135" xfId="0" applyFont="1" applyFill="1" applyBorder="1"/>
    <xf numFmtId="0" fontId="140" fillId="138" borderId="136" xfId="0" applyFont="1" applyFill="1" applyBorder="1"/>
    <xf numFmtId="0" fontId="141" fillId="139" borderId="137" xfId="0" applyFont="1" applyFill="1" applyBorder="1"/>
    <xf numFmtId="0" fontId="142" fillId="140" borderId="138" xfId="0" applyFont="1" applyFill="1" applyBorder="1"/>
    <xf numFmtId="0" fontId="143" fillId="141" borderId="139" xfId="0" applyFont="1" applyFill="1" applyBorder="1"/>
    <xf numFmtId="0" fontId="144" fillId="142" borderId="140" xfId="0" applyFont="1" applyFill="1" applyBorder="1"/>
    <xf numFmtId="0" fontId="145" fillId="143" borderId="141" xfId="0" applyFont="1" applyFill="1" applyBorder="1"/>
    <xf numFmtId="0" fontId="146" fillId="144" borderId="142" xfId="0" applyFont="1" applyFill="1" applyBorder="1"/>
    <xf numFmtId="0" fontId="147" fillId="145" borderId="143" xfId="0" applyFont="1" applyFill="1" applyBorder="1"/>
    <xf numFmtId="0" fontId="148" fillId="146" borderId="144" xfId="0" applyFont="1" applyFill="1" applyBorder="1"/>
    <xf numFmtId="0" fontId="149" fillId="147" borderId="145" xfId="0" applyFont="1" applyFill="1" applyBorder="1"/>
    <xf numFmtId="0" fontId="150" fillId="148" borderId="146" xfId="0" applyFont="1" applyFill="1" applyBorder="1"/>
    <xf numFmtId="0" fontId="151" fillId="149" borderId="147" xfId="0" applyFont="1" applyFill="1" applyBorder="1"/>
    <xf numFmtId="0" fontId="152" fillId="150" borderId="148" xfId="0" applyFont="1" applyFill="1" applyBorder="1"/>
    <xf numFmtId="0" fontId="153" fillId="151" borderId="149" xfId="0" applyFont="1" applyFill="1" applyBorder="1"/>
    <xf numFmtId="0" fontId="154" fillId="152" borderId="150" xfId="0" applyFont="1" applyFill="1" applyBorder="1"/>
    <xf numFmtId="0" fontId="155" fillId="153" borderId="151" xfId="0" applyFont="1" applyFill="1" applyBorder="1"/>
    <xf numFmtId="0" fontId="156" fillId="154" borderId="152" xfId="0" applyFont="1" applyFill="1" applyBorder="1"/>
    <xf numFmtId="0" fontId="157" fillId="155" borderId="153" xfId="0" applyFont="1" applyFill="1" applyBorder="1"/>
    <xf numFmtId="0" fontId="158" fillId="156" borderId="154" xfId="0" applyFont="1" applyFill="1" applyBorder="1"/>
    <xf numFmtId="0" fontId="159" fillId="157" borderId="155" xfId="0" applyFont="1" applyFill="1" applyBorder="1"/>
    <xf numFmtId="0" fontId="160" fillId="158" borderId="156" xfId="0" applyFont="1" applyFill="1" applyBorder="1"/>
    <xf numFmtId="0" fontId="161" fillId="159" borderId="157" xfId="0" applyFont="1" applyFill="1" applyBorder="1"/>
    <xf numFmtId="0" fontId="162" fillId="160" borderId="158" xfId="0" applyFont="1" applyFill="1" applyBorder="1"/>
    <xf numFmtId="0" fontId="163" fillId="161" borderId="159" xfId="0" applyFont="1" applyFill="1" applyBorder="1"/>
    <xf numFmtId="0" fontId="164" fillId="162" borderId="160" xfId="0" applyFont="1" applyFill="1" applyBorder="1"/>
    <xf numFmtId="0" fontId="165" fillId="163" borderId="161" xfId="0" applyFont="1" applyFill="1" applyBorder="1"/>
    <xf numFmtId="0" fontId="166" fillId="164" borderId="162" xfId="0" applyFont="1" applyFill="1" applyBorder="1"/>
    <xf numFmtId="0" fontId="167" fillId="165" borderId="163" xfId="0" applyFont="1" applyFill="1" applyBorder="1"/>
    <xf numFmtId="0" fontId="168" fillId="166" borderId="164" xfId="0" applyFont="1" applyFill="1" applyBorder="1"/>
    <xf numFmtId="0" fontId="169" fillId="167" borderId="165" xfId="0" applyFont="1" applyFill="1" applyBorder="1"/>
    <xf numFmtId="0" fontId="170" fillId="168" borderId="166" xfId="0" applyFont="1" applyFill="1" applyBorder="1"/>
    <xf numFmtId="0" fontId="171" fillId="169" borderId="167" xfId="0" applyFont="1" applyFill="1" applyBorder="1"/>
    <xf numFmtId="0" fontId="172" fillId="170" borderId="168" xfId="0" applyFont="1" applyFill="1" applyBorder="1"/>
    <xf numFmtId="0" fontId="173" fillId="171" borderId="169" xfId="0" applyFont="1" applyFill="1" applyBorder="1"/>
    <xf numFmtId="0" fontId="174" fillId="172" borderId="170" xfId="0" applyFont="1" applyFill="1" applyBorder="1"/>
    <xf numFmtId="0" fontId="175" fillId="173" borderId="171" xfId="0" applyFont="1" applyFill="1" applyBorder="1"/>
    <xf numFmtId="0" fontId="176" fillId="174" borderId="172" xfId="0" applyFont="1" applyFill="1" applyBorder="1"/>
    <xf numFmtId="0" fontId="177" fillId="175" borderId="173" xfId="0" applyFont="1" applyFill="1" applyBorder="1"/>
    <xf numFmtId="0" fontId="178" fillId="176" borderId="174" xfId="0" applyFont="1" applyFill="1" applyBorder="1"/>
    <xf numFmtId="0" fontId="179" fillId="177" borderId="175" xfId="0" applyFont="1" applyFill="1" applyBorder="1"/>
    <xf numFmtId="0" fontId="180" fillId="178" borderId="176" xfId="0" applyFont="1" applyFill="1" applyBorder="1"/>
    <xf numFmtId="0" fontId="181" fillId="179" borderId="177" xfId="0" applyFont="1" applyFill="1" applyBorder="1"/>
    <xf numFmtId="0" fontId="182" fillId="180" borderId="178" xfId="0" applyFont="1" applyFill="1" applyBorder="1"/>
    <xf numFmtId="0" fontId="183" fillId="181" borderId="179" xfId="0" applyFont="1" applyFill="1" applyBorder="1"/>
    <xf numFmtId="0" fontId="184" fillId="182" borderId="180" xfId="0" applyFont="1" applyFill="1" applyBorder="1"/>
    <xf numFmtId="0" fontId="185" fillId="183" borderId="181" xfId="0" applyFont="1" applyFill="1" applyBorder="1"/>
    <xf numFmtId="0" fontId="186" fillId="184" borderId="182" xfId="0" applyFont="1" applyFill="1" applyBorder="1"/>
    <xf numFmtId="0" fontId="187" fillId="185" borderId="183" xfId="0" applyFont="1" applyFill="1" applyBorder="1"/>
    <xf numFmtId="0" fontId="188" fillId="186" borderId="184" xfId="0" applyFont="1" applyFill="1" applyBorder="1"/>
    <xf numFmtId="0" fontId="189" fillId="187" borderId="185" xfId="0" applyFont="1" applyFill="1" applyBorder="1"/>
    <xf numFmtId="0" fontId="190" fillId="188" borderId="186" xfId="0" applyFont="1" applyFill="1" applyBorder="1"/>
    <xf numFmtId="0" fontId="191" fillId="189" borderId="187" xfId="0" applyFont="1" applyFill="1" applyBorder="1"/>
    <xf numFmtId="0" fontId="192" fillId="190" borderId="188" xfId="0" applyFont="1" applyFill="1" applyBorder="1"/>
    <xf numFmtId="0" fontId="193" fillId="191" borderId="189" xfId="0" applyFont="1" applyFill="1" applyBorder="1"/>
    <xf numFmtId="0" fontId="194" fillId="192" borderId="190" xfId="0" applyFont="1" applyFill="1" applyBorder="1"/>
    <xf numFmtId="0" fontId="195" fillId="193" borderId="191" xfId="0" applyFont="1" applyFill="1" applyBorder="1"/>
    <xf numFmtId="0" fontId="196" fillId="194" borderId="192" xfId="0" applyFont="1" applyFill="1" applyBorder="1"/>
    <xf numFmtId="0" fontId="197" fillId="195" borderId="193" xfId="0" applyFont="1" applyFill="1" applyBorder="1"/>
    <xf numFmtId="0" fontId="198" fillId="196" borderId="194" xfId="0" applyFont="1" applyFill="1" applyBorder="1"/>
    <xf numFmtId="0" fontId="199" fillId="197" borderId="195" xfId="0" applyFont="1" applyFill="1" applyBorder="1"/>
    <xf numFmtId="0" fontId="200" fillId="198" borderId="196" xfId="0" applyFont="1" applyFill="1" applyBorder="1"/>
    <xf numFmtId="0" fontId="201" fillId="199" borderId="197" xfId="0" applyFont="1" applyFill="1" applyBorder="1"/>
    <xf numFmtId="0" fontId="202" fillId="200" borderId="198" xfId="0" applyFont="1" applyFill="1" applyBorder="1"/>
    <xf numFmtId="0" fontId="203" fillId="201" borderId="199" xfId="0" applyFont="1" applyFill="1" applyBorder="1"/>
    <xf numFmtId="0" fontId="204" fillId="202" borderId="200" xfId="0" applyFont="1" applyFill="1" applyBorder="1"/>
    <xf numFmtId="0" fontId="207" fillId="205" borderId="203" xfId="0" applyFont="1" applyFill="1" applyBorder="1" applyAlignment="1">
      <alignment horizontal="right"/>
    </xf>
    <xf numFmtId="0" fontId="208" fillId="206" borderId="204" xfId="0" applyFont="1" applyFill="1" applyBorder="1" applyAlignment="1">
      <alignment horizontal="right"/>
    </xf>
    <xf numFmtId="0" fontId="209" fillId="207" borderId="205" xfId="0" applyFont="1" applyFill="1" applyBorder="1" applyAlignment="1">
      <alignment horizontal="right"/>
    </xf>
    <xf numFmtId="0" fontId="210" fillId="208" borderId="206" xfId="0" applyFont="1" applyFill="1" applyBorder="1" applyAlignment="1">
      <alignment horizontal="right"/>
    </xf>
    <xf numFmtId="0" fontId="211" fillId="209" borderId="207" xfId="0" applyFont="1" applyFill="1" applyBorder="1" applyAlignment="1">
      <alignment horizontal="right"/>
    </xf>
    <xf numFmtId="0" fontId="212" fillId="210" borderId="208" xfId="0" applyFont="1" applyFill="1" applyBorder="1"/>
    <xf numFmtId="166" fontId="213" fillId="211" borderId="209" xfId="0" applyNumberFormat="1" applyFont="1" applyFill="1" applyBorder="1"/>
    <xf numFmtId="166" fontId="214" fillId="212" borderId="210" xfId="0" applyNumberFormat="1" applyFont="1" applyFill="1" applyBorder="1"/>
    <xf numFmtId="164" fontId="215" fillId="213" borderId="211" xfId="0" applyNumberFormat="1" applyFont="1" applyFill="1" applyBorder="1"/>
    <xf numFmtId="0" fontId="216" fillId="214" borderId="212" xfId="0" applyFont="1" applyFill="1" applyBorder="1"/>
    <xf numFmtId="0" fontId="220" fillId="218" borderId="216" xfId="0" applyFont="1" applyFill="1" applyBorder="1" applyAlignment="1">
      <alignment horizontal="center" vertical="center"/>
    </xf>
    <xf numFmtId="0" fontId="221" fillId="219" borderId="217" xfId="0" applyFont="1" applyFill="1" applyBorder="1" applyAlignment="1">
      <alignment horizontal="center" vertical="center"/>
    </xf>
    <xf numFmtId="0" fontId="222" fillId="220" borderId="218" xfId="0" applyFont="1" applyFill="1" applyBorder="1" applyAlignment="1">
      <alignment horizontal="center" vertical="center"/>
    </xf>
    <xf numFmtId="0" fontId="223" fillId="221" borderId="219" xfId="0" applyFont="1" applyFill="1" applyBorder="1" applyAlignment="1">
      <alignment horizontal="center" vertical="center"/>
    </xf>
    <xf numFmtId="0" fontId="224" fillId="222" borderId="220" xfId="0" applyFont="1" applyFill="1" applyBorder="1" applyAlignment="1">
      <alignment horizontal="center" vertical="center"/>
    </xf>
    <xf numFmtId="0" fontId="225" fillId="223" borderId="221" xfId="0" applyFont="1" applyFill="1" applyBorder="1" applyAlignment="1">
      <alignment horizontal="center" vertical="center"/>
    </xf>
    <xf numFmtId="0" fontId="226" fillId="224" borderId="222" xfId="0" applyFont="1" applyFill="1" applyBorder="1" applyAlignment="1">
      <alignment horizontal="center" vertical="center"/>
    </xf>
    <xf numFmtId="0" fontId="227" fillId="225" borderId="223" xfId="0" applyFont="1" applyFill="1" applyBorder="1" applyAlignment="1">
      <alignment horizontal="center" vertical="center"/>
    </xf>
    <xf numFmtId="0" fontId="228" fillId="226" borderId="224" xfId="0" applyFont="1" applyFill="1" applyBorder="1" applyAlignment="1">
      <alignment horizontal="center"/>
    </xf>
    <xf numFmtId="166" fontId="229" fillId="227" borderId="225" xfId="0" applyNumberFormat="1" applyFont="1" applyFill="1" applyBorder="1" applyAlignment="1">
      <alignment horizontal="center"/>
    </xf>
    <xf numFmtId="3" fontId="230" fillId="228" borderId="226" xfId="0" applyNumberFormat="1" applyFont="1" applyFill="1" applyBorder="1"/>
    <xf numFmtId="3" fontId="231" fillId="229" borderId="227" xfId="0" applyNumberFormat="1" applyFont="1" applyFill="1" applyBorder="1"/>
    <xf numFmtId="3" fontId="232" fillId="230" borderId="228" xfId="0" applyNumberFormat="1" applyFont="1" applyFill="1" applyBorder="1"/>
    <xf numFmtId="164" fontId="233" fillId="231" borderId="229" xfId="0" applyNumberFormat="1" applyFont="1" applyFill="1" applyBorder="1"/>
    <xf numFmtId="164" fontId="234" fillId="232" borderId="230" xfId="0" applyNumberFormat="1" applyFont="1" applyFill="1" applyBorder="1"/>
    <xf numFmtId="164" fontId="235" fillId="233" borderId="231" xfId="0" applyNumberFormat="1" applyFont="1" applyFill="1" applyBorder="1"/>
    <xf numFmtId="0" fontId="236" fillId="234" borderId="232" xfId="0" applyFont="1" applyFill="1" applyBorder="1" applyAlignment="1">
      <alignment horizontal="center"/>
    </xf>
    <xf numFmtId="166" fontId="237" fillId="235" borderId="233" xfId="0" applyNumberFormat="1" applyFont="1" applyFill="1" applyBorder="1" applyAlignment="1">
      <alignment horizontal="center"/>
    </xf>
    <xf numFmtId="3" fontId="238" fillId="236" borderId="234" xfId="0" applyNumberFormat="1" applyFont="1" applyFill="1" applyBorder="1"/>
    <xf numFmtId="3" fontId="239" fillId="237" borderId="235" xfId="0" applyNumberFormat="1" applyFont="1" applyFill="1" applyBorder="1"/>
    <xf numFmtId="3" fontId="240" fillId="238" borderId="236" xfId="0" applyNumberFormat="1" applyFont="1" applyFill="1" applyBorder="1"/>
    <xf numFmtId="164" fontId="241" fillId="239" borderId="237" xfId="0" applyNumberFormat="1" applyFont="1" applyFill="1" applyBorder="1"/>
    <xf numFmtId="164" fontId="242" fillId="240" borderId="238" xfId="0" applyNumberFormat="1" applyFont="1" applyFill="1" applyBorder="1"/>
    <xf numFmtId="164" fontId="243" fillId="241" borderId="239" xfId="0" applyNumberFormat="1" applyFont="1" applyFill="1" applyBorder="1"/>
    <xf numFmtId="0" fontId="244" fillId="242" borderId="240" xfId="0" applyFont="1" applyFill="1" applyBorder="1" applyAlignment="1">
      <alignment horizontal="center"/>
    </xf>
    <xf numFmtId="166" fontId="245" fillId="243" borderId="241" xfId="0" applyNumberFormat="1" applyFont="1" applyFill="1" applyBorder="1" applyAlignment="1">
      <alignment horizontal="center"/>
    </xf>
    <xf numFmtId="3" fontId="246" fillId="244" borderId="242" xfId="0" applyNumberFormat="1" applyFont="1" applyFill="1" applyBorder="1"/>
    <xf numFmtId="3" fontId="247" fillId="245" borderId="243" xfId="0" applyNumberFormat="1" applyFont="1" applyFill="1" applyBorder="1"/>
    <xf numFmtId="3" fontId="248" fillId="246" borderId="244" xfId="0" applyNumberFormat="1" applyFont="1" applyFill="1" applyBorder="1"/>
    <xf numFmtId="164" fontId="249" fillId="247" borderId="245" xfId="0" applyNumberFormat="1" applyFont="1" applyFill="1" applyBorder="1"/>
    <xf numFmtId="164" fontId="250" fillId="248" borderId="246" xfId="0" applyNumberFormat="1" applyFont="1" applyFill="1" applyBorder="1"/>
    <xf numFmtId="164" fontId="251" fillId="249" borderId="247" xfId="0" applyNumberFormat="1" applyFont="1" applyFill="1" applyBorder="1"/>
    <xf numFmtId="0" fontId="252" fillId="250" borderId="248" xfId="0" applyFont="1" applyFill="1" applyBorder="1" applyAlignment="1">
      <alignment horizontal="center"/>
    </xf>
    <xf numFmtId="166" fontId="253" fillId="251" borderId="249" xfId="0" applyNumberFormat="1" applyFont="1" applyFill="1" applyBorder="1" applyAlignment="1">
      <alignment horizontal="center"/>
    </xf>
    <xf numFmtId="3" fontId="254" fillId="252" borderId="250" xfId="0" applyNumberFormat="1" applyFont="1" applyFill="1" applyBorder="1"/>
    <xf numFmtId="3" fontId="255" fillId="253" borderId="251" xfId="0" applyNumberFormat="1" applyFont="1" applyFill="1" applyBorder="1"/>
    <xf numFmtId="3" fontId="256" fillId="254" borderId="252" xfId="0" applyNumberFormat="1" applyFont="1" applyFill="1" applyBorder="1"/>
    <xf numFmtId="164" fontId="257" fillId="255" borderId="253" xfId="0" applyNumberFormat="1" applyFont="1" applyFill="1" applyBorder="1"/>
    <xf numFmtId="164" fontId="258" fillId="256" borderId="254" xfId="0" applyNumberFormat="1" applyFont="1" applyFill="1" applyBorder="1"/>
    <xf numFmtId="164" fontId="259" fillId="257" borderId="255" xfId="0" applyNumberFormat="1" applyFont="1" applyFill="1" applyBorder="1"/>
    <xf numFmtId="0" fontId="260" fillId="258" borderId="256" xfId="0" applyFont="1" applyFill="1" applyBorder="1" applyAlignment="1">
      <alignment horizontal="center"/>
    </xf>
    <xf numFmtId="166" fontId="261" fillId="259" borderId="257" xfId="0" applyNumberFormat="1" applyFont="1" applyFill="1" applyBorder="1" applyAlignment="1">
      <alignment horizontal="center"/>
    </xf>
    <xf numFmtId="3" fontId="262" fillId="260" borderId="258" xfId="0" applyNumberFormat="1" applyFont="1" applyFill="1" applyBorder="1"/>
    <xf numFmtId="3" fontId="263" fillId="261" borderId="259" xfId="0" applyNumberFormat="1" applyFont="1" applyFill="1" applyBorder="1"/>
    <xf numFmtId="3" fontId="264" fillId="262" borderId="260" xfId="0" applyNumberFormat="1" applyFont="1" applyFill="1" applyBorder="1"/>
    <xf numFmtId="164" fontId="265" fillId="263" borderId="261" xfId="0" applyNumberFormat="1" applyFont="1" applyFill="1" applyBorder="1"/>
    <xf numFmtId="164" fontId="266" fillId="264" borderId="262" xfId="0" applyNumberFormat="1" applyFont="1" applyFill="1" applyBorder="1"/>
    <xf numFmtId="164" fontId="267" fillId="265" borderId="263" xfId="0" applyNumberFormat="1" applyFont="1" applyFill="1" applyBorder="1"/>
    <xf numFmtId="0" fontId="268" fillId="266" borderId="264" xfId="0" applyFont="1" applyFill="1" applyBorder="1" applyAlignment="1">
      <alignment horizontal="center"/>
    </xf>
    <xf numFmtId="166" fontId="269" fillId="267" borderId="265" xfId="0" applyNumberFormat="1" applyFont="1" applyFill="1" applyBorder="1" applyAlignment="1">
      <alignment horizontal="center"/>
    </xf>
    <xf numFmtId="3" fontId="270" fillId="268" borderId="266" xfId="0" applyNumberFormat="1" applyFont="1" applyFill="1" applyBorder="1"/>
    <xf numFmtId="3" fontId="271" fillId="269" borderId="267" xfId="0" applyNumberFormat="1" applyFont="1" applyFill="1" applyBorder="1"/>
    <xf numFmtId="3" fontId="272" fillId="270" borderId="268" xfId="0" applyNumberFormat="1" applyFont="1" applyFill="1" applyBorder="1"/>
    <xf numFmtId="164" fontId="273" fillId="271" borderId="269" xfId="0" applyNumberFormat="1" applyFont="1" applyFill="1" applyBorder="1"/>
    <xf numFmtId="164" fontId="274" fillId="272" borderId="270" xfId="0" applyNumberFormat="1" applyFont="1" applyFill="1" applyBorder="1"/>
    <xf numFmtId="164" fontId="275" fillId="273" borderId="271" xfId="0" applyNumberFormat="1" applyFont="1" applyFill="1" applyBorder="1"/>
    <xf numFmtId="0" fontId="276" fillId="274" borderId="272" xfId="0" applyFont="1" applyFill="1" applyBorder="1" applyAlignment="1">
      <alignment horizontal="center"/>
    </xf>
    <xf numFmtId="0" fontId="277" fillId="275" borderId="273" xfId="0" applyFont="1" applyFill="1" applyBorder="1"/>
    <xf numFmtId="3" fontId="278" fillId="276" borderId="274" xfId="0" applyNumberFormat="1" applyFont="1" applyFill="1" applyBorder="1"/>
    <xf numFmtId="3" fontId="279" fillId="277" borderId="275" xfId="0" applyNumberFormat="1" applyFont="1" applyFill="1" applyBorder="1"/>
    <xf numFmtId="3" fontId="280" fillId="278" borderId="276" xfId="0" applyNumberFormat="1" applyFont="1" applyFill="1" applyBorder="1"/>
    <xf numFmtId="164" fontId="281" fillId="279" borderId="277" xfId="0" applyNumberFormat="1" applyFont="1" applyFill="1" applyBorder="1"/>
    <xf numFmtId="164" fontId="282" fillId="280" borderId="278" xfId="0" applyNumberFormat="1" applyFont="1" applyFill="1" applyBorder="1"/>
    <xf numFmtId="164" fontId="283" fillId="281" borderId="279" xfId="0" applyNumberFormat="1" applyFont="1" applyFill="1" applyBorder="1"/>
    <xf numFmtId="0" fontId="285" fillId="283" borderId="281" xfId="0" applyFont="1" applyFill="1" applyBorder="1" applyAlignment="1">
      <alignment horizontal="center" vertical="center"/>
    </xf>
    <xf numFmtId="0" fontId="286" fillId="284" borderId="282" xfId="0" applyFont="1" applyFill="1" applyBorder="1" applyAlignment="1">
      <alignment horizontal="center" vertical="center"/>
    </xf>
    <xf numFmtId="0" fontId="287" fillId="285" borderId="283" xfId="0" applyFont="1" applyFill="1" applyBorder="1" applyAlignment="1">
      <alignment horizontal="center" vertical="center"/>
    </xf>
    <xf numFmtId="0" fontId="288" fillId="286" borderId="284" xfId="0" applyFont="1" applyFill="1" applyBorder="1" applyAlignment="1">
      <alignment horizontal="center" vertical="center"/>
    </xf>
    <xf numFmtId="0" fontId="289" fillId="287" borderId="285" xfId="0" applyFont="1" applyFill="1" applyBorder="1" applyAlignment="1">
      <alignment horizontal="center" vertical="center"/>
    </xf>
    <xf numFmtId="0" fontId="290" fillId="288" borderId="286" xfId="0" applyFont="1" applyFill="1" applyBorder="1" applyAlignment="1">
      <alignment horizontal="center" vertical="center"/>
    </xf>
    <xf numFmtId="0" fontId="291" fillId="289" borderId="287" xfId="0" applyFont="1" applyFill="1" applyBorder="1" applyAlignment="1">
      <alignment horizontal="center" vertical="center"/>
    </xf>
    <xf numFmtId="0" fontId="292" fillId="290" borderId="288" xfId="0" applyFont="1" applyFill="1" applyBorder="1" applyAlignment="1">
      <alignment horizontal="center" vertical="center"/>
    </xf>
    <xf numFmtId="0" fontId="293" fillId="291" borderId="289" xfId="0" applyFont="1" applyFill="1" applyBorder="1" applyAlignment="1">
      <alignment horizontal="center" vertical="center"/>
    </xf>
    <xf numFmtId="0" fontId="294" fillId="292" borderId="290" xfId="0" applyFont="1" applyFill="1" applyBorder="1" applyAlignment="1">
      <alignment horizontal="center" vertical="center"/>
    </xf>
    <xf numFmtId="0" fontId="295" fillId="293" borderId="291" xfId="0" applyFont="1" applyFill="1" applyBorder="1" applyAlignment="1">
      <alignment horizontal="center"/>
    </xf>
    <xf numFmtId="166" fontId="296" fillId="294" borderId="292" xfId="0" applyNumberFormat="1" applyFont="1" applyFill="1" applyBorder="1" applyAlignment="1">
      <alignment horizontal="center"/>
    </xf>
    <xf numFmtId="3" fontId="297" fillId="295" borderId="293" xfId="0" applyNumberFormat="1" applyFont="1" applyFill="1" applyBorder="1"/>
    <xf numFmtId="3" fontId="298" fillId="296" borderId="294" xfId="0" applyNumberFormat="1" applyFont="1" applyFill="1" applyBorder="1"/>
    <xf numFmtId="3" fontId="299" fillId="297" borderId="295" xfId="0" applyNumberFormat="1" applyFont="1" applyFill="1" applyBorder="1"/>
    <xf numFmtId="3" fontId="300" fillId="298" borderId="296" xfId="0" applyNumberFormat="1" applyFont="1" applyFill="1" applyBorder="1"/>
    <xf numFmtId="3" fontId="301" fillId="299" borderId="297" xfId="0" applyNumberFormat="1" applyFont="1" applyFill="1" applyBorder="1"/>
    <xf numFmtId="3" fontId="302" fillId="300" borderId="298" xfId="0" applyNumberFormat="1" applyFont="1" applyFill="1" applyBorder="1"/>
    <xf numFmtId="3" fontId="303" fillId="301" borderId="299" xfId="0" applyNumberFormat="1" applyFont="1" applyFill="1" applyBorder="1"/>
    <xf numFmtId="0" fontId="304" fillId="302" borderId="300" xfId="0" applyFont="1" applyFill="1" applyBorder="1"/>
    <xf numFmtId="0" fontId="305" fillId="303" borderId="301" xfId="0" applyFont="1" applyFill="1" applyBorder="1" applyAlignment="1">
      <alignment horizontal="center"/>
    </xf>
    <xf numFmtId="166" fontId="306" fillId="304" borderId="302" xfId="0" applyNumberFormat="1" applyFont="1" applyFill="1" applyBorder="1" applyAlignment="1">
      <alignment horizontal="center"/>
    </xf>
    <xf numFmtId="3" fontId="307" fillId="305" borderId="303" xfId="0" applyNumberFormat="1" applyFont="1" applyFill="1" applyBorder="1"/>
    <xf numFmtId="3" fontId="308" fillId="306" borderId="304" xfId="0" applyNumberFormat="1" applyFont="1" applyFill="1" applyBorder="1"/>
    <xf numFmtId="3" fontId="309" fillId="307" borderId="305" xfId="0" applyNumberFormat="1" applyFont="1" applyFill="1" applyBorder="1"/>
    <xf numFmtId="3" fontId="310" fillId="308" borderId="306" xfId="0" applyNumberFormat="1" applyFont="1" applyFill="1" applyBorder="1"/>
    <xf numFmtId="3" fontId="311" fillId="309" borderId="307" xfId="0" applyNumberFormat="1" applyFont="1" applyFill="1" applyBorder="1"/>
    <xf numFmtId="3" fontId="312" fillId="310" borderId="308" xfId="0" applyNumberFormat="1" applyFont="1" applyFill="1" applyBorder="1"/>
    <xf numFmtId="3" fontId="313" fillId="311" borderId="309" xfId="0" applyNumberFormat="1" applyFont="1" applyFill="1" applyBorder="1"/>
    <xf numFmtId="0" fontId="314" fillId="312" borderId="310" xfId="0" applyFont="1" applyFill="1" applyBorder="1"/>
    <xf numFmtId="0" fontId="315" fillId="313" borderId="311" xfId="0" applyFont="1" applyFill="1" applyBorder="1" applyAlignment="1">
      <alignment horizontal="center"/>
    </xf>
    <xf numFmtId="166" fontId="316" fillId="314" borderId="312" xfId="0" applyNumberFormat="1" applyFont="1" applyFill="1" applyBorder="1" applyAlignment="1">
      <alignment horizontal="center"/>
    </xf>
    <xf numFmtId="3" fontId="317" fillId="315" borderId="313" xfId="0" applyNumberFormat="1" applyFont="1" applyFill="1" applyBorder="1"/>
    <xf numFmtId="3" fontId="318" fillId="316" borderId="314" xfId="0" applyNumberFormat="1" applyFont="1" applyFill="1" applyBorder="1"/>
    <xf numFmtId="3" fontId="319" fillId="317" borderId="315" xfId="0" applyNumberFormat="1" applyFont="1" applyFill="1" applyBorder="1"/>
    <xf numFmtId="3" fontId="320" fillId="318" borderId="316" xfId="0" applyNumberFormat="1" applyFont="1" applyFill="1" applyBorder="1"/>
    <xf numFmtId="3" fontId="321" fillId="319" borderId="317" xfId="0" applyNumberFormat="1" applyFont="1" applyFill="1" applyBorder="1"/>
    <xf numFmtId="3" fontId="322" fillId="320" borderId="318" xfId="0" applyNumberFormat="1" applyFont="1" applyFill="1" applyBorder="1"/>
    <xf numFmtId="3" fontId="323" fillId="321" borderId="319" xfId="0" applyNumberFormat="1" applyFont="1" applyFill="1" applyBorder="1"/>
    <xf numFmtId="0" fontId="324" fillId="322" borderId="320" xfId="0" applyFont="1" applyFill="1" applyBorder="1"/>
    <xf numFmtId="0" fontId="325" fillId="323" borderId="321" xfId="0" applyFont="1" applyFill="1" applyBorder="1" applyAlignment="1">
      <alignment horizontal="center"/>
    </xf>
    <xf numFmtId="166" fontId="326" fillId="324" borderId="322" xfId="0" applyNumberFormat="1" applyFont="1" applyFill="1" applyBorder="1" applyAlignment="1">
      <alignment horizontal="center"/>
    </xf>
    <xf numFmtId="3" fontId="327" fillId="325" borderId="323" xfId="0" applyNumberFormat="1" applyFont="1" applyFill="1" applyBorder="1"/>
    <xf numFmtId="3" fontId="328" fillId="326" borderId="324" xfId="0" applyNumberFormat="1" applyFont="1" applyFill="1" applyBorder="1"/>
    <xf numFmtId="3" fontId="329" fillId="327" borderId="325" xfId="0" applyNumberFormat="1" applyFont="1" applyFill="1" applyBorder="1"/>
    <xf numFmtId="3" fontId="330" fillId="328" borderId="326" xfId="0" applyNumberFormat="1" applyFont="1" applyFill="1" applyBorder="1"/>
    <xf numFmtId="3" fontId="331" fillId="329" borderId="327" xfId="0" applyNumberFormat="1" applyFont="1" applyFill="1" applyBorder="1"/>
    <xf numFmtId="3" fontId="332" fillId="330" borderId="328" xfId="0" applyNumberFormat="1" applyFont="1" applyFill="1" applyBorder="1"/>
    <xf numFmtId="3" fontId="333" fillId="331" borderId="329" xfId="0" applyNumberFormat="1" applyFont="1" applyFill="1" applyBorder="1"/>
    <xf numFmtId="0" fontId="334" fillId="332" borderId="330" xfId="0" applyFont="1" applyFill="1" applyBorder="1"/>
    <xf numFmtId="0" fontId="335" fillId="333" borderId="331" xfId="0" applyFont="1" applyFill="1" applyBorder="1" applyAlignment="1">
      <alignment horizontal="center"/>
    </xf>
    <xf numFmtId="166" fontId="336" fillId="334" borderId="332" xfId="0" applyNumberFormat="1" applyFont="1" applyFill="1" applyBorder="1" applyAlignment="1">
      <alignment horizontal="center"/>
    </xf>
    <xf numFmtId="3" fontId="337" fillId="335" borderId="333" xfId="0" applyNumberFormat="1" applyFont="1" applyFill="1" applyBorder="1"/>
    <xf numFmtId="3" fontId="338" fillId="336" borderId="334" xfId="0" applyNumberFormat="1" applyFont="1" applyFill="1" applyBorder="1"/>
    <xf numFmtId="3" fontId="339" fillId="337" borderId="335" xfId="0" applyNumberFormat="1" applyFont="1" applyFill="1" applyBorder="1"/>
    <xf numFmtId="3" fontId="340" fillId="338" borderId="336" xfId="0" applyNumberFormat="1" applyFont="1" applyFill="1" applyBorder="1"/>
    <xf numFmtId="3" fontId="341" fillId="339" borderId="337" xfId="0" applyNumberFormat="1" applyFont="1" applyFill="1" applyBorder="1"/>
    <xf numFmtId="3" fontId="342" fillId="340" borderId="338" xfId="0" applyNumberFormat="1" applyFont="1" applyFill="1" applyBorder="1"/>
    <xf numFmtId="3" fontId="343" fillId="341" borderId="339" xfId="0" applyNumberFormat="1" applyFont="1" applyFill="1" applyBorder="1"/>
    <xf numFmtId="0" fontId="344" fillId="342" borderId="340" xfId="0" applyFont="1" applyFill="1" applyBorder="1"/>
    <xf numFmtId="0" fontId="345" fillId="343" borderId="341" xfId="0" applyFont="1" applyFill="1" applyBorder="1" applyAlignment="1">
      <alignment horizontal="center"/>
    </xf>
    <xf numFmtId="166" fontId="346" fillId="344" borderId="342" xfId="0" applyNumberFormat="1" applyFont="1" applyFill="1" applyBorder="1" applyAlignment="1">
      <alignment horizontal="center"/>
    </xf>
    <xf numFmtId="3" fontId="347" fillId="345" borderId="343" xfId="0" applyNumberFormat="1" applyFont="1" applyFill="1" applyBorder="1"/>
    <xf numFmtId="3" fontId="348" fillId="346" borderId="344" xfId="0" applyNumberFormat="1" applyFont="1" applyFill="1" applyBorder="1"/>
    <xf numFmtId="3" fontId="349" fillId="347" borderId="345" xfId="0" applyNumberFormat="1" applyFont="1" applyFill="1" applyBorder="1"/>
    <xf numFmtId="3" fontId="350" fillId="348" borderId="346" xfId="0" applyNumberFormat="1" applyFont="1" applyFill="1" applyBorder="1"/>
    <xf numFmtId="3" fontId="351" fillId="349" borderId="347" xfId="0" applyNumberFormat="1" applyFont="1" applyFill="1" applyBorder="1"/>
    <xf numFmtId="3" fontId="352" fillId="350" borderId="348" xfId="0" applyNumberFormat="1" applyFont="1" applyFill="1" applyBorder="1"/>
    <xf numFmtId="3" fontId="353" fillId="351" borderId="349" xfId="0" applyNumberFormat="1" applyFont="1" applyFill="1" applyBorder="1"/>
    <xf numFmtId="0" fontId="354" fillId="352" borderId="350" xfId="0" applyFont="1" applyFill="1" applyBorder="1"/>
    <xf numFmtId="0" fontId="355" fillId="353" borderId="351" xfId="0" applyFont="1" applyFill="1" applyBorder="1" applyAlignment="1">
      <alignment horizontal="center"/>
    </xf>
    <xf numFmtId="0" fontId="356" fillId="354" borderId="352" xfId="0" applyFont="1" applyFill="1" applyBorder="1"/>
    <xf numFmtId="3" fontId="357" fillId="355" borderId="353" xfId="0" applyNumberFormat="1" applyFont="1" applyFill="1" applyBorder="1"/>
    <xf numFmtId="3" fontId="358" fillId="356" borderId="354" xfId="0" applyNumberFormat="1" applyFont="1" applyFill="1" applyBorder="1"/>
    <xf numFmtId="3" fontId="359" fillId="357" borderId="355" xfId="0" applyNumberFormat="1" applyFont="1" applyFill="1" applyBorder="1"/>
    <xf numFmtId="3" fontId="360" fillId="358" borderId="356" xfId="0" applyNumberFormat="1" applyFont="1" applyFill="1" applyBorder="1"/>
    <xf numFmtId="3" fontId="361" fillId="359" borderId="357" xfId="0" applyNumberFormat="1" applyFont="1" applyFill="1" applyBorder="1"/>
    <xf numFmtId="3" fontId="362" fillId="360" borderId="358" xfId="0" applyNumberFormat="1" applyFont="1" applyFill="1" applyBorder="1"/>
    <xf numFmtId="3" fontId="363" fillId="361" borderId="359" xfId="0" applyNumberFormat="1" applyFont="1" applyFill="1" applyBorder="1"/>
    <xf numFmtId="0" fontId="364" fillId="362" borderId="360" xfId="0" applyFont="1" applyFill="1" applyBorder="1"/>
    <xf numFmtId="0" fontId="366" fillId="364" borderId="361" xfId="0" applyFont="1" applyFill="1" applyBorder="1" applyAlignment="1">
      <alignment horizontal="center" vertical="center"/>
    </xf>
    <xf numFmtId="0" fontId="367" fillId="365" borderId="362" xfId="0" applyFont="1" applyFill="1" applyBorder="1" applyAlignment="1">
      <alignment horizontal="center" vertical="center"/>
    </xf>
    <xf numFmtId="0" fontId="368" fillId="366" borderId="363" xfId="0" applyFont="1" applyFill="1" applyBorder="1" applyAlignment="1">
      <alignment horizontal="center" vertical="center"/>
    </xf>
    <xf numFmtId="0" fontId="369" fillId="367" borderId="364" xfId="0" applyFont="1" applyFill="1" applyBorder="1"/>
    <xf numFmtId="3" fontId="370" fillId="368" borderId="365" xfId="0" applyNumberFormat="1" applyFont="1" applyFill="1" applyBorder="1"/>
    <xf numFmtId="164" fontId="371" fillId="369" borderId="366" xfId="0" applyNumberFormat="1" applyFont="1" applyFill="1" applyBorder="1"/>
    <xf numFmtId="0" fontId="372" fillId="370" borderId="367" xfId="0" applyFont="1" applyFill="1" applyBorder="1"/>
    <xf numFmtId="3" fontId="373" fillId="371" borderId="368" xfId="0" applyNumberFormat="1" applyFont="1" applyFill="1" applyBorder="1"/>
    <xf numFmtId="164" fontId="374" fillId="372" borderId="369" xfId="0" applyNumberFormat="1" applyFont="1" applyFill="1" applyBorder="1"/>
    <xf numFmtId="0" fontId="375" fillId="373" borderId="370" xfId="0" applyFont="1" applyFill="1" applyBorder="1"/>
    <xf numFmtId="3" fontId="376" fillId="374" borderId="371" xfId="0" applyNumberFormat="1" applyFont="1" applyFill="1" applyBorder="1"/>
    <xf numFmtId="164" fontId="377" fillId="375" borderId="372" xfId="0" applyNumberFormat="1" applyFont="1" applyFill="1" applyBorder="1"/>
    <xf numFmtId="0" fontId="378" fillId="376" borderId="373" xfId="0" applyFont="1" applyFill="1" applyBorder="1"/>
    <xf numFmtId="3" fontId="379" fillId="377" borderId="374" xfId="0" applyNumberFormat="1" applyFont="1" applyFill="1" applyBorder="1"/>
    <xf numFmtId="164" fontId="380" fillId="378" borderId="375" xfId="0" applyNumberFormat="1" applyFont="1" applyFill="1" applyBorder="1"/>
    <xf numFmtId="0" fontId="381" fillId="379" borderId="376" xfId="0" applyFont="1" applyFill="1" applyBorder="1"/>
    <xf numFmtId="3" fontId="382" fillId="380" borderId="377" xfId="0" applyNumberFormat="1" applyFont="1" applyFill="1" applyBorder="1"/>
    <xf numFmtId="164" fontId="383" fillId="381" borderId="378" xfId="0" applyNumberFormat="1" applyFont="1" applyFill="1" applyBorder="1"/>
    <xf numFmtId="0" fontId="384" fillId="382" borderId="379" xfId="0" applyFont="1" applyFill="1" applyBorder="1"/>
    <xf numFmtId="3" fontId="385" fillId="383" borderId="380" xfId="0" applyNumberFormat="1" applyFont="1" applyFill="1" applyBorder="1"/>
    <xf numFmtId="164" fontId="386" fillId="384" borderId="381" xfId="0" applyNumberFormat="1" applyFont="1" applyFill="1" applyBorder="1"/>
    <xf numFmtId="0" fontId="387" fillId="385" borderId="382" xfId="0" applyFont="1" applyFill="1" applyBorder="1"/>
    <xf numFmtId="3" fontId="388" fillId="386" borderId="383" xfId="0" applyNumberFormat="1" applyFont="1" applyFill="1" applyBorder="1"/>
    <xf numFmtId="164" fontId="389" fillId="387" borderId="384" xfId="0" applyNumberFormat="1" applyFont="1" applyFill="1" applyBorder="1"/>
    <xf numFmtId="0" fontId="390" fillId="388" borderId="385" xfId="0" applyFont="1" applyFill="1" applyBorder="1"/>
    <xf numFmtId="3" fontId="391" fillId="389" borderId="386" xfId="0" applyNumberFormat="1" applyFont="1" applyFill="1" applyBorder="1"/>
    <xf numFmtId="164" fontId="392" fillId="390" borderId="387" xfId="0" applyNumberFormat="1" applyFont="1" applyFill="1" applyBorder="1"/>
    <xf numFmtId="0" fontId="393" fillId="391" borderId="388" xfId="0" applyFont="1" applyFill="1" applyBorder="1" applyAlignment="1">
      <alignment horizontal="center"/>
    </xf>
    <xf numFmtId="3" fontId="394" fillId="392" borderId="389" xfId="0" applyNumberFormat="1" applyFont="1" applyFill="1" applyBorder="1"/>
    <xf numFmtId="164" fontId="395" fillId="393" borderId="390" xfId="0" applyNumberFormat="1" applyFont="1" applyFill="1" applyBorder="1"/>
    <xf numFmtId="0" fontId="405" fillId="403" borderId="400" xfId="0" applyFont="1" applyFill="1" applyBorder="1"/>
    <xf numFmtId="0" fontId="406" fillId="404" borderId="401" xfId="0" applyFont="1" applyFill="1" applyBorder="1"/>
    <xf numFmtId="0" fontId="407" fillId="405" borderId="402" xfId="0" applyFont="1" applyFill="1" applyBorder="1"/>
    <xf numFmtId="0" fontId="408" fillId="406" borderId="403" xfId="0" applyFont="1" applyFill="1" applyBorder="1"/>
    <xf numFmtId="0" fontId="409" fillId="407" borderId="404" xfId="0" applyFont="1" applyFill="1" applyBorder="1"/>
    <xf numFmtId="0" fontId="410" fillId="408" borderId="405" xfId="0" applyFont="1" applyFill="1" applyBorder="1"/>
    <xf numFmtId="0" fontId="411" fillId="409" borderId="406" xfId="0" applyFont="1" applyFill="1" applyBorder="1"/>
    <xf numFmtId="0" fontId="412" fillId="410" borderId="407" xfId="0" applyFont="1" applyFill="1" applyBorder="1"/>
    <xf numFmtId="0" fontId="413" fillId="411" borderId="408" xfId="0" applyFont="1" applyFill="1" applyBorder="1"/>
    <xf numFmtId="0" fontId="414" fillId="412" borderId="409" xfId="0" applyFont="1" applyFill="1" applyBorder="1"/>
    <xf numFmtId="0" fontId="423" fillId="421" borderId="418" xfId="0" applyFont="1" applyFill="1" applyBorder="1"/>
    <xf numFmtId="0" fontId="424" fillId="422" borderId="419" xfId="0" applyFont="1" applyFill="1" applyBorder="1"/>
    <xf numFmtId="0" fontId="429" fillId="427" borderId="424" xfId="0" applyFont="1" applyFill="1" applyBorder="1"/>
    <xf numFmtId="0" fontId="430" fillId="428" borderId="425" xfId="0" applyFont="1" applyFill="1" applyBorder="1"/>
    <xf numFmtId="0" fontId="431" fillId="429" borderId="426" xfId="0" applyFont="1" applyFill="1" applyBorder="1"/>
    <xf numFmtId="0" fontId="437" fillId="435" borderId="432" xfId="0" applyFont="1" applyFill="1" applyBorder="1"/>
    <xf numFmtId="0" fontId="438" fillId="436" borderId="433" xfId="0" applyFont="1" applyFill="1" applyBorder="1"/>
    <xf numFmtId="0" fontId="439" fillId="437" borderId="434" xfId="0" applyFont="1" applyFill="1" applyBorder="1"/>
    <xf numFmtId="0" fontId="445" fillId="443" borderId="440" xfId="0" applyFont="1" applyFill="1" applyBorder="1"/>
    <xf numFmtId="0" fontId="446" fillId="444" borderId="441" xfId="0" applyFont="1" applyFill="1" applyBorder="1"/>
    <xf numFmtId="0" fontId="447" fillId="445" borderId="442" xfId="0" applyFont="1" applyFill="1" applyBorder="1"/>
    <xf numFmtId="0" fontId="453" fillId="451" borderId="448" xfId="0" applyFont="1" applyFill="1" applyBorder="1"/>
    <xf numFmtId="0" fontId="454" fillId="452" borderId="449" xfId="0" applyFont="1" applyFill="1" applyBorder="1"/>
    <xf numFmtId="0" fontId="455" fillId="453" borderId="450" xfId="0" applyFont="1" applyFill="1" applyBorder="1"/>
    <xf numFmtId="0" fontId="461" fillId="459" borderId="456" xfId="0" applyFont="1" applyFill="1" applyBorder="1"/>
    <xf numFmtId="0" fontId="462" fillId="460" borderId="457" xfId="0" applyFont="1" applyFill="1" applyBorder="1"/>
    <xf numFmtId="0" fontId="463" fillId="461" borderId="458" xfId="0" applyFont="1" applyFill="1" applyBorder="1"/>
    <xf numFmtId="0" fontId="464" fillId="462" borderId="459" xfId="0" applyFont="1" applyFill="1" applyBorder="1"/>
    <xf numFmtId="0" fontId="465" fillId="463" borderId="460" xfId="0" applyFont="1" applyFill="1" applyBorder="1"/>
    <xf numFmtId="0" fontId="466" fillId="464" borderId="461" xfId="0" applyFont="1" applyFill="1" applyBorder="1"/>
    <xf numFmtId="0" fontId="467" fillId="465" borderId="462" xfId="0" applyFont="1" applyFill="1" applyBorder="1"/>
    <xf numFmtId="0" fontId="468" fillId="466" borderId="463" xfId="0" applyFont="1" applyFill="1" applyBorder="1"/>
    <xf numFmtId="0" fontId="469" fillId="467" borderId="464" xfId="0" applyFont="1" applyFill="1" applyBorder="1"/>
    <xf numFmtId="0" fontId="470" fillId="468" borderId="465" xfId="0" applyFont="1" applyFill="1" applyBorder="1"/>
    <xf numFmtId="0" fontId="471" fillId="469" borderId="466" xfId="0" applyFont="1" applyFill="1" applyBorder="1"/>
    <xf numFmtId="0" fontId="481" fillId="479" borderId="476" xfId="0" applyFont="1" applyFill="1" applyBorder="1"/>
    <xf numFmtId="0" fontId="482" fillId="480" borderId="477" xfId="0" applyFont="1" applyFill="1" applyBorder="1"/>
    <xf numFmtId="0" fontId="483" fillId="481" borderId="478" xfId="0" applyFont="1" applyFill="1" applyBorder="1"/>
    <xf numFmtId="0" fontId="484" fillId="482" borderId="479" xfId="0" applyFont="1" applyFill="1" applyBorder="1"/>
    <xf numFmtId="0" fontId="485" fillId="483" borderId="480" xfId="0" applyFont="1" applyFill="1" applyBorder="1"/>
    <xf numFmtId="0" fontId="486" fillId="484" borderId="481" xfId="0" applyFont="1" applyFill="1" applyBorder="1"/>
    <xf numFmtId="0" fontId="487" fillId="485" borderId="482" xfId="0" applyFont="1" applyFill="1" applyBorder="1"/>
    <xf numFmtId="0" fontId="488" fillId="486" borderId="483" xfId="0" applyFont="1" applyFill="1" applyBorder="1"/>
    <xf numFmtId="0" fontId="489" fillId="487" borderId="484" xfId="0" applyFont="1" applyFill="1" applyBorder="1"/>
    <xf numFmtId="0" fontId="490" fillId="488" borderId="485" xfId="0" applyFont="1" applyFill="1" applyBorder="1"/>
    <xf numFmtId="0" fontId="491" fillId="489" borderId="486" xfId="0" applyFont="1" applyFill="1" applyBorder="1"/>
    <xf numFmtId="0" fontId="492" fillId="490" borderId="487" xfId="0" applyFont="1" applyFill="1" applyBorder="1"/>
    <xf numFmtId="0" fontId="493" fillId="491" borderId="488" xfId="0" applyFont="1" applyFill="1" applyBorder="1"/>
    <xf numFmtId="0" fontId="494" fillId="492" borderId="489" xfId="0" applyFont="1" applyFill="1" applyBorder="1"/>
    <xf numFmtId="0" fontId="495" fillId="493" borderId="490" xfId="0" applyFont="1" applyFill="1" applyBorder="1"/>
    <xf numFmtId="0" fontId="496" fillId="494" borderId="491" xfId="0" applyFont="1" applyFill="1" applyBorder="1"/>
    <xf numFmtId="0" fontId="497" fillId="495" borderId="492" xfId="0" applyFont="1" applyFill="1" applyBorder="1"/>
    <xf numFmtId="0" fontId="498" fillId="496" borderId="493" xfId="0" applyFont="1" applyFill="1" applyBorder="1"/>
    <xf numFmtId="0" fontId="499" fillId="497" borderId="494" xfId="0" applyFont="1" applyFill="1" applyBorder="1"/>
    <xf numFmtId="0" fontId="500" fillId="498" borderId="495" xfId="0" applyFont="1" applyFill="1" applyBorder="1"/>
    <xf numFmtId="0" fontId="501" fillId="499" borderId="496" xfId="0" applyFont="1" applyFill="1" applyBorder="1"/>
    <xf numFmtId="0" fontId="502" fillId="500" borderId="497" xfId="0" applyFont="1" applyFill="1" applyBorder="1"/>
    <xf numFmtId="0" fontId="503" fillId="501" borderId="498" xfId="0" applyFont="1" applyFill="1" applyBorder="1"/>
    <xf numFmtId="0" fontId="504" fillId="502" borderId="499" xfId="0" applyFont="1" applyFill="1" applyBorder="1"/>
    <xf numFmtId="0" fontId="505" fillId="503" borderId="500" xfId="0" applyFont="1" applyFill="1" applyBorder="1"/>
    <xf numFmtId="0" fontId="506" fillId="504" borderId="501" xfId="0" applyFont="1" applyFill="1" applyBorder="1"/>
    <xf numFmtId="0" fontId="516" fillId="514" borderId="511" xfId="0" applyFont="1" applyFill="1" applyBorder="1"/>
    <xf numFmtId="0" fontId="517" fillId="515" borderId="512" xfId="0" applyFont="1" applyFill="1" applyBorder="1"/>
    <xf numFmtId="0" fontId="518" fillId="516" borderId="513" xfId="0" applyFont="1" applyFill="1" applyBorder="1"/>
    <xf numFmtId="0" fontId="519" fillId="517" borderId="514" xfId="0" applyFont="1" applyFill="1" applyBorder="1"/>
    <xf numFmtId="0" fontId="520" fillId="518" borderId="515" xfId="0" applyFont="1" applyFill="1" applyBorder="1"/>
    <xf numFmtId="0" fontId="521" fillId="519" borderId="516" xfId="0" applyFont="1" applyFill="1" applyBorder="1"/>
    <xf numFmtId="0" fontId="522" fillId="520" borderId="517" xfId="0" applyFont="1" applyFill="1" applyBorder="1"/>
    <xf numFmtId="0" fontId="523" fillId="521" borderId="518" xfId="0" applyFont="1" applyFill="1" applyBorder="1"/>
    <xf numFmtId="0" fontId="524" fillId="522" borderId="519" xfId="0" applyFont="1" applyFill="1" applyBorder="1"/>
    <xf numFmtId="0" fontId="525" fillId="523" borderId="520" xfId="0" applyFont="1" applyFill="1" applyBorder="1"/>
    <xf numFmtId="0" fontId="526" fillId="524" borderId="521" xfId="0" applyFont="1" applyFill="1" applyBorder="1"/>
    <xf numFmtId="0" fontId="527" fillId="525" borderId="522" xfId="0" applyFont="1" applyFill="1" applyBorder="1"/>
    <xf numFmtId="0" fontId="528" fillId="526" borderId="523" xfId="0" applyFont="1" applyFill="1" applyBorder="1"/>
    <xf numFmtId="0" fontId="529" fillId="527" borderId="524" xfId="0" applyFont="1" applyFill="1" applyBorder="1"/>
    <xf numFmtId="0" fontId="530" fillId="528" borderId="525" xfId="0" applyFont="1" applyFill="1" applyBorder="1"/>
    <xf numFmtId="0" fontId="531" fillId="529" borderId="526" xfId="0" applyFont="1" applyFill="1" applyBorder="1"/>
    <xf numFmtId="0" fontId="532" fillId="530" borderId="527" xfId="0" applyFont="1" applyFill="1" applyBorder="1"/>
    <xf numFmtId="0" fontId="533" fillId="531" borderId="528" xfId="0" applyFont="1" applyFill="1" applyBorder="1"/>
    <xf numFmtId="0" fontId="534" fillId="532" borderId="529" xfId="0" applyFont="1" applyFill="1" applyBorder="1"/>
    <xf numFmtId="0" fontId="535" fillId="533" borderId="530" xfId="0" applyFont="1" applyFill="1" applyBorder="1"/>
    <xf numFmtId="0" fontId="537" fillId="535" borderId="532" xfId="0" applyFont="1" applyFill="1" applyBorder="1"/>
    <xf numFmtId="0" fontId="538" fillId="536" borderId="533" xfId="0" applyFont="1" applyFill="1" applyBorder="1"/>
    <xf numFmtId="0" fontId="539" fillId="537" borderId="534" xfId="0" applyFont="1" applyFill="1" applyBorder="1"/>
    <xf numFmtId="0" fontId="540" fillId="538" borderId="535" xfId="0" applyFont="1" applyFill="1" applyBorder="1"/>
    <xf numFmtId="0" fontId="541" fillId="539" borderId="536" xfId="0" applyFont="1" applyFill="1" applyBorder="1"/>
    <xf numFmtId="0" fontId="542" fillId="540" borderId="537" xfId="0" applyFont="1" applyFill="1" applyBorder="1"/>
    <xf numFmtId="0" fontId="543" fillId="541" borderId="538" xfId="0" applyFont="1" applyFill="1" applyBorder="1"/>
    <xf numFmtId="0" fontId="544" fillId="542" borderId="539" xfId="0" applyFont="1" applyFill="1" applyBorder="1"/>
    <xf numFmtId="0" fontId="545" fillId="543" borderId="540" xfId="0" applyFont="1" applyFill="1" applyBorder="1"/>
    <xf numFmtId="0" fontId="546" fillId="544" borderId="541" xfId="0" applyFont="1" applyFill="1" applyBorder="1"/>
    <xf numFmtId="0" fontId="547" fillId="545" borderId="542" xfId="0" applyFont="1" applyFill="1" applyBorder="1"/>
    <xf numFmtId="0" fontId="548" fillId="546" borderId="543" xfId="0" applyFont="1" applyFill="1" applyBorder="1"/>
    <xf numFmtId="0" fontId="549" fillId="547" borderId="544" xfId="0" applyFont="1" applyFill="1" applyBorder="1"/>
    <xf numFmtId="0" fontId="550" fillId="548" borderId="545" xfId="0" applyFont="1" applyFill="1" applyBorder="1"/>
    <xf numFmtId="0" fontId="551" fillId="549" borderId="546" xfId="0" applyFont="1" applyFill="1" applyBorder="1"/>
    <xf numFmtId="0" fontId="552" fillId="550" borderId="547" xfId="0" applyFont="1" applyFill="1" applyBorder="1"/>
    <xf numFmtId="0" fontId="553" fillId="551" borderId="548" xfId="0" applyFont="1" applyFill="1" applyBorder="1"/>
    <xf numFmtId="0" fontId="554" fillId="552" borderId="549" xfId="0" applyFont="1" applyFill="1" applyBorder="1"/>
    <xf numFmtId="0" fontId="555" fillId="553" borderId="550" xfId="0" applyFont="1" applyFill="1" applyBorder="1"/>
    <xf numFmtId="0" fontId="556" fillId="554" borderId="551" xfId="0" applyFont="1" applyFill="1" applyBorder="1"/>
    <xf numFmtId="0" fontId="558" fillId="556" borderId="553" xfId="0" applyFont="1" applyFill="1" applyBorder="1" applyAlignment="1">
      <alignment horizontal="right"/>
    </xf>
    <xf numFmtId="0" fontId="559" fillId="557" borderId="554" xfId="0" applyFont="1" applyFill="1" applyBorder="1"/>
    <xf numFmtId="0" fontId="560" fillId="558" borderId="555" xfId="0" applyFont="1" applyFill="1" applyBorder="1" applyAlignment="1">
      <alignment horizontal="right"/>
    </xf>
    <xf numFmtId="164" fontId="561" fillId="559" borderId="556" xfId="0" applyNumberFormat="1" applyFont="1" applyFill="1" applyBorder="1"/>
    <xf numFmtId="0" fontId="562" fillId="560" borderId="557" xfId="0" applyFont="1" applyFill="1" applyBorder="1" applyAlignment="1">
      <alignment horizontal="center" vertical="center"/>
    </xf>
    <xf numFmtId="0" fontId="563" fillId="561" borderId="558" xfId="0" applyFont="1" applyFill="1" applyBorder="1" applyAlignment="1">
      <alignment horizontal="center" vertical="center"/>
    </xf>
    <xf numFmtId="0" fontId="564" fillId="562" borderId="559" xfId="0" applyFont="1" applyFill="1" applyBorder="1" applyAlignment="1">
      <alignment horizontal="center" vertical="center"/>
    </xf>
    <xf numFmtId="0" fontId="565" fillId="563" borderId="560" xfId="0" applyFont="1" applyFill="1" applyBorder="1" applyAlignment="1">
      <alignment horizontal="center" vertical="center"/>
    </xf>
    <xf numFmtId="0" fontId="566" fillId="564" borderId="561" xfId="0" applyFont="1" applyFill="1" applyBorder="1" applyAlignment="1">
      <alignment horizontal="center" vertical="center"/>
    </xf>
    <xf numFmtId="0" fontId="567" fillId="565" borderId="562" xfId="0" applyFont="1" applyFill="1" applyBorder="1" applyAlignment="1">
      <alignment horizontal="center" vertical="center"/>
    </xf>
    <xf numFmtId="0" fontId="568" fillId="566" borderId="563" xfId="0" applyFont="1" applyFill="1" applyBorder="1" applyAlignment="1">
      <alignment horizontal="center" vertical="center"/>
    </xf>
    <xf numFmtId="166" fontId="569" fillId="568" borderId="565" xfId="0" applyNumberFormat="1" applyFont="1" applyFill="1" applyBorder="1" applyAlignment="1">
      <alignment horizontal="center"/>
    </xf>
    <xf numFmtId="3" fontId="570" fillId="569" borderId="566" xfId="0" applyNumberFormat="1" applyFont="1" applyFill="1" applyBorder="1"/>
    <xf numFmtId="164" fontId="571" fillId="570" borderId="567" xfId="0" applyNumberFormat="1" applyFont="1" applyFill="1" applyBorder="1"/>
    <xf numFmtId="164" fontId="572" fillId="571" borderId="568" xfId="0" applyNumberFormat="1" applyFont="1" applyFill="1" applyBorder="1"/>
    <xf numFmtId="164" fontId="573" fillId="572" borderId="569" xfId="0" applyNumberFormat="1" applyFont="1" applyFill="1" applyBorder="1" applyAlignment="1">
      <alignment horizontal="right"/>
    </xf>
    <xf numFmtId="164" fontId="574" fillId="573" borderId="570" xfId="0" applyNumberFormat="1" applyFont="1" applyFill="1" applyBorder="1"/>
    <xf numFmtId="166" fontId="576" fillId="575" borderId="571" xfId="0" applyNumberFormat="1" applyFont="1" applyFill="1" applyBorder="1" applyAlignment="1">
      <alignment horizontal="center"/>
    </xf>
    <xf numFmtId="3" fontId="577" fillId="576" borderId="572" xfId="0" applyNumberFormat="1" applyFont="1" applyFill="1" applyBorder="1"/>
    <xf numFmtId="164" fontId="578" fillId="577" borderId="573" xfId="0" applyNumberFormat="1" applyFont="1" applyFill="1" applyBorder="1"/>
    <xf numFmtId="164" fontId="579" fillId="578" borderId="574" xfId="0" applyNumberFormat="1" applyFont="1" applyFill="1" applyBorder="1"/>
    <xf numFmtId="164" fontId="580" fillId="579" borderId="575" xfId="0" applyNumberFormat="1" applyFont="1" applyFill="1" applyBorder="1" applyAlignment="1">
      <alignment horizontal="right"/>
    </xf>
    <xf numFmtId="164" fontId="581" fillId="580" borderId="576" xfId="0" applyNumberFormat="1" applyFont="1" applyFill="1" applyBorder="1"/>
    <xf numFmtId="166" fontId="583" fillId="582" borderId="577" xfId="0" applyNumberFormat="1" applyFont="1" applyFill="1" applyBorder="1" applyAlignment="1">
      <alignment horizontal="center"/>
    </xf>
    <xf numFmtId="3" fontId="584" fillId="583" borderId="578" xfId="0" applyNumberFormat="1" applyFont="1" applyFill="1" applyBorder="1"/>
    <xf numFmtId="164" fontId="585" fillId="584" borderId="579" xfId="0" applyNumberFormat="1" applyFont="1" applyFill="1" applyBorder="1"/>
    <xf numFmtId="164" fontId="586" fillId="585" borderId="580" xfId="0" applyNumberFormat="1" applyFont="1" applyFill="1" applyBorder="1"/>
    <xf numFmtId="164" fontId="587" fillId="586" borderId="581" xfId="0" applyNumberFormat="1" applyFont="1" applyFill="1" applyBorder="1" applyAlignment="1">
      <alignment horizontal="right"/>
    </xf>
    <xf numFmtId="164" fontId="588" fillId="587" borderId="582" xfId="0" applyNumberFormat="1" applyFont="1" applyFill="1" applyBorder="1"/>
    <xf numFmtId="3" fontId="589" fillId="588" borderId="583" xfId="0" applyNumberFormat="1" applyFont="1" applyFill="1" applyBorder="1"/>
    <xf numFmtId="164" fontId="590" fillId="589" borderId="584" xfId="0" applyNumberFormat="1" applyFont="1" applyFill="1" applyBorder="1"/>
    <xf numFmtId="164" fontId="591" fillId="590" borderId="585" xfId="0" applyNumberFormat="1" applyFont="1" applyFill="1" applyBorder="1"/>
    <xf numFmtId="164" fontId="592" fillId="591" borderId="586" xfId="0" applyNumberFormat="1" applyFont="1" applyFill="1" applyBorder="1" applyAlignment="1">
      <alignment horizontal="right"/>
    </xf>
    <xf numFmtId="164" fontId="593" fillId="592" borderId="587" xfId="0" applyNumberFormat="1" applyFont="1" applyFill="1" applyBorder="1"/>
    <xf numFmtId="0" fontId="594" fillId="593" borderId="588" xfId="0" applyFont="1" applyFill="1" applyBorder="1" applyAlignment="1">
      <alignment horizontal="center"/>
    </xf>
    <xf numFmtId="3" fontId="595" fillId="594" borderId="589" xfId="0" applyNumberFormat="1" applyFont="1" applyFill="1" applyBorder="1"/>
    <xf numFmtId="164" fontId="596" fillId="595" borderId="590" xfId="0" applyNumberFormat="1" applyFont="1" applyFill="1" applyBorder="1"/>
    <xf numFmtId="164" fontId="597" fillId="596" borderId="591" xfId="0" applyNumberFormat="1" applyFont="1" applyFill="1" applyBorder="1"/>
    <xf numFmtId="164" fontId="598" fillId="597" borderId="592" xfId="0" applyNumberFormat="1" applyFont="1" applyFill="1" applyBorder="1" applyAlignment="1">
      <alignment horizontal="right"/>
    </xf>
    <xf numFmtId="164" fontId="599" fillId="598" borderId="593" xfId="0" applyNumberFormat="1" applyFont="1" applyFill="1" applyBorder="1"/>
    <xf numFmtId="0" fontId="609" fillId="608" borderId="603" xfId="0" applyFont="1" applyFill="1" applyBorder="1"/>
    <xf numFmtId="0" fontId="610" fillId="609" borderId="604" xfId="0" applyFont="1" applyFill="1" applyBorder="1"/>
    <xf numFmtId="0" fontId="611" fillId="610" borderId="605" xfId="0" applyFont="1" applyFill="1" applyBorder="1"/>
    <xf numFmtId="0" fontId="612" fillId="611" borderId="606" xfId="0" applyFont="1" applyFill="1" applyBorder="1"/>
    <xf numFmtId="0" fontId="613" fillId="612" borderId="607" xfId="0" applyFont="1" applyFill="1" applyBorder="1"/>
    <xf numFmtId="0" fontId="614" fillId="613" borderId="608" xfId="0" applyFont="1" applyFill="1" applyBorder="1"/>
    <xf numFmtId="0" fontId="615" fillId="614" borderId="609" xfId="0" applyFont="1" applyFill="1" applyBorder="1"/>
    <xf numFmtId="0" fontId="616" fillId="615" borderId="610" xfId="0" applyFont="1" applyFill="1" applyBorder="1"/>
    <xf numFmtId="0" fontId="617" fillId="616" borderId="611" xfId="0" applyFont="1" applyFill="1" applyBorder="1"/>
    <xf numFmtId="0" fontId="618" fillId="617" borderId="612" xfId="0" applyFont="1" applyFill="1" applyBorder="1"/>
    <xf numFmtId="0" fontId="619" fillId="618" borderId="613" xfId="0" applyFont="1" applyFill="1" applyBorder="1"/>
    <xf numFmtId="0" fontId="620" fillId="619" borderId="614" xfId="0" applyFont="1" applyFill="1" applyBorder="1"/>
    <xf numFmtId="0" fontId="621" fillId="620" borderId="615" xfId="0" applyFont="1" applyFill="1" applyBorder="1"/>
    <xf numFmtId="0" fontId="622" fillId="621" borderId="616" xfId="0" applyFont="1" applyFill="1" applyBorder="1"/>
    <xf numFmtId="0" fontId="623" fillId="622" borderId="617" xfId="0" applyFont="1" applyFill="1" applyBorder="1"/>
    <xf numFmtId="0" fontId="624" fillId="623" borderId="618" xfId="0" applyFont="1" applyFill="1" applyBorder="1"/>
    <xf numFmtId="0" fontId="625" fillId="624" borderId="619" xfId="0" applyFont="1" applyFill="1" applyBorder="1"/>
    <xf numFmtId="0" fontId="626" fillId="625" borderId="620" xfId="0" applyFont="1" applyFill="1" applyBorder="1"/>
    <xf numFmtId="0" fontId="627" fillId="626" borderId="621" xfId="0" applyFont="1" applyFill="1" applyBorder="1"/>
    <xf numFmtId="0" fontId="628" fillId="627" borderId="622" xfId="0" applyFont="1" applyFill="1" applyBorder="1"/>
    <xf numFmtId="0" fontId="629" fillId="628" borderId="623" xfId="0" applyFont="1" applyFill="1" applyBorder="1"/>
    <xf numFmtId="0" fontId="630" fillId="629" borderId="624" xfId="0" applyFont="1" applyFill="1" applyBorder="1"/>
    <xf numFmtId="0" fontId="631" fillId="630" borderId="625" xfId="0" applyFont="1" applyFill="1" applyBorder="1"/>
    <xf numFmtId="0" fontId="632" fillId="631" borderId="626" xfId="0" applyFont="1" applyFill="1" applyBorder="1"/>
    <xf numFmtId="0" fontId="633" fillId="632" borderId="627" xfId="0" applyFont="1" applyFill="1" applyBorder="1"/>
    <xf numFmtId="0" fontId="634" fillId="633" borderId="628" xfId="0" applyFont="1" applyFill="1" applyBorder="1"/>
    <xf numFmtId="0" fontId="635" fillId="635" borderId="630" xfId="0" applyFont="1" applyFill="1" applyBorder="1"/>
    <xf numFmtId="0" fontId="636" fillId="636" borderId="631" xfId="0" applyFont="1" applyFill="1" applyBorder="1"/>
    <xf numFmtId="0" fontId="637" fillId="637" borderId="632" xfId="0" applyFont="1" applyFill="1" applyBorder="1"/>
    <xf numFmtId="0" fontId="638" fillId="638" borderId="633" xfId="0" applyFont="1" applyFill="1" applyBorder="1"/>
    <xf numFmtId="0" fontId="639" fillId="639" borderId="634" xfId="0" applyFont="1" applyFill="1" applyBorder="1"/>
    <xf numFmtId="0" fontId="640" fillId="640" borderId="635" xfId="0" applyFont="1" applyFill="1" applyBorder="1"/>
    <xf numFmtId="164" fontId="641" fillId="641" borderId="636" xfId="0" applyNumberFormat="1" applyFont="1" applyFill="1" applyBorder="1" applyAlignment="1">
      <alignment horizontal="right"/>
    </xf>
    <xf numFmtId="164" fontId="642" fillId="642" borderId="637" xfId="0" applyNumberFormat="1" applyFont="1" applyFill="1" applyBorder="1" applyAlignment="1">
      <alignment horizontal="right"/>
    </xf>
    <xf numFmtId="164" fontId="643" fillId="643" borderId="638" xfId="0" applyNumberFormat="1" applyFont="1" applyFill="1" applyBorder="1" applyAlignment="1">
      <alignment horizontal="right"/>
    </xf>
    <xf numFmtId="164" fontId="644" fillId="644" borderId="639" xfId="0" applyNumberFormat="1" applyFont="1" applyFill="1" applyBorder="1" applyAlignment="1">
      <alignment horizontal="right"/>
    </xf>
    <xf numFmtId="164" fontId="645" fillId="645" borderId="640" xfId="0" applyNumberFormat="1" applyFont="1" applyFill="1" applyBorder="1" applyAlignment="1">
      <alignment horizontal="right"/>
    </xf>
    <xf numFmtId="164" fontId="646" fillId="646" borderId="641" xfId="0" applyNumberFormat="1" applyFont="1" applyFill="1" applyBorder="1" applyAlignment="1">
      <alignment horizontal="right"/>
    </xf>
    <xf numFmtId="164" fontId="647" fillId="647" borderId="642" xfId="0" applyNumberFormat="1" applyFont="1" applyFill="1" applyBorder="1" applyAlignment="1">
      <alignment horizontal="right"/>
    </xf>
    <xf numFmtId="164" fontId="648" fillId="648" borderId="643" xfId="0" applyNumberFormat="1" applyFont="1" applyFill="1" applyBorder="1" applyAlignment="1">
      <alignment horizontal="right"/>
    </xf>
    <xf numFmtId="164" fontId="649" fillId="649" borderId="644" xfId="0" applyNumberFormat="1" applyFont="1" applyFill="1" applyBorder="1" applyAlignment="1">
      <alignment horizontal="right"/>
    </xf>
    <xf numFmtId="164" fontId="650" fillId="650" borderId="645" xfId="0" applyNumberFormat="1" applyFont="1" applyFill="1" applyBorder="1" applyAlignment="1">
      <alignment horizontal="right"/>
    </xf>
    <xf numFmtId="0" fontId="220" fillId="567" borderId="564" xfId="0" applyFont="1" applyFill="1" applyBorder="1" applyAlignment="1">
      <alignment horizontal="center" vertical="center"/>
    </xf>
    <xf numFmtId="0" fontId="220" fillId="634" borderId="629" xfId="0" applyFont="1" applyFill="1" applyBorder="1" applyAlignment="1">
      <alignment horizontal="center" vertical="center"/>
    </xf>
    <xf numFmtId="2" fontId="575" fillId="574" borderId="645" xfId="0" applyNumberFormat="1" applyFont="1" applyFill="1" applyBorder="1"/>
    <xf numFmtId="2" fontId="582" fillId="581" borderId="645" xfId="0" applyNumberFormat="1" applyFont="1" applyFill="1" applyBorder="1"/>
    <xf numFmtId="0" fontId="659" fillId="660" borderId="645" xfId="0" applyFont="1" applyFill="1" applyBorder="1" applyAlignment="1">
      <alignment horizontal="left" vertical="center"/>
    </xf>
    <xf numFmtId="0" fontId="668" fillId="669" borderId="645" xfId="0" applyFont="1" applyFill="1" applyBorder="1" applyAlignment="1">
      <alignment horizontal="left" vertical="center"/>
    </xf>
    <xf numFmtId="0" fontId="676" fillId="677" borderId="645" xfId="0" applyFont="1" applyFill="1" applyBorder="1" applyAlignment="1">
      <alignment horizontal="left" vertical="center"/>
    </xf>
    <xf numFmtId="0" fontId="684" fillId="685" borderId="645" xfId="0" applyFont="1" applyFill="1" applyBorder="1" applyAlignment="1">
      <alignment horizontal="left" vertical="center"/>
    </xf>
    <xf numFmtId="0" fontId="692" fillId="693" borderId="645" xfId="0" applyFont="1" applyFill="1" applyBorder="1" applyAlignment="1">
      <alignment horizontal="left" vertical="center"/>
    </xf>
    <xf numFmtId="0" fontId="700" fillId="701" borderId="645" xfId="0" applyFont="1" applyFill="1" applyBorder="1" applyAlignment="1">
      <alignment horizontal="center" vertical="center"/>
    </xf>
    <xf numFmtId="0" fontId="536" fillId="534" borderId="531" xfId="0" applyFont="1" applyFill="1" applyBorder="1"/>
    <xf numFmtId="0" fontId="702" fillId="703" borderId="647" xfId="0" applyFont="1" applyFill="1" applyBorder="1" applyAlignment="1">
      <alignment horizontal="center" vertical="center"/>
    </xf>
    <xf numFmtId="0" fontId="703" fillId="704" borderId="648" xfId="0" applyFont="1" applyFill="1" applyBorder="1" applyAlignment="1">
      <alignment horizontal="center" vertical="center"/>
    </xf>
    <xf numFmtId="0" fontId="704" fillId="705" borderId="649" xfId="0" applyFont="1" applyFill="1" applyBorder="1" applyAlignment="1">
      <alignment horizontal="center" vertical="center"/>
    </xf>
    <xf numFmtId="0" fontId="705" fillId="706" borderId="650" xfId="0" applyFont="1" applyFill="1" applyBorder="1" applyAlignment="1">
      <alignment horizontal="center" vertical="center"/>
    </xf>
    <xf numFmtId="0" fontId="706" fillId="707" borderId="651" xfId="0" applyFont="1" applyFill="1" applyBorder="1" applyAlignment="1">
      <alignment horizontal="center" vertical="center"/>
    </xf>
    <xf numFmtId="0" fontId="707" fillId="708" borderId="652" xfId="0" applyFont="1" applyFill="1" applyBorder="1" applyAlignment="1">
      <alignment horizontal="center" vertical="center"/>
    </xf>
    <xf numFmtId="0" fontId="708" fillId="709" borderId="653" xfId="0" applyFont="1" applyFill="1" applyBorder="1" applyAlignment="1">
      <alignment horizontal="center" vertical="center"/>
    </xf>
    <xf numFmtId="0" fontId="709" fillId="710" borderId="654" xfId="0" applyFont="1" applyFill="1" applyBorder="1" applyAlignment="1">
      <alignment horizontal="center" vertical="center"/>
    </xf>
    <xf numFmtId="0" fontId="710" fillId="711" borderId="655" xfId="0" applyFont="1" applyFill="1" applyBorder="1" applyAlignment="1">
      <alignment horizontal="center" vertical="center"/>
    </xf>
    <xf numFmtId="0" fontId="711" fillId="712" borderId="656" xfId="0" applyFont="1" applyFill="1" applyBorder="1" applyAlignment="1">
      <alignment horizontal="center" vertical="center"/>
    </xf>
    <xf numFmtId="0" fontId="712" fillId="713" borderId="657" xfId="0" applyFont="1" applyFill="1" applyBorder="1"/>
    <xf numFmtId="0" fontId="713" fillId="714" borderId="658" xfId="0" applyFont="1" applyFill="1" applyBorder="1"/>
    <xf numFmtId="0" fontId="714" fillId="715" borderId="659" xfId="0" applyFont="1" applyFill="1" applyBorder="1"/>
    <xf numFmtId="0" fontId="715" fillId="716" borderId="660" xfId="0" applyFont="1" applyFill="1" applyBorder="1" applyAlignment="1">
      <alignment horizontal="center" vertical="center"/>
    </xf>
    <xf numFmtId="0" fontId="716" fillId="717" borderId="661" xfId="0" applyFont="1" applyFill="1" applyBorder="1" applyAlignment="1">
      <alignment horizontal="center" vertical="center"/>
    </xf>
    <xf numFmtId="0" fontId="717" fillId="718" borderId="662" xfId="0" applyFont="1" applyFill="1" applyBorder="1" applyAlignment="1">
      <alignment horizontal="center" vertical="center"/>
    </xf>
    <xf numFmtId="0" fontId="718" fillId="719" borderId="663" xfId="0" applyFont="1" applyFill="1" applyBorder="1" applyAlignment="1">
      <alignment horizontal="center" vertical="center"/>
    </xf>
    <xf numFmtId="0" fontId="719" fillId="720" borderId="664" xfId="0" applyFont="1" applyFill="1" applyBorder="1" applyAlignment="1">
      <alignment horizontal="center" vertical="center"/>
    </xf>
    <xf numFmtId="0" fontId="720" fillId="721" borderId="665" xfId="0" applyFont="1" applyFill="1" applyBorder="1" applyAlignment="1">
      <alignment horizontal="center" vertical="center"/>
    </xf>
    <xf numFmtId="0" fontId="721" fillId="722" borderId="666" xfId="0" applyFont="1" applyFill="1" applyBorder="1" applyAlignment="1">
      <alignment horizontal="center" vertical="center"/>
    </xf>
    <xf numFmtId="2" fontId="722" fillId="723" borderId="667" xfId="0" applyNumberFormat="1" applyFont="1" applyFill="1" applyBorder="1" applyAlignment="1">
      <alignment horizontal="center"/>
    </xf>
    <xf numFmtId="0" fontId="723" fillId="724" borderId="668" xfId="0" applyFont="1" applyFill="1" applyBorder="1" applyAlignment="1">
      <alignment horizontal="center"/>
    </xf>
    <xf numFmtId="1" fontId="724" fillId="725" borderId="669" xfId="0" applyNumberFormat="1" applyFont="1" applyFill="1" applyBorder="1" applyAlignment="1">
      <alignment horizontal="center"/>
    </xf>
    <xf numFmtId="0" fontId="725" fillId="726" borderId="670" xfId="0" applyFont="1" applyFill="1" applyBorder="1"/>
    <xf numFmtId="0" fontId="726" fillId="727" borderId="671" xfId="0" applyFont="1" applyFill="1" applyBorder="1"/>
    <xf numFmtId="0" fontId="727" fillId="728" borderId="672" xfId="0" applyFont="1" applyFill="1" applyBorder="1"/>
    <xf numFmtId="0" fontId="728" fillId="729" borderId="673" xfId="0" applyFont="1" applyFill="1" applyBorder="1" applyAlignment="1">
      <alignment horizontal="center" vertical="center"/>
    </xf>
    <xf numFmtId="0" fontId="729" fillId="730" borderId="674" xfId="0" applyFont="1" applyFill="1" applyBorder="1" applyAlignment="1">
      <alignment horizontal="center" vertical="center"/>
    </xf>
    <xf numFmtId="0" fontId="730" fillId="731" borderId="675" xfId="0" applyFont="1" applyFill="1" applyBorder="1" applyAlignment="1">
      <alignment horizontal="center" vertical="center"/>
    </xf>
    <xf numFmtId="0" fontId="731" fillId="732" borderId="676" xfId="0" applyFont="1" applyFill="1" applyBorder="1" applyAlignment="1">
      <alignment horizontal="center" vertical="center"/>
    </xf>
    <xf numFmtId="0" fontId="732" fillId="733" borderId="677" xfId="0" applyFont="1" applyFill="1" applyBorder="1" applyAlignment="1">
      <alignment horizontal="center" vertical="center"/>
    </xf>
    <xf numFmtId="0" fontId="733" fillId="734" borderId="678" xfId="0" applyFont="1" applyFill="1" applyBorder="1" applyAlignment="1">
      <alignment horizontal="center" vertical="center"/>
    </xf>
    <xf numFmtId="0" fontId="734" fillId="735" borderId="679" xfId="0" applyFont="1" applyFill="1" applyBorder="1" applyAlignment="1">
      <alignment horizontal="center" vertical="center"/>
    </xf>
    <xf numFmtId="2" fontId="735" fillId="736" borderId="680" xfId="0" applyNumberFormat="1" applyFont="1" applyFill="1" applyBorder="1" applyAlignment="1">
      <alignment horizontal="center"/>
    </xf>
    <xf numFmtId="0" fontId="736" fillId="737" borderId="681" xfId="0" applyFont="1" applyFill="1" applyBorder="1" applyAlignment="1">
      <alignment horizontal="center"/>
    </xf>
    <xf numFmtId="1" fontId="737" fillId="738" borderId="682" xfId="0" applyNumberFormat="1" applyFont="1" applyFill="1" applyBorder="1" applyAlignment="1">
      <alignment horizontal="center"/>
    </xf>
    <xf numFmtId="0" fontId="738" fillId="739" borderId="683" xfId="0" applyFont="1" applyFill="1" applyBorder="1"/>
    <xf numFmtId="0" fontId="739" fillId="740" borderId="684" xfId="0" applyFont="1" applyFill="1" applyBorder="1"/>
    <xf numFmtId="0" fontId="740" fillId="741" borderId="685" xfId="0" applyFont="1" applyFill="1" applyBorder="1"/>
    <xf numFmtId="0" fontId="741" fillId="742" borderId="686" xfId="0" applyFont="1" applyFill="1" applyBorder="1" applyAlignment="1">
      <alignment horizontal="center" vertical="center"/>
    </xf>
    <xf numFmtId="0" fontId="742" fillId="743" borderId="687" xfId="0" applyFont="1" applyFill="1" applyBorder="1" applyAlignment="1">
      <alignment horizontal="center" vertical="center"/>
    </xf>
    <xf numFmtId="0" fontId="743" fillId="744" borderId="688" xfId="0" applyFont="1" applyFill="1" applyBorder="1" applyAlignment="1">
      <alignment horizontal="center" vertical="center"/>
    </xf>
    <xf numFmtId="0" fontId="744" fillId="745" borderId="689" xfId="0" applyFont="1" applyFill="1" applyBorder="1" applyAlignment="1">
      <alignment horizontal="center" vertical="center"/>
    </xf>
    <xf numFmtId="0" fontId="745" fillId="746" borderId="690" xfId="0" applyFont="1" applyFill="1" applyBorder="1" applyAlignment="1">
      <alignment horizontal="center" vertical="center"/>
    </xf>
    <xf numFmtId="0" fontId="746" fillId="747" borderId="691" xfId="0" applyFont="1" applyFill="1" applyBorder="1" applyAlignment="1">
      <alignment horizontal="center" vertical="center"/>
    </xf>
    <xf numFmtId="0" fontId="747" fillId="748" borderId="692" xfId="0" applyFont="1" applyFill="1" applyBorder="1" applyAlignment="1">
      <alignment horizontal="center" vertical="center"/>
    </xf>
    <xf numFmtId="2" fontId="748" fillId="749" borderId="693" xfId="0" applyNumberFormat="1" applyFont="1" applyFill="1" applyBorder="1" applyAlignment="1">
      <alignment horizontal="center"/>
    </xf>
    <xf numFmtId="0" fontId="749" fillId="750" borderId="694" xfId="0" applyFont="1" applyFill="1" applyBorder="1" applyAlignment="1">
      <alignment horizontal="center"/>
    </xf>
    <xf numFmtId="1" fontId="750" fillId="751" borderId="695" xfId="0" applyNumberFormat="1" applyFont="1" applyFill="1" applyBorder="1" applyAlignment="1">
      <alignment horizontal="center"/>
    </xf>
    <xf numFmtId="0" fontId="751" fillId="752" borderId="696" xfId="0" applyFont="1" applyFill="1" applyBorder="1"/>
    <xf numFmtId="0" fontId="752" fillId="753" borderId="697" xfId="0" applyFont="1" applyFill="1" applyBorder="1"/>
    <xf numFmtId="0" fontId="753" fillId="754" borderId="698" xfId="0" applyFont="1" applyFill="1" applyBorder="1"/>
    <xf numFmtId="0" fontId="754" fillId="755" borderId="699" xfId="0" applyFont="1" applyFill="1" applyBorder="1" applyAlignment="1">
      <alignment horizontal="center" vertical="center"/>
    </xf>
    <xf numFmtId="0" fontId="755" fillId="756" borderId="700" xfId="0" applyFont="1" applyFill="1" applyBorder="1" applyAlignment="1">
      <alignment horizontal="center" vertical="center"/>
    </xf>
    <xf numFmtId="0" fontId="756" fillId="757" borderId="701" xfId="0" applyFont="1" applyFill="1" applyBorder="1" applyAlignment="1">
      <alignment horizontal="center" vertical="center"/>
    </xf>
    <xf numFmtId="0" fontId="757" fillId="758" borderId="702" xfId="0" applyFont="1" applyFill="1" applyBorder="1" applyAlignment="1">
      <alignment horizontal="center" vertical="center"/>
    </xf>
    <xf numFmtId="0" fontId="758" fillId="759" borderId="703" xfId="0" applyFont="1" applyFill="1" applyBorder="1" applyAlignment="1">
      <alignment horizontal="center" vertical="center"/>
    </xf>
    <xf numFmtId="0" fontId="759" fillId="760" borderId="704" xfId="0" applyFont="1" applyFill="1" applyBorder="1" applyAlignment="1">
      <alignment horizontal="center" vertical="center"/>
    </xf>
    <xf numFmtId="0" fontId="760" fillId="761" borderId="705" xfId="0" applyFont="1" applyFill="1" applyBorder="1" applyAlignment="1">
      <alignment horizontal="center" vertical="center"/>
    </xf>
    <xf numFmtId="2" fontId="761" fillId="762" borderId="706" xfId="0" applyNumberFormat="1" applyFont="1" applyFill="1" applyBorder="1" applyAlignment="1">
      <alignment horizontal="center"/>
    </xf>
    <xf numFmtId="0" fontId="762" fillId="763" borderId="707" xfId="0" applyFont="1" applyFill="1" applyBorder="1" applyAlignment="1">
      <alignment horizontal="center"/>
    </xf>
    <xf numFmtId="1" fontId="763" fillId="764" borderId="708" xfId="0" applyNumberFormat="1" applyFont="1" applyFill="1" applyBorder="1" applyAlignment="1">
      <alignment horizontal="center"/>
    </xf>
    <xf numFmtId="0" fontId="764" fillId="765" borderId="709" xfId="0" applyFont="1" applyFill="1" applyBorder="1"/>
    <xf numFmtId="0" fontId="765" fillId="766" borderId="710" xfId="0" applyFont="1" applyFill="1" applyBorder="1"/>
    <xf numFmtId="0" fontId="766" fillId="767" borderId="711" xfId="0" applyFont="1" applyFill="1" applyBorder="1"/>
    <xf numFmtId="0" fontId="767" fillId="768" borderId="712" xfId="0" applyFont="1" applyFill="1" applyBorder="1" applyAlignment="1">
      <alignment horizontal="center" vertical="center"/>
    </xf>
    <xf numFmtId="0" fontId="768" fillId="769" borderId="713" xfId="0" applyFont="1" applyFill="1" applyBorder="1" applyAlignment="1">
      <alignment horizontal="center" vertical="center"/>
    </xf>
    <xf numFmtId="0" fontId="769" fillId="770" borderId="714" xfId="0" applyFont="1" applyFill="1" applyBorder="1" applyAlignment="1">
      <alignment horizontal="center" vertical="center"/>
    </xf>
    <xf numFmtId="0" fontId="770" fillId="771" borderId="715" xfId="0" applyFont="1" applyFill="1" applyBorder="1" applyAlignment="1">
      <alignment horizontal="center" vertical="center"/>
    </xf>
    <xf numFmtId="0" fontId="771" fillId="772" borderId="716" xfId="0" applyFont="1" applyFill="1" applyBorder="1" applyAlignment="1">
      <alignment horizontal="center" vertical="center"/>
    </xf>
    <xf numFmtId="0" fontId="772" fillId="773" borderId="717" xfId="0" applyFont="1" applyFill="1" applyBorder="1" applyAlignment="1">
      <alignment horizontal="center" vertical="center"/>
    </xf>
    <xf numFmtId="0" fontId="773" fillId="774" borderId="718" xfId="0" applyFont="1" applyFill="1" applyBorder="1" applyAlignment="1">
      <alignment horizontal="center" vertical="center"/>
    </xf>
    <xf numFmtId="2" fontId="774" fillId="775" borderId="719" xfId="0" applyNumberFormat="1" applyFont="1" applyFill="1" applyBorder="1" applyAlignment="1">
      <alignment horizontal="center"/>
    </xf>
    <xf numFmtId="0" fontId="775" fillId="776" borderId="720" xfId="0" applyFont="1" applyFill="1" applyBorder="1" applyAlignment="1">
      <alignment horizontal="center"/>
    </xf>
    <xf numFmtId="1" fontId="776" fillId="777" borderId="721" xfId="0" applyNumberFormat="1" applyFont="1" applyFill="1" applyBorder="1" applyAlignment="1">
      <alignment horizontal="center"/>
    </xf>
    <xf numFmtId="0" fontId="777" fillId="778" borderId="722" xfId="0" applyFont="1" applyFill="1" applyBorder="1"/>
    <xf numFmtId="0" fontId="778" fillId="779" borderId="723" xfId="0" applyFont="1" applyFill="1" applyBorder="1"/>
    <xf numFmtId="0" fontId="779" fillId="780" borderId="724" xfId="0" applyFont="1" applyFill="1" applyBorder="1"/>
    <xf numFmtId="0" fontId="780" fillId="781" borderId="725" xfId="0" applyFont="1" applyFill="1" applyBorder="1" applyAlignment="1">
      <alignment horizontal="center" vertical="center"/>
    </xf>
    <xf numFmtId="0" fontId="781" fillId="782" borderId="726" xfId="0" applyFont="1" applyFill="1" applyBorder="1" applyAlignment="1">
      <alignment horizontal="center" vertical="center"/>
    </xf>
    <xf numFmtId="0" fontId="782" fillId="783" borderId="727" xfId="0" applyFont="1" applyFill="1" applyBorder="1" applyAlignment="1">
      <alignment horizontal="center" vertical="center"/>
    </xf>
    <xf numFmtId="0" fontId="783" fillId="784" borderId="728" xfId="0" applyFont="1" applyFill="1" applyBorder="1" applyAlignment="1">
      <alignment horizontal="center" vertical="center"/>
    </xf>
    <xf numFmtId="0" fontId="784" fillId="785" borderId="729" xfId="0" applyFont="1" applyFill="1" applyBorder="1" applyAlignment="1">
      <alignment horizontal="center" vertical="center"/>
    </xf>
    <xf numFmtId="0" fontId="785" fillId="786" borderId="730" xfId="0" applyFont="1" applyFill="1" applyBorder="1" applyAlignment="1">
      <alignment horizontal="center" vertical="center"/>
    </xf>
    <xf numFmtId="0" fontId="786" fillId="787" borderId="731" xfId="0" applyFont="1" applyFill="1" applyBorder="1" applyAlignment="1">
      <alignment horizontal="center" vertical="center"/>
    </xf>
    <xf numFmtId="2" fontId="787" fillId="788" borderId="732" xfId="0" applyNumberFormat="1" applyFont="1" applyFill="1" applyBorder="1" applyAlignment="1">
      <alignment horizontal="center"/>
    </xf>
    <xf numFmtId="0" fontId="788" fillId="789" borderId="733" xfId="0" applyFont="1" applyFill="1" applyBorder="1" applyAlignment="1">
      <alignment horizontal="center"/>
    </xf>
    <xf numFmtId="1" fontId="789" fillId="790" borderId="734" xfId="0" applyNumberFormat="1" applyFont="1" applyFill="1" applyBorder="1" applyAlignment="1">
      <alignment horizontal="center"/>
    </xf>
    <xf numFmtId="0" fontId="790" fillId="791" borderId="735" xfId="0" applyFont="1" applyFill="1" applyBorder="1"/>
    <xf numFmtId="0" fontId="791" fillId="792" borderId="736" xfId="0" applyFont="1" applyFill="1" applyBorder="1"/>
    <xf numFmtId="0" fontId="792" fillId="793" borderId="737" xfId="0" applyFont="1" applyFill="1" applyBorder="1"/>
    <xf numFmtId="0" fontId="793" fillId="794" borderId="738" xfId="0" applyFont="1" applyFill="1" applyBorder="1" applyAlignment="1">
      <alignment horizontal="center" vertical="center"/>
    </xf>
    <xf numFmtId="0" fontId="794" fillId="795" borderId="739" xfId="0" applyFont="1" applyFill="1" applyBorder="1" applyAlignment="1">
      <alignment horizontal="center" vertical="center"/>
    </xf>
    <xf numFmtId="0" fontId="795" fillId="796" borderId="740" xfId="0" applyFont="1" applyFill="1" applyBorder="1" applyAlignment="1">
      <alignment horizontal="center" vertical="center"/>
    </xf>
    <xf numFmtId="0" fontId="796" fillId="797" borderId="741" xfId="0" applyFont="1" applyFill="1" applyBorder="1" applyAlignment="1">
      <alignment horizontal="center" vertical="center"/>
    </xf>
    <xf numFmtId="0" fontId="797" fillId="798" borderId="742" xfId="0" applyFont="1" applyFill="1" applyBorder="1" applyAlignment="1">
      <alignment horizontal="center" vertical="center"/>
    </xf>
    <xf numFmtId="0" fontId="798" fillId="799" borderId="743" xfId="0" applyFont="1" applyFill="1" applyBorder="1" applyAlignment="1">
      <alignment horizontal="center" vertical="center"/>
    </xf>
    <xf numFmtId="0" fontId="799" fillId="800" borderId="744" xfId="0" applyFont="1" applyFill="1" applyBorder="1" applyAlignment="1">
      <alignment horizontal="center" vertical="center"/>
    </xf>
    <xf numFmtId="2" fontId="800" fillId="801" borderId="745" xfId="0" applyNumberFormat="1" applyFont="1" applyFill="1" applyBorder="1" applyAlignment="1">
      <alignment horizontal="center"/>
    </xf>
    <xf numFmtId="0" fontId="801" fillId="802" borderId="746" xfId="0" applyFont="1" applyFill="1" applyBorder="1" applyAlignment="1">
      <alignment horizontal="center"/>
    </xf>
    <xf numFmtId="1" fontId="802" fillId="803" borderId="747" xfId="0" applyNumberFormat="1" applyFont="1" applyFill="1" applyBorder="1" applyAlignment="1">
      <alignment horizontal="center"/>
    </xf>
    <xf numFmtId="0" fontId="803" fillId="804" borderId="748" xfId="0" applyFont="1" applyFill="1" applyBorder="1"/>
    <xf numFmtId="0" fontId="804" fillId="805" borderId="749" xfId="0" applyFont="1" applyFill="1" applyBorder="1"/>
    <xf numFmtId="0" fontId="805" fillId="806" borderId="750" xfId="0" applyFont="1" applyFill="1" applyBorder="1"/>
    <xf numFmtId="0" fontId="806" fillId="807" borderId="751" xfId="0" applyFont="1" applyFill="1" applyBorder="1" applyAlignment="1">
      <alignment horizontal="center" vertical="center"/>
    </xf>
    <xf numFmtId="0" fontId="807" fillId="808" borderId="752" xfId="0" applyFont="1" applyFill="1" applyBorder="1" applyAlignment="1">
      <alignment horizontal="center" vertical="center"/>
    </xf>
    <xf numFmtId="0" fontId="808" fillId="809" borderId="753" xfId="0" applyFont="1" applyFill="1" applyBorder="1" applyAlignment="1">
      <alignment horizontal="center" vertical="center"/>
    </xf>
    <xf numFmtId="0" fontId="809" fillId="810" borderId="754" xfId="0" applyFont="1" applyFill="1" applyBorder="1" applyAlignment="1">
      <alignment horizontal="center" vertical="center"/>
    </xf>
    <xf numFmtId="0" fontId="810" fillId="811" borderId="755" xfId="0" applyFont="1" applyFill="1" applyBorder="1" applyAlignment="1">
      <alignment horizontal="center" vertical="center"/>
    </xf>
    <xf numFmtId="0" fontId="811" fillId="812" borderId="756" xfId="0" applyFont="1" applyFill="1" applyBorder="1" applyAlignment="1">
      <alignment horizontal="center" vertical="center"/>
    </xf>
    <xf numFmtId="0" fontId="812" fillId="813" borderId="757" xfId="0" applyFont="1" applyFill="1" applyBorder="1" applyAlignment="1">
      <alignment horizontal="center" vertical="center"/>
    </xf>
    <xf numFmtId="2" fontId="813" fillId="814" borderId="758" xfId="0" applyNumberFormat="1" applyFont="1" applyFill="1" applyBorder="1" applyAlignment="1">
      <alignment horizontal="center"/>
    </xf>
    <xf numFmtId="0" fontId="814" fillId="815" borderId="759" xfId="0" applyFont="1" applyFill="1" applyBorder="1" applyAlignment="1">
      <alignment horizontal="center"/>
    </xf>
    <xf numFmtId="1" fontId="815" fillId="816" borderId="760" xfId="0" applyNumberFormat="1" applyFont="1" applyFill="1" applyBorder="1" applyAlignment="1">
      <alignment horizontal="center"/>
    </xf>
    <xf numFmtId="0" fontId="816" fillId="817" borderId="761" xfId="0" applyFont="1" applyFill="1" applyBorder="1"/>
    <xf numFmtId="0" fontId="817" fillId="818" borderId="762" xfId="0" applyFont="1" applyFill="1" applyBorder="1"/>
    <xf numFmtId="0" fontId="818" fillId="819" borderId="763" xfId="0" applyFont="1" applyFill="1" applyBorder="1"/>
    <xf numFmtId="0" fontId="819" fillId="820" borderId="764" xfId="0" applyFont="1" applyFill="1" applyBorder="1" applyAlignment="1">
      <alignment horizontal="center" vertical="center"/>
    </xf>
    <xf numFmtId="0" fontId="820" fillId="821" borderId="765" xfId="0" applyFont="1" applyFill="1" applyBorder="1" applyAlignment="1">
      <alignment horizontal="center" vertical="center"/>
    </xf>
    <xf numFmtId="0" fontId="821" fillId="822" borderId="766" xfId="0" applyFont="1" applyFill="1" applyBorder="1" applyAlignment="1">
      <alignment horizontal="center" vertical="center"/>
    </xf>
    <xf numFmtId="0" fontId="822" fillId="823" borderId="767" xfId="0" applyFont="1" applyFill="1" applyBorder="1" applyAlignment="1">
      <alignment horizontal="center" vertical="center"/>
    </xf>
    <xf numFmtId="0" fontId="823" fillId="824" borderId="768" xfId="0" applyFont="1" applyFill="1" applyBorder="1" applyAlignment="1">
      <alignment horizontal="center" vertical="center"/>
    </xf>
    <xf numFmtId="0" fontId="824" fillId="825" borderId="769" xfId="0" applyFont="1" applyFill="1" applyBorder="1" applyAlignment="1">
      <alignment horizontal="center" vertical="center"/>
    </xf>
    <xf numFmtId="0" fontId="825" fillId="826" borderId="770" xfId="0" applyFont="1" applyFill="1" applyBorder="1" applyAlignment="1">
      <alignment horizontal="center" vertical="center"/>
    </xf>
    <xf numFmtId="2" fontId="826" fillId="827" borderId="771" xfId="0" applyNumberFormat="1" applyFont="1" applyFill="1" applyBorder="1" applyAlignment="1">
      <alignment horizontal="center"/>
    </xf>
    <xf numFmtId="0" fontId="827" fillId="828" borderId="772" xfId="0" applyFont="1" applyFill="1" applyBorder="1" applyAlignment="1">
      <alignment horizontal="center"/>
    </xf>
    <xf numFmtId="1" fontId="828" fillId="829" borderId="773" xfId="0" applyNumberFormat="1" applyFont="1" applyFill="1" applyBorder="1" applyAlignment="1">
      <alignment horizontal="center"/>
    </xf>
    <xf numFmtId="0" fontId="829" fillId="830" borderId="774" xfId="0" applyFont="1" applyFill="1" applyBorder="1"/>
    <xf numFmtId="0" fontId="830" fillId="831" borderId="775" xfId="0" applyFont="1" applyFill="1" applyBorder="1"/>
    <xf numFmtId="0" fontId="831" fillId="832" borderId="776" xfId="0" applyFont="1" applyFill="1" applyBorder="1"/>
    <xf numFmtId="0" fontId="832" fillId="833" borderId="777" xfId="0" applyFont="1" applyFill="1" applyBorder="1" applyAlignment="1">
      <alignment horizontal="center" vertical="center"/>
    </xf>
    <xf numFmtId="0" fontId="833" fillId="834" borderId="778" xfId="0" applyFont="1" applyFill="1" applyBorder="1" applyAlignment="1">
      <alignment horizontal="center" vertical="center"/>
    </xf>
    <xf numFmtId="0" fontId="834" fillId="835" borderId="779" xfId="0" applyFont="1" applyFill="1" applyBorder="1" applyAlignment="1">
      <alignment horizontal="center" vertical="center"/>
    </xf>
    <xf numFmtId="0" fontId="835" fillId="836" borderId="780" xfId="0" applyFont="1" applyFill="1" applyBorder="1" applyAlignment="1">
      <alignment horizontal="center" vertical="center"/>
    </xf>
    <xf numFmtId="0" fontId="836" fillId="837" borderId="781" xfId="0" applyFont="1" applyFill="1" applyBorder="1" applyAlignment="1">
      <alignment horizontal="center" vertical="center"/>
    </xf>
    <xf numFmtId="0" fontId="837" fillId="838" borderId="782" xfId="0" applyFont="1" applyFill="1" applyBorder="1" applyAlignment="1">
      <alignment horizontal="center" vertical="center"/>
    </xf>
    <xf numFmtId="0" fontId="838" fillId="839" borderId="783" xfId="0" applyFont="1" applyFill="1" applyBorder="1" applyAlignment="1">
      <alignment horizontal="center" vertical="center"/>
    </xf>
    <xf numFmtId="2" fontId="839" fillId="840" borderId="784" xfId="0" applyNumberFormat="1" applyFont="1" applyFill="1" applyBorder="1" applyAlignment="1">
      <alignment horizontal="center"/>
    </xf>
    <xf numFmtId="0" fontId="840" fillId="841" borderId="785" xfId="0" applyFont="1" applyFill="1" applyBorder="1" applyAlignment="1">
      <alignment horizontal="center"/>
    </xf>
    <xf numFmtId="1" fontId="841" fillId="842" borderId="786" xfId="0" applyNumberFormat="1" applyFont="1" applyFill="1" applyBorder="1" applyAlignment="1">
      <alignment horizontal="center"/>
    </xf>
    <xf numFmtId="0" fontId="842" fillId="843" borderId="787" xfId="0" applyFont="1" applyFill="1" applyBorder="1"/>
    <xf numFmtId="0" fontId="843" fillId="844" borderId="788" xfId="0" applyFont="1" applyFill="1" applyBorder="1"/>
    <xf numFmtId="0" fontId="844" fillId="845" borderId="789" xfId="0" applyFont="1" applyFill="1" applyBorder="1"/>
    <xf numFmtId="0" fontId="845" fillId="846" borderId="790" xfId="0" applyFont="1" applyFill="1" applyBorder="1" applyAlignment="1">
      <alignment horizontal="center" vertical="center"/>
    </xf>
    <xf numFmtId="0" fontId="846" fillId="847" borderId="791" xfId="0" applyFont="1" applyFill="1" applyBorder="1" applyAlignment="1">
      <alignment horizontal="center" vertical="center"/>
    </xf>
    <xf numFmtId="0" fontId="847" fillId="848" borderId="792" xfId="0" applyFont="1" applyFill="1" applyBorder="1" applyAlignment="1">
      <alignment horizontal="center" vertical="center"/>
    </xf>
    <xf numFmtId="0" fontId="848" fillId="849" borderId="793" xfId="0" applyFont="1" applyFill="1" applyBorder="1" applyAlignment="1">
      <alignment horizontal="center" vertical="center"/>
    </xf>
    <xf numFmtId="0" fontId="849" fillId="850" borderId="794" xfId="0" applyFont="1" applyFill="1" applyBorder="1" applyAlignment="1">
      <alignment horizontal="center" vertical="center"/>
    </xf>
    <xf numFmtId="0" fontId="850" fillId="851" borderId="795" xfId="0" applyFont="1" applyFill="1" applyBorder="1" applyAlignment="1">
      <alignment horizontal="center" vertical="center"/>
    </xf>
    <xf numFmtId="0" fontId="851" fillId="852" borderId="796" xfId="0" applyFont="1" applyFill="1" applyBorder="1" applyAlignment="1">
      <alignment horizontal="center" vertical="center"/>
    </xf>
    <xf numFmtId="2" fontId="852" fillId="853" borderId="797" xfId="0" applyNumberFormat="1" applyFont="1" applyFill="1" applyBorder="1" applyAlignment="1">
      <alignment horizontal="center"/>
    </xf>
    <xf numFmtId="0" fontId="853" fillId="854" borderId="798" xfId="0" applyFont="1" applyFill="1" applyBorder="1" applyAlignment="1">
      <alignment horizontal="center"/>
    </xf>
    <xf numFmtId="1" fontId="854" fillId="855" borderId="799" xfId="0" applyNumberFormat="1" applyFont="1" applyFill="1" applyBorder="1" applyAlignment="1">
      <alignment horizontal="center"/>
    </xf>
    <xf numFmtId="0" fontId="855" fillId="856" borderId="800" xfId="0" applyFont="1" applyFill="1" applyBorder="1"/>
    <xf numFmtId="0" fontId="856" fillId="857" borderId="801" xfId="0" applyFont="1" applyFill="1" applyBorder="1"/>
    <xf numFmtId="0" fontId="857" fillId="858" borderId="802" xfId="0" applyFont="1" applyFill="1" applyBorder="1"/>
    <xf numFmtId="0" fontId="858" fillId="859" borderId="803" xfId="0" applyFont="1" applyFill="1" applyBorder="1" applyAlignment="1">
      <alignment horizontal="center" vertical="center"/>
    </xf>
    <xf numFmtId="0" fontId="859" fillId="860" borderId="804" xfId="0" applyFont="1" applyFill="1" applyBorder="1" applyAlignment="1">
      <alignment horizontal="center" vertical="center"/>
    </xf>
    <xf numFmtId="0" fontId="860" fillId="861" borderId="805" xfId="0" applyFont="1" applyFill="1" applyBorder="1" applyAlignment="1">
      <alignment horizontal="center" vertical="center"/>
    </xf>
    <xf numFmtId="0" fontId="861" fillId="862" borderId="806" xfId="0" applyFont="1" applyFill="1" applyBorder="1" applyAlignment="1">
      <alignment horizontal="center" vertical="center"/>
    </xf>
    <xf numFmtId="0" fontId="862" fillId="863" borderId="807" xfId="0" applyFont="1" applyFill="1" applyBorder="1" applyAlignment="1">
      <alignment horizontal="center" vertical="center"/>
    </xf>
    <xf numFmtId="0" fontId="863" fillId="864" borderId="808" xfId="0" applyFont="1" applyFill="1" applyBorder="1" applyAlignment="1">
      <alignment horizontal="center" vertical="center"/>
    </xf>
    <xf numFmtId="0" fontId="864" fillId="865" borderId="809" xfId="0" applyFont="1" applyFill="1" applyBorder="1" applyAlignment="1">
      <alignment horizontal="center" vertical="center"/>
    </xf>
    <xf numFmtId="2" fontId="865" fillId="866" borderId="810" xfId="0" applyNumberFormat="1" applyFont="1" applyFill="1" applyBorder="1" applyAlignment="1">
      <alignment horizontal="center"/>
    </xf>
    <xf numFmtId="0" fontId="866" fillId="867" borderId="811" xfId="0" applyFont="1" applyFill="1" applyBorder="1" applyAlignment="1">
      <alignment horizontal="center"/>
    </xf>
    <xf numFmtId="1" fontId="867" fillId="868" borderId="812" xfId="0" applyNumberFormat="1" applyFont="1" applyFill="1" applyBorder="1" applyAlignment="1">
      <alignment horizontal="center"/>
    </xf>
    <xf numFmtId="0" fontId="868" fillId="869" borderId="813" xfId="0" applyFont="1" applyFill="1" applyBorder="1"/>
    <xf numFmtId="0" fontId="869" fillId="870" borderId="814" xfId="0" applyFont="1" applyFill="1" applyBorder="1"/>
    <xf numFmtId="0" fontId="870" fillId="871" borderId="815" xfId="0" applyFont="1" applyFill="1" applyBorder="1"/>
    <xf numFmtId="0" fontId="871" fillId="872" borderId="816" xfId="0" applyFont="1" applyFill="1" applyBorder="1" applyAlignment="1">
      <alignment horizontal="center" vertical="center"/>
    </xf>
    <xf numFmtId="0" fontId="872" fillId="873" borderId="817" xfId="0" applyFont="1" applyFill="1" applyBorder="1" applyAlignment="1">
      <alignment horizontal="center" vertical="center"/>
    </xf>
    <xf numFmtId="0" fontId="873" fillId="874" borderId="818" xfId="0" applyFont="1" applyFill="1" applyBorder="1" applyAlignment="1">
      <alignment horizontal="center" vertical="center"/>
    </xf>
    <xf numFmtId="0" fontId="874" fillId="875" borderId="819" xfId="0" applyFont="1" applyFill="1" applyBorder="1" applyAlignment="1">
      <alignment horizontal="center" vertical="center"/>
    </xf>
    <xf numFmtId="0" fontId="875" fillId="876" borderId="820" xfId="0" applyFont="1" applyFill="1" applyBorder="1" applyAlignment="1">
      <alignment horizontal="center" vertical="center"/>
    </xf>
    <xf numFmtId="0" fontId="876" fillId="877" borderId="821" xfId="0" applyFont="1" applyFill="1" applyBorder="1" applyAlignment="1">
      <alignment horizontal="center" vertical="center"/>
    </xf>
    <xf numFmtId="0" fontId="877" fillId="878" borderId="822" xfId="0" applyFont="1" applyFill="1" applyBorder="1" applyAlignment="1">
      <alignment horizontal="center" vertical="center"/>
    </xf>
    <xf numFmtId="2" fontId="878" fillId="879" borderId="823" xfId="0" applyNumberFormat="1" applyFont="1" applyFill="1" applyBorder="1" applyAlignment="1">
      <alignment horizontal="center"/>
    </xf>
    <xf numFmtId="0" fontId="879" fillId="880" borderId="824" xfId="0" applyFont="1" applyFill="1" applyBorder="1" applyAlignment="1">
      <alignment horizontal="center"/>
    </xf>
    <xf numFmtId="1" fontId="880" fillId="881" borderId="825" xfId="0" applyNumberFormat="1" applyFont="1" applyFill="1" applyBorder="1" applyAlignment="1">
      <alignment horizontal="center"/>
    </xf>
    <xf numFmtId="0" fontId="881" fillId="882" borderId="826" xfId="0" applyFont="1" applyFill="1" applyBorder="1"/>
    <xf numFmtId="0" fontId="882" fillId="883" borderId="827" xfId="0" applyFont="1" applyFill="1" applyBorder="1"/>
    <xf numFmtId="0" fontId="883" fillId="884" borderId="828" xfId="0" applyFont="1" applyFill="1" applyBorder="1"/>
    <xf numFmtId="0" fontId="884" fillId="885" borderId="829" xfId="0" applyFont="1" applyFill="1" applyBorder="1" applyAlignment="1">
      <alignment horizontal="center" vertical="center"/>
    </xf>
    <xf numFmtId="0" fontId="885" fillId="886" borderId="830" xfId="0" applyFont="1" applyFill="1" applyBorder="1" applyAlignment="1">
      <alignment horizontal="center" vertical="center"/>
    </xf>
    <xf numFmtId="0" fontId="886" fillId="887" borderId="831" xfId="0" applyFont="1" applyFill="1" applyBorder="1" applyAlignment="1">
      <alignment horizontal="center" vertical="center"/>
    </xf>
    <xf numFmtId="0" fontId="887" fillId="888" borderId="832" xfId="0" applyFont="1" applyFill="1" applyBorder="1" applyAlignment="1">
      <alignment horizontal="center" vertical="center"/>
    </xf>
    <xf numFmtId="0" fontId="888" fillId="889" borderId="833" xfId="0" applyFont="1" applyFill="1" applyBorder="1" applyAlignment="1">
      <alignment horizontal="center" vertical="center"/>
    </xf>
    <xf numFmtId="0" fontId="889" fillId="890" borderId="834" xfId="0" applyFont="1" applyFill="1" applyBorder="1" applyAlignment="1">
      <alignment horizontal="center" vertical="center"/>
    </xf>
    <xf numFmtId="0" fontId="890" fillId="891" borderId="835" xfId="0" applyFont="1" applyFill="1" applyBorder="1" applyAlignment="1">
      <alignment horizontal="center" vertical="center"/>
    </xf>
    <xf numFmtId="2" fontId="891" fillId="892" borderId="836" xfId="0" applyNumberFormat="1" applyFont="1" applyFill="1" applyBorder="1" applyAlignment="1">
      <alignment horizontal="center"/>
    </xf>
    <xf numFmtId="0" fontId="892" fillId="893" borderId="837" xfId="0" applyFont="1" applyFill="1" applyBorder="1" applyAlignment="1">
      <alignment horizontal="center"/>
    </xf>
    <xf numFmtId="1" fontId="893" fillId="894" borderId="838" xfId="0" applyNumberFormat="1" applyFont="1" applyFill="1" applyBorder="1" applyAlignment="1">
      <alignment horizontal="center"/>
    </xf>
    <xf numFmtId="0" fontId="894" fillId="895" borderId="839" xfId="0" applyFont="1" applyFill="1" applyBorder="1"/>
    <xf numFmtId="0" fontId="895" fillId="896" borderId="840" xfId="0" applyFont="1" applyFill="1" applyBorder="1"/>
    <xf numFmtId="0" fontId="896" fillId="897" borderId="841" xfId="0" applyFont="1" applyFill="1" applyBorder="1"/>
    <xf numFmtId="0" fontId="897" fillId="898" borderId="842" xfId="0" applyFont="1" applyFill="1" applyBorder="1" applyAlignment="1">
      <alignment horizontal="center" vertical="center"/>
    </xf>
    <xf numFmtId="0" fontId="898" fillId="899" borderId="843" xfId="0" applyFont="1" applyFill="1" applyBorder="1" applyAlignment="1">
      <alignment horizontal="center" vertical="center"/>
    </xf>
    <xf numFmtId="0" fontId="899" fillId="900" borderId="844" xfId="0" applyFont="1" applyFill="1" applyBorder="1" applyAlignment="1">
      <alignment horizontal="center" vertical="center"/>
    </xf>
    <xf numFmtId="0" fontId="900" fillId="901" borderId="845" xfId="0" applyFont="1" applyFill="1" applyBorder="1" applyAlignment="1">
      <alignment horizontal="center" vertical="center"/>
    </xf>
    <xf numFmtId="0" fontId="901" fillId="902" borderId="846" xfId="0" applyFont="1" applyFill="1" applyBorder="1" applyAlignment="1">
      <alignment horizontal="center" vertical="center"/>
    </xf>
    <xf numFmtId="0" fontId="902" fillId="903" borderId="847" xfId="0" applyFont="1" applyFill="1" applyBorder="1" applyAlignment="1">
      <alignment horizontal="center" vertical="center"/>
    </xf>
    <xf numFmtId="0" fontId="903" fillId="904" borderId="848" xfId="0" applyFont="1" applyFill="1" applyBorder="1" applyAlignment="1">
      <alignment horizontal="center" vertical="center"/>
    </xf>
    <xf numFmtId="2" fontId="904" fillId="905" borderId="849" xfId="0" applyNumberFormat="1" applyFont="1" applyFill="1" applyBorder="1" applyAlignment="1">
      <alignment horizontal="center"/>
    </xf>
    <xf numFmtId="0" fontId="905" fillId="906" borderId="850" xfId="0" applyFont="1" applyFill="1" applyBorder="1" applyAlignment="1">
      <alignment horizontal="center"/>
    </xf>
    <xf numFmtId="1" fontId="906" fillId="907" borderId="851" xfId="0" applyNumberFormat="1" applyFont="1" applyFill="1" applyBorder="1" applyAlignment="1">
      <alignment horizontal="center"/>
    </xf>
    <xf numFmtId="0" fontId="907" fillId="908" borderId="852" xfId="0" applyFont="1" applyFill="1" applyBorder="1"/>
    <xf numFmtId="0" fontId="908" fillId="909" borderId="853" xfId="0" applyFont="1" applyFill="1" applyBorder="1"/>
    <xf numFmtId="0" fontId="909" fillId="910" borderId="854" xfId="0" applyFont="1" applyFill="1" applyBorder="1"/>
    <xf numFmtId="0" fontId="910" fillId="911" borderId="855" xfId="0" applyFont="1" applyFill="1" applyBorder="1" applyAlignment="1">
      <alignment horizontal="center" vertical="center"/>
    </xf>
    <xf numFmtId="0" fontId="911" fillId="912" borderId="856" xfId="0" applyFont="1" applyFill="1" applyBorder="1" applyAlignment="1">
      <alignment horizontal="center" vertical="center"/>
    </xf>
    <xf numFmtId="0" fontId="912" fillId="913" borderId="857" xfId="0" applyFont="1" applyFill="1" applyBorder="1" applyAlignment="1">
      <alignment horizontal="center" vertical="center"/>
    </xf>
    <xf numFmtId="0" fontId="913" fillId="914" borderId="858" xfId="0" applyFont="1" applyFill="1" applyBorder="1" applyAlignment="1">
      <alignment horizontal="center" vertical="center"/>
    </xf>
    <xf numFmtId="0" fontId="914" fillId="915" borderId="859" xfId="0" applyFont="1" applyFill="1" applyBorder="1" applyAlignment="1">
      <alignment horizontal="center" vertical="center"/>
    </xf>
    <xf numFmtId="0" fontId="915" fillId="916" borderId="860" xfId="0" applyFont="1" applyFill="1" applyBorder="1" applyAlignment="1">
      <alignment horizontal="center" vertical="center"/>
    </xf>
    <xf numFmtId="0" fontId="916" fillId="917" borderId="861" xfId="0" applyFont="1" applyFill="1" applyBorder="1" applyAlignment="1">
      <alignment horizontal="center" vertical="center"/>
    </xf>
    <xf numFmtId="2" fontId="917" fillId="918" borderId="862" xfId="0" applyNumberFormat="1" applyFont="1" applyFill="1" applyBorder="1" applyAlignment="1">
      <alignment horizontal="center"/>
    </xf>
    <xf numFmtId="0" fontId="918" fillId="919" borderId="863" xfId="0" applyFont="1" applyFill="1" applyBorder="1" applyAlignment="1">
      <alignment horizontal="center"/>
    </xf>
    <xf numFmtId="1" fontId="919" fillId="920" borderId="864" xfId="0" applyNumberFormat="1" applyFont="1" applyFill="1" applyBorder="1" applyAlignment="1">
      <alignment horizontal="center"/>
    </xf>
    <xf numFmtId="0" fontId="920" fillId="921" borderId="865" xfId="0" applyFont="1" applyFill="1" applyBorder="1"/>
    <xf numFmtId="0" fontId="921" fillId="922" borderId="866" xfId="0" applyFont="1" applyFill="1" applyBorder="1"/>
    <xf numFmtId="0" fontId="922" fillId="923" borderId="867" xfId="0" applyFont="1" applyFill="1" applyBorder="1"/>
    <xf numFmtId="0" fontId="923" fillId="924" borderId="868" xfId="0" applyFont="1" applyFill="1" applyBorder="1" applyAlignment="1">
      <alignment horizontal="center" vertical="center"/>
    </xf>
    <xf numFmtId="0" fontId="924" fillId="925" borderId="869" xfId="0" applyFont="1" applyFill="1" applyBorder="1" applyAlignment="1">
      <alignment horizontal="center" vertical="center"/>
    </xf>
    <xf numFmtId="0" fontId="925" fillId="926" borderId="870" xfId="0" applyFont="1" applyFill="1" applyBorder="1" applyAlignment="1">
      <alignment horizontal="center" vertical="center"/>
    </xf>
    <xf numFmtId="0" fontId="926" fillId="927" borderId="871" xfId="0" applyFont="1" applyFill="1" applyBorder="1" applyAlignment="1">
      <alignment horizontal="center" vertical="center"/>
    </xf>
    <xf numFmtId="0" fontId="927" fillId="928" borderId="872" xfId="0" applyFont="1" applyFill="1" applyBorder="1" applyAlignment="1">
      <alignment horizontal="center" vertical="center"/>
    </xf>
    <xf numFmtId="0" fontId="928" fillId="929" borderId="873" xfId="0" applyFont="1" applyFill="1" applyBorder="1" applyAlignment="1">
      <alignment horizontal="center" vertical="center"/>
    </xf>
    <xf numFmtId="0" fontId="929" fillId="930" borderId="874" xfId="0" applyFont="1" applyFill="1" applyBorder="1" applyAlignment="1">
      <alignment horizontal="center" vertical="center"/>
    </xf>
    <xf numFmtId="2" fontId="930" fillId="931" borderId="875" xfId="0" applyNumberFormat="1" applyFont="1" applyFill="1" applyBorder="1" applyAlignment="1">
      <alignment horizontal="center"/>
    </xf>
    <xf numFmtId="0" fontId="931" fillId="932" borderId="876" xfId="0" applyFont="1" applyFill="1" applyBorder="1" applyAlignment="1">
      <alignment horizontal="center"/>
    </xf>
    <xf numFmtId="1" fontId="932" fillId="933" borderId="877" xfId="0" applyNumberFormat="1" applyFont="1" applyFill="1" applyBorder="1" applyAlignment="1">
      <alignment horizontal="center"/>
    </xf>
    <xf numFmtId="0" fontId="933" fillId="934" borderId="878" xfId="0" applyFont="1" applyFill="1" applyBorder="1"/>
    <xf numFmtId="0" fontId="934" fillId="935" borderId="879" xfId="0" applyFont="1" applyFill="1" applyBorder="1"/>
    <xf numFmtId="0" fontId="935" fillId="936" borderId="880" xfId="0" applyFont="1" applyFill="1" applyBorder="1"/>
    <xf numFmtId="0" fontId="936" fillId="937" borderId="881" xfId="0" applyFont="1" applyFill="1" applyBorder="1" applyAlignment="1">
      <alignment horizontal="center" vertical="center"/>
    </xf>
    <xf numFmtId="0" fontId="937" fillId="938" borderId="882" xfId="0" applyFont="1" applyFill="1" applyBorder="1" applyAlignment="1">
      <alignment horizontal="center" vertical="center"/>
    </xf>
    <xf numFmtId="0" fontId="938" fillId="939" borderId="883" xfId="0" applyFont="1" applyFill="1" applyBorder="1" applyAlignment="1">
      <alignment horizontal="center" vertical="center"/>
    </xf>
    <xf numFmtId="0" fontId="939" fillId="940" borderId="884" xfId="0" applyFont="1" applyFill="1" applyBorder="1" applyAlignment="1">
      <alignment horizontal="center" vertical="center"/>
    </xf>
    <xf numFmtId="0" fontId="940" fillId="941" borderId="885" xfId="0" applyFont="1" applyFill="1" applyBorder="1" applyAlignment="1">
      <alignment horizontal="center" vertical="center"/>
    </xf>
    <xf numFmtId="0" fontId="941" fillId="942" borderId="886" xfId="0" applyFont="1" applyFill="1" applyBorder="1" applyAlignment="1">
      <alignment horizontal="center" vertical="center"/>
    </xf>
    <xf numFmtId="0" fontId="942" fillId="943" borderId="887" xfId="0" applyFont="1" applyFill="1" applyBorder="1" applyAlignment="1">
      <alignment horizontal="center" vertical="center"/>
    </xf>
    <xf numFmtId="2" fontId="943" fillId="944" borderId="888" xfId="0" applyNumberFormat="1" applyFont="1" applyFill="1" applyBorder="1" applyAlignment="1">
      <alignment horizontal="center"/>
    </xf>
    <xf numFmtId="0" fontId="944" fillId="945" borderId="889" xfId="0" applyFont="1" applyFill="1" applyBorder="1" applyAlignment="1">
      <alignment horizontal="center"/>
    </xf>
    <xf numFmtId="1" fontId="945" fillId="946" borderId="890" xfId="0" applyNumberFormat="1" applyFont="1" applyFill="1" applyBorder="1" applyAlignment="1">
      <alignment horizontal="center"/>
    </xf>
    <xf numFmtId="0" fontId="946" fillId="947" borderId="891" xfId="0" applyFont="1" applyFill="1" applyBorder="1"/>
    <xf numFmtId="0" fontId="947" fillId="948" borderId="892" xfId="0" applyFont="1" applyFill="1" applyBorder="1"/>
    <xf numFmtId="0" fontId="948" fillId="949" borderId="893" xfId="0" applyFont="1" applyFill="1" applyBorder="1"/>
    <xf numFmtId="0" fontId="949" fillId="950" borderId="894" xfId="0" applyFont="1" applyFill="1" applyBorder="1" applyAlignment="1">
      <alignment horizontal="center" vertical="center"/>
    </xf>
    <xf numFmtId="0" fontId="950" fillId="951" borderId="895" xfId="0" applyFont="1" applyFill="1" applyBorder="1" applyAlignment="1">
      <alignment horizontal="center" vertical="center"/>
    </xf>
    <xf numFmtId="0" fontId="951" fillId="952" borderId="896" xfId="0" applyFont="1" applyFill="1" applyBorder="1" applyAlignment="1">
      <alignment horizontal="center" vertical="center"/>
    </xf>
    <xf numFmtId="0" fontId="952" fillId="953" borderId="897" xfId="0" applyFont="1" applyFill="1" applyBorder="1" applyAlignment="1">
      <alignment horizontal="center" vertical="center"/>
    </xf>
    <xf numFmtId="0" fontId="953" fillId="954" borderId="898" xfId="0" applyFont="1" applyFill="1" applyBorder="1" applyAlignment="1">
      <alignment horizontal="center" vertical="center"/>
    </xf>
    <xf numFmtId="0" fontId="954" fillId="955" borderId="899" xfId="0" applyFont="1" applyFill="1" applyBorder="1" applyAlignment="1">
      <alignment horizontal="center" vertical="center"/>
    </xf>
    <xf numFmtId="0" fontId="955" fillId="956" borderId="900" xfId="0" applyFont="1" applyFill="1" applyBorder="1" applyAlignment="1">
      <alignment horizontal="center" vertical="center"/>
    </xf>
    <xf numFmtId="2" fontId="956" fillId="957" borderId="901" xfId="0" applyNumberFormat="1" applyFont="1" applyFill="1" applyBorder="1" applyAlignment="1">
      <alignment horizontal="center"/>
    </xf>
    <xf numFmtId="0" fontId="957" fillId="958" borderId="902" xfId="0" applyFont="1" applyFill="1" applyBorder="1" applyAlignment="1">
      <alignment horizontal="center"/>
    </xf>
    <xf numFmtId="1" fontId="958" fillId="959" borderId="903" xfId="0" applyNumberFormat="1" applyFont="1" applyFill="1" applyBorder="1" applyAlignment="1">
      <alignment horizontal="center"/>
    </xf>
    <xf numFmtId="0" fontId="959" fillId="960" borderId="904" xfId="0" applyFont="1" applyFill="1" applyBorder="1"/>
    <xf numFmtId="0" fontId="960" fillId="961" borderId="905" xfId="0" applyFont="1" applyFill="1" applyBorder="1"/>
    <xf numFmtId="0" fontId="961" fillId="962" borderId="906" xfId="0" applyFont="1" applyFill="1" applyBorder="1"/>
    <xf numFmtId="0" fontId="962" fillId="963" borderId="907" xfId="0" applyFont="1" applyFill="1" applyBorder="1" applyAlignment="1">
      <alignment horizontal="center" vertical="center"/>
    </xf>
    <xf numFmtId="0" fontId="963" fillId="964" borderId="908" xfId="0" applyFont="1" applyFill="1" applyBorder="1" applyAlignment="1">
      <alignment horizontal="center" vertical="center"/>
    </xf>
    <xf numFmtId="0" fontId="964" fillId="965" borderId="909" xfId="0" applyFont="1" applyFill="1" applyBorder="1" applyAlignment="1">
      <alignment horizontal="center" vertical="center"/>
    </xf>
    <xf numFmtId="0" fontId="965" fillId="966" borderId="910" xfId="0" applyFont="1" applyFill="1" applyBorder="1" applyAlignment="1">
      <alignment horizontal="center" vertical="center"/>
    </xf>
    <xf numFmtId="0" fontId="966" fillId="967" borderId="911" xfId="0" applyFont="1" applyFill="1" applyBorder="1" applyAlignment="1">
      <alignment horizontal="center" vertical="center"/>
    </xf>
    <xf numFmtId="0" fontId="967" fillId="968" borderId="912" xfId="0" applyFont="1" applyFill="1" applyBorder="1" applyAlignment="1">
      <alignment horizontal="center" vertical="center"/>
    </xf>
    <xf numFmtId="0" fontId="968" fillId="969" borderId="913" xfId="0" applyFont="1" applyFill="1" applyBorder="1" applyAlignment="1">
      <alignment horizontal="center" vertical="center"/>
    </xf>
    <xf numFmtId="2" fontId="969" fillId="970" borderId="914" xfId="0" applyNumberFormat="1" applyFont="1" applyFill="1" applyBorder="1" applyAlignment="1">
      <alignment horizontal="center"/>
    </xf>
    <xf numFmtId="0" fontId="970" fillId="971" borderId="915" xfId="0" applyFont="1" applyFill="1" applyBorder="1" applyAlignment="1">
      <alignment horizontal="center"/>
    </xf>
    <xf numFmtId="1" fontId="971" fillId="972" borderId="916" xfId="0" applyNumberFormat="1" applyFont="1" applyFill="1" applyBorder="1" applyAlignment="1">
      <alignment horizontal="center"/>
    </xf>
    <xf numFmtId="0" fontId="972" fillId="973" borderId="917" xfId="0" applyFont="1" applyFill="1" applyBorder="1"/>
    <xf numFmtId="0" fontId="973" fillId="974" borderId="918" xfId="0" applyFont="1" applyFill="1" applyBorder="1"/>
    <xf numFmtId="0" fontId="974" fillId="975" borderId="919" xfId="0" applyFont="1" applyFill="1" applyBorder="1"/>
    <xf numFmtId="0" fontId="975" fillId="976" borderId="920" xfId="0" applyFont="1" applyFill="1" applyBorder="1" applyAlignment="1">
      <alignment horizontal="center" vertical="center"/>
    </xf>
    <xf numFmtId="0" fontId="976" fillId="977" borderId="921" xfId="0" applyFont="1" applyFill="1" applyBorder="1" applyAlignment="1">
      <alignment horizontal="center" vertical="center"/>
    </xf>
    <xf numFmtId="0" fontId="977" fillId="978" borderId="922" xfId="0" applyFont="1" applyFill="1" applyBorder="1" applyAlignment="1">
      <alignment horizontal="center" vertical="center"/>
    </xf>
    <xf numFmtId="0" fontId="978" fillId="979" borderId="923" xfId="0" applyFont="1" applyFill="1" applyBorder="1" applyAlignment="1">
      <alignment horizontal="center" vertical="center"/>
    </xf>
    <xf numFmtId="0" fontId="979" fillId="980" borderId="924" xfId="0" applyFont="1" applyFill="1" applyBorder="1" applyAlignment="1">
      <alignment horizontal="center" vertical="center"/>
    </xf>
    <xf numFmtId="0" fontId="980" fillId="981" borderId="925" xfId="0" applyFont="1" applyFill="1" applyBorder="1" applyAlignment="1">
      <alignment horizontal="center" vertical="center"/>
    </xf>
    <xf numFmtId="0" fontId="981" fillId="982" borderId="926" xfId="0" applyFont="1" applyFill="1" applyBorder="1" applyAlignment="1">
      <alignment horizontal="center" vertical="center"/>
    </xf>
    <xf numFmtId="2" fontId="982" fillId="983" borderId="927" xfId="0" applyNumberFormat="1" applyFont="1" applyFill="1" applyBorder="1" applyAlignment="1">
      <alignment horizontal="center"/>
    </xf>
    <xf numFmtId="0" fontId="983" fillId="984" borderId="928" xfId="0" applyFont="1" applyFill="1" applyBorder="1" applyAlignment="1">
      <alignment horizontal="center"/>
    </xf>
    <xf numFmtId="1" fontId="984" fillId="985" borderId="929" xfId="0" applyNumberFormat="1" applyFont="1" applyFill="1" applyBorder="1" applyAlignment="1">
      <alignment horizontal="center"/>
    </xf>
    <xf numFmtId="0" fontId="985" fillId="986" borderId="930" xfId="0" applyFont="1" applyFill="1" applyBorder="1"/>
    <xf numFmtId="0" fontId="986" fillId="987" borderId="931" xfId="0" applyFont="1" applyFill="1" applyBorder="1"/>
    <xf numFmtId="0" fontId="987" fillId="988" borderId="932" xfId="0" applyFont="1" applyFill="1" applyBorder="1"/>
    <xf numFmtId="0" fontId="988" fillId="989" borderId="933" xfId="0" applyFont="1" applyFill="1" applyBorder="1" applyAlignment="1">
      <alignment horizontal="center" vertical="center"/>
    </xf>
    <xf numFmtId="0" fontId="989" fillId="990" borderId="934" xfId="0" applyFont="1" applyFill="1" applyBorder="1" applyAlignment="1">
      <alignment horizontal="center" vertical="center"/>
    </xf>
    <xf numFmtId="0" fontId="990" fillId="991" borderId="935" xfId="0" applyFont="1" applyFill="1" applyBorder="1" applyAlignment="1">
      <alignment horizontal="center" vertical="center"/>
    </xf>
    <xf numFmtId="0" fontId="991" fillId="992" borderId="936" xfId="0" applyFont="1" applyFill="1" applyBorder="1" applyAlignment="1">
      <alignment horizontal="center" vertical="center"/>
    </xf>
    <xf numFmtId="0" fontId="992" fillId="993" borderId="937" xfId="0" applyFont="1" applyFill="1" applyBorder="1" applyAlignment="1">
      <alignment horizontal="center" vertical="center"/>
    </xf>
    <xf numFmtId="0" fontId="993" fillId="994" borderId="938" xfId="0" applyFont="1" applyFill="1" applyBorder="1" applyAlignment="1">
      <alignment horizontal="center" vertical="center"/>
    </xf>
    <xf numFmtId="0" fontId="994" fillId="995" borderId="939" xfId="0" applyFont="1" applyFill="1" applyBorder="1" applyAlignment="1">
      <alignment horizontal="center" vertical="center"/>
    </xf>
    <xf numFmtId="2" fontId="995" fillId="996" borderId="940" xfId="0" applyNumberFormat="1" applyFont="1" applyFill="1" applyBorder="1" applyAlignment="1">
      <alignment horizontal="center"/>
    </xf>
    <xf numFmtId="0" fontId="996" fillId="997" borderId="941" xfId="0" applyFont="1" applyFill="1" applyBorder="1" applyAlignment="1">
      <alignment horizontal="center"/>
    </xf>
    <xf numFmtId="1" fontId="997" fillId="998" borderId="942" xfId="0" applyNumberFormat="1" applyFont="1" applyFill="1" applyBorder="1" applyAlignment="1">
      <alignment horizontal="center"/>
    </xf>
    <xf numFmtId="0" fontId="998" fillId="999" borderId="943" xfId="0" applyFont="1" applyFill="1" applyBorder="1"/>
    <xf numFmtId="0" fontId="999" fillId="1000" borderId="944" xfId="0" applyFont="1" applyFill="1" applyBorder="1"/>
    <xf numFmtId="0" fontId="1000" fillId="1001" borderId="945" xfId="0" applyFont="1" applyFill="1" applyBorder="1"/>
    <xf numFmtId="0" fontId="1001" fillId="1002" borderId="946" xfId="0" applyFont="1" applyFill="1" applyBorder="1" applyAlignment="1">
      <alignment horizontal="center" vertical="center"/>
    </xf>
    <xf numFmtId="0" fontId="1002" fillId="1003" borderId="947" xfId="0" applyFont="1" applyFill="1" applyBorder="1" applyAlignment="1">
      <alignment horizontal="center" vertical="center"/>
    </xf>
    <xf numFmtId="0" fontId="1003" fillId="1004" borderId="948" xfId="0" applyFont="1" applyFill="1" applyBorder="1" applyAlignment="1">
      <alignment horizontal="center" vertical="center"/>
    </xf>
    <xf numFmtId="0" fontId="1004" fillId="1005" borderId="949" xfId="0" applyFont="1" applyFill="1" applyBorder="1" applyAlignment="1">
      <alignment horizontal="center" vertical="center"/>
    </xf>
    <xf numFmtId="0" fontId="1005" fillId="1006" borderId="950" xfId="0" applyFont="1" applyFill="1" applyBorder="1" applyAlignment="1">
      <alignment horizontal="center" vertical="center"/>
    </xf>
    <xf numFmtId="0" fontId="1006" fillId="1007" borderId="951" xfId="0" applyFont="1" applyFill="1" applyBorder="1" applyAlignment="1">
      <alignment horizontal="center" vertical="center"/>
    </xf>
    <xf numFmtId="0" fontId="1007" fillId="1008" borderId="952" xfId="0" applyFont="1" applyFill="1" applyBorder="1" applyAlignment="1">
      <alignment horizontal="center" vertical="center"/>
    </xf>
    <xf numFmtId="2" fontId="1008" fillId="1009" borderId="953" xfId="0" applyNumberFormat="1" applyFont="1" applyFill="1" applyBorder="1" applyAlignment="1">
      <alignment horizontal="center"/>
    </xf>
    <xf numFmtId="0" fontId="1009" fillId="1010" borderId="954" xfId="0" applyFont="1" applyFill="1" applyBorder="1" applyAlignment="1">
      <alignment horizontal="center"/>
    </xf>
    <xf numFmtId="1" fontId="1010" fillId="1011" borderId="955" xfId="0" applyNumberFormat="1" applyFont="1" applyFill="1" applyBorder="1" applyAlignment="1">
      <alignment horizontal="center"/>
    </xf>
    <xf numFmtId="0" fontId="1011" fillId="1012" borderId="956" xfId="0" applyFont="1" applyFill="1" applyBorder="1"/>
    <xf numFmtId="0" fontId="1012" fillId="1013" borderId="957" xfId="0" applyFont="1" applyFill="1" applyBorder="1"/>
    <xf numFmtId="0" fontId="1013" fillId="1014" borderId="958" xfId="0" applyFont="1" applyFill="1" applyBorder="1"/>
    <xf numFmtId="0" fontId="1014" fillId="1015" borderId="959" xfId="0" applyFont="1" applyFill="1" applyBorder="1" applyAlignment="1">
      <alignment horizontal="center" vertical="center"/>
    </xf>
    <xf numFmtId="0" fontId="1015" fillId="1016" borderId="960" xfId="0" applyFont="1" applyFill="1" applyBorder="1" applyAlignment="1">
      <alignment horizontal="center" vertical="center"/>
    </xf>
    <xf numFmtId="0" fontId="1016" fillId="1017" borderId="961" xfId="0" applyFont="1" applyFill="1" applyBorder="1" applyAlignment="1">
      <alignment horizontal="center" vertical="center"/>
    </xf>
    <xf numFmtId="0" fontId="1017" fillId="1018" borderId="962" xfId="0" applyFont="1" applyFill="1" applyBorder="1" applyAlignment="1">
      <alignment horizontal="center" vertical="center"/>
    </xf>
    <xf numFmtId="0" fontId="1018" fillId="1019" borderId="963" xfId="0" applyFont="1" applyFill="1" applyBorder="1" applyAlignment="1">
      <alignment horizontal="center" vertical="center"/>
    </xf>
    <xf numFmtId="0" fontId="1019" fillId="1020" borderId="964" xfId="0" applyFont="1" applyFill="1" applyBorder="1" applyAlignment="1">
      <alignment horizontal="center" vertical="center"/>
    </xf>
    <xf numFmtId="0" fontId="1020" fillId="1021" borderId="965" xfId="0" applyFont="1" applyFill="1" applyBorder="1" applyAlignment="1">
      <alignment horizontal="center" vertical="center"/>
    </xf>
    <xf numFmtId="2" fontId="1021" fillId="1022" borderId="966" xfId="0" applyNumberFormat="1" applyFont="1" applyFill="1" applyBorder="1" applyAlignment="1">
      <alignment horizontal="center"/>
    </xf>
    <xf numFmtId="0" fontId="1022" fillId="1023" borderId="967" xfId="0" applyFont="1" applyFill="1" applyBorder="1" applyAlignment="1">
      <alignment horizontal="center"/>
    </xf>
    <xf numFmtId="1" fontId="1023" fillId="1024" borderId="968" xfId="0" applyNumberFormat="1" applyFont="1" applyFill="1" applyBorder="1" applyAlignment="1">
      <alignment horizontal="center"/>
    </xf>
    <xf numFmtId="0" fontId="1024" fillId="1025" borderId="969" xfId="0" applyFont="1" applyFill="1" applyBorder="1"/>
    <xf numFmtId="0" fontId="1025" fillId="1026" borderId="970" xfId="0" applyFont="1" applyFill="1" applyBorder="1"/>
    <xf numFmtId="0" fontId="1026" fillId="1027" borderId="971" xfId="0" applyFont="1" applyFill="1" applyBorder="1"/>
    <xf numFmtId="0" fontId="1027" fillId="1028" borderId="972" xfId="0" applyFont="1" applyFill="1" applyBorder="1" applyAlignment="1">
      <alignment horizontal="center" vertical="center"/>
    </xf>
    <xf numFmtId="0" fontId="1028" fillId="1029" borderId="973" xfId="0" applyFont="1" applyFill="1" applyBorder="1" applyAlignment="1">
      <alignment horizontal="center" vertical="center"/>
    </xf>
    <xf numFmtId="0" fontId="1029" fillId="1030" borderId="974" xfId="0" applyFont="1" applyFill="1" applyBorder="1" applyAlignment="1">
      <alignment horizontal="center" vertical="center"/>
    </xf>
    <xf numFmtId="0" fontId="1030" fillId="1031" borderId="975" xfId="0" applyFont="1" applyFill="1" applyBorder="1" applyAlignment="1">
      <alignment horizontal="center" vertical="center"/>
    </xf>
    <xf numFmtId="0" fontId="1031" fillId="1032" borderId="976" xfId="0" applyFont="1" applyFill="1" applyBorder="1" applyAlignment="1">
      <alignment horizontal="center" vertical="center"/>
    </xf>
    <xf numFmtId="0" fontId="1032" fillId="1033" borderId="977" xfId="0" applyFont="1" applyFill="1" applyBorder="1" applyAlignment="1">
      <alignment horizontal="center" vertical="center"/>
    </xf>
    <xf numFmtId="0" fontId="1033" fillId="1034" borderId="978" xfId="0" applyFont="1" applyFill="1" applyBorder="1" applyAlignment="1">
      <alignment horizontal="center" vertical="center"/>
    </xf>
    <xf numFmtId="2" fontId="1034" fillId="1035" borderId="979" xfId="0" applyNumberFormat="1" applyFont="1" applyFill="1" applyBorder="1" applyAlignment="1">
      <alignment horizontal="center"/>
    </xf>
    <xf numFmtId="0" fontId="1035" fillId="1036" borderId="980" xfId="0" applyFont="1" applyFill="1" applyBorder="1" applyAlignment="1">
      <alignment horizontal="center"/>
    </xf>
    <xf numFmtId="1" fontId="1036" fillId="1037" borderId="981" xfId="0" applyNumberFormat="1" applyFont="1" applyFill="1" applyBorder="1" applyAlignment="1">
      <alignment horizontal="center"/>
    </xf>
    <xf numFmtId="0" fontId="1037" fillId="1038" borderId="982" xfId="0" applyFont="1" applyFill="1" applyBorder="1"/>
    <xf numFmtId="0" fontId="1038" fillId="1039" borderId="983" xfId="0" applyFont="1" applyFill="1" applyBorder="1"/>
    <xf numFmtId="0" fontId="1039" fillId="1040" borderId="984" xfId="0" applyFont="1" applyFill="1" applyBorder="1"/>
    <xf numFmtId="0" fontId="1040" fillId="1041" borderId="985" xfId="0" applyFont="1" applyFill="1" applyBorder="1" applyAlignment="1">
      <alignment horizontal="center" vertical="center"/>
    </xf>
    <xf numFmtId="0" fontId="1041" fillId="1042" borderId="986" xfId="0" applyFont="1" applyFill="1" applyBorder="1" applyAlignment="1">
      <alignment horizontal="center" vertical="center"/>
    </xf>
    <xf numFmtId="0" fontId="1042" fillId="1043" borderId="987" xfId="0" applyFont="1" applyFill="1" applyBorder="1" applyAlignment="1">
      <alignment horizontal="center" vertical="center"/>
    </xf>
    <xf numFmtId="0" fontId="1043" fillId="1044" borderId="988" xfId="0" applyFont="1" applyFill="1" applyBorder="1" applyAlignment="1">
      <alignment horizontal="center" vertical="center"/>
    </xf>
    <xf numFmtId="0" fontId="1044" fillId="1045" borderId="989" xfId="0" applyFont="1" applyFill="1" applyBorder="1" applyAlignment="1">
      <alignment horizontal="center" vertical="center"/>
    </xf>
    <xf numFmtId="0" fontId="1045" fillId="1046" borderId="990" xfId="0" applyFont="1" applyFill="1" applyBorder="1" applyAlignment="1">
      <alignment horizontal="center" vertical="center"/>
    </xf>
    <xf numFmtId="0" fontId="1046" fillId="1047" borderId="991" xfId="0" applyFont="1" applyFill="1" applyBorder="1" applyAlignment="1">
      <alignment horizontal="center" vertical="center"/>
    </xf>
    <xf numFmtId="2" fontId="1047" fillId="1048" borderId="992" xfId="0" applyNumberFormat="1" applyFont="1" applyFill="1" applyBorder="1" applyAlignment="1">
      <alignment horizontal="center"/>
    </xf>
    <xf numFmtId="0" fontId="1048" fillId="1049" borderId="993" xfId="0" applyFont="1" applyFill="1" applyBorder="1" applyAlignment="1">
      <alignment horizontal="center"/>
    </xf>
    <xf numFmtId="1" fontId="1049" fillId="1050" borderId="994" xfId="0" applyNumberFormat="1" applyFont="1" applyFill="1" applyBorder="1" applyAlignment="1">
      <alignment horizontal="center"/>
    </xf>
    <xf numFmtId="0" fontId="1050" fillId="1051" borderId="995" xfId="0" applyFont="1" applyFill="1" applyBorder="1"/>
    <xf numFmtId="0" fontId="1051" fillId="1052" borderId="996" xfId="0" applyFont="1" applyFill="1" applyBorder="1"/>
    <xf numFmtId="0" fontId="1052" fillId="1053" borderId="997" xfId="0" applyFont="1" applyFill="1" applyBorder="1"/>
    <xf numFmtId="0" fontId="1053" fillId="1054" borderId="998" xfId="0" applyFont="1" applyFill="1" applyBorder="1" applyAlignment="1">
      <alignment horizontal="center" vertical="center"/>
    </xf>
    <xf numFmtId="0" fontId="1054" fillId="1055" borderId="999" xfId="0" applyFont="1" applyFill="1" applyBorder="1" applyAlignment="1">
      <alignment horizontal="center" vertical="center"/>
    </xf>
    <xf numFmtId="0" fontId="1055" fillId="1056" borderId="1000" xfId="0" applyFont="1" applyFill="1" applyBorder="1" applyAlignment="1">
      <alignment horizontal="center" vertical="center"/>
    </xf>
    <xf numFmtId="0" fontId="1056" fillId="1057" borderId="1001" xfId="0" applyFont="1" applyFill="1" applyBorder="1" applyAlignment="1">
      <alignment horizontal="center" vertical="center"/>
    </xf>
    <xf numFmtId="0" fontId="1057" fillId="1058" borderId="1002" xfId="0" applyFont="1" applyFill="1" applyBorder="1" applyAlignment="1">
      <alignment horizontal="center" vertical="center"/>
    </xf>
    <xf numFmtId="0" fontId="1058" fillId="1059" borderId="1003" xfId="0" applyFont="1" applyFill="1" applyBorder="1" applyAlignment="1">
      <alignment horizontal="center" vertical="center"/>
    </xf>
    <xf numFmtId="0" fontId="1059" fillId="1060" borderId="1004" xfId="0" applyFont="1" applyFill="1" applyBorder="1" applyAlignment="1">
      <alignment horizontal="center" vertical="center"/>
    </xf>
    <xf numFmtId="2" fontId="1060" fillId="1061" borderId="1005" xfId="0" applyNumberFormat="1" applyFont="1" applyFill="1" applyBorder="1" applyAlignment="1">
      <alignment horizontal="center"/>
    </xf>
    <xf numFmtId="0" fontId="1061" fillId="1062" borderId="1006" xfId="0" applyFont="1" applyFill="1" applyBorder="1" applyAlignment="1">
      <alignment horizontal="center"/>
    </xf>
    <xf numFmtId="1" fontId="1062" fillId="1063" borderId="1007" xfId="0" applyNumberFormat="1" applyFont="1" applyFill="1" applyBorder="1" applyAlignment="1">
      <alignment horizontal="center"/>
    </xf>
    <xf numFmtId="0" fontId="1063" fillId="1064" borderId="1008" xfId="0" applyFont="1" applyFill="1" applyBorder="1"/>
    <xf numFmtId="0" fontId="1064" fillId="1065" borderId="1009" xfId="0" applyFont="1" applyFill="1" applyBorder="1"/>
    <xf numFmtId="0" fontId="1065" fillId="1066" borderId="1010" xfId="0" applyFont="1" applyFill="1" applyBorder="1"/>
    <xf numFmtId="0" fontId="1066" fillId="1067" borderId="1011" xfId="0" applyFont="1" applyFill="1" applyBorder="1" applyAlignment="1">
      <alignment horizontal="center" vertical="center"/>
    </xf>
    <xf numFmtId="0" fontId="1067" fillId="1068" borderId="1012" xfId="0" applyFont="1" applyFill="1" applyBorder="1" applyAlignment="1">
      <alignment horizontal="center" vertical="center"/>
    </xf>
    <xf numFmtId="0" fontId="1068" fillId="1069" borderId="1013" xfId="0" applyFont="1" applyFill="1" applyBorder="1" applyAlignment="1">
      <alignment horizontal="center" vertical="center"/>
    </xf>
    <xf numFmtId="0" fontId="1069" fillId="1070" borderId="1014" xfId="0" applyFont="1" applyFill="1" applyBorder="1" applyAlignment="1">
      <alignment horizontal="center" vertical="center"/>
    </xf>
    <xf numFmtId="0" fontId="1070" fillId="1071" borderId="1015" xfId="0" applyFont="1" applyFill="1" applyBorder="1" applyAlignment="1">
      <alignment horizontal="center" vertical="center"/>
    </xf>
    <xf numFmtId="0" fontId="1071" fillId="1072" borderId="1016" xfId="0" applyFont="1" applyFill="1" applyBorder="1" applyAlignment="1">
      <alignment horizontal="center" vertical="center"/>
    </xf>
    <xf numFmtId="0" fontId="1072" fillId="1073" borderId="1017" xfId="0" applyFont="1" applyFill="1" applyBorder="1" applyAlignment="1">
      <alignment horizontal="center" vertical="center"/>
    </xf>
    <xf numFmtId="2" fontId="1073" fillId="1074" borderId="1018" xfId="0" applyNumberFormat="1" applyFont="1" applyFill="1" applyBorder="1" applyAlignment="1">
      <alignment horizontal="center"/>
    </xf>
    <xf numFmtId="0" fontId="1074" fillId="1075" borderId="1019" xfId="0" applyFont="1" applyFill="1" applyBorder="1" applyAlignment="1">
      <alignment horizontal="center"/>
    </xf>
    <xf numFmtId="1" fontId="1075" fillId="1076" borderId="1020" xfId="0" applyNumberFormat="1" applyFont="1" applyFill="1" applyBorder="1" applyAlignment="1">
      <alignment horizontal="center"/>
    </xf>
    <xf numFmtId="0" fontId="1076" fillId="1077" borderId="1021" xfId="0" applyFont="1" applyFill="1" applyBorder="1"/>
    <xf numFmtId="0" fontId="1077" fillId="1078" borderId="1022" xfId="0" applyFont="1" applyFill="1" applyBorder="1"/>
    <xf numFmtId="0" fontId="1078" fillId="1079" borderId="1023" xfId="0" applyFont="1" applyFill="1" applyBorder="1"/>
    <xf numFmtId="0" fontId="1079" fillId="1080" borderId="1024" xfId="0" applyFont="1" applyFill="1" applyBorder="1" applyAlignment="1">
      <alignment horizontal="center" vertical="center"/>
    </xf>
    <xf numFmtId="0" fontId="1080" fillId="1081" borderId="1025" xfId="0" applyFont="1" applyFill="1" applyBorder="1" applyAlignment="1">
      <alignment horizontal="center" vertical="center"/>
    </xf>
    <xf numFmtId="0" fontId="1081" fillId="1082" borderId="1026" xfId="0" applyFont="1" applyFill="1" applyBorder="1" applyAlignment="1">
      <alignment horizontal="center" vertical="center"/>
    </xf>
    <xf numFmtId="0" fontId="1082" fillId="1083" borderId="1027" xfId="0" applyFont="1" applyFill="1" applyBorder="1" applyAlignment="1">
      <alignment horizontal="center" vertical="center"/>
    </xf>
    <xf numFmtId="0" fontId="1083" fillId="1084" borderId="1028" xfId="0" applyFont="1" applyFill="1" applyBorder="1" applyAlignment="1">
      <alignment horizontal="center" vertical="center"/>
    </xf>
    <xf numFmtId="0" fontId="1084" fillId="1085" borderId="1029" xfId="0" applyFont="1" applyFill="1" applyBorder="1" applyAlignment="1">
      <alignment horizontal="center" vertical="center"/>
    </xf>
    <xf numFmtId="0" fontId="1085" fillId="1086" borderId="1030" xfId="0" applyFont="1" applyFill="1" applyBorder="1" applyAlignment="1">
      <alignment horizontal="center" vertical="center"/>
    </xf>
    <xf numFmtId="2" fontId="1086" fillId="1087" borderId="1031" xfId="0" applyNumberFormat="1" applyFont="1" applyFill="1" applyBorder="1" applyAlignment="1">
      <alignment horizontal="center"/>
    </xf>
    <xf numFmtId="0" fontId="1087" fillId="1088" borderId="1032" xfId="0" applyFont="1" applyFill="1" applyBorder="1" applyAlignment="1">
      <alignment horizontal="center"/>
    </xf>
    <xf numFmtId="1" fontId="1088" fillId="1089" borderId="1033" xfId="0" applyNumberFormat="1" applyFont="1" applyFill="1" applyBorder="1" applyAlignment="1">
      <alignment horizontal="center"/>
    </xf>
    <xf numFmtId="0" fontId="1089" fillId="1090" borderId="1034" xfId="0" applyFont="1" applyFill="1" applyBorder="1"/>
    <xf numFmtId="0" fontId="1090" fillId="1091" borderId="1035" xfId="0" applyFont="1" applyFill="1" applyBorder="1"/>
    <xf numFmtId="0" fontId="1091" fillId="1092" borderId="1036" xfId="0" applyFont="1" applyFill="1" applyBorder="1"/>
    <xf numFmtId="0" fontId="1092" fillId="1093" borderId="1037" xfId="0" applyFont="1" applyFill="1" applyBorder="1" applyAlignment="1">
      <alignment horizontal="center" vertical="center"/>
    </xf>
    <xf numFmtId="0" fontId="1093" fillId="1094" borderId="1038" xfId="0" applyFont="1" applyFill="1" applyBorder="1" applyAlignment="1">
      <alignment horizontal="center" vertical="center"/>
    </xf>
    <xf numFmtId="0" fontId="1094" fillId="1095" borderId="1039" xfId="0" applyFont="1" applyFill="1" applyBorder="1" applyAlignment="1">
      <alignment horizontal="center" vertical="center"/>
    </xf>
    <xf numFmtId="0" fontId="1095" fillId="1096" borderId="1040" xfId="0" applyFont="1" applyFill="1" applyBorder="1" applyAlignment="1">
      <alignment horizontal="center" vertical="center"/>
    </xf>
    <xf numFmtId="0" fontId="1096" fillId="1097" borderId="1041" xfId="0" applyFont="1" applyFill="1" applyBorder="1" applyAlignment="1">
      <alignment horizontal="center" vertical="center"/>
    </xf>
    <xf numFmtId="0" fontId="1097" fillId="1098" borderId="1042" xfId="0" applyFont="1" applyFill="1" applyBorder="1" applyAlignment="1">
      <alignment horizontal="center" vertical="center"/>
    </xf>
    <xf numFmtId="0" fontId="1098" fillId="1099" borderId="1043" xfId="0" applyFont="1" applyFill="1" applyBorder="1" applyAlignment="1">
      <alignment horizontal="center" vertical="center"/>
    </xf>
    <xf numFmtId="2" fontId="1099" fillId="1100" borderId="1044" xfId="0" applyNumberFormat="1" applyFont="1" applyFill="1" applyBorder="1" applyAlignment="1">
      <alignment horizontal="center"/>
    </xf>
    <xf numFmtId="0" fontId="1100" fillId="1101" borderId="1045" xfId="0" applyFont="1" applyFill="1" applyBorder="1" applyAlignment="1">
      <alignment horizontal="center"/>
    </xf>
    <xf numFmtId="1" fontId="1101" fillId="1102" borderId="1046" xfId="0" applyNumberFormat="1" applyFont="1" applyFill="1" applyBorder="1" applyAlignment="1">
      <alignment horizontal="center"/>
    </xf>
    <xf numFmtId="0" fontId="1102" fillId="1103" borderId="1047" xfId="0" applyFont="1" applyFill="1" applyBorder="1"/>
    <xf numFmtId="0" fontId="1103" fillId="1104" borderId="1048" xfId="0" applyFont="1" applyFill="1" applyBorder="1"/>
    <xf numFmtId="0" fontId="1104" fillId="1105" borderId="1049" xfId="0" applyFont="1" applyFill="1" applyBorder="1"/>
    <xf numFmtId="0" fontId="1105" fillId="1106" borderId="1050" xfId="0" applyFont="1" applyFill="1" applyBorder="1" applyAlignment="1">
      <alignment horizontal="center" vertical="center"/>
    </xf>
    <xf numFmtId="0" fontId="1106" fillId="1107" borderId="1051" xfId="0" applyFont="1" applyFill="1" applyBorder="1" applyAlignment="1">
      <alignment horizontal="center" vertical="center"/>
    </xf>
    <xf numFmtId="0" fontId="1107" fillId="1108" borderId="1052" xfId="0" applyFont="1" applyFill="1" applyBorder="1" applyAlignment="1">
      <alignment horizontal="center" vertical="center"/>
    </xf>
    <xf numFmtId="0" fontId="1108" fillId="1109" borderId="1053" xfId="0" applyFont="1" applyFill="1" applyBorder="1" applyAlignment="1">
      <alignment horizontal="center" vertical="center"/>
    </xf>
    <xf numFmtId="0" fontId="1109" fillId="1110" borderId="1054" xfId="0" applyFont="1" applyFill="1" applyBorder="1" applyAlignment="1">
      <alignment horizontal="center" vertical="center"/>
    </xf>
    <xf numFmtId="0" fontId="1110" fillId="1111" borderId="1055" xfId="0" applyFont="1" applyFill="1" applyBorder="1" applyAlignment="1">
      <alignment horizontal="center" vertical="center"/>
    </xf>
    <xf numFmtId="0" fontId="1111" fillId="1112" borderId="1056" xfId="0" applyFont="1" applyFill="1" applyBorder="1" applyAlignment="1">
      <alignment horizontal="center" vertical="center"/>
    </xf>
    <xf numFmtId="2" fontId="1112" fillId="1113" borderId="1057" xfId="0" applyNumberFormat="1" applyFont="1" applyFill="1" applyBorder="1" applyAlignment="1">
      <alignment horizontal="center"/>
    </xf>
    <xf numFmtId="0" fontId="1113" fillId="1114" borderId="1058" xfId="0" applyFont="1" applyFill="1" applyBorder="1" applyAlignment="1">
      <alignment horizontal="center"/>
    </xf>
    <xf numFmtId="1" fontId="1114" fillId="1115" borderId="1059" xfId="0" applyNumberFormat="1" applyFont="1" applyFill="1" applyBorder="1" applyAlignment="1">
      <alignment horizontal="center"/>
    </xf>
    <xf numFmtId="0" fontId="1115" fillId="1116" borderId="1060" xfId="0" applyFont="1" applyFill="1" applyBorder="1"/>
    <xf numFmtId="0" fontId="1116" fillId="1117" borderId="1061" xfId="0" applyFont="1" applyFill="1" applyBorder="1"/>
    <xf numFmtId="0" fontId="1117" fillId="1118" borderId="1062" xfId="0" applyFont="1" applyFill="1" applyBorder="1"/>
    <xf numFmtId="0" fontId="1118" fillId="1119" borderId="1063" xfId="0" applyFont="1" applyFill="1" applyBorder="1" applyAlignment="1">
      <alignment horizontal="center" vertical="center"/>
    </xf>
    <xf numFmtId="0" fontId="1119" fillId="1120" borderId="1064" xfId="0" applyFont="1" applyFill="1" applyBorder="1" applyAlignment="1">
      <alignment horizontal="center" vertical="center"/>
    </xf>
    <xf numFmtId="0" fontId="1120" fillId="1121" borderId="1065" xfId="0" applyFont="1" applyFill="1" applyBorder="1" applyAlignment="1">
      <alignment horizontal="center" vertical="center"/>
    </xf>
    <xf numFmtId="0" fontId="1121" fillId="1122" borderId="1066" xfId="0" applyFont="1" applyFill="1" applyBorder="1" applyAlignment="1">
      <alignment horizontal="center" vertical="center"/>
    </xf>
    <xf numFmtId="0" fontId="1122" fillId="1123" borderId="1067" xfId="0" applyFont="1" applyFill="1" applyBorder="1" applyAlignment="1">
      <alignment horizontal="center" vertical="center"/>
    </xf>
    <xf numFmtId="0" fontId="1123" fillId="1124" borderId="1068" xfId="0" applyFont="1" applyFill="1" applyBorder="1" applyAlignment="1">
      <alignment horizontal="center" vertical="center"/>
    </xf>
    <xf numFmtId="0" fontId="1124" fillId="1125" borderId="1069" xfId="0" applyFont="1" applyFill="1" applyBorder="1" applyAlignment="1">
      <alignment horizontal="center" vertical="center"/>
    </xf>
    <xf numFmtId="2" fontId="1125" fillId="1126" borderId="1070" xfId="0" applyNumberFormat="1" applyFont="1" applyFill="1" applyBorder="1" applyAlignment="1">
      <alignment horizontal="center"/>
    </xf>
    <xf numFmtId="0" fontId="1126" fillId="1127" borderId="1071" xfId="0" applyFont="1" applyFill="1" applyBorder="1" applyAlignment="1">
      <alignment horizontal="center"/>
    </xf>
    <xf numFmtId="1" fontId="1127" fillId="1128" borderId="1072" xfId="0" applyNumberFormat="1" applyFont="1" applyFill="1" applyBorder="1" applyAlignment="1">
      <alignment horizontal="center"/>
    </xf>
    <xf numFmtId="0" fontId="1128" fillId="1129" borderId="1073" xfId="0" applyFont="1" applyFill="1" applyBorder="1"/>
    <xf numFmtId="0" fontId="1129" fillId="1130" borderId="1074" xfId="0" applyFont="1" applyFill="1" applyBorder="1"/>
    <xf numFmtId="0" fontId="1130" fillId="1131" borderId="1075" xfId="0" applyFont="1" applyFill="1" applyBorder="1"/>
    <xf numFmtId="0" fontId="1131" fillId="1132" borderId="1076" xfId="0" applyFont="1" applyFill="1" applyBorder="1" applyAlignment="1">
      <alignment horizontal="center" vertical="center"/>
    </xf>
    <xf numFmtId="0" fontId="1132" fillId="1133" borderId="1077" xfId="0" applyFont="1" applyFill="1" applyBorder="1" applyAlignment="1">
      <alignment horizontal="center" vertical="center"/>
    </xf>
    <xf numFmtId="0" fontId="1133" fillId="1134" borderId="1078" xfId="0" applyFont="1" applyFill="1" applyBorder="1" applyAlignment="1">
      <alignment horizontal="center" vertical="center"/>
    </xf>
    <xf numFmtId="0" fontId="1134" fillId="1135" borderId="1079" xfId="0" applyFont="1" applyFill="1" applyBorder="1" applyAlignment="1">
      <alignment horizontal="center" vertical="center"/>
    </xf>
    <xf numFmtId="0" fontId="1135" fillId="1136" borderId="1080" xfId="0" applyFont="1" applyFill="1" applyBorder="1" applyAlignment="1">
      <alignment horizontal="center" vertical="center"/>
    </xf>
    <xf numFmtId="0" fontId="1136" fillId="1137" borderId="1081" xfId="0" applyFont="1" applyFill="1" applyBorder="1" applyAlignment="1">
      <alignment horizontal="center" vertical="center"/>
    </xf>
    <xf numFmtId="0" fontId="1137" fillId="1138" borderId="1082" xfId="0" applyFont="1" applyFill="1" applyBorder="1" applyAlignment="1">
      <alignment horizontal="center" vertical="center"/>
    </xf>
    <xf numFmtId="0" fontId="1138" fillId="1139" borderId="1083" xfId="0" applyFont="1" applyFill="1" applyBorder="1"/>
    <xf numFmtId="0" fontId="1139" fillId="1140" borderId="1084" xfId="0" applyFont="1" applyFill="1" applyBorder="1"/>
    <xf numFmtId="0" fontId="1140" fillId="1141" borderId="1085" xfId="0" applyFont="1" applyFill="1" applyBorder="1"/>
    <xf numFmtId="0" fontId="1141" fillId="1142" borderId="1086" xfId="0" applyFont="1" applyFill="1" applyBorder="1"/>
    <xf numFmtId="0" fontId="1142" fillId="1143" borderId="1087" xfId="0" applyFont="1" applyFill="1" applyBorder="1"/>
    <xf numFmtId="0" fontId="1143" fillId="1144" borderId="1088" xfId="0" applyFont="1" applyFill="1" applyBorder="1"/>
    <xf numFmtId="0" fontId="1144" fillId="1145" borderId="1089" xfId="0" applyFont="1" applyFill="1" applyBorder="1"/>
    <xf numFmtId="0" fontId="1145" fillId="1146" borderId="1090" xfId="0" applyFont="1" applyFill="1" applyBorder="1"/>
    <xf numFmtId="0" fontId="1146" fillId="1147" borderId="1091" xfId="0" applyFont="1" applyFill="1" applyBorder="1" applyAlignment="1">
      <alignment horizontal="center" vertical="center"/>
    </xf>
    <xf numFmtId="0" fontId="1147" fillId="1148" borderId="1092" xfId="0" applyFont="1" applyFill="1" applyBorder="1" applyAlignment="1">
      <alignment horizontal="center" vertical="center"/>
    </xf>
    <xf numFmtId="0" fontId="1148" fillId="1149" borderId="1093" xfId="0" applyFont="1" applyFill="1" applyBorder="1" applyAlignment="1">
      <alignment horizontal="center" vertical="center"/>
    </xf>
    <xf numFmtId="0" fontId="1149" fillId="1150" borderId="1094" xfId="0" applyFont="1" applyFill="1" applyBorder="1" applyAlignment="1">
      <alignment horizontal="center" vertical="center"/>
    </xf>
    <xf numFmtId="0" fontId="1150" fillId="1151" borderId="1095" xfId="0" applyFont="1" applyFill="1" applyBorder="1" applyAlignment="1">
      <alignment horizontal="center" vertical="center"/>
    </xf>
    <xf numFmtId="0" fontId="1151" fillId="1152" borderId="1096" xfId="0" applyFont="1" applyFill="1" applyBorder="1" applyAlignment="1">
      <alignment horizontal="center" vertical="center"/>
    </xf>
    <xf numFmtId="0" fontId="1152" fillId="1153" borderId="1097" xfId="0" applyFont="1" applyFill="1" applyBorder="1" applyAlignment="1">
      <alignment horizontal="center" vertical="center"/>
    </xf>
    <xf numFmtId="0" fontId="1153" fillId="1154" borderId="1098" xfId="0" applyFont="1" applyFill="1" applyBorder="1"/>
    <xf numFmtId="0" fontId="1154" fillId="1155" borderId="1099" xfId="0" applyFont="1" applyFill="1" applyBorder="1"/>
    <xf numFmtId="0" fontId="1155" fillId="1156" borderId="1100" xfId="0" applyFont="1" applyFill="1" applyBorder="1"/>
    <xf numFmtId="0" fontId="1156" fillId="1157" borderId="1101" xfId="0" applyFont="1" applyFill="1" applyBorder="1"/>
    <xf numFmtId="0" fontId="1157" fillId="1158" borderId="1102" xfId="0" applyFont="1" applyFill="1" applyBorder="1"/>
    <xf numFmtId="0" fontId="1158" fillId="1159" borderId="1103" xfId="0" applyFont="1" applyFill="1" applyBorder="1"/>
    <xf numFmtId="0" fontId="1159" fillId="1160" borderId="1104" xfId="0" applyFont="1" applyFill="1" applyBorder="1"/>
    <xf numFmtId="0" fontId="1160" fillId="1161" borderId="1105" xfId="0" applyFont="1" applyFill="1" applyBorder="1"/>
    <xf numFmtId="0" fontId="1161" fillId="1162" borderId="1106" xfId="0" applyFont="1" applyFill="1" applyBorder="1" applyAlignment="1">
      <alignment horizontal="center" vertical="center"/>
    </xf>
    <xf numFmtId="0" fontId="1162" fillId="1163" borderId="1107" xfId="0" applyFont="1" applyFill="1" applyBorder="1" applyAlignment="1">
      <alignment horizontal="center" vertical="center"/>
    </xf>
    <xf numFmtId="0" fontId="1163" fillId="1164" borderId="1108" xfId="0" applyFont="1" applyFill="1" applyBorder="1" applyAlignment="1">
      <alignment horizontal="center" vertical="center"/>
    </xf>
    <xf numFmtId="0" fontId="1164" fillId="1165" borderId="1109" xfId="0" applyFont="1" applyFill="1" applyBorder="1" applyAlignment="1">
      <alignment horizontal="center" vertical="center"/>
    </xf>
    <xf numFmtId="0" fontId="1165" fillId="1166" borderId="1110" xfId="0" applyFont="1" applyFill="1" applyBorder="1" applyAlignment="1">
      <alignment horizontal="center" vertical="center"/>
    </xf>
    <xf numFmtId="0" fontId="1166" fillId="1167" borderId="1111" xfId="0" applyFont="1" applyFill="1" applyBorder="1" applyAlignment="1">
      <alignment horizontal="center" vertical="center"/>
    </xf>
    <xf numFmtId="0" fontId="1167" fillId="1168" borderId="1112" xfId="0" applyFont="1" applyFill="1" applyBorder="1" applyAlignment="1">
      <alignment horizontal="center" vertical="center"/>
    </xf>
    <xf numFmtId="0" fontId="1168" fillId="1169" borderId="1113" xfId="0" applyFont="1" applyFill="1" applyBorder="1"/>
    <xf numFmtId="0" fontId="1169" fillId="1170" borderId="1114" xfId="0" applyFont="1" applyFill="1" applyBorder="1"/>
    <xf numFmtId="0" fontId="1170" fillId="1171" borderId="1115" xfId="0" applyFont="1" applyFill="1" applyBorder="1"/>
    <xf numFmtId="0" fontId="1171" fillId="1172" borderId="1116" xfId="0" applyFont="1" applyFill="1" applyBorder="1"/>
    <xf numFmtId="0" fontId="1172" fillId="1173" borderId="1117" xfId="0" applyFont="1" applyFill="1" applyBorder="1"/>
    <xf numFmtId="0" fontId="1173" fillId="1174" borderId="1118" xfId="0" applyFont="1" applyFill="1" applyBorder="1"/>
    <xf numFmtId="0" fontId="1174" fillId="1175" borderId="1119" xfId="0" applyFont="1" applyFill="1" applyBorder="1"/>
    <xf numFmtId="0" fontId="1175" fillId="1176" borderId="1120" xfId="0" applyFont="1" applyFill="1" applyBorder="1"/>
    <xf numFmtId="0" fontId="1176" fillId="1177" borderId="1121" xfId="0" applyFont="1" applyFill="1" applyBorder="1" applyAlignment="1">
      <alignment horizontal="center" vertical="center"/>
    </xf>
    <xf numFmtId="0" fontId="1177" fillId="1178" borderId="1122" xfId="0" applyFont="1" applyFill="1" applyBorder="1" applyAlignment="1">
      <alignment horizontal="center" vertical="center"/>
    </xf>
    <xf numFmtId="0" fontId="1178" fillId="1179" borderId="1123" xfId="0" applyFont="1" applyFill="1" applyBorder="1" applyAlignment="1">
      <alignment horizontal="center" vertical="center"/>
    </xf>
    <xf numFmtId="0" fontId="1179" fillId="1180" borderId="1124" xfId="0" applyFont="1" applyFill="1" applyBorder="1" applyAlignment="1">
      <alignment horizontal="center" vertical="center"/>
    </xf>
    <xf numFmtId="0" fontId="1180" fillId="1181" borderId="1125" xfId="0" applyFont="1" applyFill="1" applyBorder="1" applyAlignment="1">
      <alignment horizontal="center" vertical="center"/>
    </xf>
    <xf numFmtId="0" fontId="1181" fillId="1182" borderId="1126" xfId="0" applyFont="1" applyFill="1" applyBorder="1" applyAlignment="1">
      <alignment horizontal="center" vertical="center"/>
    </xf>
    <xf numFmtId="0" fontId="1182" fillId="1183" borderId="1127" xfId="0" applyFont="1" applyFill="1" applyBorder="1" applyAlignment="1">
      <alignment horizontal="center" vertical="center"/>
    </xf>
    <xf numFmtId="0" fontId="1183" fillId="1184" borderId="1128" xfId="0" applyFont="1" applyFill="1" applyBorder="1"/>
    <xf numFmtId="0" fontId="1184" fillId="1185" borderId="1129" xfId="0" applyFont="1" applyFill="1" applyBorder="1"/>
    <xf numFmtId="0" fontId="1185" fillId="1186" borderId="1130" xfId="0" applyFont="1" applyFill="1" applyBorder="1"/>
    <xf numFmtId="0" fontId="1186" fillId="1187" borderId="1131" xfId="0" applyFont="1" applyFill="1" applyBorder="1"/>
    <xf numFmtId="0" fontId="1187" fillId="1188" borderId="1132" xfId="0" applyFont="1" applyFill="1" applyBorder="1"/>
    <xf numFmtId="0" fontId="1188" fillId="1189" borderId="1133" xfId="0" applyFont="1" applyFill="1" applyBorder="1"/>
    <xf numFmtId="0" fontId="1189" fillId="1190" borderId="1134" xfId="0" applyFont="1" applyFill="1" applyBorder="1"/>
    <xf numFmtId="0" fontId="1190" fillId="1191" borderId="1135" xfId="0" applyFont="1" applyFill="1" applyBorder="1"/>
    <xf numFmtId="0" fontId="1191" fillId="1192" borderId="1136" xfId="0" applyFont="1" applyFill="1" applyBorder="1" applyAlignment="1">
      <alignment horizontal="center" vertical="center"/>
    </xf>
    <xf numFmtId="0" fontId="1192" fillId="1193" borderId="1137" xfId="0" applyFont="1" applyFill="1" applyBorder="1" applyAlignment="1">
      <alignment horizontal="center" vertical="center"/>
    </xf>
    <xf numFmtId="0" fontId="1193" fillId="1194" borderId="1138" xfId="0" applyFont="1" applyFill="1" applyBorder="1" applyAlignment="1">
      <alignment horizontal="center" vertical="center"/>
    </xf>
    <xf numFmtId="0" fontId="1194" fillId="1195" borderId="1139" xfId="0" applyFont="1" applyFill="1" applyBorder="1" applyAlignment="1">
      <alignment horizontal="center" vertical="center"/>
    </xf>
    <xf numFmtId="0" fontId="1195" fillId="1196" borderId="1140" xfId="0" applyFont="1" applyFill="1" applyBorder="1" applyAlignment="1">
      <alignment horizontal="center" vertical="center"/>
    </xf>
    <xf numFmtId="0" fontId="1196" fillId="1197" borderId="1141" xfId="0" applyFont="1" applyFill="1" applyBorder="1" applyAlignment="1">
      <alignment horizontal="center" vertical="center"/>
    </xf>
    <xf numFmtId="0" fontId="1197" fillId="1198" borderId="1142" xfId="0" applyFont="1" applyFill="1" applyBorder="1" applyAlignment="1">
      <alignment horizontal="center" vertical="center"/>
    </xf>
    <xf numFmtId="0" fontId="1198" fillId="1199" borderId="1143" xfId="0" applyFont="1" applyFill="1" applyBorder="1"/>
    <xf numFmtId="0" fontId="1199" fillId="1200" borderId="1144" xfId="0" applyFont="1" applyFill="1" applyBorder="1"/>
    <xf numFmtId="0" fontId="1200" fillId="1201" borderId="1145" xfId="0" applyFont="1" applyFill="1" applyBorder="1"/>
    <xf numFmtId="0" fontId="1201" fillId="1202" borderId="1146" xfId="0" applyFont="1" applyFill="1" applyBorder="1"/>
    <xf numFmtId="0" fontId="1202" fillId="1203" borderId="1147" xfId="0" applyFont="1" applyFill="1" applyBorder="1"/>
    <xf numFmtId="0" fontId="1203" fillId="1204" borderId="1148" xfId="0" applyFont="1" applyFill="1" applyBorder="1"/>
    <xf numFmtId="0" fontId="1204" fillId="1205" borderId="1149" xfId="0" applyFont="1" applyFill="1" applyBorder="1"/>
    <xf numFmtId="0" fontId="1205" fillId="1206" borderId="1150" xfId="0" applyFont="1" applyFill="1" applyBorder="1"/>
    <xf numFmtId="0" fontId="1206" fillId="1207" borderId="1151" xfId="0" applyFont="1" applyFill="1" applyBorder="1" applyAlignment="1">
      <alignment horizontal="center" vertical="center"/>
    </xf>
    <xf numFmtId="0" fontId="1207" fillId="1208" borderId="1152" xfId="0" applyFont="1" applyFill="1" applyBorder="1" applyAlignment="1">
      <alignment horizontal="center" vertical="center"/>
    </xf>
    <xf numFmtId="0" fontId="1208" fillId="1209" borderId="1153" xfId="0" applyFont="1" applyFill="1" applyBorder="1" applyAlignment="1">
      <alignment horizontal="center" vertical="center"/>
    </xf>
    <xf numFmtId="0" fontId="1209" fillId="1210" borderId="1154" xfId="0" applyFont="1" applyFill="1" applyBorder="1" applyAlignment="1">
      <alignment horizontal="center" vertical="center"/>
    </xf>
    <xf numFmtId="0" fontId="1210" fillId="1211" borderId="1155" xfId="0" applyFont="1" applyFill="1" applyBorder="1" applyAlignment="1">
      <alignment horizontal="center" vertical="center"/>
    </xf>
    <xf numFmtId="0" fontId="1211" fillId="1212" borderId="1156" xfId="0" applyFont="1" applyFill="1" applyBorder="1" applyAlignment="1">
      <alignment horizontal="center" vertical="center"/>
    </xf>
    <xf numFmtId="0" fontId="1212" fillId="1213" borderId="1157" xfId="0" applyFont="1" applyFill="1" applyBorder="1" applyAlignment="1">
      <alignment horizontal="center" vertical="center"/>
    </xf>
    <xf numFmtId="0" fontId="1213" fillId="1214" borderId="1158" xfId="0" applyFont="1" applyFill="1" applyBorder="1"/>
    <xf numFmtId="0" fontId="1214" fillId="1215" borderId="1159" xfId="0" applyFont="1" applyFill="1" applyBorder="1"/>
    <xf numFmtId="0" fontId="1215" fillId="1216" borderId="1160" xfId="0" applyFont="1" applyFill="1" applyBorder="1"/>
    <xf numFmtId="0" fontId="1216" fillId="1217" borderId="1161" xfId="0" applyFont="1" applyFill="1" applyBorder="1"/>
    <xf numFmtId="0" fontId="1217" fillId="1218" borderId="1162" xfId="0" applyFont="1" applyFill="1" applyBorder="1"/>
    <xf numFmtId="0" fontId="1218" fillId="1219" borderId="1163" xfId="0" applyFont="1" applyFill="1" applyBorder="1"/>
    <xf numFmtId="0" fontId="1219" fillId="1220" borderId="1164" xfId="0" applyFont="1" applyFill="1" applyBorder="1"/>
    <xf numFmtId="0" fontId="1220" fillId="1221" borderId="1165" xfId="0" applyFont="1" applyFill="1" applyBorder="1"/>
    <xf numFmtId="0" fontId="1221" fillId="1222" borderId="1166" xfId="0" applyFont="1" applyFill="1" applyBorder="1" applyAlignment="1">
      <alignment horizontal="center" vertical="center"/>
    </xf>
    <xf numFmtId="0" fontId="1222" fillId="1223" borderId="1167" xfId="0" applyFont="1" applyFill="1" applyBorder="1" applyAlignment="1">
      <alignment horizontal="center" vertical="center"/>
    </xf>
    <xf numFmtId="0" fontId="1223" fillId="1224" borderId="1168" xfId="0" applyFont="1" applyFill="1" applyBorder="1" applyAlignment="1">
      <alignment horizontal="center" vertical="center"/>
    </xf>
    <xf numFmtId="0" fontId="1224" fillId="1225" borderId="1169" xfId="0" applyFont="1" applyFill="1" applyBorder="1" applyAlignment="1">
      <alignment horizontal="center" vertical="center"/>
    </xf>
    <xf numFmtId="0" fontId="1225" fillId="1226" borderId="1170" xfId="0" applyFont="1" applyFill="1" applyBorder="1" applyAlignment="1">
      <alignment horizontal="center" vertical="center"/>
    </xf>
    <xf numFmtId="0" fontId="1226" fillId="1227" borderId="1171" xfId="0" applyFont="1" applyFill="1" applyBorder="1" applyAlignment="1">
      <alignment horizontal="center" vertical="center"/>
    </xf>
    <xf numFmtId="0" fontId="1227" fillId="1228" borderId="1172" xfId="0" applyFont="1" applyFill="1" applyBorder="1" applyAlignment="1">
      <alignment horizontal="center" vertical="center"/>
    </xf>
    <xf numFmtId="0" fontId="1228" fillId="1229" borderId="1173" xfId="0" applyFont="1" applyFill="1" applyBorder="1"/>
    <xf numFmtId="0" fontId="1229" fillId="1230" borderId="1174" xfId="0" applyFont="1" applyFill="1" applyBorder="1"/>
    <xf numFmtId="0" fontId="1230" fillId="1231" borderId="1175" xfId="0" applyFont="1" applyFill="1" applyBorder="1"/>
    <xf numFmtId="0" fontId="1231" fillId="1232" borderId="1176" xfId="0" applyFont="1" applyFill="1" applyBorder="1"/>
    <xf numFmtId="0" fontId="1232" fillId="1233" borderId="1177" xfId="0" applyFont="1" applyFill="1" applyBorder="1"/>
    <xf numFmtId="0" fontId="1233" fillId="1234" borderId="1178" xfId="0" applyFont="1" applyFill="1" applyBorder="1"/>
    <xf numFmtId="0" fontId="1234" fillId="1235" borderId="1179" xfId="0" applyFont="1" applyFill="1" applyBorder="1"/>
    <xf numFmtId="0" fontId="1235" fillId="1236" borderId="1180" xfId="0" applyFont="1" applyFill="1" applyBorder="1"/>
    <xf numFmtId="0" fontId="1236" fillId="1237" borderId="1181" xfId="0" applyFont="1" applyFill="1" applyBorder="1" applyAlignment="1">
      <alignment horizontal="center" vertical="center"/>
    </xf>
    <xf numFmtId="0" fontId="1237" fillId="1238" borderId="1182" xfId="0" applyFont="1" applyFill="1" applyBorder="1" applyAlignment="1">
      <alignment horizontal="center" vertical="center"/>
    </xf>
    <xf numFmtId="0" fontId="1238" fillId="1239" borderId="1183" xfId="0" applyFont="1" applyFill="1" applyBorder="1" applyAlignment="1">
      <alignment horizontal="center" vertical="center"/>
    </xf>
    <xf numFmtId="0" fontId="1239" fillId="1240" borderId="1184" xfId="0" applyFont="1" applyFill="1" applyBorder="1" applyAlignment="1">
      <alignment horizontal="center" vertical="center"/>
    </xf>
    <xf numFmtId="0" fontId="1240" fillId="1241" borderId="1185" xfId="0" applyFont="1" applyFill="1" applyBorder="1" applyAlignment="1">
      <alignment horizontal="center" vertical="center"/>
    </xf>
    <xf numFmtId="0" fontId="1241" fillId="1242" borderId="1186" xfId="0" applyFont="1" applyFill="1" applyBorder="1" applyAlignment="1">
      <alignment horizontal="center" vertical="center"/>
    </xf>
    <xf numFmtId="0" fontId="1242" fillId="1243" borderId="1187" xfId="0" applyFont="1" applyFill="1" applyBorder="1" applyAlignment="1">
      <alignment horizontal="center" vertical="center"/>
    </xf>
    <xf numFmtId="0" fontId="1243" fillId="1244" borderId="1188" xfId="0" applyFont="1" applyFill="1" applyBorder="1"/>
    <xf numFmtId="0" fontId="1244" fillId="1245" borderId="1189" xfId="0" applyFont="1" applyFill="1" applyBorder="1"/>
    <xf numFmtId="0" fontId="1245" fillId="1246" borderId="1190" xfId="0" applyFont="1" applyFill="1" applyBorder="1"/>
    <xf numFmtId="0" fontId="1246" fillId="1247" borderId="1191" xfId="0" applyFont="1" applyFill="1" applyBorder="1"/>
    <xf numFmtId="0" fontId="1247" fillId="1248" borderId="1192" xfId="0" applyFont="1" applyFill="1" applyBorder="1"/>
    <xf numFmtId="0" fontId="1248" fillId="1249" borderId="1193" xfId="0" applyFont="1" applyFill="1" applyBorder="1"/>
    <xf numFmtId="0" fontId="1249" fillId="1250" borderId="1194" xfId="0" applyFont="1" applyFill="1" applyBorder="1"/>
    <xf numFmtId="0" fontId="1250" fillId="1251" borderId="1195" xfId="0" applyFont="1" applyFill="1" applyBorder="1"/>
    <xf numFmtId="0" fontId="1251" fillId="1252" borderId="1196" xfId="0" applyFont="1" applyFill="1" applyBorder="1" applyAlignment="1">
      <alignment horizontal="center" vertical="center"/>
    </xf>
    <xf numFmtId="0" fontId="1252" fillId="1253" borderId="1197" xfId="0" applyFont="1" applyFill="1" applyBorder="1" applyAlignment="1">
      <alignment horizontal="center" vertical="center"/>
    </xf>
    <xf numFmtId="0" fontId="1253" fillId="1254" borderId="1198" xfId="0" applyFont="1" applyFill="1" applyBorder="1" applyAlignment="1">
      <alignment horizontal="center" vertical="center"/>
    </xf>
    <xf numFmtId="0" fontId="1254" fillId="1255" borderId="1199" xfId="0" applyFont="1" applyFill="1" applyBorder="1" applyAlignment="1">
      <alignment horizontal="center" vertical="center"/>
    </xf>
    <xf numFmtId="0" fontId="1255" fillId="1256" borderId="1200" xfId="0" applyFont="1" applyFill="1" applyBorder="1" applyAlignment="1">
      <alignment horizontal="center" vertical="center"/>
    </xf>
    <xf numFmtId="0" fontId="1256" fillId="1257" borderId="1201" xfId="0" applyFont="1" applyFill="1" applyBorder="1" applyAlignment="1">
      <alignment horizontal="center" vertical="center"/>
    </xf>
    <xf numFmtId="0" fontId="1257" fillId="1258" borderId="1202" xfId="0" applyFont="1" applyFill="1" applyBorder="1" applyAlignment="1">
      <alignment horizontal="center" vertical="center"/>
    </xf>
    <xf numFmtId="0" fontId="1258" fillId="1259" borderId="1203" xfId="0" applyFont="1" applyFill="1" applyBorder="1"/>
    <xf numFmtId="0" fontId="1259" fillId="1260" borderId="1204" xfId="0" applyFont="1" applyFill="1" applyBorder="1"/>
    <xf numFmtId="0" fontId="1260" fillId="1261" borderId="1205" xfId="0" applyFont="1" applyFill="1" applyBorder="1"/>
    <xf numFmtId="0" fontId="1261" fillId="1262" borderId="1206" xfId="0" applyFont="1" applyFill="1" applyBorder="1"/>
    <xf numFmtId="0" fontId="1262" fillId="1263" borderId="1207" xfId="0" applyFont="1" applyFill="1" applyBorder="1"/>
    <xf numFmtId="0" fontId="1263" fillId="1264" borderId="1208" xfId="0" applyFont="1" applyFill="1" applyBorder="1"/>
    <xf numFmtId="0" fontId="1264" fillId="1265" borderId="1209" xfId="0" applyFont="1" applyFill="1" applyBorder="1"/>
    <xf numFmtId="0" fontId="1265" fillId="1266" borderId="1210" xfId="0" applyFont="1" applyFill="1" applyBorder="1"/>
    <xf numFmtId="0" fontId="1266" fillId="1267" borderId="1211" xfId="0" applyFont="1" applyFill="1" applyBorder="1" applyAlignment="1">
      <alignment horizontal="center" vertical="center"/>
    </xf>
    <xf numFmtId="0" fontId="1267" fillId="1268" borderId="1212" xfId="0" applyFont="1" applyFill="1" applyBorder="1" applyAlignment="1">
      <alignment horizontal="center" vertical="center"/>
    </xf>
    <xf numFmtId="0" fontId="1268" fillId="1269" borderId="1213" xfId="0" applyFont="1" applyFill="1" applyBorder="1" applyAlignment="1">
      <alignment horizontal="center" vertical="center"/>
    </xf>
    <xf numFmtId="0" fontId="1269" fillId="1270" borderId="1214" xfId="0" applyFont="1" applyFill="1" applyBorder="1" applyAlignment="1">
      <alignment horizontal="center" vertical="center"/>
    </xf>
    <xf numFmtId="0" fontId="1270" fillId="1271" borderId="1215" xfId="0" applyFont="1" applyFill="1" applyBorder="1" applyAlignment="1">
      <alignment horizontal="center" vertical="center"/>
    </xf>
    <xf numFmtId="0" fontId="1271" fillId="1272" borderId="1216" xfId="0" applyFont="1" applyFill="1" applyBorder="1" applyAlignment="1">
      <alignment horizontal="center" vertical="center"/>
    </xf>
    <xf numFmtId="0" fontId="1272" fillId="1273" borderId="1217" xfId="0" applyFont="1" applyFill="1" applyBorder="1" applyAlignment="1">
      <alignment horizontal="center" vertical="center"/>
    </xf>
    <xf numFmtId="0" fontId="1273" fillId="1274" borderId="1218" xfId="0" applyFont="1" applyFill="1" applyBorder="1"/>
    <xf numFmtId="0" fontId="1274" fillId="1275" borderId="1219" xfId="0" applyFont="1" applyFill="1" applyBorder="1"/>
    <xf numFmtId="0" fontId="1275" fillId="1276" borderId="1220" xfId="0" applyFont="1" applyFill="1" applyBorder="1"/>
    <xf numFmtId="0" fontId="1276" fillId="1277" borderId="1221" xfId="0" applyFont="1" applyFill="1" applyBorder="1"/>
    <xf numFmtId="0" fontId="1277" fillId="1278" borderId="1222" xfId="0" applyFont="1" applyFill="1" applyBorder="1"/>
    <xf numFmtId="0" fontId="1278" fillId="1279" borderId="1223" xfId="0" applyFont="1" applyFill="1" applyBorder="1"/>
    <xf numFmtId="0" fontId="1279" fillId="1280" borderId="1224" xfId="0" applyFont="1" applyFill="1" applyBorder="1"/>
    <xf numFmtId="0" fontId="1280" fillId="1281" borderId="1225" xfId="0" applyFont="1" applyFill="1" applyBorder="1"/>
    <xf numFmtId="0" fontId="1281" fillId="1282" borderId="1226" xfId="0" applyFont="1" applyFill="1" applyBorder="1" applyAlignment="1">
      <alignment horizontal="center" vertical="center"/>
    </xf>
    <xf numFmtId="0" fontId="1282" fillId="1283" borderId="1227" xfId="0" applyFont="1" applyFill="1" applyBorder="1" applyAlignment="1">
      <alignment horizontal="center" vertical="center"/>
    </xf>
    <xf numFmtId="0" fontId="1283" fillId="1284" borderId="1228" xfId="0" applyFont="1" applyFill="1" applyBorder="1" applyAlignment="1">
      <alignment horizontal="center" vertical="center"/>
    </xf>
    <xf numFmtId="0" fontId="1284" fillId="1285" borderId="1229" xfId="0" applyFont="1" applyFill="1" applyBorder="1" applyAlignment="1">
      <alignment horizontal="center" vertical="center"/>
    </xf>
    <xf numFmtId="0" fontId="1285" fillId="1286" borderId="1230" xfId="0" applyFont="1" applyFill="1" applyBorder="1" applyAlignment="1">
      <alignment horizontal="center" vertical="center"/>
    </xf>
    <xf numFmtId="0" fontId="1286" fillId="1287" borderId="1231" xfId="0" applyFont="1" applyFill="1" applyBorder="1" applyAlignment="1">
      <alignment horizontal="center" vertical="center"/>
    </xf>
    <xf numFmtId="0" fontId="1287" fillId="1288" borderId="1232" xfId="0" applyFont="1" applyFill="1" applyBorder="1" applyAlignment="1">
      <alignment horizontal="center" vertical="center"/>
    </xf>
    <xf numFmtId="0" fontId="1288" fillId="1289" borderId="1233" xfId="0" applyFont="1" applyFill="1" applyBorder="1"/>
    <xf numFmtId="0" fontId="1289" fillId="1290" borderId="1234" xfId="0" applyFont="1" applyFill="1" applyBorder="1"/>
    <xf numFmtId="0" fontId="1290" fillId="1291" borderId="1235" xfId="0" applyFont="1" applyFill="1" applyBorder="1"/>
    <xf numFmtId="0" fontId="1291" fillId="1292" borderId="1236" xfId="0" applyFont="1" applyFill="1" applyBorder="1"/>
    <xf numFmtId="0" fontId="1292" fillId="1293" borderId="1237" xfId="0" applyFont="1" applyFill="1" applyBorder="1"/>
    <xf numFmtId="0" fontId="1293" fillId="1294" borderId="1238" xfId="0" applyFont="1" applyFill="1" applyBorder="1"/>
    <xf numFmtId="0" fontId="1294" fillId="1295" borderId="1239" xfId="0" applyFont="1" applyFill="1" applyBorder="1"/>
    <xf numFmtId="0" fontId="1295" fillId="1296" borderId="1240" xfId="0" applyFont="1" applyFill="1" applyBorder="1"/>
    <xf numFmtId="0" fontId="1296" fillId="1297" borderId="1241" xfId="0" applyFont="1" applyFill="1" applyBorder="1" applyAlignment="1">
      <alignment horizontal="center" vertical="center"/>
    </xf>
    <xf numFmtId="0" fontId="1297" fillId="1298" borderId="1242" xfId="0" applyFont="1" applyFill="1" applyBorder="1" applyAlignment="1">
      <alignment horizontal="center" vertical="center"/>
    </xf>
    <xf numFmtId="0" fontId="1298" fillId="1299" borderId="1243" xfId="0" applyFont="1" applyFill="1" applyBorder="1" applyAlignment="1">
      <alignment horizontal="center" vertical="center"/>
    </xf>
    <xf numFmtId="0" fontId="1299" fillId="1300" borderId="1244" xfId="0" applyFont="1" applyFill="1" applyBorder="1" applyAlignment="1">
      <alignment horizontal="center" vertical="center"/>
    </xf>
    <xf numFmtId="0" fontId="1300" fillId="1301" borderId="1245" xfId="0" applyFont="1" applyFill="1" applyBorder="1" applyAlignment="1">
      <alignment horizontal="center" vertical="center"/>
    </xf>
    <xf numFmtId="0" fontId="1301" fillId="1302" borderId="1246" xfId="0" applyFont="1" applyFill="1" applyBorder="1" applyAlignment="1">
      <alignment horizontal="center" vertical="center"/>
    </xf>
    <xf numFmtId="0" fontId="1302" fillId="1303" borderId="1247" xfId="0" applyFont="1" applyFill="1" applyBorder="1" applyAlignment="1">
      <alignment horizontal="center" vertical="center"/>
    </xf>
    <xf numFmtId="0" fontId="1303" fillId="1304" borderId="1248" xfId="0" applyFont="1" applyFill="1" applyBorder="1"/>
    <xf numFmtId="0" fontId="1304" fillId="1305" borderId="1249" xfId="0" applyFont="1" applyFill="1" applyBorder="1"/>
    <xf numFmtId="0" fontId="1305" fillId="1306" borderId="1250" xfId="0" applyFont="1" applyFill="1" applyBorder="1"/>
    <xf numFmtId="0" fontId="1306" fillId="1307" borderId="1251" xfId="0" applyFont="1" applyFill="1" applyBorder="1"/>
    <xf numFmtId="0" fontId="1307" fillId="1308" borderId="1252" xfId="0" applyFont="1" applyFill="1" applyBorder="1"/>
    <xf numFmtId="0" fontId="1308" fillId="1309" borderId="1253" xfId="0" applyFont="1" applyFill="1" applyBorder="1"/>
    <xf numFmtId="0" fontId="1309" fillId="1310" borderId="1254" xfId="0" applyFont="1" applyFill="1" applyBorder="1"/>
    <xf numFmtId="0" fontId="1310" fillId="1311" borderId="1255" xfId="0" applyFont="1" applyFill="1" applyBorder="1"/>
    <xf numFmtId="0" fontId="1311" fillId="1312" borderId="1256" xfId="0" applyFont="1" applyFill="1" applyBorder="1" applyAlignment="1">
      <alignment horizontal="center" vertical="center"/>
    </xf>
    <xf numFmtId="0" fontId="1312" fillId="1313" borderId="1257" xfId="0" applyFont="1" applyFill="1" applyBorder="1" applyAlignment="1">
      <alignment horizontal="center" vertical="center"/>
    </xf>
    <xf numFmtId="0" fontId="1313" fillId="1314" borderId="1258" xfId="0" applyFont="1" applyFill="1" applyBorder="1" applyAlignment="1">
      <alignment horizontal="center" vertical="center"/>
    </xf>
    <xf numFmtId="0" fontId="1314" fillId="1315" borderId="1259" xfId="0" applyFont="1" applyFill="1" applyBorder="1" applyAlignment="1">
      <alignment horizontal="center" vertical="center"/>
    </xf>
    <xf numFmtId="0" fontId="1315" fillId="1316" borderId="1260" xfId="0" applyFont="1" applyFill="1" applyBorder="1" applyAlignment="1">
      <alignment horizontal="center" vertical="center"/>
    </xf>
    <xf numFmtId="0" fontId="1316" fillId="1317" borderId="1261" xfId="0" applyFont="1" applyFill="1" applyBorder="1" applyAlignment="1">
      <alignment horizontal="center" vertical="center"/>
    </xf>
    <xf numFmtId="0" fontId="1317" fillId="1318" borderId="1262" xfId="0" applyFont="1" applyFill="1" applyBorder="1" applyAlignment="1">
      <alignment horizontal="center" vertical="center"/>
    </xf>
    <xf numFmtId="0" fontId="1318" fillId="1319" borderId="1263" xfId="0" applyFont="1" applyFill="1" applyBorder="1"/>
    <xf numFmtId="0" fontId="1319" fillId="1320" borderId="1264" xfId="0" applyFont="1" applyFill="1" applyBorder="1"/>
    <xf numFmtId="0" fontId="1320" fillId="1321" borderId="1265" xfId="0" applyFont="1" applyFill="1" applyBorder="1"/>
    <xf numFmtId="0" fontId="1321" fillId="1322" borderId="1266" xfId="0" applyFont="1" applyFill="1" applyBorder="1"/>
    <xf numFmtId="0" fontId="1322" fillId="1323" borderId="1267" xfId="0" applyFont="1" applyFill="1" applyBorder="1"/>
    <xf numFmtId="0" fontId="1323" fillId="1324" borderId="1268" xfId="0" applyFont="1" applyFill="1" applyBorder="1"/>
    <xf numFmtId="0" fontId="1324" fillId="1325" borderId="1269" xfId="0" applyFont="1" applyFill="1" applyBorder="1"/>
    <xf numFmtId="0" fontId="1325" fillId="1326" borderId="1270" xfId="0" applyFont="1" applyFill="1" applyBorder="1"/>
    <xf numFmtId="0" fontId="1326" fillId="1327" borderId="1271" xfId="0" applyFont="1" applyFill="1" applyBorder="1" applyAlignment="1">
      <alignment horizontal="center" vertical="center"/>
    </xf>
    <xf numFmtId="0" fontId="1327" fillId="1328" borderId="1272" xfId="0" applyFont="1" applyFill="1" applyBorder="1" applyAlignment="1">
      <alignment horizontal="center" vertical="center"/>
    </xf>
    <xf numFmtId="0" fontId="1328" fillId="1329" borderId="1273" xfId="0" applyFont="1" applyFill="1" applyBorder="1" applyAlignment="1">
      <alignment horizontal="center" vertical="center"/>
    </xf>
    <xf numFmtId="0" fontId="1329" fillId="1330" borderId="1274" xfId="0" applyFont="1" applyFill="1" applyBorder="1" applyAlignment="1">
      <alignment horizontal="center" vertical="center"/>
    </xf>
    <xf numFmtId="0" fontId="1330" fillId="1331" borderId="1275" xfId="0" applyFont="1" applyFill="1" applyBorder="1" applyAlignment="1">
      <alignment horizontal="center" vertical="center"/>
    </xf>
    <xf numFmtId="0" fontId="1331" fillId="1332" borderId="1276" xfId="0" applyFont="1" applyFill="1" applyBorder="1" applyAlignment="1">
      <alignment horizontal="center" vertical="center"/>
    </xf>
    <xf numFmtId="0" fontId="1332" fillId="1333" borderId="1277" xfId="0" applyFont="1" applyFill="1" applyBorder="1" applyAlignment="1">
      <alignment horizontal="center" vertical="center"/>
    </xf>
    <xf numFmtId="0" fontId="1333" fillId="1334" borderId="1278" xfId="0" applyFont="1" applyFill="1" applyBorder="1"/>
    <xf numFmtId="0" fontId="1334" fillId="1335" borderId="1279" xfId="0" applyFont="1" applyFill="1" applyBorder="1"/>
    <xf numFmtId="0" fontId="1335" fillId="1336" borderId="1280" xfId="0" applyFont="1" applyFill="1" applyBorder="1"/>
    <xf numFmtId="0" fontId="1336" fillId="1337" borderId="1281" xfId="0" applyFont="1" applyFill="1" applyBorder="1"/>
    <xf numFmtId="0" fontId="1337" fillId="1338" borderId="1282" xfId="0" applyFont="1" applyFill="1" applyBorder="1"/>
    <xf numFmtId="0" fontId="1338" fillId="1339" borderId="1283" xfId="0" applyFont="1" applyFill="1" applyBorder="1"/>
    <xf numFmtId="0" fontId="1339" fillId="1340" borderId="1284" xfId="0" applyFont="1" applyFill="1" applyBorder="1"/>
    <xf numFmtId="0" fontId="1340" fillId="1341" borderId="1285" xfId="0" applyFont="1" applyFill="1" applyBorder="1"/>
    <xf numFmtId="0" fontId="1341" fillId="1342" borderId="1286" xfId="0" applyFont="1" applyFill="1" applyBorder="1" applyAlignment="1">
      <alignment horizontal="center" vertical="center"/>
    </xf>
    <xf numFmtId="0" fontId="1342" fillId="1343" borderId="1287" xfId="0" applyFont="1" applyFill="1" applyBorder="1" applyAlignment="1">
      <alignment horizontal="center" vertical="center"/>
    </xf>
    <xf numFmtId="0" fontId="1343" fillId="1344" borderId="1288" xfId="0" applyFont="1" applyFill="1" applyBorder="1" applyAlignment="1">
      <alignment horizontal="center" vertical="center"/>
    </xf>
    <xf numFmtId="0" fontId="1344" fillId="1345" borderId="1289" xfId="0" applyFont="1" applyFill="1" applyBorder="1" applyAlignment="1">
      <alignment horizontal="center" vertical="center"/>
    </xf>
    <xf numFmtId="0" fontId="1345" fillId="1346" borderId="1290" xfId="0" applyFont="1" applyFill="1" applyBorder="1" applyAlignment="1">
      <alignment horizontal="center" vertical="center"/>
    </xf>
    <xf numFmtId="0" fontId="1346" fillId="1347" borderId="1291" xfId="0" applyFont="1" applyFill="1" applyBorder="1" applyAlignment="1">
      <alignment horizontal="center" vertical="center"/>
    </xf>
    <xf numFmtId="0" fontId="1347" fillId="1348" borderId="1292" xfId="0" applyFont="1" applyFill="1" applyBorder="1" applyAlignment="1">
      <alignment horizontal="center" vertical="center"/>
    </xf>
    <xf numFmtId="0" fontId="1348" fillId="1349" borderId="1293" xfId="0" applyFont="1" applyFill="1" applyBorder="1"/>
    <xf numFmtId="0" fontId="1349" fillId="1350" borderId="1294" xfId="0" applyFont="1" applyFill="1" applyBorder="1"/>
    <xf numFmtId="0" fontId="1350" fillId="1351" borderId="1295" xfId="0" applyFont="1" applyFill="1" applyBorder="1"/>
    <xf numFmtId="0" fontId="1351" fillId="1352" borderId="1296" xfId="0" applyFont="1" applyFill="1" applyBorder="1"/>
    <xf numFmtId="0" fontId="1352" fillId="1353" borderId="1297" xfId="0" applyFont="1" applyFill="1" applyBorder="1"/>
    <xf numFmtId="0" fontId="1353" fillId="1354" borderId="1298" xfId="0" applyFont="1" applyFill="1" applyBorder="1"/>
    <xf numFmtId="0" fontId="1354" fillId="1355" borderId="1299" xfId="0" applyFont="1" applyFill="1" applyBorder="1"/>
    <xf numFmtId="0" fontId="1355" fillId="1356" borderId="1300" xfId="0" applyFont="1" applyFill="1" applyBorder="1"/>
    <xf numFmtId="0" fontId="1356" fillId="1357" borderId="1301" xfId="0" applyFont="1" applyFill="1" applyBorder="1" applyAlignment="1">
      <alignment horizontal="center" vertical="center"/>
    </xf>
    <xf numFmtId="0" fontId="1357" fillId="1358" borderId="1302" xfId="0" applyFont="1" applyFill="1" applyBorder="1" applyAlignment="1">
      <alignment horizontal="center" vertical="center"/>
    </xf>
    <xf numFmtId="0" fontId="1358" fillId="1359" borderId="1303" xfId="0" applyFont="1" applyFill="1" applyBorder="1" applyAlignment="1">
      <alignment horizontal="center" vertical="center"/>
    </xf>
    <xf numFmtId="0" fontId="1359" fillId="1360" borderId="1304" xfId="0" applyFont="1" applyFill="1" applyBorder="1" applyAlignment="1">
      <alignment horizontal="center" vertical="center"/>
    </xf>
    <xf numFmtId="0" fontId="1360" fillId="1361" borderId="1305" xfId="0" applyFont="1" applyFill="1" applyBorder="1" applyAlignment="1">
      <alignment horizontal="center" vertical="center"/>
    </xf>
    <xf numFmtId="0" fontId="1361" fillId="1362" borderId="1306" xfId="0" applyFont="1" applyFill="1" applyBorder="1" applyAlignment="1">
      <alignment horizontal="center" vertical="center"/>
    </xf>
    <xf numFmtId="0" fontId="1362" fillId="1363" borderId="1307" xfId="0" applyFont="1" applyFill="1" applyBorder="1" applyAlignment="1">
      <alignment horizontal="center" vertical="center"/>
    </xf>
    <xf numFmtId="0" fontId="1363" fillId="1364" borderId="1308" xfId="0" applyFont="1" applyFill="1" applyBorder="1"/>
    <xf numFmtId="0" fontId="1364" fillId="1365" borderId="1309" xfId="0" applyFont="1" applyFill="1" applyBorder="1"/>
    <xf numFmtId="0" fontId="1365" fillId="1366" borderId="1310" xfId="0" applyFont="1" applyFill="1" applyBorder="1"/>
    <xf numFmtId="0" fontId="1366" fillId="1367" borderId="1311" xfId="0" applyFont="1" applyFill="1" applyBorder="1"/>
    <xf numFmtId="0" fontId="1367" fillId="1368" borderId="1312" xfId="0" applyFont="1" applyFill="1" applyBorder="1"/>
    <xf numFmtId="0" fontId="1368" fillId="1369" borderId="1313" xfId="0" applyFont="1" applyFill="1" applyBorder="1"/>
    <xf numFmtId="0" fontId="1369" fillId="1370" borderId="1314" xfId="0" applyFont="1" applyFill="1" applyBorder="1"/>
    <xf numFmtId="0" fontId="1370" fillId="1371" borderId="1315" xfId="0" applyFont="1" applyFill="1" applyBorder="1"/>
    <xf numFmtId="0" fontId="1371" fillId="1372" borderId="1316" xfId="0" applyFont="1" applyFill="1" applyBorder="1" applyAlignment="1">
      <alignment horizontal="center" vertical="center"/>
    </xf>
    <xf numFmtId="0" fontId="1372" fillId="1373" borderId="1317" xfId="0" applyFont="1" applyFill="1" applyBorder="1" applyAlignment="1">
      <alignment horizontal="center" vertical="center"/>
    </xf>
    <xf numFmtId="0" fontId="1373" fillId="1374" borderId="1318" xfId="0" applyFont="1" applyFill="1" applyBorder="1" applyAlignment="1">
      <alignment horizontal="center" vertical="center"/>
    </xf>
    <xf numFmtId="0" fontId="1374" fillId="1375" borderId="1319" xfId="0" applyFont="1" applyFill="1" applyBorder="1" applyAlignment="1">
      <alignment horizontal="center" vertical="center"/>
    </xf>
    <xf numFmtId="0" fontId="1375" fillId="1376" borderId="1320" xfId="0" applyFont="1" applyFill="1" applyBorder="1" applyAlignment="1">
      <alignment horizontal="center" vertical="center"/>
    </xf>
    <xf numFmtId="0" fontId="1376" fillId="1377" borderId="1321" xfId="0" applyFont="1" applyFill="1" applyBorder="1" applyAlignment="1">
      <alignment horizontal="center" vertical="center"/>
    </xf>
    <xf numFmtId="0" fontId="1377" fillId="1378" borderId="1322" xfId="0" applyFont="1" applyFill="1" applyBorder="1" applyAlignment="1">
      <alignment horizontal="center" vertical="center"/>
    </xf>
    <xf numFmtId="0" fontId="1378" fillId="1379" borderId="1323" xfId="0" applyFont="1" applyFill="1" applyBorder="1"/>
    <xf numFmtId="0" fontId="1379" fillId="1380" borderId="1324" xfId="0" applyFont="1" applyFill="1" applyBorder="1"/>
    <xf numFmtId="0" fontId="1380" fillId="1381" borderId="1325" xfId="0" applyFont="1" applyFill="1" applyBorder="1"/>
    <xf numFmtId="0" fontId="1381" fillId="1382" borderId="1326" xfId="0" applyFont="1" applyFill="1" applyBorder="1"/>
    <xf numFmtId="0" fontId="1382" fillId="1383" borderId="1327" xfId="0" applyFont="1" applyFill="1" applyBorder="1"/>
    <xf numFmtId="0" fontId="1383" fillId="1384" borderId="1328" xfId="0" applyFont="1" applyFill="1" applyBorder="1"/>
    <xf numFmtId="0" fontId="1384" fillId="1385" borderId="1329" xfId="0" applyFont="1" applyFill="1" applyBorder="1"/>
    <xf numFmtId="0" fontId="1385" fillId="1386" borderId="1330" xfId="0" applyFont="1" applyFill="1" applyBorder="1"/>
    <xf numFmtId="0" fontId="1386" fillId="1387" borderId="1331" xfId="0" applyFont="1" applyFill="1" applyBorder="1" applyAlignment="1">
      <alignment horizontal="center" vertical="center"/>
    </xf>
    <xf numFmtId="0" fontId="1387" fillId="1388" borderId="1332" xfId="0" applyFont="1" applyFill="1" applyBorder="1" applyAlignment="1">
      <alignment horizontal="center" vertical="center"/>
    </xf>
    <xf numFmtId="0" fontId="1388" fillId="1389" borderId="1333" xfId="0" applyFont="1" applyFill="1" applyBorder="1" applyAlignment="1">
      <alignment horizontal="center" vertical="center"/>
    </xf>
    <xf numFmtId="0" fontId="1389" fillId="1390" borderId="1334" xfId="0" applyFont="1" applyFill="1" applyBorder="1" applyAlignment="1">
      <alignment horizontal="center" vertical="center"/>
    </xf>
    <xf numFmtId="0" fontId="1390" fillId="1391" borderId="1335" xfId="0" applyFont="1" applyFill="1" applyBorder="1" applyAlignment="1">
      <alignment horizontal="center" vertical="center"/>
    </xf>
    <xf numFmtId="0" fontId="1391" fillId="1392" borderId="1336" xfId="0" applyFont="1" applyFill="1" applyBorder="1" applyAlignment="1">
      <alignment horizontal="center" vertical="center"/>
    </xf>
    <xf numFmtId="0" fontId="1392" fillId="1393" borderId="1337" xfId="0" applyFont="1" applyFill="1" applyBorder="1" applyAlignment="1">
      <alignment horizontal="center" vertical="center"/>
    </xf>
    <xf numFmtId="0" fontId="1393" fillId="1394" borderId="1338" xfId="0" applyFont="1" applyFill="1" applyBorder="1"/>
    <xf numFmtId="0" fontId="1394" fillId="1395" borderId="1339" xfId="0" applyFont="1" applyFill="1" applyBorder="1"/>
    <xf numFmtId="0" fontId="1395" fillId="1396" borderId="1340" xfId="0" applyFont="1" applyFill="1" applyBorder="1"/>
    <xf numFmtId="0" fontId="1396" fillId="1397" borderId="1341" xfId="0" applyFont="1" applyFill="1" applyBorder="1"/>
    <xf numFmtId="0" fontId="1397" fillId="1398" borderId="1342" xfId="0" applyFont="1" applyFill="1" applyBorder="1"/>
    <xf numFmtId="0" fontId="1398" fillId="1399" borderId="1343" xfId="0" applyFont="1" applyFill="1" applyBorder="1"/>
    <xf numFmtId="0" fontId="1399" fillId="1400" borderId="1344" xfId="0" applyFont="1" applyFill="1" applyBorder="1"/>
    <xf numFmtId="0" fontId="1400" fillId="1401" borderId="1345" xfId="0" applyFont="1" applyFill="1" applyBorder="1"/>
    <xf numFmtId="0" fontId="1401" fillId="1402" borderId="1346" xfId="0" applyFont="1" applyFill="1" applyBorder="1" applyAlignment="1">
      <alignment horizontal="center" vertical="center"/>
    </xf>
    <xf numFmtId="0" fontId="1402" fillId="1403" borderId="1347" xfId="0" applyFont="1" applyFill="1" applyBorder="1" applyAlignment="1">
      <alignment horizontal="center" vertical="center"/>
    </xf>
    <xf numFmtId="0" fontId="1403" fillId="1404" borderId="1348" xfId="0" applyFont="1" applyFill="1" applyBorder="1" applyAlignment="1">
      <alignment horizontal="center" vertical="center"/>
    </xf>
    <xf numFmtId="0" fontId="1404" fillId="1405" borderId="1349" xfId="0" applyFont="1" applyFill="1" applyBorder="1" applyAlignment="1">
      <alignment horizontal="center" vertical="center"/>
    </xf>
    <xf numFmtId="0" fontId="1405" fillId="1406" borderId="1350" xfId="0" applyFont="1" applyFill="1" applyBorder="1" applyAlignment="1">
      <alignment horizontal="center" vertical="center"/>
    </xf>
    <xf numFmtId="0" fontId="1406" fillId="1407" borderId="1351" xfId="0" applyFont="1" applyFill="1" applyBorder="1" applyAlignment="1">
      <alignment horizontal="center" vertical="center"/>
    </xf>
    <xf numFmtId="0" fontId="1407" fillId="1408" borderId="1352" xfId="0" applyFont="1" applyFill="1" applyBorder="1" applyAlignment="1">
      <alignment horizontal="center" vertical="center"/>
    </xf>
    <xf numFmtId="0" fontId="1408" fillId="1409" borderId="1353" xfId="0" applyFont="1" applyFill="1" applyBorder="1"/>
    <xf numFmtId="0" fontId="1409" fillId="1410" borderId="1354" xfId="0" applyFont="1" applyFill="1" applyBorder="1"/>
    <xf numFmtId="0" fontId="1410" fillId="1411" borderId="1355" xfId="0" applyFont="1" applyFill="1" applyBorder="1"/>
    <xf numFmtId="0" fontId="1411" fillId="1412" borderId="1356" xfId="0" applyFont="1" applyFill="1" applyBorder="1"/>
    <xf numFmtId="0" fontId="1412" fillId="1413" borderId="1357" xfId="0" applyFont="1" applyFill="1" applyBorder="1"/>
    <xf numFmtId="0" fontId="1413" fillId="1414" borderId="1358" xfId="0" applyFont="1" applyFill="1" applyBorder="1"/>
    <xf numFmtId="0" fontId="1414" fillId="1415" borderId="1359" xfId="0" applyFont="1" applyFill="1" applyBorder="1"/>
    <xf numFmtId="0" fontId="1415" fillId="1416" borderId="1360" xfId="0" applyFont="1" applyFill="1" applyBorder="1"/>
    <xf numFmtId="0" fontId="1416" fillId="1417" borderId="1361" xfId="0" applyFont="1" applyFill="1" applyBorder="1" applyAlignment="1">
      <alignment horizontal="center" vertical="center"/>
    </xf>
    <xf numFmtId="0" fontId="1417" fillId="1418" borderId="1362" xfId="0" applyFont="1" applyFill="1" applyBorder="1" applyAlignment="1">
      <alignment horizontal="center" vertical="center"/>
    </xf>
    <xf numFmtId="0" fontId="1418" fillId="1419" borderId="1363" xfId="0" applyFont="1" applyFill="1" applyBorder="1" applyAlignment="1">
      <alignment horizontal="center" vertical="center"/>
    </xf>
    <xf numFmtId="0" fontId="1419" fillId="1420" borderId="1364" xfId="0" applyFont="1" applyFill="1" applyBorder="1" applyAlignment="1">
      <alignment horizontal="center" vertical="center"/>
    </xf>
    <xf numFmtId="0" fontId="1420" fillId="1421" borderId="1365" xfId="0" applyFont="1" applyFill="1" applyBorder="1" applyAlignment="1">
      <alignment horizontal="center" vertical="center"/>
    </xf>
    <xf numFmtId="0" fontId="1421" fillId="1422" borderId="1366" xfId="0" applyFont="1" applyFill="1" applyBorder="1" applyAlignment="1">
      <alignment horizontal="center" vertical="center"/>
    </xf>
    <xf numFmtId="0" fontId="1422" fillId="1423" borderId="1367" xfId="0" applyFont="1" applyFill="1" applyBorder="1" applyAlignment="1">
      <alignment horizontal="center" vertical="center"/>
    </xf>
    <xf numFmtId="0" fontId="1423" fillId="1424" borderId="1368" xfId="0" applyFont="1" applyFill="1" applyBorder="1"/>
    <xf numFmtId="0" fontId="1424" fillId="1425" borderId="1369" xfId="0" applyFont="1" applyFill="1" applyBorder="1"/>
    <xf numFmtId="0" fontId="1425" fillId="1426" borderId="1370" xfId="0" applyFont="1" applyFill="1" applyBorder="1"/>
    <xf numFmtId="0" fontId="1426" fillId="1427" borderId="1371" xfId="0" applyFont="1" applyFill="1" applyBorder="1"/>
    <xf numFmtId="0" fontId="1427" fillId="1428" borderId="1372" xfId="0" applyFont="1" applyFill="1" applyBorder="1"/>
    <xf numFmtId="0" fontId="1428" fillId="1429" borderId="1373" xfId="0" applyFont="1" applyFill="1" applyBorder="1"/>
    <xf numFmtId="0" fontId="1429" fillId="1430" borderId="1374" xfId="0" applyFont="1" applyFill="1" applyBorder="1"/>
    <xf numFmtId="0" fontId="1430" fillId="1431" borderId="1375" xfId="0" applyFont="1" applyFill="1" applyBorder="1"/>
    <xf numFmtId="0" fontId="1431" fillId="1432" borderId="1376" xfId="0" applyFont="1" applyFill="1" applyBorder="1" applyAlignment="1">
      <alignment horizontal="center" vertical="center"/>
    </xf>
    <xf numFmtId="0" fontId="1432" fillId="1433" borderId="1377" xfId="0" applyFont="1" applyFill="1" applyBorder="1" applyAlignment="1">
      <alignment horizontal="center" vertical="center"/>
    </xf>
    <xf numFmtId="0" fontId="1433" fillId="1434" borderId="1378" xfId="0" applyFont="1" applyFill="1" applyBorder="1" applyAlignment="1">
      <alignment horizontal="center" vertical="center"/>
    </xf>
    <xf numFmtId="0" fontId="1434" fillId="1435" borderId="1379" xfId="0" applyFont="1" applyFill="1" applyBorder="1" applyAlignment="1">
      <alignment horizontal="center" vertical="center"/>
    </xf>
    <xf numFmtId="0" fontId="1435" fillId="1436" borderId="1380" xfId="0" applyFont="1" applyFill="1" applyBorder="1" applyAlignment="1">
      <alignment horizontal="center" vertical="center"/>
    </xf>
    <xf numFmtId="0" fontId="1436" fillId="1437" borderId="1381" xfId="0" applyFont="1" applyFill="1" applyBorder="1" applyAlignment="1">
      <alignment horizontal="center" vertical="center"/>
    </xf>
    <xf numFmtId="0" fontId="1437" fillId="1438" borderId="1382" xfId="0" applyFont="1" applyFill="1" applyBorder="1" applyAlignment="1">
      <alignment horizontal="center" vertical="center"/>
    </xf>
    <xf numFmtId="0" fontId="1438" fillId="1439" borderId="1383" xfId="0" applyFont="1" applyFill="1" applyBorder="1"/>
    <xf numFmtId="0" fontId="1439" fillId="1440" borderId="1384" xfId="0" applyFont="1" applyFill="1" applyBorder="1"/>
    <xf numFmtId="0" fontId="1440" fillId="1441" borderId="1385" xfId="0" applyFont="1" applyFill="1" applyBorder="1"/>
    <xf numFmtId="0" fontId="1441" fillId="1442" borderId="1386" xfId="0" applyFont="1" applyFill="1" applyBorder="1"/>
    <xf numFmtId="0" fontId="1442" fillId="1443" borderId="1387" xfId="0" applyFont="1" applyFill="1" applyBorder="1"/>
    <xf numFmtId="0" fontId="1443" fillId="1444" borderId="1388" xfId="0" applyFont="1" applyFill="1" applyBorder="1"/>
    <xf numFmtId="0" fontId="1444" fillId="1445" borderId="1389" xfId="0" applyFont="1" applyFill="1" applyBorder="1"/>
    <xf numFmtId="0" fontId="1445" fillId="1446" borderId="1390" xfId="0" applyFont="1" applyFill="1" applyBorder="1"/>
    <xf numFmtId="0" fontId="1446" fillId="1447" borderId="1391" xfId="0" applyFont="1" applyFill="1" applyBorder="1" applyAlignment="1">
      <alignment horizontal="center" vertical="center"/>
    </xf>
    <xf numFmtId="0" fontId="1447" fillId="1448" borderId="1392" xfId="0" applyFont="1" applyFill="1" applyBorder="1" applyAlignment="1">
      <alignment horizontal="center" vertical="center"/>
    </xf>
    <xf numFmtId="0" fontId="1448" fillId="1449" borderId="1393" xfId="0" applyFont="1" applyFill="1" applyBorder="1" applyAlignment="1">
      <alignment horizontal="center" vertical="center"/>
    </xf>
    <xf numFmtId="0" fontId="1449" fillId="1450" borderId="1394" xfId="0" applyFont="1" applyFill="1" applyBorder="1" applyAlignment="1">
      <alignment horizontal="center" vertical="center"/>
    </xf>
    <xf numFmtId="0" fontId="1450" fillId="1451" borderId="1395" xfId="0" applyFont="1" applyFill="1" applyBorder="1" applyAlignment="1">
      <alignment horizontal="center" vertical="center"/>
    </xf>
    <xf numFmtId="0" fontId="1451" fillId="1452" borderId="1396" xfId="0" applyFont="1" applyFill="1" applyBorder="1" applyAlignment="1">
      <alignment horizontal="center" vertical="center"/>
    </xf>
    <xf numFmtId="0" fontId="1452" fillId="1453" borderId="1397" xfId="0" applyFont="1" applyFill="1" applyBorder="1" applyAlignment="1">
      <alignment horizontal="center" vertical="center"/>
    </xf>
    <xf numFmtId="0" fontId="1453" fillId="1454" borderId="1398" xfId="0" applyFont="1" applyFill="1" applyBorder="1"/>
    <xf numFmtId="0" fontId="1454" fillId="1455" borderId="1399" xfId="0" applyFont="1" applyFill="1" applyBorder="1"/>
    <xf numFmtId="0" fontId="1455" fillId="1456" borderId="1400" xfId="0" applyFont="1" applyFill="1" applyBorder="1"/>
    <xf numFmtId="0" fontId="1456" fillId="1457" borderId="1401" xfId="0" applyFont="1" applyFill="1" applyBorder="1"/>
    <xf numFmtId="0" fontId="1457" fillId="1458" borderId="1402" xfId="0" applyFont="1" applyFill="1" applyBorder="1"/>
    <xf numFmtId="0" fontId="1458" fillId="1459" borderId="1403" xfId="0" applyFont="1" applyFill="1" applyBorder="1"/>
    <xf numFmtId="0" fontId="1459" fillId="1460" borderId="1404" xfId="0" applyFont="1" applyFill="1" applyBorder="1"/>
    <xf numFmtId="0" fontId="1460" fillId="1461" borderId="1405" xfId="0" applyFont="1" applyFill="1" applyBorder="1"/>
    <xf numFmtId="0" fontId="1461" fillId="1462" borderId="1406" xfId="0" applyFont="1" applyFill="1" applyBorder="1" applyAlignment="1">
      <alignment horizontal="center" vertical="center"/>
    </xf>
    <xf numFmtId="0" fontId="1462" fillId="1463" borderId="1407" xfId="0" applyFont="1" applyFill="1" applyBorder="1" applyAlignment="1">
      <alignment horizontal="center" vertical="center"/>
    </xf>
    <xf numFmtId="0" fontId="1463" fillId="1464" borderId="1408" xfId="0" applyFont="1" applyFill="1" applyBorder="1" applyAlignment="1">
      <alignment horizontal="center" vertical="center"/>
    </xf>
    <xf numFmtId="0" fontId="1464" fillId="1465" borderId="1409" xfId="0" applyFont="1" applyFill="1" applyBorder="1" applyAlignment="1">
      <alignment horizontal="center" vertical="center"/>
    </xf>
    <xf numFmtId="0" fontId="1465" fillId="1466" borderId="1410" xfId="0" applyFont="1" applyFill="1" applyBorder="1" applyAlignment="1">
      <alignment horizontal="center" vertical="center"/>
    </xf>
    <xf numFmtId="0" fontId="1466" fillId="1467" borderId="1411" xfId="0" applyFont="1" applyFill="1" applyBorder="1" applyAlignment="1">
      <alignment horizontal="center" vertical="center"/>
    </xf>
    <xf numFmtId="0" fontId="1467" fillId="1468" borderId="1412" xfId="0" applyFont="1" applyFill="1" applyBorder="1" applyAlignment="1">
      <alignment horizontal="center" vertical="center"/>
    </xf>
    <xf numFmtId="0" fontId="1468" fillId="1469" borderId="1413" xfId="0" applyFont="1" applyFill="1" applyBorder="1"/>
    <xf numFmtId="0" fontId="1469" fillId="1470" borderId="1414" xfId="0" applyFont="1" applyFill="1" applyBorder="1"/>
    <xf numFmtId="0" fontId="1470" fillId="1471" borderId="1415" xfId="0" applyFont="1" applyFill="1" applyBorder="1"/>
    <xf numFmtId="0" fontId="1471" fillId="1472" borderId="1416" xfId="0" applyFont="1" applyFill="1" applyBorder="1"/>
    <xf numFmtId="0" fontId="1472" fillId="1473" borderId="1417" xfId="0" applyFont="1" applyFill="1" applyBorder="1"/>
    <xf numFmtId="0" fontId="1473" fillId="1474" borderId="1418" xfId="0" applyFont="1" applyFill="1" applyBorder="1"/>
    <xf numFmtId="0" fontId="1474" fillId="1475" borderId="1419" xfId="0" applyFont="1" applyFill="1" applyBorder="1"/>
    <xf numFmtId="0" fontId="1475" fillId="1476" borderId="1420" xfId="0" applyFont="1" applyFill="1" applyBorder="1"/>
    <xf numFmtId="0" fontId="1476" fillId="1477" borderId="1421" xfId="0" applyFont="1" applyFill="1" applyBorder="1" applyAlignment="1">
      <alignment horizontal="center" vertical="center"/>
    </xf>
    <xf numFmtId="0" fontId="1477" fillId="1478" borderId="1422" xfId="0" applyFont="1" applyFill="1" applyBorder="1" applyAlignment="1">
      <alignment horizontal="center" vertical="center"/>
    </xf>
    <xf numFmtId="0" fontId="1478" fillId="1479" borderId="1423" xfId="0" applyFont="1" applyFill="1" applyBorder="1" applyAlignment="1">
      <alignment horizontal="center" vertical="center"/>
    </xf>
    <xf numFmtId="0" fontId="1479" fillId="1480" borderId="1424" xfId="0" applyFont="1" applyFill="1" applyBorder="1" applyAlignment="1">
      <alignment horizontal="center" vertical="center"/>
    </xf>
    <xf numFmtId="0" fontId="1480" fillId="1481" borderId="1425" xfId="0" applyFont="1" applyFill="1" applyBorder="1" applyAlignment="1">
      <alignment horizontal="center" vertical="center"/>
    </xf>
    <xf numFmtId="0" fontId="1481" fillId="1482" borderId="1426" xfId="0" applyFont="1" applyFill="1" applyBorder="1" applyAlignment="1">
      <alignment horizontal="center" vertical="center"/>
    </xf>
    <xf numFmtId="0" fontId="1482" fillId="1483" borderId="1427" xfId="0" applyFont="1" applyFill="1" applyBorder="1" applyAlignment="1">
      <alignment horizontal="center" vertical="center"/>
    </xf>
    <xf numFmtId="0" fontId="1483" fillId="1484" borderId="1428" xfId="0" applyFont="1" applyFill="1" applyBorder="1"/>
    <xf numFmtId="0" fontId="1484" fillId="1485" borderId="1429" xfId="0" applyFont="1" applyFill="1" applyBorder="1"/>
    <xf numFmtId="0" fontId="1485" fillId="1486" borderId="1430" xfId="0" applyFont="1" applyFill="1" applyBorder="1"/>
    <xf numFmtId="0" fontId="1486" fillId="1487" borderId="1431" xfId="0" applyFont="1" applyFill="1" applyBorder="1"/>
    <xf numFmtId="0" fontId="1487" fillId="1488" borderId="1432" xfId="0" applyFont="1" applyFill="1" applyBorder="1"/>
    <xf numFmtId="0" fontId="1488" fillId="1489" borderId="1433" xfId="0" applyFont="1" applyFill="1" applyBorder="1"/>
    <xf numFmtId="0" fontId="1489" fillId="1490" borderId="1434" xfId="0" applyFont="1" applyFill="1" applyBorder="1"/>
    <xf numFmtId="0" fontId="1490" fillId="1491" borderId="1435" xfId="0" applyFont="1" applyFill="1" applyBorder="1"/>
    <xf numFmtId="0" fontId="1491" fillId="1492" borderId="1436" xfId="0" applyFont="1" applyFill="1" applyBorder="1" applyAlignment="1">
      <alignment horizontal="center" vertical="center"/>
    </xf>
    <xf numFmtId="0" fontId="1492" fillId="1493" borderId="1437" xfId="0" applyFont="1" applyFill="1" applyBorder="1" applyAlignment="1">
      <alignment horizontal="center" vertical="center"/>
    </xf>
    <xf numFmtId="0" fontId="1493" fillId="1494" borderId="1438" xfId="0" applyFont="1" applyFill="1" applyBorder="1" applyAlignment="1">
      <alignment horizontal="center" vertical="center"/>
    </xf>
    <xf numFmtId="0" fontId="1494" fillId="1495" borderId="1439" xfId="0" applyFont="1" applyFill="1" applyBorder="1" applyAlignment="1">
      <alignment horizontal="center" vertical="center"/>
    </xf>
    <xf numFmtId="0" fontId="1495" fillId="1496" borderId="1440" xfId="0" applyFont="1" applyFill="1" applyBorder="1" applyAlignment="1">
      <alignment horizontal="center" vertical="center"/>
    </xf>
    <xf numFmtId="0" fontId="1496" fillId="1497" borderId="1441" xfId="0" applyFont="1" applyFill="1" applyBorder="1" applyAlignment="1">
      <alignment horizontal="center" vertical="center"/>
    </xf>
    <xf numFmtId="0" fontId="1497" fillId="1498" borderId="1442" xfId="0" applyFont="1" applyFill="1" applyBorder="1" applyAlignment="1">
      <alignment horizontal="center" vertical="center"/>
    </xf>
    <xf numFmtId="0" fontId="1498" fillId="1499" borderId="1443" xfId="0" applyFont="1" applyFill="1" applyBorder="1"/>
    <xf numFmtId="0" fontId="1499" fillId="1500" borderId="1444" xfId="0" applyFont="1" applyFill="1" applyBorder="1"/>
    <xf numFmtId="0" fontId="1500" fillId="1501" borderId="1445" xfId="0" applyFont="1" applyFill="1" applyBorder="1"/>
    <xf numFmtId="0" fontId="1501" fillId="1502" borderId="1446" xfId="0" applyFont="1" applyFill="1" applyBorder="1"/>
    <xf numFmtId="0" fontId="1502" fillId="1503" borderId="1447" xfId="0" applyFont="1" applyFill="1" applyBorder="1"/>
    <xf numFmtId="0" fontId="1503" fillId="1504" borderId="1448" xfId="0" applyFont="1" applyFill="1" applyBorder="1"/>
    <xf numFmtId="0" fontId="1504" fillId="1505" borderId="1449" xfId="0" applyFont="1" applyFill="1" applyBorder="1"/>
    <xf numFmtId="0" fontId="1505" fillId="1506" borderId="1450" xfId="0" applyFont="1" applyFill="1" applyBorder="1"/>
    <xf numFmtId="0" fontId="1506" fillId="1507" borderId="1451" xfId="0" applyFont="1" applyFill="1" applyBorder="1" applyAlignment="1">
      <alignment horizontal="center" vertical="center"/>
    </xf>
    <xf numFmtId="0" fontId="1507" fillId="1508" borderId="1452" xfId="0" applyFont="1" applyFill="1" applyBorder="1" applyAlignment="1">
      <alignment horizontal="center" vertical="center"/>
    </xf>
    <xf numFmtId="0" fontId="1508" fillId="1509" borderId="1453" xfId="0" applyFont="1" applyFill="1" applyBorder="1" applyAlignment="1">
      <alignment horizontal="center" vertical="center"/>
    </xf>
    <xf numFmtId="0" fontId="1509" fillId="1510" borderId="1454" xfId="0" applyFont="1" applyFill="1" applyBorder="1" applyAlignment="1">
      <alignment horizontal="center" vertical="center"/>
    </xf>
    <xf numFmtId="0" fontId="1510" fillId="1511" borderId="1455" xfId="0" applyFont="1" applyFill="1" applyBorder="1" applyAlignment="1">
      <alignment horizontal="center" vertical="center"/>
    </xf>
    <xf numFmtId="0" fontId="1511" fillId="1512" borderId="1456" xfId="0" applyFont="1" applyFill="1" applyBorder="1" applyAlignment="1">
      <alignment horizontal="center" vertical="center"/>
    </xf>
    <xf numFmtId="0" fontId="1512" fillId="1513" borderId="1457" xfId="0" applyFont="1" applyFill="1" applyBorder="1" applyAlignment="1">
      <alignment horizontal="center" vertical="center"/>
    </xf>
    <xf numFmtId="0" fontId="1513" fillId="1514" borderId="1458" xfId="0" applyFont="1" applyFill="1" applyBorder="1"/>
    <xf numFmtId="0" fontId="1514" fillId="1515" borderId="1459" xfId="0" applyFont="1" applyFill="1" applyBorder="1"/>
    <xf numFmtId="0" fontId="1515" fillId="1516" borderId="1460" xfId="0" applyFont="1" applyFill="1" applyBorder="1"/>
    <xf numFmtId="0" fontId="1516" fillId="1517" borderId="1461" xfId="0" applyFont="1" applyFill="1" applyBorder="1"/>
    <xf numFmtId="0" fontId="1517" fillId="1518" borderId="1462" xfId="0" applyFont="1" applyFill="1" applyBorder="1"/>
    <xf numFmtId="0" fontId="1518" fillId="1519" borderId="1463" xfId="0" applyFont="1" applyFill="1" applyBorder="1"/>
    <xf numFmtId="0" fontId="1519" fillId="1520" borderId="1464" xfId="0" applyFont="1" applyFill="1" applyBorder="1"/>
    <xf numFmtId="0" fontId="1520" fillId="1521" borderId="1465" xfId="0" applyFont="1" applyFill="1" applyBorder="1"/>
    <xf numFmtId="0" fontId="1521" fillId="1522" borderId="1466" xfId="0" applyFont="1" applyFill="1" applyBorder="1" applyAlignment="1">
      <alignment horizontal="center" vertical="center"/>
    </xf>
    <xf numFmtId="0" fontId="1522" fillId="1523" borderId="1467" xfId="0" applyFont="1" applyFill="1" applyBorder="1" applyAlignment="1">
      <alignment horizontal="center" vertical="center"/>
    </xf>
    <xf numFmtId="0" fontId="1523" fillId="1524" borderId="1468" xfId="0" applyFont="1" applyFill="1" applyBorder="1" applyAlignment="1">
      <alignment horizontal="center" vertical="center"/>
    </xf>
    <xf numFmtId="0" fontId="1524" fillId="1525" borderId="1469" xfId="0" applyFont="1" applyFill="1" applyBorder="1" applyAlignment="1">
      <alignment horizontal="center" vertical="center"/>
    </xf>
    <xf numFmtId="0" fontId="1525" fillId="1526" borderId="1470" xfId="0" applyFont="1" applyFill="1" applyBorder="1" applyAlignment="1">
      <alignment horizontal="center" vertical="center"/>
    </xf>
    <xf numFmtId="0" fontId="1526" fillId="1527" borderId="1471" xfId="0" applyFont="1" applyFill="1" applyBorder="1" applyAlignment="1">
      <alignment horizontal="center" vertical="center"/>
    </xf>
    <xf numFmtId="0" fontId="1527" fillId="1528" borderId="1472" xfId="0" applyFont="1" applyFill="1" applyBorder="1" applyAlignment="1">
      <alignment horizontal="center" vertical="center"/>
    </xf>
    <xf numFmtId="0" fontId="1528" fillId="1529" borderId="1473" xfId="0" applyFont="1" applyFill="1" applyBorder="1"/>
    <xf numFmtId="0" fontId="1529" fillId="1530" borderId="1474" xfId="0" applyFont="1" applyFill="1" applyBorder="1"/>
    <xf numFmtId="0" fontId="1530" fillId="1531" borderId="1475" xfId="0" applyFont="1" applyFill="1" applyBorder="1"/>
    <xf numFmtId="0" fontId="1531" fillId="1532" borderId="1476" xfId="0" applyFont="1" applyFill="1" applyBorder="1"/>
    <xf numFmtId="0" fontId="1532" fillId="1533" borderId="1477" xfId="0" applyFont="1" applyFill="1" applyBorder="1"/>
    <xf numFmtId="0" fontId="1533" fillId="1534" borderId="1478" xfId="0" applyFont="1" applyFill="1" applyBorder="1"/>
    <xf numFmtId="0" fontId="1534" fillId="1535" borderId="1479" xfId="0" applyFont="1" applyFill="1" applyBorder="1"/>
    <xf numFmtId="0" fontId="1535" fillId="1536" borderId="1480" xfId="0" applyFont="1" applyFill="1" applyBorder="1"/>
    <xf numFmtId="0" fontId="1536" fillId="1537" borderId="1481" xfId="0" applyFont="1" applyFill="1" applyBorder="1" applyAlignment="1">
      <alignment horizontal="center" vertical="center"/>
    </xf>
    <xf numFmtId="0" fontId="1537" fillId="1538" borderId="1482" xfId="0" applyFont="1" applyFill="1" applyBorder="1" applyAlignment="1">
      <alignment horizontal="center" vertical="center"/>
    </xf>
    <xf numFmtId="0" fontId="1538" fillId="1539" borderId="1483" xfId="0" applyFont="1" applyFill="1" applyBorder="1" applyAlignment="1">
      <alignment horizontal="center" vertical="center"/>
    </xf>
    <xf numFmtId="0" fontId="1539" fillId="1540" borderId="1484" xfId="0" applyFont="1" applyFill="1" applyBorder="1" applyAlignment="1">
      <alignment horizontal="center" vertical="center"/>
    </xf>
    <xf numFmtId="0" fontId="1540" fillId="1541" borderId="1485" xfId="0" applyFont="1" applyFill="1" applyBorder="1" applyAlignment="1">
      <alignment horizontal="center" vertical="center"/>
    </xf>
    <xf numFmtId="0" fontId="1541" fillId="1542" borderId="1486" xfId="0" applyFont="1" applyFill="1" applyBorder="1" applyAlignment="1">
      <alignment horizontal="center" vertical="center"/>
    </xf>
    <xf numFmtId="0" fontId="1542" fillId="1543" borderId="1487" xfId="0" applyFont="1" applyFill="1" applyBorder="1" applyAlignment="1">
      <alignment horizontal="center" vertical="center"/>
    </xf>
    <xf numFmtId="0" fontId="1543" fillId="1544" borderId="1488" xfId="0" applyFont="1" applyFill="1" applyBorder="1"/>
    <xf numFmtId="0" fontId="1544" fillId="1545" borderId="1489" xfId="0" applyFont="1" applyFill="1" applyBorder="1"/>
    <xf numFmtId="0" fontId="1545" fillId="1546" borderId="1490" xfId="0" applyFont="1" applyFill="1" applyBorder="1"/>
    <xf numFmtId="0" fontId="1546" fillId="1547" borderId="1491" xfId="0" applyFont="1" applyFill="1" applyBorder="1"/>
    <xf numFmtId="0" fontId="1547" fillId="1548" borderId="1492" xfId="0" applyFont="1" applyFill="1" applyBorder="1"/>
    <xf numFmtId="0" fontId="1548" fillId="1549" borderId="1493" xfId="0" applyFont="1" applyFill="1" applyBorder="1"/>
    <xf numFmtId="0" fontId="1549" fillId="1550" borderId="1494" xfId="0" applyFont="1" applyFill="1" applyBorder="1"/>
    <xf numFmtId="0" fontId="1550" fillId="1551" borderId="1495" xfId="0" applyFont="1" applyFill="1" applyBorder="1"/>
    <xf numFmtId="0" fontId="1551" fillId="1552" borderId="1496" xfId="0" applyFont="1" applyFill="1" applyBorder="1" applyAlignment="1">
      <alignment horizontal="center" vertical="center"/>
    </xf>
    <xf numFmtId="0" fontId="1552" fillId="1553" borderId="1497" xfId="0" applyFont="1" applyFill="1" applyBorder="1" applyAlignment="1">
      <alignment horizontal="center" vertical="center"/>
    </xf>
    <xf numFmtId="0" fontId="1553" fillId="1554" borderId="1498" xfId="0" applyFont="1" applyFill="1" applyBorder="1" applyAlignment="1">
      <alignment horizontal="center" vertical="center"/>
    </xf>
    <xf numFmtId="0" fontId="1554" fillId="1555" borderId="1499" xfId="0" applyFont="1" applyFill="1" applyBorder="1" applyAlignment="1">
      <alignment horizontal="center" vertical="center"/>
    </xf>
    <xf numFmtId="0" fontId="1555" fillId="1556" borderId="1500" xfId="0" applyFont="1" applyFill="1" applyBorder="1" applyAlignment="1">
      <alignment horizontal="center" vertical="center"/>
    </xf>
    <xf numFmtId="0" fontId="1556" fillId="1557" borderId="1501" xfId="0" applyFont="1" applyFill="1" applyBorder="1" applyAlignment="1">
      <alignment horizontal="center" vertical="center"/>
    </xf>
    <xf numFmtId="0" fontId="1557" fillId="1558" borderId="1502" xfId="0" applyFont="1" applyFill="1" applyBorder="1" applyAlignment="1">
      <alignment horizontal="center" vertical="center"/>
    </xf>
    <xf numFmtId="0" fontId="1558" fillId="1559" borderId="1503" xfId="0" applyFont="1" applyFill="1" applyBorder="1"/>
    <xf numFmtId="0" fontId="1559" fillId="1560" borderId="1504" xfId="0" applyFont="1" applyFill="1" applyBorder="1"/>
    <xf numFmtId="0" fontId="1560" fillId="1561" borderId="1505" xfId="0" applyFont="1" applyFill="1" applyBorder="1"/>
    <xf numFmtId="0" fontId="1561" fillId="1562" borderId="1506" xfId="0" applyFont="1" applyFill="1" applyBorder="1"/>
    <xf numFmtId="0" fontId="1562" fillId="1563" borderId="1507" xfId="0" applyFont="1" applyFill="1" applyBorder="1"/>
    <xf numFmtId="0" fontId="1563" fillId="1564" borderId="1508" xfId="0" applyFont="1" applyFill="1" applyBorder="1"/>
    <xf numFmtId="0" fontId="1564" fillId="1565" borderId="1509" xfId="0" applyFont="1" applyFill="1" applyBorder="1"/>
    <xf numFmtId="0" fontId="1565" fillId="1566" borderId="1510" xfId="0" applyFont="1" applyFill="1" applyBorder="1"/>
    <xf numFmtId="0" fontId="1566" fillId="1567" borderId="1511" xfId="0" applyFont="1" applyFill="1" applyBorder="1" applyAlignment="1">
      <alignment horizontal="center" vertical="center"/>
    </xf>
    <xf numFmtId="0" fontId="1567" fillId="1568" borderId="1512" xfId="0" applyFont="1" applyFill="1" applyBorder="1" applyAlignment="1">
      <alignment horizontal="center" vertical="center"/>
    </xf>
    <xf numFmtId="0" fontId="1568" fillId="1569" borderId="1513" xfId="0" applyFont="1" applyFill="1" applyBorder="1" applyAlignment="1">
      <alignment horizontal="center" vertical="center"/>
    </xf>
    <xf numFmtId="0" fontId="1569" fillId="1570" borderId="1514" xfId="0" applyFont="1" applyFill="1" applyBorder="1" applyAlignment="1">
      <alignment horizontal="center" vertical="center"/>
    </xf>
    <xf numFmtId="0" fontId="1570" fillId="1571" borderId="1515" xfId="0" applyFont="1" applyFill="1" applyBorder="1" applyAlignment="1">
      <alignment horizontal="center" vertical="center"/>
    </xf>
    <xf numFmtId="0" fontId="1571" fillId="1572" borderId="1516" xfId="0" applyFont="1" applyFill="1" applyBorder="1" applyAlignment="1">
      <alignment horizontal="center" vertical="center"/>
    </xf>
    <xf numFmtId="0" fontId="1572" fillId="1573" borderId="1517" xfId="0" applyFont="1" applyFill="1" applyBorder="1" applyAlignment="1">
      <alignment horizontal="center" vertical="center"/>
    </xf>
    <xf numFmtId="0" fontId="1573" fillId="1574" borderId="1518" xfId="0" applyFont="1" applyFill="1" applyBorder="1"/>
    <xf numFmtId="0" fontId="1574" fillId="1575" borderId="1519" xfId="0" applyFont="1" applyFill="1" applyBorder="1"/>
    <xf numFmtId="0" fontId="1575" fillId="1576" borderId="1520" xfId="0" applyFont="1" applyFill="1" applyBorder="1"/>
    <xf numFmtId="0" fontId="1576" fillId="1577" borderId="1521" xfId="0" applyFont="1" applyFill="1" applyBorder="1"/>
    <xf numFmtId="0" fontId="1577" fillId="1578" borderId="1522" xfId="0" applyFont="1" applyFill="1" applyBorder="1"/>
    <xf numFmtId="0" fontId="1578" fillId="1579" borderId="1523" xfId="0" applyFont="1" applyFill="1" applyBorder="1"/>
    <xf numFmtId="0" fontId="1579" fillId="1580" borderId="1524" xfId="0" applyFont="1" applyFill="1" applyBorder="1"/>
    <xf numFmtId="0" fontId="1580" fillId="1581" borderId="1525" xfId="0" applyFont="1" applyFill="1" applyBorder="1"/>
    <xf numFmtId="0" fontId="1581" fillId="1582" borderId="1526" xfId="0" applyFont="1" applyFill="1" applyBorder="1" applyAlignment="1">
      <alignment horizontal="center" vertical="center"/>
    </xf>
    <xf numFmtId="0" fontId="1582" fillId="1583" borderId="1527" xfId="0" applyFont="1" applyFill="1" applyBorder="1" applyAlignment="1">
      <alignment horizontal="center" vertical="center"/>
    </xf>
    <xf numFmtId="0" fontId="1583" fillId="1584" borderId="1528" xfId="0" applyFont="1" applyFill="1" applyBorder="1" applyAlignment="1">
      <alignment horizontal="center" vertical="center"/>
    </xf>
    <xf numFmtId="0" fontId="1584" fillId="1585" borderId="1529" xfId="0" applyFont="1" applyFill="1" applyBorder="1" applyAlignment="1">
      <alignment horizontal="center" vertical="center"/>
    </xf>
    <xf numFmtId="0" fontId="1585" fillId="1586" borderId="1530" xfId="0" applyFont="1" applyFill="1" applyBorder="1" applyAlignment="1">
      <alignment horizontal="center" vertical="center"/>
    </xf>
    <xf numFmtId="0" fontId="1586" fillId="1587" borderId="1531" xfId="0" applyFont="1" applyFill="1" applyBorder="1" applyAlignment="1">
      <alignment horizontal="center" vertical="center"/>
    </xf>
    <xf numFmtId="0" fontId="1587" fillId="1588" borderId="1532" xfId="0" applyFont="1" applyFill="1" applyBorder="1" applyAlignment="1">
      <alignment horizontal="center" vertical="center"/>
    </xf>
    <xf numFmtId="0" fontId="1588" fillId="1589" borderId="1533" xfId="0" applyFont="1" applyFill="1" applyBorder="1"/>
    <xf numFmtId="0" fontId="1589" fillId="1590" borderId="1534" xfId="0" applyFont="1" applyFill="1" applyBorder="1"/>
    <xf numFmtId="0" fontId="1590" fillId="1591" borderId="1535" xfId="0" applyFont="1" applyFill="1" applyBorder="1"/>
    <xf numFmtId="0" fontId="1591" fillId="1592" borderId="1536" xfId="0" applyFont="1" applyFill="1" applyBorder="1"/>
    <xf numFmtId="0" fontId="1592" fillId="1593" borderId="1537" xfId="0" applyFont="1" applyFill="1" applyBorder="1"/>
    <xf numFmtId="0" fontId="1593" fillId="1594" borderId="1538" xfId="0" applyFont="1" applyFill="1" applyBorder="1"/>
    <xf numFmtId="0" fontId="1594" fillId="1595" borderId="1539" xfId="0" applyFont="1" applyFill="1" applyBorder="1"/>
    <xf numFmtId="0" fontId="1595" fillId="1596" borderId="1540" xfId="0" applyFont="1" applyFill="1" applyBorder="1"/>
    <xf numFmtId="0" fontId="1596" fillId="1597" borderId="1541" xfId="0" applyFont="1" applyFill="1" applyBorder="1" applyAlignment="1">
      <alignment horizontal="center" vertical="center"/>
    </xf>
    <xf numFmtId="0" fontId="1597" fillId="1598" borderId="1542" xfId="0" applyFont="1" applyFill="1" applyBorder="1" applyAlignment="1">
      <alignment horizontal="center" vertical="center"/>
    </xf>
    <xf numFmtId="0" fontId="1598" fillId="1599" borderId="1543" xfId="0" applyFont="1" applyFill="1" applyBorder="1" applyAlignment="1">
      <alignment horizontal="center" vertical="center"/>
    </xf>
    <xf numFmtId="0" fontId="1599" fillId="1600" borderId="1544" xfId="0" applyFont="1" applyFill="1" applyBorder="1" applyAlignment="1">
      <alignment horizontal="center" vertical="center"/>
    </xf>
    <xf numFmtId="0" fontId="1600" fillId="1601" borderId="1545" xfId="0" applyFont="1" applyFill="1" applyBorder="1" applyAlignment="1">
      <alignment horizontal="center" vertical="center"/>
    </xf>
    <xf numFmtId="0" fontId="1601" fillId="1602" borderId="1546" xfId="0" applyFont="1" applyFill="1" applyBorder="1" applyAlignment="1">
      <alignment horizontal="center" vertical="center"/>
    </xf>
    <xf numFmtId="0" fontId="1602" fillId="1603" borderId="1547" xfId="0" applyFont="1" applyFill="1" applyBorder="1" applyAlignment="1">
      <alignment horizontal="center" vertical="center"/>
    </xf>
    <xf numFmtId="0" fontId="1603" fillId="1604" borderId="1548" xfId="0" applyFont="1" applyFill="1" applyBorder="1"/>
    <xf numFmtId="0" fontId="1604" fillId="1605" borderId="1549" xfId="0" applyFont="1" applyFill="1" applyBorder="1"/>
    <xf numFmtId="0" fontId="1605" fillId="1606" borderId="1550" xfId="0" applyFont="1" applyFill="1" applyBorder="1"/>
    <xf numFmtId="0" fontId="1606" fillId="1607" borderId="1551" xfId="0" applyFont="1" applyFill="1" applyBorder="1"/>
    <xf numFmtId="0" fontId="1607" fillId="1608" borderId="1552" xfId="0" applyFont="1" applyFill="1" applyBorder="1"/>
    <xf numFmtId="0" fontId="1608" fillId="1609" borderId="1553" xfId="0" applyFont="1" applyFill="1" applyBorder="1"/>
    <xf numFmtId="0" fontId="1609" fillId="1610" borderId="1554" xfId="0" applyFont="1" applyFill="1" applyBorder="1"/>
    <xf numFmtId="0" fontId="1610" fillId="1611" borderId="1555" xfId="0" applyFont="1" applyFill="1" applyBorder="1"/>
    <xf numFmtId="0" fontId="1611" fillId="1612" borderId="1556" xfId="0" applyFont="1" applyFill="1" applyBorder="1" applyAlignment="1">
      <alignment horizontal="center" vertical="center"/>
    </xf>
    <xf numFmtId="0" fontId="1612" fillId="1613" borderId="1557" xfId="0" applyFont="1" applyFill="1" applyBorder="1" applyAlignment="1">
      <alignment horizontal="center" vertical="center"/>
    </xf>
    <xf numFmtId="0" fontId="1613" fillId="1614" borderId="1558" xfId="0" applyFont="1" applyFill="1" applyBorder="1" applyAlignment="1">
      <alignment horizontal="center" vertical="center"/>
    </xf>
    <xf numFmtId="0" fontId="1614" fillId="1615" borderId="1559" xfId="0" applyFont="1" applyFill="1" applyBorder="1" applyAlignment="1">
      <alignment horizontal="center" vertical="center"/>
    </xf>
    <xf numFmtId="0" fontId="1615" fillId="1616" borderId="1560" xfId="0" applyFont="1" applyFill="1" applyBorder="1" applyAlignment="1">
      <alignment horizontal="center" vertical="center"/>
    </xf>
    <xf numFmtId="0" fontId="1616" fillId="1617" borderId="1561" xfId="0" applyFont="1" applyFill="1" applyBorder="1" applyAlignment="1">
      <alignment horizontal="center" vertical="center"/>
    </xf>
    <xf numFmtId="0" fontId="1617" fillId="1618" borderId="1562" xfId="0" applyFont="1" applyFill="1" applyBorder="1" applyAlignment="1">
      <alignment horizontal="center" vertical="center"/>
    </xf>
    <xf numFmtId="0" fontId="1618" fillId="1619" borderId="1563" xfId="0" applyFont="1" applyFill="1" applyBorder="1"/>
    <xf numFmtId="0" fontId="1619" fillId="1620" borderId="1564" xfId="0" applyFont="1" applyFill="1" applyBorder="1"/>
    <xf numFmtId="0" fontId="1620" fillId="1621" borderId="1565" xfId="0" applyFont="1" applyFill="1" applyBorder="1"/>
    <xf numFmtId="0" fontId="1621" fillId="1622" borderId="1566" xfId="0" applyFont="1" applyFill="1" applyBorder="1"/>
    <xf numFmtId="0" fontId="1622" fillId="1623" borderId="1567" xfId="0" applyFont="1" applyFill="1" applyBorder="1"/>
    <xf numFmtId="0" fontId="1623" fillId="1624" borderId="1568" xfId="0" applyFont="1" applyFill="1" applyBorder="1"/>
    <xf numFmtId="0" fontId="1624" fillId="1625" borderId="1569" xfId="0" applyFont="1" applyFill="1" applyBorder="1"/>
    <xf numFmtId="0" fontId="1625" fillId="1626" borderId="1570" xfId="0" applyFont="1" applyFill="1" applyBorder="1"/>
    <xf numFmtId="0" fontId="1626" fillId="1627" borderId="1571" xfId="0" applyFont="1" applyFill="1" applyBorder="1" applyAlignment="1">
      <alignment horizontal="center" vertical="center"/>
    </xf>
    <xf numFmtId="0" fontId="1627" fillId="1628" borderId="1572" xfId="0" applyFont="1" applyFill="1" applyBorder="1" applyAlignment="1">
      <alignment horizontal="center" vertical="center"/>
    </xf>
    <xf numFmtId="0" fontId="1628" fillId="1629" borderId="1573" xfId="0" applyFont="1" applyFill="1" applyBorder="1" applyAlignment="1">
      <alignment horizontal="center" vertical="center"/>
    </xf>
    <xf numFmtId="0" fontId="1629" fillId="1630" borderId="1574" xfId="0" applyFont="1" applyFill="1" applyBorder="1" applyAlignment="1">
      <alignment horizontal="center" vertical="center"/>
    </xf>
    <xf numFmtId="0" fontId="1630" fillId="1631" borderId="1575" xfId="0" applyFont="1" applyFill="1" applyBorder="1" applyAlignment="1">
      <alignment horizontal="center" vertical="center"/>
    </xf>
    <xf numFmtId="0" fontId="1631" fillId="1632" borderId="1576" xfId="0" applyFont="1" applyFill="1" applyBorder="1" applyAlignment="1">
      <alignment horizontal="center" vertical="center"/>
    </xf>
    <xf numFmtId="0" fontId="1632" fillId="1633" borderId="1577" xfId="0" applyFont="1" applyFill="1" applyBorder="1" applyAlignment="1">
      <alignment horizontal="center" vertical="center"/>
    </xf>
    <xf numFmtId="0" fontId="1633" fillId="1634" borderId="1578" xfId="0" applyFont="1" applyFill="1" applyBorder="1"/>
    <xf numFmtId="0" fontId="1634" fillId="1635" borderId="1579" xfId="0" applyFont="1" applyFill="1" applyBorder="1"/>
    <xf numFmtId="0" fontId="1635" fillId="1636" borderId="1580" xfId="0" applyFont="1" applyFill="1" applyBorder="1"/>
    <xf numFmtId="0" fontId="1636" fillId="1637" borderId="1581" xfId="0" applyFont="1" applyFill="1" applyBorder="1"/>
    <xf numFmtId="0" fontId="1637" fillId="1638" borderId="1582" xfId="0" applyFont="1" applyFill="1" applyBorder="1"/>
    <xf numFmtId="0" fontId="1638" fillId="1639" borderId="1583" xfId="0" applyFont="1" applyFill="1" applyBorder="1"/>
    <xf numFmtId="0" fontId="1639" fillId="1640" borderId="1584" xfId="0" applyFont="1" applyFill="1" applyBorder="1"/>
    <xf numFmtId="0" fontId="1640" fillId="1641" borderId="1585" xfId="0" applyFont="1" applyFill="1" applyBorder="1"/>
    <xf numFmtId="0" fontId="1641" fillId="1642" borderId="1586" xfId="0" applyFont="1" applyFill="1" applyBorder="1" applyAlignment="1">
      <alignment horizontal="center" vertical="center"/>
    </xf>
    <xf numFmtId="0" fontId="1642" fillId="1643" borderId="1587" xfId="0" applyFont="1" applyFill="1" applyBorder="1" applyAlignment="1">
      <alignment horizontal="center" vertical="center"/>
    </xf>
    <xf numFmtId="0" fontId="1643" fillId="1644" borderId="1588" xfId="0" applyFont="1" applyFill="1" applyBorder="1" applyAlignment="1">
      <alignment horizontal="center" vertical="center"/>
    </xf>
    <xf numFmtId="0" fontId="1644" fillId="1645" borderId="1589" xfId="0" applyFont="1" applyFill="1" applyBorder="1" applyAlignment="1">
      <alignment horizontal="center" vertical="center"/>
    </xf>
    <xf numFmtId="0" fontId="1645" fillId="1646" borderId="1590" xfId="0" applyFont="1" applyFill="1" applyBorder="1" applyAlignment="1">
      <alignment horizontal="center" vertical="center"/>
    </xf>
    <xf numFmtId="0" fontId="1646" fillId="1647" borderId="1591" xfId="0" applyFont="1" applyFill="1" applyBorder="1" applyAlignment="1">
      <alignment horizontal="center" vertical="center"/>
    </xf>
    <xf numFmtId="0" fontId="1647" fillId="1648" borderId="1592" xfId="0" applyFont="1" applyFill="1" applyBorder="1" applyAlignment="1">
      <alignment horizontal="center" vertical="center"/>
    </xf>
    <xf numFmtId="0" fontId="1648" fillId="1649" borderId="1593" xfId="0" applyFont="1" applyFill="1" applyBorder="1"/>
    <xf numFmtId="0" fontId="1649" fillId="1650" borderId="1594" xfId="0" applyFont="1" applyFill="1" applyBorder="1"/>
    <xf numFmtId="0" fontId="1650" fillId="1651" borderId="1595" xfId="0" applyFont="1" applyFill="1" applyBorder="1"/>
    <xf numFmtId="0" fontId="1651" fillId="1652" borderId="1596" xfId="0" applyFont="1" applyFill="1" applyBorder="1"/>
    <xf numFmtId="0" fontId="1652" fillId="1653" borderId="1597" xfId="0" applyFont="1" applyFill="1" applyBorder="1"/>
    <xf numFmtId="0" fontId="1653" fillId="1654" borderId="1598" xfId="0" applyFont="1" applyFill="1" applyBorder="1"/>
    <xf numFmtId="0" fontId="1654" fillId="1655" borderId="1599" xfId="0" applyFont="1" applyFill="1" applyBorder="1"/>
    <xf numFmtId="0" fontId="1655" fillId="1656" borderId="1600" xfId="0" applyFont="1" applyFill="1" applyBorder="1"/>
    <xf numFmtId="0" fontId="1656" fillId="1657" borderId="1601" xfId="0" applyFont="1" applyFill="1" applyBorder="1" applyAlignment="1">
      <alignment horizontal="center" vertical="center"/>
    </xf>
    <xf numFmtId="0" fontId="1657" fillId="1658" borderId="1602" xfId="0" applyFont="1" applyFill="1" applyBorder="1" applyAlignment="1">
      <alignment horizontal="center" vertical="center"/>
    </xf>
    <xf numFmtId="0" fontId="1658" fillId="1659" borderId="1603" xfId="0" applyFont="1" applyFill="1" applyBorder="1" applyAlignment="1">
      <alignment horizontal="center" vertical="center"/>
    </xf>
    <xf numFmtId="0" fontId="1659" fillId="1660" borderId="1604" xfId="0" applyFont="1" applyFill="1" applyBorder="1" applyAlignment="1">
      <alignment horizontal="center" vertical="center"/>
    </xf>
    <xf numFmtId="0" fontId="1660" fillId="1661" borderId="1605" xfId="0" applyFont="1" applyFill="1" applyBorder="1" applyAlignment="1">
      <alignment horizontal="center" vertical="center"/>
    </xf>
    <xf numFmtId="0" fontId="1661" fillId="1662" borderId="1606" xfId="0" applyFont="1" applyFill="1" applyBorder="1" applyAlignment="1">
      <alignment horizontal="center" vertical="center"/>
    </xf>
    <xf numFmtId="0" fontId="1662" fillId="1663" borderId="1607" xfId="0" applyFont="1" applyFill="1" applyBorder="1" applyAlignment="1">
      <alignment horizontal="center" vertical="center"/>
    </xf>
    <xf numFmtId="0" fontId="1663" fillId="1664" borderId="1608" xfId="0" applyFont="1" applyFill="1" applyBorder="1"/>
    <xf numFmtId="0" fontId="1664" fillId="1665" borderId="1609" xfId="0" applyFont="1" applyFill="1" applyBorder="1"/>
    <xf numFmtId="0" fontId="1665" fillId="1666" borderId="1610" xfId="0" applyFont="1" applyFill="1" applyBorder="1"/>
    <xf numFmtId="0" fontId="1666" fillId="1667" borderId="1611" xfId="0" applyFont="1" applyFill="1" applyBorder="1"/>
    <xf numFmtId="0" fontId="1667" fillId="1668" borderId="1612" xfId="0" applyFont="1" applyFill="1" applyBorder="1"/>
    <xf numFmtId="0" fontId="1668" fillId="1669" borderId="1613" xfId="0" applyFont="1" applyFill="1" applyBorder="1"/>
    <xf numFmtId="0" fontId="1669" fillId="1670" borderId="1614" xfId="0" applyFont="1" applyFill="1" applyBorder="1"/>
    <xf numFmtId="0" fontId="1670" fillId="1671" borderId="1615" xfId="0" applyFont="1" applyFill="1" applyBorder="1"/>
    <xf numFmtId="0" fontId="1671" fillId="1672" borderId="1616" xfId="0" applyFont="1" applyFill="1" applyBorder="1" applyAlignment="1">
      <alignment horizontal="center" vertical="center"/>
    </xf>
    <xf numFmtId="0" fontId="1672" fillId="1673" borderId="1617" xfId="0" applyFont="1" applyFill="1" applyBorder="1" applyAlignment="1">
      <alignment horizontal="center" vertical="center"/>
    </xf>
    <xf numFmtId="0" fontId="1673" fillId="1674" borderId="1618" xfId="0" applyFont="1" applyFill="1" applyBorder="1" applyAlignment="1">
      <alignment horizontal="center" vertical="center"/>
    </xf>
    <xf numFmtId="0" fontId="1674" fillId="1675" borderId="1619" xfId="0" applyFont="1" applyFill="1" applyBorder="1" applyAlignment="1">
      <alignment horizontal="center" vertical="center"/>
    </xf>
    <xf numFmtId="0" fontId="1675" fillId="1676" borderId="1620" xfId="0" applyFont="1" applyFill="1" applyBorder="1" applyAlignment="1">
      <alignment horizontal="center" vertical="center"/>
    </xf>
    <xf numFmtId="0" fontId="1676" fillId="1677" borderId="1621" xfId="0" applyFont="1" applyFill="1" applyBorder="1" applyAlignment="1">
      <alignment horizontal="center" vertical="center"/>
    </xf>
    <xf numFmtId="0" fontId="1677" fillId="1678" borderId="1622" xfId="0" applyFont="1" applyFill="1" applyBorder="1" applyAlignment="1">
      <alignment horizontal="center" vertical="center"/>
    </xf>
    <xf numFmtId="0" fontId="1678" fillId="1679" borderId="1623" xfId="0" applyFont="1" applyFill="1" applyBorder="1"/>
    <xf numFmtId="0" fontId="1679" fillId="1680" borderId="1624" xfId="0" applyFont="1" applyFill="1" applyBorder="1"/>
    <xf numFmtId="0" fontId="1680" fillId="1681" borderId="1625" xfId="0" applyFont="1" applyFill="1" applyBorder="1"/>
    <xf numFmtId="0" fontId="1681" fillId="1682" borderId="1626" xfId="0" applyFont="1" applyFill="1" applyBorder="1"/>
    <xf numFmtId="0" fontId="1682" fillId="1683" borderId="1627" xfId="0" applyFont="1" applyFill="1" applyBorder="1"/>
    <xf numFmtId="0" fontId="1683" fillId="1684" borderId="1628" xfId="0" applyFont="1" applyFill="1" applyBorder="1"/>
    <xf numFmtId="0" fontId="1684" fillId="1685" borderId="1629" xfId="0" applyFont="1" applyFill="1" applyBorder="1"/>
    <xf numFmtId="0" fontId="1685" fillId="1686" borderId="1630" xfId="0" applyFont="1" applyFill="1" applyBorder="1"/>
    <xf numFmtId="0" fontId="1686" fillId="1687" borderId="1631" xfId="0" applyFont="1" applyFill="1" applyBorder="1" applyAlignment="1">
      <alignment horizontal="center" vertical="center"/>
    </xf>
    <xf numFmtId="0" fontId="1687" fillId="1688" borderId="1632" xfId="0" applyFont="1" applyFill="1" applyBorder="1" applyAlignment="1">
      <alignment horizontal="center" vertical="center"/>
    </xf>
    <xf numFmtId="0" fontId="1688" fillId="1689" borderId="1633" xfId="0" applyFont="1" applyFill="1" applyBorder="1" applyAlignment="1">
      <alignment horizontal="center" vertical="center"/>
    </xf>
    <xf numFmtId="0" fontId="1689" fillId="1690" borderId="1634" xfId="0" applyFont="1" applyFill="1" applyBorder="1" applyAlignment="1">
      <alignment horizontal="center" vertical="center"/>
    </xf>
    <xf numFmtId="0" fontId="1690" fillId="1691" borderId="1635" xfId="0" applyFont="1" applyFill="1" applyBorder="1" applyAlignment="1">
      <alignment horizontal="center" vertical="center"/>
    </xf>
    <xf numFmtId="0" fontId="1691" fillId="1692" borderId="1636" xfId="0" applyFont="1" applyFill="1" applyBorder="1" applyAlignment="1">
      <alignment horizontal="center" vertical="center"/>
    </xf>
    <xf numFmtId="0" fontId="1692" fillId="1693" borderId="1637" xfId="0" applyFont="1" applyFill="1" applyBorder="1" applyAlignment="1">
      <alignment horizontal="center" vertical="center"/>
    </xf>
    <xf numFmtId="0" fontId="1693" fillId="1694" borderId="1638" xfId="0" applyFont="1" applyFill="1" applyBorder="1"/>
    <xf numFmtId="0" fontId="1694" fillId="1695" borderId="1639" xfId="0" applyFont="1" applyFill="1" applyBorder="1"/>
    <xf numFmtId="0" fontId="1695" fillId="1696" borderId="1640" xfId="0" applyFont="1" applyFill="1" applyBorder="1"/>
    <xf numFmtId="0" fontId="1696" fillId="1697" borderId="1641" xfId="0" applyFont="1" applyFill="1" applyBorder="1"/>
    <xf numFmtId="0" fontId="1697" fillId="1698" borderId="1642" xfId="0" applyFont="1" applyFill="1" applyBorder="1"/>
    <xf numFmtId="0" fontId="1698" fillId="1699" borderId="1643" xfId="0" applyFont="1" applyFill="1" applyBorder="1"/>
    <xf numFmtId="0" fontId="1699" fillId="1700" borderId="1644" xfId="0" applyFont="1" applyFill="1" applyBorder="1"/>
    <xf numFmtId="0" fontId="1700" fillId="1701" borderId="1645" xfId="0" applyFont="1" applyFill="1" applyBorder="1"/>
    <xf numFmtId="0" fontId="1701" fillId="1702" borderId="1646" xfId="0" applyFont="1" applyFill="1" applyBorder="1" applyAlignment="1">
      <alignment horizontal="center" vertical="center"/>
    </xf>
    <xf numFmtId="0" fontId="1702" fillId="1703" borderId="1647" xfId="0" applyFont="1" applyFill="1" applyBorder="1" applyAlignment="1">
      <alignment horizontal="center" vertical="center"/>
    </xf>
    <xf numFmtId="0" fontId="1703" fillId="1704" borderId="1648" xfId="0" applyFont="1" applyFill="1" applyBorder="1" applyAlignment="1">
      <alignment horizontal="center" vertical="center"/>
    </xf>
    <xf numFmtId="0" fontId="1704" fillId="1705" borderId="1649" xfId="0" applyFont="1" applyFill="1" applyBorder="1" applyAlignment="1">
      <alignment horizontal="center" vertical="center"/>
    </xf>
    <xf numFmtId="0" fontId="1705" fillId="1706" borderId="1650" xfId="0" applyFont="1" applyFill="1" applyBorder="1" applyAlignment="1">
      <alignment horizontal="center" vertical="center"/>
    </xf>
    <xf numFmtId="0" fontId="1706" fillId="1707" borderId="1651" xfId="0" applyFont="1" applyFill="1" applyBorder="1" applyAlignment="1">
      <alignment horizontal="center" vertical="center"/>
    </xf>
    <xf numFmtId="0" fontId="1707" fillId="1708" borderId="1652" xfId="0" applyFont="1" applyFill="1" applyBorder="1" applyAlignment="1">
      <alignment horizontal="center" vertical="center"/>
    </xf>
    <xf numFmtId="0" fontId="1708" fillId="1709" borderId="1653" xfId="0" applyFont="1" applyFill="1" applyBorder="1"/>
    <xf numFmtId="0" fontId="1709" fillId="1710" borderId="1654" xfId="0" applyFont="1" applyFill="1" applyBorder="1"/>
    <xf numFmtId="0" fontId="1710" fillId="1711" borderId="1655" xfId="0" applyFont="1" applyFill="1" applyBorder="1"/>
    <xf numFmtId="0" fontId="1711" fillId="1712" borderId="1656" xfId="0" applyFont="1" applyFill="1" applyBorder="1"/>
    <xf numFmtId="0" fontId="1712" fillId="1713" borderId="1657" xfId="0" applyFont="1" applyFill="1" applyBorder="1"/>
    <xf numFmtId="0" fontId="1713" fillId="1714" borderId="1658" xfId="0" applyFont="1" applyFill="1" applyBorder="1"/>
    <xf numFmtId="0" fontId="1714" fillId="1715" borderId="1659" xfId="0" applyFont="1" applyFill="1" applyBorder="1"/>
    <xf numFmtId="0" fontId="1715" fillId="1716" borderId="1660" xfId="0" applyFont="1" applyFill="1" applyBorder="1"/>
    <xf numFmtId="0" fontId="1716" fillId="1717" borderId="1661" xfId="0" applyFont="1" applyFill="1" applyBorder="1" applyAlignment="1">
      <alignment horizontal="center" vertical="center"/>
    </xf>
    <xf numFmtId="0" fontId="1717" fillId="1718" borderId="1662" xfId="0" applyFont="1" applyFill="1" applyBorder="1" applyAlignment="1">
      <alignment horizontal="center" vertical="center"/>
    </xf>
    <xf numFmtId="0" fontId="1718" fillId="1719" borderId="1663" xfId="0" applyFont="1" applyFill="1" applyBorder="1" applyAlignment="1">
      <alignment horizontal="center" vertical="center"/>
    </xf>
    <xf numFmtId="0" fontId="1719" fillId="1720" borderId="1664" xfId="0" applyFont="1" applyFill="1" applyBorder="1" applyAlignment="1">
      <alignment horizontal="center" vertical="center"/>
    </xf>
    <xf numFmtId="0" fontId="1720" fillId="1721" borderId="1665" xfId="0" applyFont="1" applyFill="1" applyBorder="1" applyAlignment="1">
      <alignment horizontal="center" vertical="center"/>
    </xf>
    <xf numFmtId="0" fontId="1721" fillId="1722" borderId="1666" xfId="0" applyFont="1" applyFill="1" applyBorder="1" applyAlignment="1">
      <alignment horizontal="center" vertical="center"/>
    </xf>
    <xf numFmtId="0" fontId="1722" fillId="1723" borderId="1667" xfId="0" applyFont="1" applyFill="1" applyBorder="1" applyAlignment="1">
      <alignment horizontal="center" vertical="center"/>
    </xf>
    <xf numFmtId="0" fontId="1723" fillId="1724" borderId="1668" xfId="0" applyFont="1" applyFill="1" applyBorder="1"/>
    <xf numFmtId="0" fontId="1724" fillId="1725" borderId="1669" xfId="0" applyFont="1" applyFill="1" applyBorder="1"/>
    <xf numFmtId="0" fontId="1725" fillId="1726" borderId="1670" xfId="0" applyFont="1" applyFill="1" applyBorder="1"/>
    <xf numFmtId="0" fontId="1726" fillId="1727" borderId="1671" xfId="0" applyFont="1" applyFill="1" applyBorder="1"/>
    <xf numFmtId="0" fontId="1727" fillId="1728" borderId="1672" xfId="0" applyFont="1" applyFill="1" applyBorder="1"/>
    <xf numFmtId="0" fontId="1728" fillId="1729" borderId="1673" xfId="0" applyFont="1" applyFill="1" applyBorder="1"/>
    <xf numFmtId="0" fontId="1729" fillId="1730" borderId="1674" xfId="0" applyFont="1" applyFill="1" applyBorder="1"/>
    <xf numFmtId="0" fontId="1730" fillId="1731" borderId="1675" xfId="0" applyFont="1" applyFill="1" applyBorder="1"/>
    <xf numFmtId="0" fontId="1731" fillId="1732" borderId="1676" xfId="0" applyFont="1" applyFill="1" applyBorder="1" applyAlignment="1">
      <alignment horizontal="center" vertical="center"/>
    </xf>
    <xf numFmtId="0" fontId="1732" fillId="1733" borderId="1677" xfId="0" applyFont="1" applyFill="1" applyBorder="1" applyAlignment="1">
      <alignment horizontal="center" vertical="center"/>
    </xf>
    <xf numFmtId="0" fontId="1733" fillId="1734" borderId="1678" xfId="0" applyFont="1" applyFill="1" applyBorder="1" applyAlignment="1">
      <alignment horizontal="center" vertical="center"/>
    </xf>
    <xf numFmtId="0" fontId="1734" fillId="1735" borderId="1679" xfId="0" applyFont="1" applyFill="1" applyBorder="1" applyAlignment="1">
      <alignment horizontal="center" vertical="center"/>
    </xf>
    <xf numFmtId="0" fontId="1735" fillId="1736" borderId="1680" xfId="0" applyFont="1" applyFill="1" applyBorder="1" applyAlignment="1">
      <alignment horizontal="center" vertical="center"/>
    </xf>
    <xf numFmtId="0" fontId="1736" fillId="1737" borderId="1681" xfId="0" applyFont="1" applyFill="1" applyBorder="1" applyAlignment="1">
      <alignment horizontal="center" vertical="center"/>
    </xf>
    <xf numFmtId="0" fontId="1737" fillId="1738" borderId="1682" xfId="0" applyFont="1" applyFill="1" applyBorder="1" applyAlignment="1">
      <alignment horizontal="center" vertical="center"/>
    </xf>
    <xf numFmtId="0" fontId="1738" fillId="1739" borderId="1683" xfId="0" applyFont="1" applyFill="1" applyBorder="1"/>
    <xf numFmtId="0" fontId="1739" fillId="1740" borderId="1684" xfId="0" applyFont="1" applyFill="1" applyBorder="1"/>
    <xf numFmtId="0" fontId="1740" fillId="1741" borderId="1685" xfId="0" applyFont="1" applyFill="1" applyBorder="1"/>
    <xf numFmtId="0" fontId="1741" fillId="1742" borderId="1686" xfId="0" applyFont="1" applyFill="1" applyBorder="1"/>
    <xf numFmtId="0" fontId="1742" fillId="1743" borderId="1687" xfId="0" applyFont="1" applyFill="1" applyBorder="1"/>
    <xf numFmtId="0" fontId="1743" fillId="1744" borderId="1688" xfId="0" applyFont="1" applyFill="1" applyBorder="1"/>
    <xf numFmtId="0" fontId="1744" fillId="1745" borderId="1689" xfId="0" applyFont="1" applyFill="1" applyBorder="1"/>
    <xf numFmtId="0" fontId="1745" fillId="1746" borderId="1690" xfId="0" applyFont="1" applyFill="1" applyBorder="1"/>
    <xf numFmtId="0" fontId="1746" fillId="1747" borderId="1691" xfId="0" applyFont="1" applyFill="1" applyBorder="1" applyAlignment="1">
      <alignment horizontal="center" vertical="center"/>
    </xf>
    <xf numFmtId="0" fontId="1747" fillId="1748" borderId="1692" xfId="0" applyFont="1" applyFill="1" applyBorder="1" applyAlignment="1">
      <alignment horizontal="center" vertical="center"/>
    </xf>
    <xf numFmtId="0" fontId="1748" fillId="1749" borderId="1693" xfId="0" applyFont="1" applyFill="1" applyBorder="1" applyAlignment="1">
      <alignment horizontal="center" vertical="center"/>
    </xf>
    <xf numFmtId="0" fontId="1749" fillId="1750" borderId="1694" xfId="0" applyFont="1" applyFill="1" applyBorder="1" applyAlignment="1">
      <alignment horizontal="center" vertical="center"/>
    </xf>
    <xf numFmtId="0" fontId="1750" fillId="1751" borderId="1695" xfId="0" applyFont="1" applyFill="1" applyBorder="1" applyAlignment="1">
      <alignment horizontal="center" vertical="center"/>
    </xf>
    <xf numFmtId="0" fontId="1751" fillId="1752" borderId="1696" xfId="0" applyFont="1" applyFill="1" applyBorder="1" applyAlignment="1">
      <alignment horizontal="center" vertical="center"/>
    </xf>
    <xf numFmtId="0" fontId="1752" fillId="1753" borderId="1697" xfId="0" applyFont="1" applyFill="1" applyBorder="1" applyAlignment="1">
      <alignment horizontal="center" vertical="center"/>
    </xf>
    <xf numFmtId="0" fontId="1753" fillId="1754" borderId="1698" xfId="0" applyFont="1" applyFill="1" applyBorder="1"/>
    <xf numFmtId="0" fontId="1754" fillId="1755" borderId="1699" xfId="0" applyFont="1" applyFill="1" applyBorder="1"/>
    <xf numFmtId="0" fontId="1755" fillId="1756" borderId="1700" xfId="0" applyFont="1" applyFill="1" applyBorder="1"/>
    <xf numFmtId="0" fontId="1756" fillId="1757" borderId="1701" xfId="0" applyFont="1" applyFill="1" applyBorder="1"/>
    <xf numFmtId="0" fontId="1757" fillId="1758" borderId="1702" xfId="0" applyFont="1" applyFill="1" applyBorder="1"/>
    <xf numFmtId="0" fontId="1758" fillId="1759" borderId="1703" xfId="0" applyFont="1" applyFill="1" applyBorder="1"/>
    <xf numFmtId="0" fontId="1759" fillId="1760" borderId="1704" xfId="0" applyFont="1" applyFill="1" applyBorder="1"/>
    <xf numFmtId="0" fontId="1760" fillId="1761" borderId="1705" xfId="0" applyFont="1" applyFill="1" applyBorder="1"/>
    <xf numFmtId="0" fontId="1761" fillId="1762" borderId="1706" xfId="0" applyFont="1" applyFill="1" applyBorder="1" applyAlignment="1">
      <alignment horizontal="center" vertical="center"/>
    </xf>
    <xf numFmtId="0" fontId="1762" fillId="1763" borderId="1707" xfId="0" applyFont="1" applyFill="1" applyBorder="1" applyAlignment="1">
      <alignment horizontal="center" vertical="center"/>
    </xf>
    <xf numFmtId="0" fontId="1763" fillId="1764" borderId="1708" xfId="0" applyFont="1" applyFill="1" applyBorder="1" applyAlignment="1">
      <alignment horizontal="center" vertical="center"/>
    </xf>
    <xf numFmtId="0" fontId="1764" fillId="1765" borderId="1709" xfId="0" applyFont="1" applyFill="1" applyBorder="1" applyAlignment="1">
      <alignment horizontal="center" vertical="center"/>
    </xf>
    <xf numFmtId="0" fontId="1765" fillId="1766" borderId="1710" xfId="0" applyFont="1" applyFill="1" applyBorder="1" applyAlignment="1">
      <alignment horizontal="center" vertical="center"/>
    </xf>
    <xf numFmtId="0" fontId="1766" fillId="1767" borderId="1711" xfId="0" applyFont="1" applyFill="1" applyBorder="1" applyAlignment="1">
      <alignment horizontal="center" vertical="center"/>
    </xf>
    <xf numFmtId="0" fontId="1767" fillId="1768" borderId="1712" xfId="0" applyFont="1" applyFill="1" applyBorder="1" applyAlignment="1">
      <alignment horizontal="center" vertical="center"/>
    </xf>
    <xf numFmtId="0" fontId="1768" fillId="1769" borderId="1713" xfId="0" applyFont="1" applyFill="1" applyBorder="1"/>
    <xf numFmtId="0" fontId="1769" fillId="1770" borderId="1714" xfId="0" applyFont="1" applyFill="1" applyBorder="1"/>
    <xf numFmtId="0" fontId="1770" fillId="1771" borderId="1715" xfId="0" applyFont="1" applyFill="1" applyBorder="1"/>
    <xf numFmtId="0" fontId="1771" fillId="1772" borderId="1716" xfId="0" applyFont="1" applyFill="1" applyBorder="1"/>
    <xf numFmtId="0" fontId="1772" fillId="1773" borderId="1717" xfId="0" applyFont="1" applyFill="1" applyBorder="1"/>
    <xf numFmtId="0" fontId="1773" fillId="1774" borderId="1718" xfId="0" applyFont="1" applyFill="1" applyBorder="1"/>
    <xf numFmtId="0" fontId="1774" fillId="1775" borderId="1719" xfId="0" applyFont="1" applyFill="1" applyBorder="1"/>
    <xf numFmtId="0" fontId="1775" fillId="1776" borderId="1720" xfId="0" applyFont="1" applyFill="1" applyBorder="1"/>
    <xf numFmtId="0" fontId="1776" fillId="1777" borderId="1721" xfId="0" applyFont="1" applyFill="1" applyBorder="1" applyAlignment="1">
      <alignment horizontal="center" vertical="center"/>
    </xf>
    <xf numFmtId="0" fontId="1777" fillId="1778" borderId="1722" xfId="0" applyFont="1" applyFill="1" applyBorder="1" applyAlignment="1">
      <alignment horizontal="center" vertical="center"/>
    </xf>
    <xf numFmtId="0" fontId="1778" fillId="1779" borderId="1723" xfId="0" applyFont="1" applyFill="1" applyBorder="1" applyAlignment="1">
      <alignment horizontal="center" vertical="center"/>
    </xf>
    <xf numFmtId="0" fontId="1779" fillId="1780" borderId="1724" xfId="0" applyFont="1" applyFill="1" applyBorder="1" applyAlignment="1">
      <alignment horizontal="center" vertical="center"/>
    </xf>
    <xf numFmtId="0" fontId="1780" fillId="1781" borderId="1725" xfId="0" applyFont="1" applyFill="1" applyBorder="1" applyAlignment="1">
      <alignment horizontal="center" vertical="center"/>
    </xf>
    <xf numFmtId="0" fontId="1781" fillId="1782" borderId="1726" xfId="0" applyFont="1" applyFill="1" applyBorder="1" applyAlignment="1">
      <alignment horizontal="center" vertical="center"/>
    </xf>
    <xf numFmtId="0" fontId="1782" fillId="1783" borderId="1727" xfId="0" applyFont="1" applyFill="1" applyBorder="1" applyAlignment="1">
      <alignment horizontal="center" vertical="center"/>
    </xf>
    <xf numFmtId="0" fontId="1783" fillId="1784" borderId="1728" xfId="0" applyFont="1" applyFill="1" applyBorder="1"/>
    <xf numFmtId="0" fontId="1784" fillId="1785" borderId="1729" xfId="0" applyFont="1" applyFill="1" applyBorder="1"/>
    <xf numFmtId="0" fontId="1785" fillId="1786" borderId="1730" xfId="0" applyFont="1" applyFill="1" applyBorder="1"/>
    <xf numFmtId="0" fontId="1786" fillId="1787" borderId="1731" xfId="0" applyFont="1" applyFill="1" applyBorder="1"/>
    <xf numFmtId="0" fontId="1787" fillId="1788" borderId="1732" xfId="0" applyFont="1" applyFill="1" applyBorder="1"/>
    <xf numFmtId="0" fontId="1788" fillId="1789" borderId="1733" xfId="0" applyFont="1" applyFill="1" applyBorder="1"/>
    <xf numFmtId="0" fontId="1789" fillId="1790" borderId="1734" xfId="0" applyFont="1" applyFill="1" applyBorder="1"/>
    <xf numFmtId="0" fontId="1790" fillId="1791" borderId="1735" xfId="0" applyFont="1" applyFill="1" applyBorder="1"/>
    <xf numFmtId="0" fontId="1791" fillId="1792" borderId="1736" xfId="0" applyFont="1" applyFill="1" applyBorder="1" applyAlignment="1">
      <alignment horizontal="center" vertical="center"/>
    </xf>
    <xf numFmtId="0" fontId="1792" fillId="1793" borderId="1737" xfId="0" applyFont="1" applyFill="1" applyBorder="1" applyAlignment="1">
      <alignment horizontal="center" vertical="center"/>
    </xf>
    <xf numFmtId="0" fontId="1793" fillId="1794" borderId="1738" xfId="0" applyFont="1" applyFill="1" applyBorder="1" applyAlignment="1">
      <alignment horizontal="center" vertical="center"/>
    </xf>
    <xf numFmtId="0" fontId="1794" fillId="1795" borderId="1739" xfId="0" applyFont="1" applyFill="1" applyBorder="1" applyAlignment="1">
      <alignment horizontal="center" vertical="center"/>
    </xf>
    <xf numFmtId="0" fontId="1795" fillId="1796" borderId="1740" xfId="0" applyFont="1" applyFill="1" applyBorder="1" applyAlignment="1">
      <alignment horizontal="center" vertical="center"/>
    </xf>
    <xf numFmtId="0" fontId="1796" fillId="1797" borderId="1741" xfId="0" applyFont="1" applyFill="1" applyBorder="1" applyAlignment="1">
      <alignment horizontal="center" vertical="center"/>
    </xf>
    <xf numFmtId="0" fontId="1797" fillId="1798" borderId="1742" xfId="0" applyFont="1" applyFill="1" applyBorder="1" applyAlignment="1">
      <alignment horizontal="center" vertical="center"/>
    </xf>
    <xf numFmtId="0" fontId="1798" fillId="1799" borderId="1743" xfId="0" applyFont="1" applyFill="1" applyBorder="1"/>
    <xf numFmtId="0" fontId="1799" fillId="1800" borderId="1744" xfId="0" applyFont="1" applyFill="1" applyBorder="1"/>
    <xf numFmtId="0" fontId="1800" fillId="1801" borderId="1745" xfId="0" applyFont="1" applyFill="1" applyBorder="1"/>
    <xf numFmtId="0" fontId="1801" fillId="1802" borderId="1746" xfId="0" applyFont="1" applyFill="1" applyBorder="1"/>
    <xf numFmtId="0" fontId="1802" fillId="1803" borderId="1747" xfId="0" applyFont="1" applyFill="1" applyBorder="1"/>
    <xf numFmtId="0" fontId="1803" fillId="1804" borderId="1748" xfId="0" applyFont="1" applyFill="1" applyBorder="1"/>
    <xf numFmtId="0" fontId="1804" fillId="1805" borderId="1749" xfId="0" applyFont="1" applyFill="1" applyBorder="1"/>
    <xf numFmtId="0" fontId="1805" fillId="1806" borderId="1750" xfId="0" applyFont="1" applyFill="1" applyBorder="1"/>
    <xf numFmtId="0" fontId="1806" fillId="1807" borderId="1751" xfId="0" applyFont="1" applyFill="1" applyBorder="1" applyAlignment="1">
      <alignment horizontal="center" vertical="center"/>
    </xf>
    <xf numFmtId="0" fontId="1807" fillId="1808" borderId="1752" xfId="0" applyFont="1" applyFill="1" applyBorder="1" applyAlignment="1">
      <alignment horizontal="center" vertical="center"/>
    </xf>
    <xf numFmtId="0" fontId="1808" fillId="1809" borderId="1753" xfId="0" applyFont="1" applyFill="1" applyBorder="1" applyAlignment="1">
      <alignment horizontal="center" vertical="center"/>
    </xf>
    <xf numFmtId="0" fontId="1809" fillId="1810" borderId="1754" xfId="0" applyFont="1" applyFill="1" applyBorder="1" applyAlignment="1">
      <alignment horizontal="center" vertical="center"/>
    </xf>
    <xf numFmtId="0" fontId="1810" fillId="1811" borderId="1755" xfId="0" applyFont="1" applyFill="1" applyBorder="1" applyAlignment="1">
      <alignment horizontal="center" vertical="center"/>
    </xf>
    <xf numFmtId="0" fontId="1811" fillId="1812" borderId="1756" xfId="0" applyFont="1" applyFill="1" applyBorder="1" applyAlignment="1">
      <alignment horizontal="center" vertical="center"/>
    </xf>
    <xf numFmtId="0" fontId="1812" fillId="1813" borderId="1757" xfId="0" applyFont="1" applyFill="1" applyBorder="1" applyAlignment="1">
      <alignment horizontal="center" vertical="center"/>
    </xf>
    <xf numFmtId="0" fontId="1813" fillId="1814" borderId="1758" xfId="0" applyFont="1" applyFill="1" applyBorder="1"/>
    <xf numFmtId="0" fontId="1814" fillId="1815" borderId="1759" xfId="0" applyFont="1" applyFill="1" applyBorder="1"/>
    <xf numFmtId="0" fontId="1815" fillId="1816" borderId="1760" xfId="0" applyFont="1" applyFill="1" applyBorder="1"/>
    <xf numFmtId="0" fontId="1816" fillId="1817" borderId="1761" xfId="0" applyFont="1" applyFill="1" applyBorder="1"/>
    <xf numFmtId="0" fontId="1817" fillId="1818" borderId="1762" xfId="0" applyFont="1" applyFill="1" applyBorder="1"/>
    <xf numFmtId="0" fontId="1818" fillId="1819" borderId="1763" xfId="0" applyFont="1" applyFill="1" applyBorder="1"/>
    <xf numFmtId="0" fontId="1819" fillId="1820" borderId="1764" xfId="0" applyFont="1" applyFill="1" applyBorder="1"/>
    <xf numFmtId="0" fontId="1820" fillId="1821" borderId="1765" xfId="0" applyFont="1" applyFill="1" applyBorder="1"/>
    <xf numFmtId="0" fontId="1821" fillId="1822" borderId="1766" xfId="0" applyFont="1" applyFill="1" applyBorder="1" applyAlignment="1">
      <alignment horizontal="center" vertical="center"/>
    </xf>
    <xf numFmtId="0" fontId="1822" fillId="1823" borderId="1767" xfId="0" applyFont="1" applyFill="1" applyBorder="1" applyAlignment="1">
      <alignment horizontal="center" vertical="center"/>
    </xf>
    <xf numFmtId="0" fontId="1823" fillId="1824" borderId="1768" xfId="0" applyFont="1" applyFill="1" applyBorder="1" applyAlignment="1">
      <alignment horizontal="center" vertical="center"/>
    </xf>
    <xf numFmtId="0" fontId="1824" fillId="1825" borderId="1769" xfId="0" applyFont="1" applyFill="1" applyBorder="1" applyAlignment="1">
      <alignment horizontal="center" vertical="center"/>
    </xf>
    <xf numFmtId="0" fontId="1825" fillId="1826" borderId="1770" xfId="0" applyFont="1" applyFill="1" applyBorder="1" applyAlignment="1">
      <alignment horizontal="center" vertical="center"/>
    </xf>
    <xf numFmtId="0" fontId="1826" fillId="1827" borderId="1771" xfId="0" applyFont="1" applyFill="1" applyBorder="1" applyAlignment="1">
      <alignment horizontal="center" vertical="center"/>
    </xf>
    <xf numFmtId="0" fontId="1827" fillId="1828" borderId="1772" xfId="0" applyFont="1" applyFill="1" applyBorder="1" applyAlignment="1">
      <alignment horizontal="center" vertical="center"/>
    </xf>
    <xf numFmtId="0" fontId="1828" fillId="1829" borderId="1773" xfId="0" applyFont="1" applyFill="1" applyBorder="1"/>
    <xf numFmtId="0" fontId="1829" fillId="1830" borderId="1774" xfId="0" applyFont="1" applyFill="1" applyBorder="1"/>
    <xf numFmtId="0" fontId="1830" fillId="1831" borderId="1775" xfId="0" applyFont="1" applyFill="1" applyBorder="1"/>
    <xf numFmtId="0" fontId="1831" fillId="1832" borderId="1776" xfId="0" applyFont="1" applyFill="1" applyBorder="1"/>
    <xf numFmtId="0" fontId="1832" fillId="1833" borderId="1777" xfId="0" applyFont="1" applyFill="1" applyBorder="1"/>
    <xf numFmtId="0" fontId="1833" fillId="1834" borderId="1778" xfId="0" applyFont="1" applyFill="1" applyBorder="1"/>
    <xf numFmtId="0" fontId="1834" fillId="1835" borderId="1779" xfId="0" applyFont="1" applyFill="1" applyBorder="1"/>
    <xf numFmtId="0" fontId="1835" fillId="1836" borderId="1780" xfId="0" applyFont="1" applyFill="1" applyBorder="1"/>
    <xf numFmtId="0" fontId="1836" fillId="1837" borderId="1781" xfId="0" applyFont="1" applyFill="1" applyBorder="1" applyAlignment="1">
      <alignment horizontal="center" vertical="center"/>
    </xf>
    <xf numFmtId="0" fontId="1837" fillId="1838" borderId="1782" xfId="0" applyFont="1" applyFill="1" applyBorder="1" applyAlignment="1">
      <alignment horizontal="center" vertical="center"/>
    </xf>
    <xf numFmtId="0" fontId="1838" fillId="1839" borderId="1783" xfId="0" applyFont="1" applyFill="1" applyBorder="1" applyAlignment="1">
      <alignment horizontal="center" vertical="center"/>
    </xf>
    <xf numFmtId="0" fontId="1839" fillId="1840" borderId="1784" xfId="0" applyFont="1" applyFill="1" applyBorder="1" applyAlignment="1">
      <alignment horizontal="center" vertical="center"/>
    </xf>
    <xf numFmtId="0" fontId="1840" fillId="1841" borderId="1785" xfId="0" applyFont="1" applyFill="1" applyBorder="1" applyAlignment="1">
      <alignment horizontal="center" vertical="center"/>
    </xf>
    <xf numFmtId="0" fontId="1841" fillId="1842" borderId="1786" xfId="0" applyFont="1" applyFill="1" applyBorder="1" applyAlignment="1">
      <alignment horizontal="center" vertical="center"/>
    </xf>
    <xf numFmtId="0" fontId="1842" fillId="1843" borderId="1787" xfId="0" applyFont="1" applyFill="1" applyBorder="1" applyAlignment="1">
      <alignment horizontal="center" vertical="center"/>
    </xf>
    <xf numFmtId="0" fontId="1843" fillId="1844" borderId="1788" xfId="0" applyFont="1" applyFill="1" applyBorder="1"/>
    <xf numFmtId="0" fontId="1844" fillId="1845" borderId="1789" xfId="0" applyFont="1" applyFill="1" applyBorder="1"/>
    <xf numFmtId="0" fontId="1845" fillId="1846" borderId="1790" xfId="0" applyFont="1" applyFill="1" applyBorder="1"/>
    <xf numFmtId="0" fontId="1846" fillId="1847" borderId="1791" xfId="0" applyFont="1" applyFill="1" applyBorder="1"/>
    <xf numFmtId="0" fontId="1847" fillId="1848" borderId="1792" xfId="0" applyFont="1" applyFill="1" applyBorder="1"/>
    <xf numFmtId="0" fontId="1848" fillId="1849" borderId="1793" xfId="0" applyFont="1" applyFill="1" applyBorder="1"/>
    <xf numFmtId="0" fontId="1849" fillId="1850" borderId="1794" xfId="0" applyFont="1" applyFill="1" applyBorder="1"/>
    <xf numFmtId="0" fontId="1850" fillId="1851" borderId="1795" xfId="0" applyFont="1" applyFill="1" applyBorder="1"/>
    <xf numFmtId="0" fontId="1851" fillId="1852" borderId="1796" xfId="0" applyFont="1" applyFill="1" applyBorder="1" applyAlignment="1">
      <alignment horizontal="center" vertical="center"/>
    </xf>
    <xf numFmtId="0" fontId="1852" fillId="1853" borderId="1797" xfId="0" applyFont="1" applyFill="1" applyBorder="1" applyAlignment="1">
      <alignment horizontal="center" vertical="center"/>
    </xf>
    <xf numFmtId="0" fontId="1853" fillId="1854" borderId="1798" xfId="0" applyFont="1" applyFill="1" applyBorder="1" applyAlignment="1">
      <alignment horizontal="center" vertical="center"/>
    </xf>
    <xf numFmtId="0" fontId="1854" fillId="1855" borderId="1799" xfId="0" applyFont="1" applyFill="1" applyBorder="1" applyAlignment="1">
      <alignment horizontal="center" vertical="center"/>
    </xf>
    <xf numFmtId="0" fontId="1855" fillId="1856" borderId="1800" xfId="0" applyFont="1" applyFill="1" applyBorder="1" applyAlignment="1">
      <alignment horizontal="center" vertical="center"/>
    </xf>
    <xf numFmtId="0" fontId="1856" fillId="1857" borderId="1801" xfId="0" applyFont="1" applyFill="1" applyBorder="1" applyAlignment="1">
      <alignment horizontal="center" vertical="center"/>
    </xf>
    <xf numFmtId="0" fontId="1857" fillId="1858" borderId="1802" xfId="0" applyFont="1" applyFill="1" applyBorder="1" applyAlignment="1">
      <alignment horizontal="center" vertical="center"/>
    </xf>
    <xf numFmtId="0" fontId="1858" fillId="1859" borderId="1803" xfId="0" applyFont="1" applyFill="1" applyBorder="1"/>
    <xf numFmtId="0" fontId="1859" fillId="1860" borderId="1804" xfId="0" applyFont="1" applyFill="1" applyBorder="1"/>
    <xf numFmtId="0" fontId="1860" fillId="1861" borderId="1805" xfId="0" applyFont="1" applyFill="1" applyBorder="1"/>
    <xf numFmtId="0" fontId="1861" fillId="1862" borderId="1806" xfId="0" applyFont="1" applyFill="1" applyBorder="1"/>
    <xf numFmtId="0" fontId="1862" fillId="1863" borderId="1807" xfId="0" applyFont="1" applyFill="1" applyBorder="1"/>
    <xf numFmtId="0" fontId="1863" fillId="1864" borderId="1808" xfId="0" applyFont="1" applyFill="1" applyBorder="1"/>
    <xf numFmtId="0" fontId="1864" fillId="1865" borderId="1809" xfId="0" applyFont="1" applyFill="1" applyBorder="1"/>
    <xf numFmtId="0" fontId="1865" fillId="1866" borderId="1810" xfId="0" applyFont="1" applyFill="1" applyBorder="1"/>
    <xf numFmtId="0" fontId="1866" fillId="1867" borderId="1811" xfId="0" applyFont="1" applyFill="1" applyBorder="1" applyAlignment="1">
      <alignment horizontal="center" vertical="center"/>
    </xf>
    <xf numFmtId="0" fontId="1867" fillId="1868" borderId="1812" xfId="0" applyFont="1" applyFill="1" applyBorder="1" applyAlignment="1">
      <alignment horizontal="center" vertical="center"/>
    </xf>
    <xf numFmtId="0" fontId="1868" fillId="1869" borderId="1813" xfId="0" applyFont="1" applyFill="1" applyBorder="1" applyAlignment="1">
      <alignment horizontal="center" vertical="center"/>
    </xf>
    <xf numFmtId="0" fontId="1869" fillId="1870" borderId="1814" xfId="0" applyFont="1" applyFill="1" applyBorder="1" applyAlignment="1">
      <alignment horizontal="center" vertical="center"/>
    </xf>
    <xf numFmtId="0" fontId="1870" fillId="1871" borderId="1815" xfId="0" applyFont="1" applyFill="1" applyBorder="1" applyAlignment="1">
      <alignment horizontal="center" vertical="center"/>
    </xf>
    <xf numFmtId="0" fontId="1871" fillId="1872" borderId="1816" xfId="0" applyFont="1" applyFill="1" applyBorder="1" applyAlignment="1">
      <alignment horizontal="center" vertical="center"/>
    </xf>
    <xf numFmtId="0" fontId="1872" fillId="1873" borderId="1817" xfId="0" applyFont="1" applyFill="1" applyBorder="1" applyAlignment="1">
      <alignment horizontal="center" vertical="center"/>
    </xf>
    <xf numFmtId="0" fontId="1873" fillId="1874" borderId="1818" xfId="0" applyFont="1" applyFill="1" applyBorder="1"/>
    <xf numFmtId="0" fontId="1874" fillId="1875" borderId="1819" xfId="0" applyFont="1" applyFill="1" applyBorder="1"/>
    <xf numFmtId="0" fontId="1875" fillId="1876" borderId="1820" xfId="0" applyFont="1" applyFill="1" applyBorder="1"/>
    <xf numFmtId="0" fontId="1876" fillId="1877" borderId="1821" xfId="0" applyFont="1" applyFill="1" applyBorder="1"/>
    <xf numFmtId="0" fontId="1877" fillId="1878" borderId="1822" xfId="0" applyFont="1" applyFill="1" applyBorder="1"/>
    <xf numFmtId="0" fontId="1878" fillId="1879" borderId="1823" xfId="0" applyFont="1" applyFill="1" applyBorder="1"/>
    <xf numFmtId="0" fontId="1879" fillId="1880" borderId="1824" xfId="0" applyFont="1" applyFill="1" applyBorder="1"/>
    <xf numFmtId="0" fontId="1880" fillId="1881" borderId="1825" xfId="0" applyFont="1" applyFill="1" applyBorder="1"/>
    <xf numFmtId="0" fontId="1881" fillId="1882" borderId="1826" xfId="0" applyFont="1" applyFill="1" applyBorder="1" applyAlignment="1">
      <alignment horizontal="center" vertical="center"/>
    </xf>
    <xf numFmtId="0" fontId="1882" fillId="1883" borderId="1827" xfId="0" applyFont="1" applyFill="1" applyBorder="1" applyAlignment="1">
      <alignment horizontal="center" vertical="center"/>
    </xf>
    <xf numFmtId="0" fontId="1883" fillId="1884" borderId="1828" xfId="0" applyFont="1" applyFill="1" applyBorder="1" applyAlignment="1">
      <alignment horizontal="center" vertical="center"/>
    </xf>
    <xf numFmtId="0" fontId="1884" fillId="1885" borderId="1829" xfId="0" applyFont="1" applyFill="1" applyBorder="1" applyAlignment="1">
      <alignment horizontal="center" vertical="center"/>
    </xf>
    <xf numFmtId="0" fontId="1885" fillId="1886" borderId="1830" xfId="0" applyFont="1" applyFill="1" applyBorder="1" applyAlignment="1">
      <alignment horizontal="center" vertical="center"/>
    </xf>
    <xf numFmtId="0" fontId="1886" fillId="1887" borderId="1831" xfId="0" applyFont="1" applyFill="1" applyBorder="1" applyAlignment="1">
      <alignment horizontal="center" vertical="center"/>
    </xf>
    <xf numFmtId="0" fontId="1887" fillId="1888" borderId="1832" xfId="0" applyFont="1" applyFill="1" applyBorder="1" applyAlignment="1">
      <alignment horizontal="center" vertical="center"/>
    </xf>
    <xf numFmtId="0" fontId="1888" fillId="1889" borderId="1833" xfId="0" applyFont="1" applyFill="1" applyBorder="1"/>
    <xf numFmtId="0" fontId="1889" fillId="1890" borderId="1834" xfId="0" applyFont="1" applyFill="1" applyBorder="1"/>
    <xf numFmtId="0" fontId="1890" fillId="1891" borderId="1835" xfId="0" applyFont="1" applyFill="1" applyBorder="1"/>
    <xf numFmtId="0" fontId="1891" fillId="1892" borderId="1836" xfId="0" applyFont="1" applyFill="1" applyBorder="1"/>
    <xf numFmtId="0" fontId="1892" fillId="1893" borderId="1837" xfId="0" applyFont="1" applyFill="1" applyBorder="1"/>
    <xf numFmtId="0" fontId="1893" fillId="1894" borderId="1838" xfId="0" applyFont="1" applyFill="1" applyBorder="1"/>
    <xf numFmtId="0" fontId="1894" fillId="1895" borderId="1839" xfId="0" applyFont="1" applyFill="1" applyBorder="1"/>
    <xf numFmtId="0" fontId="1895" fillId="1896" borderId="1840" xfId="0" applyFont="1" applyFill="1" applyBorder="1"/>
    <xf numFmtId="0" fontId="1896" fillId="1897" borderId="1841" xfId="0" applyFont="1" applyFill="1" applyBorder="1" applyAlignment="1">
      <alignment horizontal="center" vertical="center"/>
    </xf>
    <xf numFmtId="0" fontId="1897" fillId="1898" borderId="1842" xfId="0" applyFont="1" applyFill="1" applyBorder="1" applyAlignment="1">
      <alignment horizontal="center" vertical="center"/>
    </xf>
    <xf numFmtId="0" fontId="1898" fillId="1899" borderId="1843" xfId="0" applyFont="1" applyFill="1" applyBorder="1" applyAlignment="1">
      <alignment horizontal="center" vertical="center"/>
    </xf>
    <xf numFmtId="0" fontId="1899" fillId="1900" borderId="1844" xfId="0" applyFont="1" applyFill="1" applyBorder="1" applyAlignment="1">
      <alignment horizontal="center" vertical="center"/>
    </xf>
    <xf numFmtId="0" fontId="1900" fillId="1901" borderId="1845" xfId="0" applyFont="1" applyFill="1" applyBorder="1" applyAlignment="1">
      <alignment horizontal="center" vertical="center"/>
    </xf>
    <xf numFmtId="0" fontId="1901" fillId="1902" borderId="1846" xfId="0" applyFont="1" applyFill="1" applyBorder="1" applyAlignment="1">
      <alignment horizontal="center" vertical="center"/>
    </xf>
    <xf numFmtId="0" fontId="1902" fillId="1903" borderId="1847" xfId="0" applyFont="1" applyFill="1" applyBorder="1" applyAlignment="1">
      <alignment horizontal="center" vertical="center"/>
    </xf>
    <xf numFmtId="0" fontId="1903" fillId="1904" borderId="1848" xfId="0" applyFont="1" applyFill="1" applyBorder="1"/>
    <xf numFmtId="0" fontId="1904" fillId="1905" borderId="1849" xfId="0" applyFont="1" applyFill="1" applyBorder="1"/>
    <xf numFmtId="0" fontId="1905" fillId="1906" borderId="1850" xfId="0" applyFont="1" applyFill="1" applyBorder="1"/>
    <xf numFmtId="0" fontId="1906" fillId="1907" borderId="1851" xfId="0" applyFont="1" applyFill="1" applyBorder="1"/>
    <xf numFmtId="0" fontId="1907" fillId="1908" borderId="1852" xfId="0" applyFont="1" applyFill="1" applyBorder="1"/>
    <xf numFmtId="0" fontId="1908" fillId="1909" borderId="1853" xfId="0" applyFont="1" applyFill="1" applyBorder="1"/>
    <xf numFmtId="0" fontId="1909" fillId="1910" borderId="1854" xfId="0" applyFont="1" applyFill="1" applyBorder="1"/>
    <xf numFmtId="0" fontId="1910" fillId="1911" borderId="1855" xfId="0" applyFont="1" applyFill="1" applyBorder="1"/>
    <xf numFmtId="0" fontId="1911" fillId="1912" borderId="1856" xfId="0" applyFont="1" applyFill="1" applyBorder="1" applyAlignment="1">
      <alignment horizontal="center" vertical="center"/>
    </xf>
    <xf numFmtId="0" fontId="1912" fillId="1913" borderId="1857" xfId="0" applyFont="1" applyFill="1" applyBorder="1" applyAlignment="1">
      <alignment horizontal="center" vertical="center"/>
    </xf>
    <xf numFmtId="0" fontId="1913" fillId="1914" borderId="1858" xfId="0" applyFont="1" applyFill="1" applyBorder="1" applyAlignment="1">
      <alignment horizontal="center" vertical="center"/>
    </xf>
    <xf numFmtId="0" fontId="1914" fillId="1915" borderId="1859" xfId="0" applyFont="1" applyFill="1" applyBorder="1" applyAlignment="1">
      <alignment horizontal="center" vertical="center"/>
    </xf>
    <xf numFmtId="0" fontId="1915" fillId="1916" borderId="1860" xfId="0" applyFont="1" applyFill="1" applyBorder="1" applyAlignment="1">
      <alignment horizontal="center" vertical="center"/>
    </xf>
    <xf numFmtId="0" fontId="1916" fillId="1917" borderId="1861" xfId="0" applyFont="1" applyFill="1" applyBorder="1" applyAlignment="1">
      <alignment horizontal="center" vertical="center"/>
    </xf>
    <xf numFmtId="0" fontId="1917" fillId="1918" borderId="1862" xfId="0" applyFont="1" applyFill="1" applyBorder="1" applyAlignment="1">
      <alignment horizontal="center" vertical="center"/>
    </xf>
    <xf numFmtId="0" fontId="1918" fillId="1919" borderId="1863" xfId="0" applyFont="1" applyFill="1" applyBorder="1"/>
    <xf numFmtId="0" fontId="1919" fillId="1920" borderId="1864" xfId="0" applyFont="1" applyFill="1" applyBorder="1"/>
    <xf numFmtId="0" fontId="1920" fillId="1921" borderId="1865" xfId="0" applyFont="1" applyFill="1" applyBorder="1"/>
    <xf numFmtId="0" fontId="1921" fillId="1922" borderId="1866" xfId="0" applyFont="1" applyFill="1" applyBorder="1"/>
    <xf numFmtId="0" fontId="1922" fillId="1923" borderId="1867" xfId="0" applyFont="1" applyFill="1" applyBorder="1"/>
    <xf numFmtId="0" fontId="1923" fillId="1924" borderId="1868" xfId="0" applyFont="1" applyFill="1" applyBorder="1"/>
    <xf numFmtId="0" fontId="1924" fillId="1925" borderId="1869" xfId="0" applyFont="1" applyFill="1" applyBorder="1"/>
    <xf numFmtId="0" fontId="1925" fillId="1926" borderId="1870" xfId="0" applyFont="1" applyFill="1" applyBorder="1"/>
    <xf numFmtId="0" fontId="1926" fillId="1927" borderId="1871" xfId="0" applyFont="1" applyFill="1" applyBorder="1" applyAlignment="1">
      <alignment horizontal="center" vertical="center"/>
    </xf>
    <xf numFmtId="0" fontId="1927" fillId="1928" borderId="1872" xfId="0" applyFont="1" applyFill="1" applyBorder="1" applyAlignment="1">
      <alignment horizontal="center" vertical="center"/>
    </xf>
    <xf numFmtId="0" fontId="1928" fillId="1929" borderId="1873" xfId="0" applyFont="1" applyFill="1" applyBorder="1" applyAlignment="1">
      <alignment horizontal="center" vertical="center"/>
    </xf>
    <xf numFmtId="0" fontId="1929" fillId="1930" borderId="1874" xfId="0" applyFont="1" applyFill="1" applyBorder="1" applyAlignment="1">
      <alignment horizontal="center" vertical="center"/>
    </xf>
    <xf numFmtId="0" fontId="1930" fillId="1931" borderId="1875" xfId="0" applyFont="1" applyFill="1" applyBorder="1" applyAlignment="1">
      <alignment horizontal="center" vertical="center"/>
    </xf>
    <xf numFmtId="0" fontId="1931" fillId="1932" borderId="1876" xfId="0" applyFont="1" applyFill="1" applyBorder="1" applyAlignment="1">
      <alignment horizontal="center" vertical="center"/>
    </xf>
    <xf numFmtId="0" fontId="1932" fillId="1933" borderId="1877" xfId="0" applyFont="1" applyFill="1" applyBorder="1" applyAlignment="1">
      <alignment horizontal="center" vertical="center"/>
    </xf>
    <xf numFmtId="0" fontId="1933" fillId="1934" borderId="1878" xfId="0" applyFont="1" applyFill="1" applyBorder="1"/>
    <xf numFmtId="0" fontId="1934" fillId="1935" borderId="1879" xfId="0" applyFont="1" applyFill="1" applyBorder="1"/>
    <xf numFmtId="0" fontId="1935" fillId="1936" borderId="1880" xfId="0" applyFont="1" applyFill="1" applyBorder="1"/>
    <xf numFmtId="0" fontId="1936" fillId="1937" borderId="1881" xfId="0" applyFont="1" applyFill="1" applyBorder="1"/>
    <xf numFmtId="0" fontId="1937" fillId="1938" borderId="1882" xfId="0" applyFont="1" applyFill="1" applyBorder="1"/>
    <xf numFmtId="0" fontId="1938" fillId="1939" borderId="1883" xfId="0" applyFont="1" applyFill="1" applyBorder="1"/>
    <xf numFmtId="0" fontId="1939" fillId="1940" borderId="1884" xfId="0" applyFont="1" applyFill="1" applyBorder="1"/>
    <xf numFmtId="0" fontId="1940" fillId="1941" borderId="1885" xfId="0" applyFont="1" applyFill="1" applyBorder="1"/>
    <xf numFmtId="0" fontId="1941" fillId="1942" borderId="1886" xfId="0" applyFont="1" applyFill="1" applyBorder="1" applyAlignment="1">
      <alignment horizontal="center" vertical="center"/>
    </xf>
    <xf numFmtId="0" fontId="1942" fillId="1943" borderId="1887" xfId="0" applyFont="1" applyFill="1" applyBorder="1" applyAlignment="1">
      <alignment horizontal="center" vertical="center"/>
    </xf>
    <xf numFmtId="0" fontId="1943" fillId="1944" borderId="1888" xfId="0" applyFont="1" applyFill="1" applyBorder="1" applyAlignment="1">
      <alignment horizontal="center" vertical="center"/>
    </xf>
    <xf numFmtId="0" fontId="1944" fillId="1945" borderId="1889" xfId="0" applyFont="1" applyFill="1" applyBorder="1" applyAlignment="1">
      <alignment horizontal="center" vertical="center"/>
    </xf>
    <xf numFmtId="0" fontId="1945" fillId="1946" borderId="1890" xfId="0" applyFont="1" applyFill="1" applyBorder="1" applyAlignment="1">
      <alignment horizontal="center" vertical="center"/>
    </xf>
    <xf numFmtId="0" fontId="1946" fillId="1947" borderId="1891" xfId="0" applyFont="1" applyFill="1" applyBorder="1" applyAlignment="1">
      <alignment horizontal="center" vertical="center"/>
    </xf>
    <xf numFmtId="0" fontId="1947" fillId="1948" borderId="1892" xfId="0" applyFont="1" applyFill="1" applyBorder="1" applyAlignment="1">
      <alignment horizontal="center" vertical="center"/>
    </xf>
    <xf numFmtId="0" fontId="1948" fillId="1949" borderId="1893" xfId="0" applyFont="1" applyFill="1" applyBorder="1"/>
    <xf numFmtId="0" fontId="1949" fillId="1950" borderId="1894" xfId="0" applyFont="1" applyFill="1" applyBorder="1"/>
    <xf numFmtId="0" fontId="1950" fillId="1951" borderId="1895" xfId="0" applyFont="1" applyFill="1" applyBorder="1"/>
    <xf numFmtId="0" fontId="1951" fillId="1952" borderId="1896" xfId="0" applyFont="1" applyFill="1" applyBorder="1"/>
    <xf numFmtId="0" fontId="1952" fillId="1953" borderId="1897" xfId="0" applyFont="1" applyFill="1" applyBorder="1"/>
    <xf numFmtId="0" fontId="1953" fillId="1954" borderId="1898" xfId="0" applyFont="1" applyFill="1" applyBorder="1"/>
    <xf numFmtId="0" fontId="1954" fillId="1955" borderId="1899" xfId="0" applyFont="1" applyFill="1" applyBorder="1"/>
    <xf numFmtId="0" fontId="1955" fillId="1956" borderId="1900" xfId="0" applyFont="1" applyFill="1" applyBorder="1"/>
    <xf numFmtId="0" fontId="1956" fillId="1957" borderId="1901" xfId="0" applyFont="1" applyFill="1" applyBorder="1" applyAlignment="1">
      <alignment horizontal="center" vertical="center"/>
    </xf>
    <xf numFmtId="0" fontId="1957" fillId="1958" borderId="1902" xfId="0" applyFont="1" applyFill="1" applyBorder="1" applyAlignment="1">
      <alignment horizontal="center" vertical="center"/>
    </xf>
    <xf numFmtId="0" fontId="1958" fillId="1959" borderId="1903" xfId="0" applyFont="1" applyFill="1" applyBorder="1" applyAlignment="1">
      <alignment horizontal="center" vertical="center"/>
    </xf>
    <xf numFmtId="0" fontId="1959" fillId="1960" borderId="1904" xfId="0" applyFont="1" applyFill="1" applyBorder="1" applyAlignment="1">
      <alignment horizontal="center" vertical="center"/>
    </xf>
    <xf numFmtId="0" fontId="1960" fillId="1961" borderId="1905" xfId="0" applyFont="1" applyFill="1" applyBorder="1" applyAlignment="1">
      <alignment horizontal="center" vertical="center"/>
    </xf>
    <xf numFmtId="0" fontId="1961" fillId="1962" borderId="1906" xfId="0" applyFont="1" applyFill="1" applyBorder="1" applyAlignment="1">
      <alignment horizontal="center" vertical="center"/>
    </xf>
    <xf numFmtId="0" fontId="1962" fillId="1963" borderId="1907" xfId="0" applyFont="1" applyFill="1" applyBorder="1" applyAlignment="1">
      <alignment horizontal="center" vertical="center"/>
    </xf>
    <xf numFmtId="0" fontId="1963" fillId="1964" borderId="1908" xfId="0" applyFont="1" applyFill="1" applyBorder="1"/>
    <xf numFmtId="0" fontId="1964" fillId="1965" borderId="1909" xfId="0" applyFont="1" applyFill="1" applyBorder="1"/>
    <xf numFmtId="0" fontId="1965" fillId="1966" borderId="1910" xfId="0" applyFont="1" applyFill="1" applyBorder="1"/>
    <xf numFmtId="0" fontId="1966" fillId="1967" borderId="1911" xfId="0" applyFont="1" applyFill="1" applyBorder="1"/>
    <xf numFmtId="0" fontId="1967" fillId="1968" borderId="1912" xfId="0" applyFont="1" applyFill="1" applyBorder="1"/>
    <xf numFmtId="0" fontId="1968" fillId="1969" borderId="1913" xfId="0" applyFont="1" applyFill="1" applyBorder="1"/>
    <xf numFmtId="0" fontId="1969" fillId="1970" borderId="1914" xfId="0" applyFont="1" applyFill="1" applyBorder="1"/>
    <xf numFmtId="0" fontId="1970" fillId="1971" borderId="1915" xfId="0" applyFont="1" applyFill="1" applyBorder="1"/>
    <xf numFmtId="0" fontId="1971" fillId="1972" borderId="1916" xfId="0" applyFont="1" applyFill="1" applyBorder="1" applyAlignment="1">
      <alignment horizontal="center" vertical="center"/>
    </xf>
    <xf numFmtId="0" fontId="1972" fillId="1973" borderId="1917" xfId="0" applyFont="1" applyFill="1" applyBorder="1" applyAlignment="1">
      <alignment horizontal="center" vertical="center"/>
    </xf>
    <xf numFmtId="0" fontId="1973" fillId="1974" borderId="1918" xfId="0" applyFont="1" applyFill="1" applyBorder="1" applyAlignment="1">
      <alignment horizontal="center" vertical="center"/>
    </xf>
    <xf numFmtId="0" fontId="1974" fillId="1975" borderId="1919" xfId="0" applyFont="1" applyFill="1" applyBorder="1" applyAlignment="1">
      <alignment horizontal="center" vertical="center"/>
    </xf>
    <xf numFmtId="0" fontId="1975" fillId="1976" borderId="1920" xfId="0" applyFont="1" applyFill="1" applyBorder="1" applyAlignment="1">
      <alignment horizontal="center" vertical="center"/>
    </xf>
    <xf numFmtId="0" fontId="1976" fillId="1977" borderId="1921" xfId="0" applyFont="1" applyFill="1" applyBorder="1" applyAlignment="1">
      <alignment horizontal="center" vertical="center"/>
    </xf>
    <xf numFmtId="0" fontId="1977" fillId="1978" borderId="1922" xfId="0" applyFont="1" applyFill="1" applyBorder="1" applyAlignment="1">
      <alignment horizontal="center" vertical="center"/>
    </xf>
    <xf numFmtId="0" fontId="1978" fillId="1979" borderId="1923" xfId="0" applyFont="1" applyFill="1" applyBorder="1"/>
    <xf numFmtId="0" fontId="1979" fillId="1980" borderId="1924" xfId="0" applyFont="1" applyFill="1" applyBorder="1"/>
    <xf numFmtId="0" fontId="1980" fillId="1981" borderId="1925" xfId="0" applyFont="1" applyFill="1" applyBorder="1"/>
    <xf numFmtId="0" fontId="1981" fillId="1982" borderId="1926" xfId="0" applyFont="1" applyFill="1" applyBorder="1"/>
    <xf numFmtId="0" fontId="1982" fillId="1983" borderId="1927" xfId="0" applyFont="1" applyFill="1" applyBorder="1"/>
    <xf numFmtId="0" fontId="1983" fillId="1984" borderId="1928" xfId="0" applyFont="1" applyFill="1" applyBorder="1"/>
    <xf numFmtId="0" fontId="1984" fillId="1985" borderId="1929" xfId="0" applyFont="1" applyFill="1" applyBorder="1"/>
    <xf numFmtId="0" fontId="1985" fillId="1986" borderId="1930" xfId="0" applyFont="1" applyFill="1" applyBorder="1"/>
    <xf numFmtId="0" fontId="1986" fillId="1987" borderId="1931" xfId="0" applyFont="1" applyFill="1" applyBorder="1" applyAlignment="1">
      <alignment horizontal="center" vertical="center"/>
    </xf>
    <xf numFmtId="0" fontId="1987" fillId="1988" borderId="1932" xfId="0" applyFont="1" applyFill="1" applyBorder="1" applyAlignment="1">
      <alignment horizontal="center" vertical="center"/>
    </xf>
    <xf numFmtId="0" fontId="1988" fillId="1989" borderId="1933" xfId="0" applyFont="1" applyFill="1" applyBorder="1" applyAlignment="1">
      <alignment horizontal="center" vertical="center"/>
    </xf>
    <xf numFmtId="0" fontId="1989" fillId="1990" borderId="1934" xfId="0" applyFont="1" applyFill="1" applyBorder="1" applyAlignment="1">
      <alignment horizontal="center" vertical="center"/>
    </xf>
    <xf numFmtId="0" fontId="1990" fillId="1991" borderId="1935" xfId="0" applyFont="1" applyFill="1" applyBorder="1" applyAlignment="1">
      <alignment horizontal="center" vertical="center"/>
    </xf>
    <xf numFmtId="0" fontId="1991" fillId="1992" borderId="1936" xfId="0" applyFont="1" applyFill="1" applyBorder="1" applyAlignment="1">
      <alignment horizontal="center" vertical="center"/>
    </xf>
    <xf numFmtId="0" fontId="1992" fillId="1993" borderId="1937" xfId="0" applyFont="1" applyFill="1" applyBorder="1" applyAlignment="1">
      <alignment horizontal="center" vertical="center"/>
    </xf>
    <xf numFmtId="0" fontId="1993" fillId="1994" borderId="1938" xfId="0" applyFont="1" applyFill="1" applyBorder="1"/>
    <xf numFmtId="0" fontId="1994" fillId="1995" borderId="1939" xfId="0" applyFont="1" applyFill="1" applyBorder="1"/>
    <xf numFmtId="0" fontId="1995" fillId="1996" borderId="1940" xfId="0" applyFont="1" applyFill="1" applyBorder="1"/>
    <xf numFmtId="0" fontId="1996" fillId="1997" borderId="1941" xfId="0" applyFont="1" applyFill="1" applyBorder="1"/>
    <xf numFmtId="0" fontId="1997" fillId="1998" borderId="1942" xfId="0" applyFont="1" applyFill="1" applyBorder="1"/>
    <xf numFmtId="0" fontId="1998" fillId="1999" borderId="1943" xfId="0" applyFont="1" applyFill="1" applyBorder="1"/>
    <xf numFmtId="0" fontId="1999" fillId="2000" borderId="1944" xfId="0" applyFont="1" applyFill="1" applyBorder="1"/>
    <xf numFmtId="0" fontId="2000" fillId="2001" borderId="1945" xfId="0" applyFont="1" applyFill="1" applyBorder="1"/>
    <xf numFmtId="0" fontId="2001" fillId="2002" borderId="1946" xfId="0" applyFont="1" applyFill="1" applyBorder="1" applyAlignment="1">
      <alignment horizontal="center" vertical="center"/>
    </xf>
    <xf numFmtId="0" fontId="2002" fillId="2003" borderId="1947" xfId="0" applyFont="1" applyFill="1" applyBorder="1" applyAlignment="1">
      <alignment horizontal="center" vertical="center"/>
    </xf>
    <xf numFmtId="0" fontId="2003" fillId="2004" borderId="1948" xfId="0" applyFont="1" applyFill="1" applyBorder="1" applyAlignment="1">
      <alignment horizontal="center" vertical="center"/>
    </xf>
    <xf numFmtId="0" fontId="2004" fillId="2005" borderId="1949" xfId="0" applyFont="1" applyFill="1" applyBorder="1" applyAlignment="1">
      <alignment horizontal="center" vertical="center"/>
    </xf>
    <xf numFmtId="0" fontId="2005" fillId="2006" borderId="1950" xfId="0" applyFont="1" applyFill="1" applyBorder="1" applyAlignment="1">
      <alignment horizontal="center" vertical="center"/>
    </xf>
    <xf numFmtId="0" fontId="2006" fillId="2007" borderId="1951" xfId="0" applyFont="1" applyFill="1" applyBorder="1" applyAlignment="1">
      <alignment horizontal="center" vertical="center"/>
    </xf>
    <xf numFmtId="0" fontId="2007" fillId="2008" borderId="1952" xfId="0" applyFont="1" applyFill="1" applyBorder="1" applyAlignment="1">
      <alignment horizontal="center" vertical="center"/>
    </xf>
    <xf numFmtId="0" fontId="2008" fillId="2009" borderId="1953" xfId="0" applyFont="1" applyFill="1" applyBorder="1"/>
    <xf numFmtId="0" fontId="2009" fillId="2010" borderId="1954" xfId="0" applyFont="1" applyFill="1" applyBorder="1"/>
    <xf numFmtId="0" fontId="2010" fillId="2011" borderId="1955" xfId="0" applyFont="1" applyFill="1" applyBorder="1"/>
    <xf numFmtId="0" fontId="2011" fillId="2012" borderId="1956" xfId="0" applyFont="1" applyFill="1" applyBorder="1"/>
    <xf numFmtId="0" fontId="2012" fillId="2013" borderId="1957" xfId="0" applyFont="1" applyFill="1" applyBorder="1"/>
    <xf numFmtId="0" fontId="2013" fillId="2014" borderId="1958" xfId="0" applyFont="1" applyFill="1" applyBorder="1"/>
    <xf numFmtId="0" fontId="2014" fillId="2015" borderId="1959" xfId="0" applyFont="1" applyFill="1" applyBorder="1"/>
    <xf numFmtId="0" fontId="2015" fillId="2016" borderId="1960" xfId="0" applyFont="1" applyFill="1" applyBorder="1"/>
    <xf numFmtId="0" fontId="2016" fillId="2017" borderId="1961" xfId="0" applyFont="1" applyFill="1" applyBorder="1" applyAlignment="1">
      <alignment horizontal="center" vertical="center"/>
    </xf>
    <xf numFmtId="0" fontId="2017" fillId="2018" borderId="1962" xfId="0" applyFont="1" applyFill="1" applyBorder="1" applyAlignment="1">
      <alignment horizontal="center" vertical="center"/>
    </xf>
    <xf numFmtId="0" fontId="2018" fillId="2019" borderId="1963" xfId="0" applyFont="1" applyFill="1" applyBorder="1" applyAlignment="1">
      <alignment horizontal="center" vertical="center"/>
    </xf>
    <xf numFmtId="0" fontId="2019" fillId="2020" borderId="1964" xfId="0" applyFont="1" applyFill="1" applyBorder="1" applyAlignment="1">
      <alignment horizontal="center" vertical="center"/>
    </xf>
    <xf numFmtId="0" fontId="2020" fillId="2021" borderId="1965" xfId="0" applyFont="1" applyFill="1" applyBorder="1" applyAlignment="1">
      <alignment horizontal="center" vertical="center"/>
    </xf>
    <xf numFmtId="0" fontId="2021" fillId="2022" borderId="1966" xfId="0" applyFont="1" applyFill="1" applyBorder="1" applyAlignment="1">
      <alignment horizontal="center" vertical="center"/>
    </xf>
    <xf numFmtId="0" fontId="2022" fillId="2023" borderId="1967" xfId="0" applyFont="1" applyFill="1" applyBorder="1" applyAlignment="1">
      <alignment horizontal="center" vertical="center"/>
    </xf>
    <xf numFmtId="0" fontId="2023" fillId="2024" borderId="1968" xfId="0" applyFont="1" applyFill="1" applyBorder="1"/>
    <xf numFmtId="0" fontId="2024" fillId="2025" borderId="1969" xfId="0" applyFont="1" applyFill="1" applyBorder="1"/>
    <xf numFmtId="0" fontId="2025" fillId="2026" borderId="1970" xfId="0" applyFont="1" applyFill="1" applyBorder="1"/>
    <xf numFmtId="0" fontId="2026" fillId="2027" borderId="1971" xfId="0" applyFont="1" applyFill="1" applyBorder="1"/>
    <xf numFmtId="0" fontId="2027" fillId="2028" borderId="1972" xfId="0" applyFont="1" applyFill="1" applyBorder="1"/>
    <xf numFmtId="0" fontId="2028" fillId="2029" borderId="1973" xfId="0" applyFont="1" applyFill="1" applyBorder="1"/>
    <xf numFmtId="0" fontId="2029" fillId="2030" borderId="1974" xfId="0" applyFont="1" applyFill="1" applyBorder="1"/>
    <xf numFmtId="0" fontId="2030" fillId="2031" borderId="1975" xfId="0" applyFont="1" applyFill="1" applyBorder="1"/>
    <xf numFmtId="0" fontId="2031" fillId="2032" borderId="1976" xfId="0" applyFont="1" applyFill="1" applyBorder="1" applyAlignment="1">
      <alignment horizontal="center" vertical="center"/>
    </xf>
    <xf numFmtId="0" fontId="2032" fillId="2033" borderId="1977" xfId="0" applyFont="1" applyFill="1" applyBorder="1" applyAlignment="1">
      <alignment horizontal="center" vertical="center"/>
    </xf>
    <xf numFmtId="0" fontId="2033" fillId="2034" borderId="1978" xfId="0" applyFont="1" applyFill="1" applyBorder="1" applyAlignment="1">
      <alignment horizontal="center" vertical="center"/>
    </xf>
    <xf numFmtId="0" fontId="2034" fillId="2035" borderId="1979" xfId="0" applyFont="1" applyFill="1" applyBorder="1" applyAlignment="1">
      <alignment horizontal="center" vertical="center"/>
    </xf>
    <xf numFmtId="0" fontId="2035" fillId="2036" borderId="1980" xfId="0" applyFont="1" applyFill="1" applyBorder="1" applyAlignment="1">
      <alignment horizontal="center" vertical="center"/>
    </xf>
    <xf numFmtId="0" fontId="2036" fillId="2037" borderId="1981" xfId="0" applyFont="1" applyFill="1" applyBorder="1" applyAlignment="1">
      <alignment horizontal="center" vertical="center"/>
    </xf>
    <xf numFmtId="0" fontId="2037" fillId="2038" borderId="1982" xfId="0" applyFont="1" applyFill="1" applyBorder="1" applyAlignment="1">
      <alignment horizontal="center" vertical="center"/>
    </xf>
    <xf numFmtId="0" fontId="2038" fillId="2039" borderId="1983" xfId="0" applyFont="1" applyFill="1" applyBorder="1"/>
    <xf numFmtId="0" fontId="2039" fillId="2040" borderId="1984" xfId="0" applyFont="1" applyFill="1" applyBorder="1"/>
    <xf numFmtId="0" fontId="2040" fillId="2041" borderId="1985" xfId="0" applyFont="1" applyFill="1" applyBorder="1"/>
    <xf numFmtId="0" fontId="2041" fillId="2042" borderId="1986" xfId="0" applyFont="1" applyFill="1" applyBorder="1"/>
    <xf numFmtId="0" fontId="2042" fillId="2043" borderId="1987" xfId="0" applyFont="1" applyFill="1" applyBorder="1"/>
    <xf numFmtId="0" fontId="2043" fillId="2044" borderId="1988" xfId="0" applyFont="1" applyFill="1" applyBorder="1"/>
    <xf numFmtId="0" fontId="2044" fillId="2045" borderId="1989" xfId="0" applyFont="1" applyFill="1" applyBorder="1"/>
    <xf numFmtId="0" fontId="2045" fillId="2046" borderId="1990" xfId="0" applyFont="1" applyFill="1" applyBorder="1"/>
    <xf numFmtId="0" fontId="2046" fillId="2047" borderId="1991" xfId="0" applyFont="1" applyFill="1" applyBorder="1" applyAlignment="1">
      <alignment horizontal="center" vertical="center"/>
    </xf>
    <xf numFmtId="0" fontId="2047" fillId="2048" borderId="1992" xfId="0" applyFont="1" applyFill="1" applyBorder="1" applyAlignment="1">
      <alignment horizontal="center" vertical="center"/>
    </xf>
    <xf numFmtId="0" fontId="2048" fillId="2049" borderId="1993" xfId="0" applyFont="1" applyFill="1" applyBorder="1" applyAlignment="1">
      <alignment horizontal="center" vertical="center"/>
    </xf>
    <xf numFmtId="0" fontId="2049" fillId="2050" borderId="1994" xfId="0" applyFont="1" applyFill="1" applyBorder="1" applyAlignment="1">
      <alignment horizontal="center" vertical="center"/>
    </xf>
    <xf numFmtId="0" fontId="2050" fillId="2051" borderId="1995" xfId="0" applyFont="1" applyFill="1" applyBorder="1" applyAlignment="1">
      <alignment horizontal="center" vertical="center"/>
    </xf>
    <xf numFmtId="0" fontId="2051" fillId="2052" borderId="1996" xfId="0" applyFont="1" applyFill="1" applyBorder="1" applyAlignment="1">
      <alignment horizontal="center" vertical="center"/>
    </xf>
    <xf numFmtId="0" fontId="2052" fillId="2053" borderId="1997" xfId="0" applyFont="1" applyFill="1" applyBorder="1" applyAlignment="1">
      <alignment horizontal="center" vertical="center"/>
    </xf>
    <xf numFmtId="0" fontId="2053" fillId="2054" borderId="1998" xfId="0" applyFont="1" applyFill="1" applyBorder="1"/>
    <xf numFmtId="0" fontId="2054" fillId="2055" borderId="1999" xfId="0" applyFont="1" applyFill="1" applyBorder="1"/>
    <xf numFmtId="0" fontId="2055" fillId="2056" borderId="2000" xfId="0" applyFont="1" applyFill="1" applyBorder="1"/>
    <xf numFmtId="0" fontId="2056" fillId="2057" borderId="2001" xfId="0" applyFont="1" applyFill="1" applyBorder="1"/>
    <xf numFmtId="0" fontId="2057" fillId="2058" borderId="2002" xfId="0" applyFont="1" applyFill="1" applyBorder="1"/>
    <xf numFmtId="0" fontId="2058" fillId="2059" borderId="2003" xfId="0" applyFont="1" applyFill="1" applyBorder="1"/>
    <xf numFmtId="0" fontId="2059" fillId="2060" borderId="2004" xfId="0" applyFont="1" applyFill="1" applyBorder="1"/>
    <xf numFmtId="0" fontId="2060" fillId="2061" borderId="2005" xfId="0" applyFont="1" applyFill="1" applyBorder="1"/>
    <xf numFmtId="0" fontId="2061" fillId="2062" borderId="2006" xfId="0" applyFont="1" applyFill="1" applyBorder="1" applyAlignment="1">
      <alignment horizontal="center" vertical="center"/>
    </xf>
    <xf numFmtId="0" fontId="2062" fillId="2063" borderId="2007" xfId="0" applyFont="1" applyFill="1" applyBorder="1" applyAlignment="1">
      <alignment horizontal="center" vertical="center"/>
    </xf>
    <xf numFmtId="0" fontId="2063" fillId="2064" borderId="2008" xfId="0" applyFont="1" applyFill="1" applyBorder="1" applyAlignment="1">
      <alignment horizontal="center" vertical="center"/>
    </xf>
    <xf numFmtId="0" fontId="2064" fillId="2065" borderId="2009" xfId="0" applyFont="1" applyFill="1" applyBorder="1" applyAlignment="1">
      <alignment horizontal="center" vertical="center"/>
    </xf>
    <xf numFmtId="0" fontId="2065" fillId="2066" borderId="2010" xfId="0" applyFont="1" applyFill="1" applyBorder="1" applyAlignment="1">
      <alignment horizontal="center" vertical="center"/>
    </xf>
    <xf numFmtId="0" fontId="2066" fillId="2067" borderId="2011" xfId="0" applyFont="1" applyFill="1" applyBorder="1" applyAlignment="1">
      <alignment horizontal="center" vertical="center"/>
    </xf>
    <xf numFmtId="0" fontId="2067" fillId="2068" borderId="2012" xfId="0" applyFont="1" applyFill="1" applyBorder="1" applyAlignment="1">
      <alignment horizontal="center" vertical="center"/>
    </xf>
    <xf numFmtId="0" fontId="2068" fillId="2069" borderId="2013" xfId="0" applyFont="1" applyFill="1" applyBorder="1"/>
    <xf numFmtId="0" fontId="2069" fillId="2070" borderId="2014" xfId="0" applyFont="1" applyFill="1" applyBorder="1"/>
    <xf numFmtId="0" fontId="2070" fillId="2071" borderId="2015" xfId="0" applyFont="1" applyFill="1" applyBorder="1"/>
    <xf numFmtId="0" fontId="2071" fillId="2072" borderId="2016" xfId="0" applyFont="1" applyFill="1" applyBorder="1"/>
    <xf numFmtId="0" fontId="2072" fillId="2073" borderId="2017" xfId="0" applyFont="1" applyFill="1" applyBorder="1"/>
    <xf numFmtId="0" fontId="2073" fillId="2074" borderId="2018" xfId="0" applyFont="1" applyFill="1" applyBorder="1"/>
    <xf numFmtId="0" fontId="2074" fillId="2075" borderId="2019" xfId="0" applyFont="1" applyFill="1" applyBorder="1"/>
    <xf numFmtId="0" fontId="2075" fillId="2076" borderId="2020" xfId="0" applyFont="1" applyFill="1" applyBorder="1"/>
    <xf numFmtId="0" fontId="2076" fillId="2077" borderId="2021" xfId="0" applyFont="1" applyFill="1" applyBorder="1" applyAlignment="1">
      <alignment horizontal="center" vertical="center"/>
    </xf>
    <xf numFmtId="0" fontId="2077" fillId="2078" borderId="2022" xfId="0" applyFont="1" applyFill="1" applyBorder="1" applyAlignment="1">
      <alignment horizontal="center" vertical="center"/>
    </xf>
    <xf numFmtId="0" fontId="2078" fillId="2079" borderId="2023" xfId="0" applyFont="1" applyFill="1" applyBorder="1" applyAlignment="1">
      <alignment horizontal="center" vertical="center"/>
    </xf>
    <xf numFmtId="0" fontId="2079" fillId="2080" borderId="2024" xfId="0" applyFont="1" applyFill="1" applyBorder="1" applyAlignment="1">
      <alignment horizontal="center" vertical="center"/>
    </xf>
    <xf numFmtId="0" fontId="2080" fillId="2081" borderId="2025" xfId="0" applyFont="1" applyFill="1" applyBorder="1" applyAlignment="1">
      <alignment horizontal="center" vertical="center"/>
    </xf>
    <xf numFmtId="0" fontId="2081" fillId="2082" borderId="2026" xfId="0" applyFont="1" applyFill="1" applyBorder="1" applyAlignment="1">
      <alignment horizontal="center" vertical="center"/>
    </xf>
    <xf numFmtId="0" fontId="2082" fillId="2083" borderId="2027" xfId="0" applyFont="1" applyFill="1" applyBorder="1" applyAlignment="1">
      <alignment horizontal="center" vertical="center"/>
    </xf>
    <xf numFmtId="0" fontId="2083" fillId="2084" borderId="2028" xfId="0" applyFont="1" applyFill="1" applyBorder="1"/>
    <xf numFmtId="0" fontId="2084" fillId="2085" borderId="2029" xfId="0" applyFont="1" applyFill="1" applyBorder="1"/>
    <xf numFmtId="0" fontId="2085" fillId="2086" borderId="2030" xfId="0" applyFont="1" applyFill="1" applyBorder="1"/>
    <xf numFmtId="0" fontId="2086" fillId="2087" borderId="2031" xfId="0" applyFont="1" applyFill="1" applyBorder="1"/>
    <xf numFmtId="0" fontId="2087" fillId="2088" borderId="2032" xfId="0" applyFont="1" applyFill="1" applyBorder="1"/>
    <xf numFmtId="0" fontId="2088" fillId="2089" borderId="2033" xfId="0" applyFont="1" applyFill="1" applyBorder="1"/>
    <xf numFmtId="0" fontId="2089" fillId="2090" borderId="2034" xfId="0" applyFont="1" applyFill="1" applyBorder="1"/>
    <xf numFmtId="0" fontId="2090" fillId="2091" borderId="2035" xfId="0" applyFont="1" applyFill="1" applyBorder="1"/>
    <xf numFmtId="0" fontId="2091" fillId="2092" borderId="2036" xfId="0" applyFont="1" applyFill="1" applyBorder="1" applyAlignment="1">
      <alignment horizontal="center" vertical="center"/>
    </xf>
    <xf numFmtId="0" fontId="2092" fillId="2093" borderId="2037" xfId="0" applyFont="1" applyFill="1" applyBorder="1" applyAlignment="1">
      <alignment horizontal="center" vertical="center"/>
    </xf>
    <xf numFmtId="0" fontId="2093" fillId="2094" borderId="2038" xfId="0" applyFont="1" applyFill="1" applyBorder="1" applyAlignment="1">
      <alignment horizontal="center" vertical="center"/>
    </xf>
    <xf numFmtId="0" fontId="2094" fillId="2095" borderId="2039" xfId="0" applyFont="1" applyFill="1" applyBorder="1" applyAlignment="1">
      <alignment horizontal="center" vertical="center"/>
    </xf>
    <xf numFmtId="0" fontId="2095" fillId="2096" borderId="2040" xfId="0" applyFont="1" applyFill="1" applyBorder="1" applyAlignment="1">
      <alignment horizontal="center" vertical="center"/>
    </xf>
    <xf numFmtId="0" fontId="2096" fillId="2097" borderId="2041" xfId="0" applyFont="1" applyFill="1" applyBorder="1" applyAlignment="1">
      <alignment horizontal="center" vertical="center"/>
    </xf>
    <xf numFmtId="0" fontId="2097" fillId="2098" borderId="2042" xfId="0" applyFont="1" applyFill="1" applyBorder="1" applyAlignment="1">
      <alignment horizontal="center" vertical="center"/>
    </xf>
    <xf numFmtId="0" fontId="2098" fillId="2099" borderId="2043" xfId="0" applyFont="1" applyFill="1" applyBorder="1"/>
    <xf numFmtId="0" fontId="2099" fillId="2100" borderId="2044" xfId="0" applyFont="1" applyFill="1" applyBorder="1"/>
    <xf numFmtId="0" fontId="2100" fillId="2101" borderId="2045" xfId="0" applyFont="1" applyFill="1" applyBorder="1"/>
    <xf numFmtId="0" fontId="2101" fillId="2102" borderId="2046" xfId="0" applyFont="1" applyFill="1" applyBorder="1"/>
    <xf numFmtId="0" fontId="2102" fillId="2103" borderId="2047" xfId="0" applyFont="1" applyFill="1" applyBorder="1"/>
    <xf numFmtId="0" fontId="2103" fillId="2104" borderId="2048" xfId="0" applyFont="1" applyFill="1" applyBorder="1"/>
    <xf numFmtId="0" fontId="2104" fillId="2105" borderId="2049" xfId="0" applyFont="1" applyFill="1" applyBorder="1"/>
    <xf numFmtId="0" fontId="2105" fillId="2106" borderId="2050" xfId="0" applyFont="1" applyFill="1" applyBorder="1"/>
    <xf numFmtId="0" fontId="2106" fillId="2107" borderId="2051" xfId="0" applyFont="1" applyFill="1" applyBorder="1" applyAlignment="1">
      <alignment horizontal="center" vertical="center"/>
    </xf>
    <xf numFmtId="0" fontId="2107" fillId="2108" borderId="2052" xfId="0" applyFont="1" applyFill="1" applyBorder="1" applyAlignment="1">
      <alignment horizontal="center" vertical="center"/>
    </xf>
    <xf numFmtId="0" fontId="2108" fillId="2109" borderId="2053" xfId="0" applyFont="1" applyFill="1" applyBorder="1" applyAlignment="1">
      <alignment horizontal="center" vertical="center"/>
    </xf>
    <xf numFmtId="0" fontId="2109" fillId="2110" borderId="2054" xfId="0" applyFont="1" applyFill="1" applyBorder="1" applyAlignment="1">
      <alignment horizontal="center" vertical="center"/>
    </xf>
    <xf numFmtId="0" fontId="2110" fillId="2111" borderId="2055" xfId="0" applyFont="1" applyFill="1" applyBorder="1" applyAlignment="1">
      <alignment horizontal="center" vertical="center"/>
    </xf>
    <xf numFmtId="0" fontId="2111" fillId="2112" borderId="2056" xfId="0" applyFont="1" applyFill="1" applyBorder="1" applyAlignment="1">
      <alignment horizontal="center" vertical="center"/>
    </xf>
    <xf numFmtId="0" fontId="2112" fillId="2113" borderId="2057" xfId="0" applyFont="1" applyFill="1" applyBorder="1" applyAlignment="1">
      <alignment horizontal="center" vertical="center"/>
    </xf>
    <xf numFmtId="0" fontId="2113" fillId="2114" borderId="2058" xfId="0" applyFont="1" applyFill="1" applyBorder="1" applyAlignment="1">
      <alignment horizontal="center" vertical="center"/>
    </xf>
    <xf numFmtId="0" fontId="2114" fillId="2115" borderId="2059" xfId="0" applyFont="1" applyFill="1" applyBorder="1" applyAlignment="1">
      <alignment horizontal="center" vertical="center"/>
    </xf>
    <xf numFmtId="0" fontId="2115" fillId="2116" borderId="2060" xfId="0" applyFont="1" applyFill="1" applyBorder="1" applyAlignment="1">
      <alignment horizontal="center" vertical="center"/>
    </xf>
    <xf numFmtId="0" fontId="2116" fillId="2117" borderId="2061" xfId="0" applyFont="1" applyFill="1" applyBorder="1" applyAlignment="1">
      <alignment horizontal="center" vertical="center"/>
    </xf>
    <xf numFmtId="0" fontId="2117" fillId="2118" borderId="2062" xfId="0" applyFont="1" applyFill="1" applyBorder="1" applyAlignment="1">
      <alignment horizontal="center" vertical="center"/>
    </xf>
    <xf numFmtId="0" fontId="2118" fillId="2119" borderId="2063" xfId="0" applyFont="1" applyFill="1" applyBorder="1" applyAlignment="1">
      <alignment horizontal="center" vertical="center"/>
    </xf>
    <xf numFmtId="0" fontId="2119" fillId="2120" borderId="2064" xfId="0" applyFont="1" applyFill="1" applyBorder="1" applyAlignment="1">
      <alignment horizontal="center" vertical="center"/>
    </xf>
    <xf numFmtId="0" fontId="2120" fillId="2121" borderId="2065" xfId="0" applyFont="1" applyFill="1" applyBorder="1" applyAlignment="1">
      <alignment horizontal="center" vertical="center"/>
    </xf>
    <xf numFmtId="0" fontId="2121" fillId="2122" borderId="2066" xfId="0" applyFont="1" applyFill="1" applyBorder="1" applyAlignment="1">
      <alignment horizontal="center" vertical="center"/>
    </xf>
    <xf numFmtId="0" fontId="2122" fillId="2123" borderId="2067" xfId="0" applyFont="1" applyFill="1" applyBorder="1" applyAlignment="1">
      <alignment horizontal="center" vertical="center"/>
    </xf>
    <xf numFmtId="0" fontId="2123" fillId="2124" borderId="2068" xfId="0" applyFont="1" applyFill="1" applyBorder="1" applyAlignment="1">
      <alignment horizontal="center" vertical="center"/>
    </xf>
    <xf numFmtId="0" fontId="2124" fillId="2125" borderId="2069" xfId="0" applyFont="1" applyFill="1" applyBorder="1" applyAlignment="1">
      <alignment horizontal="center" vertical="center"/>
    </xf>
    <xf numFmtId="0" fontId="2125" fillId="2126" borderId="2070" xfId="0" applyFont="1" applyFill="1" applyBorder="1" applyAlignment="1">
      <alignment horizontal="center" vertical="center"/>
    </xf>
    <xf numFmtId="0" fontId="2126" fillId="2127" borderId="2071" xfId="0" applyFont="1" applyFill="1" applyBorder="1" applyAlignment="1">
      <alignment horizontal="center" vertical="center"/>
    </xf>
    <xf numFmtId="0" fontId="2127" fillId="2128" borderId="2072" xfId="0" applyFont="1" applyFill="1" applyBorder="1" applyAlignment="1">
      <alignment horizontal="center" vertical="center"/>
    </xf>
    <xf numFmtId="0" fontId="2128" fillId="2129" borderId="2073" xfId="0" applyFont="1" applyFill="1" applyBorder="1" applyAlignment="1">
      <alignment horizontal="center" vertical="center"/>
    </xf>
    <xf numFmtId="0" fontId="2129" fillId="2130" borderId="2074" xfId="0" applyFont="1" applyFill="1" applyBorder="1" applyAlignment="1">
      <alignment horizontal="center" vertical="center"/>
    </xf>
    <xf numFmtId="0" fontId="2130" fillId="2131" borderId="2075" xfId="0" applyFont="1" applyFill="1" applyBorder="1" applyAlignment="1">
      <alignment horizontal="center" vertical="center"/>
    </xf>
    <xf numFmtId="0" fontId="2131" fillId="2132" borderId="2076" xfId="0" applyFont="1" applyFill="1" applyBorder="1" applyAlignment="1">
      <alignment horizontal="center" vertical="center"/>
    </xf>
    <xf numFmtId="0" fontId="2132" fillId="2133" borderId="2077" xfId="0" applyFont="1" applyFill="1" applyBorder="1" applyAlignment="1">
      <alignment horizontal="center" vertical="center"/>
    </xf>
    <xf numFmtId="0" fontId="2133" fillId="2134" borderId="2078" xfId="0" applyFont="1" applyFill="1" applyBorder="1" applyAlignment="1">
      <alignment horizontal="center" vertical="center"/>
    </xf>
    <xf numFmtId="0" fontId="2134" fillId="2135" borderId="2079" xfId="0" applyFont="1" applyFill="1" applyBorder="1" applyAlignment="1">
      <alignment horizontal="center" vertical="center"/>
    </xf>
    <xf numFmtId="0" fontId="2135" fillId="2136" borderId="2080" xfId="0" applyFont="1" applyFill="1" applyBorder="1" applyAlignment="1">
      <alignment horizontal="center" vertical="center"/>
    </xf>
    <xf numFmtId="0" fontId="2136" fillId="2137" borderId="2081" xfId="0" applyFont="1" applyFill="1" applyBorder="1" applyAlignment="1">
      <alignment horizontal="center" vertical="center"/>
    </xf>
    <xf numFmtId="0" fontId="2137" fillId="2138" borderId="2082" xfId="0" applyFont="1" applyFill="1" applyBorder="1" applyAlignment="1">
      <alignment horizontal="center" vertical="center"/>
    </xf>
    <xf numFmtId="0" fontId="2138" fillId="2139" borderId="2083" xfId="0" applyFont="1" applyFill="1" applyBorder="1" applyAlignment="1">
      <alignment horizontal="center" vertical="center"/>
    </xf>
    <xf numFmtId="0" fontId="2139" fillId="2140" borderId="2084" xfId="0" applyFont="1" applyFill="1" applyBorder="1" applyAlignment="1">
      <alignment horizontal="center" vertical="center"/>
    </xf>
    <xf numFmtId="0" fontId="2141" fillId="2142" borderId="2087" xfId="0" applyFont="1" applyFill="1" applyBorder="1"/>
    <xf numFmtId="0" fontId="2142" fillId="2143" borderId="2088" xfId="0" applyFont="1" applyFill="1" applyBorder="1" applyAlignment="1">
      <alignment horizontal="center" vertical="center"/>
    </xf>
    <xf numFmtId="0" fontId="2143" fillId="2144" borderId="2089" xfId="0" applyFont="1" applyFill="1" applyBorder="1" applyAlignment="1">
      <alignment horizontal="left" vertical="center"/>
    </xf>
    <xf numFmtId="3" fontId="2144" fillId="2145" borderId="2090" xfId="0" applyNumberFormat="1" applyFont="1" applyFill="1" applyBorder="1" applyAlignment="1">
      <alignment horizontal="right" vertical="center"/>
    </xf>
    <xf numFmtId="3" fontId="2145" fillId="2146" borderId="2091" xfId="0" applyNumberFormat="1" applyFont="1" applyFill="1" applyBorder="1" applyAlignment="1">
      <alignment horizontal="right" vertical="center"/>
    </xf>
    <xf numFmtId="164" fontId="2146" fillId="2147" borderId="2092" xfId="0" applyNumberFormat="1" applyFont="1" applyFill="1" applyBorder="1" applyAlignment="1">
      <alignment horizontal="right" vertical="center"/>
    </xf>
    <xf numFmtId="164" fontId="2147" fillId="2148" borderId="2093" xfId="0" applyNumberFormat="1" applyFont="1" applyFill="1" applyBorder="1" applyAlignment="1">
      <alignment horizontal="right" vertical="center"/>
    </xf>
    <xf numFmtId="3" fontId="2148" fillId="2149" borderId="2094" xfId="0" applyNumberFormat="1" applyFont="1" applyFill="1" applyBorder="1" applyAlignment="1">
      <alignment horizontal="right" vertical="center"/>
    </xf>
    <xf numFmtId="2" fontId="2149" fillId="2150" borderId="2095" xfId="0" applyNumberFormat="1" applyFont="1" applyFill="1" applyBorder="1" applyAlignment="1">
      <alignment horizontal="right" vertical="center"/>
    </xf>
    <xf numFmtId="2" fontId="2150" fillId="2151" borderId="2096" xfId="0" applyNumberFormat="1" applyFont="1" applyFill="1" applyBorder="1" applyAlignment="1">
      <alignment horizontal="right" vertical="center"/>
    </xf>
    <xf numFmtId="0" fontId="2151" fillId="2152" borderId="2097" xfId="0" applyFont="1" applyFill="1" applyBorder="1" applyAlignment="1">
      <alignment horizontal="center" vertical="center"/>
    </xf>
    <xf numFmtId="0" fontId="2152" fillId="2153" borderId="2098" xfId="0" applyFont="1" applyFill="1" applyBorder="1"/>
    <xf numFmtId="0" fontId="2153" fillId="2154" borderId="2099" xfId="0" applyFont="1" applyFill="1" applyBorder="1" applyAlignment="1">
      <alignment horizontal="center" vertical="center"/>
    </xf>
    <xf numFmtId="0" fontId="2154" fillId="2155" borderId="2100" xfId="0" applyFont="1" applyFill="1" applyBorder="1" applyAlignment="1">
      <alignment horizontal="left" vertical="center"/>
    </xf>
    <xf numFmtId="3" fontId="2155" fillId="2156" borderId="2101" xfId="0" applyNumberFormat="1" applyFont="1" applyFill="1" applyBorder="1" applyAlignment="1">
      <alignment horizontal="right" vertical="center"/>
    </xf>
    <xf numFmtId="3" fontId="2156" fillId="2157" borderId="2102" xfId="0" applyNumberFormat="1" applyFont="1" applyFill="1" applyBorder="1" applyAlignment="1">
      <alignment horizontal="right" vertical="center"/>
    </xf>
    <xf numFmtId="164" fontId="2157" fillId="2158" borderId="2103" xfId="0" applyNumberFormat="1" applyFont="1" applyFill="1" applyBorder="1" applyAlignment="1">
      <alignment horizontal="right" vertical="center"/>
    </xf>
    <xf numFmtId="164" fontId="2158" fillId="2159" borderId="2104" xfId="0" applyNumberFormat="1" applyFont="1" applyFill="1" applyBorder="1" applyAlignment="1">
      <alignment horizontal="right" vertical="center"/>
    </xf>
    <xf numFmtId="3" fontId="2159" fillId="2160" borderId="2105" xfId="0" applyNumberFormat="1" applyFont="1" applyFill="1" applyBorder="1" applyAlignment="1">
      <alignment horizontal="right" vertical="center"/>
    </xf>
    <xf numFmtId="2" fontId="2160" fillId="2161" borderId="2106" xfId="0" applyNumberFormat="1" applyFont="1" applyFill="1" applyBorder="1" applyAlignment="1">
      <alignment horizontal="right" vertical="center"/>
    </xf>
    <xf numFmtId="2" fontId="2161" fillId="2162" borderId="2107" xfId="0" applyNumberFormat="1" applyFont="1" applyFill="1" applyBorder="1" applyAlignment="1">
      <alignment horizontal="right" vertical="center"/>
    </xf>
    <xf numFmtId="0" fontId="2162" fillId="2163" borderId="2108" xfId="0" applyFont="1" applyFill="1" applyBorder="1" applyAlignment="1">
      <alignment horizontal="center" vertical="center"/>
    </xf>
    <xf numFmtId="0" fontId="2163" fillId="2164" borderId="2109" xfId="0" applyFont="1" applyFill="1" applyBorder="1"/>
    <xf numFmtId="0" fontId="2164" fillId="2165" borderId="2110" xfId="0" applyFont="1" applyFill="1" applyBorder="1" applyAlignment="1">
      <alignment horizontal="center" vertical="center"/>
    </xf>
    <xf numFmtId="0" fontId="2165" fillId="2166" borderId="2111" xfId="0" applyFont="1" applyFill="1" applyBorder="1" applyAlignment="1">
      <alignment horizontal="left" vertical="center"/>
    </xf>
    <xf numFmtId="3" fontId="2166" fillId="2167" borderId="2112" xfId="0" applyNumberFormat="1" applyFont="1" applyFill="1" applyBorder="1" applyAlignment="1">
      <alignment horizontal="right" vertical="center"/>
    </xf>
    <xf numFmtId="3" fontId="2167" fillId="2168" borderId="2113" xfId="0" applyNumberFormat="1" applyFont="1" applyFill="1" applyBorder="1" applyAlignment="1">
      <alignment horizontal="right" vertical="center"/>
    </xf>
    <xf numFmtId="164" fontId="2168" fillId="2169" borderId="2114" xfId="0" applyNumberFormat="1" applyFont="1" applyFill="1" applyBorder="1" applyAlignment="1">
      <alignment horizontal="right" vertical="center"/>
    </xf>
    <xf numFmtId="164" fontId="2169" fillId="2170" borderId="2115" xfId="0" applyNumberFormat="1" applyFont="1" applyFill="1" applyBorder="1" applyAlignment="1">
      <alignment horizontal="right" vertical="center"/>
    </xf>
    <xf numFmtId="3" fontId="2170" fillId="2171" borderId="2116" xfId="0" applyNumberFormat="1" applyFont="1" applyFill="1" applyBorder="1" applyAlignment="1">
      <alignment horizontal="right" vertical="center"/>
    </xf>
    <xf numFmtId="2" fontId="2171" fillId="2172" borderId="2117" xfId="0" applyNumberFormat="1" applyFont="1" applyFill="1" applyBorder="1" applyAlignment="1">
      <alignment horizontal="right" vertical="center"/>
    </xf>
    <xf numFmtId="2" fontId="2172" fillId="2173" borderId="2118" xfId="0" applyNumberFormat="1" applyFont="1" applyFill="1" applyBorder="1" applyAlignment="1">
      <alignment horizontal="right" vertical="center"/>
    </xf>
    <xf numFmtId="0" fontId="2173" fillId="2174" borderId="2119" xfId="0" applyFont="1" applyFill="1" applyBorder="1" applyAlignment="1">
      <alignment horizontal="center" vertical="center"/>
    </xf>
    <xf numFmtId="0" fontId="2174" fillId="2175" borderId="2120" xfId="0" applyFont="1" applyFill="1" applyBorder="1"/>
    <xf numFmtId="0" fontId="2175" fillId="2176" borderId="2121" xfId="0" applyFont="1" applyFill="1" applyBorder="1" applyAlignment="1">
      <alignment horizontal="center" vertical="center"/>
    </xf>
    <xf numFmtId="0" fontId="2176" fillId="2177" borderId="2122" xfId="0" applyFont="1" applyFill="1" applyBorder="1" applyAlignment="1">
      <alignment horizontal="left" vertical="center"/>
    </xf>
    <xf numFmtId="3" fontId="2177" fillId="2178" borderId="2123" xfId="0" applyNumberFormat="1" applyFont="1" applyFill="1" applyBorder="1" applyAlignment="1">
      <alignment horizontal="right" vertical="center"/>
    </xf>
    <xf numFmtId="3" fontId="2178" fillId="2179" borderId="2124" xfId="0" applyNumberFormat="1" applyFont="1" applyFill="1" applyBorder="1" applyAlignment="1">
      <alignment horizontal="right" vertical="center"/>
    </xf>
    <xf numFmtId="164" fontId="2179" fillId="2180" borderId="2125" xfId="0" applyNumberFormat="1" applyFont="1" applyFill="1" applyBorder="1" applyAlignment="1">
      <alignment horizontal="right" vertical="center"/>
    </xf>
    <xf numFmtId="164" fontId="2180" fillId="2181" borderId="2126" xfId="0" applyNumberFormat="1" applyFont="1" applyFill="1" applyBorder="1" applyAlignment="1">
      <alignment horizontal="right" vertical="center"/>
    </xf>
    <xf numFmtId="3" fontId="2181" fillId="2182" borderId="2127" xfId="0" applyNumberFormat="1" applyFont="1" applyFill="1" applyBorder="1" applyAlignment="1">
      <alignment horizontal="right" vertical="center"/>
    </xf>
    <xf numFmtId="2" fontId="2182" fillId="2183" borderId="2128" xfId="0" applyNumberFormat="1" applyFont="1" applyFill="1" applyBorder="1" applyAlignment="1">
      <alignment horizontal="right" vertical="center"/>
    </xf>
    <xf numFmtId="2" fontId="2183" fillId="2184" borderId="2129" xfId="0" applyNumberFormat="1" applyFont="1" applyFill="1" applyBorder="1" applyAlignment="1">
      <alignment horizontal="right" vertical="center"/>
    </xf>
    <xf numFmtId="0" fontId="2184" fillId="2185" borderId="2130" xfId="0" applyFont="1" applyFill="1" applyBorder="1" applyAlignment="1">
      <alignment horizontal="center" vertical="center"/>
    </xf>
    <xf numFmtId="0" fontId="2185" fillId="2186" borderId="2131" xfId="0" applyFont="1" applyFill="1" applyBorder="1"/>
    <xf numFmtId="0" fontId="2186" fillId="2187" borderId="2132" xfId="0" applyFont="1" applyFill="1" applyBorder="1" applyAlignment="1">
      <alignment horizontal="center" vertical="center"/>
    </xf>
    <xf numFmtId="0" fontId="2187" fillId="2188" borderId="2133" xfId="0" applyFont="1" applyFill="1" applyBorder="1" applyAlignment="1">
      <alignment horizontal="left" vertical="center"/>
    </xf>
    <xf numFmtId="3" fontId="2188" fillId="2189" borderId="2134" xfId="0" applyNumberFormat="1" applyFont="1" applyFill="1" applyBorder="1" applyAlignment="1">
      <alignment horizontal="right" vertical="center"/>
    </xf>
    <xf numFmtId="3" fontId="2189" fillId="2190" borderId="2135" xfId="0" applyNumberFormat="1" applyFont="1" applyFill="1" applyBorder="1" applyAlignment="1">
      <alignment horizontal="right" vertical="center"/>
    </xf>
    <xf numFmtId="164" fontId="2190" fillId="2191" borderId="2136" xfId="0" applyNumberFormat="1" applyFont="1" applyFill="1" applyBorder="1" applyAlignment="1">
      <alignment horizontal="right" vertical="center"/>
    </xf>
    <xf numFmtId="164" fontId="2191" fillId="2192" borderId="2137" xfId="0" applyNumberFormat="1" applyFont="1" applyFill="1" applyBorder="1" applyAlignment="1">
      <alignment horizontal="right" vertical="center"/>
    </xf>
    <xf numFmtId="3" fontId="2192" fillId="2193" borderId="2138" xfId="0" applyNumberFormat="1" applyFont="1" applyFill="1" applyBorder="1" applyAlignment="1">
      <alignment horizontal="right" vertical="center"/>
    </xf>
    <xf numFmtId="2" fontId="2193" fillId="2194" borderId="2139" xfId="0" applyNumberFormat="1" applyFont="1" applyFill="1" applyBorder="1" applyAlignment="1">
      <alignment horizontal="right" vertical="center"/>
    </xf>
    <xf numFmtId="2" fontId="2194" fillId="2195" borderId="2140" xfId="0" applyNumberFormat="1" applyFont="1" applyFill="1" applyBorder="1" applyAlignment="1">
      <alignment horizontal="right" vertical="center"/>
    </xf>
    <xf numFmtId="0" fontId="2195" fillId="2196" borderId="2141" xfId="0" applyFont="1" applyFill="1" applyBorder="1" applyAlignment="1">
      <alignment horizontal="center" vertical="center"/>
    </xf>
    <xf numFmtId="0" fontId="2196" fillId="2197" borderId="2142" xfId="0" applyFont="1" applyFill="1" applyBorder="1"/>
    <xf numFmtId="0" fontId="2197" fillId="2198" borderId="2143" xfId="0" applyFont="1" applyFill="1" applyBorder="1" applyAlignment="1">
      <alignment horizontal="center" vertical="center"/>
    </xf>
    <xf numFmtId="0" fontId="2198" fillId="2199" borderId="2144" xfId="0" applyFont="1" applyFill="1" applyBorder="1" applyAlignment="1">
      <alignment horizontal="left" vertical="center"/>
    </xf>
    <xf numFmtId="3" fontId="2199" fillId="2200" borderId="2145" xfId="0" applyNumberFormat="1" applyFont="1" applyFill="1" applyBorder="1" applyAlignment="1">
      <alignment horizontal="right" vertical="center"/>
    </xf>
    <xf numFmtId="3" fontId="2200" fillId="2201" borderId="2146" xfId="0" applyNumberFormat="1" applyFont="1" applyFill="1" applyBorder="1" applyAlignment="1">
      <alignment horizontal="right" vertical="center"/>
    </xf>
    <xf numFmtId="164" fontId="2201" fillId="2202" borderId="2147" xfId="0" applyNumberFormat="1" applyFont="1" applyFill="1" applyBorder="1" applyAlignment="1">
      <alignment horizontal="right" vertical="center"/>
    </xf>
    <xf numFmtId="164" fontId="2202" fillId="2203" borderId="2148" xfId="0" applyNumberFormat="1" applyFont="1" applyFill="1" applyBorder="1" applyAlignment="1">
      <alignment horizontal="right" vertical="center"/>
    </xf>
    <xf numFmtId="3" fontId="2203" fillId="2204" borderId="2149" xfId="0" applyNumberFormat="1" applyFont="1" applyFill="1" applyBorder="1" applyAlignment="1">
      <alignment horizontal="right" vertical="center"/>
    </xf>
    <xf numFmtId="2" fontId="2204" fillId="2205" borderId="2150" xfId="0" applyNumberFormat="1" applyFont="1" applyFill="1" applyBorder="1" applyAlignment="1">
      <alignment horizontal="right" vertical="center"/>
    </xf>
    <xf numFmtId="2" fontId="2205" fillId="2206" borderId="2151" xfId="0" applyNumberFormat="1" applyFont="1" applyFill="1" applyBorder="1" applyAlignment="1">
      <alignment horizontal="right" vertical="center"/>
    </xf>
    <xf numFmtId="0" fontId="2206" fillId="2207" borderId="2152" xfId="0" applyFont="1" applyFill="1" applyBorder="1" applyAlignment="1">
      <alignment horizontal="center" vertical="center"/>
    </xf>
    <xf numFmtId="0" fontId="2207" fillId="2208" borderId="2153" xfId="0" applyFont="1" applyFill="1" applyBorder="1"/>
    <xf numFmtId="0" fontId="2208" fillId="2209" borderId="2154" xfId="0" applyFont="1" applyFill="1" applyBorder="1" applyAlignment="1">
      <alignment horizontal="center" vertical="center"/>
    </xf>
    <xf numFmtId="0" fontId="2209" fillId="2210" borderId="2155" xfId="0" applyFont="1" applyFill="1" applyBorder="1" applyAlignment="1">
      <alignment horizontal="left" vertical="center"/>
    </xf>
    <xf numFmtId="3" fontId="2210" fillId="2211" borderId="2156" xfId="0" applyNumberFormat="1" applyFont="1" applyFill="1" applyBorder="1" applyAlignment="1">
      <alignment horizontal="right" vertical="center"/>
    </xf>
    <xf numFmtId="3" fontId="2211" fillId="2212" borderId="2157" xfId="0" applyNumberFormat="1" applyFont="1" applyFill="1" applyBorder="1" applyAlignment="1">
      <alignment horizontal="right" vertical="center"/>
    </xf>
    <xf numFmtId="164" fontId="2212" fillId="2213" borderId="2158" xfId="0" applyNumberFormat="1" applyFont="1" applyFill="1" applyBorder="1" applyAlignment="1">
      <alignment horizontal="right" vertical="center"/>
    </xf>
    <xf numFmtId="164" fontId="2213" fillId="2214" borderId="2159" xfId="0" applyNumberFormat="1" applyFont="1" applyFill="1" applyBorder="1" applyAlignment="1">
      <alignment horizontal="right" vertical="center"/>
    </xf>
    <xf numFmtId="3" fontId="2214" fillId="2215" borderId="2160" xfId="0" applyNumberFormat="1" applyFont="1" applyFill="1" applyBorder="1" applyAlignment="1">
      <alignment horizontal="right" vertical="center"/>
    </xf>
    <xf numFmtId="2" fontId="2215" fillId="2216" borderId="2161" xfId="0" applyNumberFormat="1" applyFont="1" applyFill="1" applyBorder="1" applyAlignment="1">
      <alignment horizontal="right" vertical="center"/>
    </xf>
    <xf numFmtId="2" fontId="2216" fillId="2217" borderId="2162" xfId="0" applyNumberFormat="1" applyFont="1" applyFill="1" applyBorder="1" applyAlignment="1">
      <alignment horizontal="right" vertical="center"/>
    </xf>
    <xf numFmtId="0" fontId="2217" fillId="2218" borderId="2163" xfId="0" applyFont="1" applyFill="1" applyBorder="1" applyAlignment="1">
      <alignment horizontal="center" vertical="center"/>
    </xf>
    <xf numFmtId="0" fontId="2218" fillId="2219" borderId="2164" xfId="0" applyFont="1" applyFill="1" applyBorder="1"/>
    <xf numFmtId="0" fontId="2219" fillId="2220" borderId="2165" xfId="0" applyFont="1" applyFill="1" applyBorder="1" applyAlignment="1">
      <alignment horizontal="center" vertical="center"/>
    </xf>
    <xf numFmtId="0" fontId="2220" fillId="2221" borderId="2166" xfId="0" applyFont="1" applyFill="1" applyBorder="1" applyAlignment="1">
      <alignment horizontal="left" vertical="center"/>
    </xf>
    <xf numFmtId="3" fontId="2221" fillId="2222" borderId="2167" xfId="0" applyNumberFormat="1" applyFont="1" applyFill="1" applyBorder="1" applyAlignment="1">
      <alignment horizontal="right" vertical="center"/>
    </xf>
    <xf numFmtId="3" fontId="2222" fillId="2223" borderId="2168" xfId="0" applyNumberFormat="1" applyFont="1" applyFill="1" applyBorder="1" applyAlignment="1">
      <alignment horizontal="right" vertical="center"/>
    </xf>
    <xf numFmtId="164" fontId="2223" fillId="2224" borderId="2169" xfId="0" applyNumberFormat="1" applyFont="1" applyFill="1" applyBorder="1" applyAlignment="1">
      <alignment horizontal="right" vertical="center"/>
    </xf>
    <xf numFmtId="164" fontId="2224" fillId="2225" borderId="2170" xfId="0" applyNumberFormat="1" applyFont="1" applyFill="1" applyBorder="1" applyAlignment="1">
      <alignment horizontal="right" vertical="center"/>
    </xf>
    <xf numFmtId="3" fontId="2225" fillId="2226" borderId="2171" xfId="0" applyNumberFormat="1" applyFont="1" applyFill="1" applyBorder="1" applyAlignment="1">
      <alignment horizontal="right" vertical="center"/>
    </xf>
    <xf numFmtId="2" fontId="2226" fillId="2227" borderId="2172" xfId="0" applyNumberFormat="1" applyFont="1" applyFill="1" applyBorder="1" applyAlignment="1">
      <alignment horizontal="right" vertical="center"/>
    </xf>
    <xf numFmtId="2" fontId="2227" fillId="2228" borderId="2173" xfId="0" applyNumberFormat="1" applyFont="1" applyFill="1" applyBorder="1" applyAlignment="1">
      <alignment horizontal="right" vertical="center"/>
    </xf>
    <xf numFmtId="0" fontId="2228" fillId="2229" borderId="2174" xfId="0" applyFont="1" applyFill="1" applyBorder="1" applyAlignment="1">
      <alignment horizontal="center" vertical="center"/>
    </xf>
    <xf numFmtId="0" fontId="2229" fillId="2230" borderId="2175" xfId="0" applyFont="1" applyFill="1" applyBorder="1"/>
    <xf numFmtId="0" fontId="2230" fillId="2231" borderId="2176" xfId="0" applyFont="1" applyFill="1" applyBorder="1" applyAlignment="1">
      <alignment horizontal="center" vertical="center"/>
    </xf>
    <xf numFmtId="0" fontId="2231" fillId="2232" borderId="2177" xfId="0" applyFont="1" applyFill="1" applyBorder="1" applyAlignment="1">
      <alignment horizontal="left" vertical="center"/>
    </xf>
    <xf numFmtId="3" fontId="2232" fillId="2233" borderId="2178" xfId="0" applyNumberFormat="1" applyFont="1" applyFill="1" applyBorder="1" applyAlignment="1">
      <alignment horizontal="right" vertical="center"/>
    </xf>
    <xf numFmtId="3" fontId="2233" fillId="2234" borderId="2179" xfId="0" applyNumberFormat="1" applyFont="1" applyFill="1" applyBorder="1" applyAlignment="1">
      <alignment horizontal="right" vertical="center"/>
    </xf>
    <xf numFmtId="164" fontId="2234" fillId="2235" borderId="2180" xfId="0" applyNumberFormat="1" applyFont="1" applyFill="1" applyBorder="1" applyAlignment="1">
      <alignment horizontal="right" vertical="center"/>
    </xf>
    <xf numFmtId="164" fontId="2235" fillId="2236" borderId="2181" xfId="0" applyNumberFormat="1" applyFont="1" applyFill="1" applyBorder="1" applyAlignment="1">
      <alignment horizontal="right" vertical="center"/>
    </xf>
    <xf numFmtId="3" fontId="2236" fillId="2237" borderId="2182" xfId="0" applyNumberFormat="1" applyFont="1" applyFill="1" applyBorder="1" applyAlignment="1">
      <alignment horizontal="right" vertical="center"/>
    </xf>
    <xf numFmtId="2" fontId="2237" fillId="2238" borderId="2183" xfId="0" applyNumberFormat="1" applyFont="1" applyFill="1" applyBorder="1" applyAlignment="1">
      <alignment horizontal="right" vertical="center"/>
    </xf>
    <xf numFmtId="2" fontId="2238" fillId="2239" borderId="2184" xfId="0" applyNumberFormat="1" applyFont="1" applyFill="1" applyBorder="1" applyAlignment="1">
      <alignment horizontal="right" vertical="center"/>
    </xf>
    <xf numFmtId="0" fontId="2239" fillId="2240" borderId="2185" xfId="0" applyFont="1" applyFill="1" applyBorder="1" applyAlignment="1">
      <alignment horizontal="center" vertical="center"/>
    </xf>
    <xf numFmtId="0" fontId="2240" fillId="2241" borderId="2186" xfId="0" applyFont="1" applyFill="1" applyBorder="1"/>
    <xf numFmtId="0" fontId="2241" fillId="2242" borderId="2187" xfId="0" applyFont="1" applyFill="1" applyBorder="1" applyAlignment="1">
      <alignment horizontal="center" vertical="center"/>
    </xf>
    <xf numFmtId="0" fontId="2242" fillId="2243" borderId="2188" xfId="0" applyFont="1" applyFill="1" applyBorder="1" applyAlignment="1">
      <alignment horizontal="left" vertical="center"/>
    </xf>
    <xf numFmtId="3" fontId="2243" fillId="2244" borderId="2189" xfId="0" applyNumberFormat="1" applyFont="1" applyFill="1" applyBorder="1" applyAlignment="1">
      <alignment horizontal="right" vertical="center"/>
    </xf>
    <xf numFmtId="3" fontId="2244" fillId="2245" borderId="2190" xfId="0" applyNumberFormat="1" applyFont="1" applyFill="1" applyBorder="1" applyAlignment="1">
      <alignment horizontal="right" vertical="center"/>
    </xf>
    <xf numFmtId="164" fontId="2245" fillId="2246" borderId="2191" xfId="0" applyNumberFormat="1" applyFont="1" applyFill="1" applyBorder="1" applyAlignment="1">
      <alignment horizontal="right" vertical="center"/>
    </xf>
    <xf numFmtId="164" fontId="2246" fillId="2247" borderId="2192" xfId="0" applyNumberFormat="1" applyFont="1" applyFill="1" applyBorder="1" applyAlignment="1">
      <alignment horizontal="right" vertical="center"/>
    </xf>
    <xf numFmtId="3" fontId="2247" fillId="2248" borderId="2193" xfId="0" applyNumberFormat="1" applyFont="1" applyFill="1" applyBorder="1" applyAlignment="1">
      <alignment horizontal="right" vertical="center"/>
    </xf>
    <xf numFmtId="2" fontId="2248" fillId="2249" borderId="2194" xfId="0" applyNumberFormat="1" applyFont="1" applyFill="1" applyBorder="1" applyAlignment="1">
      <alignment horizontal="right" vertical="center"/>
    </xf>
    <xf numFmtId="2" fontId="2249" fillId="2250" borderId="2195" xfId="0" applyNumberFormat="1" applyFont="1" applyFill="1" applyBorder="1" applyAlignment="1">
      <alignment horizontal="right" vertical="center"/>
    </xf>
    <xf numFmtId="0" fontId="2250" fillId="2251" borderId="2196" xfId="0" applyFont="1" applyFill="1" applyBorder="1" applyAlignment="1">
      <alignment horizontal="center" vertical="center"/>
    </xf>
    <xf numFmtId="0" fontId="2251" fillId="2252" borderId="2197" xfId="0" applyFont="1" applyFill="1" applyBorder="1"/>
    <xf numFmtId="0" fontId="2252" fillId="2253" borderId="2198" xfId="0" applyFont="1" applyFill="1" applyBorder="1" applyAlignment="1">
      <alignment horizontal="center" vertical="center"/>
    </xf>
    <xf numFmtId="0" fontId="2253" fillId="2254" borderId="2199" xfId="0" applyFont="1" applyFill="1" applyBorder="1" applyAlignment="1">
      <alignment horizontal="left" vertical="center"/>
    </xf>
    <xf numFmtId="3" fontId="2254" fillId="2255" borderId="2200" xfId="0" applyNumberFormat="1" applyFont="1" applyFill="1" applyBorder="1" applyAlignment="1">
      <alignment horizontal="right" vertical="center"/>
    </xf>
    <xf numFmtId="3" fontId="2255" fillId="2256" borderId="2201" xfId="0" applyNumberFormat="1" applyFont="1" applyFill="1" applyBorder="1" applyAlignment="1">
      <alignment horizontal="right" vertical="center"/>
    </xf>
    <xf numFmtId="164" fontId="2256" fillId="2257" borderId="2202" xfId="0" applyNumberFormat="1" applyFont="1" applyFill="1" applyBorder="1" applyAlignment="1">
      <alignment horizontal="right" vertical="center"/>
    </xf>
    <xf numFmtId="164" fontId="2257" fillId="2258" borderId="2203" xfId="0" applyNumberFormat="1" applyFont="1" applyFill="1" applyBorder="1" applyAlignment="1">
      <alignment horizontal="right" vertical="center"/>
    </xf>
    <xf numFmtId="3" fontId="2258" fillId="2259" borderId="2204" xfId="0" applyNumberFormat="1" applyFont="1" applyFill="1" applyBorder="1" applyAlignment="1">
      <alignment horizontal="right" vertical="center"/>
    </xf>
    <xf numFmtId="2" fontId="2259" fillId="2260" borderId="2205" xfId="0" applyNumberFormat="1" applyFont="1" applyFill="1" applyBorder="1" applyAlignment="1">
      <alignment horizontal="right" vertical="center"/>
    </xf>
    <xf numFmtId="2" fontId="2260" fillId="2261" borderId="2206" xfId="0" applyNumberFormat="1" applyFont="1" applyFill="1" applyBorder="1" applyAlignment="1">
      <alignment horizontal="right" vertical="center"/>
    </xf>
    <xf numFmtId="0" fontId="2261" fillId="2262" borderId="2207" xfId="0" applyFont="1" applyFill="1" applyBorder="1" applyAlignment="1">
      <alignment horizontal="center" vertical="center"/>
    </xf>
    <xf numFmtId="0" fontId="2262" fillId="2263" borderId="2208" xfId="0" applyFont="1" applyFill="1" applyBorder="1"/>
    <xf numFmtId="0" fontId="2263" fillId="2264" borderId="2209" xfId="0" applyFont="1" applyFill="1" applyBorder="1" applyAlignment="1">
      <alignment horizontal="center" vertical="center"/>
    </xf>
    <xf numFmtId="0" fontId="2264" fillId="2265" borderId="2210" xfId="0" applyFont="1" applyFill="1" applyBorder="1" applyAlignment="1">
      <alignment horizontal="left" vertical="center"/>
    </xf>
    <xf numFmtId="3" fontId="2265" fillId="2266" borderId="2211" xfId="0" applyNumberFormat="1" applyFont="1" applyFill="1" applyBorder="1" applyAlignment="1">
      <alignment horizontal="right" vertical="center"/>
    </xf>
    <xf numFmtId="3" fontId="2266" fillId="2267" borderId="2212" xfId="0" applyNumberFormat="1" applyFont="1" applyFill="1" applyBorder="1" applyAlignment="1">
      <alignment horizontal="right" vertical="center"/>
    </xf>
    <xf numFmtId="164" fontId="2267" fillId="2268" borderId="2213" xfId="0" applyNumberFormat="1" applyFont="1" applyFill="1" applyBorder="1" applyAlignment="1">
      <alignment horizontal="right" vertical="center"/>
    </xf>
    <xf numFmtId="164" fontId="2268" fillId="2269" borderId="2214" xfId="0" applyNumberFormat="1" applyFont="1" applyFill="1" applyBorder="1" applyAlignment="1">
      <alignment horizontal="right" vertical="center"/>
    </xf>
    <xf numFmtId="3" fontId="2269" fillId="2270" borderId="2215" xfId="0" applyNumberFormat="1" applyFont="1" applyFill="1" applyBorder="1" applyAlignment="1">
      <alignment horizontal="right" vertical="center"/>
    </xf>
    <xf numFmtId="2" fontId="2270" fillId="2271" borderId="2216" xfId="0" applyNumberFormat="1" applyFont="1" applyFill="1" applyBorder="1" applyAlignment="1">
      <alignment horizontal="right" vertical="center"/>
    </xf>
    <xf numFmtId="2" fontId="2271" fillId="2272" borderId="2217" xfId="0" applyNumberFormat="1" applyFont="1" applyFill="1" applyBorder="1" applyAlignment="1">
      <alignment horizontal="right" vertical="center"/>
    </xf>
    <xf numFmtId="0" fontId="2272" fillId="2273" borderId="2218" xfId="0" applyFont="1" applyFill="1" applyBorder="1" applyAlignment="1">
      <alignment horizontal="center" vertical="center"/>
    </xf>
    <xf numFmtId="0" fontId="2273" fillId="2274" borderId="2219" xfId="0" applyFont="1" applyFill="1" applyBorder="1"/>
    <xf numFmtId="0" fontId="2274" fillId="2275" borderId="2220" xfId="0" applyFont="1" applyFill="1" applyBorder="1" applyAlignment="1">
      <alignment horizontal="center" vertical="center"/>
    </xf>
    <xf numFmtId="0" fontId="2275" fillId="2276" borderId="2221" xfId="0" applyFont="1" applyFill="1" applyBorder="1" applyAlignment="1">
      <alignment horizontal="left" vertical="center"/>
    </xf>
    <xf numFmtId="3" fontId="2276" fillId="2277" borderId="2222" xfId="0" applyNumberFormat="1" applyFont="1" applyFill="1" applyBorder="1" applyAlignment="1">
      <alignment horizontal="right" vertical="center"/>
    </xf>
    <xf numFmtId="3" fontId="2277" fillId="2278" borderId="2223" xfId="0" applyNumberFormat="1" applyFont="1" applyFill="1" applyBorder="1" applyAlignment="1">
      <alignment horizontal="right" vertical="center"/>
    </xf>
    <xf numFmtId="164" fontId="2278" fillId="2279" borderId="2224" xfId="0" applyNumberFormat="1" applyFont="1" applyFill="1" applyBorder="1" applyAlignment="1">
      <alignment horizontal="right" vertical="center"/>
    </xf>
    <xf numFmtId="164" fontId="2279" fillId="2280" borderId="2225" xfId="0" applyNumberFormat="1" applyFont="1" applyFill="1" applyBorder="1" applyAlignment="1">
      <alignment horizontal="right" vertical="center"/>
    </xf>
    <xf numFmtId="3" fontId="2280" fillId="2281" borderId="2226" xfId="0" applyNumberFormat="1" applyFont="1" applyFill="1" applyBorder="1" applyAlignment="1">
      <alignment horizontal="right" vertical="center"/>
    </xf>
    <xf numFmtId="2" fontId="2281" fillId="2282" borderId="2227" xfId="0" applyNumberFormat="1" applyFont="1" applyFill="1" applyBorder="1" applyAlignment="1">
      <alignment horizontal="right" vertical="center"/>
    </xf>
    <xf numFmtId="2" fontId="2282" fillId="2283" borderId="2228" xfId="0" applyNumberFormat="1" applyFont="1" applyFill="1" applyBorder="1" applyAlignment="1">
      <alignment horizontal="right" vertical="center"/>
    </xf>
    <xf numFmtId="0" fontId="2283" fillId="2284" borderId="2229" xfId="0" applyFont="1" applyFill="1" applyBorder="1" applyAlignment="1">
      <alignment horizontal="center" vertical="center"/>
    </xf>
    <xf numFmtId="0" fontId="2284" fillId="2285" borderId="2230" xfId="0" applyFont="1" applyFill="1" applyBorder="1"/>
    <xf numFmtId="0" fontId="2285" fillId="2286" borderId="2231" xfId="0" applyFont="1" applyFill="1" applyBorder="1" applyAlignment="1">
      <alignment horizontal="center" vertical="center"/>
    </xf>
    <xf numFmtId="0" fontId="2286" fillId="2287" borderId="2232" xfId="0" applyFont="1" applyFill="1" applyBorder="1" applyAlignment="1">
      <alignment horizontal="left" vertical="center"/>
    </xf>
    <xf numFmtId="3" fontId="2287" fillId="2288" borderId="2233" xfId="0" applyNumberFormat="1" applyFont="1" applyFill="1" applyBorder="1" applyAlignment="1">
      <alignment horizontal="right" vertical="center"/>
    </xf>
    <xf numFmtId="3" fontId="2288" fillId="2289" borderId="2234" xfId="0" applyNumberFormat="1" applyFont="1" applyFill="1" applyBorder="1" applyAlignment="1">
      <alignment horizontal="right" vertical="center"/>
    </xf>
    <xf numFmtId="164" fontId="2289" fillId="2290" borderId="2235" xfId="0" applyNumberFormat="1" applyFont="1" applyFill="1" applyBorder="1" applyAlignment="1">
      <alignment horizontal="right" vertical="center"/>
    </xf>
    <xf numFmtId="164" fontId="2290" fillId="2291" borderId="2236" xfId="0" applyNumberFormat="1" applyFont="1" applyFill="1" applyBorder="1" applyAlignment="1">
      <alignment horizontal="right" vertical="center"/>
    </xf>
    <xf numFmtId="3" fontId="2291" fillId="2292" borderId="2237" xfId="0" applyNumberFormat="1" applyFont="1" applyFill="1" applyBorder="1" applyAlignment="1">
      <alignment horizontal="right" vertical="center"/>
    </xf>
    <xf numFmtId="2" fontId="2292" fillId="2293" borderId="2238" xfId="0" applyNumberFormat="1" applyFont="1" applyFill="1" applyBorder="1" applyAlignment="1">
      <alignment horizontal="right" vertical="center"/>
    </xf>
    <xf numFmtId="2" fontId="2293" fillId="2294" borderId="2239" xfId="0" applyNumberFormat="1" applyFont="1" applyFill="1" applyBorder="1" applyAlignment="1">
      <alignment horizontal="right" vertical="center"/>
    </xf>
    <xf numFmtId="0" fontId="2294" fillId="2295" borderId="2240" xfId="0" applyFont="1" applyFill="1" applyBorder="1" applyAlignment="1">
      <alignment horizontal="center" vertical="center"/>
    </xf>
    <xf numFmtId="0" fontId="2295" fillId="2296" borderId="2241" xfId="0" applyFont="1" applyFill="1" applyBorder="1"/>
    <xf numFmtId="0" fontId="2296" fillId="2297" borderId="2242" xfId="0" applyFont="1" applyFill="1" applyBorder="1" applyAlignment="1">
      <alignment horizontal="center" vertical="center"/>
    </xf>
    <xf numFmtId="0" fontId="2297" fillId="2298" borderId="2243" xfId="0" applyFont="1" applyFill="1" applyBorder="1" applyAlignment="1">
      <alignment horizontal="left" vertical="center"/>
    </xf>
    <xf numFmtId="3" fontId="2298" fillId="2299" borderId="2244" xfId="0" applyNumberFormat="1" applyFont="1" applyFill="1" applyBorder="1" applyAlignment="1">
      <alignment horizontal="right" vertical="center"/>
    </xf>
    <xf numFmtId="3" fontId="2299" fillId="2300" borderId="2245" xfId="0" applyNumberFormat="1" applyFont="1" applyFill="1" applyBorder="1" applyAlignment="1">
      <alignment horizontal="right" vertical="center"/>
    </xf>
    <xf numFmtId="164" fontId="2300" fillId="2301" borderId="2246" xfId="0" applyNumberFormat="1" applyFont="1" applyFill="1" applyBorder="1" applyAlignment="1">
      <alignment horizontal="right" vertical="center"/>
    </xf>
    <xf numFmtId="164" fontId="2301" fillId="2302" borderId="2247" xfId="0" applyNumberFormat="1" applyFont="1" applyFill="1" applyBorder="1" applyAlignment="1">
      <alignment horizontal="right" vertical="center"/>
    </xf>
    <xf numFmtId="3" fontId="2302" fillId="2303" borderId="2248" xfId="0" applyNumberFormat="1" applyFont="1" applyFill="1" applyBorder="1" applyAlignment="1">
      <alignment horizontal="right" vertical="center"/>
    </xf>
    <xf numFmtId="2" fontId="2303" fillId="2304" borderId="2249" xfId="0" applyNumberFormat="1" applyFont="1" applyFill="1" applyBorder="1" applyAlignment="1">
      <alignment horizontal="right" vertical="center"/>
    </xf>
    <xf numFmtId="2" fontId="2304" fillId="2305" borderId="2250" xfId="0" applyNumberFormat="1" applyFont="1" applyFill="1" applyBorder="1" applyAlignment="1">
      <alignment horizontal="right" vertical="center"/>
    </xf>
    <xf numFmtId="0" fontId="2305" fillId="2306" borderId="2251" xfId="0" applyFont="1" applyFill="1" applyBorder="1" applyAlignment="1">
      <alignment horizontal="center" vertical="center"/>
    </xf>
    <xf numFmtId="0" fontId="2306" fillId="2307" borderId="2252" xfId="0" applyFont="1" applyFill="1" applyBorder="1"/>
    <xf numFmtId="0" fontId="2307" fillId="2308" borderId="2253" xfId="0" applyFont="1" applyFill="1" applyBorder="1" applyAlignment="1">
      <alignment horizontal="center" vertical="center"/>
    </xf>
    <xf numFmtId="0" fontId="2308" fillId="2309" borderId="2254" xfId="0" applyFont="1" applyFill="1" applyBorder="1" applyAlignment="1">
      <alignment horizontal="left" vertical="center"/>
    </xf>
    <xf numFmtId="3" fontId="2309" fillId="2310" borderId="2255" xfId="0" applyNumberFormat="1" applyFont="1" applyFill="1" applyBorder="1" applyAlignment="1">
      <alignment horizontal="right" vertical="center"/>
    </xf>
    <xf numFmtId="3" fontId="2310" fillId="2311" borderId="2256" xfId="0" applyNumberFormat="1" applyFont="1" applyFill="1" applyBorder="1" applyAlignment="1">
      <alignment horizontal="right" vertical="center"/>
    </xf>
    <xf numFmtId="164" fontId="2311" fillId="2312" borderId="2257" xfId="0" applyNumberFormat="1" applyFont="1" applyFill="1" applyBorder="1" applyAlignment="1">
      <alignment horizontal="right" vertical="center"/>
    </xf>
    <xf numFmtId="164" fontId="2312" fillId="2313" borderId="2258" xfId="0" applyNumberFormat="1" applyFont="1" applyFill="1" applyBorder="1" applyAlignment="1">
      <alignment horizontal="right" vertical="center"/>
    </xf>
    <xf numFmtId="3" fontId="2313" fillId="2314" borderId="2259" xfId="0" applyNumberFormat="1" applyFont="1" applyFill="1" applyBorder="1" applyAlignment="1">
      <alignment horizontal="right" vertical="center"/>
    </xf>
    <xf numFmtId="2" fontId="2314" fillId="2315" borderId="2260" xfId="0" applyNumberFormat="1" applyFont="1" applyFill="1" applyBorder="1" applyAlignment="1">
      <alignment horizontal="right" vertical="center"/>
    </xf>
    <xf numFmtId="2" fontId="2315" fillId="2316" borderId="2261" xfId="0" applyNumberFormat="1" applyFont="1" applyFill="1" applyBorder="1" applyAlignment="1">
      <alignment horizontal="right" vertical="center"/>
    </xf>
    <xf numFmtId="0" fontId="2316" fillId="2317" borderId="2262" xfId="0" applyFont="1" applyFill="1" applyBorder="1" applyAlignment="1">
      <alignment horizontal="center" vertical="center"/>
    </xf>
    <xf numFmtId="0" fontId="2317" fillId="2318" borderId="2263" xfId="0" applyFont="1" applyFill="1" applyBorder="1"/>
    <xf numFmtId="0" fontId="2318" fillId="2319" borderId="2264" xfId="0" applyFont="1" applyFill="1" applyBorder="1" applyAlignment="1">
      <alignment horizontal="center" vertical="center"/>
    </xf>
    <xf numFmtId="0" fontId="2319" fillId="2320" borderId="2265" xfId="0" applyFont="1" applyFill="1" applyBorder="1" applyAlignment="1">
      <alignment horizontal="left" vertical="center"/>
    </xf>
    <xf numFmtId="3" fontId="2320" fillId="2321" borderId="2266" xfId="0" applyNumberFormat="1" applyFont="1" applyFill="1" applyBorder="1" applyAlignment="1">
      <alignment horizontal="right" vertical="center"/>
    </xf>
    <xf numFmtId="3" fontId="2321" fillId="2322" borderId="2267" xfId="0" applyNumberFormat="1" applyFont="1" applyFill="1" applyBorder="1" applyAlignment="1">
      <alignment horizontal="right" vertical="center"/>
    </xf>
    <xf numFmtId="164" fontId="2322" fillId="2323" borderId="2268" xfId="0" applyNumberFormat="1" applyFont="1" applyFill="1" applyBorder="1" applyAlignment="1">
      <alignment horizontal="right" vertical="center"/>
    </xf>
    <xf numFmtId="164" fontId="2323" fillId="2324" borderId="2269" xfId="0" applyNumberFormat="1" applyFont="1" applyFill="1" applyBorder="1" applyAlignment="1">
      <alignment horizontal="right" vertical="center"/>
    </xf>
    <xf numFmtId="3" fontId="2324" fillId="2325" borderId="2270" xfId="0" applyNumberFormat="1" applyFont="1" applyFill="1" applyBorder="1" applyAlignment="1">
      <alignment horizontal="right" vertical="center"/>
    </xf>
    <xf numFmtId="2" fontId="2325" fillId="2326" borderId="2271" xfId="0" applyNumberFormat="1" applyFont="1" applyFill="1" applyBorder="1" applyAlignment="1">
      <alignment horizontal="right" vertical="center"/>
    </xf>
    <xf numFmtId="2" fontId="2326" fillId="2327" borderId="2272" xfId="0" applyNumberFormat="1" applyFont="1" applyFill="1" applyBorder="1" applyAlignment="1">
      <alignment horizontal="right" vertical="center"/>
    </xf>
    <xf numFmtId="0" fontId="2327" fillId="2328" borderId="2273" xfId="0" applyFont="1" applyFill="1" applyBorder="1" applyAlignment="1">
      <alignment horizontal="center" vertical="center"/>
    </xf>
    <xf numFmtId="0" fontId="2328" fillId="2329" borderId="2274" xfId="0" applyFont="1" applyFill="1" applyBorder="1"/>
    <xf numFmtId="0" fontId="2329" fillId="2330" borderId="2275" xfId="0" applyFont="1" applyFill="1" applyBorder="1" applyAlignment="1">
      <alignment horizontal="center" vertical="center"/>
    </xf>
    <xf numFmtId="0" fontId="2330" fillId="2331" borderId="2276" xfId="0" applyFont="1" applyFill="1" applyBorder="1" applyAlignment="1">
      <alignment horizontal="left" vertical="center"/>
    </xf>
    <xf numFmtId="3" fontId="2331" fillId="2332" borderId="2277" xfId="0" applyNumberFormat="1" applyFont="1" applyFill="1" applyBorder="1" applyAlignment="1">
      <alignment horizontal="right" vertical="center"/>
    </xf>
    <xf numFmtId="3" fontId="2332" fillId="2333" borderId="2278" xfId="0" applyNumberFormat="1" applyFont="1" applyFill="1" applyBorder="1" applyAlignment="1">
      <alignment horizontal="right" vertical="center"/>
    </xf>
    <xf numFmtId="164" fontId="2333" fillId="2334" borderId="2279" xfId="0" applyNumberFormat="1" applyFont="1" applyFill="1" applyBorder="1" applyAlignment="1">
      <alignment horizontal="right" vertical="center"/>
    </xf>
    <xf numFmtId="164" fontId="2334" fillId="2335" borderId="2280" xfId="0" applyNumberFormat="1" applyFont="1" applyFill="1" applyBorder="1" applyAlignment="1">
      <alignment horizontal="right" vertical="center"/>
    </xf>
    <xf numFmtId="3" fontId="2335" fillId="2336" borderId="2281" xfId="0" applyNumberFormat="1" applyFont="1" applyFill="1" applyBorder="1" applyAlignment="1">
      <alignment horizontal="right" vertical="center"/>
    </xf>
    <xf numFmtId="2" fontId="2336" fillId="2337" borderId="2282" xfId="0" applyNumberFormat="1" applyFont="1" applyFill="1" applyBorder="1" applyAlignment="1">
      <alignment horizontal="right" vertical="center"/>
    </xf>
    <xf numFmtId="2" fontId="2337" fillId="2338" borderId="2283" xfId="0" applyNumberFormat="1" applyFont="1" applyFill="1" applyBorder="1" applyAlignment="1">
      <alignment horizontal="right" vertical="center"/>
    </xf>
    <xf numFmtId="0" fontId="2338" fillId="2339" borderId="2284" xfId="0" applyFont="1" applyFill="1" applyBorder="1" applyAlignment="1">
      <alignment horizontal="center" vertical="center"/>
    </xf>
    <xf numFmtId="0" fontId="2339" fillId="2340" borderId="2285" xfId="0" applyFont="1" applyFill="1" applyBorder="1"/>
    <xf numFmtId="0" fontId="2340" fillId="2341" borderId="2286" xfId="0" applyFont="1" applyFill="1" applyBorder="1" applyAlignment="1">
      <alignment horizontal="center" vertical="center"/>
    </xf>
    <xf numFmtId="0" fontId="2341" fillId="2342" borderId="2287" xfId="0" applyFont="1" applyFill="1" applyBorder="1" applyAlignment="1">
      <alignment horizontal="left" vertical="center"/>
    </xf>
    <xf numFmtId="3" fontId="2342" fillId="2343" borderId="2288" xfId="0" applyNumberFormat="1" applyFont="1" applyFill="1" applyBorder="1" applyAlignment="1">
      <alignment horizontal="right" vertical="center"/>
    </xf>
    <xf numFmtId="3" fontId="2343" fillId="2344" borderId="2289" xfId="0" applyNumberFormat="1" applyFont="1" applyFill="1" applyBorder="1" applyAlignment="1">
      <alignment horizontal="right" vertical="center"/>
    </xf>
    <xf numFmtId="164" fontId="2344" fillId="2345" borderId="2290" xfId="0" applyNumberFormat="1" applyFont="1" applyFill="1" applyBorder="1" applyAlignment="1">
      <alignment horizontal="right" vertical="center"/>
    </xf>
    <xf numFmtId="164" fontId="2345" fillId="2346" borderId="2291" xfId="0" applyNumberFormat="1" applyFont="1" applyFill="1" applyBorder="1" applyAlignment="1">
      <alignment horizontal="right" vertical="center"/>
    </xf>
    <xf numFmtId="3" fontId="2346" fillId="2347" borderId="2292" xfId="0" applyNumberFormat="1" applyFont="1" applyFill="1" applyBorder="1" applyAlignment="1">
      <alignment horizontal="right" vertical="center"/>
    </xf>
    <xf numFmtId="2" fontId="2347" fillId="2348" borderId="2293" xfId="0" applyNumberFormat="1" applyFont="1" applyFill="1" applyBorder="1" applyAlignment="1">
      <alignment horizontal="right" vertical="center"/>
    </xf>
    <xf numFmtId="2" fontId="2348" fillId="2349" borderId="2294" xfId="0" applyNumberFormat="1" applyFont="1" applyFill="1" applyBorder="1" applyAlignment="1">
      <alignment horizontal="right" vertical="center"/>
    </xf>
    <xf numFmtId="0" fontId="2349" fillId="2350" borderId="2295" xfId="0" applyFont="1" applyFill="1" applyBorder="1" applyAlignment="1">
      <alignment horizontal="center" vertical="center"/>
    </xf>
    <xf numFmtId="0" fontId="2350" fillId="2351" borderId="2296" xfId="0" applyFont="1" applyFill="1" applyBorder="1"/>
    <xf numFmtId="0" fontId="2351" fillId="2352" borderId="2297" xfId="0" applyFont="1" applyFill="1" applyBorder="1" applyAlignment="1">
      <alignment horizontal="center" vertical="center"/>
    </xf>
    <xf numFmtId="0" fontId="2352" fillId="2353" borderId="2298" xfId="0" applyFont="1" applyFill="1" applyBorder="1" applyAlignment="1">
      <alignment horizontal="left" vertical="center"/>
    </xf>
    <xf numFmtId="3" fontId="2353" fillId="2354" borderId="2299" xfId="0" applyNumberFormat="1" applyFont="1" applyFill="1" applyBorder="1" applyAlignment="1">
      <alignment horizontal="right" vertical="center"/>
    </xf>
    <xf numFmtId="3" fontId="2354" fillId="2355" borderId="2300" xfId="0" applyNumberFormat="1" applyFont="1" applyFill="1" applyBorder="1" applyAlignment="1">
      <alignment horizontal="right" vertical="center"/>
    </xf>
    <xf numFmtId="164" fontId="2355" fillId="2356" borderId="2301" xfId="0" applyNumberFormat="1" applyFont="1" applyFill="1" applyBorder="1" applyAlignment="1">
      <alignment horizontal="right" vertical="center"/>
    </xf>
    <xf numFmtId="164" fontId="2356" fillId="2357" borderId="2302" xfId="0" applyNumberFormat="1" applyFont="1" applyFill="1" applyBorder="1" applyAlignment="1">
      <alignment horizontal="right" vertical="center"/>
    </xf>
    <xf numFmtId="3" fontId="2357" fillId="2358" borderId="2303" xfId="0" applyNumberFormat="1" applyFont="1" applyFill="1" applyBorder="1" applyAlignment="1">
      <alignment horizontal="right" vertical="center"/>
    </xf>
    <xf numFmtId="2" fontId="2358" fillId="2359" borderId="2304" xfId="0" applyNumberFormat="1" applyFont="1" applyFill="1" applyBorder="1" applyAlignment="1">
      <alignment horizontal="right" vertical="center"/>
    </xf>
    <xf numFmtId="2" fontId="2359" fillId="2360" borderId="2305" xfId="0" applyNumberFormat="1" applyFont="1" applyFill="1" applyBorder="1" applyAlignment="1">
      <alignment horizontal="right" vertical="center"/>
    </xf>
    <xf numFmtId="0" fontId="2360" fillId="2361" borderId="2306" xfId="0" applyFont="1" applyFill="1" applyBorder="1" applyAlignment="1">
      <alignment horizontal="center" vertical="center"/>
    </xf>
    <xf numFmtId="0" fontId="2361" fillId="2362" borderId="2307" xfId="0" applyFont="1" applyFill="1" applyBorder="1"/>
    <xf numFmtId="0" fontId="2362" fillId="2363" borderId="2308" xfId="0" applyFont="1" applyFill="1" applyBorder="1" applyAlignment="1">
      <alignment horizontal="center" vertical="center"/>
    </xf>
    <xf numFmtId="0" fontId="2363" fillId="2364" borderId="2309" xfId="0" applyFont="1" applyFill="1" applyBorder="1" applyAlignment="1">
      <alignment horizontal="left" vertical="center"/>
    </xf>
    <xf numFmtId="3" fontId="2364" fillId="2365" borderId="2310" xfId="0" applyNumberFormat="1" applyFont="1" applyFill="1" applyBorder="1" applyAlignment="1">
      <alignment horizontal="right" vertical="center"/>
    </xf>
    <xf numFmtId="3" fontId="2365" fillId="2366" borderId="2311" xfId="0" applyNumberFormat="1" applyFont="1" applyFill="1" applyBorder="1" applyAlignment="1">
      <alignment horizontal="right" vertical="center"/>
    </xf>
    <xf numFmtId="164" fontId="2366" fillId="2367" borderId="2312" xfId="0" applyNumberFormat="1" applyFont="1" applyFill="1" applyBorder="1" applyAlignment="1">
      <alignment horizontal="right" vertical="center"/>
    </xf>
    <xf numFmtId="164" fontId="2367" fillId="2368" borderId="2313" xfId="0" applyNumberFormat="1" applyFont="1" applyFill="1" applyBorder="1" applyAlignment="1">
      <alignment horizontal="right" vertical="center"/>
    </xf>
    <xf numFmtId="3" fontId="2368" fillId="2369" borderId="2314" xfId="0" applyNumberFormat="1" applyFont="1" applyFill="1" applyBorder="1" applyAlignment="1">
      <alignment horizontal="right" vertical="center"/>
    </xf>
    <xf numFmtId="2" fontId="2369" fillId="2370" borderId="2315" xfId="0" applyNumberFormat="1" applyFont="1" applyFill="1" applyBorder="1" applyAlignment="1">
      <alignment horizontal="right" vertical="center"/>
    </xf>
    <xf numFmtId="2" fontId="2370" fillId="2371" borderId="2316" xfId="0" applyNumberFormat="1" applyFont="1" applyFill="1" applyBorder="1" applyAlignment="1">
      <alignment horizontal="right" vertical="center"/>
    </xf>
    <xf numFmtId="0" fontId="2371" fillId="2372" borderId="2317" xfId="0" applyFont="1" applyFill="1" applyBorder="1" applyAlignment="1">
      <alignment horizontal="center" vertical="center"/>
    </xf>
    <xf numFmtId="0" fontId="2372" fillId="2373" borderId="2318" xfId="0" applyFont="1" applyFill="1" applyBorder="1"/>
    <xf numFmtId="0" fontId="2373" fillId="2374" borderId="2319" xfId="0" applyFont="1" applyFill="1" applyBorder="1" applyAlignment="1">
      <alignment horizontal="center" vertical="center"/>
    </xf>
    <xf numFmtId="0" fontId="2374" fillId="2375" borderId="2320" xfId="0" applyFont="1" applyFill="1" applyBorder="1" applyAlignment="1">
      <alignment horizontal="left" vertical="center"/>
    </xf>
    <xf numFmtId="3" fontId="2375" fillId="2376" borderId="2321" xfId="0" applyNumberFormat="1" applyFont="1" applyFill="1" applyBorder="1" applyAlignment="1">
      <alignment horizontal="right" vertical="center"/>
    </xf>
    <xf numFmtId="3" fontId="2376" fillId="2377" borderId="2322" xfId="0" applyNumberFormat="1" applyFont="1" applyFill="1" applyBorder="1" applyAlignment="1">
      <alignment horizontal="right" vertical="center"/>
    </xf>
    <xf numFmtId="164" fontId="2377" fillId="2378" borderId="2323" xfId="0" applyNumberFormat="1" applyFont="1" applyFill="1" applyBorder="1" applyAlignment="1">
      <alignment horizontal="right" vertical="center"/>
    </xf>
    <xf numFmtId="164" fontId="2378" fillId="2379" borderId="2324" xfId="0" applyNumberFormat="1" applyFont="1" applyFill="1" applyBorder="1" applyAlignment="1">
      <alignment horizontal="right" vertical="center"/>
    </xf>
    <xf numFmtId="3" fontId="2379" fillId="2380" borderId="2325" xfId="0" applyNumberFormat="1" applyFont="1" applyFill="1" applyBorder="1" applyAlignment="1">
      <alignment horizontal="right" vertical="center"/>
    </xf>
    <xf numFmtId="2" fontId="2380" fillId="2381" borderId="2326" xfId="0" applyNumberFormat="1" applyFont="1" applyFill="1" applyBorder="1" applyAlignment="1">
      <alignment horizontal="right" vertical="center"/>
    </xf>
    <xf numFmtId="2" fontId="2381" fillId="2382" borderId="2327" xfId="0" applyNumberFormat="1" applyFont="1" applyFill="1" applyBorder="1" applyAlignment="1">
      <alignment horizontal="right" vertical="center"/>
    </xf>
    <xf numFmtId="0" fontId="2382" fillId="2383" borderId="2328" xfId="0" applyFont="1" applyFill="1" applyBorder="1" applyAlignment="1">
      <alignment horizontal="center" vertical="center"/>
    </xf>
    <xf numFmtId="0" fontId="2383" fillId="2384" borderId="2329" xfId="0" applyFont="1" applyFill="1" applyBorder="1"/>
    <xf numFmtId="3" fontId="2386" fillId="2387" borderId="2332" xfId="0" applyNumberFormat="1" applyFont="1" applyFill="1" applyBorder="1" applyAlignment="1">
      <alignment horizontal="right" vertical="center"/>
    </xf>
    <xf numFmtId="3" fontId="2387" fillId="2388" borderId="2333" xfId="0" applyNumberFormat="1" applyFont="1" applyFill="1" applyBorder="1" applyAlignment="1">
      <alignment horizontal="right" vertical="center"/>
    </xf>
    <xf numFmtId="164" fontId="2388" fillId="2389" borderId="2334" xfId="0" applyNumberFormat="1" applyFont="1" applyFill="1" applyBorder="1" applyAlignment="1">
      <alignment horizontal="right" vertical="center"/>
    </xf>
    <xf numFmtId="164" fontId="2389" fillId="2390" borderId="2335" xfId="0" applyNumberFormat="1" applyFont="1" applyFill="1" applyBorder="1" applyAlignment="1">
      <alignment horizontal="right" vertical="center"/>
    </xf>
    <xf numFmtId="0" fontId="2390" fillId="2391" borderId="2336" xfId="0" applyFont="1" applyFill="1" applyBorder="1" applyAlignment="1">
      <alignment horizontal="center" vertical="center"/>
    </xf>
    <xf numFmtId="0" fontId="2391" fillId="2392" borderId="2337" xfId="0" applyFont="1" applyFill="1" applyBorder="1" applyAlignment="1">
      <alignment horizontal="center" vertical="center"/>
    </xf>
    <xf numFmtId="0" fontId="2392" fillId="2393" borderId="2338" xfId="0" applyFont="1" applyFill="1" applyBorder="1" applyAlignment="1">
      <alignment horizontal="center" vertical="center"/>
    </xf>
    <xf numFmtId="0" fontId="2393" fillId="2394" borderId="2339" xfId="0" applyFont="1" applyFill="1" applyBorder="1" applyAlignment="1">
      <alignment horizontal="center" vertical="center"/>
    </xf>
    <xf numFmtId="0" fontId="2394" fillId="2395" borderId="2340" xfId="0" applyFont="1" applyFill="1" applyBorder="1"/>
    <xf numFmtId="3" fontId="660" fillId="661" borderId="2350" xfId="0" applyNumberFormat="1" applyFont="1" applyFill="1" applyBorder="1" applyAlignment="1">
      <alignment horizontal="right" vertical="center"/>
    </xf>
    <xf numFmtId="3" fontId="701" fillId="702" borderId="2350" xfId="0" applyNumberFormat="1" applyFont="1" applyFill="1" applyBorder="1" applyAlignment="1">
      <alignment horizontal="right" vertical="center"/>
    </xf>
    <xf numFmtId="0" fontId="0" fillId="0" borderId="2085" xfId="0" applyBorder="1"/>
    <xf numFmtId="3" fontId="660" fillId="661" borderId="2085" xfId="0" applyNumberFormat="1" applyFont="1" applyFill="1" applyBorder="1" applyAlignment="1">
      <alignment horizontal="right" vertical="center"/>
    </xf>
    <xf numFmtId="3" fontId="661" fillId="662" borderId="2085" xfId="0" applyNumberFormat="1" applyFont="1" applyFill="1" applyBorder="1" applyAlignment="1">
      <alignment horizontal="right" vertical="center"/>
    </xf>
    <xf numFmtId="3" fontId="662" fillId="663" borderId="2085" xfId="0" applyNumberFormat="1" applyFont="1" applyFill="1" applyBorder="1" applyAlignment="1">
      <alignment horizontal="right" vertical="center"/>
    </xf>
    <xf numFmtId="3" fontId="663" fillId="664" borderId="2085" xfId="0" applyNumberFormat="1" applyFont="1" applyFill="1" applyBorder="1" applyAlignment="1">
      <alignment horizontal="right" vertical="center"/>
    </xf>
    <xf numFmtId="3" fontId="664" fillId="665" borderId="2085" xfId="0" applyNumberFormat="1" applyFont="1" applyFill="1" applyBorder="1" applyAlignment="1">
      <alignment horizontal="right" vertical="center"/>
    </xf>
    <xf numFmtId="3" fontId="665" fillId="666" borderId="2085" xfId="0" applyNumberFormat="1" applyFont="1" applyFill="1" applyBorder="1" applyAlignment="1">
      <alignment horizontal="right" vertical="center"/>
    </xf>
    <xf numFmtId="3" fontId="666" fillId="667" borderId="2085" xfId="0" applyNumberFormat="1" applyFont="1" applyFill="1" applyBorder="1" applyAlignment="1">
      <alignment horizontal="right" vertical="center"/>
    </xf>
    <xf numFmtId="3" fontId="667" fillId="668" borderId="2085" xfId="0" applyNumberFormat="1" applyFont="1" applyFill="1" applyBorder="1" applyAlignment="1">
      <alignment horizontal="right" vertical="center"/>
    </xf>
    <xf numFmtId="3" fontId="669" fillId="670" borderId="2085" xfId="0" applyNumberFormat="1" applyFont="1" applyFill="1" applyBorder="1" applyAlignment="1">
      <alignment horizontal="right" vertical="center"/>
    </xf>
    <xf numFmtId="3" fontId="670" fillId="671" borderId="2085" xfId="0" applyNumberFormat="1" applyFont="1" applyFill="1" applyBorder="1" applyAlignment="1">
      <alignment horizontal="right" vertical="center"/>
    </xf>
    <xf numFmtId="3" fontId="671" fillId="672" borderId="2085" xfId="0" applyNumberFormat="1" applyFont="1" applyFill="1" applyBorder="1" applyAlignment="1">
      <alignment horizontal="right" vertical="center"/>
    </xf>
    <xf numFmtId="3" fontId="672" fillId="673" borderId="2085" xfId="0" applyNumberFormat="1" applyFont="1" applyFill="1" applyBorder="1" applyAlignment="1">
      <alignment horizontal="right" vertical="center"/>
    </xf>
    <xf numFmtId="3" fontId="673" fillId="674" borderId="2085" xfId="0" applyNumberFormat="1" applyFont="1" applyFill="1" applyBorder="1" applyAlignment="1">
      <alignment horizontal="right" vertical="center"/>
    </xf>
    <xf numFmtId="3" fontId="674" fillId="675" borderId="2085" xfId="0" applyNumberFormat="1" applyFont="1" applyFill="1" applyBorder="1" applyAlignment="1">
      <alignment horizontal="right" vertical="center"/>
    </xf>
    <xf numFmtId="3" fontId="675" fillId="676" borderId="2085" xfId="0" applyNumberFormat="1" applyFont="1" applyFill="1" applyBorder="1" applyAlignment="1">
      <alignment horizontal="right" vertical="center"/>
    </xf>
    <xf numFmtId="3" fontId="677" fillId="678" borderId="2085" xfId="0" applyNumberFormat="1" applyFont="1" applyFill="1" applyBorder="1" applyAlignment="1">
      <alignment horizontal="right" vertical="center"/>
    </xf>
    <xf numFmtId="3" fontId="678" fillId="679" borderId="2085" xfId="0" applyNumberFormat="1" applyFont="1" applyFill="1" applyBorder="1" applyAlignment="1">
      <alignment horizontal="right" vertical="center"/>
    </xf>
    <xf numFmtId="3" fontId="679" fillId="680" borderId="2085" xfId="0" applyNumberFormat="1" applyFont="1" applyFill="1" applyBorder="1" applyAlignment="1">
      <alignment horizontal="right" vertical="center"/>
    </xf>
    <xf numFmtId="3" fontId="680" fillId="681" borderId="2085" xfId="0" applyNumberFormat="1" applyFont="1" applyFill="1" applyBorder="1" applyAlignment="1">
      <alignment horizontal="right" vertical="center"/>
    </xf>
    <xf numFmtId="3" fontId="681" fillId="682" borderId="2085" xfId="0" applyNumberFormat="1" applyFont="1" applyFill="1" applyBorder="1" applyAlignment="1">
      <alignment horizontal="right" vertical="center"/>
    </xf>
    <xf numFmtId="3" fontId="682" fillId="683" borderId="2085" xfId="0" applyNumberFormat="1" applyFont="1" applyFill="1" applyBorder="1" applyAlignment="1">
      <alignment horizontal="right" vertical="center"/>
    </xf>
    <xf numFmtId="3" fontId="683" fillId="684" borderId="2085" xfId="0" applyNumberFormat="1" applyFont="1" applyFill="1" applyBorder="1" applyAlignment="1">
      <alignment horizontal="right" vertical="center"/>
    </xf>
    <xf numFmtId="3" fontId="685" fillId="686" borderId="2085" xfId="0" applyNumberFormat="1" applyFont="1" applyFill="1" applyBorder="1" applyAlignment="1">
      <alignment horizontal="right" vertical="center"/>
    </xf>
    <xf numFmtId="3" fontId="686" fillId="687" borderId="2085" xfId="0" applyNumberFormat="1" applyFont="1" applyFill="1" applyBorder="1" applyAlignment="1">
      <alignment horizontal="right" vertical="center"/>
    </xf>
    <xf numFmtId="3" fontId="687" fillId="688" borderId="2085" xfId="0" applyNumberFormat="1" applyFont="1" applyFill="1" applyBorder="1" applyAlignment="1">
      <alignment horizontal="right" vertical="center"/>
    </xf>
    <xf numFmtId="3" fontId="688" fillId="689" borderId="2085" xfId="0" applyNumberFormat="1" applyFont="1" applyFill="1" applyBorder="1" applyAlignment="1">
      <alignment horizontal="right" vertical="center"/>
    </xf>
    <xf numFmtId="3" fontId="689" fillId="690" borderId="2085" xfId="0" applyNumberFormat="1" applyFont="1" applyFill="1" applyBorder="1" applyAlignment="1">
      <alignment horizontal="right" vertical="center"/>
    </xf>
    <xf numFmtId="3" fontId="690" fillId="691" borderId="2085" xfId="0" applyNumberFormat="1" applyFont="1" applyFill="1" applyBorder="1" applyAlignment="1">
      <alignment horizontal="right" vertical="center"/>
    </xf>
    <xf numFmtId="3" fontId="691" fillId="692" borderId="2085" xfId="0" applyNumberFormat="1" applyFont="1" applyFill="1" applyBorder="1" applyAlignment="1">
      <alignment horizontal="right" vertical="center"/>
    </xf>
    <xf numFmtId="3" fontId="693" fillId="694" borderId="2085" xfId="0" applyNumberFormat="1" applyFont="1" applyFill="1" applyBorder="1" applyAlignment="1">
      <alignment horizontal="right" vertical="center"/>
    </xf>
    <xf numFmtId="3" fontId="694" fillId="695" borderId="2085" xfId="0" applyNumberFormat="1" applyFont="1" applyFill="1" applyBorder="1" applyAlignment="1">
      <alignment horizontal="right" vertical="center"/>
    </xf>
    <xf numFmtId="3" fontId="695" fillId="696" borderId="2085" xfId="0" applyNumberFormat="1" applyFont="1" applyFill="1" applyBorder="1" applyAlignment="1">
      <alignment horizontal="right" vertical="center"/>
    </xf>
    <xf numFmtId="3" fontId="696" fillId="697" borderId="2085" xfId="0" applyNumberFormat="1" applyFont="1" applyFill="1" applyBorder="1" applyAlignment="1">
      <alignment horizontal="right" vertical="center"/>
    </xf>
    <xf numFmtId="3" fontId="697" fillId="698" borderId="2085" xfId="0" applyNumberFormat="1" applyFont="1" applyFill="1" applyBorder="1" applyAlignment="1">
      <alignment horizontal="right" vertical="center"/>
    </xf>
    <xf numFmtId="3" fontId="698" fillId="699" borderId="2085" xfId="0" applyNumberFormat="1" applyFont="1" applyFill="1" applyBorder="1" applyAlignment="1">
      <alignment horizontal="right" vertical="center"/>
    </xf>
    <xf numFmtId="3" fontId="699" fillId="700" borderId="2085" xfId="0" applyNumberFormat="1" applyFont="1" applyFill="1" applyBorder="1" applyAlignment="1">
      <alignment horizontal="right" vertical="center"/>
    </xf>
    <xf numFmtId="3" fontId="701" fillId="702" borderId="2085" xfId="0" applyNumberFormat="1" applyFont="1" applyFill="1" applyBorder="1" applyAlignment="1">
      <alignment horizontal="right" vertical="center"/>
    </xf>
    <xf numFmtId="0" fontId="653" fillId="653" borderId="2085" xfId="0" applyFont="1" applyFill="1" applyBorder="1" applyAlignment="1">
      <alignment vertical="center"/>
    </xf>
    <xf numFmtId="3" fontId="7" fillId="2405" borderId="2353" xfId="0" applyNumberFormat="1" applyFont="1" applyFill="1" applyBorder="1" applyAlignment="1">
      <alignment horizontal="right" vertical="center"/>
    </xf>
    <xf numFmtId="2" fontId="2404" fillId="2406" borderId="2354" xfId="0" applyNumberFormat="1" applyFont="1" applyFill="1" applyBorder="1" applyAlignment="1">
      <alignment horizontal="center"/>
    </xf>
    <xf numFmtId="2" fontId="2405" fillId="2407" borderId="2355" xfId="0" applyNumberFormat="1" applyFont="1" applyFill="1" applyBorder="1" applyAlignment="1">
      <alignment horizontal="center"/>
    </xf>
    <xf numFmtId="2" fontId="2406" fillId="2408" borderId="2356" xfId="0" applyNumberFormat="1" applyFont="1" applyFill="1" applyBorder="1" applyAlignment="1">
      <alignment horizontal="center"/>
    </xf>
    <xf numFmtId="2" fontId="2407" fillId="2409" borderId="2357" xfId="0" applyNumberFormat="1" applyFont="1" applyFill="1" applyBorder="1" applyAlignment="1">
      <alignment horizontal="center"/>
    </xf>
    <xf numFmtId="2" fontId="2408" fillId="2410" borderId="2358" xfId="0" applyNumberFormat="1" applyFont="1" applyFill="1" applyBorder="1" applyAlignment="1">
      <alignment horizontal="center"/>
    </xf>
    <xf numFmtId="2" fontId="2409" fillId="2411" borderId="2359" xfId="0" applyNumberFormat="1" applyFont="1" applyFill="1" applyBorder="1" applyAlignment="1">
      <alignment horizontal="center"/>
    </xf>
    <xf numFmtId="2" fontId="2410" fillId="2412" borderId="2360" xfId="0" applyNumberFormat="1" applyFont="1" applyFill="1" applyBorder="1" applyAlignment="1">
      <alignment horizontal="center"/>
    </xf>
    <xf numFmtId="2" fontId="2411" fillId="2413" borderId="2361" xfId="0" applyNumberFormat="1" applyFont="1" applyFill="1" applyBorder="1" applyAlignment="1">
      <alignment horizontal="center"/>
    </xf>
    <xf numFmtId="2" fontId="2412" fillId="2414" borderId="2362" xfId="0" applyNumberFormat="1" applyFont="1" applyFill="1" applyBorder="1" applyAlignment="1">
      <alignment horizontal="center"/>
    </xf>
    <xf numFmtId="2" fontId="2413" fillId="2415" borderId="2363" xfId="0" applyNumberFormat="1" applyFont="1" applyFill="1" applyBorder="1" applyAlignment="1">
      <alignment horizontal="center"/>
    </xf>
    <xf numFmtId="2" fontId="2414" fillId="2416" borderId="2364" xfId="0" applyNumberFormat="1" applyFont="1" applyFill="1" applyBorder="1" applyAlignment="1">
      <alignment horizontal="center"/>
    </xf>
    <xf numFmtId="2" fontId="2415" fillId="2417" borderId="2365" xfId="0" applyNumberFormat="1" applyFont="1" applyFill="1" applyBorder="1" applyAlignment="1">
      <alignment horizontal="center"/>
    </xf>
    <xf numFmtId="2" fontId="2416" fillId="2418" borderId="2366" xfId="0" applyNumberFormat="1" applyFont="1" applyFill="1" applyBorder="1" applyAlignment="1">
      <alignment horizontal="center"/>
    </xf>
    <xf numFmtId="2" fontId="2417" fillId="2419" borderId="2367" xfId="0" applyNumberFormat="1" applyFont="1" applyFill="1" applyBorder="1" applyAlignment="1">
      <alignment horizontal="center"/>
    </xf>
    <xf numFmtId="2" fontId="2418" fillId="2420" borderId="2368" xfId="0" applyNumberFormat="1" applyFont="1" applyFill="1" applyBorder="1" applyAlignment="1">
      <alignment horizontal="center"/>
    </xf>
    <xf numFmtId="2" fontId="2419" fillId="2421" borderId="2369" xfId="0" applyNumberFormat="1" applyFont="1" applyFill="1" applyBorder="1" applyAlignment="1">
      <alignment horizontal="center"/>
    </xf>
    <xf numFmtId="2" fontId="2420" fillId="2422" borderId="2370" xfId="0" applyNumberFormat="1" applyFont="1" applyFill="1" applyBorder="1" applyAlignment="1">
      <alignment horizontal="center"/>
    </xf>
    <xf numFmtId="2" fontId="2421" fillId="2423" borderId="2371" xfId="0" applyNumberFormat="1" applyFont="1" applyFill="1" applyBorder="1" applyAlignment="1">
      <alignment horizontal="center"/>
    </xf>
    <xf numFmtId="2" fontId="2422" fillId="2424" borderId="2372" xfId="0" applyNumberFormat="1" applyFont="1" applyFill="1" applyBorder="1" applyAlignment="1">
      <alignment horizontal="center"/>
    </xf>
    <xf numFmtId="2" fontId="2423" fillId="2425" borderId="2373" xfId="0" applyNumberFormat="1" applyFont="1" applyFill="1" applyBorder="1" applyAlignment="1">
      <alignment horizontal="center"/>
    </xf>
    <xf numFmtId="2" fontId="2424" fillId="2426" borderId="2374" xfId="0" applyNumberFormat="1" applyFont="1" applyFill="1" applyBorder="1" applyAlignment="1">
      <alignment horizontal="center"/>
    </xf>
    <xf numFmtId="2" fontId="2425" fillId="2427" borderId="2375" xfId="0" applyNumberFormat="1" applyFont="1" applyFill="1" applyBorder="1" applyAlignment="1">
      <alignment horizontal="center"/>
    </xf>
    <xf numFmtId="2" fontId="2426" fillId="2428" borderId="2376" xfId="0" applyNumberFormat="1" applyFont="1" applyFill="1" applyBorder="1" applyAlignment="1">
      <alignment horizontal="center"/>
    </xf>
    <xf numFmtId="2" fontId="2427" fillId="2429" borderId="2377" xfId="0" applyNumberFormat="1" applyFont="1" applyFill="1" applyBorder="1" applyAlignment="1">
      <alignment horizontal="center"/>
    </xf>
    <xf numFmtId="2" fontId="2428" fillId="2430" borderId="2378" xfId="0" applyNumberFormat="1" applyFont="1" applyFill="1" applyBorder="1" applyAlignment="1">
      <alignment horizontal="center"/>
    </xf>
    <xf numFmtId="2" fontId="2429" fillId="2431" borderId="2379" xfId="0" applyNumberFormat="1" applyFont="1" applyFill="1" applyBorder="1" applyAlignment="1">
      <alignment horizontal="center"/>
    </xf>
    <xf numFmtId="2" fontId="2430" fillId="2432" borderId="2380" xfId="0" applyNumberFormat="1" applyFont="1" applyFill="1" applyBorder="1" applyAlignment="1">
      <alignment horizontal="center"/>
    </xf>
    <xf numFmtId="2" fontId="2431" fillId="2433" borderId="2381" xfId="0" applyNumberFormat="1" applyFont="1" applyFill="1" applyBorder="1" applyAlignment="1">
      <alignment horizontal="center"/>
    </xf>
    <xf numFmtId="2" fontId="2432" fillId="2434" borderId="2382" xfId="0" applyNumberFormat="1" applyFont="1" applyFill="1" applyBorder="1" applyAlignment="1">
      <alignment horizontal="center"/>
    </xf>
    <xf numFmtId="2" fontId="2433" fillId="2435" borderId="2383" xfId="0" applyNumberFormat="1" applyFont="1" applyFill="1" applyBorder="1" applyAlignment="1">
      <alignment horizontal="center"/>
    </xf>
    <xf numFmtId="2" fontId="2434" fillId="2436" borderId="2384" xfId="0" applyNumberFormat="1" applyFont="1" applyFill="1" applyBorder="1" applyAlignment="1">
      <alignment horizontal="center"/>
    </xf>
    <xf numFmtId="2" fontId="2435" fillId="2437" borderId="2385" xfId="0" applyNumberFormat="1" applyFont="1" applyFill="1" applyBorder="1" applyAlignment="1">
      <alignment horizontal="center"/>
    </xf>
    <xf numFmtId="0" fontId="2440" fillId="2442" borderId="2390" xfId="0" applyFont="1" applyFill="1" applyBorder="1" applyAlignment="1">
      <alignment horizontal="center" vertical="center"/>
    </xf>
    <xf numFmtId="0" fontId="2441" fillId="2443" borderId="2391" xfId="0" applyFont="1" applyFill="1" applyBorder="1" applyAlignment="1">
      <alignment horizontal="center" vertical="center"/>
    </xf>
    <xf numFmtId="0" fontId="2442" fillId="2444" borderId="2392" xfId="0" applyFont="1" applyFill="1" applyBorder="1" applyAlignment="1">
      <alignment horizontal="center" vertical="center"/>
    </xf>
    <xf numFmtId="0" fontId="2443" fillId="2445" borderId="2393" xfId="0" applyFont="1" applyFill="1" applyBorder="1" applyAlignment="1">
      <alignment horizontal="center" vertical="center"/>
    </xf>
    <xf numFmtId="0" fontId="2444" fillId="2446" borderId="2394" xfId="0" applyFont="1" applyFill="1" applyBorder="1" applyAlignment="1">
      <alignment vertical="center"/>
    </xf>
    <xf numFmtId="0" fontId="2445" fillId="2447" borderId="2395" xfId="0" applyFont="1" applyFill="1" applyBorder="1" applyAlignment="1">
      <alignment vertical="center"/>
    </xf>
    <xf numFmtId="0" fontId="2446" fillId="2448" borderId="2396" xfId="0" applyFont="1" applyFill="1" applyBorder="1" applyAlignment="1">
      <alignment vertical="center"/>
    </xf>
    <xf numFmtId="0" fontId="2447" fillId="2449" borderId="2397" xfId="0" applyFont="1" applyFill="1" applyBorder="1" applyAlignment="1">
      <alignment vertical="center"/>
    </xf>
    <xf numFmtId="0" fontId="2448" fillId="2450" borderId="2398" xfId="0" applyFont="1" applyFill="1" applyBorder="1" applyAlignment="1">
      <alignment vertical="center"/>
    </xf>
    <xf numFmtId="0" fontId="2449" fillId="2451" borderId="2399" xfId="0" applyFont="1" applyFill="1" applyBorder="1" applyAlignment="1">
      <alignment vertical="center"/>
    </xf>
    <xf numFmtId="0" fontId="2450" fillId="2452" borderId="2400" xfId="0" applyFont="1" applyFill="1" applyBorder="1" applyAlignment="1">
      <alignment vertical="center"/>
    </xf>
    <xf numFmtId="0" fontId="2451" fillId="2453" borderId="2401" xfId="0" applyFont="1" applyFill="1" applyBorder="1" applyAlignment="1">
      <alignment vertical="center"/>
    </xf>
    <xf numFmtId="0" fontId="2452" fillId="2454" borderId="2402" xfId="0" applyFont="1" applyFill="1" applyBorder="1" applyAlignment="1">
      <alignment vertical="center"/>
    </xf>
    <xf numFmtId="0" fontId="2453" fillId="2455" borderId="2403" xfId="0" applyFont="1" applyFill="1" applyBorder="1" applyAlignment="1">
      <alignment vertical="center"/>
    </xf>
    <xf numFmtId="0" fontId="2454" fillId="2456" borderId="2404" xfId="0" applyFont="1" applyFill="1" applyBorder="1" applyAlignment="1">
      <alignment vertical="center"/>
    </xf>
    <xf numFmtId="0" fontId="2455" fillId="2457" borderId="2405" xfId="0" applyFont="1" applyFill="1" applyBorder="1" applyAlignment="1">
      <alignment vertical="center"/>
    </xf>
    <xf numFmtId="0" fontId="2456" fillId="2458" borderId="2406" xfId="0" applyFont="1" applyFill="1" applyBorder="1" applyAlignment="1">
      <alignment vertical="center"/>
    </xf>
    <xf numFmtId="0" fontId="2457" fillId="2459" borderId="2407" xfId="0" applyFont="1" applyFill="1" applyBorder="1" applyAlignment="1">
      <alignment vertical="center"/>
    </xf>
    <xf numFmtId="0" fontId="2458" fillId="2460" borderId="2408" xfId="0" applyFont="1" applyFill="1" applyBorder="1" applyAlignment="1">
      <alignment vertical="center"/>
    </xf>
    <xf numFmtId="0" fontId="2459" fillId="2461" borderId="2409" xfId="0" applyFont="1" applyFill="1" applyBorder="1" applyAlignment="1">
      <alignment vertical="center"/>
    </xf>
    <xf numFmtId="0" fontId="2460" fillId="2462" borderId="2410" xfId="0" applyFont="1" applyFill="1" applyBorder="1" applyAlignment="1">
      <alignment vertical="center"/>
    </xf>
    <xf numFmtId="0" fontId="2461" fillId="2463" borderId="2411" xfId="0" applyFont="1" applyFill="1" applyBorder="1" applyAlignment="1">
      <alignment vertical="center"/>
    </xf>
    <xf numFmtId="0" fontId="2462" fillId="2464" borderId="2412" xfId="0" applyFont="1" applyFill="1" applyBorder="1" applyAlignment="1">
      <alignment vertical="center"/>
    </xf>
    <xf numFmtId="0" fontId="2463" fillId="2465" borderId="2413" xfId="0" applyFont="1" applyFill="1" applyBorder="1" applyAlignment="1">
      <alignment vertical="center"/>
    </xf>
    <xf numFmtId="0" fontId="2464" fillId="2466" borderId="2414" xfId="0" applyFont="1" applyFill="1" applyBorder="1" applyAlignment="1">
      <alignment vertical="center"/>
    </xf>
    <xf numFmtId="0" fontId="2465" fillId="2467" borderId="2415" xfId="0" applyFont="1" applyFill="1" applyBorder="1" applyAlignment="1">
      <alignment vertical="center"/>
    </xf>
    <xf numFmtId="0" fontId="2466" fillId="2468" borderId="2416" xfId="0" applyFont="1" applyFill="1" applyBorder="1" applyAlignment="1">
      <alignment vertical="center"/>
    </xf>
    <xf numFmtId="0" fontId="2467" fillId="2469" borderId="2417" xfId="0" applyFont="1" applyFill="1" applyBorder="1" applyAlignment="1">
      <alignment vertical="center"/>
    </xf>
    <xf numFmtId="0" fontId="2468" fillId="2470" borderId="2418" xfId="0" applyFont="1" applyFill="1" applyBorder="1" applyAlignment="1">
      <alignment vertical="center"/>
    </xf>
    <xf numFmtId="0" fontId="2469" fillId="2471" borderId="2419" xfId="0" applyFont="1" applyFill="1" applyBorder="1" applyAlignment="1">
      <alignment vertical="center"/>
    </xf>
    <xf numFmtId="0" fontId="2470" fillId="2472" borderId="2420" xfId="0" applyFont="1" applyFill="1" applyBorder="1" applyAlignment="1">
      <alignment vertical="center"/>
    </xf>
    <xf numFmtId="0" fontId="2471" fillId="2473" borderId="2421" xfId="0" applyFont="1" applyFill="1" applyBorder="1" applyAlignment="1">
      <alignment vertical="center"/>
    </xf>
    <xf numFmtId="0" fontId="2472" fillId="2474" borderId="2422" xfId="0" applyFont="1" applyFill="1" applyBorder="1" applyAlignment="1">
      <alignment vertical="center"/>
    </xf>
    <xf numFmtId="0" fontId="2473" fillId="2475" borderId="2423" xfId="0" applyFont="1" applyFill="1" applyBorder="1" applyAlignment="1">
      <alignment vertical="center"/>
    </xf>
    <xf numFmtId="0" fontId="2474" fillId="2476" borderId="2424" xfId="0" applyFont="1" applyFill="1" applyBorder="1" applyAlignment="1">
      <alignment vertical="center"/>
    </xf>
    <xf numFmtId="0" fontId="2475" fillId="2477" borderId="2425" xfId="0" applyFont="1" applyFill="1" applyBorder="1" applyAlignment="1">
      <alignment vertical="center"/>
    </xf>
    <xf numFmtId="0" fontId="2476" fillId="2478" borderId="2426" xfId="0" applyFont="1" applyFill="1" applyBorder="1" applyAlignment="1">
      <alignment vertical="center"/>
    </xf>
    <xf numFmtId="0" fontId="2477" fillId="2479" borderId="2427" xfId="0" applyFont="1" applyFill="1" applyBorder="1" applyAlignment="1">
      <alignment vertical="center"/>
    </xf>
    <xf numFmtId="0" fontId="2478" fillId="2480" borderId="2428" xfId="0" applyFont="1" applyFill="1" applyBorder="1" applyAlignment="1">
      <alignment vertical="center"/>
    </xf>
    <xf numFmtId="0" fontId="2479" fillId="2481" borderId="2429" xfId="0" applyFont="1" applyFill="1" applyBorder="1" applyAlignment="1">
      <alignment vertical="center"/>
    </xf>
    <xf numFmtId="0" fontId="2480" fillId="2482" borderId="2430" xfId="0" applyFont="1" applyFill="1" applyBorder="1" applyAlignment="1">
      <alignment vertical="center"/>
    </xf>
    <xf numFmtId="0" fontId="2481" fillId="2483" borderId="2431" xfId="0" applyFont="1" applyFill="1" applyBorder="1" applyAlignment="1">
      <alignment vertical="center"/>
    </xf>
    <xf numFmtId="0" fontId="2482" fillId="2484" borderId="2432" xfId="0" applyFont="1" applyFill="1" applyBorder="1" applyAlignment="1">
      <alignment vertical="center"/>
    </xf>
    <xf numFmtId="0" fontId="2483" fillId="2485" borderId="2433" xfId="0" applyFont="1" applyFill="1" applyBorder="1" applyAlignment="1">
      <alignment vertical="center"/>
    </xf>
    <xf numFmtId="0" fontId="2484" fillId="2486" borderId="2434" xfId="0" applyFont="1" applyFill="1" applyBorder="1" applyAlignment="1">
      <alignment vertical="center"/>
    </xf>
    <xf numFmtId="0" fontId="2485" fillId="2487" borderId="2435" xfId="0" applyFont="1" applyFill="1" applyBorder="1" applyAlignment="1">
      <alignment vertical="center"/>
    </xf>
    <xf numFmtId="0" fontId="2486" fillId="2488" borderId="2436" xfId="0" applyFont="1" applyFill="1" applyBorder="1" applyAlignment="1">
      <alignment vertical="center"/>
    </xf>
    <xf numFmtId="0" fontId="2487" fillId="2489" borderId="2437" xfId="0" applyFont="1" applyFill="1" applyBorder="1" applyAlignment="1">
      <alignment vertical="center"/>
    </xf>
    <xf numFmtId="0" fontId="2488" fillId="2490" borderId="2438" xfId="0" applyFont="1" applyFill="1" applyBorder="1" applyAlignment="1">
      <alignment vertical="center"/>
    </xf>
    <xf numFmtId="0" fontId="2489" fillId="2491" borderId="2439" xfId="0" applyFont="1" applyFill="1" applyBorder="1" applyAlignment="1">
      <alignment vertical="center"/>
    </xf>
    <xf numFmtId="0" fontId="2490" fillId="2492" borderId="2440" xfId="0" applyFont="1" applyFill="1" applyBorder="1" applyAlignment="1">
      <alignment vertical="center"/>
    </xf>
    <xf numFmtId="0" fontId="2491" fillId="2493" borderId="2441" xfId="0" applyFont="1" applyFill="1" applyBorder="1" applyAlignment="1">
      <alignment vertical="center"/>
    </xf>
    <xf numFmtId="0" fontId="2492" fillId="2494" borderId="2442" xfId="0" applyFont="1" applyFill="1" applyBorder="1" applyAlignment="1">
      <alignment vertical="center"/>
    </xf>
    <xf numFmtId="0" fontId="2493" fillId="2495" borderId="2443" xfId="0" applyFont="1" applyFill="1" applyBorder="1" applyAlignment="1">
      <alignment vertical="center"/>
    </xf>
    <xf numFmtId="0" fontId="2494" fillId="2496" borderId="2444" xfId="0" applyFont="1" applyFill="1" applyBorder="1" applyAlignment="1">
      <alignment vertical="center"/>
    </xf>
    <xf numFmtId="0" fontId="2495" fillId="2497" borderId="2445" xfId="0" applyFont="1" applyFill="1" applyBorder="1" applyAlignment="1">
      <alignment vertical="center"/>
    </xf>
    <xf numFmtId="0" fontId="2496" fillId="2498" borderId="2446" xfId="0" applyFont="1" applyFill="1" applyBorder="1" applyAlignment="1">
      <alignment vertical="center"/>
    </xf>
    <xf numFmtId="0" fontId="2497" fillId="2499" borderId="2447" xfId="0" applyFont="1" applyFill="1" applyBorder="1" applyAlignment="1">
      <alignment vertical="center"/>
    </xf>
    <xf numFmtId="0" fontId="2498" fillId="2500" borderId="2448" xfId="0" applyFont="1" applyFill="1" applyBorder="1" applyAlignment="1">
      <alignment vertical="center"/>
    </xf>
    <xf numFmtId="0" fontId="2499" fillId="2501" borderId="2449" xfId="0" applyFont="1" applyFill="1" applyBorder="1" applyAlignment="1">
      <alignment vertical="center"/>
    </xf>
    <xf numFmtId="0" fontId="2500" fillId="2502" borderId="2450" xfId="0" applyFont="1" applyFill="1" applyBorder="1" applyAlignment="1">
      <alignment vertical="center"/>
    </xf>
    <xf numFmtId="0" fontId="2501" fillId="2503" borderId="2451" xfId="0" applyFont="1" applyFill="1" applyBorder="1" applyAlignment="1">
      <alignment vertical="center"/>
    </xf>
    <xf numFmtId="0" fontId="2502" fillId="2504" borderId="2452" xfId="0" applyFont="1" applyFill="1" applyBorder="1" applyAlignment="1">
      <alignment vertical="center"/>
    </xf>
    <xf numFmtId="0" fontId="2503" fillId="2505" borderId="2453" xfId="0" applyFont="1" applyFill="1" applyBorder="1" applyAlignment="1">
      <alignment vertical="center"/>
    </xf>
    <xf numFmtId="0" fontId="2504" fillId="2506" borderId="2454" xfId="0" applyFont="1" applyFill="1" applyBorder="1" applyAlignment="1">
      <alignment vertical="center"/>
    </xf>
    <xf numFmtId="0" fontId="2505" fillId="2507" borderId="2455" xfId="0" applyFont="1" applyFill="1" applyBorder="1" applyAlignment="1">
      <alignment vertical="center"/>
    </xf>
    <xf numFmtId="0" fontId="2506" fillId="2508" borderId="2456" xfId="0" applyFont="1" applyFill="1" applyBorder="1" applyAlignment="1">
      <alignment vertical="center"/>
    </xf>
    <xf numFmtId="0" fontId="2507" fillId="2509" borderId="2457" xfId="0" applyFont="1" applyFill="1" applyBorder="1" applyAlignment="1">
      <alignment vertical="center"/>
    </xf>
    <xf numFmtId="0" fontId="2508" fillId="2510" borderId="2458" xfId="0" applyFont="1" applyFill="1" applyBorder="1" applyAlignment="1">
      <alignment vertical="center"/>
    </xf>
    <xf numFmtId="0" fontId="2509" fillId="2511" borderId="2459" xfId="0" applyFont="1" applyFill="1" applyBorder="1" applyAlignment="1">
      <alignment vertical="center"/>
    </xf>
    <xf numFmtId="0" fontId="2510" fillId="2512" borderId="2460" xfId="0" applyFont="1" applyFill="1" applyBorder="1" applyAlignment="1">
      <alignment vertical="center"/>
    </xf>
    <xf numFmtId="0" fontId="2511" fillId="2513" borderId="2461" xfId="0" applyFont="1" applyFill="1" applyBorder="1" applyAlignment="1">
      <alignment vertical="center"/>
    </xf>
    <xf numFmtId="0" fontId="2512" fillId="2514" borderId="2462" xfId="0" applyFont="1" applyFill="1" applyBorder="1" applyAlignment="1">
      <alignment vertical="center"/>
    </xf>
    <xf numFmtId="0" fontId="2513" fillId="2515" borderId="2463" xfId="0" applyFont="1" applyFill="1" applyBorder="1" applyAlignment="1">
      <alignment vertical="center"/>
    </xf>
    <xf numFmtId="0" fontId="2514" fillId="2516" borderId="2464" xfId="0" applyFont="1" applyFill="1" applyBorder="1" applyAlignment="1">
      <alignment vertical="center"/>
    </xf>
    <xf numFmtId="0" fontId="2515" fillId="2517" borderId="2465" xfId="0" applyFont="1" applyFill="1" applyBorder="1" applyAlignment="1">
      <alignment vertical="center"/>
    </xf>
    <xf numFmtId="0" fontId="2516" fillId="2518" borderId="2466" xfId="0" applyFont="1" applyFill="1" applyBorder="1" applyAlignment="1">
      <alignment vertical="center"/>
    </xf>
    <xf numFmtId="0" fontId="2517" fillId="2519" borderId="2467" xfId="0" applyFont="1" applyFill="1" applyBorder="1" applyAlignment="1">
      <alignment vertical="center"/>
    </xf>
    <xf numFmtId="0" fontId="2518" fillId="2520" borderId="2468" xfId="0" applyFont="1" applyFill="1" applyBorder="1" applyAlignment="1">
      <alignment vertical="center"/>
    </xf>
    <xf numFmtId="0" fontId="2519" fillId="2521" borderId="2469" xfId="0" applyFont="1" applyFill="1" applyBorder="1" applyAlignment="1">
      <alignment vertical="center"/>
    </xf>
    <xf numFmtId="0" fontId="2520" fillId="2522" borderId="2470" xfId="0" applyFont="1" applyFill="1" applyBorder="1" applyAlignment="1">
      <alignment vertical="center"/>
    </xf>
    <xf numFmtId="0" fontId="2521" fillId="2523" borderId="2471" xfId="0" applyFont="1" applyFill="1" applyBorder="1" applyAlignment="1">
      <alignment vertical="center"/>
    </xf>
    <xf numFmtId="0" fontId="2522" fillId="2524" borderId="2472" xfId="0" applyFont="1" applyFill="1" applyBorder="1" applyAlignment="1">
      <alignment vertical="center"/>
    </xf>
    <xf numFmtId="0" fontId="2523" fillId="2525" borderId="2473" xfId="0" applyFont="1" applyFill="1" applyBorder="1" applyAlignment="1">
      <alignment vertical="center"/>
    </xf>
    <xf numFmtId="0" fontId="2524" fillId="2526" borderId="2474" xfId="0" applyFont="1" applyFill="1" applyBorder="1" applyAlignment="1">
      <alignment vertical="center"/>
    </xf>
    <xf numFmtId="0" fontId="2525" fillId="2527" borderId="2475" xfId="0" applyFont="1" applyFill="1" applyBorder="1" applyAlignment="1">
      <alignment vertical="center"/>
    </xf>
    <xf numFmtId="0" fontId="2526" fillId="2528" borderId="2476" xfId="0" applyFont="1" applyFill="1" applyBorder="1" applyAlignment="1">
      <alignment vertical="center"/>
    </xf>
    <xf numFmtId="0" fontId="2527" fillId="2529" borderId="2477" xfId="0" applyFont="1" applyFill="1" applyBorder="1" applyAlignment="1">
      <alignment vertical="center"/>
    </xf>
    <xf numFmtId="0" fontId="2528" fillId="2530" borderId="2478" xfId="0" applyFont="1" applyFill="1" applyBorder="1" applyAlignment="1">
      <alignment vertical="center"/>
    </xf>
    <xf numFmtId="0" fontId="2529" fillId="2531" borderId="2479" xfId="0" applyFont="1" applyFill="1" applyBorder="1" applyAlignment="1">
      <alignment vertical="center"/>
    </xf>
    <xf numFmtId="0" fontId="2530" fillId="2532" borderId="2480" xfId="0" applyFont="1" applyFill="1" applyBorder="1" applyAlignment="1">
      <alignment vertical="center"/>
    </xf>
    <xf numFmtId="0" fontId="2531" fillId="2533" borderId="2481" xfId="0" applyFont="1" applyFill="1" applyBorder="1" applyAlignment="1">
      <alignment vertical="center"/>
    </xf>
    <xf numFmtId="0" fontId="2532" fillId="2534" borderId="2482" xfId="0" applyFont="1" applyFill="1" applyBorder="1" applyAlignment="1">
      <alignment vertical="center"/>
    </xf>
    <xf numFmtId="0" fontId="2533" fillId="2535" borderId="2483" xfId="0" applyFont="1" applyFill="1" applyBorder="1" applyAlignment="1">
      <alignment vertical="center"/>
    </xf>
    <xf numFmtId="0" fontId="2534" fillId="2536" borderId="2484" xfId="0" applyFont="1" applyFill="1" applyBorder="1" applyAlignment="1">
      <alignment vertical="center"/>
    </xf>
    <xf numFmtId="0" fontId="2535" fillId="2537" borderId="2485" xfId="0" applyFont="1" applyFill="1" applyBorder="1" applyAlignment="1">
      <alignment vertical="center"/>
    </xf>
    <xf numFmtId="0" fontId="2536" fillId="2538" borderId="2486" xfId="0" applyFont="1" applyFill="1" applyBorder="1" applyAlignment="1">
      <alignment vertical="center"/>
    </xf>
    <xf numFmtId="0" fontId="2537" fillId="2539" borderId="2487" xfId="0" applyFont="1" applyFill="1" applyBorder="1" applyAlignment="1">
      <alignment vertical="center"/>
    </xf>
    <xf numFmtId="0" fontId="2538" fillId="2540" borderId="2488" xfId="0" applyFont="1" applyFill="1" applyBorder="1" applyAlignment="1">
      <alignment vertical="center"/>
    </xf>
    <xf numFmtId="0" fontId="2539" fillId="2541" borderId="2489" xfId="0" applyFont="1" applyFill="1" applyBorder="1" applyAlignment="1">
      <alignment vertical="center"/>
    </xf>
    <xf numFmtId="0" fontId="2540" fillId="2542" borderId="2490" xfId="0" applyFont="1" applyFill="1" applyBorder="1" applyAlignment="1">
      <alignment vertical="center"/>
    </xf>
    <xf numFmtId="0" fontId="2541" fillId="2543" borderId="2491" xfId="0" applyFont="1" applyFill="1" applyBorder="1" applyAlignment="1">
      <alignment vertical="center"/>
    </xf>
    <xf numFmtId="0" fontId="2542" fillId="2544" borderId="2492" xfId="0" applyFont="1" applyFill="1" applyBorder="1" applyAlignment="1">
      <alignment vertical="center"/>
    </xf>
    <xf numFmtId="0" fontId="2543" fillId="2545" borderId="2493" xfId="0" applyFont="1" applyFill="1" applyBorder="1" applyAlignment="1">
      <alignment vertical="center"/>
    </xf>
    <xf numFmtId="0" fontId="2544" fillId="2546" borderId="2494" xfId="0" applyFont="1" applyFill="1" applyBorder="1" applyAlignment="1">
      <alignment vertical="center"/>
    </xf>
    <xf numFmtId="0" fontId="2545" fillId="2547" borderId="2495" xfId="0" applyFont="1" applyFill="1" applyBorder="1" applyAlignment="1">
      <alignment vertical="center"/>
    </xf>
    <xf numFmtId="0" fontId="2546" fillId="2548" borderId="2496" xfId="0" applyFont="1" applyFill="1" applyBorder="1" applyAlignment="1">
      <alignment vertical="center"/>
    </xf>
    <xf numFmtId="0" fontId="2547" fillId="2549" borderId="2497" xfId="0" applyFont="1" applyFill="1" applyBorder="1" applyAlignment="1">
      <alignment vertical="center"/>
    </xf>
    <xf numFmtId="0" fontId="2548" fillId="2550" borderId="2498" xfId="0" applyFont="1" applyFill="1" applyBorder="1" applyAlignment="1">
      <alignment vertical="center"/>
    </xf>
    <xf numFmtId="0" fontId="2549" fillId="2551" borderId="2499" xfId="0" applyFont="1" applyFill="1" applyBorder="1" applyAlignment="1">
      <alignment vertical="center"/>
    </xf>
    <xf numFmtId="0" fontId="2550" fillId="2552" borderId="2500" xfId="0" applyFont="1" applyFill="1" applyBorder="1" applyAlignment="1">
      <alignment vertical="center"/>
    </xf>
    <xf numFmtId="0" fontId="2551" fillId="2553" borderId="2501" xfId="0" applyFont="1" applyFill="1" applyBorder="1" applyAlignment="1">
      <alignment vertical="center"/>
    </xf>
    <xf numFmtId="0" fontId="2552" fillId="2554" borderId="2502" xfId="0" applyFont="1" applyFill="1" applyBorder="1" applyAlignment="1">
      <alignment vertical="center"/>
    </xf>
    <xf numFmtId="0" fontId="2553" fillId="2555" borderId="2503" xfId="0" applyFont="1" applyFill="1" applyBorder="1" applyAlignment="1">
      <alignment vertical="center"/>
    </xf>
    <xf numFmtId="0" fontId="2554" fillId="2556" borderId="2504" xfId="0" applyFont="1" applyFill="1" applyBorder="1" applyAlignment="1">
      <alignment vertical="center"/>
    </xf>
    <xf numFmtId="0" fontId="2555" fillId="2557" borderId="2505" xfId="0" applyFont="1" applyFill="1" applyBorder="1" applyAlignment="1">
      <alignment vertical="center"/>
    </xf>
    <xf numFmtId="0" fontId="2556" fillId="2558" borderId="2506" xfId="0" applyFont="1" applyFill="1" applyBorder="1" applyAlignment="1">
      <alignment vertical="center"/>
    </xf>
    <xf numFmtId="0" fontId="2557" fillId="2559" borderId="2507" xfId="0" applyFont="1" applyFill="1" applyBorder="1" applyAlignment="1">
      <alignment vertical="center"/>
    </xf>
    <xf numFmtId="0" fontId="2558" fillId="2560" borderId="2508" xfId="0" applyFont="1" applyFill="1" applyBorder="1" applyAlignment="1">
      <alignment vertical="center"/>
    </xf>
    <xf numFmtId="0" fontId="2559" fillId="2561" borderId="2509" xfId="0" applyFont="1" applyFill="1" applyBorder="1" applyAlignment="1">
      <alignment vertical="center"/>
    </xf>
    <xf numFmtId="0" fontId="2560" fillId="2562" borderId="2510" xfId="0" applyFont="1" applyFill="1" applyBorder="1" applyAlignment="1">
      <alignment vertical="center"/>
    </xf>
    <xf numFmtId="0" fontId="2561" fillId="2563" borderId="2511" xfId="0" applyFont="1" applyFill="1" applyBorder="1" applyAlignment="1">
      <alignment vertical="center"/>
    </xf>
    <xf numFmtId="0" fontId="2562" fillId="2564" borderId="2512" xfId="0" applyFont="1" applyFill="1" applyBorder="1" applyAlignment="1">
      <alignment vertical="center"/>
    </xf>
    <xf numFmtId="0" fontId="2563" fillId="2565" borderId="2513" xfId="0" applyFont="1" applyFill="1" applyBorder="1" applyAlignment="1">
      <alignment vertical="center"/>
    </xf>
    <xf numFmtId="0" fontId="2564" fillId="2566" borderId="2514" xfId="0" applyFont="1" applyFill="1" applyBorder="1" applyAlignment="1">
      <alignment vertical="center"/>
    </xf>
    <xf numFmtId="0" fontId="2565" fillId="2567" borderId="2515" xfId="0" applyFont="1" applyFill="1" applyBorder="1" applyAlignment="1">
      <alignment vertical="center"/>
    </xf>
    <xf numFmtId="0" fontId="2566" fillId="2568" borderId="2516" xfId="0" applyFont="1" applyFill="1" applyBorder="1" applyAlignment="1">
      <alignment vertical="center"/>
    </xf>
    <xf numFmtId="0" fontId="2567" fillId="2569" borderId="2517" xfId="0" applyFont="1" applyFill="1" applyBorder="1" applyAlignment="1">
      <alignment vertical="center"/>
    </xf>
    <xf numFmtId="0" fontId="2568" fillId="2570" borderId="2518" xfId="0" applyFont="1" applyFill="1" applyBorder="1" applyAlignment="1">
      <alignment vertical="center"/>
    </xf>
    <xf numFmtId="0" fontId="2569" fillId="2571" borderId="2519" xfId="0" applyFont="1" applyFill="1" applyBorder="1" applyAlignment="1">
      <alignment vertical="center"/>
    </xf>
    <xf numFmtId="0" fontId="2570" fillId="2572" borderId="2520" xfId="0" applyFont="1" applyFill="1" applyBorder="1" applyAlignment="1">
      <alignment vertical="center"/>
    </xf>
    <xf numFmtId="0" fontId="2571" fillId="2573" borderId="2521" xfId="0" applyFont="1" applyFill="1" applyBorder="1" applyAlignment="1">
      <alignment vertical="center"/>
    </xf>
    <xf numFmtId="0" fontId="2580" fillId="2582" borderId="2530" xfId="0" applyFont="1" applyFill="1" applyBorder="1" applyAlignment="1">
      <alignment horizontal="center"/>
    </xf>
    <xf numFmtId="0" fontId="2581" fillId="2583" borderId="2531" xfId="0" applyFont="1" applyFill="1" applyBorder="1" applyAlignment="1">
      <alignment horizontal="center"/>
    </xf>
    <xf numFmtId="0" fontId="2582" fillId="2584" borderId="2532" xfId="0" applyFont="1" applyFill="1" applyBorder="1" applyAlignment="1">
      <alignment horizontal="center"/>
    </xf>
    <xf numFmtId="0" fontId="2583" fillId="2585" borderId="2533" xfId="0" applyFont="1" applyFill="1" applyBorder="1" applyAlignment="1">
      <alignment horizontal="center"/>
    </xf>
    <xf numFmtId="0" fontId="2584" fillId="2586" borderId="2534" xfId="0" applyFont="1" applyFill="1" applyBorder="1" applyAlignment="1">
      <alignment horizontal="center"/>
    </xf>
    <xf numFmtId="0" fontId="2585" fillId="2587" borderId="2535" xfId="0" applyFont="1" applyFill="1" applyBorder="1" applyAlignment="1">
      <alignment horizontal="center"/>
    </xf>
    <xf numFmtId="0" fontId="2586" fillId="2588" borderId="2536" xfId="0" applyFont="1" applyFill="1" applyBorder="1" applyAlignment="1">
      <alignment horizontal="center"/>
    </xf>
    <xf numFmtId="0" fontId="2587" fillId="2589" borderId="2537" xfId="0" applyFont="1" applyFill="1" applyBorder="1" applyAlignment="1">
      <alignment horizontal="center"/>
    </xf>
    <xf numFmtId="14" fontId="2588" fillId="2590" borderId="2538" xfId="0" applyNumberFormat="1" applyFont="1" applyFill="1" applyBorder="1"/>
    <xf numFmtId="0" fontId="2589" fillId="2591" borderId="2539" xfId="0" applyFont="1" applyFill="1" applyBorder="1"/>
    <xf numFmtId="0" fontId="2590" fillId="2592" borderId="2540" xfId="0" applyFont="1" applyFill="1" applyBorder="1"/>
    <xf numFmtId="0" fontId="2591" fillId="2593" borderId="2541" xfId="0" applyFont="1" applyFill="1" applyBorder="1"/>
    <xf numFmtId="0" fontId="2592" fillId="2594" borderId="2542" xfId="0" applyFont="1" applyFill="1" applyBorder="1"/>
    <xf numFmtId="0" fontId="2593" fillId="2595" borderId="2543" xfId="0" applyFont="1" applyFill="1" applyBorder="1"/>
    <xf numFmtId="0" fontId="2594" fillId="2596" borderId="2544" xfId="0" applyFont="1" applyFill="1" applyBorder="1"/>
    <xf numFmtId="0" fontId="2595" fillId="2597" borderId="2545" xfId="0" applyFont="1" applyFill="1" applyBorder="1"/>
    <xf numFmtId="14" fontId="2596" fillId="2598" borderId="2546" xfId="0" applyNumberFormat="1" applyFont="1" applyFill="1" applyBorder="1"/>
    <xf numFmtId="0" fontId="2597" fillId="2599" borderId="2547" xfId="0" applyFont="1" applyFill="1" applyBorder="1"/>
    <xf numFmtId="0" fontId="2598" fillId="2600" borderId="2548" xfId="0" applyFont="1" applyFill="1" applyBorder="1"/>
    <xf numFmtId="0" fontId="2599" fillId="2601" borderId="2549" xfId="0" applyFont="1" applyFill="1" applyBorder="1"/>
    <xf numFmtId="0" fontId="2600" fillId="2602" borderId="2550" xfId="0" applyFont="1" applyFill="1" applyBorder="1"/>
    <xf numFmtId="0" fontId="2601" fillId="2603" borderId="2551" xfId="0" applyFont="1" applyFill="1" applyBorder="1"/>
    <xf numFmtId="0" fontId="2602" fillId="2604" borderId="2552" xfId="0" applyFont="1" applyFill="1" applyBorder="1"/>
    <xf numFmtId="0" fontId="2603" fillId="2605" borderId="2553" xfId="0" applyFont="1" applyFill="1" applyBorder="1"/>
    <xf numFmtId="14" fontId="2604" fillId="2606" borderId="2554" xfId="0" applyNumberFormat="1" applyFont="1" applyFill="1" applyBorder="1"/>
    <xf numFmtId="0" fontId="2605" fillId="2607" borderId="2555" xfId="0" applyFont="1" applyFill="1" applyBorder="1"/>
    <xf numFmtId="0" fontId="2606" fillId="2608" borderId="2556" xfId="0" applyFont="1" applyFill="1" applyBorder="1"/>
    <xf numFmtId="0" fontId="2607" fillId="2609" borderId="2557" xfId="0" applyFont="1" applyFill="1" applyBorder="1"/>
    <xf numFmtId="0" fontId="2608" fillId="2610" borderId="2558" xfId="0" applyFont="1" applyFill="1" applyBorder="1"/>
    <xf numFmtId="0" fontId="2609" fillId="2611" borderId="2559" xfId="0" applyFont="1" applyFill="1" applyBorder="1"/>
    <xf numFmtId="0" fontId="2610" fillId="2612" borderId="2560" xfId="0" applyFont="1" applyFill="1" applyBorder="1"/>
    <xf numFmtId="0" fontId="2611" fillId="2613" borderId="2561" xfId="0" applyFont="1" applyFill="1" applyBorder="1"/>
    <xf numFmtId="14" fontId="2612" fillId="2614" borderId="2562" xfId="0" applyNumberFormat="1" applyFont="1" applyFill="1" applyBorder="1"/>
    <xf numFmtId="0" fontId="2613" fillId="2615" borderId="2563" xfId="0" applyFont="1" applyFill="1" applyBorder="1"/>
    <xf numFmtId="0" fontId="2614" fillId="2616" borderId="2564" xfId="0" applyFont="1" applyFill="1" applyBorder="1"/>
    <xf numFmtId="0" fontId="2615" fillId="2617" borderId="2565" xfId="0" applyFont="1" applyFill="1" applyBorder="1"/>
    <xf numFmtId="0" fontId="2616" fillId="2618" borderId="2566" xfId="0" applyFont="1" applyFill="1" applyBorder="1"/>
    <xf numFmtId="0" fontId="2617" fillId="2619" borderId="2567" xfId="0" applyFont="1" applyFill="1" applyBorder="1"/>
    <xf numFmtId="0" fontId="2618" fillId="2620" borderId="2568" xfId="0" applyFont="1" applyFill="1" applyBorder="1"/>
    <xf numFmtId="0" fontId="2619" fillId="2621" borderId="2569" xfId="0" applyFont="1" applyFill="1" applyBorder="1"/>
    <xf numFmtId="14" fontId="2620" fillId="2622" borderId="2570" xfId="0" applyNumberFormat="1" applyFont="1" applyFill="1" applyBorder="1"/>
    <xf numFmtId="0" fontId="2621" fillId="2623" borderId="2571" xfId="0" applyFont="1" applyFill="1" applyBorder="1"/>
    <xf numFmtId="0" fontId="2622" fillId="2624" borderId="2572" xfId="0" applyFont="1" applyFill="1" applyBorder="1"/>
    <xf numFmtId="0" fontId="2623" fillId="2625" borderId="2573" xfId="0" applyFont="1" applyFill="1" applyBorder="1"/>
    <xf numFmtId="0" fontId="2624" fillId="2626" borderId="2574" xfId="0" applyFont="1" applyFill="1" applyBorder="1"/>
    <xf numFmtId="0" fontId="2625" fillId="2627" borderId="2575" xfId="0" applyFont="1" applyFill="1" applyBorder="1"/>
    <xf numFmtId="0" fontId="2626" fillId="2628" borderId="2576" xfId="0" applyFont="1" applyFill="1" applyBorder="1"/>
    <xf numFmtId="0" fontId="2627" fillId="2629" borderId="2577" xfId="0" applyFont="1" applyFill="1" applyBorder="1"/>
    <xf numFmtId="14" fontId="2628" fillId="2630" borderId="2578" xfId="0" applyNumberFormat="1" applyFont="1" applyFill="1" applyBorder="1"/>
    <xf numFmtId="0" fontId="2629" fillId="2631" borderId="2579" xfId="0" applyFont="1" applyFill="1" applyBorder="1"/>
    <xf numFmtId="0" fontId="2630" fillId="2632" borderId="2580" xfId="0" applyFont="1" applyFill="1" applyBorder="1"/>
    <xf numFmtId="0" fontId="2631" fillId="2633" borderId="2581" xfId="0" applyFont="1" applyFill="1" applyBorder="1"/>
    <xf numFmtId="0" fontId="2632" fillId="2634" borderId="2582" xfId="0" applyFont="1" applyFill="1" applyBorder="1"/>
    <xf numFmtId="0" fontId="2633" fillId="2635" borderId="2583" xfId="0" applyFont="1" applyFill="1" applyBorder="1"/>
    <xf numFmtId="0" fontId="2634" fillId="2636" borderId="2584" xfId="0" applyFont="1" applyFill="1" applyBorder="1"/>
    <xf numFmtId="0" fontId="2635" fillId="2637" borderId="2585" xfId="0" applyFont="1" applyFill="1" applyBorder="1"/>
    <xf numFmtId="14" fontId="2636" fillId="2638" borderId="2586" xfId="0" applyNumberFormat="1" applyFont="1" applyFill="1" applyBorder="1"/>
    <xf numFmtId="0" fontId="2637" fillId="2639" borderId="2587" xfId="0" applyFont="1" applyFill="1" applyBorder="1"/>
    <xf numFmtId="0" fontId="2638" fillId="2640" borderId="2588" xfId="0" applyFont="1" applyFill="1" applyBorder="1"/>
    <xf numFmtId="0" fontId="2639" fillId="2641" borderId="2589" xfId="0" applyFont="1" applyFill="1" applyBorder="1"/>
    <xf numFmtId="0" fontId="2640" fillId="2642" borderId="2590" xfId="0" applyFont="1" applyFill="1" applyBorder="1"/>
    <xf numFmtId="0" fontId="2641" fillId="2643" borderId="2591" xfId="0" applyFont="1" applyFill="1" applyBorder="1"/>
    <xf numFmtId="0" fontId="2642" fillId="2644" borderId="2592" xfId="0" applyFont="1" applyFill="1" applyBorder="1"/>
    <xf numFmtId="0" fontId="2643" fillId="2645" borderId="2593" xfId="0" applyFont="1" applyFill="1" applyBorder="1"/>
    <xf numFmtId="14" fontId="2644" fillId="2646" borderId="2594" xfId="0" applyNumberFormat="1" applyFont="1" applyFill="1" applyBorder="1"/>
    <xf numFmtId="0" fontId="2645" fillId="2647" borderId="2595" xfId="0" applyFont="1" applyFill="1" applyBorder="1"/>
    <xf numFmtId="0" fontId="2646" fillId="2648" borderId="2596" xfId="0" applyFont="1" applyFill="1" applyBorder="1"/>
    <xf numFmtId="0" fontId="2647" fillId="2649" borderId="2597" xfId="0" applyFont="1" applyFill="1" applyBorder="1"/>
    <xf numFmtId="0" fontId="2648" fillId="2650" borderId="2598" xfId="0" applyFont="1" applyFill="1" applyBorder="1"/>
    <xf numFmtId="0" fontId="2649" fillId="2651" borderId="2599" xfId="0" applyFont="1" applyFill="1" applyBorder="1"/>
    <xf numFmtId="0" fontId="2650" fillId="2652" borderId="2600" xfId="0" applyFont="1" applyFill="1" applyBorder="1"/>
    <xf numFmtId="0" fontId="2651" fillId="2653" borderId="2601" xfId="0" applyFont="1" applyFill="1" applyBorder="1"/>
    <xf numFmtId="0" fontId="2652" fillId="2654" borderId="2602" xfId="0" applyFont="1" applyFill="1" applyBorder="1"/>
    <xf numFmtId="0" fontId="2653" fillId="2655" borderId="2603" xfId="0" applyFont="1" applyFill="1" applyBorder="1"/>
    <xf numFmtId="0" fontId="2654" fillId="2656" borderId="2604" xfId="0" applyFont="1" applyFill="1" applyBorder="1"/>
    <xf numFmtId="0" fontId="2655" fillId="2657" borderId="2605" xfId="0" applyFont="1" applyFill="1" applyBorder="1"/>
    <xf numFmtId="0" fontId="2656" fillId="2658" borderId="2606" xfId="0" applyFont="1" applyFill="1" applyBorder="1"/>
    <xf numFmtId="0" fontId="2657" fillId="2659" borderId="2607" xfId="0" applyFont="1" applyFill="1" applyBorder="1"/>
    <xf numFmtId="0" fontId="2658" fillId="2660" borderId="2608" xfId="0" applyFont="1" applyFill="1" applyBorder="1"/>
    <xf numFmtId="0" fontId="2659" fillId="2661" borderId="2609" xfId="0" applyFont="1" applyFill="1" applyBorder="1"/>
    <xf numFmtId="0" fontId="2660" fillId="2662" borderId="2610" xfId="0" applyFont="1" applyFill="1" applyBorder="1"/>
    <xf numFmtId="0" fontId="2661" fillId="2663" borderId="2611" xfId="0" applyFont="1" applyFill="1" applyBorder="1"/>
    <xf numFmtId="0" fontId="2662" fillId="2664" borderId="2612" xfId="0" applyFont="1" applyFill="1" applyBorder="1"/>
    <xf numFmtId="0" fontId="2663" fillId="2665" borderId="2613" xfId="0" applyFont="1" applyFill="1" applyBorder="1"/>
    <xf numFmtId="0" fontId="2664" fillId="2666" borderId="2614" xfId="0" applyFont="1" applyFill="1" applyBorder="1"/>
    <xf numFmtId="0" fontId="2665" fillId="2667" borderId="2615" xfId="0" applyFont="1" applyFill="1" applyBorder="1"/>
    <xf numFmtId="0" fontId="2666" fillId="2668" borderId="2616" xfId="0" applyFont="1" applyFill="1" applyBorder="1"/>
    <xf numFmtId="0" fontId="2667" fillId="2669" borderId="2617" xfId="0" applyFont="1" applyFill="1" applyBorder="1"/>
    <xf numFmtId="0" fontId="2668" fillId="2670" borderId="2618" xfId="0" applyFont="1" applyFill="1" applyBorder="1"/>
    <xf numFmtId="0" fontId="2669" fillId="2671" borderId="2619" xfId="0" applyFont="1" applyFill="1" applyBorder="1"/>
    <xf numFmtId="0" fontId="2670" fillId="2672" borderId="2620" xfId="0" applyFont="1" applyFill="1" applyBorder="1"/>
    <xf numFmtId="0" fontId="2671" fillId="2673" borderId="2621" xfId="0" applyFont="1" applyFill="1" applyBorder="1"/>
    <xf numFmtId="0" fontId="2672" fillId="2674" borderId="2622" xfId="0" applyFont="1" applyFill="1" applyBorder="1"/>
    <xf numFmtId="0" fontId="2673" fillId="2675" borderId="2623" xfId="0" applyFont="1" applyFill="1" applyBorder="1"/>
    <xf numFmtId="0" fontId="2674" fillId="2676" borderId="2624" xfId="0" applyFont="1" applyFill="1" applyBorder="1"/>
    <xf numFmtId="0" fontId="2675" fillId="2677" borderId="2625" xfId="0" applyFont="1" applyFill="1" applyBorder="1"/>
    <xf numFmtId="0" fontId="2676" fillId="2678" borderId="2626" xfId="0" applyFont="1" applyFill="1" applyBorder="1"/>
    <xf numFmtId="0" fontId="2677" fillId="2679" borderId="2627" xfId="0" applyFont="1" applyFill="1" applyBorder="1"/>
    <xf numFmtId="0" fontId="2678" fillId="2680" borderId="2628" xfId="0" applyFont="1" applyFill="1" applyBorder="1"/>
    <xf numFmtId="0" fontId="2679" fillId="2681" borderId="2629" xfId="0" applyFont="1" applyFill="1" applyBorder="1"/>
    <xf numFmtId="14" fontId="2680" fillId="2682" borderId="2630" xfId="0" applyNumberFormat="1" applyFont="1" applyFill="1" applyBorder="1"/>
    <xf numFmtId="0" fontId="2681" fillId="2683" borderId="2631" xfId="0" applyFont="1" applyFill="1" applyBorder="1"/>
    <xf numFmtId="0" fontId="2682" fillId="2684" borderId="2632" xfId="0" applyFont="1" applyFill="1" applyBorder="1"/>
    <xf numFmtId="0" fontId="2683" fillId="2685" borderId="2633" xfId="0" applyFont="1" applyFill="1" applyBorder="1"/>
    <xf numFmtId="0" fontId="2684" fillId="2686" borderId="2634" xfId="0" applyFont="1" applyFill="1" applyBorder="1"/>
    <xf numFmtId="0" fontId="2685" fillId="2687" borderId="2635" xfId="0" applyFont="1" applyFill="1" applyBorder="1"/>
    <xf numFmtId="0" fontId="2686" fillId="2688" borderId="2636" xfId="0" applyFont="1" applyFill="1" applyBorder="1"/>
    <xf numFmtId="0" fontId="2687" fillId="2689" borderId="2637" xfId="0" applyFont="1" applyFill="1" applyBorder="1"/>
    <xf numFmtId="0" fontId="2688" fillId="2690" borderId="2638" xfId="0" applyFont="1" applyFill="1" applyBorder="1"/>
    <xf numFmtId="0" fontId="2689" fillId="2691" borderId="2639" xfId="0" applyFont="1" applyFill="1" applyBorder="1"/>
    <xf numFmtId="0" fontId="2690" fillId="2692" borderId="2640" xfId="0" applyFont="1" applyFill="1" applyBorder="1"/>
    <xf numFmtId="0" fontId="2691" fillId="2693" borderId="2641" xfId="0" applyFont="1" applyFill="1" applyBorder="1"/>
    <xf numFmtId="0" fontId="2692" fillId="2694" borderId="2642" xfId="0" applyFont="1" applyFill="1" applyBorder="1"/>
    <xf numFmtId="0" fontId="2693" fillId="2695" borderId="2643" xfId="0" applyFont="1" applyFill="1" applyBorder="1"/>
    <xf numFmtId="0" fontId="2694" fillId="2696" borderId="2644" xfId="0" applyFont="1" applyFill="1" applyBorder="1"/>
    <xf numFmtId="0" fontId="2695" fillId="2697" borderId="2645" xfId="0" applyFont="1" applyFill="1" applyBorder="1"/>
    <xf numFmtId="0" fontId="2696" fillId="2698" borderId="2646" xfId="0" applyFont="1" applyFill="1" applyBorder="1"/>
    <xf numFmtId="0" fontId="2697" fillId="2699" borderId="2647" xfId="0" applyFont="1" applyFill="1" applyBorder="1"/>
    <xf numFmtId="0" fontId="2698" fillId="2700" borderId="2648" xfId="0" applyFont="1" applyFill="1" applyBorder="1"/>
    <xf numFmtId="0" fontId="2699" fillId="2701" borderId="2649" xfId="0" applyFont="1" applyFill="1" applyBorder="1"/>
    <xf numFmtId="0" fontId="2700" fillId="2702" borderId="2650" xfId="0" applyFont="1" applyFill="1" applyBorder="1"/>
    <xf numFmtId="0" fontId="2701" fillId="2703" borderId="2651" xfId="0" applyFont="1" applyFill="1" applyBorder="1"/>
    <xf numFmtId="0" fontId="2702" fillId="2704" borderId="2652" xfId="0" applyFont="1" applyFill="1" applyBorder="1"/>
    <xf numFmtId="0" fontId="2703" fillId="2705" borderId="2653" xfId="0" applyFont="1" applyFill="1" applyBorder="1"/>
    <xf numFmtId="0" fontId="2704" fillId="2706" borderId="2654" xfId="0" applyFont="1" applyFill="1" applyBorder="1"/>
    <xf numFmtId="0" fontId="2705" fillId="2707" borderId="2655" xfId="0" applyFont="1" applyFill="1" applyBorder="1"/>
    <xf numFmtId="0" fontId="2706" fillId="2708" borderId="2656" xfId="0" applyFont="1" applyFill="1" applyBorder="1"/>
    <xf numFmtId="0" fontId="2707" fillId="2709" borderId="2657" xfId="0" applyFont="1" applyFill="1" applyBorder="1"/>
    <xf numFmtId="0" fontId="2708" fillId="2710" borderId="2658" xfId="0" applyFont="1" applyFill="1" applyBorder="1"/>
    <xf numFmtId="0" fontId="2709" fillId="2711" borderId="2659" xfId="0" applyFont="1" applyFill="1" applyBorder="1"/>
    <xf numFmtId="0" fontId="2710" fillId="2712" borderId="2660" xfId="0" applyFont="1" applyFill="1" applyBorder="1"/>
    <xf numFmtId="0" fontId="2711" fillId="2713" borderId="2661" xfId="0" applyFont="1" applyFill="1" applyBorder="1"/>
    <xf numFmtId="0" fontId="2712" fillId="2714" borderId="2662" xfId="0" applyFont="1" applyFill="1" applyBorder="1"/>
    <xf numFmtId="0" fontId="2713" fillId="2715" borderId="2663" xfId="0" applyFont="1" applyFill="1" applyBorder="1"/>
    <xf numFmtId="0" fontId="2714" fillId="2716" borderId="2664" xfId="0" applyFont="1" applyFill="1" applyBorder="1"/>
    <xf numFmtId="0" fontId="2715" fillId="2717" borderId="2665" xfId="0" applyFont="1" applyFill="1" applyBorder="1"/>
    <xf numFmtId="14" fontId="2716" fillId="2718" borderId="2666" xfId="0" applyNumberFormat="1" applyFont="1" applyFill="1" applyBorder="1"/>
    <xf numFmtId="0" fontId="2717" fillId="2719" borderId="2667" xfId="0" applyFont="1" applyFill="1" applyBorder="1"/>
    <xf numFmtId="0" fontId="2718" fillId="2720" borderId="2668" xfId="0" applyFont="1" applyFill="1" applyBorder="1"/>
    <xf numFmtId="0" fontId="2719" fillId="2721" borderId="2669" xfId="0" applyFont="1" applyFill="1" applyBorder="1"/>
    <xf numFmtId="0" fontId="2720" fillId="2722" borderId="2670" xfId="0" applyFont="1" applyFill="1" applyBorder="1"/>
    <xf numFmtId="0" fontId="2721" fillId="2723" borderId="2671" xfId="0" applyFont="1" applyFill="1" applyBorder="1"/>
    <xf numFmtId="0" fontId="2722" fillId="2724" borderId="2672" xfId="0" applyFont="1" applyFill="1" applyBorder="1"/>
    <xf numFmtId="0" fontId="2723" fillId="2725" borderId="2673" xfId="0" applyFont="1" applyFill="1" applyBorder="1"/>
    <xf numFmtId="0" fontId="2724" fillId="2726" borderId="2674" xfId="0" applyFont="1" applyFill="1" applyBorder="1"/>
    <xf numFmtId="0" fontId="2725" fillId="2727" borderId="2675" xfId="0" applyFont="1" applyFill="1" applyBorder="1"/>
    <xf numFmtId="0" fontId="2726" fillId="2728" borderId="2676" xfId="0" applyFont="1" applyFill="1" applyBorder="1"/>
    <xf numFmtId="0" fontId="2727" fillId="2729" borderId="2677" xfId="0" applyFont="1" applyFill="1" applyBorder="1"/>
    <xf numFmtId="0" fontId="2728" fillId="2730" borderId="2678" xfId="0" applyFont="1" applyFill="1" applyBorder="1"/>
    <xf numFmtId="0" fontId="2729" fillId="2731" borderId="2679" xfId="0" applyFont="1" applyFill="1" applyBorder="1"/>
    <xf numFmtId="0" fontId="2730" fillId="2732" borderId="2680" xfId="0" applyFont="1" applyFill="1" applyBorder="1"/>
    <xf numFmtId="0" fontId="2731" fillId="2733" borderId="2681" xfId="0" applyFont="1" applyFill="1" applyBorder="1"/>
    <xf numFmtId="0" fontId="2732" fillId="2734" borderId="2682" xfId="0" applyFont="1" applyFill="1" applyBorder="1"/>
    <xf numFmtId="0" fontId="2733" fillId="2735" borderId="2683" xfId="0" applyFont="1" applyFill="1" applyBorder="1"/>
    <xf numFmtId="0" fontId="2734" fillId="2736" borderId="2684" xfId="0" applyFont="1" applyFill="1" applyBorder="1"/>
    <xf numFmtId="0" fontId="2735" fillId="2737" borderId="2685" xfId="0" applyFont="1" applyFill="1" applyBorder="1"/>
    <xf numFmtId="0" fontId="2736" fillId="2738" borderId="2686" xfId="0" applyFont="1" applyFill="1" applyBorder="1"/>
    <xf numFmtId="0" fontId="2737" fillId="2739" borderId="2687" xfId="0" applyFont="1" applyFill="1" applyBorder="1"/>
    <xf numFmtId="0" fontId="2738" fillId="2740" borderId="2688" xfId="0" applyFont="1" applyFill="1" applyBorder="1"/>
    <xf numFmtId="0" fontId="2739" fillId="2741" borderId="2689" xfId="0" applyFont="1" applyFill="1" applyBorder="1"/>
    <xf numFmtId="0" fontId="2740" fillId="2742" borderId="2690" xfId="0" applyFont="1" applyFill="1" applyBorder="1"/>
    <xf numFmtId="0" fontId="2741" fillId="2743" borderId="2691" xfId="0" applyFont="1" applyFill="1" applyBorder="1"/>
    <xf numFmtId="0" fontId="2742" fillId="2744" borderId="2692" xfId="0" applyFont="1" applyFill="1" applyBorder="1"/>
    <xf numFmtId="0" fontId="2743" fillId="2745" borderId="2693" xfId="0" applyFont="1" applyFill="1" applyBorder="1"/>
    <xf numFmtId="0" fontId="2744" fillId="2746" borderId="2694" xfId="0" applyFont="1" applyFill="1" applyBorder="1"/>
    <xf numFmtId="0" fontId="2745" fillId="2747" borderId="2695" xfId="0" applyFont="1" applyFill="1" applyBorder="1"/>
    <xf numFmtId="0" fontId="2746" fillId="2748" borderId="2696" xfId="0" applyFont="1" applyFill="1" applyBorder="1"/>
    <xf numFmtId="0" fontId="2747" fillId="2749" borderId="2697" xfId="0" applyFont="1" applyFill="1" applyBorder="1"/>
    <xf numFmtId="0" fontId="2748" fillId="2750" borderId="2698" xfId="0" applyFont="1" applyFill="1" applyBorder="1"/>
    <xf numFmtId="0" fontId="2749" fillId="2751" borderId="2699" xfId="0" applyFont="1" applyFill="1" applyBorder="1"/>
    <xf numFmtId="0" fontId="2750" fillId="2752" borderId="2700" xfId="0" applyFont="1" applyFill="1" applyBorder="1"/>
    <xf numFmtId="0" fontId="2751" fillId="2753" borderId="2701" xfId="0" applyFont="1" applyFill="1" applyBorder="1"/>
    <xf numFmtId="14" fontId="2752" fillId="2754" borderId="2702" xfId="0" applyNumberFormat="1" applyFont="1" applyFill="1" applyBorder="1"/>
    <xf numFmtId="0" fontId="2753" fillId="2755" borderId="2703" xfId="0" applyFont="1" applyFill="1" applyBorder="1"/>
    <xf numFmtId="0" fontId="2754" fillId="2756" borderId="2704" xfId="0" applyFont="1" applyFill="1" applyBorder="1"/>
    <xf numFmtId="0" fontId="2755" fillId="2757" borderId="2705" xfId="0" applyFont="1" applyFill="1" applyBorder="1"/>
    <xf numFmtId="0" fontId="2756" fillId="2758" borderId="2706" xfId="0" applyFont="1" applyFill="1" applyBorder="1"/>
    <xf numFmtId="0" fontId="2757" fillId="2759" borderId="2707" xfId="0" applyFont="1" applyFill="1" applyBorder="1"/>
    <xf numFmtId="0" fontId="2758" fillId="2760" borderId="2708" xfId="0" applyFont="1" applyFill="1" applyBorder="1"/>
    <xf numFmtId="0" fontId="2759" fillId="2761" borderId="2709" xfId="0" applyFont="1" applyFill="1" applyBorder="1"/>
    <xf numFmtId="0" fontId="2760" fillId="2762" borderId="2710" xfId="0" applyFont="1" applyFill="1" applyBorder="1"/>
    <xf numFmtId="0" fontId="2761" fillId="2763" borderId="2711" xfId="0" applyFont="1" applyFill="1" applyBorder="1"/>
    <xf numFmtId="0" fontId="2762" fillId="2764" borderId="2712" xfId="0" applyFont="1" applyFill="1" applyBorder="1"/>
    <xf numFmtId="0" fontId="2763" fillId="2765" borderId="2713" xfId="0" applyFont="1" applyFill="1" applyBorder="1"/>
    <xf numFmtId="0" fontId="2764" fillId="2766" borderId="2714" xfId="0" applyFont="1" applyFill="1" applyBorder="1"/>
    <xf numFmtId="0" fontId="2765" fillId="2767" borderId="2715" xfId="0" applyFont="1" applyFill="1" applyBorder="1"/>
    <xf numFmtId="0" fontId="2766" fillId="2768" borderId="2716" xfId="0" applyFont="1" applyFill="1" applyBorder="1"/>
    <xf numFmtId="0" fontId="2767" fillId="2769" borderId="2717" xfId="0" applyFont="1" applyFill="1" applyBorder="1"/>
    <xf numFmtId="0" fontId="2768" fillId="2770" borderId="2718" xfId="0" applyFont="1" applyFill="1" applyBorder="1"/>
    <xf numFmtId="0" fontId="2769" fillId="2771" borderId="2719" xfId="0" applyFont="1" applyFill="1" applyBorder="1"/>
    <xf numFmtId="0" fontId="2770" fillId="2772" borderId="2720" xfId="0" applyFont="1" applyFill="1" applyBorder="1"/>
    <xf numFmtId="0" fontId="2771" fillId="2773" borderId="2721" xfId="0" applyFont="1" applyFill="1" applyBorder="1"/>
    <xf numFmtId="0" fontId="2772" fillId="2774" borderId="2722" xfId="0" applyFont="1" applyFill="1" applyBorder="1"/>
    <xf numFmtId="0" fontId="2773" fillId="2775" borderId="2723" xfId="0" applyFont="1" applyFill="1" applyBorder="1"/>
    <xf numFmtId="0" fontId="2774" fillId="2776" borderId="2724" xfId="0" applyFont="1" applyFill="1" applyBorder="1"/>
    <xf numFmtId="0" fontId="2775" fillId="2777" borderId="2725" xfId="0" applyFont="1" applyFill="1" applyBorder="1"/>
    <xf numFmtId="0" fontId="2776" fillId="2778" borderId="2726" xfId="0" applyFont="1" applyFill="1" applyBorder="1"/>
    <xf numFmtId="0" fontId="2777" fillId="2779" borderId="2727" xfId="0" applyFont="1" applyFill="1" applyBorder="1"/>
    <xf numFmtId="0" fontId="2778" fillId="2780" borderId="2728" xfId="0" applyFont="1" applyFill="1" applyBorder="1"/>
    <xf numFmtId="0" fontId="2779" fillId="2781" borderId="2729" xfId="0" applyFont="1" applyFill="1" applyBorder="1"/>
    <xf numFmtId="0" fontId="2780" fillId="2782" borderId="2730" xfId="0" applyFont="1" applyFill="1" applyBorder="1"/>
    <xf numFmtId="0" fontId="2781" fillId="2783" borderId="2731" xfId="0" applyFont="1" applyFill="1" applyBorder="1"/>
    <xf numFmtId="0" fontId="2782" fillId="2784" borderId="2732" xfId="0" applyFont="1" applyFill="1" applyBorder="1"/>
    <xf numFmtId="0" fontId="2783" fillId="2785" borderId="2733" xfId="0" applyFont="1" applyFill="1" applyBorder="1"/>
    <xf numFmtId="0" fontId="2784" fillId="2786" borderId="2734" xfId="0" applyFont="1" applyFill="1" applyBorder="1"/>
    <xf numFmtId="0" fontId="2785" fillId="2787" borderId="2735" xfId="0" applyFont="1" applyFill="1" applyBorder="1"/>
    <xf numFmtId="0" fontId="2786" fillId="2788" borderId="2736" xfId="0" applyFont="1" applyFill="1" applyBorder="1"/>
    <xf numFmtId="0" fontId="2787" fillId="2789" borderId="2737" xfId="0" applyFont="1" applyFill="1" applyBorder="1"/>
    <xf numFmtId="14" fontId="2788" fillId="2790" borderId="2738" xfId="0" applyNumberFormat="1" applyFont="1" applyFill="1" applyBorder="1"/>
    <xf numFmtId="0" fontId="2789" fillId="2791" borderId="2739" xfId="0" applyFont="1" applyFill="1" applyBorder="1"/>
    <xf numFmtId="0" fontId="2790" fillId="2792" borderId="2740" xfId="0" applyFont="1" applyFill="1" applyBorder="1"/>
    <xf numFmtId="0" fontId="2791" fillId="2793" borderId="2741" xfId="0" applyFont="1" applyFill="1" applyBorder="1"/>
    <xf numFmtId="0" fontId="2792" fillId="2794" borderId="2742" xfId="0" applyFont="1" applyFill="1" applyBorder="1"/>
    <xf numFmtId="0" fontId="2793" fillId="2795" borderId="2743" xfId="0" applyFont="1" applyFill="1" applyBorder="1"/>
    <xf numFmtId="0" fontId="2794" fillId="2796" borderId="2744" xfId="0" applyFont="1" applyFill="1" applyBorder="1"/>
    <xf numFmtId="0" fontId="2795" fillId="2797" borderId="2745" xfId="0" applyFont="1" applyFill="1" applyBorder="1"/>
    <xf numFmtId="0" fontId="2796" fillId="2798" borderId="2746" xfId="0" applyFont="1" applyFill="1" applyBorder="1"/>
    <xf numFmtId="0" fontId="2797" fillId="2799" borderId="2747" xfId="0" applyFont="1" applyFill="1" applyBorder="1"/>
    <xf numFmtId="0" fontId="2798" fillId="2800" borderId="2748" xfId="0" applyFont="1" applyFill="1" applyBorder="1"/>
    <xf numFmtId="0" fontId="2799" fillId="2801" borderId="2749" xfId="0" applyFont="1" applyFill="1" applyBorder="1"/>
    <xf numFmtId="0" fontId="2800" fillId="2802" borderId="2750" xfId="0" applyFont="1" applyFill="1" applyBorder="1"/>
    <xf numFmtId="0" fontId="2801" fillId="2803" borderId="2751" xfId="0" applyFont="1" applyFill="1" applyBorder="1"/>
    <xf numFmtId="0" fontId="2802" fillId="2804" borderId="2752" xfId="0" applyFont="1" applyFill="1" applyBorder="1"/>
    <xf numFmtId="0" fontId="2803" fillId="2805" borderId="2753" xfId="0" applyFont="1" applyFill="1" applyBorder="1"/>
    <xf numFmtId="0" fontId="2804" fillId="2806" borderId="2754" xfId="0" applyFont="1" applyFill="1" applyBorder="1"/>
    <xf numFmtId="0" fontId="2805" fillId="2807" borderId="2755" xfId="0" applyFont="1" applyFill="1" applyBorder="1"/>
    <xf numFmtId="0" fontId="2806" fillId="2808" borderId="2756" xfId="0" applyFont="1" applyFill="1" applyBorder="1"/>
    <xf numFmtId="0" fontId="2807" fillId="2809" borderId="2757" xfId="0" applyFont="1" applyFill="1" applyBorder="1"/>
    <xf numFmtId="0" fontId="2808" fillId="2810" borderId="2758" xfId="0" applyFont="1" applyFill="1" applyBorder="1"/>
    <xf numFmtId="0" fontId="2809" fillId="2811" borderId="2759" xfId="0" applyFont="1" applyFill="1" applyBorder="1"/>
    <xf numFmtId="14" fontId="2810" fillId="2812" borderId="2760" xfId="0" applyNumberFormat="1" applyFont="1" applyFill="1" applyBorder="1"/>
    <xf numFmtId="0" fontId="2811" fillId="2813" borderId="2761" xfId="0" applyFont="1" applyFill="1" applyBorder="1"/>
    <xf numFmtId="0" fontId="2812" fillId="2814" borderId="2762" xfId="0" applyFont="1" applyFill="1" applyBorder="1"/>
    <xf numFmtId="0" fontId="2813" fillId="2815" borderId="2763" xfId="0" applyFont="1" applyFill="1" applyBorder="1"/>
    <xf numFmtId="0" fontId="2814" fillId="2816" borderId="2764" xfId="0" applyFont="1" applyFill="1" applyBorder="1"/>
    <xf numFmtId="0" fontId="2815" fillId="2817" borderId="2765" xfId="0" applyFont="1" applyFill="1" applyBorder="1"/>
    <xf numFmtId="0" fontId="2816" fillId="2818" borderId="2766" xfId="0" applyFont="1" applyFill="1" applyBorder="1"/>
    <xf numFmtId="0" fontId="2817" fillId="2819" borderId="2767" xfId="0" applyFont="1" applyFill="1" applyBorder="1"/>
    <xf numFmtId="0" fontId="2818" fillId="2820" borderId="2768" xfId="0" applyFont="1" applyFill="1" applyBorder="1"/>
    <xf numFmtId="0" fontId="2819" fillId="2821" borderId="2769" xfId="0" applyFont="1" applyFill="1" applyBorder="1"/>
    <xf numFmtId="0" fontId="2820" fillId="2822" borderId="2770" xfId="0" applyFont="1" applyFill="1" applyBorder="1"/>
    <xf numFmtId="0" fontId="2821" fillId="2823" borderId="2771" xfId="0" applyFont="1" applyFill="1" applyBorder="1"/>
    <xf numFmtId="0" fontId="2822" fillId="2824" borderId="2772" xfId="0" applyFont="1" applyFill="1" applyBorder="1"/>
    <xf numFmtId="0" fontId="2823" fillId="2825" borderId="2773" xfId="0" applyFont="1" applyFill="1" applyBorder="1"/>
    <xf numFmtId="0" fontId="2824" fillId="2826" borderId="2774" xfId="0" applyFont="1" applyFill="1" applyBorder="1"/>
    <xf numFmtId="0" fontId="2825" fillId="2827" borderId="2775" xfId="0" applyFont="1" applyFill="1" applyBorder="1"/>
    <xf numFmtId="0" fontId="2826" fillId="2828" borderId="2776" xfId="0" applyFont="1" applyFill="1" applyBorder="1"/>
    <xf numFmtId="0" fontId="2827" fillId="2829" borderId="2777" xfId="0" applyFont="1" applyFill="1" applyBorder="1"/>
    <xf numFmtId="0" fontId="2828" fillId="2830" borderId="2778" xfId="0" applyFont="1" applyFill="1" applyBorder="1"/>
    <xf numFmtId="0" fontId="2829" fillId="2831" borderId="2779" xfId="0" applyFont="1" applyFill="1" applyBorder="1"/>
    <xf numFmtId="0" fontId="2830" fillId="2832" borderId="2780" xfId="0" applyFont="1" applyFill="1" applyBorder="1"/>
    <xf numFmtId="0" fontId="2831" fillId="2833" borderId="2781" xfId="0" applyFont="1" applyFill="1" applyBorder="1"/>
    <xf numFmtId="0" fontId="2832" fillId="2834" borderId="2782" xfId="0" applyFont="1" applyFill="1" applyBorder="1"/>
    <xf numFmtId="0" fontId="2833" fillId="2835" borderId="2783" xfId="0" applyFont="1" applyFill="1" applyBorder="1"/>
    <xf numFmtId="0" fontId="2834" fillId="2836" borderId="2784" xfId="0" applyFont="1" applyFill="1" applyBorder="1"/>
    <xf numFmtId="0" fontId="2835" fillId="2837" borderId="2785" xfId="0" applyFont="1" applyFill="1" applyBorder="1"/>
    <xf numFmtId="0" fontId="2836" fillId="2838" borderId="2786" xfId="0" applyFont="1" applyFill="1" applyBorder="1"/>
    <xf numFmtId="0" fontId="2837" fillId="2839" borderId="2787" xfId="0" applyFont="1" applyFill="1" applyBorder="1"/>
    <xf numFmtId="0" fontId="2838" fillId="2840" borderId="2788" xfId="0" applyFont="1" applyFill="1" applyBorder="1"/>
    <xf numFmtId="0" fontId="2839" fillId="2841" borderId="2789" xfId="0" applyFont="1" applyFill="1" applyBorder="1"/>
    <xf numFmtId="0" fontId="2840" fillId="2842" borderId="2790" xfId="0" applyFont="1" applyFill="1" applyBorder="1"/>
    <xf numFmtId="0" fontId="2841" fillId="2843" borderId="2791" xfId="0" applyFont="1" applyFill="1" applyBorder="1"/>
    <xf numFmtId="0" fontId="2842" fillId="2844" borderId="2792" xfId="0" applyFont="1" applyFill="1" applyBorder="1"/>
    <xf numFmtId="0" fontId="2843" fillId="2845" borderId="2793" xfId="0" applyFont="1" applyFill="1" applyBorder="1"/>
    <xf numFmtId="0" fontId="2844" fillId="2846" borderId="2794" xfId="0" applyFont="1" applyFill="1" applyBorder="1"/>
    <xf numFmtId="0" fontId="2845" fillId="2847" borderId="2795" xfId="0" applyFont="1" applyFill="1" applyBorder="1"/>
    <xf numFmtId="14" fontId="2846" fillId="2848" borderId="2796" xfId="0" applyNumberFormat="1" applyFont="1" applyFill="1" applyBorder="1"/>
    <xf numFmtId="0" fontId="2847" fillId="2849" borderId="2797" xfId="0" applyFont="1" applyFill="1" applyBorder="1"/>
    <xf numFmtId="0" fontId="2848" fillId="2850" borderId="2798" xfId="0" applyFont="1" applyFill="1" applyBorder="1"/>
    <xf numFmtId="0" fontId="2849" fillId="2851" borderId="2799" xfId="0" applyFont="1" applyFill="1" applyBorder="1"/>
    <xf numFmtId="0" fontId="2850" fillId="2852" borderId="2800" xfId="0" applyFont="1" applyFill="1" applyBorder="1"/>
    <xf numFmtId="0" fontId="2851" fillId="2853" borderId="2801" xfId="0" applyFont="1" applyFill="1" applyBorder="1"/>
    <xf numFmtId="0" fontId="2852" fillId="2854" borderId="2802" xfId="0" applyFont="1" applyFill="1" applyBorder="1"/>
    <xf numFmtId="0" fontId="2853" fillId="2855" borderId="2803" xfId="0" applyFont="1" applyFill="1" applyBorder="1"/>
    <xf numFmtId="0" fontId="2854" fillId="2856" borderId="2804" xfId="0" applyFont="1" applyFill="1" applyBorder="1"/>
    <xf numFmtId="0" fontId="2855" fillId="2857" borderId="2805" xfId="0" applyFont="1" applyFill="1" applyBorder="1"/>
    <xf numFmtId="0" fontId="2856" fillId="2858" borderId="2806" xfId="0" applyFont="1" applyFill="1" applyBorder="1"/>
    <xf numFmtId="0" fontId="2857" fillId="2859" borderId="2807" xfId="0" applyFont="1" applyFill="1" applyBorder="1"/>
    <xf numFmtId="0" fontId="2858" fillId="2860" borderId="2808" xfId="0" applyFont="1" applyFill="1" applyBorder="1"/>
    <xf numFmtId="0" fontId="2859" fillId="2861" borderId="2809" xfId="0" applyFont="1" applyFill="1" applyBorder="1"/>
    <xf numFmtId="0" fontId="2860" fillId="2862" borderId="2810" xfId="0" applyFont="1" applyFill="1" applyBorder="1"/>
    <xf numFmtId="0" fontId="2861" fillId="2863" borderId="2811" xfId="0" applyFont="1" applyFill="1" applyBorder="1"/>
    <xf numFmtId="0" fontId="2862" fillId="2864" borderId="2812" xfId="0" applyFont="1" applyFill="1" applyBorder="1"/>
    <xf numFmtId="0" fontId="2863" fillId="2865" borderId="2813" xfId="0" applyFont="1" applyFill="1" applyBorder="1"/>
    <xf numFmtId="0" fontId="2864" fillId="2866" borderId="2814" xfId="0" applyFont="1" applyFill="1" applyBorder="1"/>
    <xf numFmtId="0" fontId="2865" fillId="2867" borderId="2815" xfId="0" applyFont="1" applyFill="1" applyBorder="1"/>
    <xf numFmtId="0" fontId="2866" fillId="2868" borderId="2816" xfId="0" applyFont="1" applyFill="1" applyBorder="1"/>
    <xf numFmtId="0" fontId="2867" fillId="2869" borderId="2817" xfId="0" applyFont="1" applyFill="1" applyBorder="1"/>
    <xf numFmtId="14" fontId="2868" fillId="2870" borderId="2818" xfId="0" applyNumberFormat="1" applyFont="1" applyFill="1" applyBorder="1"/>
    <xf numFmtId="0" fontId="2869" fillId="2871" borderId="2819" xfId="0" applyFont="1" applyFill="1" applyBorder="1"/>
    <xf numFmtId="0" fontId="2870" fillId="2872" borderId="2820" xfId="0" applyFont="1" applyFill="1" applyBorder="1"/>
    <xf numFmtId="0" fontId="2871" fillId="2873" borderId="2821" xfId="0" applyFont="1" applyFill="1" applyBorder="1"/>
    <xf numFmtId="0" fontId="2872" fillId="2874" borderId="2822" xfId="0" applyFont="1" applyFill="1" applyBorder="1"/>
    <xf numFmtId="0" fontId="2873" fillId="2875" borderId="2823" xfId="0" applyFont="1" applyFill="1" applyBorder="1"/>
    <xf numFmtId="0" fontId="2874" fillId="2876" borderId="2824" xfId="0" applyFont="1" applyFill="1" applyBorder="1"/>
    <xf numFmtId="0" fontId="2875" fillId="2877" borderId="2825" xfId="0" applyFont="1" applyFill="1" applyBorder="1"/>
    <xf numFmtId="0" fontId="2876" fillId="2878" borderId="2826" xfId="0" applyFont="1" applyFill="1" applyBorder="1"/>
    <xf numFmtId="0" fontId="2877" fillId="2879" borderId="2827" xfId="0" applyFont="1" applyFill="1" applyBorder="1"/>
    <xf numFmtId="0" fontId="2878" fillId="2880" borderId="2828" xfId="0" applyFont="1" applyFill="1" applyBorder="1"/>
    <xf numFmtId="0" fontId="2879" fillId="2881" borderId="2829" xfId="0" applyFont="1" applyFill="1" applyBorder="1"/>
    <xf numFmtId="0" fontId="2880" fillId="2883" borderId="2831" xfId="0" applyFont="1" applyFill="1" applyBorder="1"/>
    <xf numFmtId="0" fontId="2881" fillId="2884" borderId="2832" xfId="0" applyFont="1" applyFill="1" applyBorder="1"/>
    <xf numFmtId="0" fontId="2882" fillId="2885" borderId="2833" xfId="0" applyFont="1" applyFill="1" applyBorder="1"/>
    <xf numFmtId="0" fontId="2883" fillId="2886" borderId="2834" xfId="0" applyFont="1" applyFill="1" applyBorder="1"/>
    <xf numFmtId="0" fontId="2884" fillId="2887" borderId="2835" xfId="0" applyFont="1" applyFill="1" applyBorder="1"/>
    <xf numFmtId="0" fontId="2885" fillId="2888" borderId="2836" xfId="0" applyFont="1" applyFill="1" applyBorder="1"/>
    <xf numFmtId="14" fontId="2886" fillId="2889" borderId="2837" xfId="0" applyNumberFormat="1" applyFont="1" applyFill="1" applyBorder="1"/>
    <xf numFmtId="0" fontId="2887" fillId="2890" borderId="2838" xfId="0" applyFont="1" applyFill="1" applyBorder="1"/>
    <xf numFmtId="0" fontId="2888" fillId="2891" borderId="2839" xfId="0" applyFont="1" applyFill="1" applyBorder="1"/>
    <xf numFmtId="0" fontId="2889" fillId="2892" borderId="2840" xfId="0" applyFont="1" applyFill="1" applyBorder="1"/>
    <xf numFmtId="0" fontId="2890" fillId="2893" borderId="2841" xfId="0" applyFont="1" applyFill="1" applyBorder="1"/>
    <xf numFmtId="0" fontId="2891" fillId="2894" borderId="2842" xfId="0" applyFont="1" applyFill="1" applyBorder="1"/>
    <xf numFmtId="0" fontId="2892" fillId="2895" borderId="2843" xfId="0" applyFont="1" applyFill="1" applyBorder="1"/>
    <xf numFmtId="0" fontId="2893" fillId="2896" borderId="2844" xfId="0" applyFont="1" applyFill="1" applyBorder="1"/>
    <xf numFmtId="0" fontId="2894" fillId="2897" borderId="2845" xfId="0" applyFont="1" applyFill="1" applyBorder="1"/>
    <xf numFmtId="0" fontId="2895" fillId="2898" borderId="2846" xfId="0" applyFont="1" applyFill="1" applyBorder="1"/>
    <xf numFmtId="0" fontId="2896" fillId="2899" borderId="2847" xfId="0" applyFont="1" applyFill="1" applyBorder="1"/>
    <xf numFmtId="0" fontId="2897" fillId="2900" borderId="2848" xfId="0" applyFont="1" applyFill="1" applyBorder="1"/>
    <xf numFmtId="0" fontId="2898" fillId="2901" borderId="2849" xfId="0" applyFont="1" applyFill="1" applyBorder="1"/>
    <xf numFmtId="0" fontId="2899" fillId="2902" borderId="2850" xfId="0" applyFont="1" applyFill="1" applyBorder="1"/>
    <xf numFmtId="0" fontId="2900" fillId="2903" borderId="2851" xfId="0" applyFont="1" applyFill="1" applyBorder="1"/>
    <xf numFmtId="0" fontId="2901" fillId="2904" borderId="2852" xfId="0" applyFont="1" applyFill="1" applyBorder="1"/>
    <xf numFmtId="0" fontId="2902" fillId="2905" borderId="2853" xfId="0" applyFont="1" applyFill="1" applyBorder="1"/>
    <xf numFmtId="0" fontId="2903" fillId="2906" borderId="2854" xfId="0" applyFont="1" applyFill="1" applyBorder="1"/>
    <xf numFmtId="0" fontId="2904" fillId="2907" borderId="2855" xfId="0" applyFont="1" applyFill="1" applyBorder="1"/>
    <xf numFmtId="0" fontId="2905" fillId="2908" borderId="2856" xfId="0" applyFont="1" applyFill="1" applyBorder="1"/>
    <xf numFmtId="0" fontId="2906" fillId="2909" borderId="2857" xfId="0" applyFont="1" applyFill="1" applyBorder="1"/>
    <xf numFmtId="0" fontId="2907" fillId="2910" borderId="2858" xfId="0" applyFont="1" applyFill="1" applyBorder="1"/>
    <xf numFmtId="0" fontId="2908" fillId="2911" borderId="2859" xfId="0" applyFont="1" applyFill="1" applyBorder="1"/>
    <xf numFmtId="0" fontId="2909" fillId="2912" borderId="2860" xfId="0" applyFont="1" applyFill="1" applyBorder="1"/>
    <xf numFmtId="0" fontId="2910" fillId="2913" borderId="2861" xfId="0" applyFont="1" applyFill="1" applyBorder="1"/>
    <xf numFmtId="0" fontId="2911" fillId="2914" borderId="2862" xfId="0" applyFont="1" applyFill="1" applyBorder="1"/>
    <xf numFmtId="0" fontId="2912" fillId="2915" borderId="2863" xfId="0" applyFont="1" applyFill="1" applyBorder="1"/>
    <xf numFmtId="0" fontId="2913" fillId="2916" borderId="2864" xfId="0" applyFont="1" applyFill="1" applyBorder="1"/>
    <xf numFmtId="0" fontId="2914" fillId="2917" borderId="2865" xfId="0" applyFont="1" applyFill="1" applyBorder="1"/>
    <xf numFmtId="0" fontId="2915" fillId="2918" borderId="2866" xfId="0" applyFont="1" applyFill="1" applyBorder="1"/>
    <xf numFmtId="0" fontId="2916" fillId="2919" borderId="2867" xfId="0" applyFont="1" applyFill="1" applyBorder="1"/>
    <xf numFmtId="0" fontId="2917" fillId="2920" borderId="2868" xfId="0" applyFont="1" applyFill="1" applyBorder="1"/>
    <xf numFmtId="0" fontId="2918" fillId="2921" borderId="2869" xfId="0" applyFont="1" applyFill="1" applyBorder="1"/>
    <xf numFmtId="0" fontId="2919" fillId="2922" borderId="2870" xfId="0" applyFont="1" applyFill="1" applyBorder="1"/>
    <xf numFmtId="0" fontId="2920" fillId="2923" borderId="2871" xfId="0" applyFont="1" applyFill="1" applyBorder="1"/>
    <xf numFmtId="0" fontId="2921" fillId="2924" borderId="2872" xfId="0" applyFont="1" applyFill="1" applyBorder="1"/>
    <xf numFmtId="0" fontId="2922" fillId="2925" borderId="2873" xfId="0" applyFont="1" applyFill="1" applyBorder="1"/>
    <xf numFmtId="0" fontId="2923" fillId="2926" borderId="2874" xfId="0" applyFont="1" applyFill="1" applyBorder="1"/>
    <xf numFmtId="0" fontId="2924" fillId="2927" borderId="2875" xfId="0" applyFont="1" applyFill="1" applyBorder="1"/>
    <xf numFmtId="0" fontId="2925" fillId="2928" borderId="2876" xfId="0" applyFont="1" applyFill="1" applyBorder="1"/>
    <xf numFmtId="0" fontId="2926" fillId="2929" borderId="2877" xfId="0" applyFont="1" applyFill="1" applyBorder="1"/>
    <xf numFmtId="0" fontId="2927" fillId="2930" borderId="2878" xfId="0" applyFont="1" applyFill="1" applyBorder="1"/>
    <xf numFmtId="0" fontId="2928" fillId="2931" borderId="2879" xfId="0" applyFont="1" applyFill="1" applyBorder="1"/>
    <xf numFmtId="0" fontId="2929" fillId="2932" borderId="2880" xfId="0" applyFont="1" applyFill="1" applyBorder="1"/>
    <xf numFmtId="0" fontId="2930" fillId="2933" borderId="2881" xfId="0" applyFont="1" applyFill="1" applyBorder="1"/>
    <xf numFmtId="0" fontId="2931" fillId="2934" borderId="2882" xfId="0" applyFont="1" applyFill="1" applyBorder="1"/>
    <xf numFmtId="0" fontId="2932" fillId="2935" borderId="2883" xfId="0" applyFont="1" applyFill="1" applyBorder="1"/>
    <xf numFmtId="0" fontId="2933" fillId="2936" borderId="2884" xfId="0" applyFont="1" applyFill="1" applyBorder="1"/>
    <xf numFmtId="0" fontId="2934" fillId="2937" borderId="2885" xfId="0" applyFont="1" applyFill="1" applyBorder="1"/>
    <xf numFmtId="0" fontId="2935" fillId="2938" borderId="2886" xfId="0" applyFont="1" applyFill="1" applyBorder="1"/>
    <xf numFmtId="0" fontId="2936" fillId="2939" borderId="2887" xfId="0" applyFont="1" applyFill="1" applyBorder="1"/>
    <xf numFmtId="0" fontId="2937" fillId="2940" borderId="2888" xfId="0" applyFont="1" applyFill="1" applyBorder="1"/>
    <xf numFmtId="0" fontId="2938" fillId="2941" borderId="2889" xfId="0" applyFont="1" applyFill="1" applyBorder="1"/>
    <xf numFmtId="0" fontId="2939" fillId="2942" borderId="2890" xfId="0" applyFont="1" applyFill="1" applyBorder="1"/>
    <xf numFmtId="0" fontId="2940" fillId="2943" borderId="2891" xfId="0" applyFont="1" applyFill="1" applyBorder="1"/>
    <xf numFmtId="0" fontId="2941" fillId="2944" borderId="2892" xfId="0" applyFont="1" applyFill="1" applyBorder="1"/>
    <xf numFmtId="0" fontId="2942" fillId="2945" borderId="2893" xfId="0" applyFont="1" applyFill="1" applyBorder="1"/>
    <xf numFmtId="0" fontId="2943" fillId="2946" borderId="2894" xfId="0" applyFont="1" applyFill="1" applyBorder="1"/>
    <xf numFmtId="0" fontId="2944" fillId="2947" borderId="2895" xfId="0" applyFont="1" applyFill="1" applyBorder="1"/>
    <xf numFmtId="0" fontId="2945" fillId="2948" borderId="2896" xfId="0" applyFont="1" applyFill="1" applyBorder="1"/>
    <xf numFmtId="0" fontId="2946" fillId="2949" borderId="2897" xfId="0" applyFont="1" applyFill="1" applyBorder="1"/>
    <xf numFmtId="0" fontId="2947" fillId="2950" borderId="2898" xfId="0" applyFont="1" applyFill="1" applyBorder="1"/>
    <xf numFmtId="0" fontId="2948" fillId="2951" borderId="2899" xfId="0" applyFont="1" applyFill="1" applyBorder="1"/>
    <xf numFmtId="0" fontId="2949" fillId="2952" borderId="2900" xfId="0" applyFont="1" applyFill="1" applyBorder="1"/>
    <xf numFmtId="0" fontId="2950" fillId="2953" borderId="2901" xfId="0" applyFont="1" applyFill="1" applyBorder="1"/>
    <xf numFmtId="0" fontId="2951" fillId="2954" borderId="2902" xfId="0" applyFont="1" applyFill="1" applyBorder="1"/>
    <xf numFmtId="0" fontId="2952" fillId="2955" borderId="2903" xfId="0" applyFont="1" applyFill="1" applyBorder="1"/>
    <xf numFmtId="0" fontId="2953" fillId="2956" borderId="2904" xfId="0" applyFont="1" applyFill="1" applyBorder="1"/>
    <xf numFmtId="0" fontId="2954" fillId="2957" borderId="2905" xfId="0" applyFont="1" applyFill="1" applyBorder="1"/>
    <xf numFmtId="0" fontId="2955" fillId="2958" borderId="2906" xfId="0" applyFont="1" applyFill="1" applyBorder="1"/>
    <xf numFmtId="0" fontId="2956" fillId="2959" borderId="2907" xfId="0" applyFont="1" applyFill="1" applyBorder="1"/>
    <xf numFmtId="14" fontId="2957" fillId="2960" borderId="2908" xfId="0" applyNumberFormat="1" applyFont="1" applyFill="1" applyBorder="1"/>
    <xf numFmtId="0" fontId="2958" fillId="2961" borderId="2909" xfId="0" applyFont="1" applyFill="1" applyBorder="1"/>
    <xf numFmtId="0" fontId="2959" fillId="2962" borderId="2910" xfId="0" applyFont="1" applyFill="1" applyBorder="1"/>
    <xf numFmtId="0" fontId="2960" fillId="2963" borderId="2911" xfId="0" applyFont="1" applyFill="1" applyBorder="1"/>
    <xf numFmtId="0" fontId="2961" fillId="2964" borderId="2912" xfId="0" applyFont="1" applyFill="1" applyBorder="1"/>
    <xf numFmtId="0" fontId="2962" fillId="2965" borderId="2913" xfId="0" applyFont="1" applyFill="1" applyBorder="1"/>
    <xf numFmtId="0" fontId="2963" fillId="2966" borderId="2914" xfId="0" applyFont="1" applyFill="1" applyBorder="1"/>
    <xf numFmtId="0" fontId="2964" fillId="2967" borderId="2915" xfId="0" applyFont="1" applyFill="1" applyBorder="1"/>
    <xf numFmtId="0" fontId="2965" fillId="2968" borderId="2916" xfId="0" applyFont="1" applyFill="1" applyBorder="1"/>
    <xf numFmtId="0" fontId="2966" fillId="2969" borderId="2917" xfId="0" applyFont="1" applyFill="1" applyBorder="1"/>
    <xf numFmtId="0" fontId="2967" fillId="2970" borderId="2918" xfId="0" applyFont="1" applyFill="1" applyBorder="1"/>
    <xf numFmtId="0" fontId="2968" fillId="2971" borderId="2919" xfId="0" applyFont="1" applyFill="1" applyBorder="1"/>
    <xf numFmtId="0" fontId="2969" fillId="2972" borderId="2920" xfId="0" applyFont="1" applyFill="1" applyBorder="1"/>
    <xf numFmtId="0" fontId="2970" fillId="2973" borderId="2921" xfId="0" applyFont="1" applyFill="1" applyBorder="1"/>
    <xf numFmtId="0" fontId="2971" fillId="2974" borderId="2922" xfId="0" applyFont="1" applyFill="1" applyBorder="1"/>
    <xf numFmtId="0" fontId="2972" fillId="2975" borderId="2923" xfId="0" applyFont="1" applyFill="1" applyBorder="1"/>
    <xf numFmtId="0" fontId="2973" fillId="2976" borderId="2924" xfId="0" applyFont="1" applyFill="1" applyBorder="1"/>
    <xf numFmtId="0" fontId="2974" fillId="2977" borderId="2925" xfId="0" applyFont="1" applyFill="1" applyBorder="1"/>
    <xf numFmtId="0" fontId="2975" fillId="2978" borderId="2926" xfId="0" applyFont="1" applyFill="1" applyBorder="1"/>
    <xf numFmtId="0" fontId="2976" fillId="2979" borderId="2927" xfId="0" applyFont="1" applyFill="1" applyBorder="1"/>
    <xf numFmtId="0" fontId="2977" fillId="2980" borderId="2928" xfId="0" applyFont="1" applyFill="1" applyBorder="1"/>
    <xf numFmtId="0" fontId="2978" fillId="2981" borderId="2929" xfId="0" applyFont="1" applyFill="1" applyBorder="1"/>
    <xf numFmtId="0" fontId="2979" fillId="2982" borderId="2930" xfId="0" applyFont="1" applyFill="1" applyBorder="1"/>
    <xf numFmtId="0" fontId="2980" fillId="2983" borderId="2931" xfId="0" applyFont="1" applyFill="1" applyBorder="1"/>
    <xf numFmtId="0" fontId="2981" fillId="2984" borderId="2932" xfId="0" applyFont="1" applyFill="1" applyBorder="1"/>
    <xf numFmtId="0" fontId="2982" fillId="2985" borderId="2933" xfId="0" applyFont="1" applyFill="1" applyBorder="1"/>
    <xf numFmtId="0" fontId="2983" fillId="2986" borderId="2934" xfId="0" applyFont="1" applyFill="1" applyBorder="1"/>
    <xf numFmtId="0" fontId="2984" fillId="2987" borderId="2935" xfId="0" applyFont="1" applyFill="1" applyBorder="1"/>
    <xf numFmtId="0" fontId="2985" fillId="2988" borderId="2936" xfId="0" applyFont="1" applyFill="1" applyBorder="1"/>
    <xf numFmtId="0" fontId="2986" fillId="2989" borderId="2937" xfId="0" applyFont="1" applyFill="1" applyBorder="1"/>
    <xf numFmtId="0" fontId="2987" fillId="2990" borderId="2938" xfId="0" applyFont="1" applyFill="1" applyBorder="1"/>
    <xf numFmtId="0" fontId="2988" fillId="2991" borderId="2939" xfId="0" applyFont="1" applyFill="1" applyBorder="1"/>
    <xf numFmtId="0" fontId="2989" fillId="2992" borderId="2940" xfId="0" applyFont="1" applyFill="1" applyBorder="1"/>
    <xf numFmtId="0" fontId="2990" fillId="2993" borderId="2941" xfId="0" applyFont="1" applyFill="1" applyBorder="1"/>
    <xf numFmtId="0" fontId="2991" fillId="2994" borderId="2942" xfId="0" applyFont="1" applyFill="1" applyBorder="1"/>
    <xf numFmtId="0" fontId="2992" fillId="2995" borderId="2943" xfId="0" applyFont="1" applyFill="1" applyBorder="1"/>
    <xf numFmtId="0" fontId="2993" fillId="2996" borderId="2944" xfId="0" applyFont="1" applyFill="1" applyBorder="1"/>
    <xf numFmtId="0" fontId="2994" fillId="2997" borderId="2945" xfId="0" applyFont="1" applyFill="1" applyBorder="1"/>
    <xf numFmtId="0" fontId="2995" fillId="2998" borderId="2946" xfId="0" applyFont="1" applyFill="1" applyBorder="1"/>
    <xf numFmtId="0" fontId="2996" fillId="2999" borderId="2947" xfId="0" applyFont="1" applyFill="1" applyBorder="1"/>
    <xf numFmtId="0" fontId="2997" fillId="3000" borderId="2948" xfId="0" applyFont="1" applyFill="1" applyBorder="1"/>
    <xf numFmtId="0" fontId="2998" fillId="3001" borderId="2949" xfId="0" applyFont="1" applyFill="1" applyBorder="1"/>
    <xf numFmtId="0" fontId="2999" fillId="3002" borderId="2950" xfId="0" applyFont="1" applyFill="1" applyBorder="1"/>
    <xf numFmtId="0" fontId="3000" fillId="3003" borderId="2951" xfId="0" applyFont="1" applyFill="1" applyBorder="1"/>
    <xf numFmtId="0" fontId="3001" fillId="3004" borderId="2952" xfId="0" applyFont="1" applyFill="1" applyBorder="1"/>
    <xf numFmtId="0" fontId="3002" fillId="3005" borderId="2953" xfId="0" applyFont="1" applyFill="1" applyBorder="1"/>
    <xf numFmtId="0" fontId="3003" fillId="3006" borderId="2954" xfId="0" applyFont="1" applyFill="1" applyBorder="1"/>
    <xf numFmtId="0" fontId="3004" fillId="3007" borderId="2955" xfId="0" applyFont="1" applyFill="1" applyBorder="1"/>
    <xf numFmtId="0" fontId="3005" fillId="3008" borderId="2956" xfId="0" applyFont="1" applyFill="1" applyBorder="1"/>
    <xf numFmtId="0" fontId="3006" fillId="3009" borderId="2957" xfId="0" applyFont="1" applyFill="1" applyBorder="1"/>
    <xf numFmtId="0" fontId="3007" fillId="3010" borderId="2958" xfId="0" applyFont="1" applyFill="1" applyBorder="1"/>
    <xf numFmtId="14" fontId="3008" fillId="3011" borderId="2959" xfId="0" applyNumberFormat="1" applyFont="1" applyFill="1" applyBorder="1"/>
    <xf numFmtId="0" fontId="3009" fillId="3012" borderId="2960" xfId="0" applyFont="1" applyFill="1" applyBorder="1"/>
    <xf numFmtId="0" fontId="3010" fillId="3013" borderId="2961" xfId="0" applyFont="1" applyFill="1" applyBorder="1"/>
    <xf numFmtId="0" fontId="3011" fillId="3014" borderId="2962" xfId="0" applyFont="1" applyFill="1" applyBorder="1"/>
    <xf numFmtId="0" fontId="3012" fillId="3015" borderId="2963" xfId="0" applyFont="1" applyFill="1" applyBorder="1"/>
    <xf numFmtId="0" fontId="3013" fillId="3016" borderId="2964" xfId="0" applyFont="1" applyFill="1" applyBorder="1"/>
    <xf numFmtId="0" fontId="3014" fillId="3017" borderId="2965" xfId="0" applyFont="1" applyFill="1" applyBorder="1"/>
    <xf numFmtId="0" fontId="3015" fillId="3018" borderId="2966" xfId="0" applyFont="1" applyFill="1" applyBorder="1"/>
    <xf numFmtId="0" fontId="3016" fillId="3019" borderId="2967" xfId="0" applyFont="1" applyFill="1" applyBorder="1"/>
    <xf numFmtId="0" fontId="3017" fillId="3020" borderId="2968" xfId="0" applyFont="1" applyFill="1" applyBorder="1"/>
    <xf numFmtId="0" fontId="3018" fillId="3021" borderId="2969" xfId="0" applyFont="1" applyFill="1" applyBorder="1"/>
    <xf numFmtId="0" fontId="3019" fillId="3022" borderId="2970" xfId="0" applyFont="1" applyFill="1" applyBorder="1"/>
    <xf numFmtId="0" fontId="3020" fillId="3023" borderId="2971" xfId="0" applyFont="1" applyFill="1" applyBorder="1"/>
    <xf numFmtId="0" fontId="3021" fillId="3024" borderId="2972" xfId="0" applyFont="1" applyFill="1" applyBorder="1"/>
    <xf numFmtId="0" fontId="3022" fillId="3025" borderId="2973" xfId="0" applyFont="1" applyFill="1" applyBorder="1"/>
    <xf numFmtId="0" fontId="3023" fillId="3026" borderId="2974" xfId="0" applyFont="1" applyFill="1" applyBorder="1"/>
    <xf numFmtId="0" fontId="3024" fillId="3027" borderId="2975" xfId="0" applyFont="1" applyFill="1" applyBorder="1"/>
    <xf numFmtId="0" fontId="3025" fillId="3028" borderId="2976" xfId="0" applyFont="1" applyFill="1" applyBorder="1"/>
    <xf numFmtId="0" fontId="3026" fillId="3029" borderId="2977" xfId="0" applyFont="1" applyFill="1" applyBorder="1"/>
    <xf numFmtId="0" fontId="3027" fillId="3030" borderId="2978" xfId="0" applyFont="1" applyFill="1" applyBorder="1"/>
    <xf numFmtId="0" fontId="3028" fillId="3031" borderId="2979" xfId="0" applyFont="1" applyFill="1" applyBorder="1"/>
    <xf numFmtId="0" fontId="3029" fillId="3032" borderId="2980" xfId="0" applyFont="1" applyFill="1" applyBorder="1"/>
    <xf numFmtId="0" fontId="3030" fillId="3033" borderId="2981" xfId="0" applyFont="1" applyFill="1" applyBorder="1"/>
    <xf numFmtId="0" fontId="3031" fillId="3034" borderId="2982" xfId="0" applyFont="1" applyFill="1" applyBorder="1"/>
    <xf numFmtId="0" fontId="3032" fillId="3035" borderId="2983" xfId="0" applyFont="1" applyFill="1" applyBorder="1"/>
    <xf numFmtId="0" fontId="3033" fillId="3036" borderId="2984" xfId="0" applyFont="1" applyFill="1" applyBorder="1"/>
    <xf numFmtId="0" fontId="3034" fillId="3037" borderId="2985" xfId="0" applyFont="1" applyFill="1" applyBorder="1"/>
    <xf numFmtId="0" fontId="3035" fillId="3038" borderId="2986" xfId="0" applyFont="1" applyFill="1" applyBorder="1"/>
    <xf numFmtId="0" fontId="3036" fillId="3039" borderId="2987" xfId="0" applyFont="1" applyFill="1" applyBorder="1"/>
    <xf numFmtId="0" fontId="3037" fillId="3040" borderId="2988" xfId="0" applyFont="1" applyFill="1" applyBorder="1"/>
    <xf numFmtId="0" fontId="3038" fillId="3041" borderId="2989" xfId="0" applyFont="1" applyFill="1" applyBorder="1"/>
    <xf numFmtId="0" fontId="3039" fillId="3042" borderId="2990" xfId="0" applyFont="1" applyFill="1" applyBorder="1"/>
    <xf numFmtId="0" fontId="3040" fillId="3043" borderId="2991" xfId="0" applyFont="1" applyFill="1" applyBorder="1"/>
    <xf numFmtId="0" fontId="3041" fillId="3044" borderId="2992" xfId="0" applyFont="1" applyFill="1" applyBorder="1"/>
    <xf numFmtId="0" fontId="3042" fillId="3045" borderId="2993" xfId="0" applyFont="1" applyFill="1" applyBorder="1"/>
    <xf numFmtId="0" fontId="3043" fillId="3046" borderId="2994" xfId="0" applyFont="1" applyFill="1" applyBorder="1"/>
    <xf numFmtId="0" fontId="3044" fillId="3047" borderId="2995" xfId="0" applyFont="1" applyFill="1" applyBorder="1"/>
    <xf numFmtId="0" fontId="3045" fillId="3048" borderId="2996" xfId="0" applyFont="1" applyFill="1" applyBorder="1"/>
    <xf numFmtId="0" fontId="3046" fillId="3049" borderId="2997" xfId="0" applyFont="1" applyFill="1" applyBorder="1"/>
    <xf numFmtId="0" fontId="3047" fillId="3050" borderId="2998" xfId="0" applyFont="1" applyFill="1" applyBorder="1"/>
    <xf numFmtId="0" fontId="3048" fillId="3051" borderId="2999" xfId="0" applyFont="1" applyFill="1" applyBorder="1"/>
    <xf numFmtId="0" fontId="3049" fillId="3052" borderId="3000" xfId="0" applyFont="1" applyFill="1" applyBorder="1"/>
    <xf numFmtId="0" fontId="3050" fillId="3053" borderId="3001" xfId="0" applyFont="1" applyFill="1" applyBorder="1"/>
    <xf numFmtId="0" fontId="3051" fillId="3054" borderId="3002" xfId="0" applyFont="1" applyFill="1" applyBorder="1"/>
    <xf numFmtId="0" fontId="3052" fillId="3055" borderId="3003" xfId="0" applyFont="1" applyFill="1" applyBorder="1"/>
    <xf numFmtId="0" fontId="3053" fillId="3056" borderId="3004" xfId="0" applyFont="1" applyFill="1" applyBorder="1"/>
    <xf numFmtId="0" fontId="3054" fillId="3057" borderId="3005" xfId="0" applyFont="1" applyFill="1" applyBorder="1"/>
    <xf numFmtId="0" fontId="3055" fillId="3058" borderId="3006" xfId="0" applyFont="1" applyFill="1" applyBorder="1"/>
    <xf numFmtId="0" fontId="3056" fillId="3059" borderId="3007" xfId="0" applyFont="1" applyFill="1" applyBorder="1"/>
    <xf numFmtId="0" fontId="3057" fillId="3060" borderId="3008" xfId="0" applyFont="1" applyFill="1" applyBorder="1"/>
    <xf numFmtId="0" fontId="3058" fillId="3061" borderId="3009" xfId="0" applyFont="1" applyFill="1" applyBorder="1"/>
    <xf numFmtId="14" fontId="3059" fillId="3062" borderId="3010" xfId="0" applyNumberFormat="1" applyFont="1" applyFill="1" applyBorder="1"/>
    <xf numFmtId="0" fontId="3060" fillId="3063" borderId="3011" xfId="0" applyFont="1" applyFill="1" applyBorder="1"/>
    <xf numFmtId="0" fontId="3061" fillId="3064" borderId="3012" xfId="0" applyFont="1" applyFill="1" applyBorder="1"/>
    <xf numFmtId="0" fontId="3062" fillId="3065" borderId="3013" xfId="0" applyFont="1" applyFill="1" applyBorder="1"/>
    <xf numFmtId="0" fontId="3063" fillId="3066" borderId="3014" xfId="0" applyFont="1" applyFill="1" applyBorder="1"/>
    <xf numFmtId="0" fontId="3064" fillId="3067" borderId="3015" xfId="0" applyFont="1" applyFill="1" applyBorder="1"/>
    <xf numFmtId="0" fontId="3065" fillId="3068" borderId="3016" xfId="0" applyFont="1" applyFill="1" applyBorder="1"/>
    <xf numFmtId="0" fontId="3066" fillId="3069" borderId="3017" xfId="0" applyFont="1" applyFill="1" applyBorder="1"/>
    <xf numFmtId="0" fontId="3067" fillId="3070" borderId="3018" xfId="0" applyFont="1" applyFill="1" applyBorder="1"/>
    <xf numFmtId="0" fontId="3068" fillId="3071" borderId="3019" xfId="0" applyFont="1" applyFill="1" applyBorder="1"/>
    <xf numFmtId="0" fontId="3069" fillId="3072" borderId="3020" xfId="0" applyFont="1" applyFill="1" applyBorder="1"/>
    <xf numFmtId="0" fontId="3070" fillId="3073" borderId="3021" xfId="0" applyFont="1" applyFill="1" applyBorder="1"/>
    <xf numFmtId="0" fontId="3071" fillId="3074" borderId="3022" xfId="0" applyFont="1" applyFill="1" applyBorder="1"/>
    <xf numFmtId="0" fontId="3072" fillId="3075" borderId="3023" xfId="0" applyFont="1" applyFill="1" applyBorder="1"/>
    <xf numFmtId="0" fontId="3073" fillId="3076" borderId="3024" xfId="0" applyFont="1" applyFill="1" applyBorder="1"/>
    <xf numFmtId="0" fontId="3074" fillId="3077" borderId="3025" xfId="0" applyFont="1" applyFill="1" applyBorder="1"/>
    <xf numFmtId="0" fontId="3075" fillId="3078" borderId="3026" xfId="0" applyFont="1" applyFill="1" applyBorder="1"/>
    <xf numFmtId="0" fontId="3076" fillId="3079" borderId="3027" xfId="0" applyFont="1" applyFill="1" applyBorder="1"/>
    <xf numFmtId="0" fontId="3077" fillId="3080" borderId="3028" xfId="0" applyFont="1" applyFill="1" applyBorder="1"/>
    <xf numFmtId="0" fontId="3078" fillId="3081" borderId="3029" xfId="0" applyFont="1" applyFill="1" applyBorder="1"/>
    <xf numFmtId="0" fontId="3079" fillId="3082" borderId="3030" xfId="0" applyFont="1" applyFill="1" applyBorder="1"/>
    <xf numFmtId="0" fontId="3080" fillId="3083" borderId="3031" xfId="0" applyFont="1" applyFill="1" applyBorder="1"/>
    <xf numFmtId="0" fontId="3081" fillId="3084" borderId="3032" xfId="0" applyFont="1" applyFill="1" applyBorder="1"/>
    <xf numFmtId="0" fontId="3082" fillId="3085" borderId="3033" xfId="0" applyFont="1" applyFill="1" applyBorder="1"/>
    <xf numFmtId="0" fontId="3083" fillId="3086" borderId="3034" xfId="0" applyFont="1" applyFill="1" applyBorder="1"/>
    <xf numFmtId="0" fontId="3084" fillId="3087" borderId="3035" xfId="0" applyFont="1" applyFill="1" applyBorder="1"/>
    <xf numFmtId="0" fontId="3085" fillId="3088" borderId="3036" xfId="0" applyFont="1" applyFill="1" applyBorder="1"/>
    <xf numFmtId="0" fontId="3086" fillId="3089" borderId="3037" xfId="0" applyFont="1" applyFill="1" applyBorder="1"/>
    <xf numFmtId="0" fontId="3087" fillId="3090" borderId="3038" xfId="0" applyFont="1" applyFill="1" applyBorder="1"/>
    <xf numFmtId="0" fontId="3088" fillId="3091" borderId="3039" xfId="0" applyFont="1" applyFill="1" applyBorder="1"/>
    <xf numFmtId="0" fontId="3089" fillId="3092" borderId="3040" xfId="0" applyFont="1" applyFill="1" applyBorder="1"/>
    <xf numFmtId="0" fontId="3090" fillId="3093" borderId="3041" xfId="0" applyFont="1" applyFill="1" applyBorder="1"/>
    <xf numFmtId="0" fontId="3091" fillId="3094" borderId="3042" xfId="0" applyFont="1" applyFill="1" applyBorder="1"/>
    <xf numFmtId="0" fontId="3092" fillId="3095" borderId="3043" xfId="0" applyFont="1" applyFill="1" applyBorder="1"/>
    <xf numFmtId="0" fontId="3093" fillId="3096" borderId="3044" xfId="0" applyFont="1" applyFill="1" applyBorder="1"/>
    <xf numFmtId="0" fontId="3094" fillId="3097" borderId="3045" xfId="0" applyFont="1" applyFill="1" applyBorder="1"/>
    <xf numFmtId="0" fontId="3095" fillId="3098" borderId="3046" xfId="0" applyFont="1" applyFill="1" applyBorder="1"/>
    <xf numFmtId="0" fontId="3096" fillId="3099" borderId="3047" xfId="0" applyFont="1" applyFill="1" applyBorder="1"/>
    <xf numFmtId="0" fontId="3097" fillId="3100" borderId="3048" xfId="0" applyFont="1" applyFill="1" applyBorder="1"/>
    <xf numFmtId="0" fontId="3098" fillId="3101" borderId="3049" xfId="0" applyFont="1" applyFill="1" applyBorder="1"/>
    <xf numFmtId="0" fontId="3099" fillId="3102" borderId="3050" xfId="0" applyFont="1" applyFill="1" applyBorder="1"/>
    <xf numFmtId="0" fontId="3100" fillId="3103" borderId="3051" xfId="0" applyFont="1" applyFill="1" applyBorder="1"/>
    <xf numFmtId="0" fontId="3101" fillId="3104" borderId="3052" xfId="0" applyFont="1" applyFill="1" applyBorder="1"/>
    <xf numFmtId="0" fontId="3102" fillId="3105" borderId="3053" xfId="0" applyFont="1" applyFill="1" applyBorder="1"/>
    <xf numFmtId="0" fontId="3103" fillId="3106" borderId="3054" xfId="0" applyFont="1" applyFill="1" applyBorder="1"/>
    <xf numFmtId="0" fontId="3104" fillId="3107" borderId="3055" xfId="0" applyFont="1" applyFill="1" applyBorder="1"/>
    <xf numFmtId="0" fontId="3105" fillId="3108" borderId="3056" xfId="0" applyFont="1" applyFill="1" applyBorder="1"/>
    <xf numFmtId="0" fontId="3106" fillId="3109" borderId="3057" xfId="0" applyFont="1" applyFill="1" applyBorder="1"/>
    <xf numFmtId="0" fontId="3107" fillId="3110" borderId="3058" xfId="0" applyFont="1" applyFill="1" applyBorder="1"/>
    <xf numFmtId="0" fontId="3108" fillId="3111" borderId="3059" xfId="0" applyFont="1" applyFill="1" applyBorder="1"/>
    <xf numFmtId="0" fontId="3109" fillId="3112" borderId="3060" xfId="0" applyFont="1" applyFill="1" applyBorder="1"/>
    <xf numFmtId="14" fontId="3110" fillId="3113" borderId="3061" xfId="0" applyNumberFormat="1" applyFont="1" applyFill="1" applyBorder="1"/>
    <xf numFmtId="0" fontId="3111" fillId="3114" borderId="3062" xfId="0" applyFont="1" applyFill="1" applyBorder="1"/>
    <xf numFmtId="0" fontId="3112" fillId="3115" borderId="3063" xfId="0" applyFont="1" applyFill="1" applyBorder="1"/>
    <xf numFmtId="0" fontId="3113" fillId="3116" borderId="3064" xfId="0" applyFont="1" applyFill="1" applyBorder="1"/>
    <xf numFmtId="0" fontId="3114" fillId="3117" borderId="3065" xfId="0" applyFont="1" applyFill="1" applyBorder="1"/>
    <xf numFmtId="0" fontId="3115" fillId="3118" borderId="3066" xfId="0" applyFont="1" applyFill="1" applyBorder="1"/>
    <xf numFmtId="0" fontId="3116" fillId="3119" borderId="3067" xfId="0" applyFont="1" applyFill="1" applyBorder="1"/>
    <xf numFmtId="0" fontId="3117" fillId="3120" borderId="3068" xfId="0" applyFont="1" applyFill="1" applyBorder="1"/>
    <xf numFmtId="0" fontId="3118" fillId="3121" borderId="3069" xfId="0" applyFont="1" applyFill="1" applyBorder="1"/>
    <xf numFmtId="0" fontId="3119" fillId="3122" borderId="3070" xfId="0" applyFont="1" applyFill="1" applyBorder="1"/>
    <xf numFmtId="0" fontId="3120" fillId="3123" borderId="3071" xfId="0" applyFont="1" applyFill="1" applyBorder="1"/>
    <xf numFmtId="0" fontId="3121" fillId="3124" borderId="3072" xfId="0" applyFont="1" applyFill="1" applyBorder="1"/>
    <xf numFmtId="0" fontId="3122" fillId="3125" borderId="3073" xfId="0" applyFont="1" applyFill="1" applyBorder="1"/>
    <xf numFmtId="0" fontId="3123" fillId="3126" borderId="3074" xfId="0" applyFont="1" applyFill="1" applyBorder="1"/>
    <xf numFmtId="0" fontId="3124" fillId="3127" borderId="3075" xfId="0" applyFont="1" applyFill="1" applyBorder="1"/>
    <xf numFmtId="0" fontId="3125" fillId="3128" borderId="3076" xfId="0" applyFont="1" applyFill="1" applyBorder="1"/>
    <xf numFmtId="0" fontId="3126" fillId="3129" borderId="3077" xfId="0" applyFont="1" applyFill="1" applyBorder="1"/>
    <xf numFmtId="0" fontId="3127" fillId="3130" borderId="3078" xfId="0" applyFont="1" applyFill="1" applyBorder="1"/>
    <xf numFmtId="0" fontId="3128" fillId="3131" borderId="3079" xfId="0" applyFont="1" applyFill="1" applyBorder="1"/>
    <xf numFmtId="0" fontId="3129" fillId="3132" borderId="3080" xfId="0" applyFont="1" applyFill="1" applyBorder="1"/>
    <xf numFmtId="0" fontId="3130" fillId="3133" borderId="3081" xfId="0" applyFont="1" applyFill="1" applyBorder="1"/>
    <xf numFmtId="0" fontId="3131" fillId="3134" borderId="3082" xfId="0" applyFont="1" applyFill="1" applyBorder="1"/>
    <xf numFmtId="0" fontId="3132" fillId="3135" borderId="3083" xfId="0" applyFont="1" applyFill="1" applyBorder="1"/>
    <xf numFmtId="0" fontId="3133" fillId="3136" borderId="3084" xfId="0" applyFont="1" applyFill="1" applyBorder="1"/>
    <xf numFmtId="0" fontId="3134" fillId="3137" borderId="3085" xfId="0" applyFont="1" applyFill="1" applyBorder="1"/>
    <xf numFmtId="0" fontId="3135" fillId="3138" borderId="3086" xfId="0" applyFont="1" applyFill="1" applyBorder="1"/>
    <xf numFmtId="0" fontId="3136" fillId="3139" borderId="3087" xfId="0" applyFont="1" applyFill="1" applyBorder="1"/>
    <xf numFmtId="0" fontId="3137" fillId="3140" borderId="3088" xfId="0" applyFont="1" applyFill="1" applyBorder="1"/>
    <xf numFmtId="0" fontId="3138" fillId="3141" borderId="3089" xfId="0" applyFont="1" applyFill="1" applyBorder="1"/>
    <xf numFmtId="0" fontId="3139" fillId="3142" borderId="3090" xfId="0" applyFont="1" applyFill="1" applyBorder="1"/>
    <xf numFmtId="0" fontId="3140" fillId="3143" borderId="3091" xfId="0" applyFont="1" applyFill="1" applyBorder="1"/>
    <xf numFmtId="0" fontId="3141" fillId="3144" borderId="3092" xfId="0" applyFont="1" applyFill="1" applyBorder="1"/>
    <xf numFmtId="0" fontId="3142" fillId="3145" borderId="3093" xfId="0" applyFont="1" applyFill="1" applyBorder="1"/>
    <xf numFmtId="0" fontId="3143" fillId="3146" borderId="3094" xfId="0" applyFont="1" applyFill="1" applyBorder="1"/>
    <xf numFmtId="0" fontId="3144" fillId="3147" borderId="3095" xfId="0" applyFont="1" applyFill="1" applyBorder="1"/>
    <xf numFmtId="0" fontId="3145" fillId="3148" borderId="3096" xfId="0" applyFont="1" applyFill="1" applyBorder="1"/>
    <xf numFmtId="0" fontId="3146" fillId="3149" borderId="3097" xfId="0" applyFont="1" applyFill="1" applyBorder="1"/>
    <xf numFmtId="0" fontId="3147" fillId="3150" borderId="3098" xfId="0" applyFont="1" applyFill="1" applyBorder="1"/>
    <xf numFmtId="0" fontId="3148" fillId="3151" borderId="3099" xfId="0" applyFont="1" applyFill="1" applyBorder="1"/>
    <xf numFmtId="0" fontId="3149" fillId="3152" borderId="3100" xfId="0" applyFont="1" applyFill="1" applyBorder="1"/>
    <xf numFmtId="0" fontId="3150" fillId="3153" borderId="3101" xfId="0" applyFont="1" applyFill="1" applyBorder="1"/>
    <xf numFmtId="0" fontId="3151" fillId="3154" borderId="3102" xfId="0" applyFont="1" applyFill="1" applyBorder="1"/>
    <xf numFmtId="0" fontId="3152" fillId="3155" borderId="3103" xfId="0" applyFont="1" applyFill="1" applyBorder="1"/>
    <xf numFmtId="0" fontId="3153" fillId="3156" borderId="3104" xfId="0" applyFont="1" applyFill="1" applyBorder="1"/>
    <xf numFmtId="0" fontId="3154" fillId="3157" borderId="3105" xfId="0" applyFont="1" applyFill="1" applyBorder="1"/>
    <xf numFmtId="0" fontId="3155" fillId="3158" borderId="3106" xfId="0" applyFont="1" applyFill="1" applyBorder="1"/>
    <xf numFmtId="0" fontId="3156" fillId="3159" borderId="3107" xfId="0" applyFont="1" applyFill="1" applyBorder="1"/>
    <xf numFmtId="0" fontId="3157" fillId="3160" borderId="3108" xfId="0" applyFont="1" applyFill="1" applyBorder="1"/>
    <xf numFmtId="0" fontId="3158" fillId="3161" borderId="3109" xfId="0" applyFont="1" applyFill="1" applyBorder="1"/>
    <xf numFmtId="0" fontId="3159" fillId="3162" borderId="3110" xfId="0" applyFont="1" applyFill="1" applyBorder="1"/>
    <xf numFmtId="0" fontId="3160" fillId="3163" borderId="3111" xfId="0" applyFont="1" applyFill="1" applyBorder="1"/>
    <xf numFmtId="14" fontId="3161" fillId="3164" borderId="3112" xfId="0" applyNumberFormat="1" applyFont="1" applyFill="1" applyBorder="1"/>
    <xf numFmtId="0" fontId="3162" fillId="3165" borderId="3113" xfId="0" applyFont="1" applyFill="1" applyBorder="1"/>
    <xf numFmtId="0" fontId="3163" fillId="3166" borderId="3114" xfId="0" applyFont="1" applyFill="1" applyBorder="1"/>
    <xf numFmtId="0" fontId="3164" fillId="3167" borderId="3115" xfId="0" applyFont="1" applyFill="1" applyBorder="1"/>
    <xf numFmtId="0" fontId="3165" fillId="3168" borderId="3116" xfId="0" applyFont="1" applyFill="1" applyBorder="1"/>
    <xf numFmtId="0" fontId="3166" fillId="3169" borderId="3117" xfId="0" applyFont="1" applyFill="1" applyBorder="1"/>
    <xf numFmtId="0" fontId="3167" fillId="3170" borderId="3118" xfId="0" applyFont="1" applyFill="1" applyBorder="1"/>
    <xf numFmtId="0" fontId="3168" fillId="3171" borderId="3119" xfId="0" applyFont="1" applyFill="1" applyBorder="1"/>
    <xf numFmtId="14" fontId="3169" fillId="3172" borderId="3120" xfId="0" applyNumberFormat="1" applyFont="1" applyFill="1" applyBorder="1"/>
    <xf numFmtId="0" fontId="3170" fillId="3173" borderId="3121" xfId="0" applyFont="1" applyFill="1" applyBorder="1"/>
    <xf numFmtId="0" fontId="3171" fillId="3174" borderId="3122" xfId="0" applyFont="1" applyFill="1" applyBorder="1"/>
    <xf numFmtId="0" fontId="3172" fillId="3175" borderId="3123" xfId="0" applyFont="1" applyFill="1" applyBorder="1"/>
    <xf numFmtId="0" fontId="3173" fillId="3176" borderId="3124" xfId="0" applyFont="1" applyFill="1" applyBorder="1"/>
    <xf numFmtId="0" fontId="3174" fillId="3177" borderId="3125" xfId="0" applyFont="1" applyFill="1" applyBorder="1"/>
    <xf numFmtId="0" fontId="3175" fillId="3178" borderId="3126" xfId="0" applyFont="1" applyFill="1" applyBorder="1"/>
    <xf numFmtId="0" fontId="3176" fillId="3179" borderId="3127" xfId="0" applyFont="1" applyFill="1" applyBorder="1"/>
    <xf numFmtId="14" fontId="3177" fillId="3180" borderId="3128" xfId="0" applyNumberFormat="1" applyFont="1" applyFill="1" applyBorder="1"/>
    <xf numFmtId="0" fontId="3178" fillId="3181" borderId="3129" xfId="0" applyFont="1" applyFill="1" applyBorder="1"/>
    <xf numFmtId="0" fontId="3179" fillId="3182" borderId="3130" xfId="0" applyFont="1" applyFill="1" applyBorder="1"/>
    <xf numFmtId="0" fontId="3180" fillId="3183" borderId="3131" xfId="0" applyFont="1" applyFill="1" applyBorder="1"/>
    <xf numFmtId="0" fontId="3181" fillId="3184" borderId="3132" xfId="0" applyFont="1" applyFill="1" applyBorder="1"/>
    <xf numFmtId="0" fontId="3182" fillId="3185" borderId="3133" xfId="0" applyFont="1" applyFill="1" applyBorder="1"/>
    <xf numFmtId="0" fontId="3183" fillId="3186" borderId="3134" xfId="0" applyFont="1" applyFill="1" applyBorder="1"/>
    <xf numFmtId="0" fontId="3184" fillId="3187" borderId="3135" xfId="0" applyFont="1" applyFill="1" applyBorder="1"/>
    <xf numFmtId="14" fontId="3185" fillId="3188" borderId="3136" xfId="0" applyNumberFormat="1" applyFont="1" applyFill="1" applyBorder="1"/>
    <xf numFmtId="0" fontId="3186" fillId="3189" borderId="3137" xfId="0" applyFont="1" applyFill="1" applyBorder="1"/>
    <xf numFmtId="0" fontId="3187" fillId="3190" borderId="3138" xfId="0" applyFont="1" applyFill="1" applyBorder="1"/>
    <xf numFmtId="0" fontId="3188" fillId="3191" borderId="3139" xfId="0" applyFont="1" applyFill="1" applyBorder="1"/>
    <xf numFmtId="0" fontId="3189" fillId="3192" borderId="3140" xfId="0" applyFont="1" applyFill="1" applyBorder="1"/>
    <xf numFmtId="0" fontId="3190" fillId="3193" borderId="3141" xfId="0" applyFont="1" applyFill="1" applyBorder="1"/>
    <xf numFmtId="0" fontId="3191" fillId="3194" borderId="3142" xfId="0" applyFont="1" applyFill="1" applyBorder="1"/>
    <xf numFmtId="0" fontId="3192" fillId="3195" borderId="3143" xfId="0" applyFont="1" applyFill="1" applyBorder="1"/>
    <xf numFmtId="14" fontId="3193" fillId="3196" borderId="3144" xfId="0" applyNumberFormat="1" applyFont="1" applyFill="1" applyBorder="1"/>
    <xf numFmtId="0" fontId="3194" fillId="3197" borderId="3145" xfId="0" applyFont="1" applyFill="1" applyBorder="1"/>
    <xf numFmtId="0" fontId="3195" fillId="3198" borderId="3146" xfId="0" applyFont="1" applyFill="1" applyBorder="1"/>
    <xf numFmtId="0" fontId="3196" fillId="3199" borderId="3147" xfId="0" applyFont="1" applyFill="1" applyBorder="1"/>
    <xf numFmtId="0" fontId="3197" fillId="3200" borderId="3148" xfId="0" applyFont="1" applyFill="1" applyBorder="1"/>
    <xf numFmtId="0" fontId="3198" fillId="3201" borderId="3149" xfId="0" applyFont="1" applyFill="1" applyBorder="1"/>
    <xf numFmtId="0" fontId="3199" fillId="3202" borderId="3150" xfId="0" applyFont="1" applyFill="1" applyBorder="1"/>
    <xf numFmtId="0" fontId="3200" fillId="3203" borderId="3151" xfId="0" applyFont="1" applyFill="1" applyBorder="1"/>
    <xf numFmtId="14" fontId="3201" fillId="3204" borderId="3152" xfId="0" applyNumberFormat="1" applyFont="1" applyFill="1" applyBorder="1"/>
    <xf numFmtId="0" fontId="3202" fillId="3205" borderId="3153" xfId="0" applyFont="1" applyFill="1" applyBorder="1"/>
    <xf numFmtId="0" fontId="3203" fillId="3206" borderId="3154" xfId="0" applyFont="1" applyFill="1" applyBorder="1"/>
    <xf numFmtId="0" fontId="3204" fillId="3207" borderId="3155" xfId="0" applyFont="1" applyFill="1" applyBorder="1"/>
    <xf numFmtId="0" fontId="3205" fillId="3208" borderId="3156" xfId="0" applyFont="1" applyFill="1" applyBorder="1"/>
    <xf numFmtId="0" fontId="3206" fillId="3209" borderId="3157" xfId="0" applyFont="1" applyFill="1" applyBorder="1"/>
    <xf numFmtId="0" fontId="3207" fillId="3210" borderId="3158" xfId="0" applyFont="1" applyFill="1" applyBorder="1"/>
    <xf numFmtId="0" fontId="3208" fillId="3211" borderId="3159" xfId="0" applyFont="1" applyFill="1" applyBorder="1"/>
    <xf numFmtId="14" fontId="3209" fillId="3212" borderId="3160" xfId="0" applyNumberFormat="1" applyFont="1" applyFill="1" applyBorder="1"/>
    <xf numFmtId="0" fontId="3210" fillId="3213" borderId="3161" xfId="0" applyFont="1" applyFill="1" applyBorder="1"/>
    <xf numFmtId="0" fontId="3211" fillId="3214" borderId="3162" xfId="0" applyFont="1" applyFill="1" applyBorder="1"/>
    <xf numFmtId="0" fontId="3212" fillId="3215" borderId="3163" xfId="0" applyFont="1" applyFill="1" applyBorder="1"/>
    <xf numFmtId="0" fontId="3213" fillId="3216" borderId="3164" xfId="0" applyFont="1" applyFill="1" applyBorder="1"/>
    <xf numFmtId="0" fontId="3214" fillId="3217" borderId="3165" xfId="0" applyFont="1" applyFill="1" applyBorder="1"/>
    <xf numFmtId="0" fontId="3215" fillId="3218" borderId="3166" xfId="0" applyFont="1" applyFill="1" applyBorder="1"/>
    <xf numFmtId="0" fontId="3216" fillId="3219" borderId="3167" xfId="0" applyFont="1" applyFill="1" applyBorder="1"/>
    <xf numFmtId="14" fontId="3217" fillId="3220" borderId="3168" xfId="0" applyNumberFormat="1" applyFont="1" applyFill="1" applyBorder="1"/>
    <xf numFmtId="0" fontId="3218" fillId="3221" borderId="3169" xfId="0" applyFont="1" applyFill="1" applyBorder="1"/>
    <xf numFmtId="0" fontId="3219" fillId="3222" borderId="3170" xfId="0" applyFont="1" applyFill="1" applyBorder="1"/>
    <xf numFmtId="0" fontId="3220" fillId="3223" borderId="3171" xfId="0" applyFont="1" applyFill="1" applyBorder="1"/>
    <xf numFmtId="0" fontId="3221" fillId="3224" borderId="3172" xfId="0" applyFont="1" applyFill="1" applyBorder="1"/>
    <xf numFmtId="0" fontId="3222" fillId="3225" borderId="3173" xfId="0" applyFont="1" applyFill="1" applyBorder="1"/>
    <xf numFmtId="0" fontId="3223" fillId="3226" borderId="3174" xfId="0" applyFont="1" applyFill="1" applyBorder="1"/>
    <xf numFmtId="0" fontId="3224" fillId="3227" borderId="3175" xfId="0" applyFont="1" applyFill="1" applyBorder="1"/>
    <xf numFmtId="14" fontId="3225" fillId="3228" borderId="3176" xfId="0" applyNumberFormat="1" applyFont="1" applyFill="1" applyBorder="1"/>
    <xf numFmtId="0" fontId="3226" fillId="3229" borderId="3177" xfId="0" applyFont="1" applyFill="1" applyBorder="1"/>
    <xf numFmtId="0" fontId="3227" fillId="3230" borderId="3178" xfId="0" applyFont="1" applyFill="1" applyBorder="1"/>
    <xf numFmtId="0" fontId="3228" fillId="3231" borderId="3179" xfId="0" applyFont="1" applyFill="1" applyBorder="1"/>
    <xf numFmtId="0" fontId="3229" fillId="3232" borderId="3180" xfId="0" applyFont="1" applyFill="1" applyBorder="1"/>
    <xf numFmtId="0" fontId="3230" fillId="3233" borderId="3181" xfId="0" applyFont="1" applyFill="1" applyBorder="1"/>
    <xf numFmtId="0" fontId="3231" fillId="3234" borderId="3182" xfId="0" applyFont="1" applyFill="1" applyBorder="1"/>
    <xf numFmtId="0" fontId="3232" fillId="3235" borderId="3183" xfId="0" applyFont="1" applyFill="1" applyBorder="1"/>
    <xf numFmtId="14" fontId="3233" fillId="3236" borderId="3184" xfId="0" applyNumberFormat="1" applyFont="1" applyFill="1" applyBorder="1"/>
    <xf numFmtId="0" fontId="3234" fillId="3237" borderId="3185" xfId="0" applyFont="1" applyFill="1" applyBorder="1"/>
    <xf numFmtId="0" fontId="3235" fillId="3238" borderId="3186" xfId="0" applyFont="1" applyFill="1" applyBorder="1"/>
    <xf numFmtId="0" fontId="3236" fillId="3239" borderId="3187" xfId="0" applyFont="1" applyFill="1" applyBorder="1"/>
    <xf numFmtId="0" fontId="3237" fillId="3240" borderId="3188" xfId="0" applyFont="1" applyFill="1" applyBorder="1"/>
    <xf numFmtId="0" fontId="3238" fillId="3241" borderId="3189" xfId="0" applyFont="1" applyFill="1" applyBorder="1"/>
    <xf numFmtId="0" fontId="3239" fillId="3242" borderId="3190" xfId="0" applyFont="1" applyFill="1" applyBorder="1"/>
    <xf numFmtId="0" fontId="3240" fillId="3243" borderId="3191" xfId="0" applyFont="1" applyFill="1" applyBorder="1"/>
    <xf numFmtId="14" fontId="3241" fillId="3244" borderId="3192" xfId="0" applyNumberFormat="1" applyFont="1" applyFill="1" applyBorder="1"/>
    <xf numFmtId="0" fontId="3242" fillId="3245" borderId="3193" xfId="0" applyFont="1" applyFill="1" applyBorder="1"/>
    <xf numFmtId="0" fontId="3243" fillId="3246" borderId="3194" xfId="0" applyFont="1" applyFill="1" applyBorder="1"/>
    <xf numFmtId="0" fontId="3244" fillId="3247" borderId="3195" xfId="0" applyFont="1" applyFill="1" applyBorder="1"/>
    <xf numFmtId="0" fontId="3245" fillId="3248" borderId="3196" xfId="0" applyFont="1" applyFill="1" applyBorder="1"/>
    <xf numFmtId="0" fontId="3246" fillId="3249" borderId="3197" xfId="0" applyFont="1" applyFill="1" applyBorder="1"/>
    <xf numFmtId="0" fontId="3247" fillId="3250" borderId="3198" xfId="0" applyFont="1" applyFill="1" applyBorder="1"/>
    <xf numFmtId="0" fontId="3248" fillId="3251" borderId="3199" xfId="0" applyFont="1" applyFill="1" applyBorder="1"/>
    <xf numFmtId="14" fontId="3249" fillId="3252" borderId="3200" xfId="0" applyNumberFormat="1" applyFont="1" applyFill="1" applyBorder="1"/>
    <xf numFmtId="0" fontId="3250" fillId="3253" borderId="3201" xfId="0" applyFont="1" applyFill="1" applyBorder="1"/>
    <xf numFmtId="0" fontId="3251" fillId="3254" borderId="3202" xfId="0" applyFont="1" applyFill="1" applyBorder="1"/>
    <xf numFmtId="0" fontId="3252" fillId="3255" borderId="3203" xfId="0" applyFont="1" applyFill="1" applyBorder="1"/>
    <xf numFmtId="0" fontId="3253" fillId="3256" borderId="3204" xfId="0" applyFont="1" applyFill="1" applyBorder="1"/>
    <xf numFmtId="0" fontId="3254" fillId="3257" borderId="3205" xfId="0" applyFont="1" applyFill="1" applyBorder="1"/>
    <xf numFmtId="0" fontId="3255" fillId="3258" borderId="3206" xfId="0" applyFont="1" applyFill="1" applyBorder="1"/>
    <xf numFmtId="0" fontId="3256" fillId="3259" borderId="3207" xfId="0" applyFont="1" applyFill="1" applyBorder="1"/>
    <xf numFmtId="14" fontId="3257" fillId="3260" borderId="3208" xfId="0" applyNumberFormat="1" applyFont="1" applyFill="1" applyBorder="1"/>
    <xf numFmtId="0" fontId="3258" fillId="3261" borderId="3209" xfId="0" applyFont="1" applyFill="1" applyBorder="1"/>
    <xf numFmtId="0" fontId="3259" fillId="3262" borderId="3210" xfId="0" applyFont="1" applyFill="1" applyBorder="1"/>
    <xf numFmtId="0" fontId="3260" fillId="3263" borderId="3211" xfId="0" applyFont="1" applyFill="1" applyBorder="1"/>
    <xf numFmtId="0" fontId="3261" fillId="3264" borderId="3212" xfId="0" applyFont="1" applyFill="1" applyBorder="1"/>
    <xf numFmtId="0" fontId="3262" fillId="3265" borderId="3213" xfId="0" applyFont="1" applyFill="1" applyBorder="1"/>
    <xf numFmtId="0" fontId="3263" fillId="3266" borderId="3214" xfId="0" applyFont="1" applyFill="1" applyBorder="1"/>
    <xf numFmtId="0" fontId="3264" fillId="3267" borderId="3215" xfId="0" applyFont="1" applyFill="1" applyBorder="1"/>
    <xf numFmtId="14" fontId="3265" fillId="3268" borderId="3216" xfId="0" applyNumberFormat="1" applyFont="1" applyFill="1" applyBorder="1"/>
    <xf numFmtId="0" fontId="3266" fillId="3269" borderId="3217" xfId="0" applyFont="1" applyFill="1" applyBorder="1"/>
    <xf numFmtId="0" fontId="3267" fillId="3270" borderId="3218" xfId="0" applyFont="1" applyFill="1" applyBorder="1"/>
    <xf numFmtId="0" fontId="3268" fillId="3271" borderId="3219" xfId="0" applyFont="1" applyFill="1" applyBorder="1"/>
    <xf numFmtId="0" fontId="3269" fillId="3272" borderId="3220" xfId="0" applyFont="1" applyFill="1" applyBorder="1"/>
    <xf numFmtId="0" fontId="3270" fillId="3273" borderId="3221" xfId="0" applyFont="1" applyFill="1" applyBorder="1"/>
    <xf numFmtId="0" fontId="3271" fillId="3274" borderId="3222" xfId="0" applyFont="1" applyFill="1" applyBorder="1"/>
    <xf numFmtId="0" fontId="3272" fillId="3275" borderId="3223" xfId="0" applyFont="1" applyFill="1" applyBorder="1"/>
    <xf numFmtId="14" fontId="3273" fillId="3276" borderId="3224" xfId="0" applyNumberFormat="1" applyFont="1" applyFill="1" applyBorder="1"/>
    <xf numFmtId="0" fontId="3274" fillId="3277" borderId="3225" xfId="0" applyFont="1" applyFill="1" applyBorder="1"/>
    <xf numFmtId="0" fontId="3275" fillId="3278" borderId="3226" xfId="0" applyFont="1" applyFill="1" applyBorder="1"/>
    <xf numFmtId="0" fontId="3276" fillId="3279" borderId="3227" xfId="0" applyFont="1" applyFill="1" applyBorder="1"/>
    <xf numFmtId="0" fontId="3277" fillId="3280" borderId="3228" xfId="0" applyFont="1" applyFill="1" applyBorder="1"/>
    <xf numFmtId="0" fontId="3278" fillId="3281" borderId="3229" xfId="0" applyFont="1" applyFill="1" applyBorder="1"/>
    <xf numFmtId="0" fontId="3279" fillId="3282" borderId="3230" xfId="0" applyFont="1" applyFill="1" applyBorder="1"/>
    <xf numFmtId="0" fontId="3280" fillId="3283" borderId="3231" xfId="0" applyFont="1" applyFill="1" applyBorder="1"/>
    <xf numFmtId="14" fontId="3281" fillId="3284" borderId="3232" xfId="0" applyNumberFormat="1" applyFont="1" applyFill="1" applyBorder="1"/>
    <xf numFmtId="0" fontId="3282" fillId="3285" borderId="3233" xfId="0" applyFont="1" applyFill="1" applyBorder="1"/>
    <xf numFmtId="0" fontId="3283" fillId="3286" borderId="3234" xfId="0" applyFont="1" applyFill="1" applyBorder="1"/>
    <xf numFmtId="0" fontId="3284" fillId="3287" borderId="3235" xfId="0" applyFont="1" applyFill="1" applyBorder="1"/>
    <xf numFmtId="0" fontId="3285" fillId="3288" borderId="3236" xfId="0" applyFont="1" applyFill="1" applyBorder="1"/>
    <xf numFmtId="0" fontId="3286" fillId="3289" borderId="3237" xfId="0" applyFont="1" applyFill="1" applyBorder="1"/>
    <xf numFmtId="0" fontId="3287" fillId="3290" borderId="3238" xfId="0" applyFont="1" applyFill="1" applyBorder="1"/>
    <xf numFmtId="0" fontId="3288" fillId="3291" borderId="3239" xfId="0" applyFont="1" applyFill="1" applyBorder="1"/>
    <xf numFmtId="14" fontId="3289" fillId="3292" borderId="3240" xfId="0" applyNumberFormat="1" applyFont="1" applyFill="1" applyBorder="1"/>
    <xf numFmtId="0" fontId="3290" fillId="3293" borderId="3241" xfId="0" applyFont="1" applyFill="1" applyBorder="1"/>
    <xf numFmtId="0" fontId="3291" fillId="3294" borderId="3242" xfId="0" applyFont="1" applyFill="1" applyBorder="1"/>
    <xf numFmtId="0" fontId="3292" fillId="3295" borderId="3243" xfId="0" applyFont="1" applyFill="1" applyBorder="1"/>
    <xf numFmtId="0" fontId="3293" fillId="3296" borderId="3244" xfId="0" applyFont="1" applyFill="1" applyBorder="1"/>
    <xf numFmtId="0" fontId="3294" fillId="3297" borderId="3245" xfId="0" applyFont="1" applyFill="1" applyBorder="1"/>
    <xf numFmtId="0" fontId="3295" fillId="3298" borderId="3246" xfId="0" applyFont="1" applyFill="1" applyBorder="1"/>
    <xf numFmtId="0" fontId="3296" fillId="3299" borderId="3247" xfId="0" applyFont="1" applyFill="1" applyBorder="1"/>
    <xf numFmtId="14" fontId="3297" fillId="3300" borderId="3248" xfId="0" applyNumberFormat="1" applyFont="1" applyFill="1" applyBorder="1"/>
    <xf numFmtId="0" fontId="3298" fillId="3301" borderId="3249" xfId="0" applyFont="1" applyFill="1" applyBorder="1"/>
    <xf numFmtId="0" fontId="3299" fillId="3302" borderId="3250" xfId="0" applyFont="1" applyFill="1" applyBorder="1"/>
    <xf numFmtId="0" fontId="3300" fillId="3303" borderId="3251" xfId="0" applyFont="1" applyFill="1" applyBorder="1"/>
    <xf numFmtId="0" fontId="3301" fillId="3304" borderId="3252" xfId="0" applyFont="1" applyFill="1" applyBorder="1"/>
    <xf numFmtId="0" fontId="3302" fillId="3305" borderId="3253" xfId="0" applyFont="1" applyFill="1" applyBorder="1"/>
    <xf numFmtId="0" fontId="3303" fillId="3306" borderId="3254" xfId="0" applyFont="1" applyFill="1" applyBorder="1"/>
    <xf numFmtId="0" fontId="3304" fillId="3307" borderId="3255" xfId="0" applyFont="1" applyFill="1" applyBorder="1"/>
    <xf numFmtId="14" fontId="3305" fillId="3308" borderId="3256" xfId="0" applyNumberFormat="1" applyFont="1" applyFill="1" applyBorder="1"/>
    <xf numFmtId="0" fontId="3306" fillId="3309" borderId="3257" xfId="0" applyFont="1" applyFill="1" applyBorder="1"/>
    <xf numFmtId="0" fontId="3307" fillId="3310" borderId="3258" xfId="0" applyFont="1" applyFill="1" applyBorder="1"/>
    <xf numFmtId="0" fontId="3308" fillId="3311" borderId="3259" xfId="0" applyFont="1" applyFill="1" applyBorder="1"/>
    <xf numFmtId="0" fontId="3309" fillId="3312" borderId="3260" xfId="0" applyFont="1" applyFill="1" applyBorder="1"/>
    <xf numFmtId="0" fontId="3310" fillId="3313" borderId="3261" xfId="0" applyFont="1" applyFill="1" applyBorder="1"/>
    <xf numFmtId="0" fontId="3311" fillId="3314" borderId="3262" xfId="0" applyFont="1" applyFill="1" applyBorder="1"/>
    <xf numFmtId="0" fontId="3312" fillId="3315" borderId="3263" xfId="0" applyFont="1" applyFill="1" applyBorder="1"/>
    <xf numFmtId="14" fontId="3313" fillId="3316" borderId="3264" xfId="0" applyNumberFormat="1" applyFont="1" applyFill="1" applyBorder="1"/>
    <xf numFmtId="0" fontId="3314" fillId="3317" borderId="3265" xfId="0" applyFont="1" applyFill="1" applyBorder="1"/>
    <xf numFmtId="0" fontId="3315" fillId="3318" borderId="3266" xfId="0" applyFont="1" applyFill="1" applyBorder="1"/>
    <xf numFmtId="0" fontId="3316" fillId="3319" borderId="3267" xfId="0" applyFont="1" applyFill="1" applyBorder="1"/>
    <xf numFmtId="0" fontId="3317" fillId="3320" borderId="3268" xfId="0" applyFont="1" applyFill="1" applyBorder="1"/>
    <xf numFmtId="0" fontId="3318" fillId="3321" borderId="3269" xfId="0" applyFont="1" applyFill="1" applyBorder="1"/>
    <xf numFmtId="0" fontId="3319" fillId="3322" borderId="3270" xfId="0" applyFont="1" applyFill="1" applyBorder="1"/>
    <xf numFmtId="0" fontId="3320" fillId="3323" borderId="3271" xfId="0" applyFont="1" applyFill="1" applyBorder="1"/>
    <xf numFmtId="14" fontId="3321" fillId="3324" borderId="3272" xfId="0" applyNumberFormat="1" applyFont="1" applyFill="1" applyBorder="1"/>
    <xf numFmtId="0" fontId="3322" fillId="3325" borderId="3273" xfId="0" applyFont="1" applyFill="1" applyBorder="1"/>
    <xf numFmtId="0" fontId="3323" fillId="3326" borderId="3274" xfId="0" applyFont="1" applyFill="1" applyBorder="1"/>
    <xf numFmtId="0" fontId="3324" fillId="3327" borderId="3275" xfId="0" applyFont="1" applyFill="1" applyBorder="1"/>
    <xf numFmtId="0" fontId="3325" fillId="3328" borderId="3276" xfId="0" applyFont="1" applyFill="1" applyBorder="1"/>
    <xf numFmtId="0" fontId="3326" fillId="3329" borderId="3277" xfId="0" applyFont="1" applyFill="1" applyBorder="1"/>
    <xf numFmtId="0" fontId="3327" fillId="3330" borderId="3278" xfId="0" applyFont="1" applyFill="1" applyBorder="1"/>
    <xf numFmtId="0" fontId="3328" fillId="3331" borderId="3279" xfId="0" applyFont="1" applyFill="1" applyBorder="1"/>
    <xf numFmtId="14" fontId="3329" fillId="3332" borderId="3280" xfId="0" applyNumberFormat="1" applyFont="1" applyFill="1" applyBorder="1"/>
    <xf numFmtId="0" fontId="3330" fillId="3333" borderId="3281" xfId="0" applyFont="1" applyFill="1" applyBorder="1"/>
    <xf numFmtId="0" fontId="3331" fillId="3334" borderId="3282" xfId="0" applyFont="1" applyFill="1" applyBorder="1"/>
    <xf numFmtId="0" fontId="3332" fillId="3335" borderId="3283" xfId="0" applyFont="1" applyFill="1" applyBorder="1"/>
    <xf numFmtId="0" fontId="3333" fillId="3336" borderId="3284" xfId="0" applyFont="1" applyFill="1" applyBorder="1"/>
    <xf numFmtId="0" fontId="3334" fillId="3337" borderId="3285" xfId="0" applyFont="1" applyFill="1" applyBorder="1"/>
    <xf numFmtId="0" fontId="3335" fillId="3338" borderId="3286" xfId="0" applyFont="1" applyFill="1" applyBorder="1"/>
    <xf numFmtId="0" fontId="3336" fillId="3339" borderId="3287" xfId="0" applyFont="1" applyFill="1" applyBorder="1"/>
    <xf numFmtId="14" fontId="3337" fillId="3340" borderId="3288" xfId="0" applyNumberFormat="1" applyFont="1" applyFill="1" applyBorder="1"/>
    <xf numFmtId="0" fontId="3338" fillId="3341" borderId="3289" xfId="0" applyFont="1" applyFill="1" applyBorder="1"/>
    <xf numFmtId="0" fontId="3339" fillId="3342" borderId="3290" xfId="0" applyFont="1" applyFill="1" applyBorder="1"/>
    <xf numFmtId="0" fontId="3340" fillId="3343" borderId="3291" xfId="0" applyFont="1" applyFill="1" applyBorder="1"/>
    <xf numFmtId="0" fontId="3341" fillId="3344" borderId="3292" xfId="0" applyFont="1" applyFill="1" applyBorder="1"/>
    <xf numFmtId="0" fontId="3342" fillId="3345" borderId="3293" xfId="0" applyFont="1" applyFill="1" applyBorder="1"/>
    <xf numFmtId="0" fontId="3343" fillId="3346" borderId="3294" xfId="0" applyFont="1" applyFill="1" applyBorder="1"/>
    <xf numFmtId="0" fontId="3344" fillId="3347" borderId="3295" xfId="0" applyFont="1" applyFill="1" applyBorder="1"/>
    <xf numFmtId="14" fontId="3345" fillId="3348" borderId="3296" xfId="0" applyNumberFormat="1" applyFont="1" applyFill="1" applyBorder="1"/>
    <xf numFmtId="0" fontId="3346" fillId="3349" borderId="3297" xfId="0" applyFont="1" applyFill="1" applyBorder="1"/>
    <xf numFmtId="0" fontId="3347" fillId="3350" borderId="3298" xfId="0" applyFont="1" applyFill="1" applyBorder="1"/>
    <xf numFmtId="0" fontId="3348" fillId="3351" borderId="3299" xfId="0" applyFont="1" applyFill="1" applyBorder="1"/>
    <xf numFmtId="0" fontId="3349" fillId="3352" borderId="3300" xfId="0" applyFont="1" applyFill="1" applyBorder="1"/>
    <xf numFmtId="0" fontId="3350" fillId="3353" borderId="3301" xfId="0" applyFont="1" applyFill="1" applyBorder="1"/>
    <xf numFmtId="0" fontId="3351" fillId="3354" borderId="3302" xfId="0" applyFont="1" applyFill="1" applyBorder="1"/>
    <xf numFmtId="0" fontId="3352" fillId="3355" borderId="3303" xfId="0" applyFont="1" applyFill="1" applyBorder="1"/>
    <xf numFmtId="14" fontId="3353" fillId="3356" borderId="3304" xfId="0" applyNumberFormat="1" applyFont="1" applyFill="1" applyBorder="1"/>
    <xf numFmtId="0" fontId="3354" fillId="3357" borderId="3305" xfId="0" applyFont="1" applyFill="1" applyBorder="1"/>
    <xf numFmtId="0" fontId="3355" fillId="3358" borderId="3306" xfId="0" applyFont="1" applyFill="1" applyBorder="1"/>
    <xf numFmtId="0" fontId="3356" fillId="3359" borderId="3307" xfId="0" applyFont="1" applyFill="1" applyBorder="1"/>
    <xf numFmtId="0" fontId="3357" fillId="3360" borderId="3308" xfId="0" applyFont="1" applyFill="1" applyBorder="1"/>
    <xf numFmtId="0" fontId="3358" fillId="3361" borderId="3309" xfId="0" applyFont="1" applyFill="1" applyBorder="1"/>
    <xf numFmtId="0" fontId="3359" fillId="3362" borderId="3310" xfId="0" applyFont="1" applyFill="1" applyBorder="1"/>
    <xf numFmtId="0" fontId="3360" fillId="3363" borderId="3311" xfId="0" applyFont="1" applyFill="1" applyBorder="1"/>
    <xf numFmtId="14" fontId="3361" fillId="3364" borderId="3312" xfId="0" applyNumberFormat="1" applyFont="1" applyFill="1" applyBorder="1"/>
    <xf numFmtId="0" fontId="3362" fillId="3365" borderId="3313" xfId="0" applyFont="1" applyFill="1" applyBorder="1"/>
    <xf numFmtId="0" fontId="3363" fillId="3366" borderId="3314" xfId="0" applyFont="1" applyFill="1" applyBorder="1"/>
    <xf numFmtId="0" fontId="3364" fillId="3367" borderId="3315" xfId="0" applyFont="1" applyFill="1" applyBorder="1"/>
    <xf numFmtId="0" fontId="3365" fillId="3368" borderId="3316" xfId="0" applyFont="1" applyFill="1" applyBorder="1"/>
    <xf numFmtId="0" fontId="3366" fillId="3369" borderId="3317" xfId="0" applyFont="1" applyFill="1" applyBorder="1"/>
    <xf numFmtId="0" fontId="3367" fillId="3370" borderId="3318" xfId="0" applyFont="1" applyFill="1" applyBorder="1"/>
    <xf numFmtId="0" fontId="3368" fillId="3371" borderId="3319" xfId="0" applyFont="1" applyFill="1" applyBorder="1"/>
    <xf numFmtId="14" fontId="3369" fillId="3372" borderId="3320" xfId="0" applyNumberFormat="1" applyFont="1" applyFill="1" applyBorder="1"/>
    <xf numFmtId="0" fontId="3370" fillId="3373" borderId="3321" xfId="0" applyFont="1" applyFill="1" applyBorder="1"/>
    <xf numFmtId="0" fontId="3371" fillId="3374" borderId="3322" xfId="0" applyFont="1" applyFill="1" applyBorder="1"/>
    <xf numFmtId="0" fontId="3372" fillId="3375" borderId="3323" xfId="0" applyFont="1" applyFill="1" applyBorder="1"/>
    <xf numFmtId="0" fontId="3373" fillId="3376" borderId="3324" xfId="0" applyFont="1" applyFill="1" applyBorder="1"/>
    <xf numFmtId="0" fontId="3374" fillId="3377" borderId="3325" xfId="0" applyFont="1" applyFill="1" applyBorder="1"/>
    <xf numFmtId="0" fontId="3375" fillId="3378" borderId="3326" xfId="0" applyFont="1" applyFill="1" applyBorder="1"/>
    <xf numFmtId="0" fontId="3376" fillId="3379" borderId="3327" xfId="0" applyFont="1" applyFill="1" applyBorder="1"/>
    <xf numFmtId="14" fontId="3377" fillId="3380" borderId="3328" xfId="0" applyNumberFormat="1" applyFont="1" applyFill="1" applyBorder="1"/>
    <xf numFmtId="0" fontId="3378" fillId="3381" borderId="3329" xfId="0" applyFont="1" applyFill="1" applyBorder="1"/>
    <xf numFmtId="0" fontId="3379" fillId="3382" borderId="3330" xfId="0" applyFont="1" applyFill="1" applyBorder="1"/>
    <xf numFmtId="0" fontId="3380" fillId="3383" borderId="3331" xfId="0" applyFont="1" applyFill="1" applyBorder="1"/>
    <xf numFmtId="0" fontId="3381" fillId="3384" borderId="3332" xfId="0" applyFont="1" applyFill="1" applyBorder="1"/>
    <xf numFmtId="0" fontId="3382" fillId="3385" borderId="3333" xfId="0" applyFont="1" applyFill="1" applyBorder="1"/>
    <xf numFmtId="0" fontId="3383" fillId="3386" borderId="3334" xfId="0" applyFont="1" applyFill="1" applyBorder="1"/>
    <xf numFmtId="0" fontId="3384" fillId="3387" borderId="3335" xfId="0" applyFont="1" applyFill="1" applyBorder="1"/>
    <xf numFmtId="14" fontId="3385" fillId="3388" borderId="3336" xfId="0" applyNumberFormat="1" applyFont="1" applyFill="1" applyBorder="1"/>
    <xf numFmtId="0" fontId="3386" fillId="3389" borderId="3337" xfId="0" applyFont="1" applyFill="1" applyBorder="1"/>
    <xf numFmtId="0" fontId="3387" fillId="3390" borderId="3338" xfId="0" applyFont="1" applyFill="1" applyBorder="1"/>
    <xf numFmtId="0" fontId="3388" fillId="3391" borderId="3339" xfId="0" applyFont="1" applyFill="1" applyBorder="1"/>
    <xf numFmtId="0" fontId="3389" fillId="3392" borderId="3340" xfId="0" applyFont="1" applyFill="1" applyBorder="1"/>
    <xf numFmtId="0" fontId="3390" fillId="3393" borderId="3341" xfId="0" applyFont="1" applyFill="1" applyBorder="1"/>
    <xf numFmtId="0" fontId="3391" fillId="3394" borderId="3342" xfId="0" applyFont="1" applyFill="1" applyBorder="1"/>
    <xf numFmtId="0" fontId="3392" fillId="3395" borderId="3343" xfId="0" applyFont="1" applyFill="1" applyBorder="1"/>
    <xf numFmtId="14" fontId="3393" fillId="3396" borderId="3344" xfId="0" applyNumberFormat="1" applyFont="1" applyFill="1" applyBorder="1"/>
    <xf numFmtId="0" fontId="3394" fillId="3397" borderId="3345" xfId="0" applyFont="1" applyFill="1" applyBorder="1"/>
    <xf numFmtId="0" fontId="3395" fillId="3398" borderId="3346" xfId="0" applyFont="1" applyFill="1" applyBorder="1"/>
    <xf numFmtId="0" fontId="3396" fillId="3399" borderId="3347" xfId="0" applyFont="1" applyFill="1" applyBorder="1"/>
    <xf numFmtId="0" fontId="3397" fillId="3400" borderId="3348" xfId="0" applyFont="1" applyFill="1" applyBorder="1"/>
    <xf numFmtId="0" fontId="3398" fillId="3401" borderId="3349" xfId="0" applyFont="1" applyFill="1" applyBorder="1"/>
    <xf numFmtId="0" fontId="3399" fillId="3402" borderId="3350" xfId="0" applyFont="1" applyFill="1" applyBorder="1"/>
    <xf numFmtId="0" fontId="3400" fillId="3403" borderId="3351" xfId="0" applyFont="1" applyFill="1" applyBorder="1"/>
    <xf numFmtId="14" fontId="3401" fillId="3404" borderId="3352" xfId="0" applyNumberFormat="1" applyFont="1" applyFill="1" applyBorder="1"/>
    <xf numFmtId="0" fontId="3402" fillId="3405" borderId="3353" xfId="0" applyFont="1" applyFill="1" applyBorder="1"/>
    <xf numFmtId="0" fontId="3403" fillId="3406" borderId="3354" xfId="0" applyFont="1" applyFill="1" applyBorder="1"/>
    <xf numFmtId="0" fontId="3404" fillId="3407" borderId="3355" xfId="0" applyFont="1" applyFill="1" applyBorder="1"/>
    <xf numFmtId="0" fontId="3405" fillId="3408" borderId="3356" xfId="0" applyFont="1" applyFill="1" applyBorder="1"/>
    <xf numFmtId="0" fontId="3406" fillId="3409" borderId="3357" xfId="0" applyFont="1" applyFill="1" applyBorder="1"/>
    <xf numFmtId="0" fontId="3407" fillId="3410" borderId="3358" xfId="0" applyFont="1" applyFill="1" applyBorder="1"/>
    <xf numFmtId="0" fontId="3408" fillId="3411" borderId="3359" xfId="0" applyFont="1" applyFill="1" applyBorder="1"/>
    <xf numFmtId="14" fontId="3409" fillId="3412" borderId="3360" xfId="0" applyNumberFormat="1" applyFont="1" applyFill="1" applyBorder="1"/>
    <xf numFmtId="0" fontId="3410" fillId="3413" borderId="3361" xfId="0" applyFont="1" applyFill="1" applyBorder="1"/>
    <xf numFmtId="0" fontId="3411" fillId="3414" borderId="3362" xfId="0" applyFont="1" applyFill="1" applyBorder="1"/>
    <xf numFmtId="0" fontId="3412" fillId="3415" borderId="3363" xfId="0" applyFont="1" applyFill="1" applyBorder="1"/>
    <xf numFmtId="0" fontId="3413" fillId="3416" borderId="3364" xfId="0" applyFont="1" applyFill="1" applyBorder="1"/>
    <xf numFmtId="0" fontId="3414" fillId="3417" borderId="3365" xfId="0" applyFont="1" applyFill="1" applyBorder="1"/>
    <xf numFmtId="0" fontId="3415" fillId="3418" borderId="3366" xfId="0" applyFont="1" applyFill="1" applyBorder="1"/>
    <xf numFmtId="0" fontId="3416" fillId="3419" borderId="3367" xfId="0" applyFont="1" applyFill="1" applyBorder="1"/>
    <xf numFmtId="14" fontId="3417" fillId="3420" borderId="3368" xfId="0" applyNumberFormat="1" applyFont="1" applyFill="1" applyBorder="1"/>
    <xf numFmtId="0" fontId="3418" fillId="3421" borderId="3369" xfId="0" applyFont="1" applyFill="1" applyBorder="1"/>
    <xf numFmtId="0" fontId="3419" fillId="3422" borderId="3370" xfId="0" applyFont="1" applyFill="1" applyBorder="1"/>
    <xf numFmtId="0" fontId="3420" fillId="3423" borderId="3371" xfId="0" applyFont="1" applyFill="1" applyBorder="1"/>
    <xf numFmtId="0" fontId="3421" fillId="3424" borderId="3372" xfId="0" applyFont="1" applyFill="1" applyBorder="1"/>
    <xf numFmtId="0" fontId="3422" fillId="3425" borderId="3373" xfId="0" applyFont="1" applyFill="1" applyBorder="1"/>
    <xf numFmtId="0" fontId="3423" fillId="3426" borderId="3374" xfId="0" applyFont="1" applyFill="1" applyBorder="1"/>
    <xf numFmtId="0" fontId="3424" fillId="3427" borderId="3375" xfId="0" applyFont="1" applyFill="1" applyBorder="1"/>
    <xf numFmtId="14" fontId="3425" fillId="3428" borderId="3376" xfId="0" applyNumberFormat="1" applyFont="1" applyFill="1" applyBorder="1"/>
    <xf numFmtId="0" fontId="3426" fillId="3429" borderId="3377" xfId="0" applyFont="1" applyFill="1" applyBorder="1"/>
    <xf numFmtId="0" fontId="3427" fillId="3430" borderId="3378" xfId="0" applyFont="1" applyFill="1" applyBorder="1"/>
    <xf numFmtId="0" fontId="3428" fillId="3431" borderId="3379" xfId="0" applyFont="1" applyFill="1" applyBorder="1"/>
    <xf numFmtId="0" fontId="3429" fillId="3432" borderId="3380" xfId="0" applyFont="1" applyFill="1" applyBorder="1"/>
    <xf numFmtId="0" fontId="3430" fillId="3433" borderId="3381" xfId="0" applyFont="1" applyFill="1" applyBorder="1"/>
    <xf numFmtId="0" fontId="3431" fillId="3434" borderId="3382" xfId="0" applyFont="1" applyFill="1" applyBorder="1"/>
    <xf numFmtId="0" fontId="3432" fillId="3435" borderId="3383" xfId="0" applyFont="1" applyFill="1" applyBorder="1"/>
    <xf numFmtId="14" fontId="3433" fillId="3436" borderId="3384" xfId="0" applyNumberFormat="1" applyFont="1" applyFill="1" applyBorder="1"/>
    <xf numFmtId="0" fontId="3434" fillId="3437" borderId="3385" xfId="0" applyFont="1" applyFill="1" applyBorder="1"/>
    <xf numFmtId="0" fontId="3435" fillId="3438" borderId="3386" xfId="0" applyFont="1" applyFill="1" applyBorder="1"/>
    <xf numFmtId="0" fontId="3436" fillId="3439" borderId="3387" xfId="0" applyFont="1" applyFill="1" applyBorder="1"/>
    <xf numFmtId="0" fontId="3437" fillId="3440" borderId="3388" xfId="0" applyFont="1" applyFill="1" applyBorder="1"/>
    <xf numFmtId="0" fontId="3438" fillId="3441" borderId="3389" xfId="0" applyFont="1" applyFill="1" applyBorder="1"/>
    <xf numFmtId="0" fontId="3439" fillId="3442" borderId="3390" xfId="0" applyFont="1" applyFill="1" applyBorder="1"/>
    <xf numFmtId="0" fontId="3440" fillId="3443" borderId="3391" xfId="0" applyFont="1" applyFill="1" applyBorder="1"/>
    <xf numFmtId="14" fontId="3441" fillId="3444" borderId="3392" xfId="0" applyNumberFormat="1" applyFont="1" applyFill="1" applyBorder="1"/>
    <xf numFmtId="0" fontId="3442" fillId="3445" borderId="3393" xfId="0" applyFont="1" applyFill="1" applyBorder="1"/>
    <xf numFmtId="0" fontId="3443" fillId="3446" borderId="3394" xfId="0" applyFont="1" applyFill="1" applyBorder="1"/>
    <xf numFmtId="0" fontId="3444" fillId="3447" borderId="3395" xfId="0" applyFont="1" applyFill="1" applyBorder="1"/>
    <xf numFmtId="0" fontId="3445" fillId="3448" borderId="3396" xfId="0" applyFont="1" applyFill="1" applyBorder="1"/>
    <xf numFmtId="0" fontId="3446" fillId="3449" borderId="3397" xfId="0" applyFont="1" applyFill="1" applyBorder="1"/>
    <xf numFmtId="0" fontId="3447" fillId="3450" borderId="3398" xfId="0" applyFont="1" applyFill="1" applyBorder="1"/>
    <xf numFmtId="0" fontId="3448" fillId="3451" borderId="3399" xfId="0" applyFont="1" applyFill="1" applyBorder="1"/>
    <xf numFmtId="14" fontId="3449" fillId="3452" borderId="3400" xfId="0" applyNumberFormat="1" applyFont="1" applyFill="1" applyBorder="1"/>
    <xf numFmtId="0" fontId="3450" fillId="3453" borderId="3401" xfId="0" applyFont="1" applyFill="1" applyBorder="1"/>
    <xf numFmtId="0" fontId="3451" fillId="3454" borderId="3402" xfId="0" applyFont="1" applyFill="1" applyBorder="1"/>
    <xf numFmtId="0" fontId="3452" fillId="3455" borderId="3403" xfId="0" applyFont="1" applyFill="1" applyBorder="1"/>
    <xf numFmtId="0" fontId="3453" fillId="3456" borderId="3404" xfId="0" applyFont="1" applyFill="1" applyBorder="1"/>
    <xf numFmtId="0" fontId="3454" fillId="3457" borderId="3405" xfId="0" applyFont="1" applyFill="1" applyBorder="1"/>
    <xf numFmtId="0" fontId="3455" fillId="3458" borderId="3406" xfId="0" applyFont="1" applyFill="1" applyBorder="1"/>
    <xf numFmtId="0" fontId="3456" fillId="3459" borderId="3407" xfId="0" applyFont="1" applyFill="1" applyBorder="1"/>
    <xf numFmtId="14" fontId="3457" fillId="3460" borderId="3408" xfId="0" applyNumberFormat="1" applyFont="1" applyFill="1" applyBorder="1"/>
    <xf numFmtId="0" fontId="3458" fillId="3461" borderId="3409" xfId="0" applyFont="1" applyFill="1" applyBorder="1"/>
    <xf numFmtId="0" fontId="3459" fillId="3462" borderId="3410" xfId="0" applyFont="1" applyFill="1" applyBorder="1"/>
    <xf numFmtId="0" fontId="3460" fillId="3463" borderId="3411" xfId="0" applyFont="1" applyFill="1" applyBorder="1"/>
    <xf numFmtId="0" fontId="3461" fillId="3464" borderId="3412" xfId="0" applyFont="1" applyFill="1" applyBorder="1"/>
    <xf numFmtId="0" fontId="3462" fillId="3465" borderId="3413" xfId="0" applyFont="1" applyFill="1" applyBorder="1"/>
    <xf numFmtId="0" fontId="3463" fillId="3466" borderId="3414" xfId="0" applyFont="1" applyFill="1" applyBorder="1"/>
    <xf numFmtId="0" fontId="3464" fillId="3467" borderId="3415" xfId="0" applyFont="1" applyFill="1" applyBorder="1"/>
    <xf numFmtId="14" fontId="3465" fillId="3468" borderId="3416" xfId="0" applyNumberFormat="1" applyFont="1" applyFill="1" applyBorder="1"/>
    <xf numFmtId="0" fontId="3466" fillId="3469" borderId="3417" xfId="0" applyFont="1" applyFill="1" applyBorder="1"/>
    <xf numFmtId="0" fontId="3467" fillId="3470" borderId="3418" xfId="0" applyFont="1" applyFill="1" applyBorder="1"/>
    <xf numFmtId="0" fontId="3468" fillId="3471" borderId="3419" xfId="0" applyFont="1" applyFill="1" applyBorder="1"/>
    <xf numFmtId="0" fontId="3469" fillId="3472" borderId="3420" xfId="0" applyFont="1" applyFill="1" applyBorder="1"/>
    <xf numFmtId="0" fontId="3470" fillId="3473" borderId="3421" xfId="0" applyFont="1" applyFill="1" applyBorder="1"/>
    <xf numFmtId="0" fontId="3471" fillId="3474" borderId="3422" xfId="0" applyFont="1" applyFill="1" applyBorder="1"/>
    <xf numFmtId="0" fontId="3472" fillId="3475" borderId="3423" xfId="0" applyFont="1" applyFill="1" applyBorder="1"/>
    <xf numFmtId="14" fontId="3473" fillId="3476" borderId="3424" xfId="0" applyNumberFormat="1" applyFont="1" applyFill="1" applyBorder="1"/>
    <xf numFmtId="0" fontId="3474" fillId="3477" borderId="3425" xfId="0" applyFont="1" applyFill="1" applyBorder="1"/>
    <xf numFmtId="0" fontId="3475" fillId="3478" borderId="3426" xfId="0" applyFont="1" applyFill="1" applyBorder="1"/>
    <xf numFmtId="0" fontId="3476" fillId="3479" borderId="3427" xfId="0" applyFont="1" applyFill="1" applyBorder="1"/>
    <xf numFmtId="0" fontId="3477" fillId="3480" borderId="3428" xfId="0" applyFont="1" applyFill="1" applyBorder="1"/>
    <xf numFmtId="0" fontId="3478" fillId="3481" borderId="3429" xfId="0" applyFont="1" applyFill="1" applyBorder="1"/>
    <xf numFmtId="0" fontId="3479" fillId="3482" borderId="3430" xfId="0" applyFont="1" applyFill="1" applyBorder="1"/>
    <xf numFmtId="0" fontId="3480" fillId="3483" borderId="3431" xfId="0" applyFont="1" applyFill="1" applyBorder="1"/>
    <xf numFmtId="14" fontId="3481" fillId="3484" borderId="3432" xfId="0" applyNumberFormat="1" applyFont="1" applyFill="1" applyBorder="1"/>
    <xf numFmtId="0" fontId="3482" fillId="3485" borderId="3433" xfId="0" applyFont="1" applyFill="1" applyBorder="1"/>
    <xf numFmtId="0" fontId="3483" fillId="3486" borderId="3434" xfId="0" applyFont="1" applyFill="1" applyBorder="1"/>
    <xf numFmtId="0" fontId="3484" fillId="3487" borderId="3435" xfId="0" applyFont="1" applyFill="1" applyBorder="1"/>
    <xf numFmtId="0" fontId="3485" fillId="3488" borderId="3436" xfId="0" applyFont="1" applyFill="1" applyBorder="1"/>
    <xf numFmtId="0" fontId="3486" fillId="3489" borderId="3437" xfId="0" applyFont="1" applyFill="1" applyBorder="1"/>
    <xf numFmtId="0" fontId="3487" fillId="3490" borderId="3438" xfId="0" applyFont="1" applyFill="1" applyBorder="1"/>
    <xf numFmtId="0" fontId="3488" fillId="3491" borderId="3439" xfId="0" applyFont="1" applyFill="1" applyBorder="1"/>
    <xf numFmtId="14" fontId="3489" fillId="3492" borderId="3440" xfId="0" applyNumberFormat="1" applyFont="1" applyFill="1" applyBorder="1"/>
    <xf numFmtId="0" fontId="3490" fillId="3493" borderId="3441" xfId="0" applyFont="1" applyFill="1" applyBorder="1"/>
    <xf numFmtId="0" fontId="3491" fillId="3494" borderId="3442" xfId="0" applyFont="1" applyFill="1" applyBorder="1"/>
    <xf numFmtId="0" fontId="3492" fillId="3495" borderId="3443" xfId="0" applyFont="1" applyFill="1" applyBorder="1"/>
    <xf numFmtId="0" fontId="3493" fillId="3496" borderId="3444" xfId="0" applyFont="1" applyFill="1" applyBorder="1"/>
    <xf numFmtId="0" fontId="3494" fillId="3497" borderId="3445" xfId="0" applyFont="1" applyFill="1" applyBorder="1"/>
    <xf numFmtId="0" fontId="3495" fillId="3498" borderId="3446" xfId="0" applyFont="1" applyFill="1" applyBorder="1"/>
    <xf numFmtId="0" fontId="3496" fillId="3499" borderId="3447" xfId="0" applyFont="1" applyFill="1" applyBorder="1"/>
    <xf numFmtId="14" fontId="3497" fillId="3500" borderId="3448" xfId="0" applyNumberFormat="1" applyFont="1" applyFill="1" applyBorder="1"/>
    <xf numFmtId="0" fontId="3498" fillId="3501" borderId="3449" xfId="0" applyFont="1" applyFill="1" applyBorder="1"/>
    <xf numFmtId="0" fontId="3499" fillId="3502" borderId="3450" xfId="0" applyFont="1" applyFill="1" applyBorder="1"/>
    <xf numFmtId="0" fontId="3500" fillId="3503" borderId="3451" xfId="0" applyFont="1" applyFill="1" applyBorder="1"/>
    <xf numFmtId="0" fontId="3501" fillId="3504" borderId="3452" xfId="0" applyFont="1" applyFill="1" applyBorder="1"/>
    <xf numFmtId="0" fontId="3502" fillId="3505" borderId="3453" xfId="0" applyFont="1" applyFill="1" applyBorder="1"/>
    <xf numFmtId="0" fontId="3503" fillId="3506" borderId="3454" xfId="0" applyFont="1" applyFill="1" applyBorder="1"/>
    <xf numFmtId="0" fontId="3504" fillId="3507" borderId="3455" xfId="0" applyFont="1" applyFill="1" applyBorder="1"/>
    <xf numFmtId="14" fontId="3505" fillId="3508" borderId="3456" xfId="0" applyNumberFormat="1" applyFont="1" applyFill="1" applyBorder="1"/>
    <xf numFmtId="0" fontId="3506" fillId="3509" borderId="3457" xfId="0" applyFont="1" applyFill="1" applyBorder="1"/>
    <xf numFmtId="0" fontId="3507" fillId="3510" borderId="3458" xfId="0" applyFont="1" applyFill="1" applyBorder="1"/>
    <xf numFmtId="0" fontId="3508" fillId="3511" borderId="3459" xfId="0" applyFont="1" applyFill="1" applyBorder="1"/>
    <xf numFmtId="0" fontId="3509" fillId="3512" borderId="3460" xfId="0" applyFont="1" applyFill="1" applyBorder="1"/>
    <xf numFmtId="0" fontId="3510" fillId="3513" borderId="3461" xfId="0" applyFont="1" applyFill="1" applyBorder="1"/>
    <xf numFmtId="0" fontId="3511" fillId="3514" borderId="3462" xfId="0" applyFont="1" applyFill="1" applyBorder="1"/>
    <xf numFmtId="0" fontId="3512" fillId="3515" borderId="3463" xfId="0" applyFont="1" applyFill="1" applyBorder="1"/>
    <xf numFmtId="14" fontId="3513" fillId="3516" borderId="3464" xfId="0" applyNumberFormat="1" applyFont="1" applyFill="1" applyBorder="1"/>
    <xf numFmtId="0" fontId="3514" fillId="3517" borderId="3465" xfId="0" applyFont="1" applyFill="1" applyBorder="1"/>
    <xf numFmtId="0" fontId="3515" fillId="3518" borderId="3466" xfId="0" applyFont="1" applyFill="1" applyBorder="1"/>
    <xf numFmtId="0" fontId="3516" fillId="3519" borderId="3467" xfId="0" applyFont="1" applyFill="1" applyBorder="1"/>
    <xf numFmtId="0" fontId="3517" fillId="3520" borderId="3468" xfId="0" applyFont="1" applyFill="1" applyBorder="1"/>
    <xf numFmtId="0" fontId="3518" fillId="3521" borderId="3469" xfId="0" applyFont="1" applyFill="1" applyBorder="1"/>
    <xf numFmtId="0" fontId="3519" fillId="3522" borderId="3470" xfId="0" applyFont="1" applyFill="1" applyBorder="1"/>
    <xf numFmtId="0" fontId="3520" fillId="3523" borderId="3471" xfId="0" applyFont="1" applyFill="1" applyBorder="1"/>
    <xf numFmtId="14" fontId="3521" fillId="3524" borderId="3472" xfId="0" applyNumberFormat="1" applyFont="1" applyFill="1" applyBorder="1"/>
    <xf numFmtId="0" fontId="3522" fillId="3525" borderId="3473" xfId="0" applyFont="1" applyFill="1" applyBorder="1"/>
    <xf numFmtId="0" fontId="3523" fillId="3526" borderId="3474" xfId="0" applyFont="1" applyFill="1" applyBorder="1"/>
    <xf numFmtId="0" fontId="3524" fillId="3527" borderId="3475" xfId="0" applyFont="1" applyFill="1" applyBorder="1"/>
    <xf numFmtId="0" fontId="3525" fillId="3528" borderId="3476" xfId="0" applyFont="1" applyFill="1" applyBorder="1"/>
    <xf numFmtId="0" fontId="3526" fillId="3529" borderId="3477" xfId="0" applyFont="1" applyFill="1" applyBorder="1"/>
    <xf numFmtId="0" fontId="3527" fillId="3530" borderId="3478" xfId="0" applyFont="1" applyFill="1" applyBorder="1"/>
    <xf numFmtId="0" fontId="3528" fillId="3531" borderId="3479" xfId="0" applyFont="1" applyFill="1" applyBorder="1"/>
    <xf numFmtId="14" fontId="3529" fillId="3532" borderId="3480" xfId="0" applyNumberFormat="1" applyFont="1" applyFill="1" applyBorder="1"/>
    <xf numFmtId="0" fontId="3530" fillId="3533" borderId="3481" xfId="0" applyFont="1" applyFill="1" applyBorder="1"/>
    <xf numFmtId="0" fontId="3531" fillId="3534" borderId="3482" xfId="0" applyFont="1" applyFill="1" applyBorder="1"/>
    <xf numFmtId="0" fontId="3532" fillId="3535" borderId="3483" xfId="0" applyFont="1" applyFill="1" applyBorder="1"/>
    <xf numFmtId="0" fontId="3533" fillId="3536" borderId="3484" xfId="0" applyFont="1" applyFill="1" applyBorder="1"/>
    <xf numFmtId="0" fontId="3534" fillId="3537" borderId="3485" xfId="0" applyFont="1" applyFill="1" applyBorder="1"/>
    <xf numFmtId="0" fontId="3535" fillId="3538" borderId="3486" xfId="0" applyFont="1" applyFill="1" applyBorder="1"/>
    <xf numFmtId="0" fontId="3536" fillId="3539" borderId="3487" xfId="0" applyFont="1" applyFill="1" applyBorder="1"/>
    <xf numFmtId="14" fontId="3537" fillId="3540" borderId="3488" xfId="0" applyNumberFormat="1" applyFont="1" applyFill="1" applyBorder="1"/>
    <xf numFmtId="0" fontId="3538" fillId="3541" borderId="3489" xfId="0" applyFont="1" applyFill="1" applyBorder="1"/>
    <xf numFmtId="0" fontId="3539" fillId="3542" borderId="3490" xfId="0" applyFont="1" applyFill="1" applyBorder="1"/>
    <xf numFmtId="0" fontId="3540" fillId="3543" borderId="3491" xfId="0" applyFont="1" applyFill="1" applyBorder="1"/>
    <xf numFmtId="0" fontId="3541" fillId="3544" borderId="3492" xfId="0" applyFont="1" applyFill="1" applyBorder="1"/>
    <xf numFmtId="0" fontId="3542" fillId="3545" borderId="3493" xfId="0" applyFont="1" applyFill="1" applyBorder="1"/>
    <xf numFmtId="0" fontId="3543" fillId="3546" borderId="3494" xfId="0" applyFont="1" applyFill="1" applyBorder="1"/>
    <xf numFmtId="0" fontId="3544" fillId="3547" borderId="3495" xfId="0" applyFont="1" applyFill="1" applyBorder="1"/>
    <xf numFmtId="14" fontId="3545" fillId="3548" borderId="3496" xfId="0" applyNumberFormat="1" applyFont="1" applyFill="1" applyBorder="1"/>
    <xf numFmtId="0" fontId="3546" fillId="3549" borderId="3497" xfId="0" applyFont="1" applyFill="1" applyBorder="1"/>
    <xf numFmtId="0" fontId="3547" fillId="3550" borderId="3498" xfId="0" applyFont="1" applyFill="1" applyBorder="1"/>
    <xf numFmtId="0" fontId="3548" fillId="3551" borderId="3499" xfId="0" applyFont="1" applyFill="1" applyBorder="1"/>
    <xf numFmtId="0" fontId="3549" fillId="3552" borderId="3500" xfId="0" applyFont="1" applyFill="1" applyBorder="1"/>
    <xf numFmtId="0" fontId="3550" fillId="3553" borderId="3501" xfId="0" applyFont="1" applyFill="1" applyBorder="1"/>
    <xf numFmtId="0" fontId="3551" fillId="3554" borderId="3502" xfId="0" applyFont="1" applyFill="1" applyBorder="1"/>
    <xf numFmtId="0" fontId="3552" fillId="3555" borderId="3503" xfId="0" applyFont="1" applyFill="1" applyBorder="1"/>
    <xf numFmtId="14" fontId="3553" fillId="3556" borderId="3504" xfId="0" applyNumberFormat="1" applyFont="1" applyFill="1" applyBorder="1"/>
    <xf numFmtId="0" fontId="3554" fillId="3557" borderId="3505" xfId="0" applyFont="1" applyFill="1" applyBorder="1"/>
    <xf numFmtId="0" fontId="3555" fillId="3558" borderId="3506" xfId="0" applyFont="1" applyFill="1" applyBorder="1"/>
    <xf numFmtId="0" fontId="3556" fillId="3559" borderId="3507" xfId="0" applyFont="1" applyFill="1" applyBorder="1"/>
    <xf numFmtId="0" fontId="3557" fillId="3560" borderId="3508" xfId="0" applyFont="1" applyFill="1" applyBorder="1"/>
    <xf numFmtId="0" fontId="3558" fillId="3561" borderId="3509" xfId="0" applyFont="1" applyFill="1" applyBorder="1"/>
    <xf numFmtId="0" fontId="3559" fillId="3562" borderId="3510" xfId="0" applyFont="1" applyFill="1" applyBorder="1"/>
    <xf numFmtId="0" fontId="3560" fillId="3563" borderId="3511" xfId="0" applyFont="1" applyFill="1" applyBorder="1"/>
    <xf numFmtId="14" fontId="3561" fillId="3564" borderId="3512" xfId="0" applyNumberFormat="1" applyFont="1" applyFill="1" applyBorder="1"/>
    <xf numFmtId="0" fontId="3562" fillId="3565" borderId="3513" xfId="0" applyFont="1" applyFill="1" applyBorder="1"/>
    <xf numFmtId="0" fontId="3563" fillId="3566" borderId="3514" xfId="0" applyFont="1" applyFill="1" applyBorder="1"/>
    <xf numFmtId="0" fontId="3564" fillId="3567" borderId="3515" xfId="0" applyFont="1" applyFill="1" applyBorder="1"/>
    <xf numFmtId="0" fontId="3565" fillId="3568" borderId="3516" xfId="0" applyFont="1" applyFill="1" applyBorder="1"/>
    <xf numFmtId="0" fontId="3566" fillId="3569" borderId="3517" xfId="0" applyFont="1" applyFill="1" applyBorder="1"/>
    <xf numFmtId="0" fontId="3567" fillId="3570" borderId="3518" xfId="0" applyFont="1" applyFill="1" applyBorder="1"/>
    <xf numFmtId="0" fontId="3568" fillId="3571" borderId="3519" xfId="0" applyFont="1" applyFill="1" applyBorder="1"/>
    <xf numFmtId="14" fontId="3569" fillId="3572" borderId="3520" xfId="0" applyNumberFormat="1" applyFont="1" applyFill="1" applyBorder="1"/>
    <xf numFmtId="0" fontId="3570" fillId="3573" borderId="3521" xfId="0" applyFont="1" applyFill="1" applyBorder="1"/>
    <xf numFmtId="0" fontId="3571" fillId="3574" borderId="3522" xfId="0" applyFont="1" applyFill="1" applyBorder="1"/>
    <xf numFmtId="0" fontId="3572" fillId="3575" borderId="3523" xfId="0" applyFont="1" applyFill="1" applyBorder="1"/>
    <xf numFmtId="0" fontId="3573" fillId="3576" borderId="3524" xfId="0" applyFont="1" applyFill="1" applyBorder="1"/>
    <xf numFmtId="0" fontId="3574" fillId="3577" borderId="3525" xfId="0" applyFont="1" applyFill="1" applyBorder="1"/>
    <xf numFmtId="0" fontId="3575" fillId="3578" borderId="3526" xfId="0" applyFont="1" applyFill="1" applyBorder="1"/>
    <xf numFmtId="0" fontId="3576" fillId="3579" borderId="3527" xfId="0" applyFont="1" applyFill="1" applyBorder="1"/>
    <xf numFmtId="14" fontId="3577" fillId="3580" borderId="3528" xfId="0" applyNumberFormat="1" applyFont="1" applyFill="1" applyBorder="1"/>
    <xf numFmtId="0" fontId="3578" fillId="3581" borderId="3529" xfId="0" applyFont="1" applyFill="1" applyBorder="1"/>
    <xf numFmtId="0" fontId="3579" fillId="3582" borderId="3530" xfId="0" applyFont="1" applyFill="1" applyBorder="1"/>
    <xf numFmtId="0" fontId="3580" fillId="3583" borderId="3531" xfId="0" applyFont="1" applyFill="1" applyBorder="1"/>
    <xf numFmtId="0" fontId="3581" fillId="3584" borderId="3532" xfId="0" applyFont="1" applyFill="1" applyBorder="1"/>
    <xf numFmtId="0" fontId="3582" fillId="3585" borderId="3533" xfId="0" applyFont="1" applyFill="1" applyBorder="1"/>
    <xf numFmtId="0" fontId="3583" fillId="3586" borderId="3534" xfId="0" applyFont="1" applyFill="1" applyBorder="1"/>
    <xf numFmtId="0" fontId="3584" fillId="3587" borderId="3535" xfId="0" applyFont="1" applyFill="1" applyBorder="1"/>
    <xf numFmtId="14" fontId="3585" fillId="3588" borderId="3536" xfId="0" applyNumberFormat="1" applyFont="1" applyFill="1" applyBorder="1"/>
    <xf numFmtId="0" fontId="3586" fillId="3589" borderId="3537" xfId="0" applyFont="1" applyFill="1" applyBorder="1"/>
    <xf numFmtId="0" fontId="3587" fillId="3590" borderId="3538" xfId="0" applyFont="1" applyFill="1" applyBorder="1"/>
    <xf numFmtId="0" fontId="3588" fillId="3591" borderId="3539" xfId="0" applyFont="1" applyFill="1" applyBorder="1"/>
    <xf numFmtId="0" fontId="3589" fillId="3592" borderId="3540" xfId="0" applyFont="1" applyFill="1" applyBorder="1"/>
    <xf numFmtId="0" fontId="3590" fillId="3593" borderId="3541" xfId="0" applyFont="1" applyFill="1" applyBorder="1"/>
    <xf numFmtId="0" fontId="3591" fillId="3594" borderId="3542" xfId="0" applyFont="1" applyFill="1" applyBorder="1"/>
    <xf numFmtId="0" fontId="3592" fillId="3595" borderId="3543" xfId="0" applyFont="1" applyFill="1" applyBorder="1"/>
    <xf numFmtId="14" fontId="3593" fillId="3596" borderId="3544" xfId="0" applyNumberFormat="1" applyFont="1" applyFill="1" applyBorder="1"/>
    <xf numFmtId="0" fontId="3594" fillId="3597" borderId="3545" xfId="0" applyFont="1" applyFill="1" applyBorder="1"/>
    <xf numFmtId="0" fontId="3595" fillId="3598" borderId="3546" xfId="0" applyFont="1" applyFill="1" applyBorder="1"/>
    <xf numFmtId="0" fontId="3596" fillId="3599" borderId="3547" xfId="0" applyFont="1" applyFill="1" applyBorder="1"/>
    <xf numFmtId="0" fontId="3597" fillId="3600" borderId="3548" xfId="0" applyFont="1" applyFill="1" applyBorder="1"/>
    <xf numFmtId="0" fontId="3598" fillId="3601" borderId="3549" xfId="0" applyFont="1" applyFill="1" applyBorder="1"/>
    <xf numFmtId="0" fontId="3599" fillId="3602" borderId="3550" xfId="0" applyFont="1" applyFill="1" applyBorder="1"/>
    <xf numFmtId="0" fontId="3600" fillId="3603" borderId="3551" xfId="0" applyFont="1" applyFill="1" applyBorder="1"/>
    <xf numFmtId="14" fontId="3601" fillId="3604" borderId="3552" xfId="0" applyNumberFormat="1" applyFont="1" applyFill="1" applyBorder="1"/>
    <xf numFmtId="0" fontId="3602" fillId="3605" borderId="3553" xfId="0" applyFont="1" applyFill="1" applyBorder="1"/>
    <xf numFmtId="0" fontId="3603" fillId="3606" borderId="3554" xfId="0" applyFont="1" applyFill="1" applyBorder="1"/>
    <xf numFmtId="0" fontId="3604" fillId="3607" borderId="3555" xfId="0" applyFont="1" applyFill="1" applyBorder="1"/>
    <xf numFmtId="0" fontId="3605" fillId="3608" borderId="3556" xfId="0" applyFont="1" applyFill="1" applyBorder="1"/>
    <xf numFmtId="0" fontId="3606" fillId="3609" borderId="3557" xfId="0" applyFont="1" applyFill="1" applyBorder="1"/>
    <xf numFmtId="0" fontId="3607" fillId="3610" borderId="3558" xfId="0" applyFont="1" applyFill="1" applyBorder="1"/>
    <xf numFmtId="0" fontId="3608" fillId="3611" borderId="3559" xfId="0" applyFont="1" applyFill="1" applyBorder="1"/>
    <xf numFmtId="14" fontId="3609" fillId="3612" borderId="3560" xfId="0" applyNumberFormat="1" applyFont="1" applyFill="1" applyBorder="1"/>
    <xf numFmtId="0" fontId="3610" fillId="3613" borderId="3561" xfId="0" applyFont="1" applyFill="1" applyBorder="1"/>
    <xf numFmtId="0" fontId="3611" fillId="3614" borderId="3562" xfId="0" applyFont="1" applyFill="1" applyBorder="1"/>
    <xf numFmtId="0" fontId="3612" fillId="3615" borderId="3563" xfId="0" applyFont="1" applyFill="1" applyBorder="1"/>
    <xf numFmtId="0" fontId="3613" fillId="3616" borderId="3564" xfId="0" applyFont="1" applyFill="1" applyBorder="1"/>
    <xf numFmtId="0" fontId="3614" fillId="3617" borderId="3565" xfId="0" applyFont="1" applyFill="1" applyBorder="1"/>
    <xf numFmtId="0" fontId="3615" fillId="3618" borderId="3566" xfId="0" applyFont="1" applyFill="1" applyBorder="1"/>
    <xf numFmtId="0" fontId="3616" fillId="3619" borderId="3567" xfId="0" applyFont="1" applyFill="1" applyBorder="1"/>
    <xf numFmtId="14" fontId="3617" fillId="3620" borderId="3568" xfId="0" applyNumberFormat="1" applyFont="1" applyFill="1" applyBorder="1"/>
    <xf numFmtId="0" fontId="3618" fillId="3621" borderId="3569" xfId="0" applyFont="1" applyFill="1" applyBorder="1"/>
    <xf numFmtId="0" fontId="3619" fillId="3622" borderId="3570" xfId="0" applyFont="1" applyFill="1" applyBorder="1"/>
    <xf numFmtId="0" fontId="3620" fillId="3623" borderId="3571" xfId="0" applyFont="1" applyFill="1" applyBorder="1"/>
    <xf numFmtId="0" fontId="3621" fillId="3624" borderId="3572" xfId="0" applyFont="1" applyFill="1" applyBorder="1"/>
    <xf numFmtId="0" fontId="3622" fillId="3625" borderId="3573" xfId="0" applyFont="1" applyFill="1" applyBorder="1"/>
    <xf numFmtId="0" fontId="3623" fillId="3626" borderId="3574" xfId="0" applyFont="1" applyFill="1" applyBorder="1"/>
    <xf numFmtId="0" fontId="3624" fillId="3627" borderId="3575" xfId="0" applyFont="1" applyFill="1" applyBorder="1"/>
    <xf numFmtId="14" fontId="3625" fillId="3628" borderId="3576" xfId="0" applyNumberFormat="1" applyFont="1" applyFill="1" applyBorder="1"/>
    <xf numFmtId="0" fontId="3626" fillId="3629" borderId="3577" xfId="0" applyFont="1" applyFill="1" applyBorder="1"/>
    <xf numFmtId="0" fontId="3627" fillId="3630" borderId="3578" xfId="0" applyFont="1" applyFill="1" applyBorder="1"/>
    <xf numFmtId="0" fontId="3628" fillId="3631" borderId="3579" xfId="0" applyFont="1" applyFill="1" applyBorder="1"/>
    <xf numFmtId="0" fontId="3629" fillId="3632" borderId="3580" xfId="0" applyFont="1" applyFill="1" applyBorder="1"/>
    <xf numFmtId="0" fontId="3630" fillId="3633" borderId="3581" xfId="0" applyFont="1" applyFill="1" applyBorder="1"/>
    <xf numFmtId="0" fontId="3631" fillId="3634" borderId="3582" xfId="0" applyFont="1" applyFill="1" applyBorder="1"/>
    <xf numFmtId="0" fontId="3632" fillId="3635" borderId="3583" xfId="0" applyFont="1" applyFill="1" applyBorder="1"/>
    <xf numFmtId="14" fontId="3633" fillId="3636" borderId="3584" xfId="0" applyNumberFormat="1" applyFont="1" applyFill="1" applyBorder="1"/>
    <xf numFmtId="0" fontId="3634" fillId="3637" borderId="3585" xfId="0" applyFont="1" applyFill="1" applyBorder="1"/>
    <xf numFmtId="0" fontId="3635" fillId="3638" borderId="3586" xfId="0" applyFont="1" applyFill="1" applyBorder="1"/>
    <xf numFmtId="0" fontId="3636" fillId="3639" borderId="3587" xfId="0" applyFont="1" applyFill="1" applyBorder="1"/>
    <xf numFmtId="0" fontId="3637" fillId="3640" borderId="3588" xfId="0" applyFont="1" applyFill="1" applyBorder="1"/>
    <xf numFmtId="0" fontId="3638" fillId="3641" borderId="3589" xfId="0" applyFont="1" applyFill="1" applyBorder="1"/>
    <xf numFmtId="0" fontId="3639" fillId="3642" borderId="3590" xfId="0" applyFont="1" applyFill="1" applyBorder="1"/>
    <xf numFmtId="0" fontId="3640" fillId="3643" borderId="3591" xfId="0" applyFont="1" applyFill="1" applyBorder="1"/>
    <xf numFmtId="14" fontId="3641" fillId="3644" borderId="3592" xfId="0" applyNumberFormat="1" applyFont="1" applyFill="1" applyBorder="1"/>
    <xf numFmtId="0" fontId="3642" fillId="3645" borderId="3593" xfId="0" applyFont="1" applyFill="1" applyBorder="1"/>
    <xf numFmtId="0" fontId="3643" fillId="3646" borderId="3594" xfId="0" applyFont="1" applyFill="1" applyBorder="1"/>
    <xf numFmtId="0" fontId="3644" fillId="3647" borderId="3595" xfId="0" applyFont="1" applyFill="1" applyBorder="1"/>
    <xf numFmtId="0" fontId="3645" fillId="3648" borderId="3596" xfId="0" applyFont="1" applyFill="1" applyBorder="1"/>
    <xf numFmtId="0" fontId="3646" fillId="3649" borderId="3597" xfId="0" applyFont="1" applyFill="1" applyBorder="1"/>
    <xf numFmtId="0" fontId="3647" fillId="3650" borderId="3598" xfId="0" applyFont="1" applyFill="1" applyBorder="1"/>
    <xf numFmtId="0" fontId="3648" fillId="3651" borderId="3599" xfId="0" applyFont="1" applyFill="1" applyBorder="1"/>
    <xf numFmtId="14" fontId="3649" fillId="3652" borderId="3600" xfId="0" applyNumberFormat="1" applyFont="1" applyFill="1" applyBorder="1"/>
    <xf numFmtId="0" fontId="3650" fillId="3653" borderId="3601" xfId="0" applyFont="1" applyFill="1" applyBorder="1"/>
    <xf numFmtId="0" fontId="3651" fillId="3654" borderId="3602" xfId="0" applyFont="1" applyFill="1" applyBorder="1"/>
    <xf numFmtId="0" fontId="3652" fillId="3655" borderId="3603" xfId="0" applyFont="1" applyFill="1" applyBorder="1"/>
    <xf numFmtId="0" fontId="3653" fillId="3656" borderId="3604" xfId="0" applyFont="1" applyFill="1" applyBorder="1"/>
    <xf numFmtId="0" fontId="3654" fillId="3657" borderId="3605" xfId="0" applyFont="1" applyFill="1" applyBorder="1"/>
    <xf numFmtId="0" fontId="3655" fillId="3658" borderId="3606" xfId="0" applyFont="1" applyFill="1" applyBorder="1"/>
    <xf numFmtId="0" fontId="3656" fillId="3659" borderId="3607" xfId="0" applyFont="1" applyFill="1" applyBorder="1"/>
    <xf numFmtId="14" fontId="3657" fillId="3660" borderId="3608" xfId="0" applyNumberFormat="1" applyFont="1" applyFill="1" applyBorder="1"/>
    <xf numFmtId="0" fontId="3658" fillId="3661" borderId="3609" xfId="0" applyFont="1" applyFill="1" applyBorder="1"/>
    <xf numFmtId="0" fontId="3659" fillId="3662" borderId="3610" xfId="0" applyFont="1" applyFill="1" applyBorder="1"/>
    <xf numFmtId="0" fontId="3660" fillId="3663" borderId="3611" xfId="0" applyFont="1" applyFill="1" applyBorder="1"/>
    <xf numFmtId="0" fontId="3661" fillId="3664" borderId="3612" xfId="0" applyFont="1" applyFill="1" applyBorder="1"/>
    <xf numFmtId="0" fontId="3662" fillId="3665" borderId="3613" xfId="0" applyFont="1" applyFill="1" applyBorder="1"/>
    <xf numFmtId="0" fontId="3663" fillId="3666" borderId="3614" xfId="0" applyFont="1" applyFill="1" applyBorder="1"/>
    <xf numFmtId="0" fontId="3664" fillId="3667" borderId="3615" xfId="0" applyFont="1" applyFill="1" applyBorder="1"/>
    <xf numFmtId="14" fontId="3665" fillId="3668" borderId="3616" xfId="0" applyNumberFormat="1" applyFont="1" applyFill="1" applyBorder="1"/>
    <xf numFmtId="0" fontId="3666" fillId="3669" borderId="3617" xfId="0" applyFont="1" applyFill="1" applyBorder="1"/>
    <xf numFmtId="0" fontId="3667" fillId="3670" borderId="3618" xfId="0" applyFont="1" applyFill="1" applyBorder="1"/>
    <xf numFmtId="0" fontId="3668" fillId="3671" borderId="3619" xfId="0" applyFont="1" applyFill="1" applyBorder="1"/>
    <xf numFmtId="0" fontId="3669" fillId="3672" borderId="3620" xfId="0" applyFont="1" applyFill="1" applyBorder="1"/>
    <xf numFmtId="0" fontId="3670" fillId="3673" borderId="3621" xfId="0" applyFont="1" applyFill="1" applyBorder="1"/>
    <xf numFmtId="0" fontId="3671" fillId="3674" borderId="3622" xfId="0" applyFont="1" applyFill="1" applyBorder="1"/>
    <xf numFmtId="0" fontId="3672" fillId="3675" borderId="3623" xfId="0" applyFont="1" applyFill="1" applyBorder="1"/>
    <xf numFmtId="14" fontId="3673" fillId="3676" borderId="3624" xfId="0" applyNumberFormat="1" applyFont="1" applyFill="1" applyBorder="1"/>
    <xf numFmtId="0" fontId="3674" fillId="3677" borderId="3625" xfId="0" applyFont="1" applyFill="1" applyBorder="1"/>
    <xf numFmtId="0" fontId="3675" fillId="3678" borderId="3626" xfId="0" applyFont="1" applyFill="1" applyBorder="1"/>
    <xf numFmtId="0" fontId="3676" fillId="3679" borderId="3627" xfId="0" applyFont="1" applyFill="1" applyBorder="1"/>
    <xf numFmtId="0" fontId="3677" fillId="3680" borderId="3628" xfId="0" applyFont="1" applyFill="1" applyBorder="1"/>
    <xf numFmtId="0" fontId="3678" fillId="3681" borderId="3629" xfId="0" applyFont="1" applyFill="1" applyBorder="1"/>
    <xf numFmtId="0" fontId="3679" fillId="3682" borderId="3630" xfId="0" applyFont="1" applyFill="1" applyBorder="1"/>
    <xf numFmtId="0" fontId="3680" fillId="3683" borderId="3631" xfId="0" applyFont="1" applyFill="1" applyBorder="1"/>
    <xf numFmtId="14" fontId="3681" fillId="3684" borderId="3632" xfId="0" applyNumberFormat="1" applyFont="1" applyFill="1" applyBorder="1"/>
    <xf numFmtId="0" fontId="3682" fillId="3685" borderId="3633" xfId="0" applyFont="1" applyFill="1" applyBorder="1"/>
    <xf numFmtId="0" fontId="3683" fillId="3686" borderId="3634" xfId="0" applyFont="1" applyFill="1" applyBorder="1"/>
    <xf numFmtId="0" fontId="3684" fillId="3687" borderId="3635" xfId="0" applyFont="1" applyFill="1" applyBorder="1"/>
    <xf numFmtId="0" fontId="3685" fillId="3688" borderId="3636" xfId="0" applyFont="1" applyFill="1" applyBorder="1"/>
    <xf numFmtId="0" fontId="3686" fillId="3689" borderId="3637" xfId="0" applyFont="1" applyFill="1" applyBorder="1"/>
    <xf numFmtId="0" fontId="3687" fillId="3690" borderId="3638" xfId="0" applyFont="1" applyFill="1" applyBorder="1"/>
    <xf numFmtId="0" fontId="3688" fillId="3691" borderId="3639" xfId="0" applyFont="1" applyFill="1" applyBorder="1"/>
    <xf numFmtId="14" fontId="3689" fillId="3692" borderId="3640" xfId="0" applyNumberFormat="1" applyFont="1" applyFill="1" applyBorder="1"/>
    <xf numFmtId="0" fontId="3690" fillId="3693" borderId="3641" xfId="0" applyFont="1" applyFill="1" applyBorder="1"/>
    <xf numFmtId="0" fontId="3691" fillId="3694" borderId="3642" xfId="0" applyFont="1" applyFill="1" applyBorder="1"/>
    <xf numFmtId="0" fontId="3692" fillId="3695" borderId="3643" xfId="0" applyFont="1" applyFill="1" applyBorder="1"/>
    <xf numFmtId="0" fontId="3693" fillId="3696" borderId="3644" xfId="0" applyFont="1" applyFill="1" applyBorder="1"/>
    <xf numFmtId="0" fontId="3694" fillId="3697" borderId="3645" xfId="0" applyFont="1" applyFill="1" applyBorder="1"/>
    <xf numFmtId="0" fontId="3695" fillId="3698" borderId="3646" xfId="0" applyFont="1" applyFill="1" applyBorder="1"/>
    <xf numFmtId="0" fontId="3696" fillId="3699" borderId="3647" xfId="0" applyFont="1" applyFill="1" applyBorder="1"/>
    <xf numFmtId="14" fontId="3697" fillId="3700" borderId="3648" xfId="0" applyNumberFormat="1" applyFont="1" applyFill="1" applyBorder="1"/>
    <xf numFmtId="0" fontId="3698" fillId="3701" borderId="3649" xfId="0" applyFont="1" applyFill="1" applyBorder="1"/>
    <xf numFmtId="0" fontId="3699" fillId="3702" borderId="3650" xfId="0" applyFont="1" applyFill="1" applyBorder="1"/>
    <xf numFmtId="0" fontId="3700" fillId="3703" borderId="3651" xfId="0" applyFont="1" applyFill="1" applyBorder="1"/>
    <xf numFmtId="0" fontId="3701" fillId="3704" borderId="3652" xfId="0" applyFont="1" applyFill="1" applyBorder="1"/>
    <xf numFmtId="0" fontId="3702" fillId="3705" borderId="3653" xfId="0" applyFont="1" applyFill="1" applyBorder="1"/>
    <xf numFmtId="0" fontId="3703" fillId="3706" borderId="3654" xfId="0" applyFont="1" applyFill="1" applyBorder="1"/>
    <xf numFmtId="0" fontId="3704" fillId="3707" borderId="3655" xfId="0" applyFont="1" applyFill="1" applyBorder="1"/>
    <xf numFmtId="14" fontId="3705" fillId="3708" borderId="3656" xfId="0" applyNumberFormat="1" applyFont="1" applyFill="1" applyBorder="1"/>
    <xf numFmtId="0" fontId="3706" fillId="3709" borderId="3657" xfId="0" applyFont="1" applyFill="1" applyBorder="1"/>
    <xf numFmtId="0" fontId="3707" fillId="3710" borderId="3658" xfId="0" applyFont="1" applyFill="1" applyBorder="1"/>
    <xf numFmtId="0" fontId="3708" fillId="3711" borderId="3659" xfId="0" applyFont="1" applyFill="1" applyBorder="1"/>
    <xf numFmtId="0" fontId="3709" fillId="3712" borderId="3660" xfId="0" applyFont="1" applyFill="1" applyBorder="1"/>
    <xf numFmtId="0" fontId="3710" fillId="3713" borderId="3661" xfId="0" applyFont="1" applyFill="1" applyBorder="1"/>
    <xf numFmtId="0" fontId="3711" fillId="3714" borderId="3662" xfId="0" applyFont="1" applyFill="1" applyBorder="1"/>
    <xf numFmtId="0" fontId="3712" fillId="3715" borderId="3663" xfId="0" applyFont="1" applyFill="1" applyBorder="1"/>
    <xf numFmtId="14" fontId="3713" fillId="3716" borderId="3664" xfId="0" applyNumberFormat="1" applyFont="1" applyFill="1" applyBorder="1"/>
    <xf numFmtId="0" fontId="3714" fillId="3717" borderId="3665" xfId="0" applyFont="1" applyFill="1" applyBorder="1"/>
    <xf numFmtId="0" fontId="3715" fillId="3718" borderId="3666" xfId="0" applyFont="1" applyFill="1" applyBorder="1"/>
    <xf numFmtId="0" fontId="3716" fillId="3719" borderId="3667" xfId="0" applyFont="1" applyFill="1" applyBorder="1"/>
    <xf numFmtId="0" fontId="3717" fillId="3720" borderId="3668" xfId="0" applyFont="1" applyFill="1" applyBorder="1"/>
    <xf numFmtId="0" fontId="3718" fillId="3721" borderId="3669" xfId="0" applyFont="1" applyFill="1" applyBorder="1"/>
    <xf numFmtId="0" fontId="3719" fillId="3722" borderId="3670" xfId="0" applyFont="1" applyFill="1" applyBorder="1"/>
    <xf numFmtId="0" fontId="3720" fillId="3723" borderId="3671" xfId="0" applyFont="1" applyFill="1" applyBorder="1"/>
    <xf numFmtId="14" fontId="3721" fillId="3724" borderId="3672" xfId="0" applyNumberFormat="1" applyFont="1" applyFill="1" applyBorder="1"/>
    <xf numFmtId="0" fontId="3722" fillId="3725" borderId="3673" xfId="0" applyFont="1" applyFill="1" applyBorder="1"/>
    <xf numFmtId="0" fontId="3723" fillId="3726" borderId="3674" xfId="0" applyFont="1" applyFill="1" applyBorder="1"/>
    <xf numFmtId="0" fontId="3724" fillId="3727" borderId="3675" xfId="0" applyFont="1" applyFill="1" applyBorder="1"/>
    <xf numFmtId="0" fontId="3725" fillId="3728" borderId="3676" xfId="0" applyFont="1" applyFill="1" applyBorder="1"/>
    <xf numFmtId="0" fontId="3726" fillId="3729" borderId="3677" xfId="0" applyFont="1" applyFill="1" applyBorder="1"/>
    <xf numFmtId="0" fontId="3727" fillId="3730" borderId="3678" xfId="0" applyFont="1" applyFill="1" applyBorder="1"/>
    <xf numFmtId="0" fontId="3728" fillId="3731" borderId="3679" xfId="0" applyFont="1" applyFill="1" applyBorder="1"/>
    <xf numFmtId="14" fontId="3729" fillId="3732" borderId="3680" xfId="0" applyNumberFormat="1" applyFont="1" applyFill="1" applyBorder="1"/>
    <xf numFmtId="0" fontId="3730" fillId="3733" borderId="3681" xfId="0" applyFont="1" applyFill="1" applyBorder="1"/>
    <xf numFmtId="0" fontId="3731" fillId="3734" borderId="3682" xfId="0" applyFont="1" applyFill="1" applyBorder="1"/>
    <xf numFmtId="0" fontId="3732" fillId="3735" borderId="3683" xfId="0" applyFont="1" applyFill="1" applyBorder="1"/>
    <xf numFmtId="0" fontId="3733" fillId="3736" borderId="3684" xfId="0" applyFont="1" applyFill="1" applyBorder="1"/>
    <xf numFmtId="0" fontId="3734" fillId="3737" borderId="3685" xfId="0" applyFont="1" applyFill="1" applyBorder="1"/>
    <xf numFmtId="0" fontId="3735" fillId="3738" borderId="3686" xfId="0" applyFont="1" applyFill="1" applyBorder="1"/>
    <xf numFmtId="0" fontId="3736" fillId="3739" borderId="3687" xfId="0" applyFont="1" applyFill="1" applyBorder="1"/>
    <xf numFmtId="14" fontId="3737" fillId="3740" borderId="3688" xfId="0" applyNumberFormat="1" applyFont="1" applyFill="1" applyBorder="1"/>
    <xf numFmtId="0" fontId="3738" fillId="3741" borderId="3689" xfId="0" applyFont="1" applyFill="1" applyBorder="1"/>
    <xf numFmtId="0" fontId="3739" fillId="3742" borderId="3690" xfId="0" applyFont="1" applyFill="1" applyBorder="1"/>
    <xf numFmtId="0" fontId="3740" fillId="3743" borderId="3691" xfId="0" applyFont="1" applyFill="1" applyBorder="1"/>
    <xf numFmtId="0" fontId="3741" fillId="3744" borderId="3692" xfId="0" applyFont="1" applyFill="1" applyBorder="1"/>
    <xf numFmtId="0" fontId="3742" fillId="3745" borderId="3693" xfId="0" applyFont="1" applyFill="1" applyBorder="1"/>
    <xf numFmtId="0" fontId="3743" fillId="3746" borderId="3694" xfId="0" applyFont="1" applyFill="1" applyBorder="1"/>
    <xf numFmtId="0" fontId="3744" fillId="3747" borderId="3695" xfId="0" applyFont="1" applyFill="1" applyBorder="1"/>
    <xf numFmtId="14" fontId="3745" fillId="3748" borderId="3696" xfId="0" applyNumberFormat="1" applyFont="1" applyFill="1" applyBorder="1"/>
    <xf numFmtId="0" fontId="3746" fillId="3749" borderId="3697" xfId="0" applyFont="1" applyFill="1" applyBorder="1"/>
    <xf numFmtId="0" fontId="3747" fillId="3750" borderId="3698" xfId="0" applyFont="1" applyFill="1" applyBorder="1"/>
    <xf numFmtId="0" fontId="3748" fillId="3751" borderId="3699" xfId="0" applyFont="1" applyFill="1" applyBorder="1"/>
    <xf numFmtId="0" fontId="3749" fillId="3752" borderId="3700" xfId="0" applyFont="1" applyFill="1" applyBorder="1"/>
    <xf numFmtId="0" fontId="3750" fillId="3753" borderId="3701" xfId="0" applyFont="1" applyFill="1" applyBorder="1"/>
    <xf numFmtId="0" fontId="3751" fillId="3754" borderId="3702" xfId="0" applyFont="1" applyFill="1" applyBorder="1"/>
    <xf numFmtId="0" fontId="3752" fillId="3755" borderId="3703" xfId="0" applyFont="1" applyFill="1" applyBorder="1"/>
    <xf numFmtId="14" fontId="3753" fillId="3756" borderId="3704" xfId="0" applyNumberFormat="1" applyFont="1" applyFill="1" applyBorder="1"/>
    <xf numFmtId="0" fontId="3754" fillId="3757" borderId="3705" xfId="0" applyFont="1" applyFill="1" applyBorder="1"/>
    <xf numFmtId="0" fontId="3755" fillId="3758" borderId="3706" xfId="0" applyFont="1" applyFill="1" applyBorder="1"/>
    <xf numFmtId="0" fontId="3756" fillId="3759" borderId="3707" xfId="0" applyFont="1" applyFill="1" applyBorder="1"/>
    <xf numFmtId="0" fontId="3757" fillId="3760" borderId="3708" xfId="0" applyFont="1" applyFill="1" applyBorder="1"/>
    <xf numFmtId="0" fontId="3758" fillId="3761" borderId="3709" xfId="0" applyFont="1" applyFill="1" applyBorder="1"/>
    <xf numFmtId="0" fontId="3759" fillId="3762" borderId="3710" xfId="0" applyFont="1" applyFill="1" applyBorder="1"/>
    <xf numFmtId="0" fontId="3760" fillId="3763" borderId="3711" xfId="0" applyFont="1" applyFill="1" applyBorder="1"/>
    <xf numFmtId="14" fontId="3761" fillId="3764" borderId="3712" xfId="0" applyNumberFormat="1" applyFont="1" applyFill="1" applyBorder="1"/>
    <xf numFmtId="0" fontId="3762" fillId="3765" borderId="3713" xfId="0" applyFont="1" applyFill="1" applyBorder="1"/>
    <xf numFmtId="0" fontId="3763" fillId="3766" borderId="3714" xfId="0" applyFont="1" applyFill="1" applyBorder="1"/>
    <xf numFmtId="0" fontId="3764" fillId="3767" borderId="3715" xfId="0" applyFont="1" applyFill="1" applyBorder="1"/>
    <xf numFmtId="0" fontId="3765" fillId="3768" borderId="3716" xfId="0" applyFont="1" applyFill="1" applyBorder="1"/>
    <xf numFmtId="0" fontId="3766" fillId="3769" borderId="3717" xfId="0" applyFont="1" applyFill="1" applyBorder="1"/>
    <xf numFmtId="0" fontId="3767" fillId="3770" borderId="3718" xfId="0" applyFont="1" applyFill="1" applyBorder="1"/>
    <xf numFmtId="0" fontId="3768" fillId="3771" borderId="3719" xfId="0" applyFont="1" applyFill="1" applyBorder="1"/>
    <xf numFmtId="14" fontId="3769" fillId="3772" borderId="3720" xfId="0" applyNumberFormat="1" applyFont="1" applyFill="1" applyBorder="1"/>
    <xf numFmtId="0" fontId="3770" fillId="3773" borderId="3721" xfId="0" applyFont="1" applyFill="1" applyBorder="1"/>
    <xf numFmtId="0" fontId="3771" fillId="3774" borderId="3722" xfId="0" applyFont="1" applyFill="1" applyBorder="1"/>
    <xf numFmtId="0" fontId="3772" fillId="3775" borderId="3723" xfId="0" applyFont="1" applyFill="1" applyBorder="1"/>
    <xf numFmtId="0" fontId="3773" fillId="3776" borderId="3724" xfId="0" applyFont="1" applyFill="1" applyBorder="1"/>
    <xf numFmtId="0" fontId="3774" fillId="3777" borderId="3725" xfId="0" applyFont="1" applyFill="1" applyBorder="1"/>
    <xf numFmtId="0" fontId="3775" fillId="3778" borderId="3726" xfId="0" applyFont="1" applyFill="1" applyBorder="1"/>
    <xf numFmtId="0" fontId="3776" fillId="3779" borderId="3727" xfId="0" applyFont="1" applyFill="1" applyBorder="1"/>
    <xf numFmtId="14" fontId="3777" fillId="3780" borderId="3728" xfId="0" applyNumberFormat="1" applyFont="1" applyFill="1" applyBorder="1"/>
    <xf numFmtId="0" fontId="3778" fillId="3781" borderId="3729" xfId="0" applyFont="1" applyFill="1" applyBorder="1"/>
    <xf numFmtId="0" fontId="3779" fillId="3782" borderId="3730" xfId="0" applyFont="1" applyFill="1" applyBorder="1"/>
    <xf numFmtId="0" fontId="3780" fillId="3783" borderId="3731" xfId="0" applyFont="1" applyFill="1" applyBorder="1"/>
    <xf numFmtId="0" fontId="3781" fillId="3784" borderId="3732" xfId="0" applyFont="1" applyFill="1" applyBorder="1"/>
    <xf numFmtId="0" fontId="3782" fillId="3785" borderId="3733" xfId="0" applyFont="1" applyFill="1" applyBorder="1"/>
    <xf numFmtId="0" fontId="3783" fillId="3786" borderId="3734" xfId="0" applyFont="1" applyFill="1" applyBorder="1"/>
    <xf numFmtId="0" fontId="3784" fillId="3787" borderId="3735" xfId="0" applyFont="1" applyFill="1" applyBorder="1"/>
    <xf numFmtId="14" fontId="3785" fillId="3788" borderId="3736" xfId="0" applyNumberFormat="1" applyFont="1" applyFill="1" applyBorder="1"/>
    <xf numFmtId="0" fontId="3786" fillId="3789" borderId="3737" xfId="0" applyFont="1" applyFill="1" applyBorder="1"/>
    <xf numFmtId="0" fontId="3787" fillId="3790" borderId="3738" xfId="0" applyFont="1" applyFill="1" applyBorder="1"/>
    <xf numFmtId="0" fontId="3788" fillId="3791" borderId="3739" xfId="0" applyFont="1" applyFill="1" applyBorder="1"/>
    <xf numFmtId="0" fontId="3789" fillId="3792" borderId="3740" xfId="0" applyFont="1" applyFill="1" applyBorder="1"/>
    <xf numFmtId="0" fontId="3790" fillId="3793" borderId="3741" xfId="0" applyFont="1" applyFill="1" applyBorder="1"/>
    <xf numFmtId="0" fontId="3791" fillId="3794" borderId="3742" xfId="0" applyFont="1" applyFill="1" applyBorder="1"/>
    <xf numFmtId="0" fontId="3792" fillId="3795" borderId="3743" xfId="0" applyFont="1" applyFill="1" applyBorder="1"/>
    <xf numFmtId="14" fontId="3793" fillId="3796" borderId="3744" xfId="0" applyNumberFormat="1" applyFont="1" applyFill="1" applyBorder="1"/>
    <xf numFmtId="0" fontId="3794" fillId="3797" borderId="3745" xfId="0" applyFont="1" applyFill="1" applyBorder="1"/>
    <xf numFmtId="0" fontId="3795" fillId="3798" borderId="3746" xfId="0" applyFont="1" applyFill="1" applyBorder="1"/>
    <xf numFmtId="0" fontId="3796" fillId="3799" borderId="3747" xfId="0" applyFont="1" applyFill="1" applyBorder="1"/>
    <xf numFmtId="0" fontId="3797" fillId="3800" borderId="3748" xfId="0" applyFont="1" applyFill="1" applyBorder="1"/>
    <xf numFmtId="0" fontId="3798" fillId="3801" borderId="3749" xfId="0" applyFont="1" applyFill="1" applyBorder="1"/>
    <xf numFmtId="0" fontId="3799" fillId="3802" borderId="3750" xfId="0" applyFont="1" applyFill="1" applyBorder="1"/>
    <xf numFmtId="0" fontId="3800" fillId="3803" borderId="3751" xfId="0" applyFont="1" applyFill="1" applyBorder="1"/>
    <xf numFmtId="14" fontId="3801" fillId="3804" borderId="3752" xfId="0" applyNumberFormat="1" applyFont="1" applyFill="1" applyBorder="1"/>
    <xf numFmtId="0" fontId="3802" fillId="3805" borderId="3753" xfId="0" applyFont="1" applyFill="1" applyBorder="1"/>
    <xf numFmtId="0" fontId="3803" fillId="3806" borderId="3754" xfId="0" applyFont="1" applyFill="1" applyBorder="1"/>
    <xf numFmtId="0" fontId="3804" fillId="3807" borderId="3755" xfId="0" applyFont="1" applyFill="1" applyBorder="1"/>
    <xf numFmtId="0" fontId="3805" fillId="3808" borderId="3756" xfId="0" applyFont="1" applyFill="1" applyBorder="1"/>
    <xf numFmtId="0" fontId="3806" fillId="3809" borderId="3757" xfId="0" applyFont="1" applyFill="1" applyBorder="1"/>
    <xf numFmtId="0" fontId="3807" fillId="3810" borderId="3758" xfId="0" applyFont="1" applyFill="1" applyBorder="1"/>
    <xf numFmtId="0" fontId="3808" fillId="3811" borderId="3759" xfId="0" applyFont="1" applyFill="1" applyBorder="1"/>
    <xf numFmtId="14" fontId="3809" fillId="3812" borderId="3760" xfId="0" applyNumberFormat="1" applyFont="1" applyFill="1" applyBorder="1"/>
    <xf numFmtId="0" fontId="3810" fillId="3813" borderId="3761" xfId="0" applyFont="1" applyFill="1" applyBorder="1"/>
    <xf numFmtId="0" fontId="3811" fillId="3814" borderId="3762" xfId="0" applyFont="1" applyFill="1" applyBorder="1"/>
    <xf numFmtId="0" fontId="3812" fillId="3815" borderId="3763" xfId="0" applyFont="1" applyFill="1" applyBorder="1"/>
    <xf numFmtId="0" fontId="3813" fillId="3816" borderId="3764" xfId="0" applyFont="1" applyFill="1" applyBorder="1"/>
    <xf numFmtId="0" fontId="3814" fillId="3817" borderId="3765" xfId="0" applyFont="1" applyFill="1" applyBorder="1"/>
    <xf numFmtId="0" fontId="3815" fillId="3818" borderId="3766" xfId="0" applyFont="1" applyFill="1" applyBorder="1"/>
    <xf numFmtId="0" fontId="3816" fillId="3819" borderId="3767" xfId="0" applyFont="1" applyFill="1" applyBorder="1"/>
    <xf numFmtId="14" fontId="3817" fillId="3820" borderId="3768" xfId="0" applyNumberFormat="1" applyFont="1" applyFill="1" applyBorder="1"/>
    <xf numFmtId="0" fontId="3818" fillId="3821" borderId="3769" xfId="0" applyFont="1" applyFill="1" applyBorder="1"/>
    <xf numFmtId="0" fontId="3819" fillId="3822" borderId="3770" xfId="0" applyFont="1" applyFill="1" applyBorder="1"/>
    <xf numFmtId="0" fontId="3820" fillId="3823" borderId="3771" xfId="0" applyFont="1" applyFill="1" applyBorder="1"/>
    <xf numFmtId="0" fontId="3821" fillId="3824" borderId="3772" xfId="0" applyFont="1" applyFill="1" applyBorder="1"/>
    <xf numFmtId="0" fontId="3822" fillId="3825" borderId="3773" xfId="0" applyFont="1" applyFill="1" applyBorder="1"/>
    <xf numFmtId="0" fontId="3823" fillId="3826" borderId="3774" xfId="0" applyFont="1" applyFill="1" applyBorder="1"/>
    <xf numFmtId="0" fontId="3824" fillId="3827" borderId="3775" xfId="0" applyFont="1" applyFill="1" applyBorder="1"/>
    <xf numFmtId="14" fontId="3825" fillId="3828" borderId="3776" xfId="0" applyNumberFormat="1" applyFont="1" applyFill="1" applyBorder="1"/>
    <xf numFmtId="0" fontId="3826" fillId="3829" borderId="3777" xfId="0" applyFont="1" applyFill="1" applyBorder="1"/>
    <xf numFmtId="0" fontId="3827" fillId="3830" borderId="3778" xfId="0" applyFont="1" applyFill="1" applyBorder="1"/>
    <xf numFmtId="0" fontId="3828" fillId="3831" borderId="3779" xfId="0" applyFont="1" applyFill="1" applyBorder="1"/>
    <xf numFmtId="0" fontId="3829" fillId="3832" borderId="3780" xfId="0" applyFont="1" applyFill="1" applyBorder="1"/>
    <xf numFmtId="0" fontId="3830" fillId="3833" borderId="3781" xfId="0" applyFont="1" applyFill="1" applyBorder="1"/>
    <xf numFmtId="0" fontId="3831" fillId="3834" borderId="3782" xfId="0" applyFont="1" applyFill="1" applyBorder="1"/>
    <xf numFmtId="0" fontId="3832" fillId="3835" borderId="3783" xfId="0" applyFont="1" applyFill="1" applyBorder="1"/>
    <xf numFmtId="14" fontId="3833" fillId="3836" borderId="3784" xfId="0" applyNumberFormat="1" applyFont="1" applyFill="1" applyBorder="1"/>
    <xf numFmtId="0" fontId="3834" fillId="3837" borderId="3785" xfId="0" applyFont="1" applyFill="1" applyBorder="1"/>
    <xf numFmtId="0" fontId="3835" fillId="3838" borderId="3786" xfId="0" applyFont="1" applyFill="1" applyBorder="1"/>
    <xf numFmtId="0" fontId="3836" fillId="3839" borderId="3787" xfId="0" applyFont="1" applyFill="1" applyBorder="1"/>
    <xf numFmtId="0" fontId="3837" fillId="3840" borderId="3788" xfId="0" applyFont="1" applyFill="1" applyBorder="1"/>
    <xf numFmtId="0" fontId="3838" fillId="3841" borderId="3789" xfId="0" applyFont="1" applyFill="1" applyBorder="1"/>
    <xf numFmtId="0" fontId="3839" fillId="3842" borderId="3790" xfId="0" applyFont="1" applyFill="1" applyBorder="1"/>
    <xf numFmtId="0" fontId="3840" fillId="3843" borderId="3791" xfId="0" applyFont="1" applyFill="1" applyBorder="1"/>
    <xf numFmtId="14" fontId="3841" fillId="3844" borderId="3792" xfId="0" applyNumberFormat="1" applyFont="1" applyFill="1" applyBorder="1"/>
    <xf numFmtId="0" fontId="3842" fillId="3845" borderId="3793" xfId="0" applyFont="1" applyFill="1" applyBorder="1"/>
    <xf numFmtId="0" fontId="3843" fillId="3846" borderId="3794" xfId="0" applyFont="1" applyFill="1" applyBorder="1"/>
    <xf numFmtId="0" fontId="3844" fillId="3847" borderId="3795" xfId="0" applyFont="1" applyFill="1" applyBorder="1"/>
    <xf numFmtId="0" fontId="3845" fillId="3848" borderId="3796" xfId="0" applyFont="1" applyFill="1" applyBorder="1"/>
    <xf numFmtId="0" fontId="3846" fillId="3849" borderId="3797" xfId="0" applyFont="1" applyFill="1" applyBorder="1"/>
    <xf numFmtId="0" fontId="3847" fillId="3850" borderId="3798" xfId="0" applyFont="1" applyFill="1" applyBorder="1"/>
    <xf numFmtId="0" fontId="3848" fillId="3851" borderId="3799" xfId="0" applyFont="1" applyFill="1" applyBorder="1"/>
    <xf numFmtId="14" fontId="3849" fillId="3852" borderId="3800" xfId="0" applyNumberFormat="1" applyFont="1" applyFill="1" applyBorder="1"/>
    <xf numFmtId="0" fontId="3850" fillId="3853" borderId="3801" xfId="0" applyFont="1" applyFill="1" applyBorder="1"/>
    <xf numFmtId="0" fontId="3851" fillId="3854" borderId="3802" xfId="0" applyFont="1" applyFill="1" applyBorder="1"/>
    <xf numFmtId="0" fontId="3852" fillId="3855" borderId="3803" xfId="0" applyFont="1" applyFill="1" applyBorder="1"/>
    <xf numFmtId="0" fontId="3853" fillId="3856" borderId="3804" xfId="0" applyFont="1" applyFill="1" applyBorder="1"/>
    <xf numFmtId="0" fontId="3854" fillId="3857" borderId="3805" xfId="0" applyFont="1" applyFill="1" applyBorder="1"/>
    <xf numFmtId="0" fontId="3855" fillId="3858" borderId="3806" xfId="0" applyFont="1" applyFill="1" applyBorder="1"/>
    <xf numFmtId="0" fontId="3856" fillId="3859" borderId="3807" xfId="0" applyFont="1" applyFill="1" applyBorder="1"/>
    <xf numFmtId="14" fontId="3857" fillId="3860" borderId="3808" xfId="0" applyNumberFormat="1" applyFont="1" applyFill="1" applyBorder="1"/>
    <xf numFmtId="0" fontId="3858" fillId="3861" borderId="3809" xfId="0" applyFont="1" applyFill="1" applyBorder="1"/>
    <xf numFmtId="0" fontId="3859" fillId="3862" borderId="3810" xfId="0" applyFont="1" applyFill="1" applyBorder="1"/>
    <xf numFmtId="0" fontId="3860" fillId="3863" borderId="3811" xfId="0" applyFont="1" applyFill="1" applyBorder="1"/>
    <xf numFmtId="0" fontId="3861" fillId="3864" borderId="3812" xfId="0" applyFont="1" applyFill="1" applyBorder="1"/>
    <xf numFmtId="0" fontId="3862" fillId="3865" borderId="3813" xfId="0" applyFont="1" applyFill="1" applyBorder="1"/>
    <xf numFmtId="0" fontId="3863" fillId="3866" borderId="3814" xfId="0" applyFont="1" applyFill="1" applyBorder="1"/>
    <xf numFmtId="0" fontId="3864" fillId="3867" borderId="3815" xfId="0" applyFont="1" applyFill="1" applyBorder="1"/>
    <xf numFmtId="14" fontId="3865" fillId="3868" borderId="3816" xfId="0" applyNumberFormat="1" applyFont="1" applyFill="1" applyBorder="1"/>
    <xf numFmtId="0" fontId="3866" fillId="3869" borderId="3817" xfId="0" applyFont="1" applyFill="1" applyBorder="1"/>
    <xf numFmtId="0" fontId="3867" fillId="3870" borderId="3818" xfId="0" applyFont="1" applyFill="1" applyBorder="1"/>
    <xf numFmtId="0" fontId="3868" fillId="3871" borderId="3819" xfId="0" applyFont="1" applyFill="1" applyBorder="1"/>
    <xf numFmtId="0" fontId="3869" fillId="3872" borderId="3820" xfId="0" applyFont="1" applyFill="1" applyBorder="1"/>
    <xf numFmtId="0" fontId="3870" fillId="3873" borderId="3821" xfId="0" applyFont="1" applyFill="1" applyBorder="1"/>
    <xf numFmtId="0" fontId="3871" fillId="3874" borderId="3822" xfId="0" applyFont="1" applyFill="1" applyBorder="1"/>
    <xf numFmtId="0" fontId="3872" fillId="3875" borderId="3823" xfId="0" applyFont="1" applyFill="1" applyBorder="1"/>
    <xf numFmtId="14" fontId="3873" fillId="3876" borderId="3824" xfId="0" applyNumberFormat="1" applyFont="1" applyFill="1" applyBorder="1"/>
    <xf numFmtId="0" fontId="3874" fillId="3877" borderId="3825" xfId="0" applyFont="1" applyFill="1" applyBorder="1"/>
    <xf numFmtId="0" fontId="3875" fillId="3878" borderId="3826" xfId="0" applyFont="1" applyFill="1" applyBorder="1"/>
    <xf numFmtId="0" fontId="3876" fillId="3879" borderId="3827" xfId="0" applyFont="1" applyFill="1" applyBorder="1"/>
    <xf numFmtId="0" fontId="3877" fillId="3880" borderId="3828" xfId="0" applyFont="1" applyFill="1" applyBorder="1"/>
    <xf numFmtId="0" fontId="3878" fillId="3881" borderId="3829" xfId="0" applyFont="1" applyFill="1" applyBorder="1"/>
    <xf numFmtId="0" fontId="3879" fillId="3882" borderId="3830" xfId="0" applyFont="1" applyFill="1" applyBorder="1"/>
    <xf numFmtId="0" fontId="3880" fillId="3883" borderId="3831" xfId="0" applyFont="1" applyFill="1" applyBorder="1"/>
    <xf numFmtId="14" fontId="3881" fillId="3884" borderId="3832" xfId="0" applyNumberFormat="1" applyFont="1" applyFill="1" applyBorder="1"/>
    <xf numFmtId="0" fontId="3882" fillId="3885" borderId="3833" xfId="0" applyFont="1" applyFill="1" applyBorder="1"/>
    <xf numFmtId="0" fontId="3883" fillId="3886" borderId="3834" xfId="0" applyFont="1" applyFill="1" applyBorder="1"/>
    <xf numFmtId="0" fontId="3884" fillId="3887" borderId="3835" xfId="0" applyFont="1" applyFill="1" applyBorder="1"/>
    <xf numFmtId="0" fontId="3885" fillId="3888" borderId="3836" xfId="0" applyFont="1" applyFill="1" applyBorder="1"/>
    <xf numFmtId="0" fontId="3886" fillId="3889" borderId="3837" xfId="0" applyFont="1" applyFill="1" applyBorder="1"/>
    <xf numFmtId="0" fontId="3887" fillId="3890" borderId="3838" xfId="0" applyFont="1" applyFill="1" applyBorder="1"/>
    <xf numFmtId="0" fontId="3888" fillId="3891" borderId="3839" xfId="0" applyFont="1" applyFill="1" applyBorder="1"/>
    <xf numFmtId="14" fontId="3889" fillId="3892" borderId="3840" xfId="0" applyNumberFormat="1" applyFont="1" applyFill="1" applyBorder="1"/>
    <xf numFmtId="0" fontId="3890" fillId="3893" borderId="3841" xfId="0" applyFont="1" applyFill="1" applyBorder="1"/>
    <xf numFmtId="0" fontId="3891" fillId="3894" borderId="3842" xfId="0" applyFont="1" applyFill="1" applyBorder="1"/>
    <xf numFmtId="0" fontId="3892" fillId="3895" borderId="3843" xfId="0" applyFont="1" applyFill="1" applyBorder="1"/>
    <xf numFmtId="0" fontId="3893" fillId="3896" borderId="3844" xfId="0" applyFont="1" applyFill="1" applyBorder="1"/>
    <xf numFmtId="0" fontId="3894" fillId="3897" borderId="3845" xfId="0" applyFont="1" applyFill="1" applyBorder="1"/>
    <xf numFmtId="0" fontId="3895" fillId="3898" borderId="3846" xfId="0" applyFont="1" applyFill="1" applyBorder="1"/>
    <xf numFmtId="0" fontId="3896" fillId="3899" borderId="3847" xfId="0" applyFont="1" applyFill="1" applyBorder="1"/>
    <xf numFmtId="14" fontId="3897" fillId="3900" borderId="3848" xfId="0" applyNumberFormat="1" applyFont="1" applyFill="1" applyBorder="1"/>
    <xf numFmtId="0" fontId="3898" fillId="3901" borderId="3849" xfId="0" applyFont="1" applyFill="1" applyBorder="1"/>
    <xf numFmtId="0" fontId="3899" fillId="3902" borderId="3850" xfId="0" applyFont="1" applyFill="1" applyBorder="1"/>
    <xf numFmtId="0" fontId="3900" fillId="3903" borderId="3851" xfId="0" applyFont="1" applyFill="1" applyBorder="1"/>
    <xf numFmtId="0" fontId="3901" fillId="3904" borderId="3852" xfId="0" applyFont="1" applyFill="1" applyBorder="1"/>
    <xf numFmtId="0" fontId="3902" fillId="3905" borderId="3853" xfId="0" applyFont="1" applyFill="1" applyBorder="1"/>
    <xf numFmtId="0" fontId="3903" fillId="3906" borderId="3854" xfId="0" applyFont="1" applyFill="1" applyBorder="1"/>
    <xf numFmtId="0" fontId="3904" fillId="3907" borderId="3855" xfId="0" applyFont="1" applyFill="1" applyBorder="1"/>
    <xf numFmtId="14" fontId="0" fillId="2882" borderId="2830" xfId="0" applyNumberFormat="1" applyFill="1" applyBorder="1"/>
    <xf numFmtId="14" fontId="0" fillId="3909" borderId="0" xfId="0" applyNumberFormat="1" applyFill="1"/>
    <xf numFmtId="0" fontId="0" fillId="3909" borderId="0" xfId="0" applyFill="1"/>
    <xf numFmtId="4" fontId="0" fillId="3909" borderId="0" xfId="0" applyNumberFormat="1" applyFill="1"/>
    <xf numFmtId="2" fontId="0" fillId="3909" borderId="0" xfId="0" applyNumberFormat="1" applyFill="1"/>
    <xf numFmtId="164" fontId="0" fillId="3909" borderId="0" xfId="0" applyNumberFormat="1" applyFill="1"/>
    <xf numFmtId="0" fontId="3906" fillId="3910" borderId="3857" xfId="0" applyFont="1" applyFill="1" applyBorder="1" applyAlignment="1">
      <alignment horizontal="center" wrapText="1"/>
    </xf>
    <xf numFmtId="0" fontId="3907" fillId="3911" borderId="3858" xfId="0" applyFont="1" applyFill="1" applyBorder="1"/>
    <xf numFmtId="0" fontId="3908" fillId="3912" borderId="3859" xfId="0" applyFont="1" applyFill="1" applyBorder="1"/>
    <xf numFmtId="0" fontId="3909" fillId="3913" borderId="3860" xfId="0" applyFont="1" applyFill="1" applyBorder="1"/>
    <xf numFmtId="0" fontId="3910" fillId="3914" borderId="3861" xfId="0" applyFont="1" applyFill="1" applyBorder="1"/>
    <xf numFmtId="0" fontId="3911" fillId="3915" borderId="3862" xfId="0" applyFont="1" applyFill="1" applyBorder="1"/>
    <xf numFmtId="0" fontId="3912" fillId="3916" borderId="3863" xfId="0" applyFont="1" applyFill="1" applyBorder="1"/>
    <xf numFmtId="0" fontId="3913" fillId="3917" borderId="3864" xfId="0" applyFont="1" applyFill="1" applyBorder="1"/>
    <xf numFmtId="0" fontId="3914" fillId="3918" borderId="3865" xfId="0" applyFont="1" applyFill="1" applyBorder="1"/>
    <xf numFmtId="0" fontId="3915" fillId="3919" borderId="3866" xfId="0" applyFont="1" applyFill="1" applyBorder="1"/>
    <xf numFmtId="0" fontId="3916" fillId="3920" borderId="3867" xfId="0" applyFont="1" applyFill="1" applyBorder="1"/>
    <xf numFmtId="0" fontId="3917" fillId="3921" borderId="3868" xfId="0" applyFont="1" applyFill="1" applyBorder="1"/>
    <xf numFmtId="0" fontId="3918" fillId="3922" borderId="3869" xfId="0" applyFont="1" applyFill="1" applyBorder="1"/>
    <xf numFmtId="0" fontId="3919" fillId="3923" borderId="3870" xfId="0" applyFont="1" applyFill="1" applyBorder="1"/>
    <xf numFmtId="0" fontId="3920" fillId="3924" borderId="3871" xfId="0" applyFont="1" applyFill="1" applyBorder="1"/>
    <xf numFmtId="0" fontId="3921" fillId="3925" borderId="3872" xfId="0" applyFont="1" applyFill="1" applyBorder="1"/>
    <xf numFmtId="0" fontId="3922" fillId="3926" borderId="3873" xfId="0" applyFont="1" applyFill="1" applyBorder="1"/>
    <xf numFmtId="0" fontId="3923" fillId="3927" borderId="3874" xfId="0" applyFont="1" applyFill="1" applyBorder="1"/>
    <xf numFmtId="0" fontId="3924" fillId="3928" borderId="3875" xfId="0" applyFont="1" applyFill="1" applyBorder="1"/>
    <xf numFmtId="0" fontId="3925" fillId="3929" borderId="3876" xfId="0" applyFont="1" applyFill="1" applyBorder="1"/>
    <xf numFmtId="0" fontId="3926" fillId="3930" borderId="3877" xfId="0" applyFont="1" applyFill="1" applyBorder="1"/>
    <xf numFmtId="0" fontId="3927" fillId="3931" borderId="3878" xfId="0" applyFont="1" applyFill="1" applyBorder="1"/>
    <xf numFmtId="0" fontId="3928" fillId="3932" borderId="3879" xfId="0" applyFont="1" applyFill="1" applyBorder="1"/>
    <xf numFmtId="0" fontId="3929" fillId="3933" borderId="3880" xfId="0" applyFont="1" applyFill="1" applyBorder="1"/>
    <xf numFmtId="0" fontId="3930" fillId="3934" borderId="3881" xfId="0" applyFont="1" applyFill="1" applyBorder="1"/>
    <xf numFmtId="0" fontId="3931" fillId="3935" borderId="3882" xfId="0" applyFont="1" applyFill="1" applyBorder="1"/>
    <xf numFmtId="0" fontId="3932" fillId="3936" borderId="3883" xfId="0" applyFont="1" applyFill="1" applyBorder="1"/>
    <xf numFmtId="0" fontId="3933" fillId="3937" borderId="3884" xfId="0" applyFont="1" applyFill="1" applyBorder="1"/>
    <xf numFmtId="0" fontId="3934" fillId="3938" borderId="3885" xfId="0" applyFont="1" applyFill="1" applyBorder="1"/>
    <xf numFmtId="0" fontId="3935" fillId="3939" borderId="3886" xfId="0" applyFont="1" applyFill="1" applyBorder="1"/>
    <xf numFmtId="0" fontId="3936" fillId="3940" borderId="3887" xfId="0" applyFont="1" applyFill="1" applyBorder="1"/>
    <xf numFmtId="0" fontId="3937" fillId="3941" borderId="3888" xfId="0" applyFont="1" applyFill="1" applyBorder="1"/>
    <xf numFmtId="0" fontId="3938" fillId="3942" borderId="3889" xfId="0" applyFont="1" applyFill="1" applyBorder="1"/>
    <xf numFmtId="0" fontId="3939" fillId="3943" borderId="3890" xfId="0" applyFont="1" applyFill="1" applyBorder="1"/>
    <xf numFmtId="0" fontId="3940" fillId="3944" borderId="3891" xfId="0" applyFont="1" applyFill="1" applyBorder="1"/>
    <xf numFmtId="0" fontId="3941" fillId="3945" borderId="3892" xfId="0" applyFont="1" applyFill="1" applyBorder="1"/>
    <xf numFmtId="0" fontId="3942" fillId="3946" borderId="3893" xfId="0" applyFont="1" applyFill="1" applyBorder="1"/>
    <xf numFmtId="0" fontId="3943" fillId="3947" borderId="3894" xfId="0" applyFont="1" applyFill="1" applyBorder="1"/>
    <xf numFmtId="0" fontId="3944" fillId="3948" borderId="3895" xfId="0" applyFont="1" applyFill="1" applyBorder="1"/>
    <xf numFmtId="0" fontId="3945" fillId="3949" borderId="3896" xfId="0" applyFont="1" applyFill="1" applyBorder="1"/>
    <xf numFmtId="0" fontId="3946" fillId="3950" borderId="3897" xfId="0" applyFont="1" applyFill="1" applyBorder="1"/>
    <xf numFmtId="0" fontId="3947" fillId="3951" borderId="3898" xfId="0" applyFont="1" applyFill="1" applyBorder="1"/>
    <xf numFmtId="0" fontId="3948" fillId="3952" borderId="3899" xfId="0" applyFont="1" applyFill="1" applyBorder="1"/>
    <xf numFmtId="0" fontId="3949" fillId="3953" borderId="3900" xfId="0" applyFont="1" applyFill="1" applyBorder="1"/>
    <xf numFmtId="0" fontId="3950" fillId="3954" borderId="3901" xfId="0" applyFont="1" applyFill="1" applyBorder="1"/>
    <xf numFmtId="0" fontId="3951" fillId="3955" borderId="3902" xfId="0" applyFont="1" applyFill="1" applyBorder="1"/>
    <xf numFmtId="0" fontId="3952" fillId="3956" borderId="3903" xfId="0" applyFont="1" applyFill="1" applyBorder="1"/>
    <xf numFmtId="0" fontId="3953" fillId="3957" borderId="3904" xfId="0" applyFont="1" applyFill="1" applyBorder="1"/>
    <xf numFmtId="0" fontId="3954" fillId="3958" borderId="3905" xfId="0" applyFont="1" applyFill="1" applyBorder="1"/>
    <xf numFmtId="0" fontId="3955" fillId="3959" borderId="3906" xfId="0" applyFont="1" applyFill="1" applyBorder="1"/>
    <xf numFmtId="0" fontId="3956" fillId="3960" borderId="3907" xfId="0" applyFont="1" applyFill="1" applyBorder="1"/>
    <xf numFmtId="0" fontId="3957" fillId="3961" borderId="3908" xfId="0" applyFont="1" applyFill="1" applyBorder="1"/>
    <xf numFmtId="0" fontId="3958" fillId="3962" borderId="3909" xfId="0" applyFont="1" applyFill="1" applyBorder="1"/>
    <xf numFmtId="0" fontId="3959" fillId="3963" borderId="3910" xfId="0" applyFont="1" applyFill="1" applyBorder="1"/>
    <xf numFmtId="0" fontId="3960" fillId="3964" borderId="3911" xfId="0" applyFont="1" applyFill="1" applyBorder="1"/>
    <xf numFmtId="0" fontId="3961" fillId="3965" borderId="3912" xfId="0" applyFont="1" applyFill="1" applyBorder="1"/>
    <xf numFmtId="0" fontId="3962" fillId="3966" borderId="3913" xfId="0" applyFont="1" applyFill="1" applyBorder="1"/>
    <xf numFmtId="0" fontId="3963" fillId="3967" borderId="3914" xfId="0" applyFont="1" applyFill="1" applyBorder="1"/>
    <xf numFmtId="0" fontId="3964" fillId="3968" borderId="3915" xfId="0" applyFont="1" applyFill="1" applyBorder="1"/>
    <xf numFmtId="0" fontId="3965" fillId="3969" borderId="3916" xfId="0" applyFont="1" applyFill="1" applyBorder="1"/>
    <xf numFmtId="0" fontId="3966" fillId="3970" borderId="3917" xfId="0" applyFont="1" applyFill="1" applyBorder="1"/>
    <xf numFmtId="0" fontId="3967" fillId="3971" borderId="3918" xfId="0" applyFont="1" applyFill="1" applyBorder="1"/>
    <xf numFmtId="0" fontId="3968" fillId="3972" borderId="3919" xfId="0" applyFont="1" applyFill="1" applyBorder="1"/>
    <xf numFmtId="0" fontId="3969" fillId="3973" borderId="3920" xfId="0" applyFont="1" applyFill="1" applyBorder="1"/>
    <xf numFmtId="0" fontId="3970" fillId="3974" borderId="3921" xfId="0" applyFont="1" applyFill="1" applyBorder="1"/>
    <xf numFmtId="0" fontId="3971" fillId="3975" borderId="3922" xfId="0" applyFont="1" applyFill="1" applyBorder="1"/>
    <xf numFmtId="0" fontId="3972" fillId="3976" borderId="3923" xfId="0" applyFont="1" applyFill="1" applyBorder="1"/>
    <xf numFmtId="0" fontId="3973" fillId="3977" borderId="3924" xfId="0" applyFont="1" applyFill="1" applyBorder="1"/>
    <xf numFmtId="0" fontId="3974" fillId="3978" borderId="3925" xfId="0" applyFont="1" applyFill="1" applyBorder="1"/>
    <xf numFmtId="0" fontId="3975" fillId="3979" borderId="3926" xfId="0" applyFont="1" applyFill="1" applyBorder="1"/>
    <xf numFmtId="0" fontId="3976" fillId="3980" borderId="3927" xfId="0" applyFont="1" applyFill="1" applyBorder="1"/>
    <xf numFmtId="0" fontId="3977" fillId="3981" borderId="3928" xfId="0" applyFont="1" applyFill="1" applyBorder="1"/>
    <xf numFmtId="0" fontId="3978" fillId="3982" borderId="3929" xfId="0" applyFont="1" applyFill="1" applyBorder="1"/>
    <xf numFmtId="0" fontId="3979" fillId="3983" borderId="3930" xfId="0" applyFont="1" applyFill="1" applyBorder="1"/>
    <xf numFmtId="0" fontId="3980" fillId="3984" borderId="3931" xfId="0" applyFont="1" applyFill="1" applyBorder="1"/>
    <xf numFmtId="0" fontId="3981" fillId="3985" borderId="3932" xfId="0" applyFont="1" applyFill="1" applyBorder="1"/>
    <xf numFmtId="0" fontId="3982" fillId="3986" borderId="3933" xfId="0" applyFont="1" applyFill="1" applyBorder="1"/>
    <xf numFmtId="0" fontId="3983" fillId="3987" borderId="3934" xfId="0" applyFont="1" applyFill="1" applyBorder="1"/>
    <xf numFmtId="0" fontId="3984" fillId="3988" borderId="3935" xfId="0" applyFont="1" applyFill="1" applyBorder="1"/>
    <xf numFmtId="0" fontId="3985" fillId="3989" borderId="3936" xfId="0" applyFont="1" applyFill="1" applyBorder="1"/>
    <xf numFmtId="0" fontId="3986" fillId="3990" borderId="3937" xfId="0" applyFont="1" applyFill="1" applyBorder="1"/>
    <xf numFmtId="0" fontId="3987" fillId="3991" borderId="3938" xfId="0" applyFont="1" applyFill="1" applyBorder="1"/>
    <xf numFmtId="0" fontId="3988" fillId="3992" borderId="3939" xfId="0" applyFont="1" applyFill="1" applyBorder="1"/>
    <xf numFmtId="0" fontId="3989" fillId="3993" borderId="3940" xfId="0" applyFont="1" applyFill="1" applyBorder="1"/>
    <xf numFmtId="0" fontId="3990" fillId="3994" borderId="3941" xfId="0" applyFont="1" applyFill="1" applyBorder="1"/>
    <xf numFmtId="0" fontId="3991" fillId="3995" borderId="3942" xfId="0" applyFont="1" applyFill="1" applyBorder="1"/>
    <xf numFmtId="0" fontId="3992" fillId="3996" borderId="3943" xfId="0" applyFont="1" applyFill="1" applyBorder="1"/>
    <xf numFmtId="0" fontId="3993" fillId="3997" borderId="3944" xfId="0" applyFont="1" applyFill="1" applyBorder="1"/>
    <xf numFmtId="0" fontId="3994" fillId="3998" borderId="3945" xfId="0" applyFont="1" applyFill="1" applyBorder="1"/>
    <xf numFmtId="0" fontId="3995" fillId="3999" borderId="3946" xfId="0" applyFont="1" applyFill="1" applyBorder="1"/>
    <xf numFmtId="0" fontId="3996" fillId="4000" borderId="3947" xfId="0" applyFont="1" applyFill="1" applyBorder="1"/>
    <xf numFmtId="0" fontId="3997" fillId="4001" borderId="3948" xfId="0" applyFont="1" applyFill="1" applyBorder="1"/>
    <xf numFmtId="0" fontId="3998" fillId="4002" borderId="3949" xfId="0" applyFont="1" applyFill="1" applyBorder="1"/>
    <xf numFmtId="0" fontId="3999" fillId="4003" borderId="3950" xfId="0" applyFont="1" applyFill="1" applyBorder="1"/>
    <xf numFmtId="0" fontId="4000" fillId="4004" borderId="3951" xfId="0" applyFont="1" applyFill="1" applyBorder="1"/>
    <xf numFmtId="0" fontId="4001" fillId="4005" borderId="3952" xfId="0" applyFont="1" applyFill="1" applyBorder="1"/>
    <xf numFmtId="0" fontId="4002" fillId="4006" borderId="3953" xfId="0" applyFont="1" applyFill="1" applyBorder="1"/>
    <xf numFmtId="0" fontId="4003" fillId="4007" borderId="3954" xfId="0" applyFont="1" applyFill="1" applyBorder="1"/>
    <xf numFmtId="0" fontId="4004" fillId="4008" borderId="3955" xfId="0" applyFont="1" applyFill="1" applyBorder="1"/>
    <xf numFmtId="0" fontId="4005" fillId="4009" borderId="3956" xfId="0" applyFont="1" applyFill="1" applyBorder="1"/>
    <xf numFmtId="0" fontId="4006" fillId="4010" borderId="3957" xfId="0" applyFont="1" applyFill="1" applyBorder="1"/>
    <xf numFmtId="0" fontId="4007" fillId="4011" borderId="3958" xfId="0" applyFont="1" applyFill="1" applyBorder="1"/>
    <xf numFmtId="0" fontId="4008" fillId="4012" borderId="3959" xfId="0" applyFont="1" applyFill="1" applyBorder="1"/>
    <xf numFmtId="0" fontId="4009" fillId="4013" borderId="3960" xfId="0" applyFont="1" applyFill="1" applyBorder="1"/>
    <xf numFmtId="0" fontId="4010" fillId="4014" borderId="3961" xfId="0" applyFont="1" applyFill="1" applyBorder="1"/>
    <xf numFmtId="0" fontId="4011" fillId="4015" borderId="3962" xfId="0" applyFont="1" applyFill="1" applyBorder="1"/>
    <xf numFmtId="0" fontId="4012" fillId="4016" borderId="3963" xfId="0" applyFont="1" applyFill="1" applyBorder="1"/>
    <xf numFmtId="0" fontId="4013" fillId="4017" borderId="3964" xfId="0" applyFont="1" applyFill="1" applyBorder="1"/>
    <xf numFmtId="0" fontId="4014" fillId="4018" borderId="3965" xfId="0" applyFont="1" applyFill="1" applyBorder="1"/>
    <xf numFmtId="0" fontId="4015" fillId="4019" borderId="3966" xfId="0" applyFont="1" applyFill="1" applyBorder="1"/>
    <xf numFmtId="0" fontId="4016" fillId="4020" borderId="3967" xfId="0" applyFont="1" applyFill="1" applyBorder="1"/>
    <xf numFmtId="0" fontId="4017" fillId="4021" borderId="3968" xfId="0" applyFont="1" applyFill="1" applyBorder="1"/>
    <xf numFmtId="0" fontId="4018" fillId="4022" borderId="3969" xfId="0" applyFont="1" applyFill="1" applyBorder="1"/>
    <xf numFmtId="0" fontId="4019" fillId="4023" borderId="3970" xfId="0" applyFont="1" applyFill="1" applyBorder="1"/>
    <xf numFmtId="0" fontId="4020" fillId="4024" borderId="3971" xfId="0" applyFont="1" applyFill="1" applyBorder="1"/>
    <xf numFmtId="0" fontId="4021" fillId="4025" borderId="3972" xfId="0" applyFont="1" applyFill="1" applyBorder="1"/>
    <xf numFmtId="0" fontId="4022" fillId="4026" borderId="3973" xfId="0" applyFont="1" applyFill="1" applyBorder="1"/>
    <xf numFmtId="0" fontId="4023" fillId="4027" borderId="3974" xfId="0" applyFont="1" applyFill="1" applyBorder="1"/>
    <xf numFmtId="0" fontId="4024" fillId="4028" borderId="3975" xfId="0" applyFont="1" applyFill="1" applyBorder="1"/>
    <xf numFmtId="0" fontId="4025" fillId="4029" borderId="3976" xfId="0" applyFont="1" applyFill="1" applyBorder="1"/>
    <xf numFmtId="0" fontId="4026" fillId="4030" borderId="3977" xfId="0" applyFont="1" applyFill="1" applyBorder="1"/>
    <xf numFmtId="0" fontId="4027" fillId="4031" borderId="3978" xfId="0" applyFont="1" applyFill="1" applyBorder="1"/>
    <xf numFmtId="0" fontId="4028" fillId="4032" borderId="3979" xfId="0" applyFont="1" applyFill="1" applyBorder="1"/>
    <xf numFmtId="0" fontId="4029" fillId="4033" borderId="3980" xfId="0" applyFont="1" applyFill="1" applyBorder="1"/>
    <xf numFmtId="0" fontId="4030" fillId="4034" borderId="3981" xfId="0" applyFont="1" applyFill="1" applyBorder="1"/>
    <xf numFmtId="0" fontId="4031" fillId="4035" borderId="3982" xfId="0" applyFont="1" applyFill="1" applyBorder="1"/>
    <xf numFmtId="0" fontId="4032" fillId="4036" borderId="3983" xfId="0" applyFont="1" applyFill="1" applyBorder="1"/>
    <xf numFmtId="0" fontId="4033" fillId="4037" borderId="3984" xfId="0" applyFont="1" applyFill="1" applyBorder="1"/>
    <xf numFmtId="0" fontId="4034" fillId="4038" borderId="3985" xfId="0" applyFont="1" applyFill="1" applyBorder="1"/>
    <xf numFmtId="0" fontId="4035" fillId="4039" borderId="3986" xfId="0" applyFont="1" applyFill="1" applyBorder="1"/>
    <xf numFmtId="0" fontId="4036" fillId="4040" borderId="3987" xfId="0" applyFont="1" applyFill="1" applyBorder="1"/>
    <xf numFmtId="0" fontId="4037" fillId="4041" borderId="3988" xfId="0" applyFont="1" applyFill="1" applyBorder="1"/>
    <xf numFmtId="0" fontId="4038" fillId="4042" borderId="3989" xfId="0" applyFont="1" applyFill="1" applyBorder="1"/>
    <xf numFmtId="0" fontId="4039" fillId="4043" borderId="3990" xfId="0" applyFont="1" applyFill="1" applyBorder="1"/>
    <xf numFmtId="0" fontId="4040" fillId="4044" borderId="3991" xfId="0" applyFont="1" applyFill="1" applyBorder="1"/>
    <xf numFmtId="0" fontId="4041" fillId="4045" borderId="3992" xfId="0" applyFont="1" applyFill="1" applyBorder="1"/>
    <xf numFmtId="0" fontId="4042" fillId="4046" borderId="3993" xfId="0" applyFont="1" applyFill="1" applyBorder="1"/>
    <xf numFmtId="0" fontId="4043" fillId="4047" borderId="3994" xfId="0" applyFont="1" applyFill="1" applyBorder="1"/>
    <xf numFmtId="0" fontId="4044" fillId="4048" borderId="3995" xfId="0" applyFont="1" applyFill="1" applyBorder="1"/>
    <xf numFmtId="0" fontId="4045" fillId="4049" borderId="3996" xfId="0" applyFont="1" applyFill="1" applyBorder="1"/>
    <xf numFmtId="0" fontId="4046" fillId="4050" borderId="3997" xfId="0" applyFont="1" applyFill="1" applyBorder="1"/>
    <xf numFmtId="0" fontId="4047" fillId="4051" borderId="3998" xfId="0" applyFont="1" applyFill="1" applyBorder="1"/>
    <xf numFmtId="0" fontId="4048" fillId="4052" borderId="3999" xfId="0" applyFont="1" applyFill="1" applyBorder="1"/>
    <xf numFmtId="0" fontId="4049" fillId="4053" borderId="4000" xfId="0" applyFont="1" applyFill="1" applyBorder="1"/>
    <xf numFmtId="0" fontId="4050" fillId="4054" borderId="4001" xfId="0" applyFont="1" applyFill="1" applyBorder="1"/>
    <xf numFmtId="0" fontId="4051" fillId="4055" borderId="4002" xfId="0" applyFont="1" applyFill="1" applyBorder="1"/>
    <xf numFmtId="0" fontId="4052" fillId="4056" borderId="4003" xfId="0" applyFont="1" applyFill="1" applyBorder="1"/>
    <xf numFmtId="0" fontId="4053" fillId="4057" borderId="4004" xfId="0" applyFont="1" applyFill="1" applyBorder="1"/>
    <xf numFmtId="0" fontId="4054" fillId="4058" borderId="4005" xfId="0" applyFont="1" applyFill="1" applyBorder="1"/>
    <xf numFmtId="0" fontId="4055" fillId="4059" borderId="4006" xfId="0" applyFont="1" applyFill="1" applyBorder="1"/>
    <xf numFmtId="0" fontId="4056" fillId="4060" borderId="4007" xfId="0" applyFont="1" applyFill="1" applyBorder="1"/>
    <xf numFmtId="0" fontId="4057" fillId="4061" borderId="4008" xfId="0" applyFont="1" applyFill="1" applyBorder="1"/>
    <xf numFmtId="0" fontId="4058" fillId="4062" borderId="4009" xfId="0" applyFont="1" applyFill="1" applyBorder="1"/>
    <xf numFmtId="0" fontId="4059" fillId="4063" borderId="4010" xfId="0" applyFont="1" applyFill="1" applyBorder="1"/>
    <xf numFmtId="0" fontId="4060" fillId="4064" borderId="4011" xfId="0" applyFont="1" applyFill="1" applyBorder="1"/>
    <xf numFmtId="0" fontId="4061" fillId="4065" borderId="4012" xfId="0" applyFont="1" applyFill="1" applyBorder="1"/>
    <xf numFmtId="0" fontId="4062" fillId="4066" borderId="4013" xfId="0" applyFont="1" applyFill="1" applyBorder="1"/>
    <xf numFmtId="0" fontId="4063" fillId="4067" borderId="4014" xfId="0" applyFont="1" applyFill="1" applyBorder="1"/>
    <xf numFmtId="0" fontId="4064" fillId="4068" borderId="4015" xfId="0" applyFont="1" applyFill="1" applyBorder="1"/>
    <xf numFmtId="0" fontId="4065" fillId="4069" borderId="4016" xfId="0" applyFont="1" applyFill="1" applyBorder="1"/>
    <xf numFmtId="0" fontId="4066" fillId="4070" borderId="4017" xfId="0" applyFont="1" applyFill="1" applyBorder="1"/>
    <xf numFmtId="0" fontId="4067" fillId="4071" borderId="4018" xfId="0" applyFont="1" applyFill="1" applyBorder="1"/>
    <xf numFmtId="0" fontId="4068" fillId="4072" borderId="4019" xfId="0" applyFont="1" applyFill="1" applyBorder="1"/>
    <xf numFmtId="0" fontId="4069" fillId="4073" borderId="4020" xfId="0" applyFont="1" applyFill="1" applyBorder="1"/>
    <xf numFmtId="0" fontId="4070" fillId="4074" borderId="4021" xfId="0" applyFont="1" applyFill="1" applyBorder="1"/>
    <xf numFmtId="0" fontId="4071" fillId="4075" borderId="4022" xfId="0" applyFont="1" applyFill="1" applyBorder="1"/>
    <xf numFmtId="0" fontId="4072" fillId="4076" borderId="4023" xfId="0" applyFont="1" applyFill="1" applyBorder="1"/>
    <xf numFmtId="0" fontId="4073" fillId="4077" borderId="4024" xfId="0" applyFont="1" applyFill="1" applyBorder="1"/>
    <xf numFmtId="0" fontId="4074" fillId="4078" borderId="4025" xfId="0" applyFont="1" applyFill="1" applyBorder="1"/>
    <xf numFmtId="0" fontId="4075" fillId="4079" borderId="4026" xfId="0" applyFont="1" applyFill="1" applyBorder="1"/>
    <xf numFmtId="0" fontId="4076" fillId="4080" borderId="4027" xfId="0" applyFont="1" applyFill="1" applyBorder="1"/>
    <xf numFmtId="0" fontId="4077" fillId="4081" borderId="4028" xfId="0" applyFont="1" applyFill="1" applyBorder="1"/>
    <xf numFmtId="0" fontId="4078" fillId="4082" borderId="4029" xfId="0" applyFont="1" applyFill="1" applyBorder="1"/>
    <xf numFmtId="0" fontId="4079" fillId="4083" borderId="4030" xfId="0" applyFont="1" applyFill="1" applyBorder="1"/>
    <xf numFmtId="0" fontId="4080" fillId="4084" borderId="4031" xfId="0" applyFont="1" applyFill="1" applyBorder="1"/>
    <xf numFmtId="0" fontId="4081" fillId="4085" borderId="4032" xfId="0" applyFont="1" applyFill="1" applyBorder="1"/>
    <xf numFmtId="0" fontId="4082" fillId="4086" borderId="4033" xfId="0" applyFont="1" applyFill="1" applyBorder="1"/>
    <xf numFmtId="0" fontId="4083" fillId="4087" borderId="4034" xfId="0" applyFont="1" applyFill="1" applyBorder="1"/>
    <xf numFmtId="0" fontId="4084" fillId="4088" borderId="4035" xfId="0" applyFont="1" applyFill="1" applyBorder="1"/>
    <xf numFmtId="0" fontId="4085" fillId="4089" borderId="4036" xfId="0" applyFont="1" applyFill="1" applyBorder="1"/>
    <xf numFmtId="0" fontId="4086" fillId="4090" borderId="4037" xfId="0" applyFont="1" applyFill="1" applyBorder="1"/>
    <xf numFmtId="0" fontId="4087" fillId="4091" borderId="4038" xfId="0" applyFont="1" applyFill="1" applyBorder="1"/>
    <xf numFmtId="0" fontId="4088" fillId="4092" borderId="4039" xfId="0" applyFont="1" applyFill="1" applyBorder="1"/>
    <xf numFmtId="0" fontId="4089" fillId="4093" borderId="4040" xfId="0" applyFont="1" applyFill="1" applyBorder="1"/>
    <xf numFmtId="0" fontId="4090" fillId="4094" borderId="4041" xfId="0" applyFont="1" applyFill="1" applyBorder="1"/>
    <xf numFmtId="0" fontId="4091" fillId="4095" borderId="4042" xfId="0" applyFont="1" applyFill="1" applyBorder="1"/>
    <xf numFmtId="0" fontId="4092" fillId="4096" borderId="4043" xfId="0" applyFont="1" applyFill="1" applyBorder="1"/>
    <xf numFmtId="0" fontId="4093" fillId="4097" borderId="4044" xfId="0" applyFont="1" applyFill="1" applyBorder="1"/>
    <xf numFmtId="0" fontId="4094" fillId="4098" borderId="4045" xfId="0" applyFont="1" applyFill="1" applyBorder="1"/>
    <xf numFmtId="0" fontId="4095" fillId="4099" borderId="4046" xfId="0" applyFont="1" applyFill="1" applyBorder="1"/>
    <xf numFmtId="0" fontId="4096" fillId="4100" borderId="4047" xfId="0" applyFont="1" applyFill="1" applyBorder="1"/>
    <xf numFmtId="0" fontId="4097" fillId="4101" borderId="4048" xfId="0" applyFont="1" applyFill="1" applyBorder="1"/>
    <xf numFmtId="0" fontId="4098" fillId="4102" borderId="4049" xfId="0" applyFont="1" applyFill="1" applyBorder="1"/>
    <xf numFmtId="0" fontId="4099" fillId="4103" borderId="4050" xfId="0" applyFont="1" applyFill="1" applyBorder="1"/>
    <xf numFmtId="0" fontId="4100" fillId="4104" borderId="4051" xfId="0" applyFont="1" applyFill="1" applyBorder="1"/>
    <xf numFmtId="0" fontId="4101" fillId="4105" borderId="4052" xfId="0" applyFont="1" applyFill="1" applyBorder="1"/>
    <xf numFmtId="0" fontId="4102" fillId="4106" borderId="4053" xfId="0" applyFont="1" applyFill="1" applyBorder="1"/>
    <xf numFmtId="0" fontId="4103" fillId="4107" borderId="4054" xfId="0" applyFont="1" applyFill="1" applyBorder="1"/>
    <xf numFmtId="0" fontId="4104" fillId="4108" borderId="4055" xfId="0" applyFont="1" applyFill="1" applyBorder="1"/>
    <xf numFmtId="0" fontId="4105" fillId="4109" borderId="4056" xfId="0" applyFont="1" applyFill="1" applyBorder="1"/>
    <xf numFmtId="0" fontId="4106" fillId="4110" borderId="4057" xfId="0" applyFont="1" applyFill="1" applyBorder="1"/>
    <xf numFmtId="0" fontId="4107" fillId="4111" borderId="4058" xfId="0" applyFont="1" applyFill="1" applyBorder="1"/>
    <xf numFmtId="0" fontId="4108" fillId="4112" borderId="4059" xfId="0" applyFont="1" applyFill="1" applyBorder="1"/>
    <xf numFmtId="0" fontId="4109" fillId="4113" borderId="4060" xfId="0" applyFont="1" applyFill="1" applyBorder="1"/>
    <xf numFmtId="0" fontId="4110" fillId="4114" borderId="4061" xfId="0" applyFont="1" applyFill="1" applyBorder="1"/>
    <xf numFmtId="0" fontId="4111" fillId="4115" borderId="4062" xfId="0" applyFont="1" applyFill="1" applyBorder="1"/>
    <xf numFmtId="0" fontId="4112" fillId="4116" borderId="4063" xfId="0" applyFont="1" applyFill="1" applyBorder="1"/>
    <xf numFmtId="0" fontId="4113" fillId="4117" borderId="4064" xfId="0" applyFont="1" applyFill="1" applyBorder="1"/>
    <xf numFmtId="0" fontId="4114" fillId="4118" borderId="4065" xfId="0" applyFont="1" applyFill="1" applyBorder="1"/>
    <xf numFmtId="0" fontId="4115" fillId="4119" borderId="4066" xfId="0" applyFont="1" applyFill="1" applyBorder="1"/>
    <xf numFmtId="0" fontId="4116" fillId="4120" borderId="4067" xfId="0" applyFont="1" applyFill="1" applyBorder="1"/>
    <xf numFmtId="0" fontId="4117" fillId="4121" borderId="4068" xfId="0" applyFont="1" applyFill="1" applyBorder="1"/>
    <xf numFmtId="0" fontId="4118" fillId="4122" borderId="4069" xfId="0" applyFont="1" applyFill="1" applyBorder="1"/>
    <xf numFmtId="0" fontId="4119" fillId="4123" borderId="4070" xfId="0" applyFont="1" applyFill="1" applyBorder="1"/>
    <xf numFmtId="0" fontId="4120" fillId="4124" borderId="4071" xfId="0" applyFont="1" applyFill="1" applyBorder="1"/>
    <xf numFmtId="0" fontId="4121" fillId="4125" borderId="4072" xfId="0" applyFont="1" applyFill="1" applyBorder="1"/>
    <xf numFmtId="0" fontId="4122" fillId="4126" borderId="4073" xfId="0" applyFont="1" applyFill="1" applyBorder="1"/>
    <xf numFmtId="0" fontId="4123" fillId="4127" borderId="4074" xfId="0" applyFont="1" applyFill="1" applyBorder="1"/>
    <xf numFmtId="0" fontId="4124" fillId="4128" borderId="4075" xfId="0" applyFont="1" applyFill="1" applyBorder="1"/>
    <xf numFmtId="0" fontId="4125" fillId="4129" borderId="4076" xfId="0" applyFont="1" applyFill="1" applyBorder="1"/>
    <xf numFmtId="0" fontId="4126" fillId="4130" borderId="4077" xfId="0" applyFont="1" applyFill="1" applyBorder="1"/>
    <xf numFmtId="0" fontId="4127" fillId="4131" borderId="4078" xfId="0" applyFont="1" applyFill="1" applyBorder="1"/>
    <xf numFmtId="0" fontId="4128" fillId="4132" borderId="4079" xfId="0" applyFont="1" applyFill="1" applyBorder="1"/>
    <xf numFmtId="0" fontId="4129" fillId="4133" borderId="4080" xfId="0" applyFont="1" applyFill="1" applyBorder="1"/>
    <xf numFmtId="0" fontId="4130" fillId="4134" borderId="4081" xfId="0" applyFont="1" applyFill="1" applyBorder="1"/>
    <xf numFmtId="0" fontId="4131" fillId="4135" borderId="4082" xfId="0" applyFont="1" applyFill="1" applyBorder="1"/>
    <xf numFmtId="0" fontId="4132" fillId="4136" borderId="4083" xfId="0" applyFont="1" applyFill="1" applyBorder="1"/>
    <xf numFmtId="0" fontId="4133" fillId="4137" borderId="4084" xfId="0" applyFont="1" applyFill="1" applyBorder="1"/>
    <xf numFmtId="0" fontId="4134" fillId="4138" borderId="4085" xfId="0" applyFont="1" applyFill="1" applyBorder="1"/>
    <xf numFmtId="0" fontId="4135" fillId="4139" borderId="4086" xfId="0" applyFont="1" applyFill="1" applyBorder="1"/>
    <xf numFmtId="0" fontId="4136" fillId="4140" borderId="4087" xfId="0" applyFont="1" applyFill="1" applyBorder="1"/>
    <xf numFmtId="0" fontId="4137" fillId="4141" borderId="4088" xfId="0" applyFont="1" applyFill="1" applyBorder="1"/>
    <xf numFmtId="0" fontId="4138" fillId="4142" borderId="4089" xfId="0" applyFont="1" applyFill="1" applyBorder="1"/>
    <xf numFmtId="0" fontId="4139" fillId="4143" borderId="4090" xfId="0" applyFont="1" applyFill="1" applyBorder="1"/>
    <xf numFmtId="0" fontId="4140" fillId="4144" borderId="4091" xfId="0" applyFont="1" applyFill="1" applyBorder="1"/>
    <xf numFmtId="0" fontId="4141" fillId="4145" borderId="4092" xfId="0" applyFont="1" applyFill="1" applyBorder="1"/>
    <xf numFmtId="0" fontId="4142" fillId="4146" borderId="4093" xfId="0" applyFont="1" applyFill="1" applyBorder="1"/>
    <xf numFmtId="0" fontId="4143" fillId="4147" borderId="4094" xfId="0" applyFont="1" applyFill="1" applyBorder="1"/>
    <xf numFmtId="0" fontId="4144" fillId="4148" borderId="4095" xfId="0" applyFont="1" applyFill="1" applyBorder="1"/>
    <xf numFmtId="0" fontId="4145" fillId="4149" borderId="4096" xfId="0" applyFont="1" applyFill="1" applyBorder="1"/>
    <xf numFmtId="0" fontId="4146" fillId="4150" borderId="4097" xfId="0" applyFont="1" applyFill="1" applyBorder="1"/>
    <xf numFmtId="0" fontId="4147" fillId="4151" borderId="4098" xfId="0" applyFont="1" applyFill="1" applyBorder="1"/>
    <xf numFmtId="0" fontId="4148" fillId="4152" borderId="4099" xfId="0" applyFont="1" applyFill="1" applyBorder="1"/>
    <xf numFmtId="0" fontId="4149" fillId="4153" borderId="4100" xfId="0" applyFont="1" applyFill="1" applyBorder="1"/>
    <xf numFmtId="0" fontId="4150" fillId="4154" borderId="4101" xfId="0" applyFont="1" applyFill="1" applyBorder="1"/>
    <xf numFmtId="0" fontId="4151" fillId="4155" borderId="4102" xfId="0" applyFont="1" applyFill="1" applyBorder="1"/>
    <xf numFmtId="0" fontId="4152" fillId="4156" borderId="4103" xfId="0" applyFont="1" applyFill="1" applyBorder="1"/>
    <xf numFmtId="0" fontId="4153" fillId="4157" borderId="4104" xfId="0" applyFont="1" applyFill="1" applyBorder="1"/>
    <xf numFmtId="0" fontId="4154" fillId="4158" borderId="4105" xfId="0" applyFont="1" applyFill="1" applyBorder="1"/>
    <xf numFmtId="0" fontId="4155" fillId="4159" borderId="4106" xfId="0" applyFont="1" applyFill="1" applyBorder="1"/>
    <xf numFmtId="0" fontId="4156" fillId="4160" borderId="4107" xfId="0" applyFont="1" applyFill="1" applyBorder="1"/>
    <xf numFmtId="0" fontId="4157" fillId="4161" borderId="4108" xfId="0" applyFont="1" applyFill="1" applyBorder="1"/>
    <xf numFmtId="0" fontId="4158" fillId="4162" borderId="4109" xfId="0" applyFont="1" applyFill="1" applyBorder="1"/>
    <xf numFmtId="0" fontId="4159" fillId="4163" borderId="4110" xfId="0" applyFont="1" applyFill="1" applyBorder="1"/>
    <xf numFmtId="0" fontId="4160" fillId="4164" borderId="4111" xfId="0" applyFont="1" applyFill="1" applyBorder="1"/>
    <xf numFmtId="0" fontId="4161" fillId="4165" borderId="4112" xfId="0" applyFont="1" applyFill="1" applyBorder="1"/>
    <xf numFmtId="0" fontId="4162" fillId="4166" borderId="4113" xfId="0" applyFont="1" applyFill="1" applyBorder="1"/>
    <xf numFmtId="0" fontId="4163" fillId="4167" borderId="4114" xfId="0" applyFont="1" applyFill="1" applyBorder="1"/>
    <xf numFmtId="0" fontId="4164" fillId="4168" borderId="4115" xfId="0" applyFont="1" applyFill="1" applyBorder="1"/>
    <xf numFmtId="0" fontId="4165" fillId="4169" borderId="4116" xfId="0" applyFont="1" applyFill="1" applyBorder="1"/>
    <xf numFmtId="0" fontId="4166" fillId="4170" borderId="4117" xfId="0" applyFont="1" applyFill="1" applyBorder="1"/>
    <xf numFmtId="0" fontId="4167" fillId="4171" borderId="4118" xfId="0" applyFont="1" applyFill="1" applyBorder="1"/>
    <xf numFmtId="0" fontId="4168" fillId="4172" borderId="4119" xfId="0" applyFont="1" applyFill="1" applyBorder="1"/>
    <xf numFmtId="0" fontId="4169" fillId="4173" borderId="4120" xfId="0" applyFont="1" applyFill="1" applyBorder="1"/>
    <xf numFmtId="0" fontId="4170" fillId="4174" borderId="4121" xfId="0" applyFont="1" applyFill="1" applyBorder="1"/>
    <xf numFmtId="0" fontId="4171" fillId="4175" borderId="4122" xfId="0" applyFont="1" applyFill="1" applyBorder="1"/>
    <xf numFmtId="0" fontId="4172" fillId="4176" borderId="4123" xfId="0" applyFont="1" applyFill="1" applyBorder="1"/>
    <xf numFmtId="0" fontId="4173" fillId="4177" borderId="4124" xfId="0" applyFont="1" applyFill="1" applyBorder="1"/>
    <xf numFmtId="0" fontId="4174" fillId="4178" borderId="4125" xfId="0" applyFont="1" applyFill="1" applyBorder="1"/>
    <xf numFmtId="0" fontId="4175" fillId="4179" borderId="4126" xfId="0" applyFont="1" applyFill="1" applyBorder="1"/>
    <xf numFmtId="0" fontId="4176" fillId="4180" borderId="4127" xfId="0" applyFont="1" applyFill="1" applyBorder="1"/>
    <xf numFmtId="0" fontId="4177" fillId="4181" borderId="4128" xfId="0" applyFont="1" applyFill="1" applyBorder="1"/>
    <xf numFmtId="0" fontId="4178" fillId="4182" borderId="4129" xfId="0" applyFont="1" applyFill="1" applyBorder="1"/>
    <xf numFmtId="0" fontId="4179" fillId="4183" borderId="4130" xfId="0" applyFont="1" applyFill="1" applyBorder="1"/>
    <xf numFmtId="0" fontId="4180" fillId="4184" borderId="4131" xfId="0" applyFont="1" applyFill="1" applyBorder="1"/>
    <xf numFmtId="0" fontId="4181" fillId="4185" borderId="4132" xfId="0" applyFont="1" applyFill="1" applyBorder="1"/>
    <xf numFmtId="0" fontId="4182" fillId="4186" borderId="4133" xfId="0" applyFont="1" applyFill="1" applyBorder="1"/>
    <xf numFmtId="0" fontId="4183" fillId="4187" borderId="4134" xfId="0" applyFont="1" applyFill="1" applyBorder="1"/>
    <xf numFmtId="0" fontId="4184" fillId="4188" borderId="4135" xfId="0" applyFont="1" applyFill="1" applyBorder="1"/>
    <xf numFmtId="0" fontId="4185" fillId="4189" borderId="4136" xfId="0" applyFont="1" applyFill="1" applyBorder="1"/>
    <xf numFmtId="0" fontId="4186" fillId="4190" borderId="4137" xfId="0" applyFont="1" applyFill="1" applyBorder="1"/>
    <xf numFmtId="0" fontId="4187" fillId="4191" borderId="4138" xfId="0" applyFont="1" applyFill="1" applyBorder="1"/>
    <xf numFmtId="0" fontId="4188" fillId="4192" borderId="4139" xfId="0" applyFont="1" applyFill="1" applyBorder="1"/>
    <xf numFmtId="0" fontId="4189" fillId="4193" borderId="4140" xfId="0" applyFont="1" applyFill="1" applyBorder="1"/>
    <xf numFmtId="0" fontId="4190" fillId="4194" borderId="4141" xfId="0" applyFont="1" applyFill="1" applyBorder="1"/>
    <xf numFmtId="0" fontId="4191" fillId="4195" borderId="4142" xfId="0" applyFont="1" applyFill="1" applyBorder="1"/>
    <xf numFmtId="0" fontId="4192" fillId="4196" borderId="4143" xfId="0" applyFont="1" applyFill="1" applyBorder="1"/>
    <xf numFmtId="0" fontId="4193" fillId="4197" borderId="4144" xfId="0" applyFont="1" applyFill="1" applyBorder="1"/>
    <xf numFmtId="0" fontId="4194" fillId="4198" borderId="4145" xfId="0" applyFont="1" applyFill="1" applyBorder="1"/>
    <xf numFmtId="0" fontId="4195" fillId="4199" borderId="4146" xfId="0" applyFont="1" applyFill="1" applyBorder="1"/>
    <xf numFmtId="0" fontId="4196" fillId="4200" borderId="4147" xfId="0" applyFont="1" applyFill="1" applyBorder="1"/>
    <xf numFmtId="0" fontId="4197" fillId="4201" borderId="4148" xfId="0" applyFont="1" applyFill="1" applyBorder="1"/>
    <xf numFmtId="0" fontId="4198" fillId="4202" borderId="4149" xfId="0" applyFont="1" applyFill="1" applyBorder="1"/>
    <xf numFmtId="0" fontId="4199" fillId="4203" borderId="4150" xfId="0" applyFont="1" applyFill="1" applyBorder="1"/>
    <xf numFmtId="0" fontId="4200" fillId="4204" borderId="4151" xfId="0" applyFont="1" applyFill="1" applyBorder="1"/>
    <xf numFmtId="0" fontId="4201" fillId="4205" borderId="4152" xfId="0" applyFont="1" applyFill="1" applyBorder="1"/>
    <xf numFmtId="0" fontId="4202" fillId="4206" borderId="4153" xfId="0" applyFont="1" applyFill="1" applyBorder="1"/>
    <xf numFmtId="0" fontId="4203" fillId="4207" borderId="4154" xfId="0" applyFont="1" applyFill="1" applyBorder="1"/>
    <xf numFmtId="0" fontId="4204" fillId="4208" borderId="4155" xfId="0" applyFont="1" applyFill="1" applyBorder="1"/>
    <xf numFmtId="0" fontId="4205" fillId="4209" borderId="4156" xfId="0" applyFont="1" applyFill="1" applyBorder="1"/>
    <xf numFmtId="0" fontId="4206" fillId="4210" borderId="4157" xfId="0" applyFont="1" applyFill="1" applyBorder="1"/>
    <xf numFmtId="0" fontId="4207" fillId="4211" borderId="4158" xfId="0" applyFont="1" applyFill="1" applyBorder="1"/>
    <xf numFmtId="0" fontId="4208" fillId="4212" borderId="4159" xfId="0" applyFont="1" applyFill="1" applyBorder="1"/>
    <xf numFmtId="0" fontId="4209" fillId="4213" borderId="4160" xfId="0" applyFont="1" applyFill="1" applyBorder="1"/>
    <xf numFmtId="0" fontId="4210" fillId="4214" borderId="4161" xfId="0" applyFont="1" applyFill="1" applyBorder="1"/>
    <xf numFmtId="0" fontId="4211" fillId="4215" borderId="4162" xfId="0" applyFont="1" applyFill="1" applyBorder="1"/>
    <xf numFmtId="0" fontId="4212" fillId="4216" borderId="4163" xfId="0" applyFont="1" applyFill="1" applyBorder="1"/>
    <xf numFmtId="0" fontId="4213" fillId="4217" borderId="4164" xfId="0" applyFont="1" applyFill="1" applyBorder="1"/>
    <xf numFmtId="0" fontId="4214" fillId="4218" borderId="4165" xfId="0" applyFont="1" applyFill="1" applyBorder="1"/>
    <xf numFmtId="0" fontId="4215" fillId="4219" borderId="4166" xfId="0" applyFont="1" applyFill="1" applyBorder="1"/>
    <xf numFmtId="0" fontId="4216" fillId="4220" borderId="4167" xfId="0" applyFont="1" applyFill="1" applyBorder="1"/>
    <xf numFmtId="0" fontId="4217" fillId="4221" borderId="4168" xfId="0" applyFont="1" applyFill="1" applyBorder="1"/>
    <xf numFmtId="0" fontId="4218" fillId="4222" borderId="4169" xfId="0" applyFont="1" applyFill="1" applyBorder="1"/>
    <xf numFmtId="0" fontId="4219" fillId="4223" borderId="4170" xfId="0" applyFont="1" applyFill="1" applyBorder="1"/>
    <xf numFmtId="0" fontId="4220" fillId="4224" borderId="4171" xfId="0" applyFont="1" applyFill="1" applyBorder="1"/>
    <xf numFmtId="0" fontId="4221" fillId="4225" borderId="4172" xfId="0" applyFont="1" applyFill="1" applyBorder="1"/>
    <xf numFmtId="0" fontId="4222" fillId="4226" borderId="4173" xfId="0" applyFont="1" applyFill="1" applyBorder="1"/>
    <xf numFmtId="0" fontId="4223" fillId="4227" borderId="4174" xfId="0" applyFont="1" applyFill="1" applyBorder="1"/>
    <xf numFmtId="0" fontId="4224" fillId="4228" borderId="4175" xfId="0" applyFont="1" applyFill="1" applyBorder="1"/>
    <xf numFmtId="0" fontId="4225" fillId="4229" borderId="4176" xfId="0" applyFont="1" applyFill="1" applyBorder="1"/>
    <xf numFmtId="0" fontId="4226" fillId="4230" borderId="4177" xfId="0" applyFont="1" applyFill="1" applyBorder="1"/>
    <xf numFmtId="0" fontId="4227" fillId="4231" borderId="4178" xfId="0" applyFont="1" applyFill="1" applyBorder="1"/>
    <xf numFmtId="0" fontId="4228" fillId="4232" borderId="4179" xfId="0" applyFont="1" applyFill="1" applyBorder="1"/>
    <xf numFmtId="0" fontId="4229" fillId="4233" borderId="4180" xfId="0" applyFont="1" applyFill="1" applyBorder="1"/>
    <xf numFmtId="0" fontId="4230" fillId="4234" borderId="4181" xfId="0" applyFont="1" applyFill="1" applyBorder="1"/>
    <xf numFmtId="0" fontId="4231" fillId="4235" borderId="4182" xfId="0" applyFont="1" applyFill="1" applyBorder="1"/>
    <xf numFmtId="0" fontId="4232" fillId="4236" borderId="4183" xfId="0" applyFont="1" applyFill="1" applyBorder="1"/>
    <xf numFmtId="0" fontId="4233" fillId="4237" borderId="4184" xfId="0" applyFont="1" applyFill="1" applyBorder="1"/>
    <xf numFmtId="0" fontId="4234" fillId="4238" borderId="4185" xfId="0" applyFont="1" applyFill="1" applyBorder="1"/>
    <xf numFmtId="0" fontId="4235" fillId="4239" borderId="4186" xfId="0" applyFont="1" applyFill="1" applyBorder="1"/>
    <xf numFmtId="0" fontId="4236" fillId="4240" borderId="4187" xfId="0" applyFont="1" applyFill="1" applyBorder="1"/>
    <xf numFmtId="0" fontId="4237" fillId="4241" borderId="4188" xfId="0" applyFont="1" applyFill="1" applyBorder="1"/>
    <xf numFmtId="0" fontId="4238" fillId="4242" borderId="4189" xfId="0" applyFont="1" applyFill="1" applyBorder="1"/>
    <xf numFmtId="0" fontId="4239" fillId="4243" borderId="4190" xfId="0" applyFont="1" applyFill="1" applyBorder="1"/>
    <xf numFmtId="0" fontId="4240" fillId="4244" borderId="4191" xfId="0" applyFont="1" applyFill="1" applyBorder="1"/>
    <xf numFmtId="0" fontId="4241" fillId="4245" borderId="4192" xfId="0" applyFont="1" applyFill="1" applyBorder="1"/>
    <xf numFmtId="0" fontId="4242" fillId="4246" borderId="4193" xfId="0" applyFont="1" applyFill="1" applyBorder="1"/>
    <xf numFmtId="0" fontId="4243" fillId="4247" borderId="4194" xfId="0" applyFont="1" applyFill="1" applyBorder="1"/>
    <xf numFmtId="0" fontId="4244" fillId="4248" borderId="4195" xfId="0" applyFont="1" applyFill="1" applyBorder="1"/>
    <xf numFmtId="0" fontId="4245" fillId="4249" borderId="4196" xfId="0" applyFont="1" applyFill="1" applyBorder="1"/>
    <xf numFmtId="0" fontId="4246" fillId="4250" borderId="4197" xfId="0" applyFont="1" applyFill="1" applyBorder="1"/>
    <xf numFmtId="0" fontId="4247" fillId="4251" borderId="4198" xfId="0" applyFont="1" applyFill="1" applyBorder="1"/>
    <xf numFmtId="0" fontId="4248" fillId="4252" borderId="4199" xfId="0" applyFont="1" applyFill="1" applyBorder="1"/>
    <xf numFmtId="0" fontId="4249" fillId="4253" borderId="4200" xfId="0" applyFont="1" applyFill="1" applyBorder="1"/>
    <xf numFmtId="0" fontId="4250" fillId="4254" borderId="4201" xfId="0" applyFont="1" applyFill="1" applyBorder="1"/>
    <xf numFmtId="0" fontId="4251" fillId="4255" borderId="4202" xfId="0" applyFont="1" applyFill="1" applyBorder="1"/>
    <xf numFmtId="0" fontId="4252" fillId="4256" borderId="4203" xfId="0" applyFont="1" applyFill="1" applyBorder="1"/>
    <xf numFmtId="0" fontId="4253" fillId="4257" borderId="4204" xfId="0" applyFont="1" applyFill="1" applyBorder="1"/>
    <xf numFmtId="0" fontId="4254" fillId="4258" borderId="4205" xfId="0" applyFont="1" applyFill="1" applyBorder="1"/>
    <xf numFmtId="0" fontId="4255" fillId="4259" borderId="4206" xfId="0" applyFont="1" applyFill="1" applyBorder="1"/>
    <xf numFmtId="0" fontId="4256" fillId="4260" borderId="4207" xfId="0" applyFont="1" applyFill="1" applyBorder="1"/>
    <xf numFmtId="0" fontId="4257" fillId="4261" borderId="4208" xfId="0" applyFont="1" applyFill="1" applyBorder="1"/>
    <xf numFmtId="0" fontId="4258" fillId="4262" borderId="4209" xfId="0" applyFont="1" applyFill="1" applyBorder="1"/>
    <xf numFmtId="0" fontId="4259" fillId="4263" borderId="4210" xfId="0" applyFont="1" applyFill="1" applyBorder="1"/>
    <xf numFmtId="0" fontId="4260" fillId="4264" borderId="4211" xfId="0" applyFont="1" applyFill="1" applyBorder="1"/>
    <xf numFmtId="0" fontId="4261" fillId="4265" borderId="4212" xfId="0" applyFont="1" applyFill="1" applyBorder="1"/>
    <xf numFmtId="0" fontId="4262" fillId="4266" borderId="4213" xfId="0" applyFont="1" applyFill="1" applyBorder="1"/>
    <xf numFmtId="0" fontId="4263" fillId="4267" borderId="4214" xfId="0" applyFont="1" applyFill="1" applyBorder="1"/>
    <xf numFmtId="0" fontId="4264" fillId="4268" borderId="4215" xfId="0" applyFont="1" applyFill="1" applyBorder="1"/>
    <xf numFmtId="0" fontId="4265" fillId="4269" borderId="4216" xfId="0" applyFont="1" applyFill="1" applyBorder="1"/>
    <xf numFmtId="0" fontId="4266" fillId="4270" borderId="4217" xfId="0" applyFont="1" applyFill="1" applyBorder="1"/>
    <xf numFmtId="0" fontId="4267" fillId="4271" borderId="4218" xfId="0" applyFont="1" applyFill="1" applyBorder="1"/>
    <xf numFmtId="0" fontId="4268" fillId="4272" borderId="4219" xfId="0" applyFont="1" applyFill="1" applyBorder="1"/>
    <xf numFmtId="0" fontId="4269" fillId="4273" borderId="4220" xfId="0" applyFont="1" applyFill="1" applyBorder="1"/>
    <xf numFmtId="0" fontId="4270" fillId="4274" borderId="4221" xfId="0" applyFont="1" applyFill="1" applyBorder="1"/>
    <xf numFmtId="0" fontId="4271" fillId="4275" borderId="4222" xfId="0" applyFont="1" applyFill="1" applyBorder="1"/>
    <xf numFmtId="0" fontId="4272" fillId="4276" borderId="4223" xfId="0" applyFont="1" applyFill="1" applyBorder="1"/>
    <xf numFmtId="0" fontId="4273" fillId="4277" borderId="4224" xfId="0" applyFont="1" applyFill="1" applyBorder="1"/>
    <xf numFmtId="0" fontId="4274" fillId="4278" borderId="4225" xfId="0" applyFont="1" applyFill="1" applyBorder="1"/>
    <xf numFmtId="0" fontId="4275" fillId="4279" borderId="4226" xfId="0" applyFont="1" applyFill="1" applyBorder="1"/>
    <xf numFmtId="0" fontId="4276" fillId="4280" borderId="4227" xfId="0" applyFont="1" applyFill="1" applyBorder="1"/>
    <xf numFmtId="0" fontId="4277" fillId="4281" borderId="4228" xfId="0" applyFont="1" applyFill="1" applyBorder="1"/>
    <xf numFmtId="0" fontId="4278" fillId="4282" borderId="4229" xfId="0" applyFont="1" applyFill="1" applyBorder="1"/>
    <xf numFmtId="0" fontId="4279" fillId="4283" borderId="4230" xfId="0" applyFont="1" applyFill="1" applyBorder="1"/>
    <xf numFmtId="0" fontId="4280" fillId="4284" borderId="4231" xfId="0" applyFont="1" applyFill="1" applyBorder="1"/>
    <xf numFmtId="0" fontId="4281" fillId="4285" borderId="4232" xfId="0" applyFont="1" applyFill="1" applyBorder="1"/>
    <xf numFmtId="0" fontId="4282" fillId="4286" borderId="4233" xfId="0" applyFont="1" applyFill="1" applyBorder="1"/>
    <xf numFmtId="0" fontId="4283" fillId="4287" borderId="4234" xfId="0" applyFont="1" applyFill="1" applyBorder="1"/>
    <xf numFmtId="0" fontId="4284" fillId="4288" borderId="4235" xfId="0" applyFont="1" applyFill="1" applyBorder="1"/>
    <xf numFmtId="0" fontId="4285" fillId="4289" borderId="4236" xfId="0" applyFont="1" applyFill="1" applyBorder="1"/>
    <xf numFmtId="0" fontId="4286" fillId="4290" borderId="4237" xfId="0" applyFont="1" applyFill="1" applyBorder="1"/>
    <xf numFmtId="0" fontId="4287" fillId="4291" borderId="4238" xfId="0" applyFont="1" applyFill="1" applyBorder="1"/>
    <xf numFmtId="0" fontId="4288" fillId="4292" borderId="4239" xfId="0" applyFont="1" applyFill="1" applyBorder="1"/>
    <xf numFmtId="0" fontId="4289" fillId="4293" borderId="4240" xfId="0" applyFont="1" applyFill="1" applyBorder="1"/>
    <xf numFmtId="0" fontId="4290" fillId="4294" borderId="4241" xfId="0" applyFont="1" applyFill="1" applyBorder="1"/>
    <xf numFmtId="0" fontId="4291" fillId="4295" borderId="4242" xfId="0" applyFont="1" applyFill="1" applyBorder="1"/>
    <xf numFmtId="0" fontId="4292" fillId="4296" borderId="4243" xfId="0" applyFont="1" applyFill="1" applyBorder="1"/>
    <xf numFmtId="0" fontId="4293" fillId="4297" borderId="4244" xfId="0" applyFont="1" applyFill="1" applyBorder="1"/>
    <xf numFmtId="0" fontId="4294" fillId="4298" borderId="4245" xfId="0" applyFont="1" applyFill="1" applyBorder="1"/>
    <xf numFmtId="0" fontId="4295" fillId="4299" borderId="4246" xfId="0" applyFont="1" applyFill="1" applyBorder="1"/>
    <xf numFmtId="0" fontId="4296" fillId="4300" borderId="4247" xfId="0" applyFont="1" applyFill="1" applyBorder="1"/>
    <xf numFmtId="0" fontId="4297" fillId="4301" borderId="4248" xfId="0" applyFont="1" applyFill="1" applyBorder="1"/>
    <xf numFmtId="0" fontId="4298" fillId="4302" borderId="4249" xfId="0" applyFont="1" applyFill="1" applyBorder="1"/>
    <xf numFmtId="0" fontId="4299" fillId="4303" borderId="4250" xfId="0" applyFont="1" applyFill="1" applyBorder="1"/>
    <xf numFmtId="0" fontId="4300" fillId="4304" borderId="4251" xfId="0" applyFont="1" applyFill="1" applyBorder="1"/>
    <xf numFmtId="0" fontId="4301" fillId="4305" borderId="4252" xfId="0" applyFont="1" applyFill="1" applyBorder="1"/>
    <xf numFmtId="0" fontId="4302" fillId="4306" borderId="4253" xfId="0" applyFont="1" applyFill="1" applyBorder="1"/>
    <xf numFmtId="0" fontId="4303" fillId="4307" borderId="4254" xfId="0" applyFont="1" applyFill="1" applyBorder="1"/>
    <xf numFmtId="0" fontId="4304" fillId="4308" borderId="4255" xfId="0" applyFont="1" applyFill="1" applyBorder="1"/>
    <xf numFmtId="0" fontId="4305" fillId="4309" borderId="4256" xfId="0" applyFont="1" applyFill="1" applyBorder="1"/>
    <xf numFmtId="0" fontId="4306" fillId="4310" borderId="4257" xfId="0" applyFont="1" applyFill="1" applyBorder="1"/>
    <xf numFmtId="0" fontId="4307" fillId="4311" borderId="4258" xfId="0" applyFont="1" applyFill="1" applyBorder="1"/>
    <xf numFmtId="0" fontId="4308" fillId="4312" borderId="4259" xfId="0" applyFont="1" applyFill="1" applyBorder="1"/>
    <xf numFmtId="0" fontId="4309" fillId="4313" borderId="4260" xfId="0" applyFont="1" applyFill="1" applyBorder="1"/>
    <xf numFmtId="0" fontId="4310" fillId="4314" borderId="4261" xfId="0" applyFont="1" applyFill="1" applyBorder="1"/>
    <xf numFmtId="0" fontId="4311" fillId="4315" borderId="4262" xfId="0" applyFont="1" applyFill="1" applyBorder="1"/>
    <xf numFmtId="0" fontId="4312" fillId="4316" borderId="4263" xfId="0" applyFont="1" applyFill="1" applyBorder="1"/>
    <xf numFmtId="0" fontId="4313" fillId="4317" borderId="4264" xfId="0" applyFont="1" applyFill="1" applyBorder="1"/>
    <xf numFmtId="0" fontId="4314" fillId="4318" borderId="4265" xfId="0" applyFont="1" applyFill="1" applyBorder="1"/>
    <xf numFmtId="0" fontId="4315" fillId="4319" borderId="4266" xfId="0" applyFont="1" applyFill="1" applyBorder="1"/>
    <xf numFmtId="0" fontId="4316" fillId="4320" borderId="4267" xfId="0" applyFont="1" applyFill="1" applyBorder="1"/>
    <xf numFmtId="0" fontId="4317" fillId="4321" borderId="4268" xfId="0" applyFont="1" applyFill="1" applyBorder="1"/>
    <xf numFmtId="0" fontId="4318" fillId="4322" borderId="4269" xfId="0" applyFont="1" applyFill="1" applyBorder="1"/>
    <xf numFmtId="0" fontId="4319" fillId="4323" borderId="4270" xfId="0" applyFont="1" applyFill="1" applyBorder="1"/>
    <xf numFmtId="0" fontId="4320" fillId="4324" borderId="4271" xfId="0" applyFont="1" applyFill="1" applyBorder="1"/>
    <xf numFmtId="0" fontId="4321" fillId="4325" borderId="4272" xfId="0" applyFont="1" applyFill="1" applyBorder="1"/>
    <xf numFmtId="0" fontId="4322" fillId="4326" borderId="4273" xfId="0" applyFont="1" applyFill="1" applyBorder="1"/>
    <xf numFmtId="0" fontId="4323" fillId="4327" borderId="4274" xfId="0" applyFont="1" applyFill="1" applyBorder="1"/>
    <xf numFmtId="0" fontId="4324" fillId="4328" borderId="4275" xfId="0" applyFont="1" applyFill="1" applyBorder="1"/>
    <xf numFmtId="0" fontId="4325" fillId="4329" borderId="4276" xfId="0" applyFont="1" applyFill="1" applyBorder="1"/>
    <xf numFmtId="0" fontId="4326" fillId="4330" borderId="4277" xfId="0" applyFont="1" applyFill="1" applyBorder="1"/>
    <xf numFmtId="0" fontId="4327" fillId="4331" borderId="4278" xfId="0" applyFont="1" applyFill="1" applyBorder="1"/>
    <xf numFmtId="0" fontId="4328" fillId="4332" borderId="4279" xfId="0" applyFont="1" applyFill="1" applyBorder="1"/>
    <xf numFmtId="0" fontId="4329" fillId="4333" borderId="4280" xfId="0" applyFont="1" applyFill="1" applyBorder="1"/>
    <xf numFmtId="0" fontId="4330" fillId="4334" borderId="4281" xfId="0" applyFont="1" applyFill="1" applyBorder="1"/>
    <xf numFmtId="0" fontId="4331" fillId="4335" borderId="4282" xfId="0" applyFont="1" applyFill="1" applyBorder="1"/>
    <xf numFmtId="0" fontId="4332" fillId="4336" borderId="4283" xfId="0" applyFont="1" applyFill="1" applyBorder="1"/>
    <xf numFmtId="0" fontId="4333" fillId="4337" borderId="4284" xfId="0" applyFont="1" applyFill="1" applyBorder="1"/>
    <xf numFmtId="0" fontId="4334" fillId="4338" borderId="4285" xfId="0" applyFont="1" applyFill="1" applyBorder="1"/>
    <xf numFmtId="0" fontId="4335" fillId="4339" borderId="4286" xfId="0" applyFont="1" applyFill="1" applyBorder="1"/>
    <xf numFmtId="0" fontId="4336" fillId="4340" borderId="4287" xfId="0" applyFont="1" applyFill="1" applyBorder="1"/>
    <xf numFmtId="0" fontId="4337" fillId="4341" borderId="4288" xfId="0" applyFont="1" applyFill="1" applyBorder="1"/>
    <xf numFmtId="0" fontId="4338" fillId="4342" borderId="4289" xfId="0" applyFont="1" applyFill="1" applyBorder="1"/>
    <xf numFmtId="0" fontId="4339" fillId="4343" borderId="4290" xfId="0" applyFont="1" applyFill="1" applyBorder="1"/>
    <xf numFmtId="0" fontId="4340" fillId="4344" borderId="4291" xfId="0" applyFont="1" applyFill="1" applyBorder="1"/>
    <xf numFmtId="0" fontId="4341" fillId="4345" borderId="4292" xfId="0" applyFont="1" applyFill="1" applyBorder="1"/>
    <xf numFmtId="0" fontId="4342" fillId="4346" borderId="4293" xfId="0" applyFont="1" applyFill="1" applyBorder="1"/>
    <xf numFmtId="0" fontId="4343" fillId="4347" borderId="4294" xfId="0" applyFont="1" applyFill="1" applyBorder="1"/>
    <xf numFmtId="0" fontId="4344" fillId="4348" borderId="4295" xfId="0" applyFont="1" applyFill="1" applyBorder="1"/>
    <xf numFmtId="0" fontId="4345" fillId="4349" borderId="4296" xfId="0" applyFont="1" applyFill="1" applyBorder="1"/>
    <xf numFmtId="0" fontId="4346" fillId="4350" borderId="4297" xfId="0" applyFont="1" applyFill="1" applyBorder="1"/>
    <xf numFmtId="0" fontId="4347" fillId="4351" borderId="4298" xfId="0" applyFont="1" applyFill="1" applyBorder="1"/>
    <xf numFmtId="0" fontId="4348" fillId="4352" borderId="4299" xfId="0" applyFont="1" applyFill="1" applyBorder="1"/>
    <xf numFmtId="0" fontId="4349" fillId="4353" borderId="4300" xfId="0" applyFont="1" applyFill="1" applyBorder="1"/>
    <xf numFmtId="0" fontId="4350" fillId="4354" borderId="4301" xfId="0" applyFont="1" applyFill="1" applyBorder="1"/>
    <xf numFmtId="0" fontId="4351" fillId="4355" borderId="4302" xfId="0" applyFont="1" applyFill="1" applyBorder="1"/>
    <xf numFmtId="0" fontId="4352" fillId="4356" borderId="4303" xfId="0" applyFont="1" applyFill="1" applyBorder="1"/>
    <xf numFmtId="0" fontId="4353" fillId="4357" borderId="4304" xfId="0" applyFont="1" applyFill="1" applyBorder="1"/>
    <xf numFmtId="0" fontId="4354" fillId="4358" borderId="4305" xfId="0" applyFont="1" applyFill="1" applyBorder="1"/>
    <xf numFmtId="0" fontId="4355" fillId="4359" borderId="4306" xfId="0" applyFont="1" applyFill="1" applyBorder="1"/>
    <xf numFmtId="0" fontId="4356" fillId="4360" borderId="4307" xfId="0" applyFont="1" applyFill="1" applyBorder="1"/>
    <xf numFmtId="0" fontId="4357" fillId="4361" borderId="4308" xfId="0" applyFont="1" applyFill="1" applyBorder="1"/>
    <xf numFmtId="0" fontId="4358" fillId="4362" borderId="4309" xfId="0" applyFont="1" applyFill="1" applyBorder="1"/>
    <xf numFmtId="0" fontId="4359" fillId="4363" borderId="4310" xfId="0" applyFont="1" applyFill="1" applyBorder="1"/>
    <xf numFmtId="0" fontId="4360" fillId="4364" borderId="4311" xfId="0" applyFont="1" applyFill="1" applyBorder="1"/>
    <xf numFmtId="0" fontId="4361" fillId="4365" borderId="4312" xfId="0" applyFont="1" applyFill="1" applyBorder="1"/>
    <xf numFmtId="0" fontId="4362" fillId="4366" borderId="4313" xfId="0" applyFont="1" applyFill="1" applyBorder="1"/>
    <xf numFmtId="0" fontId="4363" fillId="4367" borderId="4314" xfId="0" applyFont="1" applyFill="1" applyBorder="1"/>
    <xf numFmtId="0" fontId="4364" fillId="4368" borderId="4315" xfId="0" applyFont="1" applyFill="1" applyBorder="1"/>
    <xf numFmtId="0" fontId="4365" fillId="4369" borderId="4316" xfId="0" applyFont="1" applyFill="1" applyBorder="1"/>
    <xf numFmtId="0" fontId="4366" fillId="4370" borderId="4317" xfId="0" applyFont="1" applyFill="1" applyBorder="1"/>
    <xf numFmtId="0" fontId="4367" fillId="4371" borderId="4318" xfId="0" applyFont="1" applyFill="1" applyBorder="1"/>
    <xf numFmtId="0" fontId="4368" fillId="4372" borderId="4319" xfId="0" applyFont="1" applyFill="1" applyBorder="1"/>
    <xf numFmtId="0" fontId="4369" fillId="4373" borderId="4320" xfId="0" applyFont="1" applyFill="1" applyBorder="1"/>
    <xf numFmtId="0" fontId="4370" fillId="4374" borderId="4321" xfId="0" applyFont="1" applyFill="1" applyBorder="1"/>
    <xf numFmtId="0" fontId="4371" fillId="4375" borderId="4322" xfId="0" applyFont="1" applyFill="1" applyBorder="1"/>
    <xf numFmtId="0" fontId="4372" fillId="4376" borderId="4323" xfId="0" applyFont="1" applyFill="1" applyBorder="1"/>
    <xf numFmtId="0" fontId="4373" fillId="4377" borderId="4324" xfId="0" applyFont="1" applyFill="1" applyBorder="1"/>
    <xf numFmtId="0" fontId="4374" fillId="4378" borderId="4325" xfId="0" applyFont="1" applyFill="1" applyBorder="1"/>
    <xf numFmtId="0" fontId="4375" fillId="4379" borderId="4326" xfId="0" applyFont="1" applyFill="1" applyBorder="1"/>
    <xf numFmtId="0" fontId="4376" fillId="4380" borderId="4327" xfId="0" applyFont="1" applyFill="1" applyBorder="1"/>
    <xf numFmtId="0" fontId="4377" fillId="4381" borderId="4328" xfId="0" applyFont="1" applyFill="1" applyBorder="1"/>
    <xf numFmtId="0" fontId="4378" fillId="4382" borderId="4329" xfId="0" applyFont="1" applyFill="1" applyBorder="1"/>
    <xf numFmtId="0" fontId="4379" fillId="4383" borderId="4330" xfId="0" applyFont="1" applyFill="1" applyBorder="1"/>
    <xf numFmtId="0" fontId="4380" fillId="4384" borderId="4331" xfId="0" applyFont="1" applyFill="1" applyBorder="1"/>
    <xf numFmtId="0" fontId="4381" fillId="4385" borderId="4332" xfId="0" applyFont="1" applyFill="1" applyBorder="1"/>
    <xf numFmtId="0" fontId="4382" fillId="4386" borderId="4333" xfId="0" applyFont="1" applyFill="1" applyBorder="1"/>
    <xf numFmtId="0" fontId="4383" fillId="4387" borderId="4334" xfId="0" applyFont="1" applyFill="1" applyBorder="1"/>
    <xf numFmtId="0" fontId="4384" fillId="4388" borderId="4335" xfId="0" applyFont="1" applyFill="1" applyBorder="1"/>
    <xf numFmtId="0" fontId="4385" fillId="4389" borderId="4336" xfId="0" applyFont="1" applyFill="1" applyBorder="1"/>
    <xf numFmtId="0" fontId="4386" fillId="4390" borderId="4337" xfId="0" applyFont="1" applyFill="1" applyBorder="1"/>
    <xf numFmtId="0" fontId="4387" fillId="4391" borderId="4338" xfId="0" applyFont="1" applyFill="1" applyBorder="1"/>
    <xf numFmtId="0" fontId="4388" fillId="4392" borderId="4339" xfId="0" applyFont="1" applyFill="1" applyBorder="1"/>
    <xf numFmtId="0" fontId="4389" fillId="4393" borderId="4340" xfId="0" applyFont="1" applyFill="1" applyBorder="1"/>
    <xf numFmtId="0" fontId="4390" fillId="4394" borderId="4341" xfId="0" applyFont="1" applyFill="1" applyBorder="1"/>
    <xf numFmtId="0" fontId="4391" fillId="4395" borderId="4342" xfId="0" applyFont="1" applyFill="1" applyBorder="1"/>
    <xf numFmtId="0" fontId="4392" fillId="4396" borderId="4343" xfId="0" applyFont="1" applyFill="1" applyBorder="1"/>
    <xf numFmtId="0" fontId="4393" fillId="4397" borderId="4344" xfId="0" applyFont="1" applyFill="1" applyBorder="1"/>
    <xf numFmtId="0" fontId="4394" fillId="4398" borderId="4345" xfId="0" applyFont="1" applyFill="1" applyBorder="1"/>
    <xf numFmtId="0" fontId="4395" fillId="4399" borderId="4346" xfId="0" applyFont="1" applyFill="1" applyBorder="1"/>
    <xf numFmtId="0" fontId="4396" fillId="4400" borderId="4347" xfId="0" applyFont="1" applyFill="1" applyBorder="1"/>
    <xf numFmtId="0" fontId="4397" fillId="4401" borderId="4348" xfId="0" applyFont="1" applyFill="1" applyBorder="1"/>
    <xf numFmtId="0" fontId="4398" fillId="4402" borderId="4349" xfId="0" applyFont="1" applyFill="1" applyBorder="1"/>
    <xf numFmtId="0" fontId="4399" fillId="4403" borderId="4350" xfId="0" applyFont="1" applyFill="1" applyBorder="1"/>
    <xf numFmtId="0" fontId="4400" fillId="4404" borderId="4351" xfId="0" applyFont="1" applyFill="1" applyBorder="1"/>
    <xf numFmtId="0" fontId="4401" fillId="4405" borderId="4352" xfId="0" applyFont="1" applyFill="1" applyBorder="1"/>
    <xf numFmtId="0" fontId="4402" fillId="4406" borderId="4353" xfId="0" applyFont="1" applyFill="1" applyBorder="1"/>
    <xf numFmtId="0" fontId="4403" fillId="4407" borderId="4354" xfId="0" applyFont="1" applyFill="1" applyBorder="1"/>
    <xf numFmtId="0" fontId="4404" fillId="4408" borderId="4355" xfId="0" applyFont="1" applyFill="1" applyBorder="1"/>
    <xf numFmtId="0" fontId="4405" fillId="4409" borderId="4356" xfId="0" applyFont="1" applyFill="1" applyBorder="1"/>
    <xf numFmtId="14" fontId="4406" fillId="4410" borderId="4357" xfId="0" applyNumberFormat="1" applyFont="1" applyFill="1" applyBorder="1"/>
    <xf numFmtId="0" fontId="4407" fillId="4411" borderId="4358" xfId="0" applyFont="1" applyFill="1" applyBorder="1"/>
    <xf numFmtId="0" fontId="4408" fillId="4412" borderId="4359" xfId="0" applyFont="1" applyFill="1" applyBorder="1"/>
    <xf numFmtId="0" fontId="4409" fillId="4413" borderId="4360" xfId="0" applyFont="1" applyFill="1" applyBorder="1"/>
    <xf numFmtId="0" fontId="4410" fillId="4414" borderId="4361" xfId="0" applyFont="1" applyFill="1" applyBorder="1"/>
    <xf numFmtId="0" fontId="4411" fillId="4415" borderId="4362" xfId="0" applyFont="1" applyFill="1" applyBorder="1"/>
    <xf numFmtId="0" fontId="4412" fillId="4416" borderId="4363" xfId="0" applyFont="1" applyFill="1" applyBorder="1"/>
    <xf numFmtId="0" fontId="4413" fillId="4417" borderId="4364" xfId="0" applyFont="1" applyFill="1" applyBorder="1"/>
    <xf numFmtId="0" fontId="4414" fillId="4418" borderId="4365" xfId="0" applyFont="1" applyFill="1" applyBorder="1"/>
    <xf numFmtId="0" fontId="4415" fillId="4419" borderId="4366" xfId="0" applyFont="1" applyFill="1" applyBorder="1"/>
    <xf numFmtId="0" fontId="4416" fillId="4420" borderId="4367" xfId="0" applyFont="1" applyFill="1" applyBorder="1"/>
    <xf numFmtId="14" fontId="4417" fillId="4421" borderId="4368" xfId="0" applyNumberFormat="1" applyFont="1" applyFill="1" applyBorder="1"/>
    <xf numFmtId="0" fontId="4418" fillId="4422" borderId="4369" xfId="0" applyFont="1" applyFill="1" applyBorder="1"/>
    <xf numFmtId="0" fontId="4419" fillId="4423" borderId="4370" xfId="0" applyFont="1" applyFill="1" applyBorder="1"/>
    <xf numFmtId="0" fontId="4420" fillId="4424" borderId="4371" xfId="0" applyFont="1" applyFill="1" applyBorder="1"/>
    <xf numFmtId="0" fontId="4421" fillId="4425" borderId="4372" xfId="0" applyFont="1" applyFill="1" applyBorder="1"/>
    <xf numFmtId="0" fontId="4422" fillId="4426" borderId="4373" xfId="0" applyFont="1" applyFill="1" applyBorder="1"/>
    <xf numFmtId="0" fontId="4423" fillId="4427" borderId="4374" xfId="0" applyFont="1" applyFill="1" applyBorder="1"/>
    <xf numFmtId="0" fontId="4424" fillId="4428" borderId="4375" xfId="0" applyFont="1" applyFill="1" applyBorder="1"/>
    <xf numFmtId="0" fontId="4425" fillId="4429" borderId="4376" xfId="0" applyFont="1" applyFill="1" applyBorder="1"/>
    <xf numFmtId="0" fontId="4426" fillId="4430" borderId="4377" xfId="0" applyFont="1" applyFill="1" applyBorder="1"/>
    <xf numFmtId="0" fontId="4427" fillId="4431" borderId="4378" xfId="0" applyFont="1" applyFill="1" applyBorder="1"/>
    <xf numFmtId="14" fontId="4428" fillId="4432" borderId="4379" xfId="0" applyNumberFormat="1" applyFont="1" applyFill="1" applyBorder="1"/>
    <xf numFmtId="0" fontId="4429" fillId="4433" borderId="4380" xfId="0" applyFont="1" applyFill="1" applyBorder="1"/>
    <xf numFmtId="0" fontId="4430" fillId="4434" borderId="4381" xfId="0" applyFont="1" applyFill="1" applyBorder="1"/>
    <xf numFmtId="0" fontId="4431" fillId="4435" borderId="4382" xfId="0" applyFont="1" applyFill="1" applyBorder="1"/>
    <xf numFmtId="0" fontId="4432" fillId="4436" borderId="4383" xfId="0" applyFont="1" applyFill="1" applyBorder="1"/>
    <xf numFmtId="0" fontId="4433" fillId="4437" borderId="4384" xfId="0" applyFont="1" applyFill="1" applyBorder="1"/>
    <xf numFmtId="0" fontId="4434" fillId="4438" borderId="4385" xfId="0" applyFont="1" applyFill="1" applyBorder="1"/>
    <xf numFmtId="0" fontId="4435" fillId="4439" borderId="4386" xfId="0" applyFont="1" applyFill="1" applyBorder="1"/>
    <xf numFmtId="0" fontId="4436" fillId="4440" borderId="4387" xfId="0" applyFont="1" applyFill="1" applyBorder="1"/>
    <xf numFmtId="0" fontId="4437" fillId="4441" borderId="4388" xfId="0" applyFont="1" applyFill="1" applyBorder="1"/>
    <xf numFmtId="0" fontId="4438" fillId="4442" borderId="4389" xfId="0" applyFont="1" applyFill="1" applyBorder="1"/>
    <xf numFmtId="14" fontId="4439" fillId="4443" borderId="4390" xfId="0" applyNumberFormat="1" applyFont="1" applyFill="1" applyBorder="1"/>
    <xf numFmtId="0" fontId="4440" fillId="4444" borderId="4391" xfId="0" applyFont="1" applyFill="1" applyBorder="1"/>
    <xf numFmtId="0" fontId="4441" fillId="4445" borderId="4392" xfId="0" applyFont="1" applyFill="1" applyBorder="1"/>
    <xf numFmtId="0" fontId="4442" fillId="4446" borderId="4393" xfId="0" applyFont="1" applyFill="1" applyBorder="1"/>
    <xf numFmtId="0" fontId="4443" fillId="4447" borderId="4394" xfId="0" applyFont="1" applyFill="1" applyBorder="1"/>
    <xf numFmtId="0" fontId="4444" fillId="4448" borderId="4395" xfId="0" applyFont="1" applyFill="1" applyBorder="1"/>
    <xf numFmtId="0" fontId="4445" fillId="4449" borderId="4396" xfId="0" applyFont="1" applyFill="1" applyBorder="1"/>
    <xf numFmtId="0" fontId="4446" fillId="4450" borderId="4397" xfId="0" applyFont="1" applyFill="1" applyBorder="1"/>
    <xf numFmtId="0" fontId="4447" fillId="4451" borderId="4398" xfId="0" applyFont="1" applyFill="1" applyBorder="1"/>
    <xf numFmtId="0" fontId="4448" fillId="4452" borderId="4399" xfId="0" applyFont="1" applyFill="1" applyBorder="1"/>
    <xf numFmtId="0" fontId="4449" fillId="4453" borderId="4400" xfId="0" applyFont="1" applyFill="1" applyBorder="1"/>
    <xf numFmtId="14" fontId="4450" fillId="4454" borderId="4401" xfId="0" applyNumberFormat="1" applyFont="1" applyFill="1" applyBorder="1"/>
    <xf numFmtId="0" fontId="4451" fillId="4455" borderId="4402" xfId="0" applyFont="1" applyFill="1" applyBorder="1"/>
    <xf numFmtId="0" fontId="4452" fillId="4456" borderId="4403" xfId="0" applyFont="1" applyFill="1" applyBorder="1"/>
    <xf numFmtId="0" fontId="4453" fillId="4457" borderId="4404" xfId="0" applyFont="1" applyFill="1" applyBorder="1"/>
    <xf numFmtId="0" fontId="4454" fillId="4458" borderId="4405" xfId="0" applyFont="1" applyFill="1" applyBorder="1"/>
    <xf numFmtId="0" fontId="4455" fillId="4459" borderId="4406" xfId="0" applyFont="1" applyFill="1" applyBorder="1"/>
    <xf numFmtId="0" fontId="4456" fillId="4460" borderId="4407" xfId="0" applyFont="1" applyFill="1" applyBorder="1"/>
    <xf numFmtId="0" fontId="4457" fillId="4461" borderId="4408" xfId="0" applyFont="1" applyFill="1" applyBorder="1"/>
    <xf numFmtId="0" fontId="4458" fillId="4462" borderId="4409" xfId="0" applyFont="1" applyFill="1" applyBorder="1"/>
    <xf numFmtId="0" fontId="4459" fillId="4463" borderId="4410" xfId="0" applyFont="1" applyFill="1" applyBorder="1"/>
    <xf numFmtId="0" fontId="4460" fillId="4464" borderId="4411" xfId="0" applyFont="1" applyFill="1" applyBorder="1"/>
    <xf numFmtId="14" fontId="4461" fillId="4465" borderId="4412" xfId="0" applyNumberFormat="1" applyFont="1" applyFill="1" applyBorder="1"/>
    <xf numFmtId="0" fontId="4462" fillId="4466" borderId="4413" xfId="0" applyFont="1" applyFill="1" applyBorder="1"/>
    <xf numFmtId="0" fontId="4463" fillId="4467" borderId="4414" xfId="0" applyFont="1" applyFill="1" applyBorder="1"/>
    <xf numFmtId="0" fontId="4464" fillId="4468" borderId="4415" xfId="0" applyFont="1" applyFill="1" applyBorder="1"/>
    <xf numFmtId="0" fontId="4465" fillId="4469" borderId="4416" xfId="0" applyFont="1" applyFill="1" applyBorder="1"/>
    <xf numFmtId="0" fontId="4466" fillId="4470" borderId="4417" xfId="0" applyFont="1" applyFill="1" applyBorder="1"/>
    <xf numFmtId="0" fontId="4467" fillId="4471" borderId="4418" xfId="0" applyFont="1" applyFill="1" applyBorder="1"/>
    <xf numFmtId="0" fontId="4468" fillId="4472" borderId="4419" xfId="0" applyFont="1" applyFill="1" applyBorder="1"/>
    <xf numFmtId="0" fontId="4469" fillId="4473" borderId="4420" xfId="0" applyFont="1" applyFill="1" applyBorder="1"/>
    <xf numFmtId="0" fontId="4470" fillId="4474" borderId="4421" xfId="0" applyFont="1" applyFill="1" applyBorder="1"/>
    <xf numFmtId="0" fontId="4471" fillId="4475" borderId="4422" xfId="0" applyFont="1" applyFill="1" applyBorder="1"/>
    <xf numFmtId="14" fontId="4472" fillId="4476" borderId="4423" xfId="0" applyNumberFormat="1" applyFont="1" applyFill="1" applyBorder="1"/>
    <xf numFmtId="0" fontId="4473" fillId="4477" borderId="4424" xfId="0" applyFont="1" applyFill="1" applyBorder="1"/>
    <xf numFmtId="0" fontId="4474" fillId="4478" borderId="4425" xfId="0" applyFont="1" applyFill="1" applyBorder="1"/>
    <xf numFmtId="0" fontId="4475" fillId="4479" borderId="4426" xfId="0" applyFont="1" applyFill="1" applyBorder="1"/>
    <xf numFmtId="0" fontId="4476" fillId="4480" borderId="4427" xfId="0" applyFont="1" applyFill="1" applyBorder="1"/>
    <xf numFmtId="0" fontId="4477" fillId="4481" borderId="4428" xfId="0" applyFont="1" applyFill="1" applyBorder="1"/>
    <xf numFmtId="0" fontId="4478" fillId="4482" borderId="4429" xfId="0" applyFont="1" applyFill="1" applyBorder="1"/>
    <xf numFmtId="0" fontId="4479" fillId="4483" borderId="4430" xfId="0" applyFont="1" applyFill="1" applyBorder="1"/>
    <xf numFmtId="0" fontId="4480" fillId="4484" borderId="4431" xfId="0" applyFont="1" applyFill="1" applyBorder="1"/>
    <xf numFmtId="0" fontId="4481" fillId="4485" borderId="4432" xfId="0" applyFont="1" applyFill="1" applyBorder="1"/>
    <xf numFmtId="0" fontId="4482" fillId="4486" borderId="4433" xfId="0" applyFont="1" applyFill="1" applyBorder="1"/>
    <xf numFmtId="14" fontId="4483" fillId="4487" borderId="4434" xfId="0" applyNumberFormat="1" applyFont="1" applyFill="1" applyBorder="1"/>
    <xf numFmtId="0" fontId="4484" fillId="4488" borderId="4435" xfId="0" applyFont="1" applyFill="1" applyBorder="1"/>
    <xf numFmtId="0" fontId="4485" fillId="4489" borderId="4436" xfId="0" applyFont="1" applyFill="1" applyBorder="1"/>
    <xf numFmtId="0" fontId="4486" fillId="4490" borderId="4437" xfId="0" applyFont="1" applyFill="1" applyBorder="1"/>
    <xf numFmtId="0" fontId="4487" fillId="4491" borderId="4438" xfId="0" applyFont="1" applyFill="1" applyBorder="1"/>
    <xf numFmtId="0" fontId="4488" fillId="4492" borderId="4439" xfId="0" applyFont="1" applyFill="1" applyBorder="1"/>
    <xf numFmtId="0" fontId="4489" fillId="4493" borderId="4440" xfId="0" applyFont="1" applyFill="1" applyBorder="1"/>
    <xf numFmtId="0" fontId="4490" fillId="4494" borderId="4441" xfId="0" applyFont="1" applyFill="1" applyBorder="1"/>
    <xf numFmtId="0" fontId="4491" fillId="4495" borderId="4442" xfId="0" applyFont="1" applyFill="1" applyBorder="1"/>
    <xf numFmtId="0" fontId="4492" fillId="4496" borderId="4443" xfId="0" applyFont="1" applyFill="1" applyBorder="1"/>
    <xf numFmtId="0" fontId="4493" fillId="4497" borderId="4444" xfId="0" applyFont="1" applyFill="1" applyBorder="1"/>
    <xf numFmtId="14" fontId="4494" fillId="4498" borderId="4445" xfId="0" applyNumberFormat="1" applyFont="1" applyFill="1" applyBorder="1"/>
    <xf numFmtId="0" fontId="4495" fillId="4499" borderId="4446" xfId="0" applyFont="1" applyFill="1" applyBorder="1"/>
    <xf numFmtId="0" fontId="4496" fillId="4500" borderId="4447" xfId="0" applyFont="1" applyFill="1" applyBorder="1"/>
    <xf numFmtId="0" fontId="4497" fillId="4501" borderId="4448" xfId="0" applyFont="1" applyFill="1" applyBorder="1"/>
    <xf numFmtId="0" fontId="4498" fillId="4502" borderId="4449" xfId="0" applyFont="1" applyFill="1" applyBorder="1"/>
    <xf numFmtId="0" fontId="4499" fillId="4503" borderId="4450" xfId="0" applyFont="1" applyFill="1" applyBorder="1"/>
    <xf numFmtId="0" fontId="4500" fillId="4504" borderId="4451" xfId="0" applyFont="1" applyFill="1" applyBorder="1"/>
    <xf numFmtId="0" fontId="4501" fillId="4505" borderId="4452" xfId="0" applyFont="1" applyFill="1" applyBorder="1"/>
    <xf numFmtId="0" fontId="4502" fillId="4506" borderId="4453" xfId="0" applyFont="1" applyFill="1" applyBorder="1"/>
    <xf numFmtId="0" fontId="4503" fillId="4507" borderId="4454" xfId="0" applyFont="1" applyFill="1" applyBorder="1"/>
    <xf numFmtId="0" fontId="4504" fillId="4508" borderId="4455" xfId="0" applyFont="1" applyFill="1" applyBorder="1"/>
    <xf numFmtId="14" fontId="4505" fillId="4509" borderId="4456" xfId="0" applyNumberFormat="1" applyFont="1" applyFill="1" applyBorder="1"/>
    <xf numFmtId="0" fontId="4506" fillId="4510" borderId="4457" xfId="0" applyFont="1" applyFill="1" applyBorder="1"/>
    <xf numFmtId="0" fontId="4507" fillId="4511" borderId="4458" xfId="0" applyFont="1" applyFill="1" applyBorder="1"/>
    <xf numFmtId="0" fontId="4508" fillId="4512" borderId="4459" xfId="0" applyFont="1" applyFill="1" applyBorder="1"/>
    <xf numFmtId="0" fontId="4509" fillId="4513" borderId="4460" xfId="0" applyFont="1" applyFill="1" applyBorder="1"/>
    <xf numFmtId="0" fontId="4510" fillId="4514" borderId="4461" xfId="0" applyFont="1" applyFill="1" applyBorder="1"/>
    <xf numFmtId="0" fontId="4511" fillId="4515" borderId="4462" xfId="0" applyFont="1" applyFill="1" applyBorder="1"/>
    <xf numFmtId="0" fontId="4512" fillId="4516" borderId="4463" xfId="0" applyFont="1" applyFill="1" applyBorder="1"/>
    <xf numFmtId="0" fontId="4513" fillId="4517" borderId="4464" xfId="0" applyFont="1" applyFill="1" applyBorder="1"/>
    <xf numFmtId="0" fontId="4514" fillId="4518" borderId="4465" xfId="0" applyFont="1" applyFill="1" applyBorder="1"/>
    <xf numFmtId="0" fontId="4515" fillId="4519" borderId="4466" xfId="0" applyFont="1" applyFill="1" applyBorder="1"/>
    <xf numFmtId="14" fontId="4516" fillId="4520" borderId="4467" xfId="0" applyNumberFormat="1" applyFont="1" applyFill="1" applyBorder="1"/>
    <xf numFmtId="0" fontId="4517" fillId="4521" borderId="4468" xfId="0" applyFont="1" applyFill="1" applyBorder="1"/>
    <xf numFmtId="0" fontId="4518" fillId="4522" borderId="4469" xfId="0" applyFont="1" applyFill="1" applyBorder="1"/>
    <xf numFmtId="0" fontId="4519" fillId="4523" borderId="4470" xfId="0" applyFont="1" applyFill="1" applyBorder="1"/>
    <xf numFmtId="0" fontId="4520" fillId="4524" borderId="4471" xfId="0" applyFont="1" applyFill="1" applyBorder="1"/>
    <xf numFmtId="0" fontId="4521" fillId="4525" borderId="4472" xfId="0" applyFont="1" applyFill="1" applyBorder="1"/>
    <xf numFmtId="0" fontId="4522" fillId="4526" borderId="4473" xfId="0" applyFont="1" applyFill="1" applyBorder="1"/>
    <xf numFmtId="0" fontId="4523" fillId="4527" borderId="4474" xfId="0" applyFont="1" applyFill="1" applyBorder="1"/>
    <xf numFmtId="0" fontId="4524" fillId="4528" borderId="4475" xfId="0" applyFont="1" applyFill="1" applyBorder="1"/>
    <xf numFmtId="0" fontId="4525" fillId="4529" borderId="4476" xfId="0" applyFont="1" applyFill="1" applyBorder="1"/>
    <xf numFmtId="0" fontId="4526" fillId="4530" borderId="4477" xfId="0" applyFont="1" applyFill="1" applyBorder="1"/>
    <xf numFmtId="14" fontId="4527" fillId="4531" borderId="4478" xfId="0" applyNumberFormat="1" applyFont="1" applyFill="1" applyBorder="1"/>
    <xf numFmtId="0" fontId="4528" fillId="4532" borderId="4479" xfId="0" applyFont="1" applyFill="1" applyBorder="1"/>
    <xf numFmtId="0" fontId="4529" fillId="4533" borderId="4480" xfId="0" applyFont="1" applyFill="1" applyBorder="1"/>
    <xf numFmtId="0" fontId="4530" fillId="4534" borderId="4481" xfId="0" applyFont="1" applyFill="1" applyBorder="1"/>
    <xf numFmtId="0" fontId="4531" fillId="4535" borderId="4482" xfId="0" applyFont="1" applyFill="1" applyBorder="1"/>
    <xf numFmtId="0" fontId="4532" fillId="4536" borderId="4483" xfId="0" applyFont="1" applyFill="1" applyBorder="1"/>
    <xf numFmtId="0" fontId="4533" fillId="4537" borderId="4484" xfId="0" applyFont="1" applyFill="1" applyBorder="1"/>
    <xf numFmtId="0" fontId="4534" fillId="4538" borderId="4485" xfId="0" applyFont="1" applyFill="1" applyBorder="1"/>
    <xf numFmtId="0" fontId="4535" fillId="4539" borderId="4486" xfId="0" applyFont="1" applyFill="1" applyBorder="1"/>
    <xf numFmtId="0" fontId="4536" fillId="4540" borderId="4487" xfId="0" applyFont="1" applyFill="1" applyBorder="1"/>
    <xf numFmtId="0" fontId="4537" fillId="4541" borderId="4488" xfId="0" applyFont="1" applyFill="1" applyBorder="1"/>
    <xf numFmtId="14" fontId="4538" fillId="4542" borderId="4489" xfId="0" applyNumberFormat="1" applyFont="1" applyFill="1" applyBorder="1"/>
    <xf numFmtId="0" fontId="4539" fillId="4543" borderId="4490" xfId="0" applyFont="1" applyFill="1" applyBorder="1"/>
    <xf numFmtId="0" fontId="4540" fillId="4544" borderId="4491" xfId="0" applyFont="1" applyFill="1" applyBorder="1"/>
    <xf numFmtId="0" fontId="4541" fillId="4545" borderId="4492" xfId="0" applyFont="1" applyFill="1" applyBorder="1"/>
    <xf numFmtId="0" fontId="4542" fillId="4546" borderId="4493" xfId="0" applyFont="1" applyFill="1" applyBorder="1"/>
    <xf numFmtId="0" fontId="4543" fillId="4547" borderId="4494" xfId="0" applyFont="1" applyFill="1" applyBorder="1"/>
    <xf numFmtId="0" fontId="4544" fillId="4548" borderId="4495" xfId="0" applyFont="1" applyFill="1" applyBorder="1"/>
    <xf numFmtId="0" fontId="4545" fillId="4549" borderId="4496" xfId="0" applyFont="1" applyFill="1" applyBorder="1"/>
    <xf numFmtId="0" fontId="4546" fillId="4550" borderId="4497" xfId="0" applyFont="1" applyFill="1" applyBorder="1"/>
    <xf numFmtId="0" fontId="4547" fillId="4551" borderId="4498" xfId="0" applyFont="1" applyFill="1" applyBorder="1"/>
    <xf numFmtId="0" fontId="4548" fillId="4552" borderId="4499" xfId="0" applyFont="1" applyFill="1" applyBorder="1"/>
    <xf numFmtId="14" fontId="4549" fillId="4553" borderId="4500" xfId="0" applyNumberFormat="1" applyFont="1" applyFill="1" applyBorder="1"/>
    <xf numFmtId="0" fontId="4550" fillId="4554" borderId="4501" xfId="0" applyFont="1" applyFill="1" applyBorder="1"/>
    <xf numFmtId="0" fontId="4551" fillId="4555" borderId="4502" xfId="0" applyFont="1" applyFill="1" applyBorder="1"/>
    <xf numFmtId="0" fontId="4552" fillId="4556" borderId="4503" xfId="0" applyFont="1" applyFill="1" applyBorder="1"/>
    <xf numFmtId="0" fontId="4553" fillId="4557" borderId="4504" xfId="0" applyFont="1" applyFill="1" applyBorder="1"/>
    <xf numFmtId="0" fontId="4554" fillId="4558" borderId="4505" xfId="0" applyFont="1" applyFill="1" applyBorder="1"/>
    <xf numFmtId="0" fontId="4555" fillId="4559" borderId="4506" xfId="0" applyFont="1" applyFill="1" applyBorder="1"/>
    <xf numFmtId="0" fontId="4556" fillId="4560" borderId="4507" xfId="0" applyFont="1" applyFill="1" applyBorder="1"/>
    <xf numFmtId="0" fontId="4557" fillId="4561" borderId="4508" xfId="0" applyFont="1" applyFill="1" applyBorder="1"/>
    <xf numFmtId="0" fontId="4558" fillId="4562" borderId="4509" xfId="0" applyFont="1" applyFill="1" applyBorder="1"/>
    <xf numFmtId="0" fontId="4559" fillId="4563" borderId="4510" xfId="0" applyFont="1" applyFill="1" applyBorder="1"/>
    <xf numFmtId="14" fontId="4560" fillId="4564" borderId="4511" xfId="0" applyNumberFormat="1" applyFont="1" applyFill="1" applyBorder="1"/>
    <xf numFmtId="0" fontId="4561" fillId="4565" borderId="4512" xfId="0" applyFont="1" applyFill="1" applyBorder="1"/>
    <xf numFmtId="0" fontId="4562" fillId="4566" borderId="4513" xfId="0" applyFont="1" applyFill="1" applyBorder="1"/>
    <xf numFmtId="0" fontId="4563" fillId="4567" borderId="4514" xfId="0" applyFont="1" applyFill="1" applyBorder="1"/>
    <xf numFmtId="0" fontId="4564" fillId="4568" borderId="4515" xfId="0" applyFont="1" applyFill="1" applyBorder="1"/>
    <xf numFmtId="0" fontId="4565" fillId="4569" borderId="4516" xfId="0" applyFont="1" applyFill="1" applyBorder="1"/>
    <xf numFmtId="0" fontId="4566" fillId="4570" borderId="4517" xfId="0" applyFont="1" applyFill="1" applyBorder="1"/>
    <xf numFmtId="0" fontId="4567" fillId="4571" borderId="4518" xfId="0" applyFont="1" applyFill="1" applyBorder="1"/>
    <xf numFmtId="0" fontId="4568" fillId="4572" borderId="4519" xfId="0" applyFont="1" applyFill="1" applyBorder="1"/>
    <xf numFmtId="0" fontId="4569" fillId="4573" borderId="4520" xfId="0" applyFont="1" applyFill="1" applyBorder="1"/>
    <xf numFmtId="0" fontId="4570" fillId="4574" borderId="4521" xfId="0" applyFont="1" applyFill="1" applyBorder="1"/>
    <xf numFmtId="14" fontId="4571" fillId="4575" borderId="4522" xfId="0" applyNumberFormat="1" applyFont="1" applyFill="1" applyBorder="1"/>
    <xf numFmtId="0" fontId="4572" fillId="4576" borderId="4523" xfId="0" applyFont="1" applyFill="1" applyBorder="1"/>
    <xf numFmtId="0" fontId="4573" fillId="4577" borderId="4524" xfId="0" applyFont="1" applyFill="1" applyBorder="1"/>
    <xf numFmtId="0" fontId="4574" fillId="4578" borderId="4525" xfId="0" applyFont="1" applyFill="1" applyBorder="1"/>
    <xf numFmtId="0" fontId="4575" fillId="4579" borderId="4526" xfId="0" applyFont="1" applyFill="1" applyBorder="1"/>
    <xf numFmtId="0" fontId="4576" fillId="4580" borderId="4527" xfId="0" applyFont="1" applyFill="1" applyBorder="1"/>
    <xf numFmtId="0" fontId="4577" fillId="4581" borderId="4528" xfId="0" applyFont="1" applyFill="1" applyBorder="1"/>
    <xf numFmtId="0" fontId="4578" fillId="4582" borderId="4529" xfId="0" applyFont="1" applyFill="1" applyBorder="1"/>
    <xf numFmtId="0" fontId="4579" fillId="4583" borderId="4530" xfId="0" applyFont="1" applyFill="1" applyBorder="1"/>
    <xf numFmtId="0" fontId="4580" fillId="4584" borderId="4531" xfId="0" applyFont="1" applyFill="1" applyBorder="1"/>
    <xf numFmtId="0" fontId="4581" fillId="4585" borderId="4532" xfId="0" applyFont="1" applyFill="1" applyBorder="1"/>
    <xf numFmtId="14" fontId="4582" fillId="4586" borderId="4533" xfId="0" applyNumberFormat="1" applyFont="1" applyFill="1" applyBorder="1"/>
    <xf numFmtId="0" fontId="4583" fillId="4587" borderId="4534" xfId="0" applyFont="1" applyFill="1" applyBorder="1"/>
    <xf numFmtId="0" fontId="4584" fillId="4588" borderId="4535" xfId="0" applyFont="1" applyFill="1" applyBorder="1"/>
    <xf numFmtId="0" fontId="4585" fillId="4589" borderId="4536" xfId="0" applyFont="1" applyFill="1" applyBorder="1"/>
    <xf numFmtId="0" fontId="4586" fillId="4590" borderId="4537" xfId="0" applyFont="1" applyFill="1" applyBorder="1"/>
    <xf numFmtId="0" fontId="4587" fillId="4591" borderId="4538" xfId="0" applyFont="1" applyFill="1" applyBorder="1"/>
    <xf numFmtId="0" fontId="4588" fillId="4592" borderId="4539" xfId="0" applyFont="1" applyFill="1" applyBorder="1"/>
    <xf numFmtId="0" fontId="4589" fillId="4593" borderId="4540" xfId="0" applyFont="1" applyFill="1" applyBorder="1"/>
    <xf numFmtId="0" fontId="4590" fillId="4594" borderId="4541" xfId="0" applyFont="1" applyFill="1" applyBorder="1"/>
    <xf numFmtId="0" fontId="4591" fillId="4595" borderId="4542" xfId="0" applyFont="1" applyFill="1" applyBorder="1"/>
    <xf numFmtId="0" fontId="4592" fillId="4596" borderId="4543" xfId="0" applyFont="1" applyFill="1" applyBorder="1"/>
    <xf numFmtId="14" fontId="4593" fillId="4597" borderId="4544" xfId="0" applyNumberFormat="1" applyFont="1" applyFill="1" applyBorder="1"/>
    <xf numFmtId="0" fontId="4594" fillId="4598" borderId="4545" xfId="0" applyFont="1" applyFill="1" applyBorder="1"/>
    <xf numFmtId="0" fontId="4595" fillId="4599" borderId="4546" xfId="0" applyFont="1" applyFill="1" applyBorder="1"/>
    <xf numFmtId="0" fontId="4596" fillId="4600" borderId="4547" xfId="0" applyFont="1" applyFill="1" applyBorder="1"/>
    <xf numFmtId="0" fontId="4597" fillId="4601" borderId="4548" xfId="0" applyFont="1" applyFill="1" applyBorder="1"/>
    <xf numFmtId="0" fontId="4598" fillId="4602" borderId="4549" xfId="0" applyFont="1" applyFill="1" applyBorder="1"/>
    <xf numFmtId="0" fontId="4599" fillId="4603" borderId="4550" xfId="0" applyFont="1" applyFill="1" applyBorder="1"/>
    <xf numFmtId="0" fontId="4600" fillId="4604" borderId="4551" xfId="0" applyFont="1" applyFill="1" applyBorder="1"/>
    <xf numFmtId="0" fontId="4601" fillId="4605" borderId="4552" xfId="0" applyFont="1" applyFill="1" applyBorder="1"/>
    <xf numFmtId="0" fontId="4602" fillId="4606" borderId="4553" xfId="0" applyFont="1" applyFill="1" applyBorder="1"/>
    <xf numFmtId="0" fontId="4603" fillId="4607" borderId="4554" xfId="0" applyFont="1" applyFill="1" applyBorder="1"/>
    <xf numFmtId="14" fontId="4604" fillId="4608" borderId="4555" xfId="0" applyNumberFormat="1" applyFont="1" applyFill="1" applyBorder="1"/>
    <xf numFmtId="0" fontId="4605" fillId="4609" borderId="4556" xfId="0" applyFont="1" applyFill="1" applyBorder="1"/>
    <xf numFmtId="0" fontId="4606" fillId="4610" borderId="4557" xfId="0" applyFont="1" applyFill="1" applyBorder="1"/>
    <xf numFmtId="0" fontId="4607" fillId="4611" borderId="4558" xfId="0" applyFont="1" applyFill="1" applyBorder="1"/>
    <xf numFmtId="0" fontId="4608" fillId="4612" borderId="4559" xfId="0" applyFont="1" applyFill="1" applyBorder="1"/>
    <xf numFmtId="0" fontId="4609" fillId="4613" borderId="4560" xfId="0" applyFont="1" applyFill="1" applyBorder="1"/>
    <xf numFmtId="0" fontId="4610" fillId="4614" borderId="4561" xfId="0" applyFont="1" applyFill="1" applyBorder="1"/>
    <xf numFmtId="0" fontId="4611" fillId="4615" borderId="4562" xfId="0" applyFont="1" applyFill="1" applyBorder="1"/>
    <xf numFmtId="0" fontId="4612" fillId="4616" borderId="4563" xfId="0" applyFont="1" applyFill="1" applyBorder="1"/>
    <xf numFmtId="0" fontId="4613" fillId="4617" borderId="4564" xfId="0" applyFont="1" applyFill="1" applyBorder="1"/>
    <xf numFmtId="0" fontId="4614" fillId="4618" borderId="4565" xfId="0" applyFont="1" applyFill="1" applyBorder="1"/>
    <xf numFmtId="14" fontId="4615" fillId="4619" borderId="4566" xfId="0" applyNumberFormat="1" applyFont="1" applyFill="1" applyBorder="1"/>
    <xf numFmtId="0" fontId="4616" fillId="4620" borderId="4567" xfId="0" applyFont="1" applyFill="1" applyBorder="1"/>
    <xf numFmtId="0" fontId="4617" fillId="4621" borderId="4568" xfId="0" applyFont="1" applyFill="1" applyBorder="1"/>
    <xf numFmtId="0" fontId="4618" fillId="4622" borderId="4569" xfId="0" applyFont="1" applyFill="1" applyBorder="1"/>
    <xf numFmtId="0" fontId="4619" fillId="4623" borderId="4570" xfId="0" applyFont="1" applyFill="1" applyBorder="1"/>
    <xf numFmtId="0" fontId="4620" fillId="4624" borderId="4571" xfId="0" applyFont="1" applyFill="1" applyBorder="1"/>
    <xf numFmtId="0" fontId="4621" fillId="4625" borderId="4572" xfId="0" applyFont="1" applyFill="1" applyBorder="1"/>
    <xf numFmtId="0" fontId="4622" fillId="4626" borderId="4573" xfId="0" applyFont="1" applyFill="1" applyBorder="1"/>
    <xf numFmtId="0" fontId="4623" fillId="4627" borderId="4574" xfId="0" applyFont="1" applyFill="1" applyBorder="1"/>
    <xf numFmtId="0" fontId="4624" fillId="4628" borderId="4575" xfId="0" applyFont="1" applyFill="1" applyBorder="1"/>
    <xf numFmtId="0" fontId="4625" fillId="4629" borderId="4576" xfId="0" applyFont="1" applyFill="1" applyBorder="1"/>
    <xf numFmtId="14" fontId="4626" fillId="4630" borderId="4577" xfId="0" applyNumberFormat="1" applyFont="1" applyFill="1" applyBorder="1"/>
    <xf numFmtId="0" fontId="4627" fillId="4631" borderId="4578" xfId="0" applyFont="1" applyFill="1" applyBorder="1"/>
    <xf numFmtId="0" fontId="4628" fillId="4632" borderId="4579" xfId="0" applyFont="1" applyFill="1" applyBorder="1"/>
    <xf numFmtId="0" fontId="4629" fillId="4633" borderId="4580" xfId="0" applyFont="1" applyFill="1" applyBorder="1"/>
    <xf numFmtId="0" fontId="4630" fillId="4634" borderId="4581" xfId="0" applyFont="1" applyFill="1" applyBorder="1"/>
    <xf numFmtId="0" fontId="4631" fillId="4635" borderId="4582" xfId="0" applyFont="1" applyFill="1" applyBorder="1"/>
    <xf numFmtId="0" fontId="4632" fillId="4636" borderId="4583" xfId="0" applyFont="1" applyFill="1" applyBorder="1"/>
    <xf numFmtId="0" fontId="4633" fillId="4637" borderId="4584" xfId="0" applyFont="1" applyFill="1" applyBorder="1"/>
    <xf numFmtId="0" fontId="4634" fillId="4638" borderId="4585" xfId="0" applyFont="1" applyFill="1" applyBorder="1"/>
    <xf numFmtId="0" fontId="4635" fillId="4639" borderId="4586" xfId="0" applyFont="1" applyFill="1" applyBorder="1"/>
    <xf numFmtId="0" fontId="4636" fillId="4640" borderId="4587" xfId="0" applyFont="1" applyFill="1" applyBorder="1"/>
    <xf numFmtId="14" fontId="4637" fillId="4641" borderId="4588" xfId="0" applyNumberFormat="1" applyFont="1" applyFill="1" applyBorder="1"/>
    <xf numFmtId="0" fontId="4638" fillId="4642" borderId="4589" xfId="0" applyFont="1" applyFill="1" applyBorder="1"/>
    <xf numFmtId="0" fontId="4639" fillId="4643" borderId="4590" xfId="0" applyFont="1" applyFill="1" applyBorder="1"/>
    <xf numFmtId="0" fontId="4640" fillId="4644" borderId="4591" xfId="0" applyFont="1" applyFill="1" applyBorder="1"/>
    <xf numFmtId="0" fontId="4641" fillId="4645" borderId="4592" xfId="0" applyFont="1" applyFill="1" applyBorder="1"/>
    <xf numFmtId="0" fontId="4642" fillId="4646" borderId="4593" xfId="0" applyFont="1" applyFill="1" applyBorder="1"/>
    <xf numFmtId="0" fontId="4643" fillId="4647" borderId="4594" xfId="0" applyFont="1" applyFill="1" applyBorder="1"/>
    <xf numFmtId="0" fontId="4644" fillId="4648" borderId="4595" xfId="0" applyFont="1" applyFill="1" applyBorder="1"/>
    <xf numFmtId="0" fontId="4645" fillId="4649" borderId="4596" xfId="0" applyFont="1" applyFill="1" applyBorder="1"/>
    <xf numFmtId="0" fontId="4646" fillId="4650" borderId="4597" xfId="0" applyFont="1" applyFill="1" applyBorder="1"/>
    <xf numFmtId="0" fontId="4647" fillId="4651" borderId="4598" xfId="0" applyFont="1" applyFill="1" applyBorder="1"/>
    <xf numFmtId="14" fontId="4648" fillId="4652" borderId="4599" xfId="0" applyNumberFormat="1" applyFont="1" applyFill="1" applyBorder="1"/>
    <xf numFmtId="0" fontId="4649" fillId="4653" borderId="4600" xfId="0" applyFont="1" applyFill="1" applyBorder="1"/>
    <xf numFmtId="0" fontId="4650" fillId="4654" borderId="4601" xfId="0" applyFont="1" applyFill="1" applyBorder="1"/>
    <xf numFmtId="0" fontId="4651" fillId="4655" borderId="4602" xfId="0" applyFont="1" applyFill="1" applyBorder="1"/>
    <xf numFmtId="0" fontId="4652" fillId="4656" borderId="4603" xfId="0" applyFont="1" applyFill="1" applyBorder="1"/>
    <xf numFmtId="0" fontId="4653" fillId="4657" borderId="4604" xfId="0" applyFont="1" applyFill="1" applyBorder="1"/>
    <xf numFmtId="0" fontId="4654" fillId="4658" borderId="4605" xfId="0" applyFont="1" applyFill="1" applyBorder="1"/>
    <xf numFmtId="0" fontId="4655" fillId="4659" borderId="4606" xfId="0" applyFont="1" applyFill="1" applyBorder="1"/>
    <xf numFmtId="0" fontId="4656" fillId="4660" borderId="4607" xfId="0" applyFont="1" applyFill="1" applyBorder="1"/>
    <xf numFmtId="0" fontId="4657" fillId="4661" borderId="4608" xfId="0" applyFont="1" applyFill="1" applyBorder="1"/>
    <xf numFmtId="0" fontId="4658" fillId="4662" borderId="4609" xfId="0" applyFont="1" applyFill="1" applyBorder="1"/>
    <xf numFmtId="14" fontId="4659" fillId="4663" borderId="4610" xfId="0" applyNumberFormat="1" applyFont="1" applyFill="1" applyBorder="1"/>
    <xf numFmtId="0" fontId="4660" fillId="4664" borderId="4611" xfId="0" applyFont="1" applyFill="1" applyBorder="1"/>
    <xf numFmtId="0" fontId="4661" fillId="4665" borderId="4612" xfId="0" applyFont="1" applyFill="1" applyBorder="1"/>
    <xf numFmtId="0" fontId="4662" fillId="4666" borderId="4613" xfId="0" applyFont="1" applyFill="1" applyBorder="1"/>
    <xf numFmtId="0" fontId="4663" fillId="4667" borderId="4614" xfId="0" applyFont="1" applyFill="1" applyBorder="1"/>
    <xf numFmtId="0" fontId="4664" fillId="4668" borderId="4615" xfId="0" applyFont="1" applyFill="1" applyBorder="1"/>
    <xf numFmtId="0" fontId="4665" fillId="4669" borderId="4616" xfId="0" applyFont="1" applyFill="1" applyBorder="1"/>
    <xf numFmtId="0" fontId="4666" fillId="4670" borderId="4617" xfId="0" applyFont="1" applyFill="1" applyBorder="1"/>
    <xf numFmtId="0" fontId="4667" fillId="4671" borderId="4618" xfId="0" applyFont="1" applyFill="1" applyBorder="1"/>
    <xf numFmtId="0" fontId="4668" fillId="4672" borderId="4619" xfId="0" applyFont="1" applyFill="1" applyBorder="1"/>
    <xf numFmtId="0" fontId="4669" fillId="4673" borderId="4620" xfId="0" applyFont="1" applyFill="1" applyBorder="1"/>
    <xf numFmtId="14" fontId="4670" fillId="4674" borderId="4621" xfId="0" applyNumberFormat="1" applyFont="1" applyFill="1" applyBorder="1"/>
    <xf numFmtId="0" fontId="4671" fillId="4675" borderId="4622" xfId="0" applyFont="1" applyFill="1" applyBorder="1"/>
    <xf numFmtId="0" fontId="4672" fillId="4676" borderId="4623" xfId="0" applyFont="1" applyFill="1" applyBorder="1"/>
    <xf numFmtId="0" fontId="4673" fillId="4677" borderId="4624" xfId="0" applyFont="1" applyFill="1" applyBorder="1"/>
    <xf numFmtId="0" fontId="4674" fillId="4678" borderId="4625" xfId="0" applyFont="1" applyFill="1" applyBorder="1"/>
    <xf numFmtId="0" fontId="4675" fillId="4679" borderId="4626" xfId="0" applyFont="1" applyFill="1" applyBorder="1"/>
    <xf numFmtId="0" fontId="4676" fillId="4680" borderId="4627" xfId="0" applyFont="1" applyFill="1" applyBorder="1"/>
    <xf numFmtId="0" fontId="4677" fillId="4681" borderId="4628" xfId="0" applyFont="1" applyFill="1" applyBorder="1"/>
    <xf numFmtId="0" fontId="4678" fillId="4682" borderId="4629" xfId="0" applyFont="1" applyFill="1" applyBorder="1"/>
    <xf numFmtId="0" fontId="4679" fillId="4683" borderId="4630" xfId="0" applyFont="1" applyFill="1" applyBorder="1"/>
    <xf numFmtId="0" fontId="4680" fillId="4684" borderId="4631" xfId="0" applyFont="1" applyFill="1" applyBorder="1"/>
    <xf numFmtId="14" fontId="4681" fillId="4685" borderId="4632" xfId="0" applyNumberFormat="1" applyFont="1" applyFill="1" applyBorder="1"/>
    <xf numFmtId="0" fontId="4682" fillId="4686" borderId="4633" xfId="0" applyFont="1" applyFill="1" applyBorder="1"/>
    <xf numFmtId="0" fontId="4683" fillId="4687" borderId="4634" xfId="0" applyFont="1" applyFill="1" applyBorder="1"/>
    <xf numFmtId="0" fontId="4684" fillId="4688" borderId="4635" xfId="0" applyFont="1" applyFill="1" applyBorder="1"/>
    <xf numFmtId="0" fontId="4685" fillId="4689" borderId="4636" xfId="0" applyFont="1" applyFill="1" applyBorder="1"/>
    <xf numFmtId="0" fontId="4686" fillId="4690" borderId="4637" xfId="0" applyFont="1" applyFill="1" applyBorder="1"/>
    <xf numFmtId="0" fontId="4687" fillId="4691" borderId="4638" xfId="0" applyFont="1" applyFill="1" applyBorder="1"/>
    <xf numFmtId="0" fontId="4688" fillId="4692" borderId="4639" xfId="0" applyFont="1" applyFill="1" applyBorder="1"/>
    <xf numFmtId="0" fontId="4689" fillId="4693" borderId="4640" xfId="0" applyFont="1" applyFill="1" applyBorder="1"/>
    <xf numFmtId="0" fontId="4690" fillId="4694" borderId="4641" xfId="0" applyFont="1" applyFill="1" applyBorder="1"/>
    <xf numFmtId="0" fontId="4691" fillId="4695" borderId="4642" xfId="0" applyFont="1" applyFill="1" applyBorder="1"/>
    <xf numFmtId="14" fontId="4692" fillId="4696" borderId="4643" xfId="0" applyNumberFormat="1" applyFont="1" applyFill="1" applyBorder="1"/>
    <xf numFmtId="0" fontId="4693" fillId="4697" borderId="4644" xfId="0" applyFont="1" applyFill="1" applyBorder="1"/>
    <xf numFmtId="0" fontId="4694" fillId="4698" borderId="4645" xfId="0" applyFont="1" applyFill="1" applyBorder="1"/>
    <xf numFmtId="0" fontId="4695" fillId="4699" borderId="4646" xfId="0" applyFont="1" applyFill="1" applyBorder="1"/>
    <xf numFmtId="0" fontId="4696" fillId="4700" borderId="4647" xfId="0" applyFont="1" applyFill="1" applyBorder="1"/>
    <xf numFmtId="0" fontId="4697" fillId="4701" borderId="4648" xfId="0" applyFont="1" applyFill="1" applyBorder="1"/>
    <xf numFmtId="0" fontId="4698" fillId="4702" borderId="4649" xfId="0" applyFont="1" applyFill="1" applyBorder="1"/>
    <xf numFmtId="0" fontId="4699" fillId="4703" borderId="4650" xfId="0" applyFont="1" applyFill="1" applyBorder="1"/>
    <xf numFmtId="0" fontId="4700" fillId="4704" borderId="4651" xfId="0" applyFont="1" applyFill="1" applyBorder="1"/>
    <xf numFmtId="0" fontId="4701" fillId="4705" borderId="4652" xfId="0" applyFont="1" applyFill="1" applyBorder="1"/>
    <xf numFmtId="0" fontId="4702" fillId="4706" borderId="4653" xfId="0" applyFont="1" applyFill="1" applyBorder="1"/>
    <xf numFmtId="14" fontId="4703" fillId="4707" borderId="4654" xfId="0" applyNumberFormat="1" applyFont="1" applyFill="1" applyBorder="1"/>
    <xf numFmtId="0" fontId="4704" fillId="4708" borderId="4655" xfId="0" applyFont="1" applyFill="1" applyBorder="1"/>
    <xf numFmtId="0" fontId="4705" fillId="4709" borderId="4656" xfId="0" applyFont="1" applyFill="1" applyBorder="1"/>
    <xf numFmtId="0" fontId="4706" fillId="4710" borderId="4657" xfId="0" applyFont="1" applyFill="1" applyBorder="1"/>
    <xf numFmtId="0" fontId="4707" fillId="4711" borderId="4658" xfId="0" applyFont="1" applyFill="1" applyBorder="1"/>
    <xf numFmtId="0" fontId="4708" fillId="4712" borderId="4659" xfId="0" applyFont="1" applyFill="1" applyBorder="1"/>
    <xf numFmtId="0" fontId="4709" fillId="4713" borderId="4660" xfId="0" applyFont="1" applyFill="1" applyBorder="1"/>
    <xf numFmtId="0" fontId="4710" fillId="4714" borderId="4661" xfId="0" applyFont="1" applyFill="1" applyBorder="1"/>
    <xf numFmtId="0" fontId="4711" fillId="4715" borderId="4662" xfId="0" applyFont="1" applyFill="1" applyBorder="1"/>
    <xf numFmtId="0" fontId="4712" fillId="4716" borderId="4663" xfId="0" applyFont="1" applyFill="1" applyBorder="1"/>
    <xf numFmtId="0" fontId="4713" fillId="4717" borderId="4664" xfId="0" applyFont="1" applyFill="1" applyBorder="1"/>
    <xf numFmtId="14" fontId="4714" fillId="4718" borderId="4665" xfId="0" applyNumberFormat="1" applyFont="1" applyFill="1" applyBorder="1"/>
    <xf numFmtId="0" fontId="4715" fillId="4719" borderId="4666" xfId="0" applyFont="1" applyFill="1" applyBorder="1"/>
    <xf numFmtId="0" fontId="4716" fillId="4720" borderId="4667" xfId="0" applyFont="1" applyFill="1" applyBorder="1"/>
    <xf numFmtId="0" fontId="4717" fillId="4721" borderId="4668" xfId="0" applyFont="1" applyFill="1" applyBorder="1"/>
    <xf numFmtId="0" fontId="4718" fillId="4722" borderId="4669" xfId="0" applyFont="1" applyFill="1" applyBorder="1"/>
    <xf numFmtId="0" fontId="4719" fillId="4723" borderId="4670" xfId="0" applyFont="1" applyFill="1" applyBorder="1"/>
    <xf numFmtId="0" fontId="4720" fillId="4724" borderId="4671" xfId="0" applyFont="1" applyFill="1" applyBorder="1"/>
    <xf numFmtId="0" fontId="4721" fillId="4725" borderId="4672" xfId="0" applyFont="1" applyFill="1" applyBorder="1"/>
    <xf numFmtId="0" fontId="4722" fillId="4726" borderId="4673" xfId="0" applyFont="1" applyFill="1" applyBorder="1"/>
    <xf numFmtId="0" fontId="4723" fillId="4727" borderId="4674" xfId="0" applyFont="1" applyFill="1" applyBorder="1"/>
    <xf numFmtId="0" fontId="4724" fillId="4728" borderId="4675" xfId="0" applyFont="1" applyFill="1" applyBorder="1"/>
    <xf numFmtId="14" fontId="4725" fillId="4729" borderId="4676" xfId="0" applyNumberFormat="1" applyFont="1" applyFill="1" applyBorder="1"/>
    <xf numFmtId="0" fontId="4726" fillId="4730" borderId="4677" xfId="0" applyFont="1" applyFill="1" applyBorder="1"/>
    <xf numFmtId="0" fontId="4727" fillId="4731" borderId="4678" xfId="0" applyFont="1" applyFill="1" applyBorder="1"/>
    <xf numFmtId="0" fontId="4728" fillId="4732" borderId="4679" xfId="0" applyFont="1" applyFill="1" applyBorder="1"/>
    <xf numFmtId="0" fontId="4729" fillId="4733" borderId="4680" xfId="0" applyFont="1" applyFill="1" applyBorder="1"/>
    <xf numFmtId="0" fontId="4730" fillId="4734" borderId="4681" xfId="0" applyFont="1" applyFill="1" applyBorder="1"/>
    <xf numFmtId="0" fontId="4731" fillId="4735" borderId="4682" xfId="0" applyFont="1" applyFill="1" applyBorder="1"/>
    <xf numFmtId="0" fontId="4732" fillId="4736" borderId="4683" xfId="0" applyFont="1" applyFill="1" applyBorder="1"/>
    <xf numFmtId="0" fontId="4733" fillId="4737" borderId="4684" xfId="0" applyFont="1" applyFill="1" applyBorder="1"/>
    <xf numFmtId="0" fontId="4734" fillId="4738" borderId="4685" xfId="0" applyFont="1" applyFill="1" applyBorder="1"/>
    <xf numFmtId="0" fontId="4735" fillId="4739" borderId="4686" xfId="0" applyFont="1" applyFill="1" applyBorder="1"/>
    <xf numFmtId="14" fontId="4736" fillId="4740" borderId="4687" xfId="0" applyNumberFormat="1" applyFont="1" applyFill="1" applyBorder="1"/>
    <xf numFmtId="0" fontId="4737" fillId="4741" borderId="4688" xfId="0" applyFont="1" applyFill="1" applyBorder="1"/>
    <xf numFmtId="0" fontId="4738" fillId="4742" borderId="4689" xfId="0" applyFont="1" applyFill="1" applyBorder="1"/>
    <xf numFmtId="0" fontId="4739" fillId="4743" borderId="4690" xfId="0" applyFont="1" applyFill="1" applyBorder="1"/>
    <xf numFmtId="0" fontId="4740" fillId="4744" borderId="4691" xfId="0" applyFont="1" applyFill="1" applyBorder="1"/>
    <xf numFmtId="0" fontId="4741" fillId="4745" borderId="4692" xfId="0" applyFont="1" applyFill="1" applyBorder="1"/>
    <xf numFmtId="0" fontId="4742" fillId="4746" borderId="4693" xfId="0" applyFont="1" applyFill="1" applyBorder="1"/>
    <xf numFmtId="0" fontId="4743" fillId="4747" borderId="4694" xfId="0" applyFont="1" applyFill="1" applyBorder="1"/>
    <xf numFmtId="0" fontId="4744" fillId="4748" borderId="4695" xfId="0" applyFont="1" applyFill="1" applyBorder="1"/>
    <xf numFmtId="0" fontId="4745" fillId="4749" borderId="4696" xfId="0" applyFont="1" applyFill="1" applyBorder="1"/>
    <xf numFmtId="0" fontId="4746" fillId="4750" borderId="4697" xfId="0" applyFont="1" applyFill="1" applyBorder="1"/>
    <xf numFmtId="14" fontId="4747" fillId="4751" borderId="4698" xfId="0" applyNumberFormat="1" applyFont="1" applyFill="1" applyBorder="1"/>
    <xf numFmtId="0" fontId="4748" fillId="4752" borderId="4699" xfId="0" applyFont="1" applyFill="1" applyBorder="1"/>
    <xf numFmtId="0" fontId="4749" fillId="4753" borderId="4700" xfId="0" applyFont="1" applyFill="1" applyBorder="1"/>
    <xf numFmtId="0" fontId="4750" fillId="4754" borderId="4701" xfId="0" applyFont="1" applyFill="1" applyBorder="1"/>
    <xf numFmtId="0" fontId="4751" fillId="4755" borderId="4702" xfId="0" applyFont="1" applyFill="1" applyBorder="1"/>
    <xf numFmtId="0" fontId="4752" fillId="4756" borderId="4703" xfId="0" applyFont="1" applyFill="1" applyBorder="1"/>
    <xf numFmtId="0" fontId="4753" fillId="4757" borderId="4704" xfId="0" applyFont="1" applyFill="1" applyBorder="1"/>
    <xf numFmtId="0" fontId="4754" fillId="4758" borderId="4705" xfId="0" applyFont="1" applyFill="1" applyBorder="1"/>
    <xf numFmtId="0" fontId="4755" fillId="4759" borderId="4706" xfId="0" applyFont="1" applyFill="1" applyBorder="1"/>
    <xf numFmtId="0" fontId="4756" fillId="4760" borderId="4707" xfId="0" applyFont="1" applyFill="1" applyBorder="1"/>
    <xf numFmtId="0" fontId="4757" fillId="4761" borderId="4708" xfId="0" applyFont="1" applyFill="1" applyBorder="1"/>
    <xf numFmtId="14" fontId="4758" fillId="4762" borderId="4709" xfId="0" applyNumberFormat="1" applyFont="1" applyFill="1" applyBorder="1"/>
    <xf numFmtId="0" fontId="4759" fillId="4763" borderId="4710" xfId="0" applyFont="1" applyFill="1" applyBorder="1"/>
    <xf numFmtId="0" fontId="4760" fillId="4764" borderId="4711" xfId="0" applyFont="1" applyFill="1" applyBorder="1"/>
    <xf numFmtId="0" fontId="4761" fillId="4765" borderId="4712" xfId="0" applyFont="1" applyFill="1" applyBorder="1"/>
    <xf numFmtId="0" fontId="4762" fillId="4766" borderId="4713" xfId="0" applyFont="1" applyFill="1" applyBorder="1"/>
    <xf numFmtId="0" fontId="4763" fillId="4767" borderId="4714" xfId="0" applyFont="1" applyFill="1" applyBorder="1"/>
    <xf numFmtId="0" fontId="4764" fillId="4768" borderId="4715" xfId="0" applyFont="1" applyFill="1" applyBorder="1"/>
    <xf numFmtId="0" fontId="4765" fillId="4769" borderId="4716" xfId="0" applyFont="1" applyFill="1" applyBorder="1"/>
    <xf numFmtId="0" fontId="4766" fillId="4770" borderId="4717" xfId="0" applyFont="1" applyFill="1" applyBorder="1"/>
    <xf numFmtId="0" fontId="4767" fillId="4771" borderId="4718" xfId="0" applyFont="1" applyFill="1" applyBorder="1"/>
    <xf numFmtId="0" fontId="4768" fillId="4772" borderId="4719" xfId="0" applyFont="1" applyFill="1" applyBorder="1"/>
    <xf numFmtId="14" fontId="4769" fillId="4773" borderId="4720" xfId="0" applyNumberFormat="1" applyFont="1" applyFill="1" applyBorder="1"/>
    <xf numFmtId="0" fontId="4770" fillId="4774" borderId="4721" xfId="0" applyFont="1" applyFill="1" applyBorder="1"/>
    <xf numFmtId="0" fontId="4771" fillId="4775" borderId="4722" xfId="0" applyFont="1" applyFill="1" applyBorder="1"/>
    <xf numFmtId="0" fontId="4772" fillId="4776" borderId="4723" xfId="0" applyFont="1" applyFill="1" applyBorder="1"/>
    <xf numFmtId="0" fontId="4773" fillId="4777" borderId="4724" xfId="0" applyFont="1" applyFill="1" applyBorder="1"/>
    <xf numFmtId="0" fontId="4774" fillId="4778" borderId="4725" xfId="0" applyFont="1" applyFill="1" applyBorder="1"/>
    <xf numFmtId="0" fontId="4775" fillId="4779" borderId="4726" xfId="0" applyFont="1" applyFill="1" applyBorder="1"/>
    <xf numFmtId="0" fontId="4776" fillId="4780" borderId="4727" xfId="0" applyFont="1" applyFill="1" applyBorder="1"/>
    <xf numFmtId="0" fontId="4777" fillId="4781" borderId="4728" xfId="0" applyFont="1" applyFill="1" applyBorder="1"/>
    <xf numFmtId="0" fontId="4778" fillId="4782" borderId="4729" xfId="0" applyFont="1" applyFill="1" applyBorder="1"/>
    <xf numFmtId="0" fontId="4779" fillId="4783" borderId="4730" xfId="0" applyFont="1" applyFill="1" applyBorder="1"/>
    <xf numFmtId="14" fontId="4780" fillId="4784" borderId="4731" xfId="0" applyNumberFormat="1" applyFont="1" applyFill="1" applyBorder="1"/>
    <xf numFmtId="0" fontId="4781" fillId="4785" borderId="4732" xfId="0" applyFont="1" applyFill="1" applyBorder="1"/>
    <xf numFmtId="0" fontId="4782" fillId="4786" borderId="4733" xfId="0" applyFont="1" applyFill="1" applyBorder="1"/>
    <xf numFmtId="0" fontId="4783" fillId="4787" borderId="4734" xfId="0" applyFont="1" applyFill="1" applyBorder="1"/>
    <xf numFmtId="0" fontId="4784" fillId="4788" borderId="4735" xfId="0" applyFont="1" applyFill="1" applyBorder="1"/>
    <xf numFmtId="0" fontId="4785" fillId="4789" borderId="4736" xfId="0" applyFont="1" applyFill="1" applyBorder="1"/>
    <xf numFmtId="0" fontId="4786" fillId="4790" borderId="4737" xfId="0" applyFont="1" applyFill="1" applyBorder="1"/>
    <xf numFmtId="0" fontId="4787" fillId="4791" borderId="4738" xfId="0" applyFont="1" applyFill="1" applyBorder="1"/>
    <xf numFmtId="0" fontId="4788" fillId="4792" borderId="4739" xfId="0" applyFont="1" applyFill="1" applyBorder="1"/>
    <xf numFmtId="0" fontId="4789" fillId="4793" borderId="4740" xfId="0" applyFont="1" applyFill="1" applyBorder="1"/>
    <xf numFmtId="0" fontId="4790" fillId="4794" borderId="4741" xfId="0" applyFont="1" applyFill="1" applyBorder="1"/>
    <xf numFmtId="14" fontId="4791" fillId="4795" borderId="4742" xfId="0" applyNumberFormat="1" applyFont="1" applyFill="1" applyBorder="1"/>
    <xf numFmtId="0" fontId="4792" fillId="4796" borderId="4743" xfId="0" applyFont="1" applyFill="1" applyBorder="1"/>
    <xf numFmtId="0" fontId="4793" fillId="4797" borderId="4744" xfId="0" applyFont="1" applyFill="1" applyBorder="1"/>
    <xf numFmtId="0" fontId="4794" fillId="4798" borderId="4745" xfId="0" applyFont="1" applyFill="1" applyBorder="1"/>
    <xf numFmtId="0" fontId="4795" fillId="4799" borderId="4746" xfId="0" applyFont="1" applyFill="1" applyBorder="1"/>
    <xf numFmtId="0" fontId="4796" fillId="4800" borderId="4747" xfId="0" applyFont="1" applyFill="1" applyBorder="1"/>
    <xf numFmtId="0" fontId="4797" fillId="4801" borderId="4748" xfId="0" applyFont="1" applyFill="1" applyBorder="1"/>
    <xf numFmtId="0" fontId="4798" fillId="4802" borderId="4749" xfId="0" applyFont="1" applyFill="1" applyBorder="1"/>
    <xf numFmtId="0" fontId="4799" fillId="4803" borderId="4750" xfId="0" applyFont="1" applyFill="1" applyBorder="1"/>
    <xf numFmtId="0" fontId="4800" fillId="4804" borderId="4751" xfId="0" applyFont="1" applyFill="1" applyBorder="1"/>
    <xf numFmtId="0" fontId="4801" fillId="4805" borderId="4752" xfId="0" applyFont="1" applyFill="1" applyBorder="1"/>
    <xf numFmtId="14" fontId="4802" fillId="4806" borderId="4753" xfId="0" applyNumberFormat="1" applyFont="1" applyFill="1" applyBorder="1"/>
    <xf numFmtId="0" fontId="4803" fillId="4807" borderId="4754" xfId="0" applyFont="1" applyFill="1" applyBorder="1"/>
    <xf numFmtId="0" fontId="4804" fillId="4808" borderId="4755" xfId="0" applyFont="1" applyFill="1" applyBorder="1"/>
    <xf numFmtId="0" fontId="4805" fillId="4809" borderId="4756" xfId="0" applyFont="1" applyFill="1" applyBorder="1"/>
    <xf numFmtId="0" fontId="4806" fillId="4810" borderId="4757" xfId="0" applyFont="1" applyFill="1" applyBorder="1"/>
    <xf numFmtId="0" fontId="4807" fillId="4811" borderId="4758" xfId="0" applyFont="1" applyFill="1" applyBorder="1"/>
    <xf numFmtId="0" fontId="4808" fillId="4812" borderId="4759" xfId="0" applyFont="1" applyFill="1" applyBorder="1"/>
    <xf numFmtId="0" fontId="4809" fillId="4813" borderId="4760" xfId="0" applyFont="1" applyFill="1" applyBorder="1"/>
    <xf numFmtId="0" fontId="4810" fillId="4814" borderId="4761" xfId="0" applyFont="1" applyFill="1" applyBorder="1"/>
    <xf numFmtId="0" fontId="4811" fillId="4815" borderId="4762" xfId="0" applyFont="1" applyFill="1" applyBorder="1"/>
    <xf numFmtId="0" fontId="4812" fillId="4816" borderId="4763" xfId="0" applyFont="1" applyFill="1" applyBorder="1"/>
    <xf numFmtId="14" fontId="4813" fillId="4817" borderId="4764" xfId="0" applyNumberFormat="1" applyFont="1" applyFill="1" applyBorder="1"/>
    <xf numFmtId="0" fontId="4814" fillId="4818" borderId="4765" xfId="0" applyFont="1" applyFill="1" applyBorder="1"/>
    <xf numFmtId="0" fontId="4815" fillId="4819" borderId="4766" xfId="0" applyFont="1" applyFill="1" applyBorder="1"/>
    <xf numFmtId="0" fontId="4816" fillId="4820" borderId="4767" xfId="0" applyFont="1" applyFill="1" applyBorder="1"/>
    <xf numFmtId="0" fontId="4817" fillId="4821" borderId="4768" xfId="0" applyFont="1" applyFill="1" applyBorder="1"/>
    <xf numFmtId="0" fontId="4818" fillId="4822" borderId="4769" xfId="0" applyFont="1" applyFill="1" applyBorder="1"/>
    <xf numFmtId="0" fontId="4819" fillId="4823" borderId="4770" xfId="0" applyFont="1" applyFill="1" applyBorder="1"/>
    <xf numFmtId="0" fontId="4820" fillId="4824" borderId="4771" xfId="0" applyFont="1" applyFill="1" applyBorder="1"/>
    <xf numFmtId="0" fontId="4821" fillId="4825" borderId="4772" xfId="0" applyFont="1" applyFill="1" applyBorder="1"/>
    <xf numFmtId="0" fontId="4822" fillId="4826" borderId="4773" xfId="0" applyFont="1" applyFill="1" applyBorder="1"/>
    <xf numFmtId="0" fontId="4823" fillId="4827" borderId="4774" xfId="0" applyFont="1" applyFill="1" applyBorder="1"/>
    <xf numFmtId="14" fontId="4824" fillId="4828" borderId="4775" xfId="0" applyNumberFormat="1" applyFont="1" applyFill="1" applyBorder="1"/>
    <xf numFmtId="0" fontId="4825" fillId="4829" borderId="4776" xfId="0" applyFont="1" applyFill="1" applyBorder="1"/>
    <xf numFmtId="0" fontId="4826" fillId="4830" borderId="4777" xfId="0" applyFont="1" applyFill="1" applyBorder="1"/>
    <xf numFmtId="0" fontId="4827" fillId="4831" borderId="4778" xfId="0" applyFont="1" applyFill="1" applyBorder="1"/>
    <xf numFmtId="0" fontId="4828" fillId="4832" borderId="4779" xfId="0" applyFont="1" applyFill="1" applyBorder="1"/>
    <xf numFmtId="0" fontId="4829" fillId="4833" borderId="4780" xfId="0" applyFont="1" applyFill="1" applyBorder="1"/>
    <xf numFmtId="0" fontId="4830" fillId="4834" borderId="4781" xfId="0" applyFont="1" applyFill="1" applyBorder="1"/>
    <xf numFmtId="0" fontId="4831" fillId="4835" borderId="4782" xfId="0" applyFont="1" applyFill="1" applyBorder="1"/>
    <xf numFmtId="0" fontId="4832" fillId="4836" borderId="4783" xfId="0" applyFont="1" applyFill="1" applyBorder="1"/>
    <xf numFmtId="0" fontId="4833" fillId="4837" borderId="4784" xfId="0" applyFont="1" applyFill="1" applyBorder="1"/>
    <xf numFmtId="0" fontId="4834" fillId="4838" borderId="4785" xfId="0" applyFont="1" applyFill="1" applyBorder="1"/>
    <xf numFmtId="14" fontId="4835" fillId="4839" borderId="4786" xfId="0" applyNumberFormat="1" applyFont="1" applyFill="1" applyBorder="1"/>
    <xf numFmtId="0" fontId="4836" fillId="4840" borderId="4787" xfId="0" applyFont="1" applyFill="1" applyBorder="1"/>
    <xf numFmtId="0" fontId="4837" fillId="4841" borderId="4788" xfId="0" applyFont="1" applyFill="1" applyBorder="1"/>
    <xf numFmtId="0" fontId="4838" fillId="4842" borderId="4789" xfId="0" applyFont="1" applyFill="1" applyBorder="1"/>
    <xf numFmtId="0" fontId="4839" fillId="4843" borderId="4790" xfId="0" applyFont="1" applyFill="1" applyBorder="1"/>
    <xf numFmtId="0" fontId="4840" fillId="4844" borderId="4791" xfId="0" applyFont="1" applyFill="1" applyBorder="1"/>
    <xf numFmtId="0" fontId="4841" fillId="4845" borderId="4792" xfId="0" applyFont="1" applyFill="1" applyBorder="1"/>
    <xf numFmtId="0" fontId="4842" fillId="4846" borderId="4793" xfId="0" applyFont="1" applyFill="1" applyBorder="1"/>
    <xf numFmtId="0" fontId="4843" fillId="4847" borderId="4794" xfId="0" applyFont="1" applyFill="1" applyBorder="1"/>
    <xf numFmtId="0" fontId="4844" fillId="4848" borderId="4795" xfId="0" applyFont="1" applyFill="1" applyBorder="1"/>
    <xf numFmtId="0" fontId="4845" fillId="4849" borderId="4796" xfId="0" applyFont="1" applyFill="1" applyBorder="1"/>
    <xf numFmtId="14" fontId="4846" fillId="4850" borderId="4797" xfId="0" applyNumberFormat="1" applyFont="1" applyFill="1" applyBorder="1"/>
    <xf numFmtId="0" fontId="4847" fillId="4851" borderId="4798" xfId="0" applyFont="1" applyFill="1" applyBorder="1"/>
    <xf numFmtId="0" fontId="4848" fillId="4852" borderId="4799" xfId="0" applyFont="1" applyFill="1" applyBorder="1"/>
    <xf numFmtId="0" fontId="4849" fillId="4853" borderId="4800" xfId="0" applyFont="1" applyFill="1" applyBorder="1"/>
    <xf numFmtId="0" fontId="4850" fillId="4854" borderId="4801" xfId="0" applyFont="1" applyFill="1" applyBorder="1"/>
    <xf numFmtId="0" fontId="4851" fillId="4855" borderId="4802" xfId="0" applyFont="1" applyFill="1" applyBorder="1"/>
    <xf numFmtId="0" fontId="4852" fillId="4856" borderId="4803" xfId="0" applyFont="1" applyFill="1" applyBorder="1"/>
    <xf numFmtId="0" fontId="4853" fillId="4857" borderId="4804" xfId="0" applyFont="1" applyFill="1" applyBorder="1"/>
    <xf numFmtId="0" fontId="4854" fillId="4858" borderId="4805" xfId="0" applyFont="1" applyFill="1" applyBorder="1"/>
    <xf numFmtId="0" fontId="4855" fillId="4859" borderId="4806" xfId="0" applyFont="1" applyFill="1" applyBorder="1"/>
    <xf numFmtId="0" fontId="4856" fillId="4860" borderId="4807" xfId="0" applyFont="1" applyFill="1" applyBorder="1"/>
    <xf numFmtId="14" fontId="4857" fillId="4861" borderId="4808" xfId="0" applyNumberFormat="1" applyFont="1" applyFill="1" applyBorder="1"/>
    <xf numFmtId="0" fontId="4858" fillId="4862" borderId="4809" xfId="0" applyFont="1" applyFill="1" applyBorder="1"/>
    <xf numFmtId="0" fontId="4859" fillId="4863" borderId="4810" xfId="0" applyFont="1" applyFill="1" applyBorder="1"/>
    <xf numFmtId="0" fontId="4860" fillId="4864" borderId="4811" xfId="0" applyFont="1" applyFill="1" applyBorder="1"/>
    <xf numFmtId="0" fontId="4861" fillId="4865" borderId="4812" xfId="0" applyFont="1" applyFill="1" applyBorder="1"/>
    <xf numFmtId="0" fontId="4862" fillId="4866" borderId="4813" xfId="0" applyFont="1" applyFill="1" applyBorder="1"/>
    <xf numFmtId="0" fontId="4863" fillId="4867" borderId="4814" xfId="0" applyFont="1" applyFill="1" applyBorder="1"/>
    <xf numFmtId="0" fontId="4864" fillId="4868" borderId="4815" xfId="0" applyFont="1" applyFill="1" applyBorder="1"/>
    <xf numFmtId="0" fontId="4865" fillId="4869" borderId="4816" xfId="0" applyFont="1" applyFill="1" applyBorder="1"/>
    <xf numFmtId="0" fontId="4866" fillId="4870" borderId="4817" xfId="0" applyFont="1" applyFill="1" applyBorder="1"/>
    <xf numFmtId="0" fontId="4867" fillId="4871" borderId="4818" xfId="0" applyFont="1" applyFill="1" applyBorder="1"/>
    <xf numFmtId="14" fontId="4868" fillId="4872" borderId="4819" xfId="0" applyNumberFormat="1" applyFont="1" applyFill="1" applyBorder="1"/>
    <xf numFmtId="0" fontId="4869" fillId="4873" borderId="4820" xfId="0" applyFont="1" applyFill="1" applyBorder="1"/>
    <xf numFmtId="0" fontId="4870" fillId="4874" borderId="4821" xfId="0" applyFont="1" applyFill="1" applyBorder="1"/>
    <xf numFmtId="0" fontId="4871" fillId="4875" borderId="4822" xfId="0" applyFont="1" applyFill="1" applyBorder="1"/>
    <xf numFmtId="0" fontId="4872" fillId="4876" borderId="4823" xfId="0" applyFont="1" applyFill="1" applyBorder="1"/>
    <xf numFmtId="0" fontId="4873" fillId="4877" borderId="4824" xfId="0" applyFont="1" applyFill="1" applyBorder="1"/>
    <xf numFmtId="0" fontId="4874" fillId="4878" borderId="4825" xfId="0" applyFont="1" applyFill="1" applyBorder="1"/>
    <xf numFmtId="0" fontId="4875" fillId="4879" borderId="4826" xfId="0" applyFont="1" applyFill="1" applyBorder="1"/>
    <xf numFmtId="0" fontId="4876" fillId="4880" borderId="4827" xfId="0" applyFont="1" applyFill="1" applyBorder="1"/>
    <xf numFmtId="0" fontId="4877" fillId="4881" borderId="4828" xfId="0" applyFont="1" applyFill="1" applyBorder="1"/>
    <xf numFmtId="0" fontId="4878" fillId="4882" borderId="4829" xfId="0" applyFont="1" applyFill="1" applyBorder="1"/>
    <xf numFmtId="14" fontId="4879" fillId="4883" borderId="4830" xfId="0" applyNumberFormat="1" applyFont="1" applyFill="1" applyBorder="1"/>
    <xf numFmtId="0" fontId="4880" fillId="4884" borderId="4831" xfId="0" applyFont="1" applyFill="1" applyBorder="1"/>
    <xf numFmtId="0" fontId="4881" fillId="4885" borderId="4832" xfId="0" applyFont="1" applyFill="1" applyBorder="1"/>
    <xf numFmtId="0" fontId="4882" fillId="4886" borderId="4833" xfId="0" applyFont="1" applyFill="1" applyBorder="1"/>
    <xf numFmtId="0" fontId="4883" fillId="4887" borderId="4834" xfId="0" applyFont="1" applyFill="1" applyBorder="1"/>
    <xf numFmtId="0" fontId="4884" fillId="4888" borderId="4835" xfId="0" applyFont="1" applyFill="1" applyBorder="1"/>
    <xf numFmtId="0" fontId="4885" fillId="4889" borderId="4836" xfId="0" applyFont="1" applyFill="1" applyBorder="1"/>
    <xf numFmtId="0" fontId="4886" fillId="4890" borderId="4837" xfId="0" applyFont="1" applyFill="1" applyBorder="1"/>
    <xf numFmtId="0" fontId="4887" fillId="4891" borderId="4838" xfId="0" applyFont="1" applyFill="1" applyBorder="1"/>
    <xf numFmtId="0" fontId="4888" fillId="4892" borderId="4839" xfId="0" applyFont="1" applyFill="1" applyBorder="1"/>
    <xf numFmtId="0" fontId="4889" fillId="4893" borderId="4840" xfId="0" applyFont="1" applyFill="1" applyBorder="1"/>
    <xf numFmtId="14" fontId="4890" fillId="4894" borderId="4841" xfId="0" applyNumberFormat="1" applyFont="1" applyFill="1" applyBorder="1"/>
    <xf numFmtId="0" fontId="4891" fillId="4895" borderId="4842" xfId="0" applyFont="1" applyFill="1" applyBorder="1"/>
    <xf numFmtId="0" fontId="4892" fillId="4896" borderId="4843" xfId="0" applyFont="1" applyFill="1" applyBorder="1"/>
    <xf numFmtId="0" fontId="4893" fillId="4897" borderId="4844" xfId="0" applyFont="1" applyFill="1" applyBorder="1"/>
    <xf numFmtId="0" fontId="4894" fillId="4898" borderId="4845" xfId="0" applyFont="1" applyFill="1" applyBorder="1"/>
    <xf numFmtId="0" fontId="4895" fillId="4899" borderId="4846" xfId="0" applyFont="1" applyFill="1" applyBorder="1"/>
    <xf numFmtId="0" fontId="4896" fillId="4900" borderId="4847" xfId="0" applyFont="1" applyFill="1" applyBorder="1"/>
    <xf numFmtId="0" fontId="4897" fillId="4901" borderId="4848" xfId="0" applyFont="1" applyFill="1" applyBorder="1"/>
    <xf numFmtId="0" fontId="4898" fillId="4902" borderId="4849" xfId="0" applyFont="1" applyFill="1" applyBorder="1"/>
    <xf numFmtId="0" fontId="4899" fillId="4903" borderId="4850" xfId="0" applyFont="1" applyFill="1" applyBorder="1"/>
    <xf numFmtId="0" fontId="4900" fillId="4904" borderId="4851" xfId="0" applyFont="1" applyFill="1" applyBorder="1"/>
    <xf numFmtId="14" fontId="4901" fillId="4905" borderId="4852" xfId="0" applyNumberFormat="1" applyFont="1" applyFill="1" applyBorder="1"/>
    <xf numFmtId="0" fontId="4902" fillId="4906" borderId="4853" xfId="0" applyFont="1" applyFill="1" applyBorder="1"/>
    <xf numFmtId="0" fontId="4903" fillId="4907" borderId="4854" xfId="0" applyFont="1" applyFill="1" applyBorder="1"/>
    <xf numFmtId="0" fontId="4904" fillId="4908" borderId="4855" xfId="0" applyFont="1" applyFill="1" applyBorder="1"/>
    <xf numFmtId="0" fontId="4905" fillId="4909" borderId="4856" xfId="0" applyFont="1" applyFill="1" applyBorder="1"/>
    <xf numFmtId="0" fontId="4906" fillId="4910" borderId="4857" xfId="0" applyFont="1" applyFill="1" applyBorder="1"/>
    <xf numFmtId="0" fontId="4907" fillId="4911" borderId="4858" xfId="0" applyFont="1" applyFill="1" applyBorder="1"/>
    <xf numFmtId="0" fontId="4908" fillId="4912" borderId="4859" xfId="0" applyFont="1" applyFill="1" applyBorder="1"/>
    <xf numFmtId="0" fontId="4909" fillId="4913" borderId="4860" xfId="0" applyFont="1" applyFill="1" applyBorder="1"/>
    <xf numFmtId="0" fontId="4910" fillId="4914" borderId="4861" xfId="0" applyFont="1" applyFill="1" applyBorder="1"/>
    <xf numFmtId="0" fontId="4911" fillId="4915" borderId="4862" xfId="0" applyFont="1" applyFill="1" applyBorder="1"/>
    <xf numFmtId="14" fontId="4912" fillId="4916" borderId="4863" xfId="0" applyNumberFormat="1" applyFont="1" applyFill="1" applyBorder="1"/>
    <xf numFmtId="0" fontId="4913" fillId="4917" borderId="4864" xfId="0" applyFont="1" applyFill="1" applyBorder="1"/>
    <xf numFmtId="0" fontId="4914" fillId="4918" borderId="4865" xfId="0" applyFont="1" applyFill="1" applyBorder="1"/>
    <xf numFmtId="0" fontId="4915" fillId="4919" borderId="4866" xfId="0" applyFont="1" applyFill="1" applyBorder="1"/>
    <xf numFmtId="0" fontId="4916" fillId="4920" borderId="4867" xfId="0" applyFont="1" applyFill="1" applyBorder="1"/>
    <xf numFmtId="0" fontId="4917" fillId="4921" borderId="4868" xfId="0" applyFont="1" applyFill="1" applyBorder="1"/>
    <xf numFmtId="0" fontId="4918" fillId="4922" borderId="4869" xfId="0" applyFont="1" applyFill="1" applyBorder="1"/>
    <xf numFmtId="0" fontId="4919" fillId="4923" borderId="4870" xfId="0" applyFont="1" applyFill="1" applyBorder="1"/>
    <xf numFmtId="0" fontId="4920" fillId="4924" borderId="4871" xfId="0" applyFont="1" applyFill="1" applyBorder="1"/>
    <xf numFmtId="0" fontId="4921" fillId="4925" borderId="4872" xfId="0" applyFont="1" applyFill="1" applyBorder="1"/>
    <xf numFmtId="0" fontId="4922" fillId="4926" borderId="4873" xfId="0" applyFont="1" applyFill="1" applyBorder="1"/>
    <xf numFmtId="14" fontId="4923" fillId="4927" borderId="4874" xfId="0" applyNumberFormat="1" applyFont="1" applyFill="1" applyBorder="1"/>
    <xf numFmtId="0" fontId="4924" fillId="4928" borderId="4875" xfId="0" applyFont="1" applyFill="1" applyBorder="1"/>
    <xf numFmtId="0" fontId="4925" fillId="4929" borderId="4876" xfId="0" applyFont="1" applyFill="1" applyBorder="1"/>
    <xf numFmtId="0" fontId="4926" fillId="4930" borderId="4877" xfId="0" applyFont="1" applyFill="1" applyBorder="1"/>
    <xf numFmtId="0" fontId="4927" fillId="4931" borderId="4878" xfId="0" applyFont="1" applyFill="1" applyBorder="1"/>
    <xf numFmtId="0" fontId="4928" fillId="4932" borderId="4879" xfId="0" applyFont="1" applyFill="1" applyBorder="1"/>
    <xf numFmtId="0" fontId="4929" fillId="4933" borderId="4880" xfId="0" applyFont="1" applyFill="1" applyBorder="1"/>
    <xf numFmtId="0" fontId="4930" fillId="4934" borderId="4881" xfId="0" applyFont="1" applyFill="1" applyBorder="1"/>
    <xf numFmtId="0" fontId="4931" fillId="4935" borderId="4882" xfId="0" applyFont="1" applyFill="1" applyBorder="1"/>
    <xf numFmtId="0" fontId="4932" fillId="4936" borderId="4883" xfId="0" applyFont="1" applyFill="1" applyBorder="1"/>
    <xf numFmtId="0" fontId="4933" fillId="4937" borderId="4884" xfId="0" applyFont="1" applyFill="1" applyBorder="1"/>
    <xf numFmtId="14" fontId="4934" fillId="4938" borderId="4885" xfId="0" applyNumberFormat="1" applyFont="1" applyFill="1" applyBorder="1"/>
    <xf numFmtId="0" fontId="4935" fillId="4939" borderId="4886" xfId="0" applyFont="1" applyFill="1" applyBorder="1"/>
    <xf numFmtId="0" fontId="4936" fillId="4940" borderId="4887" xfId="0" applyFont="1" applyFill="1" applyBorder="1"/>
    <xf numFmtId="0" fontId="4937" fillId="4941" borderId="4888" xfId="0" applyFont="1" applyFill="1" applyBorder="1"/>
    <xf numFmtId="0" fontId="4938" fillId="4942" borderId="4889" xfId="0" applyFont="1" applyFill="1" applyBorder="1"/>
    <xf numFmtId="0" fontId="4939" fillId="4943" borderId="4890" xfId="0" applyFont="1" applyFill="1" applyBorder="1"/>
    <xf numFmtId="0" fontId="4940" fillId="4944" borderId="4891" xfId="0" applyFont="1" applyFill="1" applyBorder="1"/>
    <xf numFmtId="0" fontId="4941" fillId="4945" borderId="4892" xfId="0" applyFont="1" applyFill="1" applyBorder="1"/>
    <xf numFmtId="0" fontId="4942" fillId="4946" borderId="4893" xfId="0" applyFont="1" applyFill="1" applyBorder="1"/>
    <xf numFmtId="0" fontId="4943" fillId="4947" borderId="4894" xfId="0" applyFont="1" applyFill="1" applyBorder="1"/>
    <xf numFmtId="0" fontId="4944" fillId="4948" borderId="4895" xfId="0" applyFont="1" applyFill="1" applyBorder="1"/>
    <xf numFmtId="14" fontId="4945" fillId="4949" borderId="4896" xfId="0" applyNumberFormat="1" applyFont="1" applyFill="1" applyBorder="1"/>
    <xf numFmtId="0" fontId="4946" fillId="4950" borderId="4897" xfId="0" applyFont="1" applyFill="1" applyBorder="1"/>
    <xf numFmtId="0" fontId="4947" fillId="4951" borderId="4898" xfId="0" applyFont="1" applyFill="1" applyBorder="1"/>
    <xf numFmtId="0" fontId="4948" fillId="4952" borderId="4899" xfId="0" applyFont="1" applyFill="1" applyBorder="1"/>
    <xf numFmtId="0" fontId="4949" fillId="4953" borderId="4900" xfId="0" applyFont="1" applyFill="1" applyBorder="1"/>
    <xf numFmtId="0" fontId="4950" fillId="4954" borderId="4901" xfId="0" applyFont="1" applyFill="1" applyBorder="1"/>
    <xf numFmtId="0" fontId="4951" fillId="4955" borderId="4902" xfId="0" applyFont="1" applyFill="1" applyBorder="1"/>
    <xf numFmtId="0" fontId="4952" fillId="4956" borderId="4903" xfId="0" applyFont="1" applyFill="1" applyBorder="1"/>
    <xf numFmtId="0" fontId="4953" fillId="4957" borderId="4904" xfId="0" applyFont="1" applyFill="1" applyBorder="1"/>
    <xf numFmtId="0" fontId="4954" fillId="4958" borderId="4905" xfId="0" applyFont="1" applyFill="1" applyBorder="1"/>
    <xf numFmtId="0" fontId="4955" fillId="4959" borderId="4906" xfId="0" applyFont="1" applyFill="1" applyBorder="1"/>
    <xf numFmtId="14" fontId="4956" fillId="4960" borderId="4907" xfId="0" applyNumberFormat="1" applyFont="1" applyFill="1" applyBorder="1"/>
    <xf numFmtId="0" fontId="4957" fillId="4961" borderId="4908" xfId="0" applyFont="1" applyFill="1" applyBorder="1"/>
    <xf numFmtId="0" fontId="4958" fillId="4962" borderId="4909" xfId="0" applyFont="1" applyFill="1" applyBorder="1"/>
    <xf numFmtId="0" fontId="4959" fillId="4963" borderId="4910" xfId="0" applyFont="1" applyFill="1" applyBorder="1"/>
    <xf numFmtId="0" fontId="4960" fillId="4964" borderId="4911" xfId="0" applyFont="1" applyFill="1" applyBorder="1"/>
    <xf numFmtId="0" fontId="4961" fillId="4965" borderId="4912" xfId="0" applyFont="1" applyFill="1" applyBorder="1"/>
    <xf numFmtId="0" fontId="4962" fillId="4966" borderId="4913" xfId="0" applyFont="1" applyFill="1" applyBorder="1"/>
    <xf numFmtId="0" fontId="4963" fillId="4967" borderId="4914" xfId="0" applyFont="1" applyFill="1" applyBorder="1"/>
    <xf numFmtId="0" fontId="4964" fillId="4968" borderId="4915" xfId="0" applyFont="1" applyFill="1" applyBorder="1"/>
    <xf numFmtId="0" fontId="4965" fillId="4969" borderId="4916" xfId="0" applyFont="1" applyFill="1" applyBorder="1"/>
    <xf numFmtId="0" fontId="4966" fillId="4970" borderId="4917" xfId="0" applyFont="1" applyFill="1" applyBorder="1"/>
    <xf numFmtId="14" fontId="4967" fillId="4971" borderId="4918" xfId="0" applyNumberFormat="1" applyFont="1" applyFill="1" applyBorder="1"/>
    <xf numFmtId="0" fontId="4968" fillId="4972" borderId="4919" xfId="0" applyFont="1" applyFill="1" applyBorder="1"/>
    <xf numFmtId="0" fontId="4969" fillId="4973" borderId="4920" xfId="0" applyFont="1" applyFill="1" applyBorder="1"/>
    <xf numFmtId="0" fontId="4970" fillId="4974" borderId="4921" xfId="0" applyFont="1" applyFill="1" applyBorder="1"/>
    <xf numFmtId="0" fontId="4971" fillId="4975" borderId="4922" xfId="0" applyFont="1" applyFill="1" applyBorder="1"/>
    <xf numFmtId="0" fontId="4972" fillId="4976" borderId="4923" xfId="0" applyFont="1" applyFill="1" applyBorder="1"/>
    <xf numFmtId="0" fontId="4973" fillId="4977" borderId="4924" xfId="0" applyFont="1" applyFill="1" applyBorder="1"/>
    <xf numFmtId="0" fontId="4974" fillId="4978" borderId="4925" xfId="0" applyFont="1" applyFill="1" applyBorder="1"/>
    <xf numFmtId="0" fontId="4975" fillId="4979" borderId="4926" xfId="0" applyFont="1" applyFill="1" applyBorder="1"/>
    <xf numFmtId="0" fontId="4976" fillId="4980" borderId="4927" xfId="0" applyFont="1" applyFill="1" applyBorder="1"/>
    <xf numFmtId="0" fontId="4977" fillId="4981" borderId="4928" xfId="0" applyFont="1" applyFill="1" applyBorder="1"/>
    <xf numFmtId="14" fontId="4978" fillId="4982" borderId="4929" xfId="0" applyNumberFormat="1" applyFont="1" applyFill="1" applyBorder="1"/>
    <xf numFmtId="0" fontId="4979" fillId="4983" borderId="4930" xfId="0" applyFont="1" applyFill="1" applyBorder="1"/>
    <xf numFmtId="0" fontId="4980" fillId="4984" borderId="4931" xfId="0" applyFont="1" applyFill="1" applyBorder="1"/>
    <xf numFmtId="0" fontId="4981" fillId="4985" borderId="4932" xfId="0" applyFont="1" applyFill="1" applyBorder="1"/>
    <xf numFmtId="0" fontId="4982" fillId="4986" borderId="4933" xfId="0" applyFont="1" applyFill="1" applyBorder="1"/>
    <xf numFmtId="0" fontId="4983" fillId="4987" borderId="4934" xfId="0" applyFont="1" applyFill="1" applyBorder="1"/>
    <xf numFmtId="0" fontId="4984" fillId="4988" borderId="4935" xfId="0" applyFont="1" applyFill="1" applyBorder="1"/>
    <xf numFmtId="0" fontId="4985" fillId="4989" borderId="4936" xfId="0" applyFont="1" applyFill="1" applyBorder="1"/>
    <xf numFmtId="0" fontId="4986" fillId="4990" borderId="4937" xfId="0" applyFont="1" applyFill="1" applyBorder="1"/>
    <xf numFmtId="0" fontId="4987" fillId="4991" borderId="4938" xfId="0" applyFont="1" applyFill="1" applyBorder="1"/>
    <xf numFmtId="0" fontId="4988" fillId="4992" borderId="4939" xfId="0" applyFont="1" applyFill="1" applyBorder="1"/>
    <xf numFmtId="14" fontId="4989" fillId="4993" borderId="4940" xfId="0" applyNumberFormat="1" applyFont="1" applyFill="1" applyBorder="1"/>
    <xf numFmtId="0" fontId="4990" fillId="4994" borderId="4941" xfId="0" applyFont="1" applyFill="1" applyBorder="1"/>
    <xf numFmtId="0" fontId="4991" fillId="4995" borderId="4942" xfId="0" applyFont="1" applyFill="1" applyBorder="1"/>
    <xf numFmtId="0" fontId="4992" fillId="4996" borderId="4943" xfId="0" applyFont="1" applyFill="1" applyBorder="1"/>
    <xf numFmtId="0" fontId="4993" fillId="4997" borderId="4944" xfId="0" applyFont="1" applyFill="1" applyBorder="1"/>
    <xf numFmtId="0" fontId="4994" fillId="4998" borderId="4945" xfId="0" applyFont="1" applyFill="1" applyBorder="1"/>
    <xf numFmtId="0" fontId="4995" fillId="4999" borderId="4946" xfId="0" applyFont="1" applyFill="1" applyBorder="1"/>
    <xf numFmtId="0" fontId="4996" fillId="5000" borderId="4947" xfId="0" applyFont="1" applyFill="1" applyBorder="1"/>
    <xf numFmtId="0" fontId="4997" fillId="5001" borderId="4948" xfId="0" applyFont="1" applyFill="1" applyBorder="1"/>
    <xf numFmtId="0" fontId="4998" fillId="5002" borderId="4949" xfId="0" applyFont="1" applyFill="1" applyBorder="1"/>
    <xf numFmtId="0" fontId="4999" fillId="5003" borderId="4950" xfId="0" applyFont="1" applyFill="1" applyBorder="1"/>
    <xf numFmtId="14" fontId="5000" fillId="5004" borderId="4951" xfId="0" applyNumberFormat="1" applyFont="1" applyFill="1" applyBorder="1"/>
    <xf numFmtId="0" fontId="5001" fillId="5005" borderId="4952" xfId="0" applyFont="1" applyFill="1" applyBorder="1"/>
    <xf numFmtId="0" fontId="5002" fillId="5006" borderId="4953" xfId="0" applyFont="1" applyFill="1" applyBorder="1"/>
    <xf numFmtId="0" fontId="5003" fillId="5007" borderId="4954" xfId="0" applyFont="1" applyFill="1" applyBorder="1"/>
    <xf numFmtId="0" fontId="5004" fillId="5008" borderId="4955" xfId="0" applyFont="1" applyFill="1" applyBorder="1"/>
    <xf numFmtId="0" fontId="5005" fillId="5009" borderId="4956" xfId="0" applyFont="1" applyFill="1" applyBorder="1"/>
    <xf numFmtId="0" fontId="5006" fillId="5010" borderId="4957" xfId="0" applyFont="1" applyFill="1" applyBorder="1"/>
    <xf numFmtId="0" fontId="5007" fillId="5011" borderId="4958" xfId="0" applyFont="1" applyFill="1" applyBorder="1"/>
    <xf numFmtId="0" fontId="5008" fillId="5012" borderId="4959" xfId="0" applyFont="1" applyFill="1" applyBorder="1"/>
    <xf numFmtId="0" fontId="5009" fillId="5013" borderId="4960" xfId="0" applyFont="1" applyFill="1" applyBorder="1"/>
    <xf numFmtId="0" fontId="5010" fillId="5014" borderId="4961" xfId="0" applyFont="1" applyFill="1" applyBorder="1"/>
    <xf numFmtId="14" fontId="5011" fillId="5015" borderId="4962" xfId="0" applyNumberFormat="1" applyFont="1" applyFill="1" applyBorder="1"/>
    <xf numFmtId="0" fontId="5012" fillId="5016" borderId="4963" xfId="0" applyFont="1" applyFill="1" applyBorder="1"/>
    <xf numFmtId="0" fontId="5013" fillId="5017" borderId="4964" xfId="0" applyFont="1" applyFill="1" applyBorder="1"/>
    <xf numFmtId="0" fontId="5014" fillId="5018" borderId="4965" xfId="0" applyFont="1" applyFill="1" applyBorder="1"/>
    <xf numFmtId="0" fontId="5015" fillId="5019" borderId="4966" xfId="0" applyFont="1" applyFill="1" applyBorder="1"/>
    <xf numFmtId="0" fontId="5016" fillId="5020" borderId="4967" xfId="0" applyFont="1" applyFill="1" applyBorder="1"/>
    <xf numFmtId="0" fontId="5017" fillId="5021" borderId="4968" xfId="0" applyFont="1" applyFill="1" applyBorder="1"/>
    <xf numFmtId="0" fontId="5018" fillId="5022" borderId="4969" xfId="0" applyFont="1" applyFill="1" applyBorder="1"/>
    <xf numFmtId="0" fontId="5019" fillId="5023" borderId="4970" xfId="0" applyFont="1" applyFill="1" applyBorder="1"/>
    <xf numFmtId="0" fontId="5020" fillId="5024" borderId="4971" xfId="0" applyFont="1" applyFill="1" applyBorder="1"/>
    <xf numFmtId="0" fontId="5021" fillId="5025" borderId="4972" xfId="0" applyFont="1" applyFill="1" applyBorder="1"/>
    <xf numFmtId="14" fontId="5022" fillId="5026" borderId="4973" xfId="0" applyNumberFormat="1" applyFont="1" applyFill="1" applyBorder="1"/>
    <xf numFmtId="0" fontId="5023" fillId="5027" borderId="4974" xfId="0" applyFont="1" applyFill="1" applyBorder="1"/>
    <xf numFmtId="0" fontId="5024" fillId="5028" borderId="4975" xfId="0" applyFont="1" applyFill="1" applyBorder="1"/>
    <xf numFmtId="0" fontId="5025" fillId="5029" borderId="4976" xfId="0" applyFont="1" applyFill="1" applyBorder="1"/>
    <xf numFmtId="0" fontId="5026" fillId="5030" borderId="4977" xfId="0" applyFont="1" applyFill="1" applyBorder="1"/>
    <xf numFmtId="0" fontId="5027" fillId="5031" borderId="4978" xfId="0" applyFont="1" applyFill="1" applyBorder="1"/>
    <xf numFmtId="0" fontId="5028" fillId="5032" borderId="4979" xfId="0" applyFont="1" applyFill="1" applyBorder="1"/>
    <xf numFmtId="0" fontId="5029" fillId="5033" borderId="4980" xfId="0" applyFont="1" applyFill="1" applyBorder="1"/>
    <xf numFmtId="0" fontId="5030" fillId="5034" borderId="4981" xfId="0" applyFont="1" applyFill="1" applyBorder="1"/>
    <xf numFmtId="0" fontId="5031" fillId="5035" borderId="4982" xfId="0" applyFont="1" applyFill="1" applyBorder="1"/>
    <xf numFmtId="0" fontId="5032" fillId="5036" borderId="4983" xfId="0" applyFont="1" applyFill="1" applyBorder="1"/>
    <xf numFmtId="14" fontId="5033" fillId="5037" borderId="4984" xfId="0" applyNumberFormat="1" applyFont="1" applyFill="1" applyBorder="1"/>
    <xf numFmtId="0" fontId="5034" fillId="5038" borderId="4985" xfId="0" applyFont="1" applyFill="1" applyBorder="1"/>
    <xf numFmtId="0" fontId="5035" fillId="5039" borderId="4986" xfId="0" applyFont="1" applyFill="1" applyBorder="1"/>
    <xf numFmtId="0" fontId="5036" fillId="5040" borderId="4987" xfId="0" applyFont="1" applyFill="1" applyBorder="1"/>
    <xf numFmtId="0" fontId="5037" fillId="5041" borderId="4988" xfId="0" applyFont="1" applyFill="1" applyBorder="1"/>
    <xf numFmtId="0" fontId="5038" fillId="5042" borderId="4989" xfId="0" applyFont="1" applyFill="1" applyBorder="1"/>
    <xf numFmtId="0" fontId="5039" fillId="5043" borderId="4990" xfId="0" applyFont="1" applyFill="1" applyBorder="1"/>
    <xf numFmtId="0" fontId="5040" fillId="5044" borderId="4991" xfId="0" applyFont="1" applyFill="1" applyBorder="1"/>
    <xf numFmtId="0" fontId="5041" fillId="5045" borderId="4992" xfId="0" applyFont="1" applyFill="1" applyBorder="1"/>
    <xf numFmtId="0" fontId="5042" fillId="5046" borderId="4993" xfId="0" applyFont="1" applyFill="1" applyBorder="1"/>
    <xf numFmtId="0" fontId="5043" fillId="5047" borderId="4994" xfId="0" applyFont="1" applyFill="1" applyBorder="1"/>
    <xf numFmtId="14" fontId="5044" fillId="5048" borderId="4995" xfId="0" applyNumberFormat="1" applyFont="1" applyFill="1" applyBorder="1"/>
    <xf numFmtId="0" fontId="5045" fillId="5049" borderId="4996" xfId="0" applyFont="1" applyFill="1" applyBorder="1"/>
    <xf numFmtId="0" fontId="5046" fillId="5050" borderId="4997" xfId="0" applyFont="1" applyFill="1" applyBorder="1"/>
    <xf numFmtId="0" fontId="5047" fillId="5051" borderId="4998" xfId="0" applyFont="1" applyFill="1" applyBorder="1"/>
    <xf numFmtId="0" fontId="5048" fillId="5052" borderId="4999" xfId="0" applyFont="1" applyFill="1" applyBorder="1"/>
    <xf numFmtId="0" fontId="5049" fillId="5053" borderId="5000" xfId="0" applyFont="1" applyFill="1" applyBorder="1"/>
    <xf numFmtId="0" fontId="5050" fillId="5054" borderId="5001" xfId="0" applyFont="1" applyFill="1" applyBorder="1"/>
    <xf numFmtId="0" fontId="5051" fillId="5055" borderId="5002" xfId="0" applyFont="1" applyFill="1" applyBorder="1"/>
    <xf numFmtId="0" fontId="5052" fillId="5056" borderId="5003" xfId="0" applyFont="1" applyFill="1" applyBorder="1"/>
    <xf numFmtId="0" fontId="5053" fillId="5057" borderId="5004" xfId="0" applyFont="1" applyFill="1" applyBorder="1"/>
    <xf numFmtId="0" fontId="5054" fillId="5058" borderId="5005" xfId="0" applyFont="1" applyFill="1" applyBorder="1"/>
    <xf numFmtId="14" fontId="5055" fillId="5059" borderId="5006" xfId="0" applyNumberFormat="1" applyFont="1" applyFill="1" applyBorder="1"/>
    <xf numFmtId="0" fontId="5056" fillId="5060" borderId="5007" xfId="0" applyFont="1" applyFill="1" applyBorder="1"/>
    <xf numFmtId="0" fontId="5057" fillId="5061" borderId="5008" xfId="0" applyFont="1" applyFill="1" applyBorder="1"/>
    <xf numFmtId="0" fontId="5058" fillId="5062" borderId="5009" xfId="0" applyFont="1" applyFill="1" applyBorder="1"/>
    <xf numFmtId="0" fontId="5059" fillId="5063" borderId="5010" xfId="0" applyFont="1" applyFill="1" applyBorder="1"/>
    <xf numFmtId="0" fontId="5060" fillId="5064" borderId="5011" xfId="0" applyFont="1" applyFill="1" applyBorder="1"/>
    <xf numFmtId="0" fontId="5061" fillId="5065" borderId="5012" xfId="0" applyFont="1" applyFill="1" applyBorder="1"/>
    <xf numFmtId="0" fontId="5062" fillId="5066" borderId="5013" xfId="0" applyFont="1" applyFill="1" applyBorder="1"/>
    <xf numFmtId="0" fontId="5063" fillId="5067" borderId="5014" xfId="0" applyFont="1" applyFill="1" applyBorder="1"/>
    <xf numFmtId="0" fontId="5064" fillId="5068" borderId="5015" xfId="0" applyFont="1" applyFill="1" applyBorder="1"/>
    <xf numFmtId="0" fontId="5065" fillId="5069" borderId="5016" xfId="0" applyFont="1" applyFill="1" applyBorder="1"/>
    <xf numFmtId="14" fontId="5066" fillId="5070" borderId="5017" xfId="0" applyNumberFormat="1" applyFont="1" applyFill="1" applyBorder="1"/>
    <xf numFmtId="0" fontId="5067" fillId="5071" borderId="5018" xfId="0" applyFont="1" applyFill="1" applyBorder="1"/>
    <xf numFmtId="0" fontId="5068" fillId="5072" borderId="5019" xfId="0" applyFont="1" applyFill="1" applyBorder="1"/>
    <xf numFmtId="0" fontId="5069" fillId="5073" borderId="5020" xfId="0" applyFont="1" applyFill="1" applyBorder="1"/>
    <xf numFmtId="0" fontId="5070" fillId="5074" borderId="5021" xfId="0" applyFont="1" applyFill="1" applyBorder="1"/>
    <xf numFmtId="0" fontId="5071" fillId="5075" borderId="5022" xfId="0" applyFont="1" applyFill="1" applyBorder="1"/>
    <xf numFmtId="0" fontId="5072" fillId="5076" borderId="5023" xfId="0" applyFont="1" applyFill="1" applyBorder="1"/>
    <xf numFmtId="0" fontId="5073" fillId="5077" borderId="5024" xfId="0" applyFont="1" applyFill="1" applyBorder="1"/>
    <xf numFmtId="0" fontId="5074" fillId="5078" borderId="5025" xfId="0" applyFont="1" applyFill="1" applyBorder="1"/>
    <xf numFmtId="0" fontId="5075" fillId="5079" borderId="5026" xfId="0" applyFont="1" applyFill="1" applyBorder="1"/>
    <xf numFmtId="0" fontId="5076" fillId="5080" borderId="5027" xfId="0" applyFont="1" applyFill="1" applyBorder="1"/>
    <xf numFmtId="14" fontId="5077" fillId="5081" borderId="5028" xfId="0" applyNumberFormat="1" applyFont="1" applyFill="1" applyBorder="1"/>
    <xf numFmtId="0" fontId="5078" fillId="5082" borderId="5029" xfId="0" applyFont="1" applyFill="1" applyBorder="1"/>
    <xf numFmtId="0" fontId="5079" fillId="5083" borderId="5030" xfId="0" applyFont="1" applyFill="1" applyBorder="1"/>
    <xf numFmtId="0" fontId="5080" fillId="5084" borderId="5031" xfId="0" applyFont="1" applyFill="1" applyBorder="1"/>
    <xf numFmtId="0" fontId="5081" fillId="5085" borderId="5032" xfId="0" applyFont="1" applyFill="1" applyBorder="1"/>
    <xf numFmtId="0" fontId="5082" fillId="5086" borderId="5033" xfId="0" applyFont="1" applyFill="1" applyBorder="1"/>
    <xf numFmtId="0" fontId="5083" fillId="5087" borderId="5034" xfId="0" applyFont="1" applyFill="1" applyBorder="1"/>
    <xf numFmtId="0" fontId="5084" fillId="5088" borderId="5035" xfId="0" applyFont="1" applyFill="1" applyBorder="1"/>
    <xf numFmtId="0" fontId="5085" fillId="5089" borderId="5036" xfId="0" applyFont="1" applyFill="1" applyBorder="1"/>
    <xf numFmtId="0" fontId="5086" fillId="5090" borderId="5037" xfId="0" applyFont="1" applyFill="1" applyBorder="1"/>
    <xf numFmtId="0" fontId="5087" fillId="5091" borderId="5038" xfId="0" applyFont="1" applyFill="1" applyBorder="1"/>
    <xf numFmtId="14" fontId="5088" fillId="5092" borderId="5039" xfId="0" applyNumberFormat="1" applyFont="1" applyFill="1" applyBorder="1"/>
    <xf numFmtId="0" fontId="5089" fillId="5093" borderId="5040" xfId="0" applyFont="1" applyFill="1" applyBorder="1"/>
    <xf numFmtId="0" fontId="5090" fillId="5094" borderId="5041" xfId="0" applyFont="1" applyFill="1" applyBorder="1"/>
    <xf numFmtId="0" fontId="5091" fillId="5095" borderId="5042" xfId="0" applyFont="1" applyFill="1" applyBorder="1"/>
    <xf numFmtId="0" fontId="5092" fillId="5096" borderId="5043" xfId="0" applyFont="1" applyFill="1" applyBorder="1"/>
    <xf numFmtId="0" fontId="5093" fillId="5097" borderId="5044" xfId="0" applyFont="1" applyFill="1" applyBorder="1"/>
    <xf numFmtId="0" fontId="5094" fillId="5098" borderId="5045" xfId="0" applyFont="1" applyFill="1" applyBorder="1"/>
    <xf numFmtId="0" fontId="5095" fillId="5099" borderId="5046" xfId="0" applyFont="1" applyFill="1" applyBorder="1"/>
    <xf numFmtId="0" fontId="5096" fillId="5100" borderId="5047" xfId="0" applyFont="1" applyFill="1" applyBorder="1"/>
    <xf numFmtId="0" fontId="5097" fillId="5101" borderId="5048" xfId="0" applyFont="1" applyFill="1" applyBorder="1"/>
    <xf numFmtId="0" fontId="5098" fillId="5102" borderId="5049" xfId="0" applyFont="1" applyFill="1" applyBorder="1"/>
    <xf numFmtId="14" fontId="5099" fillId="5103" borderId="5050" xfId="0" applyNumberFormat="1" applyFont="1" applyFill="1" applyBorder="1"/>
    <xf numFmtId="0" fontId="5100" fillId="5104" borderId="5051" xfId="0" applyFont="1" applyFill="1" applyBorder="1"/>
    <xf numFmtId="0" fontId="5101" fillId="5105" borderId="5052" xfId="0" applyFont="1" applyFill="1" applyBorder="1"/>
    <xf numFmtId="0" fontId="5102" fillId="5106" borderId="5053" xfId="0" applyFont="1" applyFill="1" applyBorder="1"/>
    <xf numFmtId="0" fontId="5103" fillId="5107" borderId="5054" xfId="0" applyFont="1" applyFill="1" applyBorder="1"/>
    <xf numFmtId="0" fontId="5104" fillId="5108" borderId="5055" xfId="0" applyFont="1" applyFill="1" applyBorder="1"/>
    <xf numFmtId="0" fontId="5105" fillId="5109" borderId="5056" xfId="0" applyFont="1" applyFill="1" applyBorder="1"/>
    <xf numFmtId="0" fontId="5106" fillId="5110" borderId="5057" xfId="0" applyFont="1" applyFill="1" applyBorder="1"/>
    <xf numFmtId="0" fontId="5107" fillId="5111" borderId="5058" xfId="0" applyFont="1" applyFill="1" applyBorder="1"/>
    <xf numFmtId="0" fontId="5108" fillId="5112" borderId="5059" xfId="0" applyFont="1" applyFill="1" applyBorder="1"/>
    <xf numFmtId="0" fontId="5109" fillId="5113" borderId="5060" xfId="0" applyFont="1" applyFill="1" applyBorder="1"/>
    <xf numFmtId="14" fontId="5110" fillId="5114" borderId="5061" xfId="0" applyNumberFormat="1" applyFont="1" applyFill="1" applyBorder="1"/>
    <xf numFmtId="0" fontId="5111" fillId="5115" borderId="5062" xfId="0" applyFont="1" applyFill="1" applyBorder="1"/>
    <xf numFmtId="0" fontId="5112" fillId="5116" borderId="5063" xfId="0" applyFont="1" applyFill="1" applyBorder="1"/>
    <xf numFmtId="0" fontId="5113" fillId="5117" borderId="5064" xfId="0" applyFont="1" applyFill="1" applyBorder="1"/>
    <xf numFmtId="0" fontId="5114" fillId="5118" borderId="5065" xfId="0" applyFont="1" applyFill="1" applyBorder="1"/>
    <xf numFmtId="0" fontId="5115" fillId="5119" borderId="5066" xfId="0" applyFont="1" applyFill="1" applyBorder="1"/>
    <xf numFmtId="0" fontId="5116" fillId="5120" borderId="5067" xfId="0" applyFont="1" applyFill="1" applyBorder="1"/>
    <xf numFmtId="0" fontId="5117" fillId="5121" borderId="5068" xfId="0" applyFont="1" applyFill="1" applyBorder="1"/>
    <xf numFmtId="0" fontId="5118" fillId="5122" borderId="5069" xfId="0" applyFont="1" applyFill="1" applyBorder="1"/>
    <xf numFmtId="0" fontId="5119" fillId="5123" borderId="5070" xfId="0" applyFont="1" applyFill="1" applyBorder="1"/>
    <xf numFmtId="0" fontId="5120" fillId="5124" borderId="5071" xfId="0" applyFont="1" applyFill="1" applyBorder="1"/>
    <xf numFmtId="14" fontId="5121" fillId="5125" borderId="5072" xfId="0" applyNumberFormat="1" applyFont="1" applyFill="1" applyBorder="1"/>
    <xf numFmtId="0" fontId="5122" fillId="5126" borderId="5073" xfId="0" applyFont="1" applyFill="1" applyBorder="1"/>
    <xf numFmtId="0" fontId="5123" fillId="5127" borderId="5074" xfId="0" applyFont="1" applyFill="1" applyBorder="1"/>
    <xf numFmtId="0" fontId="5124" fillId="5128" borderId="5075" xfId="0" applyFont="1" applyFill="1" applyBorder="1"/>
    <xf numFmtId="0" fontId="5125" fillId="5129" borderId="5076" xfId="0" applyFont="1" applyFill="1" applyBorder="1"/>
    <xf numFmtId="0" fontId="5126" fillId="5130" borderId="5077" xfId="0" applyFont="1" applyFill="1" applyBorder="1"/>
    <xf numFmtId="0" fontId="5127" fillId="5131" borderId="5078" xfId="0" applyFont="1" applyFill="1" applyBorder="1"/>
    <xf numFmtId="0" fontId="5128" fillId="5132" borderId="5079" xfId="0" applyFont="1" applyFill="1" applyBorder="1"/>
    <xf numFmtId="0" fontId="5129" fillId="5133" borderId="5080" xfId="0" applyFont="1" applyFill="1" applyBorder="1"/>
    <xf numFmtId="0" fontId="5130" fillId="5134" borderId="5081" xfId="0" applyFont="1" applyFill="1" applyBorder="1"/>
    <xf numFmtId="0" fontId="5131" fillId="5135" borderId="5082" xfId="0" applyFont="1" applyFill="1" applyBorder="1"/>
    <xf numFmtId="14" fontId="5132" fillId="5136" borderId="5083" xfId="0" applyNumberFormat="1" applyFont="1" applyFill="1" applyBorder="1"/>
    <xf numFmtId="0" fontId="5133" fillId="5137" borderId="5084" xfId="0" applyFont="1" applyFill="1" applyBorder="1"/>
    <xf numFmtId="0" fontId="5134" fillId="5138" borderId="5085" xfId="0" applyFont="1" applyFill="1" applyBorder="1"/>
    <xf numFmtId="0" fontId="5135" fillId="5139" borderId="5086" xfId="0" applyFont="1" applyFill="1" applyBorder="1"/>
    <xf numFmtId="0" fontId="5136" fillId="5140" borderId="5087" xfId="0" applyFont="1" applyFill="1" applyBorder="1"/>
    <xf numFmtId="0" fontId="5137" fillId="5141" borderId="5088" xfId="0" applyFont="1" applyFill="1" applyBorder="1"/>
    <xf numFmtId="0" fontId="5138" fillId="5142" borderId="5089" xfId="0" applyFont="1" applyFill="1" applyBorder="1"/>
    <xf numFmtId="0" fontId="5139" fillId="5143" borderId="5090" xfId="0" applyFont="1" applyFill="1" applyBorder="1"/>
    <xf numFmtId="0" fontId="5140" fillId="5144" borderId="5091" xfId="0" applyFont="1" applyFill="1" applyBorder="1"/>
    <xf numFmtId="0" fontId="5141" fillId="5145" borderId="5092" xfId="0" applyFont="1" applyFill="1" applyBorder="1"/>
    <xf numFmtId="0" fontId="5142" fillId="5146" borderId="5093" xfId="0" applyFont="1" applyFill="1" applyBorder="1"/>
    <xf numFmtId="14" fontId="5143" fillId="5147" borderId="5094" xfId="0" applyNumberFormat="1" applyFont="1" applyFill="1" applyBorder="1"/>
    <xf numFmtId="0" fontId="5144" fillId="5148" borderId="5095" xfId="0" applyFont="1" applyFill="1" applyBorder="1"/>
    <xf numFmtId="0" fontId="5145" fillId="5149" borderId="5096" xfId="0" applyFont="1" applyFill="1" applyBorder="1"/>
    <xf numFmtId="0" fontId="5146" fillId="5150" borderId="5097" xfId="0" applyFont="1" applyFill="1" applyBorder="1"/>
    <xf numFmtId="0" fontId="5147" fillId="5151" borderId="5098" xfId="0" applyFont="1" applyFill="1" applyBorder="1"/>
    <xf numFmtId="0" fontId="5148" fillId="5152" borderId="5099" xfId="0" applyFont="1" applyFill="1" applyBorder="1"/>
    <xf numFmtId="0" fontId="5149" fillId="5153" borderId="5100" xfId="0" applyFont="1" applyFill="1" applyBorder="1"/>
    <xf numFmtId="0" fontId="5150" fillId="5154" borderId="5101" xfId="0" applyFont="1" applyFill="1" applyBorder="1"/>
    <xf numFmtId="0" fontId="5151" fillId="5155" borderId="5102" xfId="0" applyFont="1" applyFill="1" applyBorder="1"/>
    <xf numFmtId="0" fontId="5152" fillId="5156" borderId="5103" xfId="0" applyFont="1" applyFill="1" applyBorder="1"/>
    <xf numFmtId="0" fontId="5153" fillId="5157" borderId="5104" xfId="0" applyFont="1" applyFill="1" applyBorder="1"/>
    <xf numFmtId="14" fontId="5154" fillId="5158" borderId="5105" xfId="0" applyNumberFormat="1" applyFont="1" applyFill="1" applyBorder="1"/>
    <xf numFmtId="0" fontId="5155" fillId="5159" borderId="5106" xfId="0" applyFont="1" applyFill="1" applyBorder="1"/>
    <xf numFmtId="0" fontId="5156" fillId="5160" borderId="5107" xfId="0" applyFont="1" applyFill="1" applyBorder="1"/>
    <xf numFmtId="0" fontId="5157" fillId="5161" borderId="5108" xfId="0" applyFont="1" applyFill="1" applyBorder="1"/>
    <xf numFmtId="0" fontId="5158" fillId="5162" borderId="5109" xfId="0" applyFont="1" applyFill="1" applyBorder="1"/>
    <xf numFmtId="0" fontId="5159" fillId="5163" borderId="5110" xfId="0" applyFont="1" applyFill="1" applyBorder="1"/>
    <xf numFmtId="0" fontId="5160" fillId="5164" borderId="5111" xfId="0" applyFont="1" applyFill="1" applyBorder="1"/>
    <xf numFmtId="0" fontId="5161" fillId="5165" borderId="5112" xfId="0" applyFont="1" applyFill="1" applyBorder="1"/>
    <xf numFmtId="0" fontId="5162" fillId="5166" borderId="5113" xfId="0" applyFont="1" applyFill="1" applyBorder="1"/>
    <xf numFmtId="0" fontId="5163" fillId="5167" borderId="5114" xfId="0" applyFont="1" applyFill="1" applyBorder="1"/>
    <xf numFmtId="0" fontId="5164" fillId="5168" borderId="5115" xfId="0" applyFont="1" applyFill="1" applyBorder="1"/>
    <xf numFmtId="14" fontId="5165" fillId="5169" borderId="5116" xfId="0" applyNumberFormat="1" applyFont="1" applyFill="1" applyBorder="1"/>
    <xf numFmtId="0" fontId="5166" fillId="5170" borderId="5117" xfId="0" applyFont="1" applyFill="1" applyBorder="1"/>
    <xf numFmtId="0" fontId="5167" fillId="5171" borderId="5118" xfId="0" applyFont="1" applyFill="1" applyBorder="1"/>
    <xf numFmtId="0" fontId="5168" fillId="5172" borderId="5119" xfId="0" applyFont="1" applyFill="1" applyBorder="1"/>
    <xf numFmtId="0" fontId="5169" fillId="5173" borderId="5120" xfId="0" applyFont="1" applyFill="1" applyBorder="1"/>
    <xf numFmtId="0" fontId="5170" fillId="5174" borderId="5121" xfId="0" applyFont="1" applyFill="1" applyBorder="1"/>
    <xf numFmtId="0" fontId="5171" fillId="5175" borderId="5122" xfId="0" applyFont="1" applyFill="1" applyBorder="1"/>
    <xf numFmtId="0" fontId="5172" fillId="5176" borderId="5123" xfId="0" applyFont="1" applyFill="1" applyBorder="1"/>
    <xf numFmtId="0" fontId="5173" fillId="5177" borderId="5124" xfId="0" applyFont="1" applyFill="1" applyBorder="1"/>
    <xf numFmtId="0" fontId="5174" fillId="5178" borderId="5125" xfId="0" applyFont="1" applyFill="1" applyBorder="1"/>
    <xf numFmtId="0" fontId="5175" fillId="5179" borderId="5126" xfId="0" applyFont="1" applyFill="1" applyBorder="1"/>
    <xf numFmtId="14" fontId="5176" fillId="5180" borderId="5127" xfId="0" applyNumberFormat="1" applyFont="1" applyFill="1" applyBorder="1"/>
    <xf numFmtId="0" fontId="5177" fillId="5181" borderId="5128" xfId="0" applyFont="1" applyFill="1" applyBorder="1"/>
    <xf numFmtId="0" fontId="5178" fillId="5182" borderId="5129" xfId="0" applyFont="1" applyFill="1" applyBorder="1"/>
    <xf numFmtId="0" fontId="5179" fillId="5183" borderId="5130" xfId="0" applyFont="1" applyFill="1" applyBorder="1"/>
    <xf numFmtId="0" fontId="5180" fillId="5184" borderId="5131" xfId="0" applyFont="1" applyFill="1" applyBorder="1"/>
    <xf numFmtId="0" fontId="5181" fillId="5185" borderId="5132" xfId="0" applyFont="1" applyFill="1" applyBorder="1"/>
    <xf numFmtId="0" fontId="5182" fillId="5186" borderId="5133" xfId="0" applyFont="1" applyFill="1" applyBorder="1"/>
    <xf numFmtId="0" fontId="5183" fillId="5187" borderId="5134" xfId="0" applyFont="1" applyFill="1" applyBorder="1"/>
    <xf numFmtId="0" fontId="5184" fillId="5188" borderId="5135" xfId="0" applyFont="1" applyFill="1" applyBorder="1"/>
    <xf numFmtId="0" fontId="5185" fillId="5189" borderId="5136" xfId="0" applyFont="1" applyFill="1" applyBorder="1"/>
    <xf numFmtId="0" fontId="5186" fillId="5190" borderId="5137" xfId="0" applyFont="1" applyFill="1" applyBorder="1"/>
    <xf numFmtId="14" fontId="5187" fillId="5191" borderId="5138" xfId="0" applyNumberFormat="1" applyFont="1" applyFill="1" applyBorder="1"/>
    <xf numFmtId="0" fontId="5188" fillId="5192" borderId="5139" xfId="0" applyFont="1" applyFill="1" applyBorder="1"/>
    <xf numFmtId="0" fontId="5189" fillId="5193" borderId="5140" xfId="0" applyFont="1" applyFill="1" applyBorder="1"/>
    <xf numFmtId="0" fontId="5190" fillId="5194" borderId="5141" xfId="0" applyFont="1" applyFill="1" applyBorder="1"/>
    <xf numFmtId="0" fontId="5191" fillId="5195" borderId="5142" xfId="0" applyFont="1" applyFill="1" applyBorder="1"/>
    <xf numFmtId="0" fontId="5192" fillId="5196" borderId="5143" xfId="0" applyFont="1" applyFill="1" applyBorder="1"/>
    <xf numFmtId="0" fontId="5193" fillId="5197" borderId="5144" xfId="0" applyFont="1" applyFill="1" applyBorder="1"/>
    <xf numFmtId="0" fontId="5194" fillId="5198" borderId="5145" xfId="0" applyFont="1" applyFill="1" applyBorder="1"/>
    <xf numFmtId="0" fontId="5195" fillId="5199" borderId="5146" xfId="0" applyFont="1" applyFill="1" applyBorder="1"/>
    <xf numFmtId="0" fontId="5196" fillId="5200" borderId="5147" xfId="0" applyFont="1" applyFill="1" applyBorder="1"/>
    <xf numFmtId="0" fontId="5197" fillId="5201" borderId="5148" xfId="0" applyFont="1" applyFill="1" applyBorder="1"/>
    <xf numFmtId="14" fontId="5198" fillId="5202" borderId="5149" xfId="0" applyNumberFormat="1" applyFont="1" applyFill="1" applyBorder="1"/>
    <xf numFmtId="0" fontId="5199" fillId="5203" borderId="5150" xfId="0" applyFont="1" applyFill="1" applyBorder="1"/>
    <xf numFmtId="0" fontId="5200" fillId="5204" borderId="5151" xfId="0" applyFont="1" applyFill="1" applyBorder="1"/>
    <xf numFmtId="0" fontId="5201" fillId="5205" borderId="5152" xfId="0" applyFont="1" applyFill="1" applyBorder="1"/>
    <xf numFmtId="0" fontId="5202" fillId="5206" borderId="5153" xfId="0" applyFont="1" applyFill="1" applyBorder="1"/>
    <xf numFmtId="0" fontId="5203" fillId="5207" borderId="5154" xfId="0" applyFont="1" applyFill="1" applyBorder="1"/>
    <xf numFmtId="0" fontId="5204" fillId="5208" borderId="5155" xfId="0" applyFont="1" applyFill="1" applyBorder="1"/>
    <xf numFmtId="0" fontId="5205" fillId="5209" borderId="5156" xfId="0" applyFont="1" applyFill="1" applyBorder="1"/>
    <xf numFmtId="0" fontId="5206" fillId="5210" borderId="5157" xfId="0" applyFont="1" applyFill="1" applyBorder="1"/>
    <xf numFmtId="0" fontId="5207" fillId="5211" borderId="5158" xfId="0" applyFont="1" applyFill="1" applyBorder="1"/>
    <xf numFmtId="0" fontId="5208" fillId="5212" borderId="5159" xfId="0" applyFont="1" applyFill="1" applyBorder="1"/>
    <xf numFmtId="14" fontId="5209" fillId="5213" borderId="5160" xfId="0" applyNumberFormat="1" applyFont="1" applyFill="1" applyBorder="1"/>
    <xf numFmtId="0" fontId="5210" fillId="5214" borderId="5161" xfId="0" applyFont="1" applyFill="1" applyBorder="1"/>
    <xf numFmtId="0" fontId="5211" fillId="5215" borderId="5162" xfId="0" applyFont="1" applyFill="1" applyBorder="1"/>
    <xf numFmtId="0" fontId="5212" fillId="5216" borderId="5163" xfId="0" applyFont="1" applyFill="1" applyBorder="1"/>
    <xf numFmtId="0" fontId="5213" fillId="5217" borderId="5164" xfId="0" applyFont="1" applyFill="1" applyBorder="1"/>
    <xf numFmtId="0" fontId="5214" fillId="5218" borderId="5165" xfId="0" applyFont="1" applyFill="1" applyBorder="1"/>
    <xf numFmtId="0" fontId="5215" fillId="5219" borderId="5166" xfId="0" applyFont="1" applyFill="1" applyBorder="1"/>
    <xf numFmtId="0" fontId="5216" fillId="5220" borderId="5167" xfId="0" applyFont="1" applyFill="1" applyBorder="1"/>
    <xf numFmtId="0" fontId="5217" fillId="5221" borderId="5168" xfId="0" applyFont="1" applyFill="1" applyBorder="1"/>
    <xf numFmtId="0" fontId="5218" fillId="5222" borderId="5169" xfId="0" applyFont="1" applyFill="1" applyBorder="1"/>
    <xf numFmtId="0" fontId="5219" fillId="5223" borderId="5170" xfId="0" applyFont="1" applyFill="1" applyBorder="1"/>
    <xf numFmtId="14" fontId="5220" fillId="5224" borderId="5171" xfId="0" applyNumberFormat="1" applyFont="1" applyFill="1" applyBorder="1"/>
    <xf numFmtId="0" fontId="5221" fillId="5225" borderId="5172" xfId="0" applyFont="1" applyFill="1" applyBorder="1"/>
    <xf numFmtId="0" fontId="5222" fillId="5226" borderId="5173" xfId="0" applyFont="1" applyFill="1" applyBorder="1"/>
    <xf numFmtId="0" fontId="5223" fillId="5227" borderId="5174" xfId="0" applyFont="1" applyFill="1" applyBorder="1"/>
    <xf numFmtId="0" fontId="5224" fillId="5228" borderId="5175" xfId="0" applyFont="1" applyFill="1" applyBorder="1"/>
    <xf numFmtId="0" fontId="5225" fillId="5229" borderId="5176" xfId="0" applyFont="1" applyFill="1" applyBorder="1"/>
    <xf numFmtId="0" fontId="5226" fillId="5230" borderId="5177" xfId="0" applyFont="1" applyFill="1" applyBorder="1"/>
    <xf numFmtId="0" fontId="5227" fillId="5231" borderId="5178" xfId="0" applyFont="1" applyFill="1" applyBorder="1"/>
    <xf numFmtId="0" fontId="5228" fillId="5232" borderId="5179" xfId="0" applyFont="1" applyFill="1" applyBorder="1"/>
    <xf numFmtId="0" fontId="5229" fillId="5233" borderId="5180" xfId="0" applyFont="1" applyFill="1" applyBorder="1"/>
    <xf numFmtId="0" fontId="5230" fillId="5234" borderId="5181" xfId="0" applyFont="1" applyFill="1" applyBorder="1"/>
    <xf numFmtId="14" fontId="5231" fillId="5235" borderId="5182" xfId="0" applyNumberFormat="1" applyFont="1" applyFill="1" applyBorder="1"/>
    <xf numFmtId="0" fontId="5232" fillId="5236" borderId="5183" xfId="0" applyFont="1" applyFill="1" applyBorder="1"/>
    <xf numFmtId="0" fontId="5233" fillId="5237" borderId="5184" xfId="0" applyFont="1" applyFill="1" applyBorder="1"/>
    <xf numFmtId="0" fontId="5234" fillId="5238" borderId="5185" xfId="0" applyFont="1" applyFill="1" applyBorder="1"/>
    <xf numFmtId="0" fontId="5235" fillId="5239" borderId="5186" xfId="0" applyFont="1" applyFill="1" applyBorder="1"/>
    <xf numFmtId="0" fontId="5236" fillId="5240" borderId="5187" xfId="0" applyFont="1" applyFill="1" applyBorder="1"/>
    <xf numFmtId="0" fontId="5237" fillId="5241" borderId="5188" xfId="0" applyFont="1" applyFill="1" applyBorder="1"/>
    <xf numFmtId="0" fontId="5238" fillId="5242" borderId="5189" xfId="0" applyFont="1" applyFill="1" applyBorder="1"/>
    <xf numFmtId="0" fontId="5239" fillId="5243" borderId="5190" xfId="0" applyFont="1" applyFill="1" applyBorder="1"/>
    <xf numFmtId="0" fontId="5240" fillId="5244" borderId="5191" xfId="0" applyFont="1" applyFill="1" applyBorder="1"/>
    <xf numFmtId="0" fontId="5241" fillId="5245" borderId="5192" xfId="0" applyFont="1" applyFill="1" applyBorder="1"/>
    <xf numFmtId="14" fontId="5242" fillId="5246" borderId="5193" xfId="0" applyNumberFormat="1" applyFont="1" applyFill="1" applyBorder="1"/>
    <xf numFmtId="0" fontId="5243" fillId="5247" borderId="5194" xfId="0" applyFont="1" applyFill="1" applyBorder="1"/>
    <xf numFmtId="0" fontId="5244" fillId="5248" borderId="5195" xfId="0" applyFont="1" applyFill="1" applyBorder="1"/>
    <xf numFmtId="0" fontId="5245" fillId="5249" borderId="5196" xfId="0" applyFont="1" applyFill="1" applyBorder="1"/>
    <xf numFmtId="0" fontId="5246" fillId="5250" borderId="5197" xfId="0" applyFont="1" applyFill="1" applyBorder="1"/>
    <xf numFmtId="0" fontId="5247" fillId="5251" borderId="5198" xfId="0" applyFont="1" applyFill="1" applyBorder="1"/>
    <xf numFmtId="0" fontId="5248" fillId="5252" borderId="5199" xfId="0" applyFont="1" applyFill="1" applyBorder="1"/>
    <xf numFmtId="0" fontId="5249" fillId="5253" borderId="5200" xfId="0" applyFont="1" applyFill="1" applyBorder="1"/>
    <xf numFmtId="0" fontId="5250" fillId="5254" borderId="5201" xfId="0" applyFont="1" applyFill="1" applyBorder="1"/>
    <xf numFmtId="0" fontId="5251" fillId="5255" borderId="5202" xfId="0" applyFont="1" applyFill="1" applyBorder="1"/>
    <xf numFmtId="0" fontId="5252" fillId="5256" borderId="5203" xfId="0" applyFont="1" applyFill="1" applyBorder="1"/>
    <xf numFmtId="14" fontId="5253" fillId="5257" borderId="5204" xfId="0" applyNumberFormat="1" applyFont="1" applyFill="1" applyBorder="1"/>
    <xf numFmtId="0" fontId="5254" fillId="5258" borderId="5205" xfId="0" applyFont="1" applyFill="1" applyBorder="1"/>
    <xf numFmtId="0" fontId="5255" fillId="5259" borderId="5206" xfId="0" applyFont="1" applyFill="1" applyBorder="1"/>
    <xf numFmtId="0" fontId="5256" fillId="5260" borderId="5207" xfId="0" applyFont="1" applyFill="1" applyBorder="1"/>
    <xf numFmtId="0" fontId="5257" fillId="5261" borderId="5208" xfId="0" applyFont="1" applyFill="1" applyBorder="1"/>
    <xf numFmtId="0" fontId="5258" fillId="5262" borderId="5209" xfId="0" applyFont="1" applyFill="1" applyBorder="1"/>
    <xf numFmtId="0" fontId="5259" fillId="5263" borderId="5210" xfId="0" applyFont="1" applyFill="1" applyBorder="1"/>
    <xf numFmtId="0" fontId="5260" fillId="5264" borderId="5211" xfId="0" applyFont="1" applyFill="1" applyBorder="1"/>
    <xf numFmtId="0" fontId="5261" fillId="5265" borderId="5212" xfId="0" applyFont="1" applyFill="1" applyBorder="1"/>
    <xf numFmtId="0" fontId="5262" fillId="5266" borderId="5213" xfId="0" applyFont="1" applyFill="1" applyBorder="1"/>
    <xf numFmtId="0" fontId="5263" fillId="5267" borderId="5214" xfId="0" applyFont="1" applyFill="1" applyBorder="1"/>
    <xf numFmtId="14" fontId="5264" fillId="5268" borderId="5215" xfId="0" applyNumberFormat="1" applyFont="1" applyFill="1" applyBorder="1"/>
    <xf numFmtId="0" fontId="5265" fillId="5269" borderId="5216" xfId="0" applyFont="1" applyFill="1" applyBorder="1"/>
    <xf numFmtId="0" fontId="5266" fillId="5270" borderId="5217" xfId="0" applyFont="1" applyFill="1" applyBorder="1"/>
    <xf numFmtId="0" fontId="5267" fillId="5271" borderId="5218" xfId="0" applyFont="1" applyFill="1" applyBorder="1"/>
    <xf numFmtId="0" fontId="5268" fillId="5272" borderId="5219" xfId="0" applyFont="1" applyFill="1" applyBorder="1"/>
    <xf numFmtId="0" fontId="5269" fillId="5273" borderId="5220" xfId="0" applyFont="1" applyFill="1" applyBorder="1"/>
    <xf numFmtId="0" fontId="5270" fillId="5274" borderId="5221" xfId="0" applyFont="1" applyFill="1" applyBorder="1"/>
    <xf numFmtId="0" fontId="5271" fillId="5275" borderId="5222" xfId="0" applyFont="1" applyFill="1" applyBorder="1"/>
    <xf numFmtId="0" fontId="5272" fillId="5276" borderId="5223" xfId="0" applyFont="1" applyFill="1" applyBorder="1"/>
    <xf numFmtId="0" fontId="5273" fillId="5277" borderId="5224" xfId="0" applyFont="1" applyFill="1" applyBorder="1"/>
    <xf numFmtId="0" fontId="5274" fillId="5278" borderId="5225" xfId="0" applyFont="1" applyFill="1" applyBorder="1"/>
    <xf numFmtId="14" fontId="5275" fillId="5279" borderId="5226" xfId="0" applyNumberFormat="1" applyFont="1" applyFill="1" applyBorder="1"/>
    <xf numFmtId="0" fontId="5276" fillId="5280" borderId="5227" xfId="0" applyFont="1" applyFill="1" applyBorder="1"/>
    <xf numFmtId="0" fontId="5277" fillId="5281" borderId="5228" xfId="0" applyFont="1" applyFill="1" applyBorder="1"/>
    <xf numFmtId="0" fontId="5278" fillId="5282" borderId="5229" xfId="0" applyFont="1" applyFill="1" applyBorder="1"/>
    <xf numFmtId="0" fontId="5279" fillId="5283" borderId="5230" xfId="0" applyFont="1" applyFill="1" applyBorder="1"/>
    <xf numFmtId="0" fontId="5280" fillId="5284" borderId="5231" xfId="0" applyFont="1" applyFill="1" applyBorder="1"/>
    <xf numFmtId="0" fontId="5281" fillId="5285" borderId="5232" xfId="0" applyFont="1" applyFill="1" applyBorder="1"/>
    <xf numFmtId="0" fontId="5282" fillId="5286" borderId="5233" xfId="0" applyFont="1" applyFill="1" applyBorder="1"/>
    <xf numFmtId="0" fontId="5283" fillId="5287" borderId="5234" xfId="0" applyFont="1" applyFill="1" applyBorder="1"/>
    <xf numFmtId="0" fontId="5284" fillId="5288" borderId="5235" xfId="0" applyFont="1" applyFill="1" applyBorder="1"/>
    <xf numFmtId="0" fontId="5285" fillId="5289" borderId="5236" xfId="0" applyFont="1" applyFill="1" applyBorder="1"/>
    <xf numFmtId="14" fontId="5286" fillId="5290" borderId="5237" xfId="0" applyNumberFormat="1" applyFont="1" applyFill="1" applyBorder="1"/>
    <xf numFmtId="0" fontId="5287" fillId="5291" borderId="5238" xfId="0" applyFont="1" applyFill="1" applyBorder="1"/>
    <xf numFmtId="0" fontId="5288" fillId="5292" borderId="5239" xfId="0" applyFont="1" applyFill="1" applyBorder="1"/>
    <xf numFmtId="0" fontId="5289" fillId="5293" borderId="5240" xfId="0" applyFont="1" applyFill="1" applyBorder="1"/>
    <xf numFmtId="0" fontId="5290" fillId="5294" borderId="5241" xfId="0" applyFont="1" applyFill="1" applyBorder="1"/>
    <xf numFmtId="0" fontId="5291" fillId="5295" borderId="5242" xfId="0" applyFont="1" applyFill="1" applyBorder="1"/>
    <xf numFmtId="0" fontId="5292" fillId="5296" borderId="5243" xfId="0" applyFont="1" applyFill="1" applyBorder="1"/>
    <xf numFmtId="0" fontId="5293" fillId="5297" borderId="5244" xfId="0" applyFont="1" applyFill="1" applyBorder="1"/>
    <xf numFmtId="0" fontId="5294" fillId="5298" borderId="5245" xfId="0" applyFont="1" applyFill="1" applyBorder="1"/>
    <xf numFmtId="0" fontId="5295" fillId="5299" borderId="5246" xfId="0" applyFont="1" applyFill="1" applyBorder="1"/>
    <xf numFmtId="0" fontId="5296" fillId="5300" borderId="5247" xfId="0" applyFont="1" applyFill="1" applyBorder="1"/>
    <xf numFmtId="14" fontId="5297" fillId="5301" borderId="5248" xfId="0" applyNumberFormat="1" applyFont="1" applyFill="1" applyBorder="1"/>
    <xf numFmtId="0" fontId="5298" fillId="5302" borderId="5249" xfId="0" applyFont="1" applyFill="1" applyBorder="1"/>
    <xf numFmtId="0" fontId="5299" fillId="5303" borderId="5250" xfId="0" applyFont="1" applyFill="1" applyBorder="1"/>
    <xf numFmtId="0" fontId="5300" fillId="5304" borderId="5251" xfId="0" applyFont="1" applyFill="1" applyBorder="1"/>
    <xf numFmtId="0" fontId="5301" fillId="5305" borderId="5252" xfId="0" applyFont="1" applyFill="1" applyBorder="1"/>
    <xf numFmtId="0" fontId="5302" fillId="5306" borderId="5253" xfId="0" applyFont="1" applyFill="1" applyBorder="1"/>
    <xf numFmtId="0" fontId="5303" fillId="5307" borderId="5254" xfId="0" applyFont="1" applyFill="1" applyBorder="1"/>
    <xf numFmtId="0" fontId="5304" fillId="5308" borderId="5255" xfId="0" applyFont="1" applyFill="1" applyBorder="1"/>
    <xf numFmtId="0" fontId="5305" fillId="5309" borderId="5256" xfId="0" applyFont="1" applyFill="1" applyBorder="1"/>
    <xf numFmtId="0" fontId="5306" fillId="5310" borderId="5257" xfId="0" applyFont="1" applyFill="1" applyBorder="1"/>
    <xf numFmtId="0" fontId="5307" fillId="5311" borderId="5258" xfId="0" applyFont="1" applyFill="1" applyBorder="1"/>
    <xf numFmtId="14" fontId="5308" fillId="5312" borderId="5259" xfId="0" applyNumberFormat="1" applyFont="1" applyFill="1" applyBorder="1"/>
    <xf numFmtId="0" fontId="5309" fillId="5313" borderId="5260" xfId="0" applyFont="1" applyFill="1" applyBorder="1"/>
    <xf numFmtId="0" fontId="5310" fillId="5314" borderId="5261" xfId="0" applyFont="1" applyFill="1" applyBorder="1"/>
    <xf numFmtId="0" fontId="5311" fillId="5315" borderId="5262" xfId="0" applyFont="1" applyFill="1" applyBorder="1"/>
    <xf numFmtId="0" fontId="5312" fillId="5316" borderId="5263" xfId="0" applyFont="1" applyFill="1" applyBorder="1"/>
    <xf numFmtId="0" fontId="5313" fillId="5317" borderId="5264" xfId="0" applyFont="1" applyFill="1" applyBorder="1"/>
    <xf numFmtId="0" fontId="5314" fillId="5318" borderId="5265" xfId="0" applyFont="1" applyFill="1" applyBorder="1"/>
    <xf numFmtId="0" fontId="5315" fillId="5319" borderId="5266" xfId="0" applyFont="1" applyFill="1" applyBorder="1"/>
    <xf numFmtId="0" fontId="5316" fillId="5320" borderId="5267" xfId="0" applyFont="1" applyFill="1" applyBorder="1"/>
    <xf numFmtId="0" fontId="5317" fillId="5321" borderId="5268" xfId="0" applyFont="1" applyFill="1" applyBorder="1"/>
    <xf numFmtId="0" fontId="5318" fillId="5322" borderId="5269" xfId="0" applyFont="1" applyFill="1" applyBorder="1"/>
    <xf numFmtId="14" fontId="5319" fillId="5323" borderId="5270" xfId="0" applyNumberFormat="1" applyFont="1" applyFill="1" applyBorder="1"/>
    <xf numFmtId="0" fontId="5320" fillId="5324" borderId="5271" xfId="0" applyFont="1" applyFill="1" applyBorder="1"/>
    <xf numFmtId="0" fontId="5321" fillId="5325" borderId="5272" xfId="0" applyFont="1" applyFill="1" applyBorder="1"/>
    <xf numFmtId="0" fontId="5322" fillId="5326" borderId="5273" xfId="0" applyFont="1" applyFill="1" applyBorder="1"/>
    <xf numFmtId="0" fontId="5323" fillId="5327" borderId="5274" xfId="0" applyFont="1" applyFill="1" applyBorder="1"/>
    <xf numFmtId="0" fontId="5324" fillId="5328" borderId="5275" xfId="0" applyFont="1" applyFill="1" applyBorder="1"/>
    <xf numFmtId="0" fontId="5325" fillId="5329" borderId="5276" xfId="0" applyFont="1" applyFill="1" applyBorder="1"/>
    <xf numFmtId="0" fontId="5326" fillId="5330" borderId="5277" xfId="0" applyFont="1" applyFill="1" applyBorder="1"/>
    <xf numFmtId="0" fontId="5327" fillId="5331" borderId="5278" xfId="0" applyFont="1" applyFill="1" applyBorder="1"/>
    <xf numFmtId="0" fontId="5328" fillId="5332" borderId="5279" xfId="0" applyFont="1" applyFill="1" applyBorder="1"/>
    <xf numFmtId="0" fontId="5329" fillId="5333" borderId="5280" xfId="0" applyFont="1" applyFill="1" applyBorder="1"/>
    <xf numFmtId="14" fontId="5330" fillId="5334" borderId="5281" xfId="0" applyNumberFormat="1" applyFont="1" applyFill="1" applyBorder="1"/>
    <xf numFmtId="0" fontId="5331" fillId="5335" borderId="5282" xfId="0" applyFont="1" applyFill="1" applyBorder="1"/>
    <xf numFmtId="0" fontId="5332" fillId="5336" borderId="5283" xfId="0" applyFont="1" applyFill="1" applyBorder="1"/>
    <xf numFmtId="0" fontId="5333" fillId="5337" borderId="5284" xfId="0" applyFont="1" applyFill="1" applyBorder="1"/>
    <xf numFmtId="0" fontId="5334" fillId="5338" borderId="5285" xfId="0" applyFont="1" applyFill="1" applyBorder="1"/>
    <xf numFmtId="0" fontId="5335" fillId="5339" borderId="5286" xfId="0" applyFont="1" applyFill="1" applyBorder="1"/>
    <xf numFmtId="0" fontId="5336" fillId="5340" borderId="5287" xfId="0" applyFont="1" applyFill="1" applyBorder="1"/>
    <xf numFmtId="0" fontId="5337" fillId="5341" borderId="5288" xfId="0" applyFont="1" applyFill="1" applyBorder="1"/>
    <xf numFmtId="0" fontId="5338" fillId="5342" borderId="5289" xfId="0" applyFont="1" applyFill="1" applyBorder="1"/>
    <xf numFmtId="0" fontId="5339" fillId="5343" borderId="5290" xfId="0" applyFont="1" applyFill="1" applyBorder="1"/>
    <xf numFmtId="0" fontId="5340" fillId="5344" borderId="5291" xfId="0" applyFont="1" applyFill="1" applyBorder="1"/>
    <xf numFmtId="14" fontId="5341" fillId="5345" borderId="5292" xfId="0" applyNumberFormat="1" applyFont="1" applyFill="1" applyBorder="1"/>
    <xf numFmtId="0" fontId="5342" fillId="5346" borderId="5293" xfId="0" applyFont="1" applyFill="1" applyBorder="1"/>
    <xf numFmtId="0" fontId="5343" fillId="5347" borderId="5294" xfId="0" applyFont="1" applyFill="1" applyBorder="1"/>
    <xf numFmtId="0" fontId="5344" fillId="5348" borderId="5295" xfId="0" applyFont="1" applyFill="1" applyBorder="1"/>
    <xf numFmtId="0" fontId="5345" fillId="5349" borderId="5296" xfId="0" applyFont="1" applyFill="1" applyBorder="1"/>
    <xf numFmtId="0" fontId="5346" fillId="5350" borderId="5297" xfId="0" applyFont="1" applyFill="1" applyBorder="1"/>
    <xf numFmtId="0" fontId="5347" fillId="5351" borderId="5298" xfId="0" applyFont="1" applyFill="1" applyBorder="1"/>
    <xf numFmtId="0" fontId="5348" fillId="5352" borderId="5299" xfId="0" applyFont="1" applyFill="1" applyBorder="1"/>
    <xf numFmtId="0" fontId="5349" fillId="5353" borderId="5300" xfId="0" applyFont="1" applyFill="1" applyBorder="1"/>
    <xf numFmtId="0" fontId="5350" fillId="5354" borderId="5301" xfId="0" applyFont="1" applyFill="1" applyBorder="1"/>
    <xf numFmtId="0" fontId="5351" fillId="5355" borderId="5302" xfId="0" applyFont="1" applyFill="1" applyBorder="1"/>
    <xf numFmtId="14" fontId="5352" fillId="5356" borderId="5303" xfId="0" applyNumberFormat="1" applyFont="1" applyFill="1" applyBorder="1"/>
    <xf numFmtId="0" fontId="5353" fillId="5357" borderId="5304" xfId="0" applyFont="1" applyFill="1" applyBorder="1"/>
    <xf numFmtId="0" fontId="5354" fillId="5358" borderId="5305" xfId="0" applyFont="1" applyFill="1" applyBorder="1"/>
    <xf numFmtId="0" fontId="5355" fillId="5359" borderId="5306" xfId="0" applyFont="1" applyFill="1" applyBorder="1"/>
    <xf numFmtId="0" fontId="5356" fillId="5360" borderId="5307" xfId="0" applyFont="1" applyFill="1" applyBorder="1"/>
    <xf numFmtId="0" fontId="5357" fillId="5361" borderId="5308" xfId="0" applyFont="1" applyFill="1" applyBorder="1"/>
    <xf numFmtId="0" fontId="5358" fillId="5362" borderId="5309" xfId="0" applyFont="1" applyFill="1" applyBorder="1"/>
    <xf numFmtId="0" fontId="5359" fillId="5363" borderId="5310" xfId="0" applyFont="1" applyFill="1" applyBorder="1"/>
    <xf numFmtId="0" fontId="5360" fillId="5364" borderId="5311" xfId="0" applyFont="1" applyFill="1" applyBorder="1"/>
    <xf numFmtId="0" fontId="5361" fillId="5365" borderId="5312" xfId="0" applyFont="1" applyFill="1" applyBorder="1"/>
    <xf numFmtId="0" fontId="5362" fillId="5366" borderId="5313" xfId="0" applyFont="1" applyFill="1" applyBorder="1"/>
    <xf numFmtId="14" fontId="5363" fillId="5367" borderId="5314" xfId="0" applyNumberFormat="1" applyFont="1" applyFill="1" applyBorder="1"/>
    <xf numFmtId="0" fontId="5364" fillId="5368" borderId="5315" xfId="0" applyFont="1" applyFill="1" applyBorder="1"/>
    <xf numFmtId="0" fontId="5365" fillId="5369" borderId="5316" xfId="0" applyFont="1" applyFill="1" applyBorder="1"/>
    <xf numFmtId="0" fontId="5366" fillId="5370" borderId="5317" xfId="0" applyFont="1" applyFill="1" applyBorder="1"/>
    <xf numFmtId="0" fontId="5367" fillId="5371" borderId="5318" xfId="0" applyFont="1" applyFill="1" applyBorder="1"/>
    <xf numFmtId="0" fontId="5368" fillId="5372" borderId="5319" xfId="0" applyFont="1" applyFill="1" applyBorder="1"/>
    <xf numFmtId="0" fontId="5369" fillId="5373" borderId="5320" xfId="0" applyFont="1" applyFill="1" applyBorder="1"/>
    <xf numFmtId="0" fontId="5370" fillId="5374" borderId="5321" xfId="0" applyFont="1" applyFill="1" applyBorder="1"/>
    <xf numFmtId="0" fontId="5371" fillId="5375" borderId="5322" xfId="0" applyFont="1" applyFill="1" applyBorder="1"/>
    <xf numFmtId="0" fontId="5372" fillId="5376" borderId="5323" xfId="0" applyFont="1" applyFill="1" applyBorder="1"/>
    <xf numFmtId="0" fontId="5373" fillId="5377" borderId="5324" xfId="0" applyFont="1" applyFill="1" applyBorder="1"/>
    <xf numFmtId="14" fontId="5374" fillId="5378" borderId="5325" xfId="0" applyNumberFormat="1" applyFont="1" applyFill="1" applyBorder="1"/>
    <xf numFmtId="0" fontId="5375" fillId="5379" borderId="5326" xfId="0" applyFont="1" applyFill="1" applyBorder="1"/>
    <xf numFmtId="0" fontId="5376" fillId="5380" borderId="5327" xfId="0" applyFont="1" applyFill="1" applyBorder="1"/>
    <xf numFmtId="0" fontId="5377" fillId="5381" borderId="5328" xfId="0" applyFont="1" applyFill="1" applyBorder="1"/>
    <xf numFmtId="0" fontId="5378" fillId="5382" borderId="5329" xfId="0" applyFont="1" applyFill="1" applyBorder="1"/>
    <xf numFmtId="0" fontId="5379" fillId="5383" borderId="5330" xfId="0" applyFont="1" applyFill="1" applyBorder="1"/>
    <xf numFmtId="0" fontId="5380" fillId="5384" borderId="5331" xfId="0" applyFont="1" applyFill="1" applyBorder="1"/>
    <xf numFmtId="0" fontId="5381" fillId="5385" borderId="5332" xfId="0" applyFont="1" applyFill="1" applyBorder="1"/>
    <xf numFmtId="0" fontId="5382" fillId="5386" borderId="5333" xfId="0" applyFont="1" applyFill="1" applyBorder="1"/>
    <xf numFmtId="0" fontId="5383" fillId="5387" borderId="5334" xfId="0" applyFont="1" applyFill="1" applyBorder="1"/>
    <xf numFmtId="0" fontId="5384" fillId="5388" borderId="5335" xfId="0" applyFont="1" applyFill="1" applyBorder="1"/>
    <xf numFmtId="14" fontId="5385" fillId="5389" borderId="5336" xfId="0" applyNumberFormat="1" applyFont="1" applyFill="1" applyBorder="1"/>
    <xf numFmtId="0" fontId="5386" fillId="5390" borderId="5337" xfId="0" applyFont="1" applyFill="1" applyBorder="1"/>
    <xf numFmtId="0" fontId="5387" fillId="5391" borderId="5338" xfId="0" applyFont="1" applyFill="1" applyBorder="1"/>
    <xf numFmtId="0" fontId="5388" fillId="5392" borderId="5339" xfId="0" applyFont="1" applyFill="1" applyBorder="1"/>
    <xf numFmtId="0" fontId="5389" fillId="5393" borderId="5340" xfId="0" applyFont="1" applyFill="1" applyBorder="1"/>
    <xf numFmtId="0" fontId="5390" fillId="5394" borderId="5341" xfId="0" applyFont="1" applyFill="1" applyBorder="1"/>
    <xf numFmtId="0" fontId="5391" fillId="5395" borderId="5342" xfId="0" applyFont="1" applyFill="1" applyBorder="1"/>
    <xf numFmtId="0" fontId="5392" fillId="5396" borderId="5343" xfId="0" applyFont="1" applyFill="1" applyBorder="1"/>
    <xf numFmtId="0" fontId="5393" fillId="5397" borderId="5344" xfId="0" applyFont="1" applyFill="1" applyBorder="1"/>
    <xf numFmtId="0" fontId="5394" fillId="5398" borderId="5345" xfId="0" applyFont="1" applyFill="1" applyBorder="1"/>
    <xf numFmtId="0" fontId="5395" fillId="5399" borderId="5346" xfId="0" applyFont="1" applyFill="1" applyBorder="1"/>
    <xf numFmtId="14" fontId="5396" fillId="5400" borderId="5347" xfId="0" applyNumberFormat="1" applyFont="1" applyFill="1" applyBorder="1"/>
    <xf numFmtId="0" fontId="5397" fillId="5401" borderId="5348" xfId="0" applyFont="1" applyFill="1" applyBorder="1"/>
    <xf numFmtId="0" fontId="5398" fillId="5402" borderId="5349" xfId="0" applyFont="1" applyFill="1" applyBorder="1"/>
    <xf numFmtId="0" fontId="5399" fillId="5403" borderId="5350" xfId="0" applyFont="1" applyFill="1" applyBorder="1"/>
    <xf numFmtId="0" fontId="5400" fillId="5404" borderId="5351" xfId="0" applyFont="1" applyFill="1" applyBorder="1"/>
    <xf numFmtId="0" fontId="5401" fillId="5405" borderId="5352" xfId="0" applyFont="1" applyFill="1" applyBorder="1"/>
    <xf numFmtId="0" fontId="5402" fillId="5406" borderId="5353" xfId="0" applyFont="1" applyFill="1" applyBorder="1"/>
    <xf numFmtId="0" fontId="5403" fillId="5407" borderId="5354" xfId="0" applyFont="1" applyFill="1" applyBorder="1"/>
    <xf numFmtId="0" fontId="5404" fillId="5408" borderId="5355" xfId="0" applyFont="1" applyFill="1" applyBorder="1"/>
    <xf numFmtId="0" fontId="5405" fillId="5409" borderId="5356" xfId="0" applyFont="1" applyFill="1" applyBorder="1"/>
    <xf numFmtId="0" fontId="5406" fillId="5410" borderId="5357" xfId="0" applyFont="1" applyFill="1" applyBorder="1"/>
    <xf numFmtId="14" fontId="5407" fillId="5411" borderId="5358" xfId="0" applyNumberFormat="1" applyFont="1" applyFill="1" applyBorder="1"/>
    <xf numFmtId="0" fontId="5408" fillId="5412" borderId="5359" xfId="0" applyFont="1" applyFill="1" applyBorder="1"/>
    <xf numFmtId="0" fontId="5409" fillId="5413" borderId="5360" xfId="0" applyFont="1" applyFill="1" applyBorder="1"/>
    <xf numFmtId="0" fontId="5410" fillId="5414" borderId="5361" xfId="0" applyFont="1" applyFill="1" applyBorder="1"/>
    <xf numFmtId="0" fontId="5411" fillId="5415" borderId="5362" xfId="0" applyFont="1" applyFill="1" applyBorder="1"/>
    <xf numFmtId="0" fontId="5412" fillId="5416" borderId="5363" xfId="0" applyFont="1" applyFill="1" applyBorder="1"/>
    <xf numFmtId="0" fontId="5413" fillId="5417" borderId="5364" xfId="0" applyFont="1" applyFill="1" applyBorder="1"/>
    <xf numFmtId="0" fontId="5414" fillId="5418" borderId="5365" xfId="0" applyFont="1" applyFill="1" applyBorder="1"/>
    <xf numFmtId="0" fontId="5415" fillId="5419" borderId="5366" xfId="0" applyFont="1" applyFill="1" applyBorder="1"/>
    <xf numFmtId="0" fontId="5416" fillId="5420" borderId="5367" xfId="0" applyFont="1" applyFill="1" applyBorder="1"/>
    <xf numFmtId="0" fontId="5417" fillId="5421" borderId="5368" xfId="0" applyFont="1" applyFill="1" applyBorder="1"/>
    <xf numFmtId="14" fontId="5418" fillId="5422" borderId="5369" xfId="0" applyNumberFormat="1" applyFont="1" applyFill="1" applyBorder="1"/>
    <xf numFmtId="0" fontId="5419" fillId="5423" borderId="5370" xfId="0" applyFont="1" applyFill="1" applyBorder="1"/>
    <xf numFmtId="0" fontId="5420" fillId="5424" borderId="5371" xfId="0" applyFont="1" applyFill="1" applyBorder="1"/>
    <xf numFmtId="0" fontId="5421" fillId="5425" borderId="5372" xfId="0" applyFont="1" applyFill="1" applyBorder="1"/>
    <xf numFmtId="0" fontId="5422" fillId="5426" borderId="5373" xfId="0" applyFont="1" applyFill="1" applyBorder="1"/>
    <xf numFmtId="0" fontId="5423" fillId="5427" borderId="5374" xfId="0" applyFont="1" applyFill="1" applyBorder="1"/>
    <xf numFmtId="0" fontId="5424" fillId="5428" borderId="5375" xfId="0" applyFont="1" applyFill="1" applyBorder="1"/>
    <xf numFmtId="0" fontId="5425" fillId="5429" borderId="5376" xfId="0" applyFont="1" applyFill="1" applyBorder="1"/>
    <xf numFmtId="0" fontId="5426" fillId="5430" borderId="5377" xfId="0" applyFont="1" applyFill="1" applyBorder="1"/>
    <xf numFmtId="0" fontId="5427" fillId="5431" borderId="5378" xfId="0" applyFont="1" applyFill="1" applyBorder="1"/>
    <xf numFmtId="0" fontId="5428" fillId="5432" borderId="5379" xfId="0" applyFont="1" applyFill="1" applyBorder="1"/>
    <xf numFmtId="14" fontId="5429" fillId="5433" borderId="5380" xfId="0" applyNumberFormat="1" applyFont="1" applyFill="1" applyBorder="1"/>
    <xf numFmtId="0" fontId="5430" fillId="5434" borderId="5381" xfId="0" applyFont="1" applyFill="1" applyBorder="1"/>
    <xf numFmtId="0" fontId="5431" fillId="5435" borderId="5382" xfId="0" applyFont="1" applyFill="1" applyBorder="1"/>
    <xf numFmtId="0" fontId="5432" fillId="5436" borderId="5383" xfId="0" applyFont="1" applyFill="1" applyBorder="1"/>
    <xf numFmtId="0" fontId="5433" fillId="5437" borderId="5384" xfId="0" applyFont="1" applyFill="1" applyBorder="1"/>
    <xf numFmtId="0" fontId="5434" fillId="5438" borderId="5385" xfId="0" applyFont="1" applyFill="1" applyBorder="1"/>
    <xf numFmtId="0" fontId="5435" fillId="5439" borderId="5386" xfId="0" applyFont="1" applyFill="1" applyBorder="1"/>
    <xf numFmtId="0" fontId="5436" fillId="5440" borderId="5387" xfId="0" applyFont="1" applyFill="1" applyBorder="1"/>
    <xf numFmtId="0" fontId="5437" fillId="5441" borderId="5388" xfId="0" applyFont="1" applyFill="1" applyBorder="1"/>
    <xf numFmtId="0" fontId="5438" fillId="5442" borderId="5389" xfId="0" applyFont="1" applyFill="1" applyBorder="1"/>
    <xf numFmtId="0" fontId="5439" fillId="5443" borderId="5390" xfId="0" applyFont="1" applyFill="1" applyBorder="1"/>
    <xf numFmtId="14" fontId="5440" fillId="5444" borderId="5391" xfId="0" applyNumberFormat="1" applyFont="1" applyFill="1" applyBorder="1"/>
    <xf numFmtId="0" fontId="5441" fillId="5445" borderId="5392" xfId="0" applyFont="1" applyFill="1" applyBorder="1"/>
    <xf numFmtId="0" fontId="5442" fillId="5446" borderId="5393" xfId="0" applyFont="1" applyFill="1" applyBorder="1"/>
    <xf numFmtId="0" fontId="5443" fillId="5447" borderId="5394" xfId="0" applyFont="1" applyFill="1" applyBorder="1"/>
    <xf numFmtId="0" fontId="5444" fillId="5448" borderId="5395" xfId="0" applyFont="1" applyFill="1" applyBorder="1"/>
    <xf numFmtId="0" fontId="5445" fillId="5449" borderId="5396" xfId="0" applyFont="1" applyFill="1" applyBorder="1"/>
    <xf numFmtId="0" fontId="5446" fillId="5450" borderId="5397" xfId="0" applyFont="1" applyFill="1" applyBorder="1"/>
    <xf numFmtId="0" fontId="5447" fillId="5451" borderId="5398" xfId="0" applyFont="1" applyFill="1" applyBorder="1"/>
    <xf numFmtId="0" fontId="5448" fillId="5452" borderId="5399" xfId="0" applyFont="1" applyFill="1" applyBorder="1"/>
    <xf numFmtId="0" fontId="5449" fillId="5453" borderId="5400" xfId="0" applyFont="1" applyFill="1" applyBorder="1"/>
    <xf numFmtId="0" fontId="5450" fillId="5454" borderId="5401" xfId="0" applyFont="1" applyFill="1" applyBorder="1"/>
    <xf numFmtId="14" fontId="5451" fillId="5455" borderId="5402" xfId="0" applyNumberFormat="1" applyFont="1" applyFill="1" applyBorder="1"/>
    <xf numFmtId="0" fontId="5452" fillId="5456" borderId="5403" xfId="0" applyFont="1" applyFill="1" applyBorder="1"/>
    <xf numFmtId="0" fontId="5453" fillId="5457" borderId="5404" xfId="0" applyFont="1" applyFill="1" applyBorder="1"/>
    <xf numFmtId="0" fontId="5454" fillId="5458" borderId="5405" xfId="0" applyFont="1" applyFill="1" applyBorder="1"/>
    <xf numFmtId="0" fontId="5455" fillId="5459" borderId="5406" xfId="0" applyFont="1" applyFill="1" applyBorder="1"/>
    <xf numFmtId="0" fontId="5456" fillId="5460" borderId="5407" xfId="0" applyFont="1" applyFill="1" applyBorder="1"/>
    <xf numFmtId="0" fontId="5457" fillId="5461" borderId="5408" xfId="0" applyFont="1" applyFill="1" applyBorder="1"/>
    <xf numFmtId="0" fontId="5458" fillId="5462" borderId="5409" xfId="0" applyFont="1" applyFill="1" applyBorder="1"/>
    <xf numFmtId="0" fontId="5459" fillId="5463" borderId="5410" xfId="0" applyFont="1" applyFill="1" applyBorder="1"/>
    <xf numFmtId="0" fontId="5460" fillId="5464" borderId="5411" xfId="0" applyFont="1" applyFill="1" applyBorder="1"/>
    <xf numFmtId="0" fontId="5461" fillId="5465" borderId="5412" xfId="0" applyFont="1" applyFill="1" applyBorder="1"/>
    <xf numFmtId="14" fontId="5462" fillId="5466" borderId="5413" xfId="0" applyNumberFormat="1" applyFont="1" applyFill="1" applyBorder="1"/>
    <xf numFmtId="0" fontId="5463" fillId="5467" borderId="5414" xfId="0" applyFont="1" applyFill="1" applyBorder="1"/>
    <xf numFmtId="0" fontId="5464" fillId="5468" borderId="5415" xfId="0" applyFont="1" applyFill="1" applyBorder="1"/>
    <xf numFmtId="0" fontId="5465" fillId="5469" borderId="5416" xfId="0" applyFont="1" applyFill="1" applyBorder="1"/>
    <xf numFmtId="0" fontId="5466" fillId="5470" borderId="5417" xfId="0" applyFont="1" applyFill="1" applyBorder="1"/>
    <xf numFmtId="0" fontId="5467" fillId="5471" borderId="5418" xfId="0" applyFont="1" applyFill="1" applyBorder="1"/>
    <xf numFmtId="0" fontId="5468" fillId="5472" borderId="5419" xfId="0" applyFont="1" applyFill="1" applyBorder="1"/>
    <xf numFmtId="0" fontId="5469" fillId="5473" borderId="5420" xfId="0" applyFont="1" applyFill="1" applyBorder="1"/>
    <xf numFmtId="0" fontId="5470" fillId="5474" borderId="5421" xfId="0" applyFont="1" applyFill="1" applyBorder="1"/>
    <xf numFmtId="0" fontId="5471" fillId="5475" borderId="5422" xfId="0" applyFont="1" applyFill="1" applyBorder="1"/>
    <xf numFmtId="0" fontId="5472" fillId="5476" borderId="5423" xfId="0" applyFont="1" applyFill="1" applyBorder="1"/>
    <xf numFmtId="14" fontId="5473" fillId="5477" borderId="5424" xfId="0" applyNumberFormat="1" applyFont="1" applyFill="1" applyBorder="1"/>
    <xf numFmtId="0" fontId="5474" fillId="5478" borderId="5425" xfId="0" applyFont="1" applyFill="1" applyBorder="1"/>
    <xf numFmtId="0" fontId="5475" fillId="5479" borderId="5426" xfId="0" applyFont="1" applyFill="1" applyBorder="1"/>
    <xf numFmtId="0" fontId="5476" fillId="5480" borderId="5427" xfId="0" applyFont="1" applyFill="1" applyBorder="1"/>
    <xf numFmtId="0" fontId="5477" fillId="5481" borderId="5428" xfId="0" applyFont="1" applyFill="1" applyBorder="1"/>
    <xf numFmtId="0" fontId="5478" fillId="5482" borderId="5429" xfId="0" applyFont="1" applyFill="1" applyBorder="1"/>
    <xf numFmtId="0" fontId="5479" fillId="5483" borderId="5430" xfId="0" applyFont="1" applyFill="1" applyBorder="1"/>
    <xf numFmtId="0" fontId="5480" fillId="5484" borderId="5431" xfId="0" applyFont="1" applyFill="1" applyBorder="1"/>
    <xf numFmtId="0" fontId="5481" fillId="5485" borderId="5432" xfId="0" applyFont="1" applyFill="1" applyBorder="1"/>
    <xf numFmtId="0" fontId="5482" fillId="5486" borderId="5433" xfId="0" applyFont="1" applyFill="1" applyBorder="1"/>
    <xf numFmtId="0" fontId="5483" fillId="5487" borderId="5434" xfId="0" applyFont="1" applyFill="1" applyBorder="1"/>
    <xf numFmtId="14" fontId="5484" fillId="5488" borderId="5435" xfId="0" applyNumberFormat="1" applyFont="1" applyFill="1" applyBorder="1"/>
    <xf numFmtId="0" fontId="5485" fillId="5489" borderId="5436" xfId="0" applyFont="1" applyFill="1" applyBorder="1"/>
    <xf numFmtId="0" fontId="5486" fillId="5490" borderId="5437" xfId="0" applyFont="1" applyFill="1" applyBorder="1"/>
    <xf numFmtId="0" fontId="5487" fillId="5491" borderId="5438" xfId="0" applyFont="1" applyFill="1" applyBorder="1"/>
    <xf numFmtId="0" fontId="5488" fillId="5492" borderId="5439" xfId="0" applyFont="1" applyFill="1" applyBorder="1"/>
    <xf numFmtId="0" fontId="5489" fillId="5493" borderId="5440" xfId="0" applyFont="1" applyFill="1" applyBorder="1"/>
    <xf numFmtId="0" fontId="5490" fillId="5494" borderId="5441" xfId="0" applyFont="1" applyFill="1" applyBorder="1"/>
    <xf numFmtId="0" fontId="5491" fillId="5495" borderId="5442" xfId="0" applyFont="1" applyFill="1" applyBorder="1"/>
    <xf numFmtId="0" fontId="5492" fillId="5496" borderId="5443" xfId="0" applyFont="1" applyFill="1" applyBorder="1"/>
    <xf numFmtId="0" fontId="5493" fillId="5497" borderId="5444" xfId="0" applyFont="1" applyFill="1" applyBorder="1"/>
    <xf numFmtId="0" fontId="5494" fillId="5498" borderId="5445" xfId="0" applyFont="1" applyFill="1" applyBorder="1"/>
    <xf numFmtId="14" fontId="5495" fillId="5499" borderId="5446" xfId="0" applyNumberFormat="1" applyFont="1" applyFill="1" applyBorder="1"/>
    <xf numFmtId="0" fontId="5496" fillId="5500" borderId="5447" xfId="0" applyFont="1" applyFill="1" applyBorder="1"/>
    <xf numFmtId="0" fontId="5497" fillId="5501" borderId="5448" xfId="0" applyFont="1" applyFill="1" applyBorder="1"/>
    <xf numFmtId="0" fontId="5498" fillId="5502" borderId="5449" xfId="0" applyFont="1" applyFill="1" applyBorder="1"/>
    <xf numFmtId="0" fontId="5499" fillId="5503" borderId="5450" xfId="0" applyFont="1" applyFill="1" applyBorder="1"/>
    <xf numFmtId="0" fontId="5500" fillId="5504" borderId="5451" xfId="0" applyFont="1" applyFill="1" applyBorder="1"/>
    <xf numFmtId="0" fontId="5501" fillId="5505" borderId="5452" xfId="0" applyFont="1" applyFill="1" applyBorder="1"/>
    <xf numFmtId="0" fontId="5502" fillId="5506" borderId="5453" xfId="0" applyFont="1" applyFill="1" applyBorder="1"/>
    <xf numFmtId="0" fontId="5503" fillId="5507" borderId="5454" xfId="0" applyFont="1" applyFill="1" applyBorder="1"/>
    <xf numFmtId="0" fontId="5504" fillId="5508" borderId="5455" xfId="0" applyFont="1" applyFill="1" applyBorder="1"/>
    <xf numFmtId="0" fontId="5505" fillId="5509" borderId="5456" xfId="0" applyFont="1" applyFill="1" applyBorder="1"/>
    <xf numFmtId="14" fontId="5506" fillId="5510" borderId="5457" xfId="0" applyNumberFormat="1" applyFont="1" applyFill="1" applyBorder="1"/>
    <xf numFmtId="0" fontId="5507" fillId="5511" borderId="5458" xfId="0" applyFont="1" applyFill="1" applyBorder="1"/>
    <xf numFmtId="0" fontId="5508" fillId="5512" borderId="5459" xfId="0" applyFont="1" applyFill="1" applyBorder="1"/>
    <xf numFmtId="0" fontId="5509" fillId="5513" borderId="5460" xfId="0" applyFont="1" applyFill="1" applyBorder="1"/>
    <xf numFmtId="0" fontId="5510" fillId="5514" borderId="5461" xfId="0" applyFont="1" applyFill="1" applyBorder="1"/>
    <xf numFmtId="0" fontId="5511" fillId="5515" borderId="5462" xfId="0" applyFont="1" applyFill="1" applyBorder="1"/>
    <xf numFmtId="0" fontId="5512" fillId="5516" borderId="5463" xfId="0" applyFont="1" applyFill="1" applyBorder="1"/>
    <xf numFmtId="0" fontId="5513" fillId="5517" borderId="5464" xfId="0" applyFont="1" applyFill="1" applyBorder="1"/>
    <xf numFmtId="0" fontId="5514" fillId="5518" borderId="5465" xfId="0" applyFont="1" applyFill="1" applyBorder="1"/>
    <xf numFmtId="0" fontId="5515" fillId="5519" borderId="5466" xfId="0" applyFont="1" applyFill="1" applyBorder="1"/>
    <xf numFmtId="0" fontId="5516" fillId="5520" borderId="5467" xfId="0" applyFont="1" applyFill="1" applyBorder="1"/>
    <xf numFmtId="14" fontId="5517" fillId="5521" borderId="5468" xfId="0" applyNumberFormat="1" applyFont="1" applyFill="1" applyBorder="1"/>
    <xf numFmtId="0" fontId="5518" fillId="5522" borderId="5469" xfId="0" applyFont="1" applyFill="1" applyBorder="1"/>
    <xf numFmtId="0" fontId="5519" fillId="5523" borderId="5470" xfId="0" applyFont="1" applyFill="1" applyBorder="1"/>
    <xf numFmtId="0" fontId="5520" fillId="5524" borderId="5471" xfId="0" applyFont="1" applyFill="1" applyBorder="1"/>
    <xf numFmtId="0" fontId="5521" fillId="5525" borderId="5472" xfId="0" applyFont="1" applyFill="1" applyBorder="1"/>
    <xf numFmtId="0" fontId="5522" fillId="5526" borderId="5473" xfId="0" applyFont="1" applyFill="1" applyBorder="1"/>
    <xf numFmtId="0" fontId="5523" fillId="5527" borderId="5474" xfId="0" applyFont="1" applyFill="1" applyBorder="1"/>
    <xf numFmtId="0" fontId="5524" fillId="5528" borderId="5475" xfId="0" applyFont="1" applyFill="1" applyBorder="1"/>
    <xf numFmtId="0" fontId="5525" fillId="5529" borderId="5476" xfId="0" applyFont="1" applyFill="1" applyBorder="1"/>
    <xf numFmtId="0" fontId="5526" fillId="5530" borderId="5477" xfId="0" applyFont="1" applyFill="1" applyBorder="1"/>
    <xf numFmtId="0" fontId="5527" fillId="5531" borderId="5478" xfId="0" applyFont="1" applyFill="1" applyBorder="1"/>
    <xf numFmtId="14" fontId="5528" fillId="5532" borderId="5479" xfId="0" applyNumberFormat="1" applyFont="1" applyFill="1" applyBorder="1"/>
    <xf numFmtId="0" fontId="5529" fillId="5533" borderId="5480" xfId="0" applyFont="1" applyFill="1" applyBorder="1"/>
    <xf numFmtId="0" fontId="5530" fillId="5534" borderId="5481" xfId="0" applyFont="1" applyFill="1" applyBorder="1"/>
    <xf numFmtId="0" fontId="5531" fillId="5535" borderId="5482" xfId="0" applyFont="1" applyFill="1" applyBorder="1"/>
    <xf numFmtId="0" fontId="5532" fillId="5536" borderId="5483" xfId="0" applyFont="1" applyFill="1" applyBorder="1"/>
    <xf numFmtId="0" fontId="5533" fillId="5537" borderId="5484" xfId="0" applyFont="1" applyFill="1" applyBorder="1"/>
    <xf numFmtId="0" fontId="5534" fillId="5538" borderId="5485" xfId="0" applyFont="1" applyFill="1" applyBorder="1"/>
    <xf numFmtId="0" fontId="5535" fillId="5539" borderId="5486" xfId="0" applyFont="1" applyFill="1" applyBorder="1"/>
    <xf numFmtId="0" fontId="5536" fillId="5540" borderId="5487" xfId="0" applyFont="1" applyFill="1" applyBorder="1"/>
    <xf numFmtId="0" fontId="5537" fillId="5541" borderId="5488" xfId="0" applyFont="1" applyFill="1" applyBorder="1"/>
    <xf numFmtId="0" fontId="5538" fillId="5542" borderId="5489" xfId="0" applyFont="1" applyFill="1" applyBorder="1"/>
    <xf numFmtId="14" fontId="5539" fillId="5543" borderId="5490" xfId="0" applyNumberFormat="1" applyFont="1" applyFill="1" applyBorder="1"/>
    <xf numFmtId="0" fontId="5540" fillId="5544" borderId="5491" xfId="0" applyFont="1" applyFill="1" applyBorder="1"/>
    <xf numFmtId="0" fontId="5541" fillId="5545" borderId="5492" xfId="0" applyFont="1" applyFill="1" applyBorder="1"/>
    <xf numFmtId="0" fontId="5542" fillId="5546" borderId="5493" xfId="0" applyFont="1" applyFill="1" applyBorder="1"/>
    <xf numFmtId="0" fontId="5543" fillId="5547" borderId="5494" xfId="0" applyFont="1" applyFill="1" applyBorder="1"/>
    <xf numFmtId="0" fontId="5544" fillId="5548" borderId="5495" xfId="0" applyFont="1" applyFill="1" applyBorder="1"/>
    <xf numFmtId="0" fontId="5545" fillId="5549" borderId="5496" xfId="0" applyFont="1" applyFill="1" applyBorder="1"/>
    <xf numFmtId="0" fontId="5546" fillId="5550" borderId="5497" xfId="0" applyFont="1" applyFill="1" applyBorder="1"/>
    <xf numFmtId="0" fontId="5547" fillId="5551" borderId="5498" xfId="0" applyFont="1" applyFill="1" applyBorder="1"/>
    <xf numFmtId="0" fontId="5548" fillId="5552" borderId="5499" xfId="0" applyFont="1" applyFill="1" applyBorder="1"/>
    <xf numFmtId="0" fontId="5549" fillId="5553" borderId="5500" xfId="0" applyFont="1" applyFill="1" applyBorder="1"/>
    <xf numFmtId="14" fontId="5550" fillId="5554" borderId="5501" xfId="0" applyNumberFormat="1" applyFont="1" applyFill="1" applyBorder="1"/>
    <xf numFmtId="0" fontId="5551" fillId="5555" borderId="5502" xfId="0" applyFont="1" applyFill="1" applyBorder="1"/>
    <xf numFmtId="0" fontId="5552" fillId="5556" borderId="5503" xfId="0" applyFont="1" applyFill="1" applyBorder="1"/>
    <xf numFmtId="0" fontId="5553" fillId="5557" borderId="5504" xfId="0" applyFont="1" applyFill="1" applyBorder="1"/>
    <xf numFmtId="0" fontId="5554" fillId="5558" borderId="5505" xfId="0" applyFont="1" applyFill="1" applyBorder="1"/>
    <xf numFmtId="0" fontId="5555" fillId="5559" borderId="5506" xfId="0" applyFont="1" applyFill="1" applyBorder="1"/>
    <xf numFmtId="0" fontId="5556" fillId="5560" borderId="5507" xfId="0" applyFont="1" applyFill="1" applyBorder="1"/>
    <xf numFmtId="0" fontId="5557" fillId="5561" borderId="5508" xfId="0" applyFont="1" applyFill="1" applyBorder="1"/>
    <xf numFmtId="0" fontId="5558" fillId="5562" borderId="5509" xfId="0" applyFont="1" applyFill="1" applyBorder="1"/>
    <xf numFmtId="0" fontId="5559" fillId="5563" borderId="5510" xfId="0" applyFont="1" applyFill="1" applyBorder="1"/>
    <xf numFmtId="0" fontId="5560" fillId="5564" borderId="5511" xfId="0" applyFont="1" applyFill="1" applyBorder="1"/>
    <xf numFmtId="14" fontId="5561" fillId="5565" borderId="5512" xfId="0" applyNumberFormat="1" applyFont="1" applyFill="1" applyBorder="1"/>
    <xf numFmtId="0" fontId="5562" fillId="5566" borderId="5513" xfId="0" applyFont="1" applyFill="1" applyBorder="1"/>
    <xf numFmtId="0" fontId="5563" fillId="5567" borderId="5514" xfId="0" applyFont="1" applyFill="1" applyBorder="1"/>
    <xf numFmtId="0" fontId="5564" fillId="5568" borderId="5515" xfId="0" applyFont="1" applyFill="1" applyBorder="1"/>
    <xf numFmtId="0" fontId="5565" fillId="5569" borderId="5516" xfId="0" applyFont="1" applyFill="1" applyBorder="1"/>
    <xf numFmtId="0" fontId="5566" fillId="5570" borderId="5517" xfId="0" applyFont="1" applyFill="1" applyBorder="1"/>
    <xf numFmtId="0" fontId="5567" fillId="5571" borderId="5518" xfId="0" applyFont="1" applyFill="1" applyBorder="1"/>
    <xf numFmtId="0" fontId="5568" fillId="5572" borderId="5519" xfId="0" applyFont="1" applyFill="1" applyBorder="1"/>
    <xf numFmtId="0" fontId="5569" fillId="5573" borderId="5520" xfId="0" applyFont="1" applyFill="1" applyBorder="1"/>
    <xf numFmtId="0" fontId="5570" fillId="5574" borderId="5521" xfId="0" applyFont="1" applyFill="1" applyBorder="1"/>
    <xf numFmtId="0" fontId="5571" fillId="5575" borderId="5522" xfId="0" applyFont="1" applyFill="1" applyBorder="1"/>
    <xf numFmtId="14" fontId="5572" fillId="5576" borderId="5523" xfId="0" applyNumberFormat="1" applyFont="1" applyFill="1" applyBorder="1"/>
    <xf numFmtId="0" fontId="5573" fillId="5577" borderId="5524" xfId="0" applyFont="1" applyFill="1" applyBorder="1"/>
    <xf numFmtId="0" fontId="5574" fillId="5578" borderId="5525" xfId="0" applyFont="1" applyFill="1" applyBorder="1"/>
    <xf numFmtId="0" fontId="5575" fillId="5579" borderId="5526" xfId="0" applyFont="1" applyFill="1" applyBorder="1"/>
    <xf numFmtId="0" fontId="5576" fillId="5580" borderId="5527" xfId="0" applyFont="1" applyFill="1" applyBorder="1"/>
    <xf numFmtId="0" fontId="5577" fillId="5581" borderId="5528" xfId="0" applyFont="1" applyFill="1" applyBorder="1"/>
    <xf numFmtId="0" fontId="5578" fillId="5582" borderId="5529" xfId="0" applyFont="1" applyFill="1" applyBorder="1"/>
    <xf numFmtId="0" fontId="5579" fillId="5583" borderId="5530" xfId="0" applyFont="1" applyFill="1" applyBorder="1"/>
    <xf numFmtId="0" fontId="5580" fillId="5584" borderId="5531" xfId="0" applyFont="1" applyFill="1" applyBorder="1"/>
    <xf numFmtId="0" fontId="5581" fillId="5585" borderId="5532" xfId="0" applyFont="1" applyFill="1" applyBorder="1"/>
    <xf numFmtId="0" fontId="5582" fillId="5586" borderId="5533" xfId="0" applyFont="1" applyFill="1" applyBorder="1"/>
    <xf numFmtId="14" fontId="5583" fillId="5587" borderId="5534" xfId="0" applyNumberFormat="1" applyFont="1" applyFill="1" applyBorder="1"/>
    <xf numFmtId="0" fontId="5584" fillId="5588" borderId="5535" xfId="0" applyFont="1" applyFill="1" applyBorder="1"/>
    <xf numFmtId="0" fontId="5585" fillId="5589" borderId="5536" xfId="0" applyFont="1" applyFill="1" applyBorder="1"/>
    <xf numFmtId="0" fontId="5586" fillId="5590" borderId="5537" xfId="0" applyFont="1" applyFill="1" applyBorder="1"/>
    <xf numFmtId="0" fontId="5587" fillId="5591" borderId="5538" xfId="0" applyFont="1" applyFill="1" applyBorder="1"/>
    <xf numFmtId="0" fontId="5588" fillId="5592" borderId="5539" xfId="0" applyFont="1" applyFill="1" applyBorder="1"/>
    <xf numFmtId="0" fontId="5589" fillId="5593" borderId="5540" xfId="0" applyFont="1" applyFill="1" applyBorder="1"/>
    <xf numFmtId="0" fontId="5590" fillId="5594" borderId="5541" xfId="0" applyFont="1" applyFill="1" applyBorder="1"/>
    <xf numFmtId="0" fontId="5591" fillId="5595" borderId="5542" xfId="0" applyFont="1" applyFill="1" applyBorder="1"/>
    <xf numFmtId="0" fontId="5592" fillId="5596" borderId="5543" xfId="0" applyFont="1" applyFill="1" applyBorder="1"/>
    <xf numFmtId="0" fontId="5593" fillId="5597" borderId="5544" xfId="0" applyFont="1" applyFill="1" applyBorder="1"/>
    <xf numFmtId="14" fontId="5594" fillId="5598" borderId="5545" xfId="0" applyNumberFormat="1" applyFont="1" applyFill="1" applyBorder="1"/>
    <xf numFmtId="0" fontId="5595" fillId="5599" borderId="5546" xfId="0" applyFont="1" applyFill="1" applyBorder="1"/>
    <xf numFmtId="0" fontId="5596" fillId="5600" borderId="5547" xfId="0" applyFont="1" applyFill="1" applyBorder="1"/>
    <xf numFmtId="0" fontId="5597" fillId="5601" borderId="5548" xfId="0" applyFont="1" applyFill="1" applyBorder="1"/>
    <xf numFmtId="0" fontId="5598" fillId="5602" borderId="5549" xfId="0" applyFont="1" applyFill="1" applyBorder="1"/>
    <xf numFmtId="0" fontId="5599" fillId="5603" borderId="5550" xfId="0" applyFont="1" applyFill="1" applyBorder="1"/>
    <xf numFmtId="0" fontId="5600" fillId="5604" borderId="5551" xfId="0" applyFont="1" applyFill="1" applyBorder="1"/>
    <xf numFmtId="0" fontId="5601" fillId="5605" borderId="5552" xfId="0" applyFont="1" applyFill="1" applyBorder="1"/>
    <xf numFmtId="0" fontId="5602" fillId="5606" borderId="5553" xfId="0" applyFont="1" applyFill="1" applyBorder="1"/>
    <xf numFmtId="0" fontId="5603" fillId="5607" borderId="5554" xfId="0" applyFont="1" applyFill="1" applyBorder="1"/>
    <xf numFmtId="0" fontId="5604" fillId="5608" borderId="5555" xfId="0" applyFont="1" applyFill="1" applyBorder="1"/>
    <xf numFmtId="14" fontId="5605" fillId="5609" borderId="5556" xfId="0" applyNumberFormat="1" applyFont="1" applyFill="1" applyBorder="1"/>
    <xf numFmtId="0" fontId="5606" fillId="5610" borderId="5557" xfId="0" applyFont="1" applyFill="1" applyBorder="1"/>
    <xf numFmtId="0" fontId="5607" fillId="5611" borderId="5558" xfId="0" applyFont="1" applyFill="1" applyBorder="1"/>
    <xf numFmtId="0" fontId="5608" fillId="5612" borderId="5559" xfId="0" applyFont="1" applyFill="1" applyBorder="1"/>
    <xf numFmtId="0" fontId="5609" fillId="5613" borderId="5560" xfId="0" applyFont="1" applyFill="1" applyBorder="1"/>
    <xf numFmtId="0" fontId="5610" fillId="5614" borderId="5561" xfId="0" applyFont="1" applyFill="1" applyBorder="1"/>
    <xf numFmtId="0" fontId="5611" fillId="5615" borderId="5562" xfId="0" applyFont="1" applyFill="1" applyBorder="1"/>
    <xf numFmtId="0" fontId="5612" fillId="5616" borderId="5563" xfId="0" applyFont="1" applyFill="1" applyBorder="1"/>
    <xf numFmtId="0" fontId="5613" fillId="5617" borderId="5564" xfId="0" applyFont="1" applyFill="1" applyBorder="1"/>
    <xf numFmtId="0" fontId="5614" fillId="5618" borderId="5565" xfId="0" applyFont="1" applyFill="1" applyBorder="1"/>
    <xf numFmtId="0" fontId="5615" fillId="5619" borderId="5566" xfId="0" applyFont="1" applyFill="1" applyBorder="1"/>
    <xf numFmtId="14" fontId="5616" fillId="5620" borderId="5567" xfId="0" applyNumberFormat="1" applyFont="1" applyFill="1" applyBorder="1"/>
    <xf numFmtId="0" fontId="5617" fillId="5621" borderId="5568" xfId="0" applyFont="1" applyFill="1" applyBorder="1"/>
    <xf numFmtId="0" fontId="5618" fillId="5622" borderId="5569" xfId="0" applyFont="1" applyFill="1" applyBorder="1"/>
    <xf numFmtId="0" fontId="5619" fillId="5623" borderId="5570" xfId="0" applyFont="1" applyFill="1" applyBorder="1"/>
    <xf numFmtId="0" fontId="5620" fillId="5624" borderId="5571" xfId="0" applyFont="1" applyFill="1" applyBorder="1"/>
    <xf numFmtId="0" fontId="5621" fillId="5625" borderId="5572" xfId="0" applyFont="1" applyFill="1" applyBorder="1"/>
    <xf numFmtId="0" fontId="5622" fillId="5626" borderId="5573" xfId="0" applyFont="1" applyFill="1" applyBorder="1"/>
    <xf numFmtId="0" fontId="5623" fillId="5627" borderId="5574" xfId="0" applyFont="1" applyFill="1" applyBorder="1"/>
    <xf numFmtId="0" fontId="5624" fillId="5628" borderId="5575" xfId="0" applyFont="1" applyFill="1" applyBorder="1"/>
    <xf numFmtId="0" fontId="5625" fillId="5629" borderId="5576" xfId="0" applyFont="1" applyFill="1" applyBorder="1"/>
    <xf numFmtId="0" fontId="5626" fillId="5630" borderId="5577" xfId="0" applyFont="1" applyFill="1" applyBorder="1"/>
    <xf numFmtId="14" fontId="5627" fillId="5631" borderId="5578" xfId="0" applyNumberFormat="1" applyFont="1" applyFill="1" applyBorder="1"/>
    <xf numFmtId="0" fontId="5628" fillId="5632" borderId="5579" xfId="0" applyFont="1" applyFill="1" applyBorder="1"/>
    <xf numFmtId="0" fontId="5629" fillId="5633" borderId="5580" xfId="0" applyFont="1" applyFill="1" applyBorder="1"/>
    <xf numFmtId="0" fontId="5630" fillId="5634" borderId="5581" xfId="0" applyFont="1" applyFill="1" applyBorder="1"/>
    <xf numFmtId="0" fontId="5631" fillId="5635" borderId="5582" xfId="0" applyFont="1" applyFill="1" applyBorder="1"/>
    <xf numFmtId="0" fontId="5632" fillId="5636" borderId="5583" xfId="0" applyFont="1" applyFill="1" applyBorder="1"/>
    <xf numFmtId="0" fontId="5633" fillId="5637" borderId="5584" xfId="0" applyFont="1" applyFill="1" applyBorder="1"/>
    <xf numFmtId="0" fontId="5634" fillId="5638" borderId="5585" xfId="0" applyFont="1" applyFill="1" applyBorder="1"/>
    <xf numFmtId="0" fontId="5635" fillId="5639" borderId="5586" xfId="0" applyFont="1" applyFill="1" applyBorder="1"/>
    <xf numFmtId="0" fontId="5636" fillId="5640" borderId="5587" xfId="0" applyFont="1" applyFill="1" applyBorder="1"/>
    <xf numFmtId="0" fontId="5637" fillId="5641" borderId="5588" xfId="0" applyFont="1" applyFill="1" applyBorder="1"/>
    <xf numFmtId="14" fontId="5638" fillId="5642" borderId="5589" xfId="0" applyNumberFormat="1" applyFont="1" applyFill="1" applyBorder="1"/>
    <xf numFmtId="0" fontId="5639" fillId="5643" borderId="5590" xfId="0" applyFont="1" applyFill="1" applyBorder="1"/>
    <xf numFmtId="0" fontId="5640" fillId="5644" borderId="5591" xfId="0" applyFont="1" applyFill="1" applyBorder="1"/>
    <xf numFmtId="0" fontId="5641" fillId="5645" borderId="5592" xfId="0" applyFont="1" applyFill="1" applyBorder="1"/>
    <xf numFmtId="0" fontId="5642" fillId="5646" borderId="5593" xfId="0" applyFont="1" applyFill="1" applyBorder="1"/>
    <xf numFmtId="0" fontId="5643" fillId="5647" borderId="5594" xfId="0" applyFont="1" applyFill="1" applyBorder="1"/>
    <xf numFmtId="0" fontId="5644" fillId="5648" borderId="5595" xfId="0" applyFont="1" applyFill="1" applyBorder="1"/>
    <xf numFmtId="0" fontId="5645" fillId="5649" borderId="5596" xfId="0" applyFont="1" applyFill="1" applyBorder="1"/>
    <xf numFmtId="0" fontId="5646" fillId="5650" borderId="5597" xfId="0" applyFont="1" applyFill="1" applyBorder="1"/>
    <xf numFmtId="0" fontId="5647" fillId="5651" borderId="5598" xfId="0" applyFont="1" applyFill="1" applyBorder="1"/>
    <xf numFmtId="0" fontId="5648" fillId="5652" borderId="5599" xfId="0" applyFont="1" applyFill="1" applyBorder="1"/>
    <xf numFmtId="14" fontId="5649" fillId="5653" borderId="5600" xfId="0" applyNumberFormat="1" applyFont="1" applyFill="1" applyBorder="1"/>
    <xf numFmtId="0" fontId="5650" fillId="5654" borderId="5601" xfId="0" applyFont="1" applyFill="1" applyBorder="1"/>
    <xf numFmtId="0" fontId="5651" fillId="5655" borderId="5602" xfId="0" applyFont="1" applyFill="1" applyBorder="1"/>
    <xf numFmtId="0" fontId="5652" fillId="5656" borderId="5603" xfId="0" applyFont="1" applyFill="1" applyBorder="1"/>
    <xf numFmtId="0" fontId="5653" fillId="5657" borderId="5604" xfId="0" applyFont="1" applyFill="1" applyBorder="1"/>
    <xf numFmtId="0" fontId="5654" fillId="5658" borderId="5605" xfId="0" applyFont="1" applyFill="1" applyBorder="1"/>
    <xf numFmtId="0" fontId="5655" fillId="5659" borderId="5606" xfId="0" applyFont="1" applyFill="1" applyBorder="1"/>
    <xf numFmtId="0" fontId="5656" fillId="5660" borderId="5607" xfId="0" applyFont="1" applyFill="1" applyBorder="1"/>
    <xf numFmtId="0" fontId="5657" fillId="5661" borderId="5608" xfId="0" applyFont="1" applyFill="1" applyBorder="1"/>
    <xf numFmtId="0" fontId="5658" fillId="5662" borderId="5609" xfId="0" applyFont="1" applyFill="1" applyBorder="1"/>
    <xf numFmtId="0" fontId="5659" fillId="5663" borderId="5610" xfId="0" applyFont="1" applyFill="1" applyBorder="1"/>
    <xf numFmtId="14" fontId="5660" fillId="5664" borderId="5611" xfId="0" applyNumberFormat="1" applyFont="1" applyFill="1" applyBorder="1"/>
    <xf numFmtId="0" fontId="5661" fillId="5665" borderId="5612" xfId="0" applyFont="1" applyFill="1" applyBorder="1"/>
    <xf numFmtId="0" fontId="5662" fillId="5666" borderId="5613" xfId="0" applyFont="1" applyFill="1" applyBorder="1"/>
    <xf numFmtId="0" fontId="5663" fillId="5667" borderId="5614" xfId="0" applyFont="1" applyFill="1" applyBorder="1"/>
    <xf numFmtId="0" fontId="5664" fillId="5668" borderId="5615" xfId="0" applyFont="1" applyFill="1" applyBorder="1"/>
    <xf numFmtId="0" fontId="5665" fillId="5669" borderId="5616" xfId="0" applyFont="1" applyFill="1" applyBorder="1"/>
    <xf numFmtId="0" fontId="5666" fillId="5670" borderId="5617" xfId="0" applyFont="1" applyFill="1" applyBorder="1"/>
    <xf numFmtId="0" fontId="5667" fillId="5671" borderId="5618" xfId="0" applyFont="1" applyFill="1" applyBorder="1"/>
    <xf numFmtId="0" fontId="5668" fillId="5672" borderId="5619" xfId="0" applyFont="1" applyFill="1" applyBorder="1"/>
    <xf numFmtId="0" fontId="5669" fillId="5673" borderId="5620" xfId="0" applyFont="1" applyFill="1" applyBorder="1"/>
    <xf numFmtId="0" fontId="5670" fillId="5674" borderId="5621" xfId="0" applyFont="1" applyFill="1" applyBorder="1"/>
    <xf numFmtId="14" fontId="5671" fillId="5675" borderId="5622" xfId="0" applyNumberFormat="1" applyFont="1" applyFill="1" applyBorder="1"/>
    <xf numFmtId="0" fontId="5672" fillId="5676" borderId="5623" xfId="0" applyFont="1" applyFill="1" applyBorder="1"/>
    <xf numFmtId="0" fontId="5673" fillId="5677" borderId="5624" xfId="0" applyFont="1" applyFill="1" applyBorder="1"/>
    <xf numFmtId="0" fontId="5674" fillId="5678" borderId="5625" xfId="0" applyFont="1" applyFill="1" applyBorder="1"/>
    <xf numFmtId="0" fontId="5675" fillId="5679" borderId="5626" xfId="0" applyFont="1" applyFill="1" applyBorder="1"/>
    <xf numFmtId="0" fontId="5676" fillId="5680" borderId="5627" xfId="0" applyFont="1" applyFill="1" applyBorder="1"/>
    <xf numFmtId="0" fontId="5677" fillId="5681" borderId="5628" xfId="0" applyFont="1" applyFill="1" applyBorder="1"/>
    <xf numFmtId="0" fontId="5678" fillId="5682" borderId="5629" xfId="0" applyFont="1" applyFill="1" applyBorder="1"/>
    <xf numFmtId="0" fontId="5679" fillId="5683" borderId="5630" xfId="0" applyFont="1" applyFill="1" applyBorder="1"/>
    <xf numFmtId="0" fontId="5680" fillId="5684" borderId="5631" xfId="0" applyFont="1" applyFill="1" applyBorder="1"/>
    <xf numFmtId="0" fontId="5681" fillId="5685" borderId="5632" xfId="0" applyFont="1" applyFill="1" applyBorder="1"/>
    <xf numFmtId="14" fontId="5682" fillId="5686" borderId="5633" xfId="0" applyNumberFormat="1" applyFont="1" applyFill="1" applyBorder="1"/>
    <xf numFmtId="0" fontId="5683" fillId="5687" borderId="5634" xfId="0" applyFont="1" applyFill="1" applyBorder="1"/>
    <xf numFmtId="0" fontId="5684" fillId="5688" borderId="5635" xfId="0" applyFont="1" applyFill="1" applyBorder="1"/>
    <xf numFmtId="0" fontId="5685" fillId="5689" borderId="5636" xfId="0" applyFont="1" applyFill="1" applyBorder="1"/>
    <xf numFmtId="0" fontId="5686" fillId="5690" borderId="5637" xfId="0" applyFont="1" applyFill="1" applyBorder="1"/>
    <xf numFmtId="0" fontId="5687" fillId="5691" borderId="5638" xfId="0" applyFont="1" applyFill="1" applyBorder="1"/>
    <xf numFmtId="0" fontId="5688" fillId="5692" borderId="5639" xfId="0" applyFont="1" applyFill="1" applyBorder="1"/>
    <xf numFmtId="0" fontId="5689" fillId="5693" borderId="5640" xfId="0" applyFont="1" applyFill="1" applyBorder="1"/>
    <xf numFmtId="0" fontId="5690" fillId="5694" borderId="5641" xfId="0" applyFont="1" applyFill="1" applyBorder="1"/>
    <xf numFmtId="0" fontId="5691" fillId="5695" borderId="5642" xfId="0" applyFont="1" applyFill="1" applyBorder="1"/>
    <xf numFmtId="0" fontId="5692" fillId="5696" borderId="5643" xfId="0" applyFont="1" applyFill="1" applyBorder="1"/>
    <xf numFmtId="14" fontId="5693" fillId="5697" borderId="5644" xfId="0" applyNumberFormat="1" applyFont="1" applyFill="1" applyBorder="1"/>
    <xf numFmtId="0" fontId="5694" fillId="5698" borderId="5645" xfId="0" applyFont="1" applyFill="1" applyBorder="1"/>
    <xf numFmtId="0" fontId="5695" fillId="5699" borderId="5646" xfId="0" applyFont="1" applyFill="1" applyBorder="1"/>
    <xf numFmtId="0" fontId="5696" fillId="5700" borderId="5647" xfId="0" applyFont="1" applyFill="1" applyBorder="1"/>
    <xf numFmtId="0" fontId="5697" fillId="5701" borderId="5648" xfId="0" applyFont="1" applyFill="1" applyBorder="1"/>
    <xf numFmtId="0" fontId="5698" fillId="5702" borderId="5649" xfId="0" applyFont="1" applyFill="1" applyBorder="1"/>
    <xf numFmtId="0" fontId="5699" fillId="5703" borderId="5650" xfId="0" applyFont="1" applyFill="1" applyBorder="1"/>
    <xf numFmtId="0" fontId="5700" fillId="5704" borderId="5651" xfId="0" applyFont="1" applyFill="1" applyBorder="1"/>
    <xf numFmtId="0" fontId="5701" fillId="5705" borderId="5652" xfId="0" applyFont="1" applyFill="1" applyBorder="1"/>
    <xf numFmtId="0" fontId="5702" fillId="5706" borderId="5653" xfId="0" applyFont="1" applyFill="1" applyBorder="1"/>
    <xf numFmtId="0" fontId="5703" fillId="5707" borderId="5654" xfId="0" applyFont="1" applyFill="1" applyBorder="1"/>
    <xf numFmtId="14" fontId="5704" fillId="5708" borderId="5655" xfId="0" applyNumberFormat="1" applyFont="1" applyFill="1" applyBorder="1"/>
    <xf numFmtId="0" fontId="5705" fillId="5709" borderId="5656" xfId="0" applyFont="1" applyFill="1" applyBorder="1"/>
    <xf numFmtId="0" fontId="5706" fillId="5710" borderId="5657" xfId="0" applyFont="1" applyFill="1" applyBorder="1"/>
    <xf numFmtId="0" fontId="5707" fillId="5711" borderId="5658" xfId="0" applyFont="1" applyFill="1" applyBorder="1"/>
    <xf numFmtId="0" fontId="5708" fillId="5712" borderId="5659" xfId="0" applyFont="1" applyFill="1" applyBorder="1"/>
    <xf numFmtId="0" fontId="5709" fillId="5713" borderId="5660" xfId="0" applyFont="1" applyFill="1" applyBorder="1"/>
    <xf numFmtId="0" fontId="5710" fillId="5714" borderId="5661" xfId="0" applyFont="1" applyFill="1" applyBorder="1"/>
    <xf numFmtId="0" fontId="5711" fillId="5715" borderId="5662" xfId="0" applyFont="1" applyFill="1" applyBorder="1"/>
    <xf numFmtId="0" fontId="5712" fillId="5716" borderId="5663" xfId="0" applyFont="1" applyFill="1" applyBorder="1"/>
    <xf numFmtId="0" fontId="5713" fillId="5717" borderId="5664" xfId="0" applyFont="1" applyFill="1" applyBorder="1"/>
    <xf numFmtId="0" fontId="5714" fillId="5718" borderId="5665" xfId="0" applyFont="1" applyFill="1" applyBorder="1"/>
    <xf numFmtId="14" fontId="5715" fillId="5719" borderId="5666" xfId="0" applyNumberFormat="1" applyFont="1" applyFill="1" applyBorder="1"/>
    <xf numFmtId="0" fontId="5716" fillId="5720" borderId="5667" xfId="0" applyFont="1" applyFill="1" applyBorder="1"/>
    <xf numFmtId="0" fontId="5717" fillId="5721" borderId="5668" xfId="0" applyFont="1" applyFill="1" applyBorder="1"/>
    <xf numFmtId="0" fontId="5718" fillId="5722" borderId="5669" xfId="0" applyFont="1" applyFill="1" applyBorder="1"/>
    <xf numFmtId="0" fontId="5719" fillId="5723" borderId="5670" xfId="0" applyFont="1" applyFill="1" applyBorder="1"/>
    <xf numFmtId="0" fontId="5720" fillId="5724" borderId="5671" xfId="0" applyFont="1" applyFill="1" applyBorder="1"/>
    <xf numFmtId="0" fontId="5721" fillId="5725" borderId="5672" xfId="0" applyFont="1" applyFill="1" applyBorder="1"/>
    <xf numFmtId="0" fontId="5722" fillId="5726" borderId="5673" xfId="0" applyFont="1" applyFill="1" applyBorder="1"/>
    <xf numFmtId="0" fontId="5723" fillId="5727" borderId="5674" xfId="0" applyFont="1" applyFill="1" applyBorder="1"/>
    <xf numFmtId="0" fontId="5724" fillId="5728" borderId="5675" xfId="0" applyFont="1" applyFill="1" applyBorder="1"/>
    <xf numFmtId="0" fontId="5725" fillId="5729" borderId="5676" xfId="0" applyFont="1" applyFill="1" applyBorder="1"/>
    <xf numFmtId="14" fontId="5726" fillId="5730" borderId="5677" xfId="0" applyNumberFormat="1" applyFont="1" applyFill="1" applyBorder="1"/>
    <xf numFmtId="0" fontId="5727" fillId="5731" borderId="5678" xfId="0" applyFont="1" applyFill="1" applyBorder="1"/>
    <xf numFmtId="0" fontId="5728" fillId="5732" borderId="5679" xfId="0" applyFont="1" applyFill="1" applyBorder="1"/>
    <xf numFmtId="0" fontId="5729" fillId="5733" borderId="5680" xfId="0" applyFont="1" applyFill="1" applyBorder="1"/>
    <xf numFmtId="0" fontId="5730" fillId="5734" borderId="5681" xfId="0" applyFont="1" applyFill="1" applyBorder="1"/>
    <xf numFmtId="0" fontId="5731" fillId="5735" borderId="5682" xfId="0" applyFont="1" applyFill="1" applyBorder="1"/>
    <xf numFmtId="0" fontId="5732" fillId="5736" borderId="5683" xfId="0" applyFont="1" applyFill="1" applyBorder="1"/>
    <xf numFmtId="0" fontId="5733" fillId="5737" borderId="5684" xfId="0" applyFont="1" applyFill="1" applyBorder="1"/>
    <xf numFmtId="0" fontId="5734" fillId="5738" borderId="5685" xfId="0" applyFont="1" applyFill="1" applyBorder="1"/>
    <xf numFmtId="0" fontId="5735" fillId="5739" borderId="5686" xfId="0" applyFont="1" applyFill="1" applyBorder="1"/>
    <xf numFmtId="0" fontId="5736" fillId="5740" borderId="5687" xfId="0" applyFont="1" applyFill="1" applyBorder="1"/>
    <xf numFmtId="14" fontId="5737" fillId="5741" borderId="5688" xfId="0" applyNumberFormat="1" applyFont="1" applyFill="1" applyBorder="1"/>
    <xf numFmtId="0" fontId="5738" fillId="5742" borderId="5689" xfId="0" applyFont="1" applyFill="1" applyBorder="1"/>
    <xf numFmtId="0" fontId="5739" fillId="5743" borderId="5690" xfId="0" applyFont="1" applyFill="1" applyBorder="1"/>
    <xf numFmtId="0" fontId="5740" fillId="5744" borderId="5691" xfId="0" applyFont="1" applyFill="1" applyBorder="1"/>
    <xf numFmtId="0" fontId="5741" fillId="5745" borderId="5692" xfId="0" applyFont="1" applyFill="1" applyBorder="1"/>
    <xf numFmtId="0" fontId="5742" fillId="5746" borderId="5693" xfId="0" applyFont="1" applyFill="1" applyBorder="1"/>
    <xf numFmtId="0" fontId="5743" fillId="5747" borderId="5694" xfId="0" applyFont="1" applyFill="1" applyBorder="1"/>
    <xf numFmtId="0" fontId="5744" fillId="5748" borderId="5695" xfId="0" applyFont="1" applyFill="1" applyBorder="1"/>
    <xf numFmtId="0" fontId="5745" fillId="5749" borderId="5696" xfId="0" applyFont="1" applyFill="1" applyBorder="1"/>
    <xf numFmtId="0" fontId="5746" fillId="5750" borderId="5697" xfId="0" applyFont="1" applyFill="1" applyBorder="1"/>
    <xf numFmtId="0" fontId="5747" fillId="5751" borderId="5698" xfId="0" applyFont="1" applyFill="1" applyBorder="1"/>
    <xf numFmtId="14" fontId="5748" fillId="5752" borderId="5699" xfId="0" applyNumberFormat="1" applyFont="1" applyFill="1" applyBorder="1"/>
    <xf numFmtId="0" fontId="5749" fillId="5753" borderId="5700" xfId="0" applyFont="1" applyFill="1" applyBorder="1"/>
    <xf numFmtId="0" fontId="5750" fillId="5754" borderId="5701" xfId="0" applyFont="1" applyFill="1" applyBorder="1"/>
    <xf numFmtId="0" fontId="5751" fillId="5755" borderId="5702" xfId="0" applyFont="1" applyFill="1" applyBorder="1"/>
    <xf numFmtId="0" fontId="5752" fillId="5756" borderId="5703" xfId="0" applyFont="1" applyFill="1" applyBorder="1"/>
    <xf numFmtId="0" fontId="5753" fillId="5757" borderId="5704" xfId="0" applyFont="1" applyFill="1" applyBorder="1"/>
    <xf numFmtId="0" fontId="5754" fillId="5758" borderId="5705" xfId="0" applyFont="1" applyFill="1" applyBorder="1"/>
    <xf numFmtId="0" fontId="5755" fillId="5759" borderId="5706" xfId="0" applyFont="1" applyFill="1" applyBorder="1"/>
    <xf numFmtId="0" fontId="5756" fillId="5760" borderId="5707" xfId="0" applyFont="1" applyFill="1" applyBorder="1"/>
    <xf numFmtId="0" fontId="5757" fillId="5761" borderId="5708" xfId="0" applyFont="1" applyFill="1" applyBorder="1"/>
    <xf numFmtId="0" fontId="5758" fillId="5762" borderId="5709" xfId="0" applyFont="1" applyFill="1" applyBorder="1"/>
    <xf numFmtId="14" fontId="5759" fillId="5763" borderId="5710" xfId="0" applyNumberFormat="1" applyFont="1" applyFill="1" applyBorder="1"/>
    <xf numFmtId="0" fontId="5760" fillId="5764" borderId="5711" xfId="0" applyFont="1" applyFill="1" applyBorder="1"/>
    <xf numFmtId="0" fontId="5761" fillId="5765" borderId="5712" xfId="0" applyFont="1" applyFill="1" applyBorder="1"/>
    <xf numFmtId="0" fontId="5762" fillId="5766" borderId="5713" xfId="0" applyFont="1" applyFill="1" applyBorder="1"/>
    <xf numFmtId="0" fontId="5763" fillId="5767" borderId="5714" xfId="0" applyFont="1" applyFill="1" applyBorder="1"/>
    <xf numFmtId="0" fontId="5764" fillId="5768" borderId="5715" xfId="0" applyFont="1" applyFill="1" applyBorder="1"/>
    <xf numFmtId="0" fontId="5765" fillId="5769" borderId="5716" xfId="0" applyFont="1" applyFill="1" applyBorder="1"/>
    <xf numFmtId="0" fontId="5766" fillId="5770" borderId="5717" xfId="0" applyFont="1" applyFill="1" applyBorder="1"/>
    <xf numFmtId="0" fontId="5767" fillId="5771" borderId="5718" xfId="0" applyFont="1" applyFill="1" applyBorder="1"/>
    <xf numFmtId="0" fontId="5768" fillId="5772" borderId="5719" xfId="0" applyFont="1" applyFill="1" applyBorder="1"/>
    <xf numFmtId="0" fontId="5769" fillId="5773" borderId="5720" xfId="0" applyFont="1" applyFill="1" applyBorder="1"/>
    <xf numFmtId="14" fontId="5770" fillId="5774" borderId="5721" xfId="0" applyNumberFormat="1" applyFont="1" applyFill="1" applyBorder="1"/>
    <xf numFmtId="0" fontId="5771" fillId="5775" borderId="5722" xfId="0" applyFont="1" applyFill="1" applyBorder="1"/>
    <xf numFmtId="0" fontId="5772" fillId="5776" borderId="5723" xfId="0" applyFont="1" applyFill="1" applyBorder="1"/>
    <xf numFmtId="0" fontId="5773" fillId="5777" borderId="5724" xfId="0" applyFont="1" applyFill="1" applyBorder="1"/>
    <xf numFmtId="0" fontId="5774" fillId="5778" borderId="5725" xfId="0" applyFont="1" applyFill="1" applyBorder="1"/>
    <xf numFmtId="0" fontId="5775" fillId="5779" borderId="5726" xfId="0" applyFont="1" applyFill="1" applyBorder="1"/>
    <xf numFmtId="0" fontId="5776" fillId="5780" borderId="5727" xfId="0" applyFont="1" applyFill="1" applyBorder="1"/>
    <xf numFmtId="0" fontId="5777" fillId="5781" borderId="5728" xfId="0" applyFont="1" applyFill="1" applyBorder="1"/>
    <xf numFmtId="0" fontId="5778" fillId="5782" borderId="5729" xfId="0" applyFont="1" applyFill="1" applyBorder="1"/>
    <xf numFmtId="0" fontId="5779" fillId="5783" borderId="5730" xfId="0" applyFont="1" applyFill="1" applyBorder="1"/>
    <xf numFmtId="0" fontId="5780" fillId="5784" borderId="5731" xfId="0" applyFont="1" applyFill="1" applyBorder="1"/>
    <xf numFmtId="14" fontId="5781" fillId="5785" borderId="5732" xfId="0" applyNumberFormat="1" applyFont="1" applyFill="1" applyBorder="1"/>
    <xf numFmtId="0" fontId="5782" fillId="5786" borderId="5733" xfId="0" applyFont="1" applyFill="1" applyBorder="1"/>
    <xf numFmtId="0" fontId="5783" fillId="5787" borderId="5734" xfId="0" applyFont="1" applyFill="1" applyBorder="1"/>
    <xf numFmtId="0" fontId="5784" fillId="5788" borderId="5735" xfId="0" applyFont="1" applyFill="1" applyBorder="1"/>
    <xf numFmtId="0" fontId="5785" fillId="5789" borderId="5736" xfId="0" applyFont="1" applyFill="1" applyBorder="1"/>
    <xf numFmtId="0" fontId="5786" fillId="5790" borderId="5737" xfId="0" applyFont="1" applyFill="1" applyBorder="1"/>
    <xf numFmtId="0" fontId="5787" fillId="5791" borderId="5738" xfId="0" applyFont="1" applyFill="1" applyBorder="1"/>
    <xf numFmtId="0" fontId="5788" fillId="5792" borderId="5739" xfId="0" applyFont="1" applyFill="1" applyBorder="1"/>
    <xf numFmtId="0" fontId="5789" fillId="5793" borderId="5740" xfId="0" applyFont="1" applyFill="1" applyBorder="1"/>
    <xf numFmtId="0" fontId="5790" fillId="5794" borderId="5741" xfId="0" applyFont="1" applyFill="1" applyBorder="1"/>
    <xf numFmtId="0" fontId="5791" fillId="5795" borderId="5742" xfId="0" applyFont="1" applyFill="1" applyBorder="1"/>
    <xf numFmtId="14" fontId="5792" fillId="5796" borderId="5743" xfId="0" applyNumberFormat="1" applyFont="1" applyFill="1" applyBorder="1"/>
    <xf numFmtId="0" fontId="5793" fillId="5797" borderId="5744" xfId="0" applyFont="1" applyFill="1" applyBorder="1"/>
    <xf numFmtId="0" fontId="5794" fillId="5798" borderId="5745" xfId="0" applyFont="1" applyFill="1" applyBorder="1"/>
    <xf numFmtId="0" fontId="5795" fillId="5799" borderId="5746" xfId="0" applyFont="1" applyFill="1" applyBorder="1"/>
    <xf numFmtId="0" fontId="5796" fillId="5800" borderId="5747" xfId="0" applyFont="1" applyFill="1" applyBorder="1"/>
    <xf numFmtId="0" fontId="5797" fillId="5801" borderId="5748" xfId="0" applyFont="1" applyFill="1" applyBorder="1"/>
    <xf numFmtId="0" fontId="5798" fillId="5802" borderId="5749" xfId="0" applyFont="1" applyFill="1" applyBorder="1"/>
    <xf numFmtId="0" fontId="5799" fillId="5803" borderId="5750" xfId="0" applyFont="1" applyFill="1" applyBorder="1"/>
    <xf numFmtId="0" fontId="5800" fillId="5804" borderId="5751" xfId="0" applyFont="1" applyFill="1" applyBorder="1"/>
    <xf numFmtId="0" fontId="5801" fillId="5805" borderId="5752" xfId="0" applyFont="1" applyFill="1" applyBorder="1"/>
    <xf numFmtId="0" fontId="5802" fillId="5806" borderId="5753" xfId="0" applyFont="1" applyFill="1" applyBorder="1"/>
    <xf numFmtId="14" fontId="5803" fillId="5807" borderId="5754" xfId="0" applyNumberFormat="1" applyFont="1" applyFill="1" applyBorder="1"/>
    <xf numFmtId="0" fontId="5804" fillId="5808" borderId="5755" xfId="0" applyFont="1" applyFill="1" applyBorder="1"/>
    <xf numFmtId="0" fontId="5805" fillId="5809" borderId="5756" xfId="0" applyFont="1" applyFill="1" applyBorder="1"/>
    <xf numFmtId="0" fontId="5806" fillId="5810" borderId="5757" xfId="0" applyFont="1" applyFill="1" applyBorder="1"/>
    <xf numFmtId="0" fontId="5807" fillId="5811" borderId="5758" xfId="0" applyFont="1" applyFill="1" applyBorder="1"/>
    <xf numFmtId="0" fontId="5808" fillId="5812" borderId="5759" xfId="0" applyFont="1" applyFill="1" applyBorder="1"/>
    <xf numFmtId="0" fontId="5809" fillId="5813" borderId="5760" xfId="0" applyFont="1" applyFill="1" applyBorder="1"/>
    <xf numFmtId="0" fontId="5810" fillId="5814" borderId="5761" xfId="0" applyFont="1" applyFill="1" applyBorder="1"/>
    <xf numFmtId="0" fontId="5811" fillId="5815" borderId="5762" xfId="0" applyFont="1" applyFill="1" applyBorder="1"/>
    <xf numFmtId="0" fontId="5812" fillId="5816" borderId="5763" xfId="0" applyFont="1" applyFill="1" applyBorder="1"/>
    <xf numFmtId="0" fontId="5813" fillId="5817" borderId="5764" xfId="0" applyFont="1" applyFill="1" applyBorder="1"/>
    <xf numFmtId="14" fontId="5814" fillId="5818" borderId="5765" xfId="0" applyNumberFormat="1" applyFont="1" applyFill="1" applyBorder="1"/>
    <xf numFmtId="0" fontId="5815" fillId="5819" borderId="5766" xfId="0" applyFont="1" applyFill="1" applyBorder="1"/>
    <xf numFmtId="0" fontId="5816" fillId="5820" borderId="5767" xfId="0" applyFont="1" applyFill="1" applyBorder="1"/>
    <xf numFmtId="0" fontId="5817" fillId="5821" borderId="5768" xfId="0" applyFont="1" applyFill="1" applyBorder="1"/>
    <xf numFmtId="0" fontId="5818" fillId="5822" borderId="5769" xfId="0" applyFont="1" applyFill="1" applyBorder="1"/>
    <xf numFmtId="0" fontId="5819" fillId="5823" borderId="5770" xfId="0" applyFont="1" applyFill="1" applyBorder="1"/>
    <xf numFmtId="0" fontId="5820" fillId="5824" borderId="5771" xfId="0" applyFont="1" applyFill="1" applyBorder="1"/>
    <xf numFmtId="0" fontId="5821" fillId="5825" borderId="5772" xfId="0" applyFont="1" applyFill="1" applyBorder="1"/>
    <xf numFmtId="0" fontId="5822" fillId="5826" borderId="5773" xfId="0" applyFont="1" applyFill="1" applyBorder="1"/>
    <xf numFmtId="0" fontId="5823" fillId="5827" borderId="5774" xfId="0" applyFont="1" applyFill="1" applyBorder="1"/>
    <xf numFmtId="0" fontId="5824" fillId="5828" borderId="5775" xfId="0" applyFont="1" applyFill="1" applyBorder="1"/>
    <xf numFmtId="14" fontId="5825" fillId="5829" borderId="5776" xfId="0" applyNumberFormat="1" applyFont="1" applyFill="1" applyBorder="1"/>
    <xf numFmtId="0" fontId="5826" fillId="5830" borderId="5777" xfId="0" applyFont="1" applyFill="1" applyBorder="1"/>
    <xf numFmtId="0" fontId="5827" fillId="5831" borderId="5778" xfId="0" applyFont="1" applyFill="1" applyBorder="1"/>
    <xf numFmtId="0" fontId="5828" fillId="5832" borderId="5779" xfId="0" applyFont="1" applyFill="1" applyBorder="1"/>
    <xf numFmtId="0" fontId="5829" fillId="5833" borderId="5780" xfId="0" applyFont="1" applyFill="1" applyBorder="1"/>
    <xf numFmtId="0" fontId="5830" fillId="5834" borderId="5781" xfId="0" applyFont="1" applyFill="1" applyBorder="1"/>
    <xf numFmtId="0" fontId="5831" fillId="5835" borderId="5782" xfId="0" applyFont="1" applyFill="1" applyBorder="1"/>
    <xf numFmtId="0" fontId="5832" fillId="5836" borderId="5783" xfId="0" applyFont="1" applyFill="1" applyBorder="1"/>
    <xf numFmtId="0" fontId="5833" fillId="5837" borderId="5784" xfId="0" applyFont="1" applyFill="1" applyBorder="1"/>
    <xf numFmtId="0" fontId="5834" fillId="5838" borderId="5785" xfId="0" applyFont="1" applyFill="1" applyBorder="1"/>
    <xf numFmtId="0" fontId="5835" fillId="5839" borderId="5786" xfId="0" applyFont="1" applyFill="1" applyBorder="1"/>
    <xf numFmtId="14" fontId="5836" fillId="5840" borderId="5787" xfId="0" applyNumberFormat="1" applyFont="1" applyFill="1" applyBorder="1"/>
    <xf numFmtId="0" fontId="5837" fillId="5841" borderId="5788" xfId="0" applyFont="1" applyFill="1" applyBorder="1"/>
    <xf numFmtId="0" fontId="5838" fillId="5842" borderId="5789" xfId="0" applyFont="1" applyFill="1" applyBorder="1"/>
    <xf numFmtId="0" fontId="5839" fillId="5843" borderId="5790" xfId="0" applyFont="1" applyFill="1" applyBorder="1"/>
    <xf numFmtId="0" fontId="5840" fillId="5844" borderId="5791" xfId="0" applyFont="1" applyFill="1" applyBorder="1"/>
    <xf numFmtId="0" fontId="5841" fillId="5845" borderId="5792" xfId="0" applyFont="1" applyFill="1" applyBorder="1"/>
    <xf numFmtId="0" fontId="5842" fillId="5846" borderId="5793" xfId="0" applyFont="1" applyFill="1" applyBorder="1"/>
    <xf numFmtId="0" fontId="5843" fillId="5847" borderId="5794" xfId="0" applyFont="1" applyFill="1" applyBorder="1"/>
    <xf numFmtId="0" fontId="5844" fillId="5848" borderId="5795" xfId="0" applyFont="1" applyFill="1" applyBorder="1"/>
    <xf numFmtId="0" fontId="5845" fillId="5849" borderId="5796" xfId="0" applyFont="1" applyFill="1" applyBorder="1"/>
    <xf numFmtId="0" fontId="5846" fillId="5850" borderId="5797" xfId="0" applyFont="1" applyFill="1" applyBorder="1"/>
    <xf numFmtId="14" fontId="5847" fillId="5851" borderId="5798" xfId="0" applyNumberFormat="1" applyFont="1" applyFill="1" applyBorder="1"/>
    <xf numFmtId="0" fontId="5848" fillId="5852" borderId="5799" xfId="0" applyFont="1" applyFill="1" applyBorder="1"/>
    <xf numFmtId="0" fontId="5849" fillId="5853" borderId="5800" xfId="0" applyFont="1" applyFill="1" applyBorder="1"/>
    <xf numFmtId="0" fontId="5850" fillId="5854" borderId="5801" xfId="0" applyFont="1" applyFill="1" applyBorder="1"/>
    <xf numFmtId="0" fontId="5851" fillId="5855" borderId="5802" xfId="0" applyFont="1" applyFill="1" applyBorder="1"/>
    <xf numFmtId="0" fontId="5852" fillId="5856" borderId="5803" xfId="0" applyFont="1" applyFill="1" applyBorder="1"/>
    <xf numFmtId="0" fontId="5853" fillId="5857" borderId="5804" xfId="0" applyFont="1" applyFill="1" applyBorder="1"/>
    <xf numFmtId="0" fontId="5854" fillId="5858" borderId="5805" xfId="0" applyFont="1" applyFill="1" applyBorder="1"/>
    <xf numFmtId="0" fontId="5855" fillId="5859" borderId="5806" xfId="0" applyFont="1" applyFill="1" applyBorder="1"/>
    <xf numFmtId="0" fontId="5856" fillId="5860" borderId="5807" xfId="0" applyFont="1" applyFill="1" applyBorder="1"/>
    <xf numFmtId="0" fontId="5857" fillId="5861" borderId="5808" xfId="0" applyFont="1" applyFill="1" applyBorder="1"/>
    <xf numFmtId="14" fontId="5858" fillId="5862" borderId="5809" xfId="0" applyNumberFormat="1" applyFont="1" applyFill="1" applyBorder="1"/>
    <xf numFmtId="0" fontId="5859" fillId="5863" borderId="5810" xfId="0" applyFont="1" applyFill="1" applyBorder="1"/>
    <xf numFmtId="0" fontId="5860" fillId="5864" borderId="5811" xfId="0" applyFont="1" applyFill="1" applyBorder="1"/>
    <xf numFmtId="0" fontId="5861" fillId="5865" borderId="5812" xfId="0" applyFont="1" applyFill="1" applyBorder="1"/>
    <xf numFmtId="0" fontId="5862" fillId="5866" borderId="5813" xfId="0" applyFont="1" applyFill="1" applyBorder="1"/>
    <xf numFmtId="0" fontId="5863" fillId="5867" borderId="5814" xfId="0" applyFont="1" applyFill="1" applyBorder="1"/>
    <xf numFmtId="0" fontId="5864" fillId="5868" borderId="5815" xfId="0" applyFont="1" applyFill="1" applyBorder="1"/>
    <xf numFmtId="0" fontId="5865" fillId="5869" borderId="5816" xfId="0" applyFont="1" applyFill="1" applyBorder="1"/>
    <xf numFmtId="0" fontId="5866" fillId="5870" borderId="5817" xfId="0" applyFont="1" applyFill="1" applyBorder="1"/>
    <xf numFmtId="0" fontId="5867" fillId="5871" borderId="5818" xfId="0" applyFont="1" applyFill="1" applyBorder="1"/>
    <xf numFmtId="0" fontId="5868" fillId="5872" borderId="5819" xfId="0" applyFont="1" applyFill="1" applyBorder="1"/>
    <xf numFmtId="14" fontId="5869" fillId="5873" borderId="5820" xfId="0" applyNumberFormat="1" applyFont="1" applyFill="1" applyBorder="1"/>
    <xf numFmtId="0" fontId="5870" fillId="5874" borderId="5821" xfId="0" applyFont="1" applyFill="1" applyBorder="1"/>
    <xf numFmtId="0" fontId="5871" fillId="5875" borderId="5822" xfId="0" applyFont="1" applyFill="1" applyBorder="1"/>
    <xf numFmtId="0" fontId="5872" fillId="5876" borderId="5823" xfId="0" applyFont="1" applyFill="1" applyBorder="1"/>
    <xf numFmtId="0" fontId="5873" fillId="5877" borderId="5824" xfId="0" applyFont="1" applyFill="1" applyBorder="1"/>
    <xf numFmtId="0" fontId="5874" fillId="5878" borderId="5825" xfId="0" applyFont="1" applyFill="1" applyBorder="1"/>
    <xf numFmtId="0" fontId="5875" fillId="5879" borderId="5826" xfId="0" applyFont="1" applyFill="1" applyBorder="1"/>
    <xf numFmtId="0" fontId="5876" fillId="5880" borderId="5827" xfId="0" applyFont="1" applyFill="1" applyBorder="1"/>
    <xf numFmtId="0" fontId="5877" fillId="5881" borderId="5828" xfId="0" applyFont="1" applyFill="1" applyBorder="1"/>
    <xf numFmtId="0" fontId="5878" fillId="5882" borderId="5829" xfId="0" applyFont="1" applyFill="1" applyBorder="1"/>
    <xf numFmtId="0" fontId="5879" fillId="5883" borderId="5830" xfId="0" applyFont="1" applyFill="1" applyBorder="1"/>
    <xf numFmtId="14" fontId="5880" fillId="5884" borderId="5831" xfId="0" applyNumberFormat="1" applyFont="1" applyFill="1" applyBorder="1"/>
    <xf numFmtId="0" fontId="5881" fillId="5885" borderId="5832" xfId="0" applyFont="1" applyFill="1" applyBorder="1"/>
    <xf numFmtId="0" fontId="5882" fillId="5886" borderId="5833" xfId="0" applyFont="1" applyFill="1" applyBorder="1"/>
    <xf numFmtId="0" fontId="5883" fillId="5887" borderId="5834" xfId="0" applyFont="1" applyFill="1" applyBorder="1"/>
    <xf numFmtId="0" fontId="5884" fillId="5888" borderId="5835" xfId="0" applyFont="1" applyFill="1" applyBorder="1"/>
    <xf numFmtId="0" fontId="5885" fillId="5889" borderId="5836" xfId="0" applyFont="1" applyFill="1" applyBorder="1"/>
    <xf numFmtId="0" fontId="5886" fillId="5890" borderId="5837" xfId="0" applyFont="1" applyFill="1" applyBorder="1"/>
    <xf numFmtId="0" fontId="5887" fillId="5891" borderId="5838" xfId="0" applyFont="1" applyFill="1" applyBorder="1"/>
    <xf numFmtId="0" fontId="5888" fillId="5892" borderId="5839" xfId="0" applyFont="1" applyFill="1" applyBorder="1"/>
    <xf numFmtId="0" fontId="5889" fillId="5893" borderId="5840" xfId="0" applyFont="1" applyFill="1" applyBorder="1"/>
    <xf numFmtId="0" fontId="5890" fillId="5894" borderId="5841" xfId="0" applyFont="1" applyFill="1" applyBorder="1"/>
    <xf numFmtId="14" fontId="5891" fillId="5895" borderId="5842" xfId="0" applyNumberFormat="1" applyFont="1" applyFill="1" applyBorder="1"/>
    <xf numFmtId="0" fontId="5892" fillId="5896" borderId="5843" xfId="0" applyFont="1" applyFill="1" applyBorder="1"/>
    <xf numFmtId="0" fontId="5893" fillId="5897" borderId="5844" xfId="0" applyFont="1" applyFill="1" applyBorder="1"/>
    <xf numFmtId="0" fontId="5894" fillId="5898" borderId="5845" xfId="0" applyFont="1" applyFill="1" applyBorder="1"/>
    <xf numFmtId="0" fontId="5895" fillId="5899" borderId="5846" xfId="0" applyFont="1" applyFill="1" applyBorder="1"/>
    <xf numFmtId="0" fontId="5896" fillId="5900" borderId="5847" xfId="0" applyFont="1" applyFill="1" applyBorder="1"/>
    <xf numFmtId="0" fontId="5897" fillId="5901" borderId="5848" xfId="0" applyFont="1" applyFill="1" applyBorder="1"/>
    <xf numFmtId="0" fontId="5898" fillId="5902" borderId="5849" xfId="0" applyFont="1" applyFill="1" applyBorder="1"/>
    <xf numFmtId="0" fontId="5899" fillId="5903" borderId="5850" xfId="0" applyFont="1" applyFill="1" applyBorder="1"/>
    <xf numFmtId="0" fontId="5900" fillId="5904" borderId="5851" xfId="0" applyFont="1" applyFill="1" applyBorder="1"/>
    <xf numFmtId="0" fontId="5901" fillId="5905" borderId="5852" xfId="0" applyFont="1" applyFill="1" applyBorder="1"/>
    <xf numFmtId="14" fontId="5902" fillId="5906" borderId="5853" xfId="0" applyNumberFormat="1" applyFont="1" applyFill="1" applyBorder="1"/>
    <xf numFmtId="0" fontId="5903" fillId="5907" borderId="5854" xfId="0" applyFont="1" applyFill="1" applyBorder="1"/>
    <xf numFmtId="0" fontId="5904" fillId="5908" borderId="5855" xfId="0" applyFont="1" applyFill="1" applyBorder="1"/>
    <xf numFmtId="0" fontId="5905" fillId="5909" borderId="5856" xfId="0" applyFont="1" applyFill="1" applyBorder="1"/>
    <xf numFmtId="0" fontId="5906" fillId="5910" borderId="5857" xfId="0" applyFont="1" applyFill="1" applyBorder="1"/>
    <xf numFmtId="0" fontId="5907" fillId="5911" borderId="5858" xfId="0" applyFont="1" applyFill="1" applyBorder="1"/>
    <xf numFmtId="0" fontId="5908" fillId="5912" borderId="5859" xfId="0" applyFont="1" applyFill="1" applyBorder="1"/>
    <xf numFmtId="0" fontId="5909" fillId="5913" borderId="5860" xfId="0" applyFont="1" applyFill="1" applyBorder="1"/>
    <xf numFmtId="0" fontId="5910" fillId="5914" borderId="5861" xfId="0" applyFont="1" applyFill="1" applyBorder="1"/>
    <xf numFmtId="0" fontId="5911" fillId="5915" borderId="5862" xfId="0" applyFont="1" applyFill="1" applyBorder="1"/>
    <xf numFmtId="0" fontId="5912" fillId="5916" borderId="5863" xfId="0" applyFont="1" applyFill="1" applyBorder="1"/>
    <xf numFmtId="14" fontId="5913" fillId="5917" borderId="5864" xfId="0" applyNumberFormat="1" applyFont="1" applyFill="1" applyBorder="1"/>
    <xf numFmtId="0" fontId="5914" fillId="5918" borderId="5865" xfId="0" applyFont="1" applyFill="1" applyBorder="1"/>
    <xf numFmtId="0" fontId="5915" fillId="5919" borderId="5866" xfId="0" applyFont="1" applyFill="1" applyBorder="1"/>
    <xf numFmtId="0" fontId="5916" fillId="5920" borderId="5867" xfId="0" applyFont="1" applyFill="1" applyBorder="1"/>
    <xf numFmtId="0" fontId="5917" fillId="5921" borderId="5868" xfId="0" applyFont="1" applyFill="1" applyBorder="1"/>
    <xf numFmtId="0" fontId="5918" fillId="5922" borderId="5869" xfId="0" applyFont="1" applyFill="1" applyBorder="1"/>
    <xf numFmtId="0" fontId="5919" fillId="5923" borderId="5870" xfId="0" applyFont="1" applyFill="1" applyBorder="1"/>
    <xf numFmtId="0" fontId="5920" fillId="5924" borderId="5871" xfId="0" applyFont="1" applyFill="1" applyBorder="1"/>
    <xf numFmtId="0" fontId="5921" fillId="5925" borderId="5872" xfId="0" applyFont="1" applyFill="1" applyBorder="1"/>
    <xf numFmtId="0" fontId="5922" fillId="5926" borderId="5873" xfId="0" applyFont="1" applyFill="1" applyBorder="1"/>
    <xf numFmtId="0" fontId="5923" fillId="5927" borderId="5874" xfId="0" applyFont="1" applyFill="1" applyBorder="1"/>
    <xf numFmtId="14" fontId="5924" fillId="5928" borderId="5875" xfId="0" applyNumberFormat="1" applyFont="1" applyFill="1" applyBorder="1"/>
    <xf numFmtId="0" fontId="5925" fillId="5929" borderId="5876" xfId="0" applyFont="1" applyFill="1" applyBorder="1"/>
    <xf numFmtId="0" fontId="5926" fillId="5930" borderId="5877" xfId="0" applyFont="1" applyFill="1" applyBorder="1"/>
    <xf numFmtId="0" fontId="5927" fillId="5931" borderId="5878" xfId="0" applyFont="1" applyFill="1" applyBorder="1"/>
    <xf numFmtId="0" fontId="5928" fillId="5932" borderId="5879" xfId="0" applyFont="1" applyFill="1" applyBorder="1"/>
    <xf numFmtId="0" fontId="5929" fillId="5933" borderId="5880" xfId="0" applyFont="1" applyFill="1" applyBorder="1"/>
    <xf numFmtId="0" fontId="5930" fillId="5934" borderId="5881" xfId="0" applyFont="1" applyFill="1" applyBorder="1"/>
    <xf numFmtId="0" fontId="5931" fillId="5935" borderId="5882" xfId="0" applyFont="1" applyFill="1" applyBorder="1"/>
    <xf numFmtId="0" fontId="5932" fillId="5936" borderId="5883" xfId="0" applyFont="1" applyFill="1" applyBorder="1"/>
    <xf numFmtId="0" fontId="5933" fillId="5937" borderId="5884" xfId="0" applyFont="1" applyFill="1" applyBorder="1"/>
    <xf numFmtId="0" fontId="5934" fillId="5938" borderId="5885" xfId="0" applyFont="1" applyFill="1" applyBorder="1"/>
    <xf numFmtId="14" fontId="5935" fillId="5939" borderId="5886" xfId="0" applyNumberFormat="1" applyFont="1" applyFill="1" applyBorder="1"/>
    <xf numFmtId="0" fontId="5936" fillId="5940" borderId="5887" xfId="0" applyFont="1" applyFill="1" applyBorder="1"/>
    <xf numFmtId="0" fontId="5937" fillId="5941" borderId="5888" xfId="0" applyFont="1" applyFill="1" applyBorder="1"/>
    <xf numFmtId="0" fontId="5938" fillId="5942" borderId="5889" xfId="0" applyFont="1" applyFill="1" applyBorder="1"/>
    <xf numFmtId="0" fontId="5939" fillId="5943" borderId="5890" xfId="0" applyFont="1" applyFill="1" applyBorder="1"/>
    <xf numFmtId="0" fontId="5940" fillId="5944" borderId="5891" xfId="0" applyFont="1" applyFill="1" applyBorder="1"/>
    <xf numFmtId="0" fontId="5941" fillId="5945" borderId="5892" xfId="0" applyFont="1" applyFill="1" applyBorder="1"/>
    <xf numFmtId="0" fontId="5942" fillId="5946" borderId="5893" xfId="0" applyFont="1" applyFill="1" applyBorder="1"/>
    <xf numFmtId="0" fontId="5943" fillId="5947" borderId="5894" xfId="0" applyFont="1" applyFill="1" applyBorder="1"/>
    <xf numFmtId="0" fontId="5944" fillId="5948" borderId="5895" xfId="0" applyFont="1" applyFill="1" applyBorder="1"/>
    <xf numFmtId="0" fontId="5945" fillId="5949" borderId="5896" xfId="0" applyFont="1" applyFill="1" applyBorder="1"/>
    <xf numFmtId="14" fontId="5946" fillId="5950" borderId="5897" xfId="0" applyNumberFormat="1" applyFont="1" applyFill="1" applyBorder="1"/>
    <xf numFmtId="0" fontId="5947" fillId="5951" borderId="5898" xfId="0" applyFont="1" applyFill="1" applyBorder="1"/>
    <xf numFmtId="0" fontId="5948" fillId="5952" borderId="5899" xfId="0" applyFont="1" applyFill="1" applyBorder="1"/>
    <xf numFmtId="0" fontId="5949" fillId="5953" borderId="5900" xfId="0" applyFont="1" applyFill="1" applyBorder="1"/>
    <xf numFmtId="0" fontId="5950" fillId="5954" borderId="5901" xfId="0" applyFont="1" applyFill="1" applyBorder="1"/>
    <xf numFmtId="0" fontId="5951" fillId="5955" borderId="5902" xfId="0" applyFont="1" applyFill="1" applyBorder="1"/>
    <xf numFmtId="0" fontId="5952" fillId="5956" borderId="5903" xfId="0" applyFont="1" applyFill="1" applyBorder="1"/>
    <xf numFmtId="0" fontId="5953" fillId="5957" borderId="5904" xfId="0" applyFont="1" applyFill="1" applyBorder="1"/>
    <xf numFmtId="0" fontId="5954" fillId="5958" borderId="5905" xfId="0" applyFont="1" applyFill="1" applyBorder="1"/>
    <xf numFmtId="0" fontId="5955" fillId="5959" borderId="5906" xfId="0" applyFont="1" applyFill="1" applyBorder="1"/>
    <xf numFmtId="0" fontId="5956" fillId="5960" borderId="5907" xfId="0" applyFont="1" applyFill="1" applyBorder="1"/>
    <xf numFmtId="14" fontId="5957" fillId="5961" borderId="5908" xfId="0" applyNumberFormat="1" applyFont="1" applyFill="1" applyBorder="1"/>
    <xf numFmtId="0" fontId="5958" fillId="5962" borderId="5909" xfId="0" applyFont="1" applyFill="1" applyBorder="1"/>
    <xf numFmtId="0" fontId="5959" fillId="5963" borderId="5910" xfId="0" applyFont="1" applyFill="1" applyBorder="1"/>
    <xf numFmtId="0" fontId="5960" fillId="5964" borderId="5911" xfId="0" applyFont="1" applyFill="1" applyBorder="1"/>
    <xf numFmtId="0" fontId="5961" fillId="5965" borderId="5912" xfId="0" applyFont="1" applyFill="1" applyBorder="1"/>
    <xf numFmtId="0" fontId="5962" fillId="5966" borderId="5913" xfId="0" applyFont="1" applyFill="1" applyBorder="1"/>
    <xf numFmtId="0" fontId="5963" fillId="5967" borderId="5914" xfId="0" applyFont="1" applyFill="1" applyBorder="1"/>
    <xf numFmtId="0" fontId="5964" fillId="5968" borderId="5915" xfId="0" applyFont="1" applyFill="1" applyBorder="1"/>
    <xf numFmtId="0" fontId="5965" fillId="5969" borderId="5916" xfId="0" applyFont="1" applyFill="1" applyBorder="1"/>
    <xf numFmtId="0" fontId="5966" fillId="5970" borderId="5917" xfId="0" applyFont="1" applyFill="1" applyBorder="1"/>
    <xf numFmtId="0" fontId="5967" fillId="5971" borderId="5918" xfId="0" applyFont="1" applyFill="1" applyBorder="1"/>
    <xf numFmtId="14" fontId="5968" fillId="5972" borderId="5919" xfId="0" applyNumberFormat="1" applyFont="1" applyFill="1" applyBorder="1"/>
    <xf numFmtId="0" fontId="5969" fillId="5973" borderId="5920" xfId="0" applyFont="1" applyFill="1" applyBorder="1"/>
    <xf numFmtId="0" fontId="5970" fillId="5974" borderId="5921" xfId="0" applyFont="1" applyFill="1" applyBorder="1"/>
    <xf numFmtId="0" fontId="5971" fillId="5975" borderId="5922" xfId="0" applyFont="1" applyFill="1" applyBorder="1"/>
    <xf numFmtId="0" fontId="5972" fillId="5976" borderId="5923" xfId="0" applyFont="1" applyFill="1" applyBorder="1"/>
    <xf numFmtId="0" fontId="5973" fillId="5977" borderId="5924" xfId="0" applyFont="1" applyFill="1" applyBorder="1"/>
    <xf numFmtId="0" fontId="5974" fillId="5978" borderId="5925" xfId="0" applyFont="1" applyFill="1" applyBorder="1"/>
    <xf numFmtId="0" fontId="5975" fillId="5979" borderId="5926" xfId="0" applyFont="1" applyFill="1" applyBorder="1"/>
    <xf numFmtId="0" fontId="5976" fillId="5980" borderId="5927" xfId="0" applyFont="1" applyFill="1" applyBorder="1"/>
    <xf numFmtId="0" fontId="5977" fillId="5981" borderId="5928" xfId="0" applyFont="1" applyFill="1" applyBorder="1"/>
    <xf numFmtId="0" fontId="5978" fillId="5982" borderId="5929" xfId="0" applyFont="1" applyFill="1" applyBorder="1"/>
    <xf numFmtId="14" fontId="5979" fillId="5983" borderId="5930" xfId="0" applyNumberFormat="1" applyFont="1" applyFill="1" applyBorder="1"/>
    <xf numFmtId="0" fontId="5980" fillId="5984" borderId="5931" xfId="0" applyFont="1" applyFill="1" applyBorder="1"/>
    <xf numFmtId="0" fontId="5981" fillId="5985" borderId="5932" xfId="0" applyFont="1" applyFill="1" applyBorder="1"/>
    <xf numFmtId="0" fontId="5982" fillId="5986" borderId="5933" xfId="0" applyFont="1" applyFill="1" applyBorder="1"/>
    <xf numFmtId="0" fontId="5983" fillId="5987" borderId="5934" xfId="0" applyFont="1" applyFill="1" applyBorder="1"/>
    <xf numFmtId="0" fontId="5984" fillId="5988" borderId="5935" xfId="0" applyFont="1" applyFill="1" applyBorder="1"/>
    <xf numFmtId="0" fontId="5985" fillId="5989" borderId="5936" xfId="0" applyFont="1" applyFill="1" applyBorder="1"/>
    <xf numFmtId="0" fontId="5986" fillId="5990" borderId="5937" xfId="0" applyFont="1" applyFill="1" applyBorder="1"/>
    <xf numFmtId="0" fontId="5987" fillId="5991" borderId="5938" xfId="0" applyFont="1" applyFill="1" applyBorder="1"/>
    <xf numFmtId="0" fontId="5988" fillId="5992" borderId="5939" xfId="0" applyFont="1" applyFill="1" applyBorder="1"/>
    <xf numFmtId="0" fontId="5989" fillId="5993" borderId="5940" xfId="0" applyFont="1" applyFill="1" applyBorder="1"/>
    <xf numFmtId="14" fontId="5990" fillId="5994" borderId="5941" xfId="0" applyNumberFormat="1" applyFont="1" applyFill="1" applyBorder="1"/>
    <xf numFmtId="0" fontId="5991" fillId="5995" borderId="5942" xfId="0" applyFont="1" applyFill="1" applyBorder="1"/>
    <xf numFmtId="0" fontId="5992" fillId="5996" borderId="5943" xfId="0" applyFont="1" applyFill="1" applyBorder="1"/>
    <xf numFmtId="0" fontId="5993" fillId="5997" borderId="5944" xfId="0" applyFont="1" applyFill="1" applyBorder="1"/>
    <xf numFmtId="0" fontId="5994" fillId="5998" borderId="5945" xfId="0" applyFont="1" applyFill="1" applyBorder="1"/>
    <xf numFmtId="0" fontId="5995" fillId="5999" borderId="5946" xfId="0" applyFont="1" applyFill="1" applyBorder="1"/>
    <xf numFmtId="0" fontId="5996" fillId="6000" borderId="5947" xfId="0" applyFont="1" applyFill="1" applyBorder="1"/>
    <xf numFmtId="0" fontId="5997" fillId="6001" borderId="5948" xfId="0" applyFont="1" applyFill="1" applyBorder="1"/>
    <xf numFmtId="0" fontId="5998" fillId="6002" borderId="5949" xfId="0" applyFont="1" applyFill="1" applyBorder="1"/>
    <xf numFmtId="0" fontId="5999" fillId="6003" borderId="5950" xfId="0" applyFont="1" applyFill="1" applyBorder="1"/>
    <xf numFmtId="0" fontId="6000" fillId="6004" borderId="5951" xfId="0" applyFont="1" applyFill="1" applyBorder="1"/>
    <xf numFmtId="14" fontId="6001" fillId="6005" borderId="5952" xfId="0" applyNumberFormat="1" applyFont="1" applyFill="1" applyBorder="1"/>
    <xf numFmtId="0" fontId="6002" fillId="6006" borderId="5953" xfId="0" applyFont="1" applyFill="1" applyBorder="1"/>
    <xf numFmtId="0" fontId="6003" fillId="6007" borderId="5954" xfId="0" applyFont="1" applyFill="1" applyBorder="1"/>
    <xf numFmtId="0" fontId="6004" fillId="6008" borderId="5955" xfId="0" applyFont="1" applyFill="1" applyBorder="1"/>
    <xf numFmtId="0" fontId="6005" fillId="6009" borderId="5956" xfId="0" applyFont="1" applyFill="1" applyBorder="1"/>
    <xf numFmtId="0" fontId="6006" fillId="6010" borderId="5957" xfId="0" applyFont="1" applyFill="1" applyBorder="1"/>
    <xf numFmtId="0" fontId="6007" fillId="6011" borderId="5958" xfId="0" applyFont="1" applyFill="1" applyBorder="1"/>
    <xf numFmtId="0" fontId="6008" fillId="6012" borderId="5959" xfId="0" applyFont="1" applyFill="1" applyBorder="1"/>
    <xf numFmtId="0" fontId="6009" fillId="6013" borderId="5960" xfId="0" applyFont="1" applyFill="1" applyBorder="1"/>
    <xf numFmtId="0" fontId="6010" fillId="6014" borderId="5961" xfId="0" applyFont="1" applyFill="1" applyBorder="1"/>
    <xf numFmtId="0" fontId="6011" fillId="6015" borderId="5962" xfId="0" applyFont="1" applyFill="1" applyBorder="1"/>
    <xf numFmtId="14" fontId="6012" fillId="6016" borderId="5963" xfId="0" applyNumberFormat="1" applyFont="1" applyFill="1" applyBorder="1"/>
    <xf numFmtId="0" fontId="6013" fillId="6017" borderId="5964" xfId="0" applyFont="1" applyFill="1" applyBorder="1"/>
    <xf numFmtId="0" fontId="6014" fillId="6018" borderId="5965" xfId="0" applyFont="1" applyFill="1" applyBorder="1"/>
    <xf numFmtId="0" fontId="6015" fillId="6019" borderId="5966" xfId="0" applyFont="1" applyFill="1" applyBorder="1"/>
    <xf numFmtId="0" fontId="6016" fillId="6020" borderId="5967" xfId="0" applyFont="1" applyFill="1" applyBorder="1"/>
    <xf numFmtId="0" fontId="6017" fillId="6021" borderId="5968" xfId="0" applyFont="1" applyFill="1" applyBorder="1"/>
    <xf numFmtId="0" fontId="6018" fillId="6022" borderId="5969" xfId="0" applyFont="1" applyFill="1" applyBorder="1"/>
    <xf numFmtId="0" fontId="6019" fillId="6023" borderId="5970" xfId="0" applyFont="1" applyFill="1" applyBorder="1"/>
    <xf numFmtId="0" fontId="6020" fillId="6024" borderId="5971" xfId="0" applyFont="1" applyFill="1" applyBorder="1"/>
    <xf numFmtId="0" fontId="6021" fillId="6025" borderId="5972" xfId="0" applyFont="1" applyFill="1" applyBorder="1"/>
    <xf numFmtId="0" fontId="6022" fillId="6026" borderId="5973" xfId="0" applyFont="1" applyFill="1" applyBorder="1"/>
    <xf numFmtId="14" fontId="6023" fillId="6027" borderId="5974" xfId="0" applyNumberFormat="1" applyFont="1" applyFill="1" applyBorder="1"/>
    <xf numFmtId="0" fontId="6024" fillId="6028" borderId="5975" xfId="0" applyFont="1" applyFill="1" applyBorder="1"/>
    <xf numFmtId="0" fontId="6025" fillId="6029" borderId="5976" xfId="0" applyFont="1" applyFill="1" applyBorder="1"/>
    <xf numFmtId="0" fontId="6026" fillId="6030" borderId="5977" xfId="0" applyFont="1" applyFill="1" applyBorder="1"/>
    <xf numFmtId="0" fontId="6027" fillId="6031" borderId="5978" xfId="0" applyFont="1" applyFill="1" applyBorder="1"/>
    <xf numFmtId="0" fontId="6028" fillId="6032" borderId="5979" xfId="0" applyFont="1" applyFill="1" applyBorder="1"/>
    <xf numFmtId="0" fontId="6029" fillId="6033" borderId="5980" xfId="0" applyFont="1" applyFill="1" applyBorder="1"/>
    <xf numFmtId="0" fontId="6030" fillId="6034" borderId="5981" xfId="0" applyFont="1" applyFill="1" applyBorder="1"/>
    <xf numFmtId="0" fontId="6031" fillId="6035" borderId="5982" xfId="0" applyFont="1" applyFill="1" applyBorder="1"/>
    <xf numFmtId="0" fontId="6032" fillId="6036" borderId="5983" xfId="0" applyFont="1" applyFill="1" applyBorder="1"/>
    <xf numFmtId="0" fontId="6033" fillId="6037" borderId="5984" xfId="0" applyFont="1" applyFill="1" applyBorder="1"/>
    <xf numFmtId="14" fontId="6034" fillId="6038" borderId="5985" xfId="0" applyNumberFormat="1" applyFont="1" applyFill="1" applyBorder="1"/>
    <xf numFmtId="0" fontId="6035" fillId="6039" borderId="5986" xfId="0" applyFont="1" applyFill="1" applyBorder="1"/>
    <xf numFmtId="0" fontId="6036" fillId="6040" borderId="5987" xfId="0" applyFont="1" applyFill="1" applyBorder="1"/>
    <xf numFmtId="0" fontId="6037" fillId="6041" borderId="5988" xfId="0" applyFont="1" applyFill="1" applyBorder="1"/>
    <xf numFmtId="0" fontId="6038" fillId="6042" borderId="5989" xfId="0" applyFont="1" applyFill="1" applyBorder="1"/>
    <xf numFmtId="0" fontId="6039" fillId="6043" borderId="5990" xfId="0" applyFont="1" applyFill="1" applyBorder="1"/>
    <xf numFmtId="0" fontId="6040" fillId="6044" borderId="5991" xfId="0" applyFont="1" applyFill="1" applyBorder="1"/>
    <xf numFmtId="0" fontId="6041" fillId="6045" borderId="5992" xfId="0" applyFont="1" applyFill="1" applyBorder="1"/>
    <xf numFmtId="0" fontId="6042" fillId="6046" borderId="5993" xfId="0" applyFont="1" applyFill="1" applyBorder="1"/>
    <xf numFmtId="0" fontId="6043" fillId="6047" borderId="5994" xfId="0" applyFont="1" applyFill="1" applyBorder="1"/>
    <xf numFmtId="0" fontId="6044" fillId="6048" borderId="5995" xfId="0" applyFont="1" applyFill="1" applyBorder="1"/>
    <xf numFmtId="14" fontId="6045" fillId="6049" borderId="5996" xfId="0" applyNumberFormat="1" applyFont="1" applyFill="1" applyBorder="1"/>
    <xf numFmtId="0" fontId="6046" fillId="6050" borderId="5997" xfId="0" applyFont="1" applyFill="1" applyBorder="1"/>
    <xf numFmtId="0" fontId="6047" fillId="6051" borderId="5998" xfId="0" applyFont="1" applyFill="1" applyBorder="1"/>
    <xf numFmtId="0" fontId="6048" fillId="6052" borderId="5999" xfId="0" applyFont="1" applyFill="1" applyBorder="1"/>
    <xf numFmtId="0" fontId="6049" fillId="6053" borderId="6000" xfId="0" applyFont="1" applyFill="1" applyBorder="1"/>
    <xf numFmtId="0" fontId="6050" fillId="6054" borderId="6001" xfId="0" applyFont="1" applyFill="1" applyBorder="1"/>
    <xf numFmtId="0" fontId="6051" fillId="6055" borderId="6002" xfId="0" applyFont="1" applyFill="1" applyBorder="1"/>
    <xf numFmtId="0" fontId="6052" fillId="6056" borderId="6003" xfId="0" applyFont="1" applyFill="1" applyBorder="1"/>
    <xf numFmtId="0" fontId="6053" fillId="6057" borderId="6004" xfId="0" applyFont="1" applyFill="1" applyBorder="1"/>
    <xf numFmtId="0" fontId="6054" fillId="6058" borderId="6005" xfId="0" applyFont="1" applyFill="1" applyBorder="1"/>
    <xf numFmtId="0" fontId="6055" fillId="6059" borderId="6006" xfId="0" applyFont="1" applyFill="1" applyBorder="1"/>
    <xf numFmtId="14" fontId="6056" fillId="6060" borderId="6007" xfId="0" applyNumberFormat="1" applyFont="1" applyFill="1" applyBorder="1"/>
    <xf numFmtId="0" fontId="6057" fillId="6061" borderId="6008" xfId="0" applyFont="1" applyFill="1" applyBorder="1"/>
    <xf numFmtId="0" fontId="6058" fillId="6062" borderId="6009" xfId="0" applyFont="1" applyFill="1" applyBorder="1"/>
    <xf numFmtId="0" fontId="6059" fillId="6063" borderId="6010" xfId="0" applyFont="1" applyFill="1" applyBorder="1"/>
    <xf numFmtId="0" fontId="6060" fillId="6064" borderId="6011" xfId="0" applyFont="1" applyFill="1" applyBorder="1"/>
    <xf numFmtId="0" fontId="6061" fillId="6065" borderId="6012" xfId="0" applyFont="1" applyFill="1" applyBorder="1"/>
    <xf numFmtId="0" fontId="6062" fillId="6066" borderId="6013" xfId="0" applyFont="1" applyFill="1" applyBorder="1"/>
    <xf numFmtId="0" fontId="6063" fillId="6067" borderId="6014" xfId="0" applyFont="1" applyFill="1" applyBorder="1"/>
    <xf numFmtId="0" fontId="6064" fillId="6068" borderId="6015" xfId="0" applyFont="1" applyFill="1" applyBorder="1"/>
    <xf numFmtId="0" fontId="6065" fillId="6069" borderId="6016" xfId="0" applyFont="1" applyFill="1" applyBorder="1"/>
    <xf numFmtId="0" fontId="6066" fillId="6070" borderId="6017" xfId="0" applyFont="1" applyFill="1" applyBorder="1"/>
    <xf numFmtId="14" fontId="6067" fillId="6071" borderId="6018" xfId="0" applyNumberFormat="1" applyFont="1" applyFill="1" applyBorder="1"/>
    <xf numFmtId="0" fontId="6068" fillId="6072" borderId="6019" xfId="0" applyFont="1" applyFill="1" applyBorder="1"/>
    <xf numFmtId="0" fontId="6069" fillId="6073" borderId="6020" xfId="0" applyFont="1" applyFill="1" applyBorder="1"/>
    <xf numFmtId="0" fontId="6070" fillId="6074" borderId="6021" xfId="0" applyFont="1" applyFill="1" applyBorder="1"/>
    <xf numFmtId="0" fontId="6071" fillId="6075" borderId="6022" xfId="0" applyFont="1" applyFill="1" applyBorder="1"/>
    <xf numFmtId="0" fontId="6072" fillId="6076" borderId="6023" xfId="0" applyFont="1" applyFill="1" applyBorder="1"/>
    <xf numFmtId="0" fontId="6073" fillId="6077" borderId="6024" xfId="0" applyFont="1" applyFill="1" applyBorder="1"/>
    <xf numFmtId="0" fontId="6074" fillId="6078" borderId="6025" xfId="0" applyFont="1" applyFill="1" applyBorder="1"/>
    <xf numFmtId="0" fontId="6075" fillId="6079" borderId="6026" xfId="0" applyFont="1" applyFill="1" applyBorder="1"/>
    <xf numFmtId="0" fontId="6076" fillId="6080" borderId="6027" xfId="0" applyFont="1" applyFill="1" applyBorder="1"/>
    <xf numFmtId="0" fontId="6077" fillId="6081" borderId="6028" xfId="0" applyFont="1" applyFill="1" applyBorder="1"/>
    <xf numFmtId="14" fontId="6078" fillId="6082" borderId="6029" xfId="0" applyNumberFormat="1" applyFont="1" applyFill="1" applyBorder="1"/>
    <xf numFmtId="0" fontId="6079" fillId="6083" borderId="6030" xfId="0" applyFont="1" applyFill="1" applyBorder="1"/>
    <xf numFmtId="0" fontId="6080" fillId="6084" borderId="6031" xfId="0" applyFont="1" applyFill="1" applyBorder="1"/>
    <xf numFmtId="0" fontId="6081" fillId="6085" borderId="6032" xfId="0" applyFont="1" applyFill="1" applyBorder="1"/>
    <xf numFmtId="0" fontId="6082" fillId="6086" borderId="6033" xfId="0" applyFont="1" applyFill="1" applyBorder="1"/>
    <xf numFmtId="0" fontId="6083" fillId="6087" borderId="6034" xfId="0" applyFont="1" applyFill="1" applyBorder="1"/>
    <xf numFmtId="0" fontId="6084" fillId="6088" borderId="6035" xfId="0" applyFont="1" applyFill="1" applyBorder="1"/>
    <xf numFmtId="0" fontId="6085" fillId="6089" borderId="6036" xfId="0" applyFont="1" applyFill="1" applyBorder="1"/>
    <xf numFmtId="0" fontId="6086" fillId="6090" borderId="6037" xfId="0" applyFont="1" applyFill="1" applyBorder="1"/>
    <xf numFmtId="0" fontId="6087" fillId="6091" borderId="6038" xfId="0" applyFont="1" applyFill="1" applyBorder="1"/>
    <xf numFmtId="0" fontId="6088" fillId="6092" borderId="6039" xfId="0" applyFont="1" applyFill="1" applyBorder="1"/>
    <xf numFmtId="14" fontId="6089" fillId="6093" borderId="6040" xfId="0" applyNumberFormat="1" applyFont="1" applyFill="1" applyBorder="1"/>
    <xf numFmtId="0" fontId="6090" fillId="6094" borderId="6041" xfId="0" applyFont="1" applyFill="1" applyBorder="1"/>
    <xf numFmtId="0" fontId="6091" fillId="6095" borderId="6042" xfId="0" applyFont="1" applyFill="1" applyBorder="1"/>
    <xf numFmtId="0" fontId="6092" fillId="6096" borderId="6043" xfId="0" applyFont="1" applyFill="1" applyBorder="1"/>
    <xf numFmtId="0" fontId="6093" fillId="6097" borderId="6044" xfId="0" applyFont="1" applyFill="1" applyBorder="1"/>
    <xf numFmtId="0" fontId="6094" fillId="6098" borderId="6045" xfId="0" applyFont="1" applyFill="1" applyBorder="1"/>
    <xf numFmtId="0" fontId="6095" fillId="6099" borderId="6046" xfId="0" applyFont="1" applyFill="1" applyBorder="1"/>
    <xf numFmtId="0" fontId="6096" fillId="6100" borderId="6047" xfId="0" applyFont="1" applyFill="1" applyBorder="1"/>
    <xf numFmtId="0" fontId="6097" fillId="6101" borderId="6048" xfId="0" applyFont="1" applyFill="1" applyBorder="1"/>
    <xf numFmtId="0" fontId="6098" fillId="6102" borderId="6049" xfId="0" applyFont="1" applyFill="1" applyBorder="1"/>
    <xf numFmtId="0" fontId="6099" fillId="6103" borderId="6050" xfId="0" applyFont="1" applyFill="1" applyBorder="1"/>
    <xf numFmtId="14" fontId="6100" fillId="6104" borderId="6051" xfId="0" applyNumberFormat="1" applyFont="1" applyFill="1" applyBorder="1"/>
    <xf numFmtId="0" fontId="6101" fillId="6105" borderId="6052" xfId="0" applyFont="1" applyFill="1" applyBorder="1"/>
    <xf numFmtId="0" fontId="6102" fillId="6106" borderId="6053" xfId="0" applyFont="1" applyFill="1" applyBorder="1"/>
    <xf numFmtId="0" fontId="6103" fillId="6107" borderId="6054" xfId="0" applyFont="1" applyFill="1" applyBorder="1"/>
    <xf numFmtId="0" fontId="6104" fillId="6108" borderId="6055" xfId="0" applyFont="1" applyFill="1" applyBorder="1"/>
    <xf numFmtId="0" fontId="6105" fillId="6109" borderId="6056" xfId="0" applyFont="1" applyFill="1" applyBorder="1"/>
    <xf numFmtId="0" fontId="6106" fillId="6110" borderId="6057" xfId="0" applyFont="1" applyFill="1" applyBorder="1"/>
    <xf numFmtId="0" fontId="6107" fillId="6111" borderId="6058" xfId="0" applyFont="1" applyFill="1" applyBorder="1"/>
    <xf numFmtId="0" fontId="6108" fillId="6112" borderId="6059" xfId="0" applyFont="1" applyFill="1" applyBorder="1"/>
    <xf numFmtId="0" fontId="6109" fillId="6113" borderId="6060" xfId="0" applyFont="1" applyFill="1" applyBorder="1"/>
    <xf numFmtId="0" fontId="6110" fillId="6114" borderId="6061" xfId="0" applyFont="1" applyFill="1" applyBorder="1"/>
    <xf numFmtId="14" fontId="6111" fillId="6115" borderId="6062" xfId="0" applyNumberFormat="1" applyFont="1" applyFill="1" applyBorder="1"/>
    <xf numFmtId="0" fontId="6112" fillId="6116" borderId="6063" xfId="0" applyFont="1" applyFill="1" applyBorder="1"/>
    <xf numFmtId="0" fontId="6113" fillId="6117" borderId="6064" xfId="0" applyFont="1" applyFill="1" applyBorder="1"/>
    <xf numFmtId="0" fontId="6114" fillId="6118" borderId="6065" xfId="0" applyFont="1" applyFill="1" applyBorder="1"/>
    <xf numFmtId="0" fontId="6115" fillId="6119" borderId="6066" xfId="0" applyFont="1" applyFill="1" applyBorder="1"/>
    <xf numFmtId="0" fontId="6116" fillId="6120" borderId="6067" xfId="0" applyFont="1" applyFill="1" applyBorder="1"/>
    <xf numFmtId="0" fontId="6117" fillId="6121" borderId="6068" xfId="0" applyFont="1" applyFill="1" applyBorder="1"/>
    <xf numFmtId="0" fontId="6118" fillId="6122" borderId="6069" xfId="0" applyFont="1" applyFill="1" applyBorder="1"/>
    <xf numFmtId="0" fontId="6119" fillId="6123" borderId="6070" xfId="0" applyFont="1" applyFill="1" applyBorder="1"/>
    <xf numFmtId="0" fontId="6120" fillId="6124" borderId="6071" xfId="0" applyFont="1" applyFill="1" applyBorder="1"/>
    <xf numFmtId="0" fontId="6121" fillId="6125" borderId="6072" xfId="0" applyFont="1" applyFill="1" applyBorder="1"/>
    <xf numFmtId="14" fontId="6122" fillId="6126" borderId="6073" xfId="0" applyNumberFormat="1" applyFont="1" applyFill="1" applyBorder="1"/>
    <xf numFmtId="0" fontId="6123" fillId="6127" borderId="6074" xfId="0" applyFont="1" applyFill="1" applyBorder="1"/>
    <xf numFmtId="0" fontId="6124" fillId="6128" borderId="6075" xfId="0" applyFont="1" applyFill="1" applyBorder="1"/>
    <xf numFmtId="0" fontId="6125" fillId="6129" borderId="6076" xfId="0" applyFont="1" applyFill="1" applyBorder="1"/>
    <xf numFmtId="0" fontId="6126" fillId="6130" borderId="6077" xfId="0" applyFont="1" applyFill="1" applyBorder="1"/>
    <xf numFmtId="0" fontId="6127" fillId="6131" borderId="6078" xfId="0" applyFont="1" applyFill="1" applyBorder="1"/>
    <xf numFmtId="0" fontId="6128" fillId="6132" borderId="6079" xfId="0" applyFont="1" applyFill="1" applyBorder="1"/>
    <xf numFmtId="0" fontId="6129" fillId="6133" borderId="6080" xfId="0" applyFont="1" applyFill="1" applyBorder="1"/>
    <xf numFmtId="0" fontId="6130" fillId="6134" borderId="6081" xfId="0" applyFont="1" applyFill="1" applyBorder="1"/>
    <xf numFmtId="0" fontId="6131" fillId="6135" borderId="6082" xfId="0" applyFont="1" applyFill="1" applyBorder="1"/>
    <xf numFmtId="0" fontId="6132" fillId="6136" borderId="6083" xfId="0" applyFont="1" applyFill="1" applyBorder="1"/>
    <xf numFmtId="14" fontId="6133" fillId="6137" borderId="6084" xfId="0" applyNumberFormat="1" applyFont="1" applyFill="1" applyBorder="1"/>
    <xf numFmtId="0" fontId="6134" fillId="6138" borderId="6085" xfId="0" applyFont="1" applyFill="1" applyBorder="1"/>
    <xf numFmtId="0" fontId="6135" fillId="6139" borderId="6086" xfId="0" applyFont="1" applyFill="1" applyBorder="1"/>
    <xf numFmtId="0" fontId="6136" fillId="6140" borderId="6087" xfId="0" applyFont="1" applyFill="1" applyBorder="1"/>
    <xf numFmtId="0" fontId="6137" fillId="6141" borderId="6088" xfId="0" applyFont="1" applyFill="1" applyBorder="1"/>
    <xf numFmtId="0" fontId="6138" fillId="6142" borderId="6089" xfId="0" applyFont="1" applyFill="1" applyBorder="1"/>
    <xf numFmtId="0" fontId="6139" fillId="6143" borderId="6090" xfId="0" applyFont="1" applyFill="1" applyBorder="1"/>
    <xf numFmtId="0" fontId="6140" fillId="6144" borderId="6091" xfId="0" applyFont="1" applyFill="1" applyBorder="1"/>
    <xf numFmtId="0" fontId="6141" fillId="6145" borderId="6092" xfId="0" applyFont="1" applyFill="1" applyBorder="1"/>
    <xf numFmtId="0" fontId="6142" fillId="6146" borderId="6093" xfId="0" applyFont="1" applyFill="1" applyBorder="1"/>
    <xf numFmtId="0" fontId="6143" fillId="6147" borderId="6094" xfId="0" applyFont="1" applyFill="1" applyBorder="1"/>
    <xf numFmtId="14" fontId="6144" fillId="6148" borderId="6095" xfId="0" applyNumberFormat="1" applyFont="1" applyFill="1" applyBorder="1"/>
    <xf numFmtId="0" fontId="6145" fillId="6149" borderId="6096" xfId="0" applyFont="1" applyFill="1" applyBorder="1"/>
    <xf numFmtId="0" fontId="6146" fillId="6150" borderId="6097" xfId="0" applyFont="1" applyFill="1" applyBorder="1"/>
    <xf numFmtId="0" fontId="6147" fillId="6151" borderId="6098" xfId="0" applyFont="1" applyFill="1" applyBorder="1"/>
    <xf numFmtId="0" fontId="6148" fillId="6152" borderId="6099" xfId="0" applyFont="1" applyFill="1" applyBorder="1"/>
    <xf numFmtId="0" fontId="6149" fillId="6153" borderId="6100" xfId="0" applyFont="1" applyFill="1" applyBorder="1"/>
    <xf numFmtId="0" fontId="6150" fillId="6154" borderId="6101" xfId="0" applyFont="1" applyFill="1" applyBorder="1"/>
    <xf numFmtId="0" fontId="6151" fillId="6155" borderId="6102" xfId="0" applyFont="1" applyFill="1" applyBorder="1"/>
    <xf numFmtId="0" fontId="6152" fillId="6156" borderId="6103" xfId="0" applyFont="1" applyFill="1" applyBorder="1"/>
    <xf numFmtId="0" fontId="6153" fillId="6157" borderId="6104" xfId="0" applyFont="1" applyFill="1" applyBorder="1"/>
    <xf numFmtId="0" fontId="6154" fillId="6158" borderId="6105" xfId="0" applyFont="1" applyFill="1" applyBorder="1"/>
    <xf numFmtId="14" fontId="6155" fillId="6159" borderId="6106" xfId="0" applyNumberFormat="1" applyFont="1" applyFill="1" applyBorder="1"/>
    <xf numFmtId="0" fontId="6156" fillId="6160" borderId="6107" xfId="0" applyFont="1" applyFill="1" applyBorder="1"/>
    <xf numFmtId="0" fontId="6157" fillId="6161" borderId="6108" xfId="0" applyFont="1" applyFill="1" applyBorder="1"/>
    <xf numFmtId="0" fontId="6158" fillId="6162" borderId="6109" xfId="0" applyFont="1" applyFill="1" applyBorder="1"/>
    <xf numFmtId="0" fontId="6159" fillId="6163" borderId="6110" xfId="0" applyFont="1" applyFill="1" applyBorder="1"/>
    <xf numFmtId="0" fontId="6160" fillId="6164" borderId="6111" xfId="0" applyFont="1" applyFill="1" applyBorder="1"/>
    <xf numFmtId="0" fontId="6161" fillId="6165" borderId="6112" xfId="0" applyFont="1" applyFill="1" applyBorder="1"/>
    <xf numFmtId="0" fontId="6162" fillId="6166" borderId="6113" xfId="0" applyFont="1" applyFill="1" applyBorder="1"/>
    <xf numFmtId="0" fontId="6163" fillId="6167" borderId="6114" xfId="0" applyFont="1" applyFill="1" applyBorder="1"/>
    <xf numFmtId="0" fontId="6164" fillId="6168" borderId="6115" xfId="0" applyFont="1" applyFill="1" applyBorder="1"/>
    <xf numFmtId="0" fontId="6165" fillId="6169" borderId="6116" xfId="0" applyFont="1" applyFill="1" applyBorder="1"/>
    <xf numFmtId="14" fontId="6166" fillId="6170" borderId="6117" xfId="0" applyNumberFormat="1" applyFont="1" applyFill="1" applyBorder="1"/>
    <xf numFmtId="0" fontId="6167" fillId="6171" borderId="6118" xfId="0" applyFont="1" applyFill="1" applyBorder="1"/>
    <xf numFmtId="0" fontId="6168" fillId="6172" borderId="6119" xfId="0" applyFont="1" applyFill="1" applyBorder="1"/>
    <xf numFmtId="0" fontId="6169" fillId="6173" borderId="6120" xfId="0" applyFont="1" applyFill="1" applyBorder="1"/>
    <xf numFmtId="0" fontId="6170" fillId="6174" borderId="6121" xfId="0" applyFont="1" applyFill="1" applyBorder="1"/>
    <xf numFmtId="0" fontId="6171" fillId="6175" borderId="6122" xfId="0" applyFont="1" applyFill="1" applyBorder="1"/>
    <xf numFmtId="0" fontId="6172" fillId="6176" borderId="6123" xfId="0" applyFont="1" applyFill="1" applyBorder="1"/>
    <xf numFmtId="0" fontId="6173" fillId="6177" borderId="6124" xfId="0" applyFont="1" applyFill="1" applyBorder="1"/>
    <xf numFmtId="0" fontId="6174" fillId="6178" borderId="6125" xfId="0" applyFont="1" applyFill="1" applyBorder="1"/>
    <xf numFmtId="0" fontId="6175" fillId="6179" borderId="6126" xfId="0" applyFont="1" applyFill="1" applyBorder="1"/>
    <xf numFmtId="0" fontId="6176" fillId="6180" borderId="6127" xfId="0" applyFont="1" applyFill="1" applyBorder="1"/>
    <xf numFmtId="14" fontId="6177" fillId="6181" borderId="6128" xfId="0" applyNumberFormat="1" applyFont="1" applyFill="1" applyBorder="1"/>
    <xf numFmtId="0" fontId="6178" fillId="6182" borderId="6129" xfId="0" applyFont="1" applyFill="1" applyBorder="1"/>
    <xf numFmtId="0" fontId="6179" fillId="6183" borderId="6130" xfId="0" applyFont="1" applyFill="1" applyBorder="1"/>
    <xf numFmtId="0" fontId="6180" fillId="6184" borderId="6131" xfId="0" applyFont="1" applyFill="1" applyBorder="1"/>
    <xf numFmtId="0" fontId="6181" fillId="6185" borderId="6132" xfId="0" applyFont="1" applyFill="1" applyBorder="1"/>
    <xf numFmtId="0" fontId="6182" fillId="6186" borderId="6133" xfId="0" applyFont="1" applyFill="1" applyBorder="1"/>
    <xf numFmtId="0" fontId="6183" fillId="6187" borderId="6134" xfId="0" applyFont="1" applyFill="1" applyBorder="1"/>
    <xf numFmtId="0" fontId="6184" fillId="6188" borderId="6135" xfId="0" applyFont="1" applyFill="1" applyBorder="1"/>
    <xf numFmtId="0" fontId="6185" fillId="6189" borderId="6136" xfId="0" applyFont="1" applyFill="1" applyBorder="1"/>
    <xf numFmtId="0" fontId="6186" fillId="6190" borderId="6137" xfId="0" applyFont="1" applyFill="1" applyBorder="1"/>
    <xf numFmtId="0" fontId="6187" fillId="6191" borderId="6138" xfId="0" applyFont="1" applyFill="1" applyBorder="1"/>
    <xf numFmtId="14" fontId="6188" fillId="6192" borderId="6139" xfId="0" applyNumberFormat="1" applyFont="1" applyFill="1" applyBorder="1"/>
    <xf numFmtId="0" fontId="6189" fillId="6193" borderId="6140" xfId="0" applyFont="1" applyFill="1" applyBorder="1"/>
    <xf numFmtId="0" fontId="6190" fillId="6194" borderId="6141" xfId="0" applyFont="1" applyFill="1" applyBorder="1"/>
    <xf numFmtId="0" fontId="6191" fillId="6195" borderId="6142" xfId="0" applyFont="1" applyFill="1" applyBorder="1"/>
    <xf numFmtId="0" fontId="6192" fillId="6196" borderId="6143" xfId="0" applyFont="1" applyFill="1" applyBorder="1"/>
    <xf numFmtId="0" fontId="6193" fillId="6197" borderId="6144" xfId="0" applyFont="1" applyFill="1" applyBorder="1"/>
    <xf numFmtId="0" fontId="6194" fillId="6198" borderId="6145" xfId="0" applyFont="1" applyFill="1" applyBorder="1"/>
    <xf numFmtId="0" fontId="6195" fillId="6199" borderId="6146" xfId="0" applyFont="1" applyFill="1" applyBorder="1"/>
    <xf numFmtId="0" fontId="6196" fillId="6200" borderId="6147" xfId="0" applyFont="1" applyFill="1" applyBorder="1"/>
    <xf numFmtId="0" fontId="6197" fillId="6201" borderId="6148" xfId="0" applyFont="1" applyFill="1" applyBorder="1"/>
    <xf numFmtId="0" fontId="6198" fillId="6202" borderId="6149" xfId="0" applyFont="1" applyFill="1" applyBorder="1"/>
    <xf numFmtId="14" fontId="6199" fillId="6203" borderId="6150" xfId="0" applyNumberFormat="1" applyFont="1" applyFill="1" applyBorder="1"/>
    <xf numFmtId="0" fontId="6200" fillId="6204" borderId="6151" xfId="0" applyFont="1" applyFill="1" applyBorder="1"/>
    <xf numFmtId="0" fontId="6201" fillId="6205" borderId="6152" xfId="0" applyFont="1" applyFill="1" applyBorder="1"/>
    <xf numFmtId="0" fontId="6202" fillId="6206" borderId="6153" xfId="0" applyFont="1" applyFill="1" applyBorder="1"/>
    <xf numFmtId="0" fontId="6203" fillId="6207" borderId="6154" xfId="0" applyFont="1" applyFill="1" applyBorder="1"/>
    <xf numFmtId="0" fontId="6204" fillId="6208" borderId="6155" xfId="0" applyFont="1" applyFill="1" applyBorder="1"/>
    <xf numFmtId="0" fontId="6205" fillId="6209" borderId="6156" xfId="0" applyFont="1" applyFill="1" applyBorder="1"/>
    <xf numFmtId="0" fontId="6206" fillId="6210" borderId="6157" xfId="0" applyFont="1" applyFill="1" applyBorder="1"/>
    <xf numFmtId="0" fontId="6207" fillId="6211" borderId="6158" xfId="0" applyFont="1" applyFill="1" applyBorder="1"/>
    <xf numFmtId="0" fontId="6208" fillId="6212" borderId="6159" xfId="0" applyFont="1" applyFill="1" applyBorder="1"/>
    <xf numFmtId="0" fontId="6209" fillId="6213" borderId="6160" xfId="0" applyFont="1" applyFill="1" applyBorder="1"/>
    <xf numFmtId="14" fontId="6210" fillId="6214" borderId="6161" xfId="0" applyNumberFormat="1" applyFont="1" applyFill="1" applyBorder="1"/>
    <xf numFmtId="0" fontId="6211" fillId="6215" borderId="6162" xfId="0" applyFont="1" applyFill="1" applyBorder="1"/>
    <xf numFmtId="0" fontId="6212" fillId="6216" borderId="6163" xfId="0" applyFont="1" applyFill="1" applyBorder="1"/>
    <xf numFmtId="0" fontId="6213" fillId="6217" borderId="6164" xfId="0" applyFont="1" applyFill="1" applyBorder="1"/>
    <xf numFmtId="0" fontId="6214" fillId="6218" borderId="6165" xfId="0" applyFont="1" applyFill="1" applyBorder="1"/>
    <xf numFmtId="0" fontId="6215" fillId="6219" borderId="6166" xfId="0" applyFont="1" applyFill="1" applyBorder="1"/>
    <xf numFmtId="0" fontId="6216" fillId="6220" borderId="6167" xfId="0" applyFont="1" applyFill="1" applyBorder="1"/>
    <xf numFmtId="0" fontId="6217" fillId="6221" borderId="6168" xfId="0" applyFont="1" applyFill="1" applyBorder="1"/>
    <xf numFmtId="0" fontId="6218" fillId="6222" borderId="6169" xfId="0" applyFont="1" applyFill="1" applyBorder="1"/>
    <xf numFmtId="0" fontId="6219" fillId="6223" borderId="6170" xfId="0" applyFont="1" applyFill="1" applyBorder="1"/>
    <xf numFmtId="0" fontId="6220" fillId="6224" borderId="6171" xfId="0" applyFont="1" applyFill="1" applyBorder="1"/>
    <xf numFmtId="14" fontId="6221" fillId="6225" borderId="6172" xfId="0" applyNumberFormat="1" applyFont="1" applyFill="1" applyBorder="1"/>
    <xf numFmtId="0" fontId="6222" fillId="6226" borderId="6173" xfId="0" applyFont="1" applyFill="1" applyBorder="1"/>
    <xf numFmtId="0" fontId="6223" fillId="6227" borderId="6174" xfId="0" applyFont="1" applyFill="1" applyBorder="1"/>
    <xf numFmtId="0" fontId="6224" fillId="6228" borderId="6175" xfId="0" applyFont="1" applyFill="1" applyBorder="1"/>
    <xf numFmtId="0" fontId="6225" fillId="6229" borderId="6176" xfId="0" applyFont="1" applyFill="1" applyBorder="1"/>
    <xf numFmtId="0" fontId="6226" fillId="6230" borderId="6177" xfId="0" applyFont="1" applyFill="1" applyBorder="1"/>
    <xf numFmtId="0" fontId="6227" fillId="6231" borderId="6178" xfId="0" applyFont="1" applyFill="1" applyBorder="1"/>
    <xf numFmtId="0" fontId="6228" fillId="6232" borderId="6179" xfId="0" applyFont="1" applyFill="1" applyBorder="1"/>
    <xf numFmtId="0" fontId="6229" fillId="6233" borderId="6180" xfId="0" applyFont="1" applyFill="1" applyBorder="1"/>
    <xf numFmtId="0" fontId="6230" fillId="6234" borderId="6181" xfId="0" applyFont="1" applyFill="1" applyBorder="1"/>
    <xf numFmtId="0" fontId="6231" fillId="6235" borderId="6182" xfId="0" applyFont="1" applyFill="1" applyBorder="1"/>
    <xf numFmtId="14" fontId="6232" fillId="6236" borderId="6183" xfId="0" applyNumberFormat="1" applyFont="1" applyFill="1" applyBorder="1"/>
    <xf numFmtId="0" fontId="6233" fillId="6237" borderId="6184" xfId="0" applyFont="1" applyFill="1" applyBorder="1"/>
    <xf numFmtId="0" fontId="6234" fillId="6238" borderId="6185" xfId="0" applyFont="1" applyFill="1" applyBorder="1"/>
    <xf numFmtId="0" fontId="6235" fillId="6239" borderId="6186" xfId="0" applyFont="1" applyFill="1" applyBorder="1"/>
    <xf numFmtId="0" fontId="6236" fillId="6240" borderId="6187" xfId="0" applyFont="1" applyFill="1" applyBorder="1"/>
    <xf numFmtId="0" fontId="6237" fillId="6241" borderId="6188" xfId="0" applyFont="1" applyFill="1" applyBorder="1"/>
    <xf numFmtId="0" fontId="6238" fillId="6242" borderId="6189" xfId="0" applyFont="1" applyFill="1" applyBorder="1"/>
    <xf numFmtId="0" fontId="6239" fillId="6243" borderId="6190" xfId="0" applyFont="1" applyFill="1" applyBorder="1"/>
    <xf numFmtId="0" fontId="6240" fillId="6244" borderId="6191" xfId="0" applyFont="1" applyFill="1" applyBorder="1"/>
    <xf numFmtId="0" fontId="6241" fillId="6245" borderId="6192" xfId="0" applyFont="1" applyFill="1" applyBorder="1"/>
    <xf numFmtId="0" fontId="6242" fillId="6246" borderId="6193" xfId="0" applyFont="1" applyFill="1" applyBorder="1"/>
    <xf numFmtId="14" fontId="6243" fillId="6247" borderId="6194" xfId="0" applyNumberFormat="1" applyFont="1" applyFill="1" applyBorder="1"/>
    <xf numFmtId="0" fontId="6244" fillId="6248" borderId="6195" xfId="0" applyFont="1" applyFill="1" applyBorder="1"/>
    <xf numFmtId="0" fontId="6245" fillId="6249" borderId="6196" xfId="0" applyFont="1" applyFill="1" applyBorder="1"/>
    <xf numFmtId="0" fontId="6246" fillId="6250" borderId="6197" xfId="0" applyFont="1" applyFill="1" applyBorder="1"/>
    <xf numFmtId="0" fontId="6247" fillId="6251" borderId="6198" xfId="0" applyFont="1" applyFill="1" applyBorder="1"/>
    <xf numFmtId="0" fontId="6248" fillId="6252" borderId="6199" xfId="0" applyFont="1" applyFill="1" applyBorder="1"/>
    <xf numFmtId="0" fontId="6249" fillId="6253" borderId="6200" xfId="0" applyFont="1" applyFill="1" applyBorder="1"/>
    <xf numFmtId="0" fontId="6250" fillId="6254" borderId="6201" xfId="0" applyFont="1" applyFill="1" applyBorder="1"/>
    <xf numFmtId="0" fontId="6251" fillId="6255" borderId="6202" xfId="0" applyFont="1" applyFill="1" applyBorder="1"/>
    <xf numFmtId="0" fontId="6252" fillId="6256" borderId="6203" xfId="0" applyFont="1" applyFill="1" applyBorder="1"/>
    <xf numFmtId="0" fontId="6253" fillId="6257" borderId="6204" xfId="0" applyFont="1" applyFill="1" applyBorder="1"/>
    <xf numFmtId="14" fontId="6254" fillId="6258" borderId="6205" xfId="0" applyNumberFormat="1" applyFont="1" applyFill="1" applyBorder="1"/>
    <xf numFmtId="0" fontId="6255" fillId="6259" borderId="6206" xfId="0" applyFont="1" applyFill="1" applyBorder="1"/>
    <xf numFmtId="0" fontId="6256" fillId="6260" borderId="6207" xfId="0" applyFont="1" applyFill="1" applyBorder="1"/>
    <xf numFmtId="0" fontId="6257" fillId="6261" borderId="6208" xfId="0" applyFont="1" applyFill="1" applyBorder="1"/>
    <xf numFmtId="0" fontId="6258" fillId="6262" borderId="6209" xfId="0" applyFont="1" applyFill="1" applyBorder="1"/>
    <xf numFmtId="0" fontId="6259" fillId="6263" borderId="6210" xfId="0" applyFont="1" applyFill="1" applyBorder="1"/>
    <xf numFmtId="0" fontId="6260" fillId="6264" borderId="6211" xfId="0" applyFont="1" applyFill="1" applyBorder="1"/>
    <xf numFmtId="0" fontId="6261" fillId="6265" borderId="6212" xfId="0" applyFont="1" applyFill="1" applyBorder="1"/>
    <xf numFmtId="0" fontId="6262" fillId="6266" borderId="6213" xfId="0" applyFont="1" applyFill="1" applyBorder="1"/>
    <xf numFmtId="0" fontId="6263" fillId="6267" borderId="6214" xfId="0" applyFont="1" applyFill="1" applyBorder="1"/>
    <xf numFmtId="0" fontId="6264" fillId="6268" borderId="6215" xfId="0" applyFont="1" applyFill="1" applyBorder="1"/>
    <xf numFmtId="14" fontId="6265" fillId="6269" borderId="6216" xfId="0" applyNumberFormat="1" applyFont="1" applyFill="1" applyBorder="1"/>
    <xf numFmtId="0" fontId="6266" fillId="6270" borderId="6217" xfId="0" applyFont="1" applyFill="1" applyBorder="1"/>
    <xf numFmtId="0" fontId="6267" fillId="6271" borderId="6218" xfId="0" applyFont="1" applyFill="1" applyBorder="1"/>
    <xf numFmtId="0" fontId="6268" fillId="6272" borderId="6219" xfId="0" applyFont="1" applyFill="1" applyBorder="1"/>
    <xf numFmtId="0" fontId="6269" fillId="6273" borderId="6220" xfId="0" applyFont="1" applyFill="1" applyBorder="1"/>
    <xf numFmtId="0" fontId="6270" fillId="6274" borderId="6221" xfId="0" applyFont="1" applyFill="1" applyBorder="1"/>
    <xf numFmtId="0" fontId="6271" fillId="6275" borderId="6222" xfId="0" applyFont="1" applyFill="1" applyBorder="1"/>
    <xf numFmtId="0" fontId="6272" fillId="6276" borderId="6223" xfId="0" applyFont="1" applyFill="1" applyBorder="1"/>
    <xf numFmtId="0" fontId="6273" fillId="6277" borderId="6224" xfId="0" applyFont="1" applyFill="1" applyBorder="1"/>
    <xf numFmtId="0" fontId="6274" fillId="6278" borderId="6225" xfId="0" applyFont="1" applyFill="1" applyBorder="1"/>
    <xf numFmtId="0" fontId="6275" fillId="6279" borderId="6226" xfId="0" applyFont="1" applyFill="1" applyBorder="1"/>
    <xf numFmtId="14" fontId="6276" fillId="6280" borderId="6227" xfId="0" applyNumberFormat="1" applyFont="1" applyFill="1" applyBorder="1"/>
    <xf numFmtId="0" fontId="6277" fillId="6281" borderId="6228" xfId="0" applyFont="1" applyFill="1" applyBorder="1"/>
    <xf numFmtId="0" fontId="6278" fillId="6282" borderId="6229" xfId="0" applyFont="1" applyFill="1" applyBorder="1"/>
    <xf numFmtId="0" fontId="6279" fillId="6283" borderId="6230" xfId="0" applyFont="1" applyFill="1" applyBorder="1"/>
    <xf numFmtId="0" fontId="6280" fillId="6284" borderId="6231" xfId="0" applyFont="1" applyFill="1" applyBorder="1"/>
    <xf numFmtId="0" fontId="6281" fillId="6285" borderId="6232" xfId="0" applyFont="1" applyFill="1" applyBorder="1"/>
    <xf numFmtId="0" fontId="6282" fillId="6286" borderId="6233" xfId="0" applyFont="1" applyFill="1" applyBorder="1"/>
    <xf numFmtId="0" fontId="6283" fillId="6287" borderId="6234" xfId="0" applyFont="1" applyFill="1" applyBorder="1"/>
    <xf numFmtId="0" fontId="6284" fillId="6288" borderId="6235" xfId="0" applyFont="1" applyFill="1" applyBorder="1"/>
    <xf numFmtId="0" fontId="6285" fillId="6289" borderId="6236" xfId="0" applyFont="1" applyFill="1" applyBorder="1"/>
    <xf numFmtId="0" fontId="6286" fillId="6290" borderId="6237" xfId="0" applyFont="1" applyFill="1" applyBorder="1"/>
    <xf numFmtId="14" fontId="6287" fillId="6291" borderId="6238" xfId="0" applyNumberFormat="1" applyFont="1" applyFill="1" applyBorder="1"/>
    <xf numFmtId="0" fontId="6288" fillId="6292" borderId="6239" xfId="0" applyFont="1" applyFill="1" applyBorder="1"/>
    <xf numFmtId="0" fontId="6289" fillId="6293" borderId="6240" xfId="0" applyFont="1" applyFill="1" applyBorder="1"/>
    <xf numFmtId="0" fontId="6290" fillId="6294" borderId="6241" xfId="0" applyFont="1" applyFill="1" applyBorder="1"/>
    <xf numFmtId="0" fontId="6291" fillId="6295" borderId="6242" xfId="0" applyFont="1" applyFill="1" applyBorder="1"/>
    <xf numFmtId="0" fontId="6292" fillId="6296" borderId="6243" xfId="0" applyFont="1" applyFill="1" applyBorder="1"/>
    <xf numFmtId="0" fontId="6293" fillId="6297" borderId="6244" xfId="0" applyFont="1" applyFill="1" applyBorder="1"/>
    <xf numFmtId="0" fontId="6294" fillId="6298" borderId="6245" xfId="0" applyFont="1" applyFill="1" applyBorder="1"/>
    <xf numFmtId="0" fontId="6295" fillId="6299" borderId="6246" xfId="0" applyFont="1" applyFill="1" applyBorder="1"/>
    <xf numFmtId="0" fontId="6296" fillId="6300" borderId="6247" xfId="0" applyFont="1" applyFill="1" applyBorder="1"/>
    <xf numFmtId="0" fontId="6297" fillId="6301" borderId="6248" xfId="0" applyFont="1" applyFill="1" applyBorder="1"/>
    <xf numFmtId="14" fontId="6298" fillId="6302" borderId="6249" xfId="0" applyNumberFormat="1" applyFont="1" applyFill="1" applyBorder="1"/>
    <xf numFmtId="0" fontId="6299" fillId="6303" borderId="6250" xfId="0" applyFont="1" applyFill="1" applyBorder="1"/>
    <xf numFmtId="0" fontId="6300" fillId="6304" borderId="6251" xfId="0" applyFont="1" applyFill="1" applyBorder="1"/>
    <xf numFmtId="0" fontId="6301" fillId="6305" borderId="6252" xfId="0" applyFont="1" applyFill="1" applyBorder="1"/>
    <xf numFmtId="0" fontId="6302" fillId="6306" borderId="6253" xfId="0" applyFont="1" applyFill="1" applyBorder="1"/>
    <xf numFmtId="0" fontId="6303" fillId="6307" borderId="6254" xfId="0" applyFont="1" applyFill="1" applyBorder="1"/>
    <xf numFmtId="0" fontId="6304" fillId="6308" borderId="6255" xfId="0" applyFont="1" applyFill="1" applyBorder="1"/>
    <xf numFmtId="0" fontId="6305" fillId="6309" borderId="6256" xfId="0" applyFont="1" applyFill="1" applyBorder="1"/>
    <xf numFmtId="0" fontId="6306" fillId="6310" borderId="6257" xfId="0" applyFont="1" applyFill="1" applyBorder="1"/>
    <xf numFmtId="0" fontId="6307" fillId="6311" borderId="6258" xfId="0" applyFont="1" applyFill="1" applyBorder="1"/>
    <xf numFmtId="0" fontId="6308" fillId="6312" borderId="6259" xfId="0" applyFont="1" applyFill="1" applyBorder="1"/>
    <xf numFmtId="14" fontId="6309" fillId="6313" borderId="6260" xfId="0" applyNumberFormat="1" applyFont="1" applyFill="1" applyBorder="1"/>
    <xf numFmtId="0" fontId="6310" fillId="6314" borderId="6261" xfId="0" applyFont="1" applyFill="1" applyBorder="1"/>
    <xf numFmtId="0" fontId="6311" fillId="6315" borderId="6262" xfId="0" applyFont="1" applyFill="1" applyBorder="1"/>
    <xf numFmtId="0" fontId="6312" fillId="6316" borderId="6263" xfId="0" applyFont="1" applyFill="1" applyBorder="1"/>
    <xf numFmtId="0" fontId="6313" fillId="6317" borderId="6264" xfId="0" applyFont="1" applyFill="1" applyBorder="1"/>
    <xf numFmtId="0" fontId="6314" fillId="6318" borderId="6265" xfId="0" applyFont="1" applyFill="1" applyBorder="1"/>
    <xf numFmtId="0" fontId="6315" fillId="6319" borderId="6266" xfId="0" applyFont="1" applyFill="1" applyBorder="1"/>
    <xf numFmtId="0" fontId="6316" fillId="6320" borderId="6267" xfId="0" applyFont="1" applyFill="1" applyBorder="1"/>
    <xf numFmtId="0" fontId="6317" fillId="6321" borderId="6268" xfId="0" applyFont="1" applyFill="1" applyBorder="1"/>
    <xf numFmtId="0" fontId="6318" fillId="6322" borderId="6269" xfId="0" applyFont="1" applyFill="1" applyBorder="1"/>
    <xf numFmtId="0" fontId="6319" fillId="6323" borderId="6270" xfId="0" applyFont="1" applyFill="1" applyBorder="1"/>
    <xf numFmtId="14" fontId="6320" fillId="6324" borderId="6271" xfId="0" applyNumberFormat="1" applyFont="1" applyFill="1" applyBorder="1"/>
    <xf numFmtId="0" fontId="6321" fillId="6325" borderId="6272" xfId="0" applyFont="1" applyFill="1" applyBorder="1"/>
    <xf numFmtId="0" fontId="6322" fillId="6326" borderId="6273" xfId="0" applyFont="1" applyFill="1" applyBorder="1"/>
    <xf numFmtId="0" fontId="6323" fillId="6327" borderId="6274" xfId="0" applyFont="1" applyFill="1" applyBorder="1"/>
    <xf numFmtId="0" fontId="6324" fillId="6328" borderId="6275" xfId="0" applyFont="1" applyFill="1" applyBorder="1"/>
    <xf numFmtId="0" fontId="6325" fillId="6329" borderId="6276" xfId="0" applyFont="1" applyFill="1" applyBorder="1"/>
    <xf numFmtId="0" fontId="6326" fillId="6330" borderId="6277" xfId="0" applyFont="1" applyFill="1" applyBorder="1"/>
    <xf numFmtId="0" fontId="6327" fillId="6331" borderId="6278" xfId="0" applyFont="1" applyFill="1" applyBorder="1"/>
    <xf numFmtId="0" fontId="6328" fillId="6332" borderId="6279" xfId="0" applyFont="1" applyFill="1" applyBorder="1"/>
    <xf numFmtId="0" fontId="6329" fillId="6333" borderId="6280" xfId="0" applyFont="1" applyFill="1" applyBorder="1"/>
    <xf numFmtId="0" fontId="6330" fillId="6334" borderId="6281" xfId="0" applyFont="1" applyFill="1" applyBorder="1"/>
    <xf numFmtId="14" fontId="6331" fillId="6335" borderId="6282" xfId="0" applyNumberFormat="1" applyFont="1" applyFill="1" applyBorder="1"/>
    <xf numFmtId="0" fontId="6332" fillId="6336" borderId="6283" xfId="0" applyFont="1" applyFill="1" applyBorder="1"/>
    <xf numFmtId="0" fontId="6333" fillId="6337" borderId="6284" xfId="0" applyFont="1" applyFill="1" applyBorder="1"/>
    <xf numFmtId="0" fontId="6334" fillId="6338" borderId="6285" xfId="0" applyFont="1" applyFill="1" applyBorder="1"/>
    <xf numFmtId="0" fontId="6335" fillId="6339" borderId="6286" xfId="0" applyFont="1" applyFill="1" applyBorder="1"/>
    <xf numFmtId="0" fontId="6336" fillId="6340" borderId="6287" xfId="0" applyFont="1" applyFill="1" applyBorder="1"/>
    <xf numFmtId="0" fontId="6337" fillId="6341" borderId="6288" xfId="0" applyFont="1" applyFill="1" applyBorder="1"/>
    <xf numFmtId="0" fontId="6338" fillId="6342" borderId="6289" xfId="0" applyFont="1" applyFill="1" applyBorder="1"/>
    <xf numFmtId="0" fontId="6339" fillId="6343" borderId="6290" xfId="0" applyFont="1" applyFill="1" applyBorder="1"/>
    <xf numFmtId="0" fontId="6340" fillId="6344" borderId="6291" xfId="0" applyFont="1" applyFill="1" applyBorder="1"/>
    <xf numFmtId="0" fontId="6341" fillId="6345" borderId="6292" xfId="0" applyFont="1" applyFill="1" applyBorder="1"/>
    <xf numFmtId="14" fontId="6342" fillId="6346" borderId="6293" xfId="0" applyNumberFormat="1" applyFont="1" applyFill="1" applyBorder="1"/>
    <xf numFmtId="0" fontId="6343" fillId="6347" borderId="6294" xfId="0" applyFont="1" applyFill="1" applyBorder="1"/>
    <xf numFmtId="0" fontId="6344" fillId="6348" borderId="6295" xfId="0" applyFont="1" applyFill="1" applyBorder="1"/>
    <xf numFmtId="0" fontId="6345" fillId="6349" borderId="6296" xfId="0" applyFont="1" applyFill="1" applyBorder="1"/>
    <xf numFmtId="0" fontId="6346" fillId="6350" borderId="6297" xfId="0" applyFont="1" applyFill="1" applyBorder="1"/>
    <xf numFmtId="0" fontId="6347" fillId="6351" borderId="6298" xfId="0" applyFont="1" applyFill="1" applyBorder="1"/>
    <xf numFmtId="0" fontId="6348" fillId="6352" borderId="6299" xfId="0" applyFont="1" applyFill="1" applyBorder="1"/>
    <xf numFmtId="0" fontId="6349" fillId="6353" borderId="6300" xfId="0" applyFont="1" applyFill="1" applyBorder="1"/>
    <xf numFmtId="0" fontId="6350" fillId="6354" borderId="6301" xfId="0" applyFont="1" applyFill="1" applyBorder="1"/>
    <xf numFmtId="0" fontId="6351" fillId="6355" borderId="6302" xfId="0" applyFont="1" applyFill="1" applyBorder="1"/>
    <xf numFmtId="0" fontId="6352" fillId="6356" borderId="6303" xfId="0" applyFont="1" applyFill="1" applyBorder="1"/>
    <xf numFmtId="14" fontId="6353" fillId="6357" borderId="6304" xfId="0" applyNumberFormat="1" applyFont="1" applyFill="1" applyBorder="1"/>
    <xf numFmtId="0" fontId="6354" fillId="6358" borderId="6305" xfId="0" applyFont="1" applyFill="1" applyBorder="1"/>
    <xf numFmtId="0" fontId="6355" fillId="6359" borderId="6306" xfId="0" applyFont="1" applyFill="1" applyBorder="1"/>
    <xf numFmtId="0" fontId="6356" fillId="6360" borderId="6307" xfId="0" applyFont="1" applyFill="1" applyBorder="1"/>
    <xf numFmtId="0" fontId="6357" fillId="6361" borderId="6308" xfId="0" applyFont="1" applyFill="1" applyBorder="1"/>
    <xf numFmtId="0" fontId="6358" fillId="6362" borderId="6309" xfId="0" applyFont="1" applyFill="1" applyBorder="1"/>
    <xf numFmtId="0" fontId="6359" fillId="6363" borderId="6310" xfId="0" applyFont="1" applyFill="1" applyBorder="1"/>
    <xf numFmtId="0" fontId="6360" fillId="6364" borderId="6311" xfId="0" applyFont="1" applyFill="1" applyBorder="1"/>
    <xf numFmtId="0" fontId="6361" fillId="6365" borderId="6312" xfId="0" applyFont="1" applyFill="1" applyBorder="1"/>
    <xf numFmtId="0" fontId="6362" fillId="6366" borderId="6313" xfId="0" applyFont="1" applyFill="1" applyBorder="1"/>
    <xf numFmtId="0" fontId="6363" fillId="6367" borderId="6314" xfId="0" applyFont="1" applyFill="1" applyBorder="1"/>
    <xf numFmtId="14" fontId="6364" fillId="6368" borderId="6315" xfId="0" applyNumberFormat="1" applyFont="1" applyFill="1" applyBorder="1"/>
    <xf numFmtId="0" fontId="6365" fillId="6369" borderId="6316" xfId="0" applyFont="1" applyFill="1" applyBorder="1"/>
    <xf numFmtId="0" fontId="6366" fillId="6370" borderId="6317" xfId="0" applyFont="1" applyFill="1" applyBorder="1"/>
    <xf numFmtId="0" fontId="6367" fillId="6371" borderId="6318" xfId="0" applyFont="1" applyFill="1" applyBorder="1"/>
    <xf numFmtId="0" fontId="6368" fillId="6372" borderId="6319" xfId="0" applyFont="1" applyFill="1" applyBorder="1"/>
    <xf numFmtId="0" fontId="6369" fillId="6373" borderId="6320" xfId="0" applyFont="1" applyFill="1" applyBorder="1"/>
    <xf numFmtId="0" fontId="6370" fillId="6374" borderId="6321" xfId="0" applyFont="1" applyFill="1" applyBorder="1"/>
    <xf numFmtId="0" fontId="6371" fillId="6375" borderId="6322" xfId="0" applyFont="1" applyFill="1" applyBorder="1"/>
    <xf numFmtId="0" fontId="6372" fillId="6376" borderId="6323" xfId="0" applyFont="1" applyFill="1" applyBorder="1"/>
    <xf numFmtId="0" fontId="6373" fillId="6377" borderId="6324" xfId="0" applyFont="1" applyFill="1" applyBorder="1"/>
    <xf numFmtId="0" fontId="6374" fillId="6378" borderId="6325" xfId="0" applyFont="1" applyFill="1" applyBorder="1"/>
    <xf numFmtId="14" fontId="6375" fillId="6379" borderId="6326" xfId="0" applyNumberFormat="1" applyFont="1" applyFill="1" applyBorder="1"/>
    <xf numFmtId="0" fontId="6376" fillId="6380" borderId="6327" xfId="0" applyFont="1" applyFill="1" applyBorder="1"/>
    <xf numFmtId="0" fontId="6377" fillId="6381" borderId="6328" xfId="0" applyFont="1" applyFill="1" applyBorder="1"/>
    <xf numFmtId="0" fontId="6378" fillId="6382" borderId="6329" xfId="0" applyFont="1" applyFill="1" applyBorder="1"/>
    <xf numFmtId="0" fontId="6379" fillId="6383" borderId="6330" xfId="0" applyFont="1" applyFill="1" applyBorder="1"/>
    <xf numFmtId="0" fontId="6380" fillId="6384" borderId="6331" xfId="0" applyFont="1" applyFill="1" applyBorder="1"/>
    <xf numFmtId="0" fontId="6381" fillId="6385" borderId="6332" xfId="0" applyFont="1" applyFill="1" applyBorder="1"/>
    <xf numFmtId="0" fontId="6382" fillId="6386" borderId="6333" xfId="0" applyFont="1" applyFill="1" applyBorder="1"/>
    <xf numFmtId="0" fontId="6383" fillId="6387" borderId="6334" xfId="0" applyFont="1" applyFill="1" applyBorder="1"/>
    <xf numFmtId="0" fontId="6384" fillId="6388" borderId="6335" xfId="0" applyFont="1" applyFill="1" applyBorder="1"/>
    <xf numFmtId="0" fontId="6385" fillId="6389" borderId="6336" xfId="0" applyFont="1" applyFill="1" applyBorder="1"/>
    <xf numFmtId="14" fontId="6386" fillId="6390" borderId="6337" xfId="0" applyNumberFormat="1" applyFont="1" applyFill="1" applyBorder="1"/>
    <xf numFmtId="0" fontId="6387" fillId="6391" borderId="6338" xfId="0" applyFont="1" applyFill="1" applyBorder="1"/>
    <xf numFmtId="0" fontId="6388" fillId="6392" borderId="6339" xfId="0" applyFont="1" applyFill="1" applyBorder="1"/>
    <xf numFmtId="0" fontId="6389" fillId="6393" borderId="6340" xfId="0" applyFont="1" applyFill="1" applyBorder="1"/>
    <xf numFmtId="0" fontId="6390" fillId="6394" borderId="6341" xfId="0" applyFont="1" applyFill="1" applyBorder="1"/>
    <xf numFmtId="0" fontId="6391" fillId="6395" borderId="6342" xfId="0" applyFont="1" applyFill="1" applyBorder="1"/>
    <xf numFmtId="0" fontId="6392" fillId="6396" borderId="6343" xfId="0" applyFont="1" applyFill="1" applyBorder="1"/>
    <xf numFmtId="0" fontId="6393" fillId="6397" borderId="6344" xfId="0" applyFont="1" applyFill="1" applyBorder="1"/>
    <xf numFmtId="0" fontId="6394" fillId="6398" borderId="6345" xfId="0" applyFont="1" applyFill="1" applyBorder="1"/>
    <xf numFmtId="0" fontId="6395" fillId="6399" borderId="6346" xfId="0" applyFont="1" applyFill="1" applyBorder="1"/>
    <xf numFmtId="0" fontId="6396" fillId="6400" borderId="6347" xfId="0" applyFont="1" applyFill="1" applyBorder="1"/>
    <xf numFmtId="14" fontId="6397" fillId="6401" borderId="6348" xfId="0" applyNumberFormat="1" applyFont="1" applyFill="1" applyBorder="1"/>
    <xf numFmtId="0" fontId="6398" fillId="6402" borderId="6349" xfId="0" applyFont="1" applyFill="1" applyBorder="1"/>
    <xf numFmtId="0" fontId="6399" fillId="6403" borderId="6350" xfId="0" applyFont="1" applyFill="1" applyBorder="1"/>
    <xf numFmtId="0" fontId="6400" fillId="6404" borderId="6351" xfId="0" applyFont="1" applyFill="1" applyBorder="1"/>
    <xf numFmtId="0" fontId="6401" fillId="6405" borderId="6352" xfId="0" applyFont="1" applyFill="1" applyBorder="1"/>
    <xf numFmtId="0" fontId="6402" fillId="6406" borderId="6353" xfId="0" applyFont="1" applyFill="1" applyBorder="1"/>
    <xf numFmtId="0" fontId="6403" fillId="6407" borderId="6354" xfId="0" applyFont="1" applyFill="1" applyBorder="1"/>
    <xf numFmtId="0" fontId="6404" fillId="6408" borderId="6355" xfId="0" applyFont="1" applyFill="1" applyBorder="1"/>
    <xf numFmtId="0" fontId="6405" fillId="6409" borderId="6356" xfId="0" applyFont="1" applyFill="1" applyBorder="1"/>
    <xf numFmtId="0" fontId="6406" fillId="6410" borderId="6357" xfId="0" applyFont="1" applyFill="1" applyBorder="1"/>
    <xf numFmtId="0" fontId="6407" fillId="6411" borderId="6358" xfId="0" applyFont="1" applyFill="1" applyBorder="1"/>
    <xf numFmtId="14" fontId="6408" fillId="6412" borderId="6359" xfId="0" applyNumberFormat="1" applyFont="1" applyFill="1" applyBorder="1"/>
    <xf numFmtId="0" fontId="6409" fillId="6413" borderId="6360" xfId="0" applyFont="1" applyFill="1" applyBorder="1"/>
    <xf numFmtId="0" fontId="6410" fillId="6414" borderId="6361" xfId="0" applyFont="1" applyFill="1" applyBorder="1"/>
    <xf numFmtId="0" fontId="6411" fillId="6415" borderId="6362" xfId="0" applyFont="1" applyFill="1" applyBorder="1"/>
    <xf numFmtId="0" fontId="6412" fillId="6416" borderId="6363" xfId="0" applyFont="1" applyFill="1" applyBorder="1"/>
    <xf numFmtId="0" fontId="6413" fillId="6417" borderId="6364" xfId="0" applyFont="1" applyFill="1" applyBorder="1"/>
    <xf numFmtId="0" fontId="6414" fillId="6418" borderId="6365" xfId="0" applyFont="1" applyFill="1" applyBorder="1"/>
    <xf numFmtId="0" fontId="6415" fillId="6419" borderId="6366" xfId="0" applyFont="1" applyFill="1" applyBorder="1"/>
    <xf numFmtId="0" fontId="6416" fillId="6420" borderId="6367" xfId="0" applyFont="1" applyFill="1" applyBorder="1"/>
    <xf numFmtId="0" fontId="6417" fillId="6421" borderId="6368" xfId="0" applyFont="1" applyFill="1" applyBorder="1"/>
    <xf numFmtId="0" fontId="6418" fillId="6422" borderId="6369" xfId="0" applyFont="1" applyFill="1" applyBorder="1"/>
    <xf numFmtId="14" fontId="6419" fillId="6423" borderId="6370" xfId="0" applyNumberFormat="1" applyFont="1" applyFill="1" applyBorder="1"/>
    <xf numFmtId="0" fontId="6420" fillId="6424" borderId="6371" xfId="0" applyFont="1" applyFill="1" applyBorder="1"/>
    <xf numFmtId="0" fontId="6421" fillId="6425" borderId="6372" xfId="0" applyFont="1" applyFill="1" applyBorder="1"/>
    <xf numFmtId="0" fontId="6422" fillId="6426" borderId="6373" xfId="0" applyFont="1" applyFill="1" applyBorder="1"/>
    <xf numFmtId="0" fontId="6423" fillId="6427" borderId="6374" xfId="0" applyFont="1" applyFill="1" applyBorder="1"/>
    <xf numFmtId="0" fontId="6424" fillId="6428" borderId="6375" xfId="0" applyFont="1" applyFill="1" applyBorder="1"/>
    <xf numFmtId="0" fontId="6425" fillId="6429" borderId="6376" xfId="0" applyFont="1" applyFill="1" applyBorder="1"/>
    <xf numFmtId="0" fontId="6426" fillId="6430" borderId="6377" xfId="0" applyFont="1" applyFill="1" applyBorder="1"/>
    <xf numFmtId="0" fontId="6427" fillId="6431" borderId="6378" xfId="0" applyFont="1" applyFill="1" applyBorder="1"/>
    <xf numFmtId="0" fontId="6428" fillId="6432" borderId="6379" xfId="0" applyFont="1" applyFill="1" applyBorder="1"/>
    <xf numFmtId="0" fontId="6429" fillId="6433" borderId="6380" xfId="0" applyFont="1" applyFill="1" applyBorder="1"/>
    <xf numFmtId="14" fontId="6430" fillId="6434" borderId="6381" xfId="0" applyNumberFormat="1" applyFont="1" applyFill="1" applyBorder="1"/>
    <xf numFmtId="0" fontId="6431" fillId="6435" borderId="6382" xfId="0" applyFont="1" applyFill="1" applyBorder="1"/>
    <xf numFmtId="0" fontId="6432" fillId="6436" borderId="6383" xfId="0" applyFont="1" applyFill="1" applyBorder="1"/>
    <xf numFmtId="0" fontId="6433" fillId="6437" borderId="6384" xfId="0" applyFont="1" applyFill="1" applyBorder="1"/>
    <xf numFmtId="0" fontId="6434" fillId="6438" borderId="6385" xfId="0" applyFont="1" applyFill="1" applyBorder="1"/>
    <xf numFmtId="0" fontId="6435" fillId="6439" borderId="6386" xfId="0" applyFont="1" applyFill="1" applyBorder="1"/>
    <xf numFmtId="0" fontId="6436" fillId="6440" borderId="6387" xfId="0" applyFont="1" applyFill="1" applyBorder="1"/>
    <xf numFmtId="0" fontId="6437" fillId="6441" borderId="6388" xfId="0" applyFont="1" applyFill="1" applyBorder="1"/>
    <xf numFmtId="0" fontId="6438" fillId="6442" borderId="6389" xfId="0" applyFont="1" applyFill="1" applyBorder="1"/>
    <xf numFmtId="0" fontId="6439" fillId="6443" borderId="6390" xfId="0" applyFont="1" applyFill="1" applyBorder="1"/>
    <xf numFmtId="0" fontId="6440" fillId="6444" borderId="6391" xfId="0" applyFont="1" applyFill="1" applyBorder="1"/>
    <xf numFmtId="14" fontId="6441" fillId="6445" borderId="6392" xfId="0" applyNumberFormat="1" applyFont="1" applyFill="1" applyBorder="1"/>
    <xf numFmtId="0" fontId="6442" fillId="6446" borderId="6393" xfId="0" applyFont="1" applyFill="1" applyBorder="1"/>
    <xf numFmtId="0" fontId="6443" fillId="6447" borderId="6394" xfId="0" applyFont="1" applyFill="1" applyBorder="1"/>
    <xf numFmtId="0" fontId="6444" fillId="6448" borderId="6395" xfId="0" applyFont="1" applyFill="1" applyBorder="1"/>
    <xf numFmtId="0" fontId="6445" fillId="6449" borderId="6396" xfId="0" applyFont="1" applyFill="1" applyBorder="1"/>
    <xf numFmtId="0" fontId="6446" fillId="6450" borderId="6397" xfId="0" applyFont="1" applyFill="1" applyBorder="1"/>
    <xf numFmtId="0" fontId="6447" fillId="6451" borderId="6398" xfId="0" applyFont="1" applyFill="1" applyBorder="1"/>
    <xf numFmtId="0" fontId="6448" fillId="6452" borderId="6399" xfId="0" applyFont="1" applyFill="1" applyBorder="1"/>
    <xf numFmtId="0" fontId="6449" fillId="6453" borderId="6400" xfId="0" applyFont="1" applyFill="1" applyBorder="1"/>
    <xf numFmtId="0" fontId="6450" fillId="6454" borderId="6401" xfId="0" applyFont="1" applyFill="1" applyBorder="1"/>
    <xf numFmtId="0" fontId="6451" fillId="6455" borderId="6402" xfId="0" applyFont="1" applyFill="1" applyBorder="1"/>
    <xf numFmtId="14" fontId="6452" fillId="6456" borderId="6403" xfId="0" applyNumberFormat="1" applyFont="1" applyFill="1" applyBorder="1"/>
    <xf numFmtId="0" fontId="6453" fillId="6457" borderId="6404" xfId="0" applyFont="1" applyFill="1" applyBorder="1"/>
    <xf numFmtId="0" fontId="6454" fillId="6458" borderId="6405" xfId="0" applyFont="1" applyFill="1" applyBorder="1"/>
    <xf numFmtId="0" fontId="6455" fillId="6459" borderId="6406" xfId="0" applyFont="1" applyFill="1" applyBorder="1"/>
    <xf numFmtId="0" fontId="6456" fillId="6460" borderId="6407" xfId="0" applyFont="1" applyFill="1" applyBorder="1"/>
    <xf numFmtId="0" fontId="6457" fillId="6461" borderId="6408" xfId="0" applyFont="1" applyFill="1" applyBorder="1"/>
    <xf numFmtId="0" fontId="6458" fillId="6462" borderId="6409" xfId="0" applyFont="1" applyFill="1" applyBorder="1"/>
    <xf numFmtId="0" fontId="6459" fillId="6463" borderId="6410" xfId="0" applyFont="1" applyFill="1" applyBorder="1"/>
    <xf numFmtId="0" fontId="6460" fillId="6464" borderId="6411" xfId="0" applyFont="1" applyFill="1" applyBorder="1"/>
    <xf numFmtId="0" fontId="6461" fillId="6465" borderId="6412" xfId="0" applyFont="1" applyFill="1" applyBorder="1"/>
    <xf numFmtId="0" fontId="6462" fillId="6466" borderId="6413" xfId="0" applyFont="1" applyFill="1" applyBorder="1"/>
    <xf numFmtId="14" fontId="6463" fillId="6467" borderId="6414" xfId="0" applyNumberFormat="1" applyFont="1" applyFill="1" applyBorder="1"/>
    <xf numFmtId="0" fontId="6464" fillId="6468" borderId="6415" xfId="0" applyFont="1" applyFill="1" applyBorder="1"/>
    <xf numFmtId="0" fontId="6465" fillId="6469" borderId="6416" xfId="0" applyFont="1" applyFill="1" applyBorder="1"/>
    <xf numFmtId="0" fontId="6466" fillId="6470" borderId="6417" xfId="0" applyFont="1" applyFill="1" applyBorder="1"/>
    <xf numFmtId="0" fontId="6467" fillId="6471" borderId="6418" xfId="0" applyFont="1" applyFill="1" applyBorder="1"/>
    <xf numFmtId="0" fontId="6468" fillId="6472" borderId="6419" xfId="0" applyFont="1" applyFill="1" applyBorder="1"/>
    <xf numFmtId="0" fontId="6469" fillId="6473" borderId="6420" xfId="0" applyFont="1" applyFill="1" applyBorder="1"/>
    <xf numFmtId="0" fontId="6470" fillId="6474" borderId="6421" xfId="0" applyFont="1" applyFill="1" applyBorder="1"/>
    <xf numFmtId="0" fontId="6471" fillId="6475" borderId="6422" xfId="0" applyFont="1" applyFill="1" applyBorder="1"/>
    <xf numFmtId="0" fontId="6472" fillId="6476" borderId="6423" xfId="0" applyFont="1" applyFill="1" applyBorder="1"/>
    <xf numFmtId="0" fontId="6473" fillId="6477" borderId="6424" xfId="0" applyFont="1" applyFill="1" applyBorder="1"/>
    <xf numFmtId="14" fontId="6474" fillId="6478" borderId="6425" xfId="0" applyNumberFormat="1" applyFont="1" applyFill="1" applyBorder="1"/>
    <xf numFmtId="0" fontId="6475" fillId="6479" borderId="6426" xfId="0" applyFont="1" applyFill="1" applyBorder="1"/>
    <xf numFmtId="0" fontId="6476" fillId="6480" borderId="6427" xfId="0" applyFont="1" applyFill="1" applyBorder="1"/>
    <xf numFmtId="0" fontId="6477" fillId="6481" borderId="6428" xfId="0" applyFont="1" applyFill="1" applyBorder="1"/>
    <xf numFmtId="0" fontId="6478" fillId="6482" borderId="6429" xfId="0" applyFont="1" applyFill="1" applyBorder="1"/>
    <xf numFmtId="0" fontId="6479" fillId="6483" borderId="6430" xfId="0" applyFont="1" applyFill="1" applyBorder="1"/>
    <xf numFmtId="0" fontId="6480" fillId="6484" borderId="6431" xfId="0" applyFont="1" applyFill="1" applyBorder="1"/>
    <xf numFmtId="0" fontId="6481" fillId="6485" borderId="6432" xfId="0" applyFont="1" applyFill="1" applyBorder="1"/>
    <xf numFmtId="0" fontId="6482" fillId="6486" borderId="6433" xfId="0" applyFont="1" applyFill="1" applyBorder="1"/>
    <xf numFmtId="0" fontId="6483" fillId="6487" borderId="6434" xfId="0" applyFont="1" applyFill="1" applyBorder="1"/>
    <xf numFmtId="0" fontId="6484" fillId="6488" borderId="6435" xfId="0" applyFont="1" applyFill="1" applyBorder="1"/>
    <xf numFmtId="14" fontId="6485" fillId="6489" borderId="6436" xfId="0" applyNumberFormat="1" applyFont="1" applyFill="1" applyBorder="1"/>
    <xf numFmtId="0" fontId="6486" fillId="6490" borderId="6437" xfId="0" applyFont="1" applyFill="1" applyBorder="1"/>
    <xf numFmtId="0" fontId="6487" fillId="6491" borderId="6438" xfId="0" applyFont="1" applyFill="1" applyBorder="1"/>
    <xf numFmtId="0" fontId="6488" fillId="6492" borderId="6439" xfId="0" applyFont="1" applyFill="1" applyBorder="1"/>
    <xf numFmtId="0" fontId="6489" fillId="6493" borderId="6440" xfId="0" applyFont="1" applyFill="1" applyBorder="1"/>
    <xf numFmtId="0" fontId="6490" fillId="6494" borderId="6441" xfId="0" applyFont="1" applyFill="1" applyBorder="1"/>
    <xf numFmtId="0" fontId="6491" fillId="6495" borderId="6442" xfId="0" applyFont="1" applyFill="1" applyBorder="1"/>
    <xf numFmtId="0" fontId="6492" fillId="6496" borderId="6443" xfId="0" applyFont="1" applyFill="1" applyBorder="1"/>
    <xf numFmtId="0" fontId="6493" fillId="6497" borderId="6444" xfId="0" applyFont="1" applyFill="1" applyBorder="1"/>
    <xf numFmtId="0" fontId="6494" fillId="6498" borderId="6445" xfId="0" applyFont="1" applyFill="1" applyBorder="1"/>
    <xf numFmtId="0" fontId="6495" fillId="6499" borderId="6446" xfId="0" applyFont="1" applyFill="1" applyBorder="1"/>
    <xf numFmtId="14" fontId="6496" fillId="6500" borderId="6447" xfId="0" applyNumberFormat="1" applyFont="1" applyFill="1" applyBorder="1"/>
    <xf numFmtId="0" fontId="6497" fillId="6501" borderId="6448" xfId="0" applyFont="1" applyFill="1" applyBorder="1"/>
    <xf numFmtId="0" fontId="6498" fillId="6502" borderId="6449" xfId="0" applyFont="1" applyFill="1" applyBorder="1"/>
    <xf numFmtId="0" fontId="6499" fillId="6503" borderId="6450" xfId="0" applyFont="1" applyFill="1" applyBorder="1"/>
    <xf numFmtId="0" fontId="6500" fillId="6504" borderId="6451" xfId="0" applyFont="1" applyFill="1" applyBorder="1"/>
    <xf numFmtId="0" fontId="6501" fillId="6505" borderId="6452" xfId="0" applyFont="1" applyFill="1" applyBorder="1"/>
    <xf numFmtId="0" fontId="6502" fillId="6506" borderId="6453" xfId="0" applyFont="1" applyFill="1" applyBorder="1"/>
    <xf numFmtId="0" fontId="6503" fillId="6507" borderId="6454" xfId="0" applyFont="1" applyFill="1" applyBorder="1"/>
    <xf numFmtId="0" fontId="6504" fillId="6508" borderId="6455" xfId="0" applyFont="1" applyFill="1" applyBorder="1"/>
    <xf numFmtId="0" fontId="6505" fillId="6509" borderId="6456" xfId="0" applyFont="1" applyFill="1" applyBorder="1"/>
    <xf numFmtId="0" fontId="6506" fillId="6510" borderId="6457" xfId="0" applyFont="1" applyFill="1" applyBorder="1"/>
    <xf numFmtId="14" fontId="6507" fillId="6511" borderId="6458" xfId="0" applyNumberFormat="1" applyFont="1" applyFill="1" applyBorder="1"/>
    <xf numFmtId="0" fontId="6508" fillId="6512" borderId="6459" xfId="0" applyFont="1" applyFill="1" applyBorder="1"/>
    <xf numFmtId="0" fontId="6509" fillId="6513" borderId="6460" xfId="0" applyFont="1" applyFill="1" applyBorder="1"/>
    <xf numFmtId="0" fontId="6510" fillId="6514" borderId="6461" xfId="0" applyFont="1" applyFill="1" applyBorder="1"/>
    <xf numFmtId="0" fontId="6511" fillId="6515" borderId="6462" xfId="0" applyFont="1" applyFill="1" applyBorder="1"/>
    <xf numFmtId="0" fontId="6512" fillId="6516" borderId="6463" xfId="0" applyFont="1" applyFill="1" applyBorder="1"/>
    <xf numFmtId="0" fontId="6513" fillId="6517" borderId="6464" xfId="0" applyFont="1" applyFill="1" applyBorder="1"/>
    <xf numFmtId="0" fontId="6514" fillId="6518" borderId="6465" xfId="0" applyFont="1" applyFill="1" applyBorder="1"/>
    <xf numFmtId="0" fontId="6515" fillId="6519" borderId="6466" xfId="0" applyFont="1" applyFill="1" applyBorder="1"/>
    <xf numFmtId="0" fontId="6516" fillId="6520" borderId="6467" xfId="0" applyFont="1" applyFill="1" applyBorder="1"/>
    <xf numFmtId="0" fontId="6517" fillId="6521" borderId="6468" xfId="0" applyFont="1" applyFill="1" applyBorder="1"/>
    <xf numFmtId="14" fontId="6518" fillId="6522" borderId="6469" xfId="0" applyNumberFormat="1" applyFont="1" applyFill="1" applyBorder="1"/>
    <xf numFmtId="0" fontId="6519" fillId="6523" borderId="6470" xfId="0" applyFont="1" applyFill="1" applyBorder="1"/>
    <xf numFmtId="0" fontId="6520" fillId="6524" borderId="6471" xfId="0" applyFont="1" applyFill="1" applyBorder="1"/>
    <xf numFmtId="0" fontId="6521" fillId="6525" borderId="6472" xfId="0" applyFont="1" applyFill="1" applyBorder="1"/>
    <xf numFmtId="0" fontId="6522" fillId="6526" borderId="6473" xfId="0" applyFont="1" applyFill="1" applyBorder="1"/>
    <xf numFmtId="0" fontId="6523" fillId="6527" borderId="6474" xfId="0" applyFont="1" applyFill="1" applyBorder="1"/>
    <xf numFmtId="0" fontId="6524" fillId="6528" borderId="6475" xfId="0" applyFont="1" applyFill="1" applyBorder="1"/>
    <xf numFmtId="0" fontId="6525" fillId="6529" borderId="6476" xfId="0" applyFont="1" applyFill="1" applyBorder="1"/>
    <xf numFmtId="0" fontId="6526" fillId="6530" borderId="6477" xfId="0" applyFont="1" applyFill="1" applyBorder="1"/>
    <xf numFmtId="0" fontId="6527" fillId="6531" borderId="6478" xfId="0" applyFont="1" applyFill="1" applyBorder="1"/>
    <xf numFmtId="0" fontId="6528" fillId="6532" borderId="6479" xfId="0" applyFont="1" applyFill="1" applyBorder="1"/>
    <xf numFmtId="14" fontId="6529" fillId="6533" borderId="6480" xfId="0" applyNumberFormat="1" applyFont="1" applyFill="1" applyBorder="1"/>
    <xf numFmtId="0" fontId="6530" fillId="6534" borderId="6481" xfId="0" applyFont="1" applyFill="1" applyBorder="1"/>
    <xf numFmtId="0" fontId="6531" fillId="6535" borderId="6482" xfId="0" applyFont="1" applyFill="1" applyBorder="1"/>
    <xf numFmtId="0" fontId="6532" fillId="6536" borderId="6483" xfId="0" applyFont="1" applyFill="1" applyBorder="1"/>
    <xf numFmtId="0" fontId="6533" fillId="6537" borderId="6484" xfId="0" applyFont="1" applyFill="1" applyBorder="1"/>
    <xf numFmtId="0" fontId="6534" fillId="6538" borderId="6485" xfId="0" applyFont="1" applyFill="1" applyBorder="1"/>
    <xf numFmtId="0" fontId="6535" fillId="6539" borderId="6486" xfId="0" applyFont="1" applyFill="1" applyBorder="1"/>
    <xf numFmtId="0" fontId="6536" fillId="6540" borderId="6487" xfId="0" applyFont="1" applyFill="1" applyBorder="1"/>
    <xf numFmtId="0" fontId="6537" fillId="6541" borderId="6488" xfId="0" applyFont="1" applyFill="1" applyBorder="1"/>
    <xf numFmtId="0" fontId="6538" fillId="6542" borderId="6489" xfId="0" applyFont="1" applyFill="1" applyBorder="1"/>
    <xf numFmtId="0" fontId="6539" fillId="6543" borderId="6490" xfId="0" applyFont="1" applyFill="1" applyBorder="1"/>
    <xf numFmtId="14" fontId="6540" fillId="6544" borderId="6491" xfId="0" applyNumberFormat="1" applyFont="1" applyFill="1" applyBorder="1"/>
    <xf numFmtId="0" fontId="6541" fillId="6545" borderId="6492" xfId="0" applyFont="1" applyFill="1" applyBorder="1"/>
    <xf numFmtId="0" fontId="6542" fillId="6546" borderId="6493" xfId="0" applyFont="1" applyFill="1" applyBorder="1"/>
    <xf numFmtId="0" fontId="6543" fillId="6547" borderId="6494" xfId="0" applyFont="1" applyFill="1" applyBorder="1"/>
    <xf numFmtId="0" fontId="6544" fillId="6548" borderId="6495" xfId="0" applyFont="1" applyFill="1" applyBorder="1"/>
    <xf numFmtId="0" fontId="6545" fillId="6549" borderId="6496" xfId="0" applyFont="1" applyFill="1" applyBorder="1"/>
    <xf numFmtId="0" fontId="6546" fillId="6550" borderId="6497" xfId="0" applyFont="1" applyFill="1" applyBorder="1"/>
    <xf numFmtId="0" fontId="6547" fillId="6551" borderId="6498" xfId="0" applyFont="1" applyFill="1" applyBorder="1"/>
    <xf numFmtId="0" fontId="6548" fillId="6552" borderId="6499" xfId="0" applyFont="1" applyFill="1" applyBorder="1"/>
    <xf numFmtId="0" fontId="6549" fillId="6553" borderId="6500" xfId="0" applyFont="1" applyFill="1" applyBorder="1"/>
    <xf numFmtId="0" fontId="6550" fillId="6554" borderId="6501" xfId="0" applyFont="1" applyFill="1" applyBorder="1"/>
    <xf numFmtId="14" fontId="6551" fillId="6555" borderId="6502" xfId="0" applyNumberFormat="1" applyFont="1" applyFill="1" applyBorder="1"/>
    <xf numFmtId="0" fontId="6552" fillId="6556" borderId="6503" xfId="0" applyFont="1" applyFill="1" applyBorder="1"/>
    <xf numFmtId="0" fontId="6553" fillId="6557" borderId="6504" xfId="0" applyFont="1" applyFill="1" applyBorder="1"/>
    <xf numFmtId="0" fontId="6554" fillId="6558" borderId="6505" xfId="0" applyFont="1" applyFill="1" applyBorder="1"/>
    <xf numFmtId="0" fontId="6555" fillId="6559" borderId="6506" xfId="0" applyFont="1" applyFill="1" applyBorder="1"/>
    <xf numFmtId="0" fontId="6556" fillId="6560" borderId="6507" xfId="0" applyFont="1" applyFill="1" applyBorder="1"/>
    <xf numFmtId="0" fontId="6557" fillId="6561" borderId="6508" xfId="0" applyFont="1" applyFill="1" applyBorder="1"/>
    <xf numFmtId="0" fontId="6558" fillId="6562" borderId="6509" xfId="0" applyFont="1" applyFill="1" applyBorder="1"/>
    <xf numFmtId="0" fontId="6559" fillId="6563" borderId="6510" xfId="0" applyFont="1" applyFill="1" applyBorder="1"/>
    <xf numFmtId="0" fontId="6560" fillId="6564" borderId="6511" xfId="0" applyFont="1" applyFill="1" applyBorder="1"/>
    <xf numFmtId="0" fontId="6561" fillId="6565" borderId="6512" xfId="0" applyFont="1" applyFill="1" applyBorder="1"/>
    <xf numFmtId="14" fontId="6562" fillId="6566" borderId="6513" xfId="0" applyNumberFormat="1" applyFont="1" applyFill="1" applyBorder="1"/>
    <xf numFmtId="0" fontId="6563" fillId="6567" borderId="6514" xfId="0" applyFont="1" applyFill="1" applyBorder="1"/>
    <xf numFmtId="0" fontId="6564" fillId="6568" borderId="6515" xfId="0" applyFont="1" applyFill="1" applyBorder="1"/>
    <xf numFmtId="0" fontId="6565" fillId="6569" borderId="6516" xfId="0" applyFont="1" applyFill="1" applyBorder="1"/>
    <xf numFmtId="0" fontId="6566" fillId="6570" borderId="6517" xfId="0" applyFont="1" applyFill="1" applyBorder="1"/>
    <xf numFmtId="0" fontId="6567" fillId="6571" borderId="6518" xfId="0" applyFont="1" applyFill="1" applyBorder="1"/>
    <xf numFmtId="0" fontId="6568" fillId="6572" borderId="6519" xfId="0" applyFont="1" applyFill="1" applyBorder="1"/>
    <xf numFmtId="0" fontId="6569" fillId="6573" borderId="6520" xfId="0" applyFont="1" applyFill="1" applyBorder="1"/>
    <xf numFmtId="0" fontId="6570" fillId="6574" borderId="6521" xfId="0" applyFont="1" applyFill="1" applyBorder="1"/>
    <xf numFmtId="0" fontId="6571" fillId="6575" borderId="6522" xfId="0" applyFont="1" applyFill="1" applyBorder="1"/>
    <xf numFmtId="0" fontId="6572" fillId="6576" borderId="6523" xfId="0" applyFont="1" applyFill="1" applyBorder="1"/>
    <xf numFmtId="14" fontId="6573" fillId="6577" borderId="6524" xfId="0" applyNumberFormat="1" applyFont="1" applyFill="1" applyBorder="1"/>
    <xf numFmtId="0" fontId="6574" fillId="6578" borderId="6525" xfId="0" applyFont="1" applyFill="1" applyBorder="1"/>
    <xf numFmtId="0" fontId="6575" fillId="6579" borderId="6526" xfId="0" applyFont="1" applyFill="1" applyBorder="1"/>
    <xf numFmtId="0" fontId="6576" fillId="6580" borderId="6527" xfId="0" applyFont="1" applyFill="1" applyBorder="1"/>
    <xf numFmtId="0" fontId="6577" fillId="6581" borderId="6528" xfId="0" applyFont="1" applyFill="1" applyBorder="1"/>
    <xf numFmtId="0" fontId="6578" fillId="6582" borderId="6529" xfId="0" applyFont="1" applyFill="1" applyBorder="1"/>
    <xf numFmtId="0" fontId="6579" fillId="6583" borderId="6530" xfId="0" applyFont="1" applyFill="1" applyBorder="1"/>
    <xf numFmtId="0" fontId="6580" fillId="6584" borderId="6531" xfId="0" applyFont="1" applyFill="1" applyBorder="1"/>
    <xf numFmtId="0" fontId="6581" fillId="6585" borderId="6532" xfId="0" applyFont="1" applyFill="1" applyBorder="1"/>
    <xf numFmtId="0" fontId="6582" fillId="6586" borderId="6533" xfId="0" applyFont="1" applyFill="1" applyBorder="1"/>
    <xf numFmtId="0" fontId="6583" fillId="6587" borderId="6534" xfId="0" applyFont="1" applyFill="1" applyBorder="1"/>
    <xf numFmtId="14" fontId="6584" fillId="6588" borderId="6535" xfId="0" applyNumberFormat="1" applyFont="1" applyFill="1" applyBorder="1"/>
    <xf numFmtId="0" fontId="6585" fillId="6589" borderId="6536" xfId="0" applyFont="1" applyFill="1" applyBorder="1"/>
    <xf numFmtId="0" fontId="6586" fillId="6590" borderId="6537" xfId="0" applyFont="1" applyFill="1" applyBorder="1"/>
    <xf numFmtId="0" fontId="6587" fillId="6591" borderId="6538" xfId="0" applyFont="1" applyFill="1" applyBorder="1"/>
    <xf numFmtId="0" fontId="6588" fillId="6592" borderId="6539" xfId="0" applyFont="1" applyFill="1" applyBorder="1"/>
    <xf numFmtId="0" fontId="6589" fillId="6593" borderId="6540" xfId="0" applyFont="1" applyFill="1" applyBorder="1"/>
    <xf numFmtId="0" fontId="6590" fillId="6594" borderId="6541" xfId="0" applyFont="1" applyFill="1" applyBorder="1"/>
    <xf numFmtId="0" fontId="6591" fillId="6595" borderId="6542" xfId="0" applyFont="1" applyFill="1" applyBorder="1"/>
    <xf numFmtId="0" fontId="6592" fillId="6596" borderId="6543" xfId="0" applyFont="1" applyFill="1" applyBorder="1"/>
    <xf numFmtId="0" fontId="6593" fillId="6597" borderId="6544" xfId="0" applyFont="1" applyFill="1" applyBorder="1"/>
    <xf numFmtId="0" fontId="6594" fillId="6598" borderId="6545" xfId="0" applyFont="1" applyFill="1" applyBorder="1"/>
    <xf numFmtId="14" fontId="6595" fillId="6599" borderId="6546" xfId="0" applyNumberFormat="1" applyFont="1" applyFill="1" applyBorder="1"/>
    <xf numFmtId="0" fontId="6596" fillId="6600" borderId="6547" xfId="0" applyFont="1" applyFill="1" applyBorder="1"/>
    <xf numFmtId="0" fontId="6597" fillId="6601" borderId="6548" xfId="0" applyFont="1" applyFill="1" applyBorder="1"/>
    <xf numFmtId="0" fontId="6598" fillId="6602" borderId="6549" xfId="0" applyFont="1" applyFill="1" applyBorder="1"/>
    <xf numFmtId="0" fontId="6599" fillId="6603" borderId="6550" xfId="0" applyFont="1" applyFill="1" applyBorder="1"/>
    <xf numFmtId="0" fontId="6600" fillId="6604" borderId="6551" xfId="0" applyFont="1" applyFill="1" applyBorder="1"/>
    <xf numFmtId="0" fontId="6601" fillId="6605" borderId="6552" xfId="0" applyFont="1" applyFill="1" applyBorder="1"/>
    <xf numFmtId="0" fontId="6602" fillId="6606" borderId="6553" xfId="0" applyFont="1" applyFill="1" applyBorder="1"/>
    <xf numFmtId="0" fontId="6603" fillId="6607" borderId="6554" xfId="0" applyFont="1" applyFill="1" applyBorder="1"/>
    <xf numFmtId="0" fontId="6604" fillId="6608" borderId="6555" xfId="0" applyFont="1" applyFill="1" applyBorder="1" applyAlignment="1">
      <alignment horizontal="center" wrapText="1"/>
    </xf>
    <xf numFmtId="0" fontId="6605" fillId="6609" borderId="6556" xfId="0" applyFont="1" applyFill="1" applyBorder="1" applyAlignment="1">
      <alignment horizontal="center" wrapText="1"/>
    </xf>
    <xf numFmtId="0" fontId="6606" fillId="6610" borderId="6557" xfId="0" applyFont="1" applyFill="1" applyBorder="1" applyAlignment="1">
      <alignment horizontal="center" wrapText="1"/>
    </xf>
    <xf numFmtId="0" fontId="6607" fillId="6611" borderId="6558" xfId="0" applyFont="1" applyFill="1" applyBorder="1" applyAlignment="1">
      <alignment horizontal="center" wrapText="1"/>
    </xf>
    <xf numFmtId="0" fontId="6608" fillId="6612" borderId="6559" xfId="0" applyFont="1" applyFill="1" applyBorder="1" applyAlignment="1">
      <alignment horizontal="center" wrapText="1"/>
    </xf>
    <xf numFmtId="0" fontId="6609" fillId="6613" borderId="6560" xfId="0" applyFont="1" applyFill="1" applyBorder="1" applyAlignment="1">
      <alignment horizontal="center" wrapText="1"/>
    </xf>
    <xf numFmtId="0" fontId="6610" fillId="6614" borderId="6561" xfId="0" applyFont="1" applyFill="1" applyBorder="1" applyAlignment="1">
      <alignment horizontal="center" wrapText="1"/>
    </xf>
    <xf numFmtId="0" fontId="6611" fillId="6615" borderId="6562" xfId="0" applyFont="1" applyFill="1" applyBorder="1" applyAlignment="1">
      <alignment horizontal="center" wrapText="1"/>
    </xf>
    <xf numFmtId="0" fontId="6612" fillId="6616" borderId="6563" xfId="0" applyFont="1" applyFill="1" applyBorder="1" applyAlignment="1">
      <alignment horizontal="center" wrapText="1"/>
    </xf>
    <xf numFmtId="0" fontId="6613" fillId="6617" borderId="6564" xfId="0" applyFont="1" applyFill="1" applyBorder="1" applyAlignment="1">
      <alignment horizontal="center" wrapText="1"/>
    </xf>
    <xf numFmtId="0" fontId="6614" fillId="6618" borderId="6565" xfId="0" applyFont="1" applyFill="1" applyBorder="1"/>
    <xf numFmtId="14" fontId="6615" fillId="6619" borderId="6566" xfId="0" applyNumberFormat="1" applyFont="1" applyFill="1" applyBorder="1"/>
    <xf numFmtId="14" fontId="6616" fillId="6620" borderId="6567" xfId="0" applyNumberFormat="1" applyFont="1" applyFill="1" applyBorder="1"/>
    <xf numFmtId="0" fontId="6617" fillId="6621" borderId="6568" xfId="0" applyFont="1" applyFill="1" applyBorder="1"/>
    <xf numFmtId="14" fontId="6618" fillId="6622" borderId="6569" xfId="0" applyNumberFormat="1" applyFont="1" applyFill="1" applyBorder="1"/>
    <xf numFmtId="0" fontId="6619" fillId="6623" borderId="6570" xfId="0" applyFont="1" applyFill="1" applyBorder="1"/>
    <xf numFmtId="0" fontId="6620" fillId="6624" borderId="6571" xfId="0" applyFont="1" applyFill="1" applyBorder="1"/>
    <xf numFmtId="0" fontId="6621" fillId="6625" borderId="6572" xfId="0" applyFont="1" applyFill="1" applyBorder="1"/>
    <xf numFmtId="0" fontId="6622" fillId="6626" borderId="6573" xfId="0" applyFont="1" applyFill="1" applyBorder="1"/>
    <xf numFmtId="0" fontId="6623" fillId="6627" borderId="6574" xfId="0" applyFont="1" applyFill="1" applyBorder="1"/>
    <xf numFmtId="0" fontId="6624" fillId="6628" borderId="6575" xfId="0" applyFont="1" applyFill="1" applyBorder="1"/>
    <xf numFmtId="14" fontId="6625" fillId="6629" borderId="6576" xfId="0" applyNumberFormat="1" applyFont="1" applyFill="1" applyBorder="1"/>
    <xf numFmtId="14" fontId="6626" fillId="6630" borderId="6577" xfId="0" applyNumberFormat="1" applyFont="1" applyFill="1" applyBorder="1"/>
    <xf numFmtId="0" fontId="6627" fillId="6631" borderId="6578" xfId="0" applyFont="1" applyFill="1" applyBorder="1"/>
    <xf numFmtId="14" fontId="6628" fillId="6632" borderId="6579" xfId="0" applyNumberFormat="1" applyFont="1" applyFill="1" applyBorder="1"/>
    <xf numFmtId="0" fontId="6629" fillId="6633" borderId="6580" xfId="0" applyFont="1" applyFill="1" applyBorder="1"/>
    <xf numFmtId="0" fontId="6630" fillId="6634" borderId="6581" xfId="0" applyFont="1" applyFill="1" applyBorder="1"/>
    <xf numFmtId="0" fontId="6631" fillId="6635" borderId="6582" xfId="0" applyFont="1" applyFill="1" applyBorder="1"/>
    <xf numFmtId="0" fontId="6632" fillId="6636" borderId="6583" xfId="0" applyFont="1" applyFill="1" applyBorder="1"/>
    <xf numFmtId="0" fontId="6633" fillId="6637" borderId="6584" xfId="0" applyFont="1" applyFill="1" applyBorder="1"/>
    <xf numFmtId="0" fontId="6634" fillId="6638" borderId="6585" xfId="0" applyFont="1" applyFill="1" applyBorder="1"/>
    <xf numFmtId="14" fontId="6635" fillId="6639" borderId="6586" xfId="0" applyNumberFormat="1" applyFont="1" applyFill="1" applyBorder="1"/>
    <xf numFmtId="14" fontId="6636" fillId="6640" borderId="6587" xfId="0" applyNumberFormat="1" applyFont="1" applyFill="1" applyBorder="1"/>
    <xf numFmtId="0" fontId="6637" fillId="6641" borderId="6588" xfId="0" applyFont="1" applyFill="1" applyBorder="1"/>
    <xf numFmtId="14" fontId="6638" fillId="6642" borderId="6589" xfId="0" applyNumberFormat="1" applyFont="1" applyFill="1" applyBorder="1"/>
    <xf numFmtId="0" fontId="6639" fillId="6643" borderId="6590" xfId="0" applyFont="1" applyFill="1" applyBorder="1"/>
    <xf numFmtId="0" fontId="6640" fillId="6644" borderId="6591" xfId="0" applyFont="1" applyFill="1" applyBorder="1"/>
    <xf numFmtId="0" fontId="6641" fillId="6645" borderId="6592" xfId="0" applyFont="1" applyFill="1" applyBorder="1"/>
    <xf numFmtId="0" fontId="6642" fillId="6646" borderId="6593" xfId="0" applyFont="1" applyFill="1" applyBorder="1"/>
    <xf numFmtId="0" fontId="6643" fillId="6647" borderId="6594" xfId="0" applyFont="1" applyFill="1" applyBorder="1"/>
    <xf numFmtId="0" fontId="6644" fillId="6648" borderId="6595" xfId="0" applyFont="1" applyFill="1" applyBorder="1"/>
    <xf numFmtId="14" fontId="6645" fillId="6649" borderId="6596" xfId="0" applyNumberFormat="1" applyFont="1" applyFill="1" applyBorder="1"/>
    <xf numFmtId="14" fontId="6646" fillId="6650" borderId="6597" xfId="0" applyNumberFormat="1" applyFont="1" applyFill="1" applyBorder="1"/>
    <xf numFmtId="0" fontId="6647" fillId="6651" borderId="6598" xfId="0" applyFont="1" applyFill="1" applyBorder="1"/>
    <xf numFmtId="14" fontId="6648" fillId="6652" borderId="6599" xfId="0" applyNumberFormat="1" applyFont="1" applyFill="1" applyBorder="1"/>
    <xf numFmtId="0" fontId="6649" fillId="6653" borderId="6600" xfId="0" applyFont="1" applyFill="1" applyBorder="1"/>
    <xf numFmtId="0" fontId="6650" fillId="6654" borderId="6601" xfId="0" applyFont="1" applyFill="1" applyBorder="1"/>
    <xf numFmtId="0" fontId="6651" fillId="6655" borderId="6602" xfId="0" applyFont="1" applyFill="1" applyBorder="1"/>
    <xf numFmtId="0" fontId="6652" fillId="6656" borderId="6603" xfId="0" applyFont="1" applyFill="1" applyBorder="1"/>
    <xf numFmtId="0" fontId="6653" fillId="6657" borderId="6604" xfId="0" applyFont="1" applyFill="1" applyBorder="1"/>
    <xf numFmtId="0" fontId="6654" fillId="6658" borderId="6605" xfId="0" applyFont="1" applyFill="1" applyBorder="1"/>
    <xf numFmtId="14" fontId="6655" fillId="6659" borderId="6606" xfId="0" applyNumberFormat="1" applyFont="1" applyFill="1" applyBorder="1"/>
    <xf numFmtId="14" fontId="6656" fillId="6660" borderId="6607" xfId="0" applyNumberFormat="1" applyFont="1" applyFill="1" applyBorder="1"/>
    <xf numFmtId="0" fontId="6657" fillId="6661" borderId="6608" xfId="0" applyFont="1" applyFill="1" applyBorder="1"/>
    <xf numFmtId="14" fontId="6658" fillId="6662" borderId="6609" xfId="0" applyNumberFormat="1" applyFont="1" applyFill="1" applyBorder="1"/>
    <xf numFmtId="0" fontId="6659" fillId="6663" borderId="6610" xfId="0" applyFont="1" applyFill="1" applyBorder="1"/>
    <xf numFmtId="0" fontId="6660" fillId="6664" borderId="6611" xfId="0" applyFont="1" applyFill="1" applyBorder="1"/>
    <xf numFmtId="0" fontId="6661" fillId="6665" borderId="6612" xfId="0" applyFont="1" applyFill="1" applyBorder="1"/>
    <xf numFmtId="0" fontId="6662" fillId="6666" borderId="6613" xfId="0" applyFont="1" applyFill="1" applyBorder="1"/>
    <xf numFmtId="0" fontId="6663" fillId="6667" borderId="6614" xfId="0" applyFont="1" applyFill="1" applyBorder="1"/>
    <xf numFmtId="0" fontId="6664" fillId="6668" borderId="6615" xfId="0" applyFont="1" applyFill="1" applyBorder="1"/>
    <xf numFmtId="14" fontId="6665" fillId="6669" borderId="6616" xfId="0" applyNumberFormat="1" applyFont="1" applyFill="1" applyBorder="1"/>
    <xf numFmtId="14" fontId="6666" fillId="6670" borderId="6617" xfId="0" applyNumberFormat="1" applyFont="1" applyFill="1" applyBorder="1"/>
    <xf numFmtId="0" fontId="6667" fillId="6671" borderId="6618" xfId="0" applyFont="1" applyFill="1" applyBorder="1"/>
    <xf numFmtId="14" fontId="6668" fillId="6672" borderId="6619" xfId="0" applyNumberFormat="1" applyFont="1" applyFill="1" applyBorder="1"/>
    <xf numFmtId="0" fontId="6669" fillId="6673" borderId="6620" xfId="0" applyFont="1" applyFill="1" applyBorder="1"/>
    <xf numFmtId="0" fontId="6670" fillId="6674" borderId="6621" xfId="0" applyFont="1" applyFill="1" applyBorder="1"/>
    <xf numFmtId="0" fontId="6671" fillId="6675" borderId="6622" xfId="0" applyFont="1" applyFill="1" applyBorder="1"/>
    <xf numFmtId="0" fontId="6672" fillId="6676" borderId="6623" xfId="0" applyFont="1" applyFill="1" applyBorder="1"/>
    <xf numFmtId="0" fontId="6673" fillId="6677" borderId="6624" xfId="0" applyFont="1" applyFill="1" applyBorder="1"/>
    <xf numFmtId="0" fontId="6674" fillId="6678" borderId="6625" xfId="0" applyFont="1" applyFill="1" applyBorder="1"/>
    <xf numFmtId="14" fontId="6675" fillId="6679" borderId="6626" xfId="0" applyNumberFormat="1" applyFont="1" applyFill="1" applyBorder="1"/>
    <xf numFmtId="14" fontId="6676" fillId="6680" borderId="6627" xfId="0" applyNumberFormat="1" applyFont="1" applyFill="1" applyBorder="1"/>
    <xf numFmtId="0" fontId="6677" fillId="6681" borderId="6628" xfId="0" applyFont="1" applyFill="1" applyBorder="1"/>
    <xf numFmtId="14" fontId="6678" fillId="6682" borderId="6629" xfId="0" applyNumberFormat="1" applyFont="1" applyFill="1" applyBorder="1"/>
    <xf numFmtId="0" fontId="6679" fillId="6683" borderId="6630" xfId="0" applyFont="1" applyFill="1" applyBorder="1"/>
    <xf numFmtId="0" fontId="6680" fillId="6684" borderId="6631" xfId="0" applyFont="1" applyFill="1" applyBorder="1"/>
    <xf numFmtId="0" fontId="6681" fillId="6685" borderId="6632" xfId="0" applyFont="1" applyFill="1" applyBorder="1"/>
    <xf numFmtId="0" fontId="6682" fillId="6686" borderId="6633" xfId="0" applyFont="1" applyFill="1" applyBorder="1"/>
    <xf numFmtId="0" fontId="6683" fillId="6687" borderId="6634" xfId="0" applyFont="1" applyFill="1" applyBorder="1"/>
    <xf numFmtId="0" fontId="6684" fillId="6688" borderId="6635" xfId="0" applyFont="1" applyFill="1" applyBorder="1"/>
    <xf numFmtId="14" fontId="6685" fillId="6689" borderId="6636" xfId="0" applyNumberFormat="1" applyFont="1" applyFill="1" applyBorder="1"/>
    <xf numFmtId="14" fontId="6686" fillId="6690" borderId="6637" xfId="0" applyNumberFormat="1" applyFont="1" applyFill="1" applyBorder="1"/>
    <xf numFmtId="0" fontId="6687" fillId="6691" borderId="6638" xfId="0" applyFont="1" applyFill="1" applyBorder="1"/>
    <xf numFmtId="14" fontId="6688" fillId="6692" borderId="6639" xfId="0" applyNumberFormat="1" applyFont="1" applyFill="1" applyBorder="1"/>
    <xf numFmtId="0" fontId="6689" fillId="6693" borderId="6640" xfId="0" applyFont="1" applyFill="1" applyBorder="1"/>
    <xf numFmtId="0" fontId="6690" fillId="6694" borderId="6641" xfId="0" applyFont="1" applyFill="1" applyBorder="1"/>
    <xf numFmtId="0" fontId="6691" fillId="6695" borderId="6642" xfId="0" applyFont="1" applyFill="1" applyBorder="1"/>
    <xf numFmtId="0" fontId="6692" fillId="6696" borderId="6643" xfId="0" applyFont="1" applyFill="1" applyBorder="1"/>
    <xf numFmtId="0" fontId="6693" fillId="6697" borderId="6644" xfId="0" applyFont="1" applyFill="1" applyBorder="1"/>
    <xf numFmtId="0" fontId="6694" fillId="6698" borderId="6645" xfId="0" applyFont="1" applyFill="1" applyBorder="1"/>
    <xf numFmtId="14" fontId="6695" fillId="6699" borderId="6646" xfId="0" applyNumberFormat="1" applyFont="1" applyFill="1" applyBorder="1"/>
    <xf numFmtId="14" fontId="6696" fillId="6700" borderId="6647" xfId="0" applyNumberFormat="1" applyFont="1" applyFill="1" applyBorder="1"/>
    <xf numFmtId="0" fontId="6697" fillId="6701" borderId="6648" xfId="0" applyFont="1" applyFill="1" applyBorder="1"/>
    <xf numFmtId="14" fontId="6698" fillId="6702" borderId="6649" xfId="0" applyNumberFormat="1" applyFont="1" applyFill="1" applyBorder="1"/>
    <xf numFmtId="0" fontId="6699" fillId="6703" borderId="6650" xfId="0" applyFont="1" applyFill="1" applyBorder="1"/>
    <xf numFmtId="0" fontId="6700" fillId="6704" borderId="6651" xfId="0" applyFont="1" applyFill="1" applyBorder="1"/>
    <xf numFmtId="0" fontId="6701" fillId="6705" borderId="6652" xfId="0" applyFont="1" applyFill="1" applyBorder="1"/>
    <xf numFmtId="0" fontId="6702" fillId="6706" borderId="6653" xfId="0" applyFont="1" applyFill="1" applyBorder="1"/>
    <xf numFmtId="0" fontId="6703" fillId="6707" borderId="6654" xfId="0" applyFont="1" applyFill="1" applyBorder="1"/>
    <xf numFmtId="0" fontId="6704" fillId="6708" borderId="6655" xfId="0" applyFont="1" applyFill="1" applyBorder="1"/>
    <xf numFmtId="14" fontId="6705" fillId="6709" borderId="6656" xfId="0" applyNumberFormat="1" applyFont="1" applyFill="1" applyBorder="1"/>
    <xf numFmtId="14" fontId="6706" fillId="6710" borderId="6657" xfId="0" applyNumberFormat="1" applyFont="1" applyFill="1" applyBorder="1"/>
    <xf numFmtId="0" fontId="6707" fillId="6711" borderId="6658" xfId="0" applyFont="1" applyFill="1" applyBorder="1"/>
    <xf numFmtId="14" fontId="6708" fillId="6712" borderId="6659" xfId="0" applyNumberFormat="1" applyFont="1" applyFill="1" applyBorder="1"/>
    <xf numFmtId="0" fontId="6709" fillId="6713" borderId="6660" xfId="0" applyFont="1" applyFill="1" applyBorder="1"/>
    <xf numFmtId="0" fontId="6710" fillId="6714" borderId="6661" xfId="0" applyFont="1" applyFill="1" applyBorder="1"/>
    <xf numFmtId="0" fontId="6711" fillId="6715" borderId="6662" xfId="0" applyFont="1" applyFill="1" applyBorder="1"/>
    <xf numFmtId="0" fontId="6712" fillId="6716" borderId="6663" xfId="0" applyFont="1" applyFill="1" applyBorder="1"/>
    <xf numFmtId="0" fontId="6713" fillId="6717" borderId="6664" xfId="0" applyFont="1" applyFill="1" applyBorder="1"/>
    <xf numFmtId="0" fontId="6714" fillId="6718" borderId="6665" xfId="0" applyFont="1" applyFill="1" applyBorder="1"/>
    <xf numFmtId="14" fontId="6715" fillId="6719" borderId="6666" xfId="0" applyNumberFormat="1" applyFont="1" applyFill="1" applyBorder="1"/>
    <xf numFmtId="14" fontId="6716" fillId="6720" borderId="6667" xfId="0" applyNumberFormat="1" applyFont="1" applyFill="1" applyBorder="1"/>
    <xf numFmtId="0" fontId="6717" fillId="6721" borderId="6668" xfId="0" applyFont="1" applyFill="1" applyBorder="1"/>
    <xf numFmtId="14" fontId="6718" fillId="6722" borderId="6669" xfId="0" applyNumberFormat="1" applyFont="1" applyFill="1" applyBorder="1"/>
    <xf numFmtId="0" fontId="6719" fillId="6723" borderId="6670" xfId="0" applyFont="1" applyFill="1" applyBorder="1"/>
    <xf numFmtId="0" fontId="6720" fillId="6724" borderId="6671" xfId="0" applyFont="1" applyFill="1" applyBorder="1"/>
    <xf numFmtId="0" fontId="6721" fillId="6725" borderId="6672" xfId="0" applyFont="1" applyFill="1" applyBorder="1"/>
    <xf numFmtId="0" fontId="6722" fillId="6726" borderId="6673" xfId="0" applyFont="1" applyFill="1" applyBorder="1"/>
    <xf numFmtId="0" fontId="6723" fillId="6727" borderId="6674" xfId="0" applyFont="1" applyFill="1" applyBorder="1"/>
    <xf numFmtId="0" fontId="6724" fillId="6728" borderId="6675" xfId="0" applyFont="1" applyFill="1" applyBorder="1"/>
    <xf numFmtId="14" fontId="6725" fillId="6729" borderId="6676" xfId="0" applyNumberFormat="1" applyFont="1" applyFill="1" applyBorder="1"/>
    <xf numFmtId="14" fontId="6726" fillId="6730" borderId="6677" xfId="0" applyNumberFormat="1" applyFont="1" applyFill="1" applyBorder="1"/>
    <xf numFmtId="0" fontId="6727" fillId="6731" borderId="6678" xfId="0" applyFont="1" applyFill="1" applyBorder="1"/>
    <xf numFmtId="14" fontId="6728" fillId="6732" borderId="6679" xfId="0" applyNumberFormat="1" applyFont="1" applyFill="1" applyBorder="1"/>
    <xf numFmtId="0" fontId="6729" fillId="6733" borderId="6680" xfId="0" applyFont="1" applyFill="1" applyBorder="1"/>
    <xf numFmtId="0" fontId="6730" fillId="6734" borderId="6681" xfId="0" applyFont="1" applyFill="1" applyBorder="1"/>
    <xf numFmtId="0" fontId="6731" fillId="6735" borderId="6682" xfId="0" applyFont="1" applyFill="1" applyBorder="1"/>
    <xf numFmtId="0" fontId="6732" fillId="6736" borderId="6683" xfId="0" applyFont="1" applyFill="1" applyBorder="1"/>
    <xf numFmtId="0" fontId="6733" fillId="6737" borderId="6684" xfId="0" applyFont="1" applyFill="1" applyBorder="1"/>
    <xf numFmtId="0" fontId="6734" fillId="6738" borderId="6685" xfId="0" applyFont="1" applyFill="1" applyBorder="1"/>
    <xf numFmtId="14" fontId="6735" fillId="6739" borderId="6686" xfId="0" applyNumberFormat="1" applyFont="1" applyFill="1" applyBorder="1"/>
    <xf numFmtId="14" fontId="6736" fillId="6740" borderId="6687" xfId="0" applyNumberFormat="1" applyFont="1" applyFill="1" applyBorder="1"/>
    <xf numFmtId="0" fontId="6737" fillId="6741" borderId="6688" xfId="0" applyFont="1" applyFill="1" applyBorder="1"/>
    <xf numFmtId="14" fontId="6738" fillId="6742" borderId="6689" xfId="0" applyNumberFormat="1" applyFont="1" applyFill="1" applyBorder="1"/>
    <xf numFmtId="0" fontId="6739" fillId="6743" borderId="6690" xfId="0" applyFont="1" applyFill="1" applyBorder="1"/>
    <xf numFmtId="0" fontId="6740" fillId="6744" borderId="6691" xfId="0" applyFont="1" applyFill="1" applyBorder="1"/>
    <xf numFmtId="0" fontId="6741" fillId="6745" borderId="6692" xfId="0" applyFont="1" applyFill="1" applyBorder="1"/>
    <xf numFmtId="0" fontId="6742" fillId="6746" borderId="6693" xfId="0" applyFont="1" applyFill="1" applyBorder="1"/>
    <xf numFmtId="0" fontId="6743" fillId="6747" borderId="6694" xfId="0" applyFont="1" applyFill="1" applyBorder="1"/>
    <xf numFmtId="0" fontId="6744" fillId="6748" borderId="6695" xfId="0" applyFont="1" applyFill="1" applyBorder="1"/>
    <xf numFmtId="14" fontId="6745" fillId="6749" borderId="6696" xfId="0" applyNumberFormat="1" applyFont="1" applyFill="1" applyBorder="1"/>
    <xf numFmtId="14" fontId="6746" fillId="6750" borderId="6697" xfId="0" applyNumberFormat="1" applyFont="1" applyFill="1" applyBorder="1"/>
    <xf numFmtId="0" fontId="6747" fillId="6751" borderId="6698" xfId="0" applyFont="1" applyFill="1" applyBorder="1"/>
    <xf numFmtId="14" fontId="6748" fillId="6752" borderId="6699" xfId="0" applyNumberFormat="1" applyFont="1" applyFill="1" applyBorder="1"/>
    <xf numFmtId="0" fontId="6749" fillId="6753" borderId="6700" xfId="0" applyFont="1" applyFill="1" applyBorder="1"/>
    <xf numFmtId="0" fontId="6750" fillId="6754" borderId="6701" xfId="0" applyFont="1" applyFill="1" applyBorder="1"/>
    <xf numFmtId="0" fontId="6751" fillId="6755" borderId="6702" xfId="0" applyFont="1" applyFill="1" applyBorder="1"/>
    <xf numFmtId="0" fontId="6752" fillId="6756" borderId="6703" xfId="0" applyFont="1" applyFill="1" applyBorder="1"/>
    <xf numFmtId="0" fontId="6753" fillId="6757" borderId="6704" xfId="0" applyFont="1" applyFill="1" applyBorder="1"/>
    <xf numFmtId="0" fontId="6754" fillId="6758" borderId="6705" xfId="0" applyFont="1" applyFill="1" applyBorder="1"/>
    <xf numFmtId="14" fontId="6755" fillId="6759" borderId="6706" xfId="0" applyNumberFormat="1" applyFont="1" applyFill="1" applyBorder="1"/>
    <xf numFmtId="14" fontId="6756" fillId="6760" borderId="6707" xfId="0" applyNumberFormat="1" applyFont="1" applyFill="1" applyBorder="1"/>
    <xf numFmtId="0" fontId="6757" fillId="6761" borderId="6708" xfId="0" applyFont="1" applyFill="1" applyBorder="1"/>
    <xf numFmtId="14" fontId="6758" fillId="6762" borderId="6709" xfId="0" applyNumberFormat="1" applyFont="1" applyFill="1" applyBorder="1"/>
    <xf numFmtId="0" fontId="6759" fillId="6763" borderId="6710" xfId="0" applyFont="1" applyFill="1" applyBorder="1"/>
    <xf numFmtId="0" fontId="6760" fillId="6764" borderId="6711" xfId="0" applyFont="1" applyFill="1" applyBorder="1"/>
    <xf numFmtId="0" fontId="6761" fillId="6765" borderId="6712" xfId="0" applyFont="1" applyFill="1" applyBorder="1"/>
    <xf numFmtId="0" fontId="6762" fillId="6766" borderId="6713" xfId="0" applyFont="1" applyFill="1" applyBorder="1"/>
    <xf numFmtId="0" fontId="6763" fillId="6767" borderId="6714" xfId="0" applyFont="1" applyFill="1" applyBorder="1"/>
    <xf numFmtId="0" fontId="6764" fillId="6768" borderId="6715" xfId="0" applyFont="1" applyFill="1" applyBorder="1"/>
    <xf numFmtId="14" fontId="6765" fillId="6769" borderId="6716" xfId="0" applyNumberFormat="1" applyFont="1" applyFill="1" applyBorder="1"/>
    <xf numFmtId="14" fontId="6766" fillId="6770" borderId="6717" xfId="0" applyNumberFormat="1" applyFont="1" applyFill="1" applyBorder="1"/>
    <xf numFmtId="0" fontId="6767" fillId="6771" borderId="6718" xfId="0" applyFont="1" applyFill="1" applyBorder="1"/>
    <xf numFmtId="14" fontId="6768" fillId="6772" borderId="6719" xfId="0" applyNumberFormat="1" applyFont="1" applyFill="1" applyBorder="1"/>
    <xf numFmtId="0" fontId="6769" fillId="6773" borderId="6720" xfId="0" applyFont="1" applyFill="1" applyBorder="1"/>
    <xf numFmtId="0" fontId="6770" fillId="6774" borderId="6721" xfId="0" applyFont="1" applyFill="1" applyBorder="1"/>
    <xf numFmtId="0" fontId="6771" fillId="6775" borderId="6722" xfId="0" applyFont="1" applyFill="1" applyBorder="1"/>
    <xf numFmtId="0" fontId="6772" fillId="6776" borderId="6723" xfId="0" applyFont="1" applyFill="1" applyBorder="1"/>
    <xf numFmtId="0" fontId="6773" fillId="6777" borderId="6724" xfId="0" applyFont="1" applyFill="1" applyBorder="1"/>
    <xf numFmtId="0" fontId="6774" fillId="6778" borderId="6725" xfId="0" applyFont="1" applyFill="1" applyBorder="1"/>
    <xf numFmtId="14" fontId="6775" fillId="6779" borderId="6726" xfId="0" applyNumberFormat="1" applyFont="1" applyFill="1" applyBorder="1"/>
    <xf numFmtId="14" fontId="6776" fillId="6780" borderId="6727" xfId="0" applyNumberFormat="1" applyFont="1" applyFill="1" applyBorder="1"/>
    <xf numFmtId="0" fontId="6777" fillId="6781" borderId="6728" xfId="0" applyFont="1" applyFill="1" applyBorder="1"/>
    <xf numFmtId="14" fontId="6778" fillId="6782" borderId="6729" xfId="0" applyNumberFormat="1" applyFont="1" applyFill="1" applyBorder="1"/>
    <xf numFmtId="0" fontId="6779" fillId="6783" borderId="6730" xfId="0" applyFont="1" applyFill="1" applyBorder="1"/>
    <xf numFmtId="0" fontId="6780" fillId="6784" borderId="6731" xfId="0" applyFont="1" applyFill="1" applyBorder="1"/>
    <xf numFmtId="0" fontId="6781" fillId="6785" borderId="6732" xfId="0" applyFont="1" applyFill="1" applyBorder="1"/>
    <xf numFmtId="0" fontId="6782" fillId="6786" borderId="6733" xfId="0" applyFont="1" applyFill="1" applyBorder="1"/>
    <xf numFmtId="0" fontId="6783" fillId="6787" borderId="6734" xfId="0" applyFont="1" applyFill="1" applyBorder="1"/>
    <xf numFmtId="0" fontId="6784" fillId="6788" borderId="6735" xfId="0" applyFont="1" applyFill="1" applyBorder="1"/>
    <xf numFmtId="14" fontId="6785" fillId="6789" borderId="6736" xfId="0" applyNumberFormat="1" applyFont="1" applyFill="1" applyBorder="1"/>
    <xf numFmtId="14" fontId="6786" fillId="6790" borderId="6737" xfId="0" applyNumberFormat="1" applyFont="1" applyFill="1" applyBorder="1"/>
    <xf numFmtId="0" fontId="6787" fillId="6791" borderId="6738" xfId="0" applyFont="1" applyFill="1" applyBorder="1"/>
    <xf numFmtId="14" fontId="6788" fillId="6792" borderId="6739" xfId="0" applyNumberFormat="1" applyFont="1" applyFill="1" applyBorder="1"/>
    <xf numFmtId="0" fontId="6789" fillId="6793" borderId="6740" xfId="0" applyFont="1" applyFill="1" applyBorder="1"/>
    <xf numFmtId="0" fontId="6790" fillId="6794" borderId="6741" xfId="0" applyFont="1" applyFill="1" applyBorder="1"/>
    <xf numFmtId="0" fontId="6791" fillId="6795" borderId="6742" xfId="0" applyFont="1" applyFill="1" applyBorder="1"/>
    <xf numFmtId="0" fontId="6792" fillId="6796" borderId="6743" xfId="0" applyFont="1" applyFill="1" applyBorder="1"/>
    <xf numFmtId="0" fontId="6793" fillId="6797" borderId="6744" xfId="0" applyFont="1" applyFill="1" applyBorder="1"/>
    <xf numFmtId="0" fontId="6794" fillId="6798" borderId="6745" xfId="0" applyFont="1" applyFill="1" applyBorder="1"/>
    <xf numFmtId="14" fontId="6795" fillId="6799" borderId="6746" xfId="0" applyNumberFormat="1" applyFont="1" applyFill="1" applyBorder="1"/>
    <xf numFmtId="14" fontId="6796" fillId="6800" borderId="6747" xfId="0" applyNumberFormat="1" applyFont="1" applyFill="1" applyBorder="1"/>
    <xf numFmtId="0" fontId="6797" fillId="6801" borderId="6748" xfId="0" applyFont="1" applyFill="1" applyBorder="1"/>
    <xf numFmtId="14" fontId="6798" fillId="6802" borderId="6749" xfId="0" applyNumberFormat="1" applyFont="1" applyFill="1" applyBorder="1"/>
    <xf numFmtId="0" fontId="6799" fillId="6803" borderId="6750" xfId="0" applyFont="1" applyFill="1" applyBorder="1"/>
    <xf numFmtId="0" fontId="6800" fillId="6804" borderId="6751" xfId="0" applyFont="1" applyFill="1" applyBorder="1"/>
    <xf numFmtId="0" fontId="6801" fillId="6805" borderId="6752" xfId="0" applyFont="1" applyFill="1" applyBorder="1"/>
    <xf numFmtId="0" fontId="6802" fillId="6806" borderId="6753" xfId="0" applyFont="1" applyFill="1" applyBorder="1"/>
    <xf numFmtId="0" fontId="6803" fillId="6807" borderId="6754" xfId="0" applyFont="1" applyFill="1" applyBorder="1"/>
    <xf numFmtId="0" fontId="6804" fillId="6808" borderId="6755" xfId="0" applyFont="1" applyFill="1" applyBorder="1"/>
    <xf numFmtId="14" fontId="6805" fillId="6809" borderId="6756" xfId="0" applyNumberFormat="1" applyFont="1" applyFill="1" applyBorder="1"/>
    <xf numFmtId="14" fontId="6806" fillId="6810" borderId="6757" xfId="0" applyNumberFormat="1" applyFont="1" applyFill="1" applyBorder="1"/>
    <xf numFmtId="0" fontId="6807" fillId="6811" borderId="6758" xfId="0" applyFont="1" applyFill="1" applyBorder="1"/>
    <xf numFmtId="14" fontId="6808" fillId="6812" borderId="6759" xfId="0" applyNumberFormat="1" applyFont="1" applyFill="1" applyBorder="1"/>
    <xf numFmtId="0" fontId="6809" fillId="6813" borderId="6760" xfId="0" applyFont="1" applyFill="1" applyBorder="1"/>
    <xf numFmtId="0" fontId="6810" fillId="6814" borderId="6761" xfId="0" applyFont="1" applyFill="1" applyBorder="1"/>
    <xf numFmtId="0" fontId="6811" fillId="6815" borderId="6762" xfId="0" applyFont="1" applyFill="1" applyBorder="1"/>
    <xf numFmtId="0" fontId="6812" fillId="6816" borderId="6763" xfId="0" applyFont="1" applyFill="1" applyBorder="1"/>
    <xf numFmtId="0" fontId="6813" fillId="6817" borderId="6764" xfId="0" applyFont="1" applyFill="1" applyBorder="1"/>
    <xf numFmtId="0" fontId="6814" fillId="6818" borderId="6765" xfId="0" applyFont="1" applyFill="1" applyBorder="1"/>
    <xf numFmtId="14" fontId="6815" fillId="6819" borderId="6766" xfId="0" applyNumberFormat="1" applyFont="1" applyFill="1" applyBorder="1"/>
    <xf numFmtId="14" fontId="6816" fillId="6820" borderId="6767" xfId="0" applyNumberFormat="1" applyFont="1" applyFill="1" applyBorder="1"/>
    <xf numFmtId="0" fontId="6817" fillId="6821" borderId="6768" xfId="0" applyFont="1" applyFill="1" applyBorder="1"/>
    <xf numFmtId="14" fontId="6818" fillId="6822" borderId="6769" xfId="0" applyNumberFormat="1" applyFont="1" applyFill="1" applyBorder="1"/>
    <xf numFmtId="0" fontId="6819" fillId="6823" borderId="6770" xfId="0" applyFont="1" applyFill="1" applyBorder="1"/>
    <xf numFmtId="0" fontId="6820" fillId="6824" borderId="6771" xfId="0" applyFont="1" applyFill="1" applyBorder="1"/>
    <xf numFmtId="0" fontId="6821" fillId="6825" borderId="6772" xfId="0" applyFont="1" applyFill="1" applyBorder="1"/>
    <xf numFmtId="0" fontId="6822" fillId="6826" borderId="6773" xfId="0" applyFont="1" applyFill="1" applyBorder="1"/>
    <xf numFmtId="0" fontId="6823" fillId="6827" borderId="6774" xfId="0" applyFont="1" applyFill="1" applyBorder="1"/>
    <xf numFmtId="0" fontId="6824" fillId="6828" borderId="6775" xfId="0" applyFont="1" applyFill="1" applyBorder="1"/>
    <xf numFmtId="14" fontId="6825" fillId="6829" borderId="6776" xfId="0" applyNumberFormat="1" applyFont="1" applyFill="1" applyBorder="1"/>
    <xf numFmtId="14" fontId="6826" fillId="6830" borderId="6777" xfId="0" applyNumberFormat="1" applyFont="1" applyFill="1" applyBorder="1"/>
    <xf numFmtId="0" fontId="6827" fillId="6831" borderId="6778" xfId="0" applyFont="1" applyFill="1" applyBorder="1"/>
    <xf numFmtId="14" fontId="6828" fillId="6832" borderId="6779" xfId="0" applyNumberFormat="1" applyFont="1" applyFill="1" applyBorder="1"/>
    <xf numFmtId="0" fontId="6829" fillId="6833" borderId="6780" xfId="0" applyFont="1" applyFill="1" applyBorder="1"/>
    <xf numFmtId="0" fontId="6830" fillId="6834" borderId="6781" xfId="0" applyFont="1" applyFill="1" applyBorder="1"/>
    <xf numFmtId="0" fontId="6831" fillId="6835" borderId="6782" xfId="0" applyFont="1" applyFill="1" applyBorder="1"/>
    <xf numFmtId="0" fontId="6832" fillId="6836" borderId="6783" xfId="0" applyFont="1" applyFill="1" applyBorder="1"/>
    <xf numFmtId="0" fontId="6833" fillId="6837" borderId="6784" xfId="0" applyFont="1" applyFill="1" applyBorder="1"/>
    <xf numFmtId="0" fontId="6834" fillId="6838" borderId="6785" xfId="0" applyFont="1" applyFill="1" applyBorder="1"/>
    <xf numFmtId="14" fontId="6835" fillId="6839" borderId="6786" xfId="0" applyNumberFormat="1" applyFont="1" applyFill="1" applyBorder="1"/>
    <xf numFmtId="14" fontId="6836" fillId="6840" borderId="6787" xfId="0" applyNumberFormat="1" applyFont="1" applyFill="1" applyBorder="1"/>
    <xf numFmtId="0" fontId="6837" fillId="6841" borderId="6788" xfId="0" applyFont="1" applyFill="1" applyBorder="1"/>
    <xf numFmtId="14" fontId="6838" fillId="6842" borderId="6789" xfId="0" applyNumberFormat="1" applyFont="1" applyFill="1" applyBorder="1"/>
    <xf numFmtId="0" fontId="6839" fillId="6843" borderId="6790" xfId="0" applyFont="1" applyFill="1" applyBorder="1"/>
    <xf numFmtId="0" fontId="6840" fillId="6844" borderId="6791" xfId="0" applyFont="1" applyFill="1" applyBorder="1"/>
    <xf numFmtId="0" fontId="6841" fillId="6845" borderId="6792" xfId="0" applyFont="1" applyFill="1" applyBorder="1"/>
    <xf numFmtId="0" fontId="6842" fillId="6846" borderId="6793" xfId="0" applyFont="1" applyFill="1" applyBorder="1"/>
    <xf numFmtId="0" fontId="6843" fillId="6847" borderId="6794" xfId="0" applyFont="1" applyFill="1" applyBorder="1"/>
    <xf numFmtId="0" fontId="6844" fillId="6848" borderId="6795" xfId="0" applyFont="1" applyFill="1" applyBorder="1"/>
    <xf numFmtId="14" fontId="6845" fillId="6849" borderId="6796" xfId="0" applyNumberFormat="1" applyFont="1" applyFill="1" applyBorder="1"/>
    <xf numFmtId="14" fontId="6846" fillId="6850" borderId="6797" xfId="0" applyNumberFormat="1" applyFont="1" applyFill="1" applyBorder="1"/>
    <xf numFmtId="0" fontId="6847" fillId="6851" borderId="6798" xfId="0" applyFont="1" applyFill="1" applyBorder="1"/>
    <xf numFmtId="14" fontId="6848" fillId="6852" borderId="6799" xfId="0" applyNumberFormat="1" applyFont="1" applyFill="1" applyBorder="1"/>
    <xf numFmtId="0" fontId="6849" fillId="6853" borderId="6800" xfId="0" applyFont="1" applyFill="1" applyBorder="1"/>
    <xf numFmtId="0" fontId="6850" fillId="6854" borderId="6801" xfId="0" applyFont="1" applyFill="1" applyBorder="1"/>
    <xf numFmtId="0" fontId="6851" fillId="6855" borderId="6802" xfId="0" applyFont="1" applyFill="1" applyBorder="1"/>
    <xf numFmtId="0" fontId="6852" fillId="6856" borderId="6803" xfId="0" applyFont="1" applyFill="1" applyBorder="1"/>
    <xf numFmtId="0" fontId="6853" fillId="6857" borderId="6804" xfId="0" applyFont="1" applyFill="1" applyBorder="1"/>
    <xf numFmtId="0" fontId="6854" fillId="6858" borderId="6805" xfId="0" applyFont="1" applyFill="1" applyBorder="1"/>
    <xf numFmtId="14" fontId="6855" fillId="6859" borderId="6806" xfId="0" applyNumberFormat="1" applyFont="1" applyFill="1" applyBorder="1"/>
    <xf numFmtId="14" fontId="6856" fillId="6860" borderId="6807" xfId="0" applyNumberFormat="1" applyFont="1" applyFill="1" applyBorder="1"/>
    <xf numFmtId="0" fontId="6857" fillId="6861" borderId="6808" xfId="0" applyFont="1" applyFill="1" applyBorder="1"/>
    <xf numFmtId="14" fontId="6858" fillId="6862" borderId="6809" xfId="0" applyNumberFormat="1" applyFont="1" applyFill="1" applyBorder="1"/>
    <xf numFmtId="0" fontId="6859" fillId="6863" borderId="6810" xfId="0" applyFont="1" applyFill="1" applyBorder="1"/>
    <xf numFmtId="0" fontId="6860" fillId="6864" borderId="6811" xfId="0" applyFont="1" applyFill="1" applyBorder="1"/>
    <xf numFmtId="0" fontId="6861" fillId="6865" borderId="6812" xfId="0" applyFont="1" applyFill="1" applyBorder="1"/>
    <xf numFmtId="0" fontId="6862" fillId="6866" borderId="6813" xfId="0" applyFont="1" applyFill="1" applyBorder="1"/>
    <xf numFmtId="0" fontId="6863" fillId="6867" borderId="6814" xfId="0" applyFont="1" applyFill="1" applyBorder="1"/>
    <xf numFmtId="0" fontId="6864" fillId="6868" borderId="6815" xfId="0" applyFont="1" applyFill="1" applyBorder="1"/>
    <xf numFmtId="14" fontId="6865" fillId="6869" borderId="6816" xfId="0" applyNumberFormat="1" applyFont="1" applyFill="1" applyBorder="1"/>
    <xf numFmtId="14" fontId="6866" fillId="6870" borderId="6817" xfId="0" applyNumberFormat="1" applyFont="1" applyFill="1" applyBorder="1"/>
    <xf numFmtId="0" fontId="6867" fillId="6871" borderId="6818" xfId="0" applyFont="1" applyFill="1" applyBorder="1"/>
    <xf numFmtId="14" fontId="6868" fillId="6872" borderId="6819" xfId="0" applyNumberFormat="1" applyFont="1" applyFill="1" applyBorder="1"/>
    <xf numFmtId="0" fontId="6869" fillId="6873" borderId="6820" xfId="0" applyFont="1" applyFill="1" applyBorder="1"/>
    <xf numFmtId="0" fontId="6870" fillId="6874" borderId="6821" xfId="0" applyFont="1" applyFill="1" applyBorder="1"/>
    <xf numFmtId="0" fontId="6871" fillId="6875" borderId="6822" xfId="0" applyFont="1" applyFill="1" applyBorder="1"/>
    <xf numFmtId="0" fontId="6872" fillId="6876" borderId="6823" xfId="0" applyFont="1" applyFill="1" applyBorder="1"/>
    <xf numFmtId="0" fontId="6873" fillId="6877" borderId="6824" xfId="0" applyFont="1" applyFill="1" applyBorder="1"/>
    <xf numFmtId="0" fontId="6874" fillId="6878" borderId="6825" xfId="0" applyFont="1" applyFill="1" applyBorder="1"/>
    <xf numFmtId="14" fontId="6875" fillId="6879" borderId="6826" xfId="0" applyNumberFormat="1" applyFont="1" applyFill="1" applyBorder="1"/>
    <xf numFmtId="14" fontId="6876" fillId="6880" borderId="6827" xfId="0" applyNumberFormat="1" applyFont="1" applyFill="1" applyBorder="1"/>
    <xf numFmtId="0" fontId="6877" fillId="6881" borderId="6828" xfId="0" applyFont="1" applyFill="1" applyBorder="1"/>
    <xf numFmtId="14" fontId="6878" fillId="6882" borderId="6829" xfId="0" applyNumberFormat="1" applyFont="1" applyFill="1" applyBorder="1"/>
    <xf numFmtId="0" fontId="6879" fillId="6883" borderId="6830" xfId="0" applyFont="1" applyFill="1" applyBorder="1"/>
    <xf numFmtId="0" fontId="6880" fillId="6884" borderId="6831" xfId="0" applyFont="1" applyFill="1" applyBorder="1"/>
    <xf numFmtId="0" fontId="6881" fillId="6885" borderId="6832" xfId="0" applyFont="1" applyFill="1" applyBorder="1"/>
    <xf numFmtId="0" fontId="6882" fillId="6886" borderId="6833" xfId="0" applyFont="1" applyFill="1" applyBorder="1"/>
    <xf numFmtId="0" fontId="6883" fillId="6887" borderId="6834" xfId="0" applyFont="1" applyFill="1" applyBorder="1"/>
    <xf numFmtId="0" fontId="6884" fillId="6888" borderId="6835" xfId="0" applyFont="1" applyFill="1" applyBorder="1"/>
    <xf numFmtId="14" fontId="6885" fillId="6889" borderId="6836" xfId="0" applyNumberFormat="1" applyFont="1" applyFill="1" applyBorder="1"/>
    <xf numFmtId="14" fontId="6886" fillId="6890" borderId="6837" xfId="0" applyNumberFormat="1" applyFont="1" applyFill="1" applyBorder="1"/>
    <xf numFmtId="0" fontId="6887" fillId="6891" borderId="6838" xfId="0" applyFont="1" applyFill="1" applyBorder="1"/>
    <xf numFmtId="14" fontId="6888" fillId="6892" borderId="6839" xfId="0" applyNumberFormat="1" applyFont="1" applyFill="1" applyBorder="1"/>
    <xf numFmtId="0" fontId="6889" fillId="6893" borderId="6840" xfId="0" applyFont="1" applyFill="1" applyBorder="1"/>
    <xf numFmtId="0" fontId="6890" fillId="6894" borderId="6841" xfId="0" applyFont="1" applyFill="1" applyBorder="1"/>
    <xf numFmtId="0" fontId="6891" fillId="6895" borderId="6842" xfId="0" applyFont="1" applyFill="1" applyBorder="1"/>
    <xf numFmtId="0" fontId="6892" fillId="6896" borderId="6843" xfId="0" applyFont="1" applyFill="1" applyBorder="1"/>
    <xf numFmtId="0" fontId="6893" fillId="6897" borderId="6844" xfId="0" applyFont="1" applyFill="1" applyBorder="1"/>
    <xf numFmtId="0" fontId="6894" fillId="6898" borderId="6845" xfId="0" applyFont="1" applyFill="1" applyBorder="1"/>
    <xf numFmtId="14" fontId="6895" fillId="6899" borderId="6846" xfId="0" applyNumberFormat="1" applyFont="1" applyFill="1" applyBorder="1"/>
    <xf numFmtId="14" fontId="6896" fillId="6900" borderId="6847" xfId="0" applyNumberFormat="1" applyFont="1" applyFill="1" applyBorder="1"/>
    <xf numFmtId="0" fontId="6897" fillId="6901" borderId="6848" xfId="0" applyFont="1" applyFill="1" applyBorder="1"/>
    <xf numFmtId="14" fontId="6898" fillId="6902" borderId="6849" xfId="0" applyNumberFormat="1" applyFont="1" applyFill="1" applyBorder="1"/>
    <xf numFmtId="0" fontId="6899" fillId="6903" borderId="6850" xfId="0" applyFont="1" applyFill="1" applyBorder="1"/>
    <xf numFmtId="0" fontId="6900" fillId="6904" borderId="6851" xfId="0" applyFont="1" applyFill="1" applyBorder="1"/>
    <xf numFmtId="0" fontId="6901" fillId="6905" borderId="6852" xfId="0" applyFont="1" applyFill="1" applyBorder="1"/>
    <xf numFmtId="0" fontId="6902" fillId="6906" borderId="6853" xfId="0" applyFont="1" applyFill="1" applyBorder="1"/>
    <xf numFmtId="0" fontId="6903" fillId="6907" borderId="6854" xfId="0" applyFont="1" applyFill="1" applyBorder="1"/>
    <xf numFmtId="0" fontId="6904" fillId="6908" borderId="6855" xfId="0" applyFont="1" applyFill="1" applyBorder="1"/>
    <xf numFmtId="14" fontId="6905" fillId="6909" borderId="6856" xfId="0" applyNumberFormat="1" applyFont="1" applyFill="1" applyBorder="1"/>
    <xf numFmtId="14" fontId="6906" fillId="6910" borderId="6857" xfId="0" applyNumberFormat="1" applyFont="1" applyFill="1" applyBorder="1"/>
    <xf numFmtId="0" fontId="6907" fillId="6911" borderId="6858" xfId="0" applyFont="1" applyFill="1" applyBorder="1"/>
    <xf numFmtId="14" fontId="6908" fillId="6912" borderId="6859" xfId="0" applyNumberFormat="1" applyFont="1" applyFill="1" applyBorder="1"/>
    <xf numFmtId="0" fontId="6909" fillId="6913" borderId="6860" xfId="0" applyFont="1" applyFill="1" applyBorder="1"/>
    <xf numFmtId="0" fontId="6910" fillId="6914" borderId="6861" xfId="0" applyFont="1" applyFill="1" applyBorder="1"/>
    <xf numFmtId="0" fontId="6911" fillId="6915" borderId="6862" xfId="0" applyFont="1" applyFill="1" applyBorder="1"/>
    <xf numFmtId="0" fontId="6912" fillId="6916" borderId="6863" xfId="0" applyFont="1" applyFill="1" applyBorder="1"/>
    <xf numFmtId="0" fontId="6913" fillId="6917" borderId="6864" xfId="0" applyFont="1" applyFill="1" applyBorder="1"/>
    <xf numFmtId="0" fontId="6914" fillId="6918" borderId="6865" xfId="0" applyFont="1" applyFill="1" applyBorder="1"/>
    <xf numFmtId="14" fontId="6915" fillId="6919" borderId="6866" xfId="0" applyNumberFormat="1" applyFont="1" applyFill="1" applyBorder="1"/>
    <xf numFmtId="14" fontId="6916" fillId="6920" borderId="6867" xfId="0" applyNumberFormat="1" applyFont="1" applyFill="1" applyBorder="1"/>
    <xf numFmtId="0" fontId="6917" fillId="6921" borderId="6868" xfId="0" applyFont="1" applyFill="1" applyBorder="1"/>
    <xf numFmtId="14" fontId="6918" fillId="6922" borderId="6869" xfId="0" applyNumberFormat="1" applyFont="1" applyFill="1" applyBorder="1"/>
    <xf numFmtId="0" fontId="6919" fillId="6923" borderId="6870" xfId="0" applyFont="1" applyFill="1" applyBorder="1"/>
    <xf numFmtId="0" fontId="6920" fillId="6924" borderId="6871" xfId="0" applyFont="1" applyFill="1" applyBorder="1"/>
    <xf numFmtId="0" fontId="6921" fillId="6925" borderId="6872" xfId="0" applyFont="1" applyFill="1" applyBorder="1"/>
    <xf numFmtId="0" fontId="6922" fillId="6926" borderId="6873" xfId="0" applyFont="1" applyFill="1" applyBorder="1"/>
    <xf numFmtId="0" fontId="6923" fillId="6927" borderId="6874" xfId="0" applyFont="1" applyFill="1" applyBorder="1"/>
    <xf numFmtId="0" fontId="6924" fillId="6928" borderId="6875" xfId="0" applyFont="1" applyFill="1" applyBorder="1"/>
    <xf numFmtId="14" fontId="6925" fillId="6929" borderId="6876" xfId="0" applyNumberFormat="1" applyFont="1" applyFill="1" applyBorder="1"/>
    <xf numFmtId="14" fontId="6926" fillId="6930" borderId="6877" xfId="0" applyNumberFormat="1" applyFont="1" applyFill="1" applyBorder="1"/>
    <xf numFmtId="0" fontId="6927" fillId="6931" borderId="6878" xfId="0" applyFont="1" applyFill="1" applyBorder="1"/>
    <xf numFmtId="14" fontId="6928" fillId="6932" borderId="6879" xfId="0" applyNumberFormat="1" applyFont="1" applyFill="1" applyBorder="1"/>
    <xf numFmtId="0" fontId="6929" fillId="6933" borderId="6880" xfId="0" applyFont="1" applyFill="1" applyBorder="1"/>
    <xf numFmtId="0" fontId="6930" fillId="6934" borderId="6881" xfId="0" applyFont="1" applyFill="1" applyBorder="1"/>
    <xf numFmtId="0" fontId="6931" fillId="6935" borderId="6882" xfId="0" applyFont="1" applyFill="1" applyBorder="1"/>
    <xf numFmtId="0" fontId="6932" fillId="6936" borderId="6883" xfId="0" applyFont="1" applyFill="1" applyBorder="1"/>
    <xf numFmtId="0" fontId="6933" fillId="6937" borderId="6884" xfId="0" applyFont="1" applyFill="1" applyBorder="1"/>
    <xf numFmtId="0" fontId="6934" fillId="6938" borderId="6885" xfId="0" applyFont="1" applyFill="1" applyBorder="1"/>
    <xf numFmtId="14" fontId="6935" fillId="6939" borderId="6886" xfId="0" applyNumberFormat="1" applyFont="1" applyFill="1" applyBorder="1"/>
    <xf numFmtId="14" fontId="6936" fillId="6940" borderId="6887" xfId="0" applyNumberFormat="1" applyFont="1" applyFill="1" applyBorder="1"/>
    <xf numFmtId="0" fontId="6937" fillId="6941" borderId="6888" xfId="0" applyFont="1" applyFill="1" applyBorder="1"/>
    <xf numFmtId="14" fontId="6938" fillId="6942" borderId="6889" xfId="0" applyNumberFormat="1" applyFont="1" applyFill="1" applyBorder="1"/>
    <xf numFmtId="0" fontId="6939" fillId="6943" borderId="6890" xfId="0" applyFont="1" applyFill="1" applyBorder="1"/>
    <xf numFmtId="0" fontId="6940" fillId="6944" borderId="6891" xfId="0" applyFont="1" applyFill="1" applyBorder="1"/>
    <xf numFmtId="0" fontId="6941" fillId="6945" borderId="6892" xfId="0" applyFont="1" applyFill="1" applyBorder="1"/>
    <xf numFmtId="0" fontId="6942" fillId="6946" borderId="6893" xfId="0" applyFont="1" applyFill="1" applyBorder="1"/>
    <xf numFmtId="0" fontId="6943" fillId="6947" borderId="6894" xfId="0" applyFont="1" applyFill="1" applyBorder="1"/>
    <xf numFmtId="0" fontId="6944" fillId="6948" borderId="6895" xfId="0" applyFont="1" applyFill="1" applyBorder="1"/>
    <xf numFmtId="14" fontId="6945" fillId="6949" borderId="6896" xfId="0" applyNumberFormat="1" applyFont="1" applyFill="1" applyBorder="1"/>
    <xf numFmtId="14" fontId="6946" fillId="6950" borderId="6897" xfId="0" applyNumberFormat="1" applyFont="1" applyFill="1" applyBorder="1"/>
    <xf numFmtId="0" fontId="6947" fillId="6951" borderId="6898" xfId="0" applyFont="1" applyFill="1" applyBorder="1"/>
    <xf numFmtId="14" fontId="6948" fillId="6952" borderId="6899" xfId="0" applyNumberFormat="1" applyFont="1" applyFill="1" applyBorder="1"/>
    <xf numFmtId="0" fontId="6949" fillId="6953" borderId="6900" xfId="0" applyFont="1" applyFill="1" applyBorder="1"/>
    <xf numFmtId="0" fontId="6950" fillId="6954" borderId="6901" xfId="0" applyFont="1" applyFill="1" applyBorder="1"/>
    <xf numFmtId="0" fontId="6951" fillId="6955" borderId="6902" xfId="0" applyFont="1" applyFill="1" applyBorder="1"/>
    <xf numFmtId="0" fontId="6952" fillId="6956" borderId="6903" xfId="0" applyFont="1" applyFill="1" applyBorder="1"/>
    <xf numFmtId="0" fontId="6953" fillId="6957" borderId="6904" xfId="0" applyFont="1" applyFill="1" applyBorder="1"/>
    <xf numFmtId="0" fontId="6954" fillId="6958" borderId="6905" xfId="0" applyFont="1" applyFill="1" applyBorder="1"/>
    <xf numFmtId="14" fontId="6955" fillId="6959" borderId="6906" xfId="0" applyNumberFormat="1" applyFont="1" applyFill="1" applyBorder="1"/>
    <xf numFmtId="14" fontId="6956" fillId="6960" borderId="6907" xfId="0" applyNumberFormat="1" applyFont="1" applyFill="1" applyBorder="1"/>
    <xf numFmtId="0" fontId="6957" fillId="6961" borderId="6908" xfId="0" applyFont="1" applyFill="1" applyBorder="1"/>
    <xf numFmtId="14" fontId="6958" fillId="6962" borderId="6909" xfId="0" applyNumberFormat="1" applyFont="1" applyFill="1" applyBorder="1"/>
    <xf numFmtId="0" fontId="6959" fillId="6963" borderId="6910" xfId="0" applyFont="1" applyFill="1" applyBorder="1"/>
    <xf numFmtId="0" fontId="6960" fillId="6964" borderId="6911" xfId="0" applyFont="1" applyFill="1" applyBorder="1"/>
    <xf numFmtId="0" fontId="6961" fillId="6965" borderId="6912" xfId="0" applyFont="1" applyFill="1" applyBorder="1"/>
    <xf numFmtId="0" fontId="6962" fillId="6966" borderId="6913" xfId="0" applyFont="1" applyFill="1" applyBorder="1"/>
    <xf numFmtId="0" fontId="6963" fillId="6967" borderId="6914" xfId="0" applyFont="1" applyFill="1" applyBorder="1"/>
    <xf numFmtId="0" fontId="6964" fillId="6968" borderId="6915" xfId="0" applyFont="1" applyFill="1" applyBorder="1"/>
    <xf numFmtId="14" fontId="6965" fillId="6969" borderId="6916" xfId="0" applyNumberFormat="1" applyFont="1" applyFill="1" applyBorder="1"/>
    <xf numFmtId="14" fontId="6966" fillId="6970" borderId="6917" xfId="0" applyNumberFormat="1" applyFont="1" applyFill="1" applyBorder="1"/>
    <xf numFmtId="0" fontId="6967" fillId="6971" borderId="6918" xfId="0" applyFont="1" applyFill="1" applyBorder="1"/>
    <xf numFmtId="14" fontId="6968" fillId="6972" borderId="6919" xfId="0" applyNumberFormat="1" applyFont="1" applyFill="1" applyBorder="1"/>
    <xf numFmtId="0" fontId="6969" fillId="6973" borderId="6920" xfId="0" applyFont="1" applyFill="1" applyBorder="1"/>
    <xf numFmtId="0" fontId="6970" fillId="6974" borderId="6921" xfId="0" applyFont="1" applyFill="1" applyBorder="1"/>
    <xf numFmtId="0" fontId="6971" fillId="6975" borderId="6922" xfId="0" applyFont="1" applyFill="1" applyBorder="1"/>
    <xf numFmtId="0" fontId="6972" fillId="6976" borderId="6923" xfId="0" applyFont="1" applyFill="1" applyBorder="1"/>
    <xf numFmtId="0" fontId="6973" fillId="6977" borderId="6924" xfId="0" applyFont="1" applyFill="1" applyBorder="1"/>
    <xf numFmtId="0" fontId="6974" fillId="6978" borderId="6925" xfId="0" applyFont="1" applyFill="1" applyBorder="1"/>
    <xf numFmtId="14" fontId="6975" fillId="6979" borderId="6926" xfId="0" applyNumberFormat="1" applyFont="1" applyFill="1" applyBorder="1"/>
    <xf numFmtId="14" fontId="6976" fillId="6980" borderId="6927" xfId="0" applyNumberFormat="1" applyFont="1" applyFill="1" applyBorder="1"/>
    <xf numFmtId="0" fontId="6977" fillId="6981" borderId="6928" xfId="0" applyFont="1" applyFill="1" applyBorder="1"/>
    <xf numFmtId="14" fontId="6978" fillId="6982" borderId="6929" xfId="0" applyNumberFormat="1" applyFont="1" applyFill="1" applyBorder="1"/>
    <xf numFmtId="0" fontId="6979" fillId="6983" borderId="6930" xfId="0" applyFont="1" applyFill="1" applyBorder="1"/>
    <xf numFmtId="0" fontId="6980" fillId="6984" borderId="6931" xfId="0" applyFont="1" applyFill="1" applyBorder="1"/>
    <xf numFmtId="0" fontId="6981" fillId="6985" borderId="6932" xfId="0" applyFont="1" applyFill="1" applyBorder="1"/>
    <xf numFmtId="0" fontId="6982" fillId="6986" borderId="6933" xfId="0" applyFont="1" applyFill="1" applyBorder="1"/>
    <xf numFmtId="0" fontId="6983" fillId="6987" borderId="6934" xfId="0" applyFont="1" applyFill="1" applyBorder="1"/>
    <xf numFmtId="0" fontId="6984" fillId="6988" borderId="6935" xfId="0" applyFont="1" applyFill="1" applyBorder="1"/>
    <xf numFmtId="14" fontId="6985" fillId="6989" borderId="6936" xfId="0" applyNumberFormat="1" applyFont="1" applyFill="1" applyBorder="1"/>
    <xf numFmtId="14" fontId="6986" fillId="6990" borderId="6937" xfId="0" applyNumberFormat="1" applyFont="1" applyFill="1" applyBorder="1"/>
    <xf numFmtId="0" fontId="6987" fillId="6991" borderId="6938" xfId="0" applyFont="1" applyFill="1" applyBorder="1"/>
    <xf numFmtId="14" fontId="6988" fillId="6992" borderId="6939" xfId="0" applyNumberFormat="1" applyFont="1" applyFill="1" applyBorder="1"/>
    <xf numFmtId="0" fontId="6989" fillId="6993" borderId="6940" xfId="0" applyFont="1" applyFill="1" applyBorder="1"/>
    <xf numFmtId="0" fontId="6990" fillId="6994" borderId="6941" xfId="0" applyFont="1" applyFill="1" applyBorder="1"/>
    <xf numFmtId="0" fontId="6991" fillId="6995" borderId="6942" xfId="0" applyFont="1" applyFill="1" applyBorder="1"/>
    <xf numFmtId="0" fontId="6992" fillId="6996" borderId="6943" xfId="0" applyFont="1" applyFill="1" applyBorder="1"/>
    <xf numFmtId="0" fontId="6993" fillId="6997" borderId="6944" xfId="0" applyFont="1" applyFill="1" applyBorder="1"/>
    <xf numFmtId="0" fontId="6994" fillId="6998" borderId="6945" xfId="0" applyFont="1" applyFill="1" applyBorder="1"/>
    <xf numFmtId="14" fontId="6995" fillId="6999" borderId="6946" xfId="0" applyNumberFormat="1" applyFont="1" applyFill="1" applyBorder="1"/>
    <xf numFmtId="14" fontId="6996" fillId="7000" borderId="6947" xfId="0" applyNumberFormat="1" applyFont="1" applyFill="1" applyBorder="1"/>
    <xf numFmtId="0" fontId="6997" fillId="7001" borderId="6948" xfId="0" applyFont="1" applyFill="1" applyBorder="1"/>
    <xf numFmtId="14" fontId="6998" fillId="7002" borderId="6949" xfId="0" applyNumberFormat="1" applyFont="1" applyFill="1" applyBorder="1"/>
    <xf numFmtId="0" fontId="6999" fillId="7003" borderId="6950" xfId="0" applyFont="1" applyFill="1" applyBorder="1"/>
    <xf numFmtId="0" fontId="7000" fillId="7004" borderId="6951" xfId="0" applyFont="1" applyFill="1" applyBorder="1"/>
    <xf numFmtId="0" fontId="7001" fillId="7005" borderId="6952" xfId="0" applyFont="1" applyFill="1" applyBorder="1"/>
    <xf numFmtId="0" fontId="7002" fillId="7006" borderId="6953" xfId="0" applyFont="1" applyFill="1" applyBorder="1"/>
    <xf numFmtId="0" fontId="7003" fillId="7007" borderId="6954" xfId="0" applyFont="1" applyFill="1" applyBorder="1"/>
    <xf numFmtId="0" fontId="7004" fillId="7008" borderId="6955" xfId="0" applyFont="1" applyFill="1" applyBorder="1"/>
    <xf numFmtId="14" fontId="7005" fillId="7009" borderId="6956" xfId="0" applyNumberFormat="1" applyFont="1" applyFill="1" applyBorder="1"/>
    <xf numFmtId="14" fontId="7006" fillId="7010" borderId="6957" xfId="0" applyNumberFormat="1" applyFont="1" applyFill="1" applyBorder="1"/>
    <xf numFmtId="0" fontId="7007" fillId="7011" borderId="6958" xfId="0" applyFont="1" applyFill="1" applyBorder="1"/>
    <xf numFmtId="14" fontId="7008" fillId="7012" borderId="6959" xfId="0" applyNumberFormat="1" applyFont="1" applyFill="1" applyBorder="1"/>
    <xf numFmtId="0" fontId="7009" fillId="7013" borderId="6960" xfId="0" applyFont="1" applyFill="1" applyBorder="1"/>
    <xf numFmtId="0" fontId="7010" fillId="7014" borderId="6961" xfId="0" applyFont="1" applyFill="1" applyBorder="1"/>
    <xf numFmtId="0" fontId="7011" fillId="7015" borderId="6962" xfId="0" applyFont="1" applyFill="1" applyBorder="1"/>
    <xf numFmtId="0" fontId="7012" fillId="7016" borderId="6963" xfId="0" applyFont="1" applyFill="1" applyBorder="1"/>
    <xf numFmtId="0" fontId="7013" fillId="7017" borderId="6964" xfId="0" applyFont="1" applyFill="1" applyBorder="1"/>
    <xf numFmtId="0" fontId="7014" fillId="7018" borderId="6965" xfId="0" applyFont="1" applyFill="1" applyBorder="1"/>
    <xf numFmtId="14" fontId="7015" fillId="7019" borderId="6966" xfId="0" applyNumberFormat="1" applyFont="1" applyFill="1" applyBorder="1"/>
    <xf numFmtId="14" fontId="7016" fillId="7020" borderId="6967" xfId="0" applyNumberFormat="1" applyFont="1" applyFill="1" applyBorder="1"/>
    <xf numFmtId="0" fontId="7017" fillId="7021" borderId="6968" xfId="0" applyFont="1" applyFill="1" applyBorder="1"/>
    <xf numFmtId="14" fontId="7018" fillId="7022" borderId="6969" xfId="0" applyNumberFormat="1" applyFont="1" applyFill="1" applyBorder="1"/>
    <xf numFmtId="0" fontId="7019" fillId="7023" borderId="6970" xfId="0" applyFont="1" applyFill="1" applyBorder="1"/>
    <xf numFmtId="0" fontId="7020" fillId="7024" borderId="6971" xfId="0" applyFont="1" applyFill="1" applyBorder="1"/>
    <xf numFmtId="0" fontId="7021" fillId="7025" borderId="6972" xfId="0" applyFont="1" applyFill="1" applyBorder="1"/>
    <xf numFmtId="0" fontId="7022" fillId="7026" borderId="6973" xfId="0" applyFont="1" applyFill="1" applyBorder="1"/>
    <xf numFmtId="0" fontId="7023" fillId="7027" borderId="6974" xfId="0" applyFont="1" applyFill="1" applyBorder="1"/>
    <xf numFmtId="0" fontId="7024" fillId="7028" borderId="6975" xfId="0" applyFont="1" applyFill="1" applyBorder="1"/>
    <xf numFmtId="14" fontId="7025" fillId="7029" borderId="6976" xfId="0" applyNumberFormat="1" applyFont="1" applyFill="1" applyBorder="1"/>
    <xf numFmtId="14" fontId="7026" fillId="7030" borderId="6977" xfId="0" applyNumberFormat="1" applyFont="1" applyFill="1" applyBorder="1"/>
    <xf numFmtId="0" fontId="7027" fillId="7031" borderId="6978" xfId="0" applyFont="1" applyFill="1" applyBorder="1"/>
    <xf numFmtId="14" fontId="7028" fillId="7032" borderId="6979" xfId="0" applyNumberFormat="1" applyFont="1" applyFill="1" applyBorder="1"/>
    <xf numFmtId="0" fontId="7029" fillId="7033" borderId="6980" xfId="0" applyFont="1" applyFill="1" applyBorder="1"/>
    <xf numFmtId="0" fontId="7030" fillId="7034" borderId="6981" xfId="0" applyFont="1" applyFill="1" applyBorder="1"/>
    <xf numFmtId="0" fontId="7031" fillId="7035" borderId="6982" xfId="0" applyFont="1" applyFill="1" applyBorder="1"/>
    <xf numFmtId="0" fontId="7032" fillId="7036" borderId="6983" xfId="0" applyFont="1" applyFill="1" applyBorder="1"/>
    <xf numFmtId="0" fontId="7033" fillId="7037" borderId="6984" xfId="0" applyFont="1" applyFill="1" applyBorder="1"/>
    <xf numFmtId="0" fontId="7034" fillId="7038" borderId="6985" xfId="0" applyFont="1" applyFill="1" applyBorder="1"/>
    <xf numFmtId="14" fontId="7035" fillId="7039" borderId="6986" xfId="0" applyNumberFormat="1" applyFont="1" applyFill="1" applyBorder="1"/>
    <xf numFmtId="14" fontId="7036" fillId="7040" borderId="6987" xfId="0" applyNumberFormat="1" applyFont="1" applyFill="1" applyBorder="1"/>
    <xf numFmtId="0" fontId="7037" fillId="7041" borderId="6988" xfId="0" applyFont="1" applyFill="1" applyBorder="1"/>
    <xf numFmtId="14" fontId="7038" fillId="7042" borderId="6989" xfId="0" applyNumberFormat="1" applyFont="1" applyFill="1" applyBorder="1"/>
    <xf numFmtId="0" fontId="7039" fillId="7043" borderId="6990" xfId="0" applyFont="1" applyFill="1" applyBorder="1"/>
    <xf numFmtId="0" fontId="7040" fillId="7044" borderId="6991" xfId="0" applyFont="1" applyFill="1" applyBorder="1"/>
    <xf numFmtId="0" fontId="7041" fillId="7045" borderId="6992" xfId="0" applyFont="1" applyFill="1" applyBorder="1"/>
    <xf numFmtId="0" fontId="7042" fillId="7046" borderId="6993" xfId="0" applyFont="1" applyFill="1" applyBorder="1"/>
    <xf numFmtId="0" fontId="7043" fillId="7047" borderId="6994" xfId="0" applyFont="1" applyFill="1" applyBorder="1"/>
    <xf numFmtId="0" fontId="7044" fillId="7048" borderId="6995" xfId="0" applyFont="1" applyFill="1" applyBorder="1"/>
    <xf numFmtId="14" fontId="7045" fillId="7049" borderId="6996" xfId="0" applyNumberFormat="1" applyFont="1" applyFill="1" applyBorder="1"/>
    <xf numFmtId="14" fontId="7046" fillId="7050" borderId="6997" xfId="0" applyNumberFormat="1" applyFont="1" applyFill="1" applyBorder="1"/>
    <xf numFmtId="0" fontId="7047" fillId="7051" borderId="6998" xfId="0" applyFont="1" applyFill="1" applyBorder="1"/>
    <xf numFmtId="14" fontId="7048" fillId="7052" borderId="6999" xfId="0" applyNumberFormat="1" applyFont="1" applyFill="1" applyBorder="1"/>
    <xf numFmtId="0" fontId="7049" fillId="7053" borderId="7000" xfId="0" applyFont="1" applyFill="1" applyBorder="1"/>
    <xf numFmtId="0" fontId="7050" fillId="7054" borderId="7001" xfId="0" applyFont="1" applyFill="1" applyBorder="1"/>
    <xf numFmtId="0" fontId="7051" fillId="7055" borderId="7002" xfId="0" applyFont="1" applyFill="1" applyBorder="1"/>
    <xf numFmtId="0" fontId="7052" fillId="7056" borderId="7003" xfId="0" applyFont="1" applyFill="1" applyBorder="1"/>
    <xf numFmtId="0" fontId="7053" fillId="7057" borderId="7004" xfId="0" applyFont="1" applyFill="1" applyBorder="1"/>
    <xf numFmtId="0" fontId="7054" fillId="7058" borderId="7005" xfId="0" applyFont="1" applyFill="1" applyBorder="1"/>
    <xf numFmtId="14" fontId="7055" fillId="7059" borderId="7006" xfId="0" applyNumberFormat="1" applyFont="1" applyFill="1" applyBorder="1"/>
    <xf numFmtId="14" fontId="7056" fillId="7060" borderId="7007" xfId="0" applyNumberFormat="1" applyFont="1" applyFill="1" applyBorder="1"/>
    <xf numFmtId="0" fontId="7057" fillId="7061" borderId="7008" xfId="0" applyFont="1" applyFill="1" applyBorder="1"/>
    <xf numFmtId="14" fontId="7058" fillId="7062" borderId="7009" xfId="0" applyNumberFormat="1" applyFont="1" applyFill="1" applyBorder="1"/>
    <xf numFmtId="0" fontId="7059" fillId="7063" borderId="7010" xfId="0" applyFont="1" applyFill="1" applyBorder="1"/>
    <xf numFmtId="0" fontId="7060" fillId="7064" borderId="7011" xfId="0" applyFont="1" applyFill="1" applyBorder="1"/>
    <xf numFmtId="0" fontId="7061" fillId="7065" borderId="7012" xfId="0" applyFont="1" applyFill="1" applyBorder="1"/>
    <xf numFmtId="0" fontId="7062" fillId="7066" borderId="7013" xfId="0" applyFont="1" applyFill="1" applyBorder="1"/>
    <xf numFmtId="0" fontId="7063" fillId="7067" borderId="7014" xfId="0" applyFont="1" applyFill="1" applyBorder="1"/>
    <xf numFmtId="0" fontId="7064" fillId="7068" borderId="7015" xfId="0" applyFont="1" applyFill="1" applyBorder="1"/>
    <xf numFmtId="14" fontId="7065" fillId="7069" borderId="7016" xfId="0" applyNumberFormat="1" applyFont="1" applyFill="1" applyBorder="1"/>
    <xf numFmtId="14" fontId="7066" fillId="7070" borderId="7017" xfId="0" applyNumberFormat="1" applyFont="1" applyFill="1" applyBorder="1"/>
    <xf numFmtId="0" fontId="7067" fillId="7071" borderId="7018" xfId="0" applyFont="1" applyFill="1" applyBorder="1"/>
    <xf numFmtId="14" fontId="7068" fillId="7072" borderId="7019" xfId="0" applyNumberFormat="1" applyFont="1" applyFill="1" applyBorder="1"/>
    <xf numFmtId="0" fontId="7069" fillId="7073" borderId="7020" xfId="0" applyFont="1" applyFill="1" applyBorder="1"/>
    <xf numFmtId="0" fontId="7070" fillId="7074" borderId="7021" xfId="0" applyFont="1" applyFill="1" applyBorder="1"/>
    <xf numFmtId="0" fontId="7071" fillId="7075" borderId="7022" xfId="0" applyFont="1" applyFill="1" applyBorder="1"/>
    <xf numFmtId="0" fontId="7072" fillId="7076" borderId="7023" xfId="0" applyFont="1" applyFill="1" applyBorder="1"/>
    <xf numFmtId="0" fontId="7073" fillId="7077" borderId="7024" xfId="0" applyFont="1" applyFill="1" applyBorder="1"/>
    <xf numFmtId="0" fontId="7074" fillId="7078" borderId="7025" xfId="0" applyFont="1" applyFill="1" applyBorder="1"/>
    <xf numFmtId="14" fontId="7075" fillId="7079" borderId="7026" xfId="0" applyNumberFormat="1" applyFont="1" applyFill="1" applyBorder="1"/>
    <xf numFmtId="14" fontId="7076" fillId="7080" borderId="7027" xfId="0" applyNumberFormat="1" applyFont="1" applyFill="1" applyBorder="1"/>
    <xf numFmtId="0" fontId="7077" fillId="7081" borderId="7028" xfId="0" applyFont="1" applyFill="1" applyBorder="1"/>
    <xf numFmtId="14" fontId="7078" fillId="7082" borderId="7029" xfId="0" applyNumberFormat="1" applyFont="1" applyFill="1" applyBorder="1"/>
    <xf numFmtId="0" fontId="7079" fillId="7083" borderId="7030" xfId="0" applyFont="1" applyFill="1" applyBorder="1"/>
    <xf numFmtId="0" fontId="7080" fillId="7084" borderId="7031" xfId="0" applyFont="1" applyFill="1" applyBorder="1"/>
    <xf numFmtId="0" fontId="7081" fillId="7085" borderId="7032" xfId="0" applyFont="1" applyFill="1" applyBorder="1"/>
    <xf numFmtId="0" fontId="7082" fillId="7086" borderId="7033" xfId="0" applyFont="1" applyFill="1" applyBorder="1"/>
    <xf numFmtId="0" fontId="7083" fillId="7087" borderId="7034" xfId="0" applyFont="1" applyFill="1" applyBorder="1"/>
    <xf numFmtId="0" fontId="7084" fillId="7088" borderId="7035" xfId="0" applyFont="1" applyFill="1" applyBorder="1"/>
    <xf numFmtId="14" fontId="7085" fillId="7089" borderId="7036" xfId="0" applyNumberFormat="1" applyFont="1" applyFill="1" applyBorder="1"/>
    <xf numFmtId="14" fontId="7086" fillId="7090" borderId="7037" xfId="0" applyNumberFormat="1" applyFont="1" applyFill="1" applyBorder="1"/>
    <xf numFmtId="0" fontId="7087" fillId="7091" borderId="7038" xfId="0" applyFont="1" applyFill="1" applyBorder="1"/>
    <xf numFmtId="14" fontId="7088" fillId="7092" borderId="7039" xfId="0" applyNumberFormat="1" applyFont="1" applyFill="1" applyBorder="1"/>
    <xf numFmtId="0" fontId="7089" fillId="7093" borderId="7040" xfId="0" applyFont="1" applyFill="1" applyBorder="1"/>
    <xf numFmtId="0" fontId="7090" fillId="7094" borderId="7041" xfId="0" applyFont="1" applyFill="1" applyBorder="1"/>
    <xf numFmtId="0" fontId="7091" fillId="7095" borderId="7042" xfId="0" applyFont="1" applyFill="1" applyBorder="1"/>
    <xf numFmtId="0" fontId="7092" fillId="7096" borderId="7043" xfId="0" applyFont="1" applyFill="1" applyBorder="1"/>
    <xf numFmtId="0" fontId="7093" fillId="7097" borderId="7044" xfId="0" applyFont="1" applyFill="1" applyBorder="1"/>
    <xf numFmtId="0" fontId="7094" fillId="7098" borderId="7045" xfId="0" applyFont="1" applyFill="1" applyBorder="1"/>
    <xf numFmtId="14" fontId="7095" fillId="7099" borderId="7046" xfId="0" applyNumberFormat="1" applyFont="1" applyFill="1" applyBorder="1"/>
    <xf numFmtId="14" fontId="7096" fillId="7100" borderId="7047" xfId="0" applyNumberFormat="1" applyFont="1" applyFill="1" applyBorder="1"/>
    <xf numFmtId="0" fontId="7097" fillId="7101" borderId="7048" xfId="0" applyFont="1" applyFill="1" applyBorder="1"/>
    <xf numFmtId="14" fontId="7098" fillId="7102" borderId="7049" xfId="0" applyNumberFormat="1" applyFont="1" applyFill="1" applyBorder="1"/>
    <xf numFmtId="0" fontId="7099" fillId="7103" borderId="7050" xfId="0" applyFont="1" applyFill="1" applyBorder="1"/>
    <xf numFmtId="0" fontId="7100" fillId="7104" borderId="7051" xfId="0" applyFont="1" applyFill="1" applyBorder="1"/>
    <xf numFmtId="0" fontId="7101" fillId="7105" borderId="7052" xfId="0" applyFont="1" applyFill="1" applyBorder="1"/>
    <xf numFmtId="0" fontId="7102" fillId="7106" borderId="7053" xfId="0" applyFont="1" applyFill="1" applyBorder="1"/>
    <xf numFmtId="0" fontId="7103" fillId="7107" borderId="7054" xfId="0" applyFont="1" applyFill="1" applyBorder="1"/>
    <xf numFmtId="0" fontId="7104" fillId="7108" borderId="7055" xfId="0" applyFont="1" applyFill="1" applyBorder="1"/>
    <xf numFmtId="14" fontId="7105" fillId="7109" borderId="7056" xfId="0" applyNumberFormat="1" applyFont="1" applyFill="1" applyBorder="1"/>
    <xf numFmtId="14" fontId="7106" fillId="7110" borderId="7057" xfId="0" applyNumberFormat="1" applyFont="1" applyFill="1" applyBorder="1"/>
    <xf numFmtId="0" fontId="7107" fillId="7111" borderId="7058" xfId="0" applyFont="1" applyFill="1" applyBorder="1"/>
    <xf numFmtId="14" fontId="7108" fillId="7112" borderId="7059" xfId="0" applyNumberFormat="1" applyFont="1" applyFill="1" applyBorder="1"/>
    <xf numFmtId="0" fontId="7109" fillId="7113" borderId="7060" xfId="0" applyFont="1" applyFill="1" applyBorder="1"/>
    <xf numFmtId="0" fontId="7110" fillId="7114" borderId="7061" xfId="0" applyFont="1" applyFill="1" applyBorder="1"/>
    <xf numFmtId="0" fontId="7111" fillId="7115" borderId="7062" xfId="0" applyFont="1" applyFill="1" applyBorder="1"/>
    <xf numFmtId="0" fontId="7112" fillId="7116" borderId="7063" xfId="0" applyFont="1" applyFill="1" applyBorder="1"/>
    <xf numFmtId="0" fontId="7113" fillId="7117" borderId="7064" xfId="0" applyFont="1" applyFill="1" applyBorder="1"/>
    <xf numFmtId="0" fontId="7114" fillId="7118" borderId="7065" xfId="0" applyFont="1" applyFill="1" applyBorder="1"/>
    <xf numFmtId="14" fontId="7115" fillId="7119" borderId="7066" xfId="0" applyNumberFormat="1" applyFont="1" applyFill="1" applyBorder="1"/>
    <xf numFmtId="14" fontId="7116" fillId="7120" borderId="7067" xfId="0" applyNumberFormat="1" applyFont="1" applyFill="1" applyBorder="1"/>
    <xf numFmtId="0" fontId="7117" fillId="7121" borderId="7068" xfId="0" applyFont="1" applyFill="1" applyBorder="1"/>
    <xf numFmtId="14" fontId="7118" fillId="7122" borderId="7069" xfId="0" applyNumberFormat="1" applyFont="1" applyFill="1" applyBorder="1"/>
    <xf numFmtId="0" fontId="7119" fillId="7123" borderId="7070" xfId="0" applyFont="1" applyFill="1" applyBorder="1"/>
    <xf numFmtId="0" fontId="7120" fillId="7124" borderId="7071" xfId="0" applyFont="1" applyFill="1" applyBorder="1"/>
    <xf numFmtId="0" fontId="7121" fillId="7125" borderId="7072" xfId="0" applyFont="1" applyFill="1" applyBorder="1"/>
    <xf numFmtId="0" fontId="7122" fillId="7126" borderId="7073" xfId="0" applyFont="1" applyFill="1" applyBorder="1"/>
    <xf numFmtId="0" fontId="7123" fillId="7127" borderId="7074" xfId="0" applyFont="1" applyFill="1" applyBorder="1"/>
    <xf numFmtId="0" fontId="7124" fillId="7128" borderId="7075" xfId="0" applyFont="1" applyFill="1" applyBorder="1"/>
    <xf numFmtId="14" fontId="7125" fillId="7129" borderId="7076" xfId="0" applyNumberFormat="1" applyFont="1" applyFill="1" applyBorder="1"/>
    <xf numFmtId="14" fontId="7126" fillId="7130" borderId="7077" xfId="0" applyNumberFormat="1" applyFont="1" applyFill="1" applyBorder="1"/>
    <xf numFmtId="0" fontId="7127" fillId="7131" borderId="7078" xfId="0" applyFont="1" applyFill="1" applyBorder="1"/>
    <xf numFmtId="14" fontId="7128" fillId="7132" borderId="7079" xfId="0" applyNumberFormat="1" applyFont="1" applyFill="1" applyBorder="1"/>
    <xf numFmtId="0" fontId="7129" fillId="7133" borderId="7080" xfId="0" applyFont="1" applyFill="1" applyBorder="1"/>
    <xf numFmtId="0" fontId="7130" fillId="7134" borderId="7081" xfId="0" applyFont="1" applyFill="1" applyBorder="1"/>
    <xf numFmtId="0" fontId="7131" fillId="7135" borderId="7082" xfId="0" applyFont="1" applyFill="1" applyBorder="1"/>
    <xf numFmtId="0" fontId="7132" fillId="7136" borderId="7083" xfId="0" applyFont="1" applyFill="1" applyBorder="1"/>
    <xf numFmtId="0" fontId="7133" fillId="7137" borderId="7084" xfId="0" applyFont="1" applyFill="1" applyBorder="1"/>
    <xf numFmtId="0" fontId="7134" fillId="7138" borderId="7085" xfId="0" applyFont="1" applyFill="1" applyBorder="1"/>
    <xf numFmtId="14" fontId="7135" fillId="7139" borderId="7086" xfId="0" applyNumberFormat="1" applyFont="1" applyFill="1" applyBorder="1"/>
    <xf numFmtId="14" fontId="7136" fillId="7140" borderId="7087" xfId="0" applyNumberFormat="1" applyFont="1" applyFill="1" applyBorder="1"/>
    <xf numFmtId="0" fontId="7137" fillId="7141" borderId="7088" xfId="0" applyFont="1" applyFill="1" applyBorder="1"/>
    <xf numFmtId="14" fontId="7138" fillId="7142" borderId="7089" xfId="0" applyNumberFormat="1" applyFont="1" applyFill="1" applyBorder="1"/>
    <xf numFmtId="0" fontId="7139" fillId="7143" borderId="7090" xfId="0" applyFont="1" applyFill="1" applyBorder="1"/>
    <xf numFmtId="0" fontId="7140" fillId="7144" borderId="7091" xfId="0" applyFont="1" applyFill="1" applyBorder="1"/>
    <xf numFmtId="0" fontId="7141" fillId="7145" borderId="7092" xfId="0" applyFont="1" applyFill="1" applyBorder="1"/>
    <xf numFmtId="0" fontId="7142" fillId="7146" borderId="7093" xfId="0" applyFont="1" applyFill="1" applyBorder="1"/>
    <xf numFmtId="0" fontId="7143" fillId="7147" borderId="7094" xfId="0" applyFont="1" applyFill="1" applyBorder="1"/>
    <xf numFmtId="0" fontId="7144" fillId="7148" borderId="7095" xfId="0" applyFont="1" applyFill="1" applyBorder="1"/>
    <xf numFmtId="14" fontId="7145" fillId="7149" borderId="7096" xfId="0" applyNumberFormat="1" applyFont="1" applyFill="1" applyBorder="1"/>
    <xf numFmtId="14" fontId="7146" fillId="7150" borderId="7097" xfId="0" applyNumberFormat="1" applyFont="1" applyFill="1" applyBorder="1"/>
    <xf numFmtId="0" fontId="7147" fillId="7151" borderId="7098" xfId="0" applyFont="1" applyFill="1" applyBorder="1"/>
    <xf numFmtId="14" fontId="7148" fillId="7152" borderId="7099" xfId="0" applyNumberFormat="1" applyFont="1" applyFill="1" applyBorder="1"/>
    <xf numFmtId="0" fontId="7149" fillId="7153" borderId="7100" xfId="0" applyFont="1" applyFill="1" applyBorder="1"/>
    <xf numFmtId="0" fontId="7150" fillId="7154" borderId="7101" xfId="0" applyFont="1" applyFill="1" applyBorder="1"/>
    <xf numFmtId="0" fontId="7151" fillId="7155" borderId="7102" xfId="0" applyFont="1" applyFill="1" applyBorder="1"/>
    <xf numFmtId="0" fontId="7152" fillId="7156" borderId="7103" xfId="0" applyFont="1" applyFill="1" applyBorder="1"/>
    <xf numFmtId="0" fontId="7153" fillId="7157" borderId="7104" xfId="0" applyFont="1" applyFill="1" applyBorder="1"/>
    <xf numFmtId="0" fontId="7154" fillId="7158" borderId="7105" xfId="0" applyFont="1" applyFill="1" applyBorder="1"/>
    <xf numFmtId="14" fontId="7155" fillId="7159" borderId="7106" xfId="0" applyNumberFormat="1" applyFont="1" applyFill="1" applyBorder="1"/>
    <xf numFmtId="14" fontId="7156" fillId="7160" borderId="7107" xfId="0" applyNumberFormat="1" applyFont="1" applyFill="1" applyBorder="1"/>
    <xf numFmtId="0" fontId="7157" fillId="7161" borderId="7108" xfId="0" applyFont="1" applyFill="1" applyBorder="1"/>
    <xf numFmtId="14" fontId="7158" fillId="7162" borderId="7109" xfId="0" applyNumberFormat="1" applyFont="1" applyFill="1" applyBorder="1"/>
    <xf numFmtId="0" fontId="7159" fillId="7163" borderId="7110" xfId="0" applyFont="1" applyFill="1" applyBorder="1"/>
    <xf numFmtId="0" fontId="7160" fillId="7164" borderId="7111" xfId="0" applyFont="1" applyFill="1" applyBorder="1"/>
    <xf numFmtId="0" fontId="7161" fillId="7165" borderId="7112" xfId="0" applyFont="1" applyFill="1" applyBorder="1"/>
    <xf numFmtId="0" fontId="7162" fillId="7166" borderId="7113" xfId="0" applyFont="1" applyFill="1" applyBorder="1"/>
    <xf numFmtId="0" fontId="7163" fillId="7167" borderId="7114" xfId="0" applyFont="1" applyFill="1" applyBorder="1"/>
    <xf numFmtId="0" fontId="7164" fillId="7168" borderId="7115" xfId="0" applyFont="1" applyFill="1" applyBorder="1"/>
    <xf numFmtId="14" fontId="7165" fillId="7169" borderId="7116" xfId="0" applyNumberFormat="1" applyFont="1" applyFill="1" applyBorder="1"/>
    <xf numFmtId="14" fontId="7166" fillId="7170" borderId="7117" xfId="0" applyNumberFormat="1" applyFont="1" applyFill="1" applyBorder="1"/>
    <xf numFmtId="0" fontId="7167" fillId="7171" borderId="7118" xfId="0" applyFont="1" applyFill="1" applyBorder="1"/>
    <xf numFmtId="14" fontId="7168" fillId="7172" borderId="7119" xfId="0" applyNumberFormat="1" applyFont="1" applyFill="1" applyBorder="1"/>
    <xf numFmtId="0" fontId="7169" fillId="7173" borderId="7120" xfId="0" applyFont="1" applyFill="1" applyBorder="1"/>
    <xf numFmtId="0" fontId="7170" fillId="7174" borderId="7121" xfId="0" applyFont="1" applyFill="1" applyBorder="1"/>
    <xf numFmtId="0" fontId="7171" fillId="7175" borderId="7122" xfId="0" applyFont="1" applyFill="1" applyBorder="1"/>
    <xf numFmtId="0" fontId="7172" fillId="7176" borderId="7123" xfId="0" applyFont="1" applyFill="1" applyBorder="1"/>
    <xf numFmtId="0" fontId="7173" fillId="7177" borderId="7124" xfId="0" applyFont="1" applyFill="1" applyBorder="1"/>
    <xf numFmtId="0" fontId="7174" fillId="7178" borderId="7125" xfId="0" applyFont="1" applyFill="1" applyBorder="1"/>
    <xf numFmtId="14" fontId="7175" fillId="7179" borderId="7126" xfId="0" applyNumberFormat="1" applyFont="1" applyFill="1" applyBorder="1"/>
    <xf numFmtId="14" fontId="7176" fillId="7180" borderId="7127" xfId="0" applyNumberFormat="1" applyFont="1" applyFill="1" applyBorder="1"/>
    <xf numFmtId="0" fontId="7177" fillId="7181" borderId="7128" xfId="0" applyFont="1" applyFill="1" applyBorder="1"/>
    <xf numFmtId="14" fontId="7178" fillId="7182" borderId="7129" xfId="0" applyNumberFormat="1" applyFont="1" applyFill="1" applyBorder="1"/>
    <xf numFmtId="0" fontId="7179" fillId="7183" borderId="7130" xfId="0" applyFont="1" applyFill="1" applyBorder="1"/>
    <xf numFmtId="0" fontId="7180" fillId="7184" borderId="7131" xfId="0" applyFont="1" applyFill="1" applyBorder="1"/>
    <xf numFmtId="0" fontId="7181" fillId="7185" borderId="7132" xfId="0" applyFont="1" applyFill="1" applyBorder="1"/>
    <xf numFmtId="0" fontId="7182" fillId="7186" borderId="7133" xfId="0" applyFont="1" applyFill="1" applyBorder="1"/>
    <xf numFmtId="0" fontId="7183" fillId="7187" borderId="7134" xfId="0" applyFont="1" applyFill="1" applyBorder="1"/>
    <xf numFmtId="0" fontId="7184" fillId="7188" borderId="7135" xfId="0" applyFont="1" applyFill="1" applyBorder="1"/>
    <xf numFmtId="14" fontId="7185" fillId="7189" borderId="7136" xfId="0" applyNumberFormat="1" applyFont="1" applyFill="1" applyBorder="1"/>
    <xf numFmtId="14" fontId="7186" fillId="7190" borderId="7137" xfId="0" applyNumberFormat="1" applyFont="1" applyFill="1" applyBorder="1"/>
    <xf numFmtId="0" fontId="7187" fillId="7191" borderId="7138" xfId="0" applyFont="1" applyFill="1" applyBorder="1"/>
    <xf numFmtId="14" fontId="7188" fillId="7192" borderId="7139" xfId="0" applyNumberFormat="1" applyFont="1" applyFill="1" applyBorder="1"/>
    <xf numFmtId="0" fontId="7189" fillId="7193" borderId="7140" xfId="0" applyFont="1" applyFill="1" applyBorder="1"/>
    <xf numFmtId="0" fontId="7190" fillId="7194" borderId="7141" xfId="0" applyFont="1" applyFill="1" applyBorder="1"/>
    <xf numFmtId="0" fontId="7191" fillId="7195" borderId="7142" xfId="0" applyFont="1" applyFill="1" applyBorder="1"/>
    <xf numFmtId="0" fontId="7192" fillId="7196" borderId="7143" xfId="0" applyFont="1" applyFill="1" applyBorder="1"/>
    <xf numFmtId="0" fontId="7193" fillId="7197" borderId="7144" xfId="0" applyFont="1" applyFill="1" applyBorder="1"/>
    <xf numFmtId="0" fontId="7194" fillId="7198" borderId="7145" xfId="0" applyFont="1" applyFill="1" applyBorder="1"/>
    <xf numFmtId="14" fontId="7195" fillId="7199" borderId="7146" xfId="0" applyNumberFormat="1" applyFont="1" applyFill="1" applyBorder="1"/>
    <xf numFmtId="14" fontId="7196" fillId="7200" borderId="7147" xfId="0" applyNumberFormat="1" applyFont="1" applyFill="1" applyBorder="1"/>
    <xf numFmtId="0" fontId="7197" fillId="7201" borderId="7148" xfId="0" applyFont="1" applyFill="1" applyBorder="1"/>
    <xf numFmtId="14" fontId="7198" fillId="7202" borderId="7149" xfId="0" applyNumberFormat="1" applyFont="1" applyFill="1" applyBorder="1"/>
    <xf numFmtId="0" fontId="7199" fillId="7203" borderId="7150" xfId="0" applyFont="1" applyFill="1" applyBorder="1"/>
    <xf numFmtId="0" fontId="7200" fillId="7204" borderId="7151" xfId="0" applyFont="1" applyFill="1" applyBorder="1"/>
    <xf numFmtId="0" fontId="7201" fillId="7205" borderId="7152" xfId="0" applyFont="1" applyFill="1" applyBorder="1"/>
    <xf numFmtId="0" fontId="7202" fillId="7206" borderId="7153" xfId="0" applyFont="1" applyFill="1" applyBorder="1"/>
    <xf numFmtId="0" fontId="7203" fillId="7207" borderId="7154" xfId="0" applyFont="1" applyFill="1" applyBorder="1"/>
    <xf numFmtId="0" fontId="7204" fillId="7208" borderId="7155" xfId="0" applyFont="1" applyFill="1" applyBorder="1"/>
    <xf numFmtId="14" fontId="7205" fillId="7209" borderId="7156" xfId="0" applyNumberFormat="1" applyFont="1" applyFill="1" applyBorder="1"/>
    <xf numFmtId="14" fontId="7206" fillId="7210" borderId="7157" xfId="0" applyNumberFormat="1" applyFont="1" applyFill="1" applyBorder="1"/>
    <xf numFmtId="0" fontId="7207" fillId="7211" borderId="7158" xfId="0" applyFont="1" applyFill="1" applyBorder="1"/>
    <xf numFmtId="14" fontId="7208" fillId="7212" borderId="7159" xfId="0" applyNumberFormat="1" applyFont="1" applyFill="1" applyBorder="1"/>
    <xf numFmtId="0" fontId="7209" fillId="7213" borderId="7160" xfId="0" applyFont="1" applyFill="1" applyBorder="1"/>
    <xf numFmtId="0" fontId="7210" fillId="7214" borderId="7161" xfId="0" applyFont="1" applyFill="1" applyBorder="1"/>
    <xf numFmtId="0" fontId="7211" fillId="7215" borderId="7162" xfId="0" applyFont="1" applyFill="1" applyBorder="1"/>
    <xf numFmtId="0" fontId="7212" fillId="7216" borderId="7163" xfId="0" applyFont="1" applyFill="1" applyBorder="1"/>
    <xf numFmtId="0" fontId="7213" fillId="7217" borderId="7164" xfId="0" applyFont="1" applyFill="1" applyBorder="1"/>
    <xf numFmtId="0" fontId="7214" fillId="7218" borderId="7165" xfId="0" applyFont="1" applyFill="1" applyBorder="1"/>
    <xf numFmtId="14" fontId="7215" fillId="7219" borderId="7166" xfId="0" applyNumberFormat="1" applyFont="1" applyFill="1" applyBorder="1"/>
    <xf numFmtId="14" fontId="7216" fillId="7220" borderId="7167" xfId="0" applyNumberFormat="1" applyFont="1" applyFill="1" applyBorder="1"/>
    <xf numFmtId="0" fontId="7217" fillId="7221" borderId="7168" xfId="0" applyFont="1" applyFill="1" applyBorder="1"/>
    <xf numFmtId="14" fontId="7218" fillId="7222" borderId="7169" xfId="0" applyNumberFormat="1" applyFont="1" applyFill="1" applyBorder="1"/>
    <xf numFmtId="0" fontId="7219" fillId="7223" borderId="7170" xfId="0" applyFont="1" applyFill="1" applyBorder="1"/>
    <xf numFmtId="0" fontId="7220" fillId="7224" borderId="7171" xfId="0" applyFont="1" applyFill="1" applyBorder="1"/>
    <xf numFmtId="0" fontId="7221" fillId="7225" borderId="7172" xfId="0" applyFont="1" applyFill="1" applyBorder="1"/>
    <xf numFmtId="0" fontId="7222" fillId="7226" borderId="7173" xfId="0" applyFont="1" applyFill="1" applyBorder="1"/>
    <xf numFmtId="0" fontId="7223" fillId="7227" borderId="7174" xfId="0" applyFont="1" applyFill="1" applyBorder="1"/>
    <xf numFmtId="0" fontId="7224" fillId="7228" borderId="7175" xfId="0" applyFont="1" applyFill="1" applyBorder="1"/>
    <xf numFmtId="14" fontId="7225" fillId="7229" borderId="7176" xfId="0" applyNumberFormat="1" applyFont="1" applyFill="1" applyBorder="1"/>
    <xf numFmtId="14" fontId="7226" fillId="7230" borderId="7177" xfId="0" applyNumberFormat="1" applyFont="1" applyFill="1" applyBorder="1"/>
    <xf numFmtId="0" fontId="7227" fillId="7231" borderId="7178" xfId="0" applyFont="1" applyFill="1" applyBorder="1"/>
    <xf numFmtId="14" fontId="7228" fillId="7232" borderId="7179" xfId="0" applyNumberFormat="1" applyFont="1" applyFill="1" applyBorder="1"/>
    <xf numFmtId="0" fontId="7229" fillId="7233" borderId="7180" xfId="0" applyFont="1" applyFill="1" applyBorder="1"/>
    <xf numFmtId="0" fontId="7230" fillId="7234" borderId="7181" xfId="0" applyFont="1" applyFill="1" applyBorder="1"/>
    <xf numFmtId="0" fontId="7231" fillId="7235" borderId="7182" xfId="0" applyFont="1" applyFill="1" applyBorder="1"/>
    <xf numFmtId="0" fontId="7232" fillId="7236" borderId="7183" xfId="0" applyFont="1" applyFill="1" applyBorder="1"/>
    <xf numFmtId="0" fontId="7233" fillId="7237" borderId="7184" xfId="0" applyFont="1" applyFill="1" applyBorder="1"/>
    <xf numFmtId="0" fontId="7234" fillId="7238" borderId="7185" xfId="0" applyFont="1" applyFill="1" applyBorder="1"/>
    <xf numFmtId="14" fontId="7235" fillId="7239" borderId="7186" xfId="0" applyNumberFormat="1" applyFont="1" applyFill="1" applyBorder="1"/>
    <xf numFmtId="14" fontId="7236" fillId="7240" borderId="7187" xfId="0" applyNumberFormat="1" applyFont="1" applyFill="1" applyBorder="1"/>
    <xf numFmtId="0" fontId="7237" fillId="7241" borderId="7188" xfId="0" applyFont="1" applyFill="1" applyBorder="1"/>
    <xf numFmtId="14" fontId="7238" fillId="7242" borderId="7189" xfId="0" applyNumberFormat="1" applyFont="1" applyFill="1" applyBorder="1"/>
    <xf numFmtId="0" fontId="7239" fillId="7243" borderId="7190" xfId="0" applyFont="1" applyFill="1" applyBorder="1"/>
    <xf numFmtId="0" fontId="7240" fillId="7244" borderId="7191" xfId="0" applyFont="1" applyFill="1" applyBorder="1"/>
    <xf numFmtId="0" fontId="7241" fillId="7245" borderId="7192" xfId="0" applyFont="1" applyFill="1" applyBorder="1"/>
    <xf numFmtId="0" fontId="7242" fillId="7246" borderId="7193" xfId="0" applyFont="1" applyFill="1" applyBorder="1"/>
    <xf numFmtId="0" fontId="7243" fillId="7247" borderId="7194" xfId="0" applyFont="1" applyFill="1" applyBorder="1"/>
    <xf numFmtId="0" fontId="7244" fillId="7248" borderId="7195" xfId="0" applyFont="1" applyFill="1" applyBorder="1"/>
    <xf numFmtId="14" fontId="7245" fillId="7249" borderId="7196" xfId="0" applyNumberFormat="1" applyFont="1" applyFill="1" applyBorder="1"/>
    <xf numFmtId="14" fontId="7246" fillId="7250" borderId="7197" xfId="0" applyNumberFormat="1" applyFont="1" applyFill="1" applyBorder="1"/>
    <xf numFmtId="0" fontId="7247" fillId="7251" borderId="7198" xfId="0" applyFont="1" applyFill="1" applyBorder="1"/>
    <xf numFmtId="14" fontId="7248" fillId="7252" borderId="7199" xfId="0" applyNumberFormat="1" applyFont="1" applyFill="1" applyBorder="1"/>
    <xf numFmtId="0" fontId="7249" fillId="7253" borderId="7200" xfId="0" applyFont="1" applyFill="1" applyBorder="1"/>
    <xf numFmtId="0" fontId="7250" fillId="7254" borderId="7201" xfId="0" applyFont="1" applyFill="1" applyBorder="1"/>
    <xf numFmtId="0" fontId="7251" fillId="7255" borderId="7202" xfId="0" applyFont="1" applyFill="1" applyBorder="1"/>
    <xf numFmtId="0" fontId="7252" fillId="7256" borderId="7203" xfId="0" applyFont="1" applyFill="1" applyBorder="1"/>
    <xf numFmtId="0" fontId="7253" fillId="7257" borderId="7204" xfId="0" applyFont="1" applyFill="1" applyBorder="1"/>
    <xf numFmtId="0" fontId="7254" fillId="7258" borderId="7205" xfId="0" applyFont="1" applyFill="1" applyBorder="1"/>
    <xf numFmtId="14" fontId="7255" fillId="7259" borderId="7206" xfId="0" applyNumberFormat="1" applyFont="1" applyFill="1" applyBorder="1"/>
    <xf numFmtId="14" fontId="7256" fillId="7260" borderId="7207" xfId="0" applyNumberFormat="1" applyFont="1" applyFill="1" applyBorder="1"/>
    <xf numFmtId="0" fontId="7257" fillId="7261" borderId="7208" xfId="0" applyFont="1" applyFill="1" applyBorder="1"/>
    <xf numFmtId="14" fontId="7258" fillId="7262" borderId="7209" xfId="0" applyNumberFormat="1" applyFont="1" applyFill="1" applyBorder="1"/>
    <xf numFmtId="0" fontId="7259" fillId="7263" borderId="7210" xfId="0" applyFont="1" applyFill="1" applyBorder="1"/>
    <xf numFmtId="0" fontId="7260" fillId="7264" borderId="7211" xfId="0" applyFont="1" applyFill="1" applyBorder="1"/>
    <xf numFmtId="0" fontId="7261" fillId="7265" borderId="7212" xfId="0" applyFont="1" applyFill="1" applyBorder="1"/>
    <xf numFmtId="0" fontId="7262" fillId="7266" borderId="7213" xfId="0" applyFont="1" applyFill="1" applyBorder="1"/>
    <xf numFmtId="0" fontId="7263" fillId="7267" borderId="7214" xfId="0" applyFont="1" applyFill="1" applyBorder="1"/>
    <xf numFmtId="0" fontId="7264" fillId="7268" borderId="7215" xfId="0" applyFont="1" applyFill="1" applyBorder="1"/>
    <xf numFmtId="14" fontId="7265" fillId="7269" borderId="7216" xfId="0" applyNumberFormat="1" applyFont="1" applyFill="1" applyBorder="1"/>
    <xf numFmtId="14" fontId="7266" fillId="7270" borderId="7217" xfId="0" applyNumberFormat="1" applyFont="1" applyFill="1" applyBorder="1"/>
    <xf numFmtId="0" fontId="7267" fillId="7271" borderId="7218" xfId="0" applyFont="1" applyFill="1" applyBorder="1"/>
    <xf numFmtId="14" fontId="7268" fillId="7272" borderId="7219" xfId="0" applyNumberFormat="1" applyFont="1" applyFill="1" applyBorder="1"/>
    <xf numFmtId="0" fontId="7269" fillId="7273" borderId="7220" xfId="0" applyFont="1" applyFill="1" applyBorder="1"/>
    <xf numFmtId="0" fontId="7270" fillId="7274" borderId="7221" xfId="0" applyFont="1" applyFill="1" applyBorder="1"/>
    <xf numFmtId="0" fontId="7271" fillId="7275" borderId="7222" xfId="0" applyFont="1" applyFill="1" applyBorder="1"/>
    <xf numFmtId="0" fontId="7272" fillId="7276" borderId="7223" xfId="0" applyFont="1" applyFill="1" applyBorder="1"/>
    <xf numFmtId="0" fontId="7273" fillId="7277" borderId="7224" xfId="0" applyFont="1" applyFill="1" applyBorder="1"/>
    <xf numFmtId="0" fontId="7274" fillId="7278" borderId="7225" xfId="0" applyFont="1" applyFill="1" applyBorder="1"/>
    <xf numFmtId="14" fontId="7275" fillId="7279" borderId="7226" xfId="0" applyNumberFormat="1" applyFont="1" applyFill="1" applyBorder="1"/>
    <xf numFmtId="14" fontId="7276" fillId="7280" borderId="7227" xfId="0" applyNumberFormat="1" applyFont="1" applyFill="1" applyBorder="1"/>
    <xf numFmtId="0" fontId="7277" fillId="7281" borderId="7228" xfId="0" applyFont="1" applyFill="1" applyBorder="1"/>
    <xf numFmtId="14" fontId="7278" fillId="7282" borderId="7229" xfId="0" applyNumberFormat="1" applyFont="1" applyFill="1" applyBorder="1"/>
    <xf numFmtId="0" fontId="7279" fillId="7283" borderId="7230" xfId="0" applyFont="1" applyFill="1" applyBorder="1"/>
    <xf numFmtId="0" fontId="7280" fillId="7284" borderId="7231" xfId="0" applyFont="1" applyFill="1" applyBorder="1"/>
    <xf numFmtId="0" fontId="7281" fillId="7285" borderId="7232" xfId="0" applyFont="1" applyFill="1" applyBorder="1"/>
    <xf numFmtId="0" fontId="7282" fillId="7286" borderId="7233" xfId="0" applyFont="1" applyFill="1" applyBorder="1"/>
    <xf numFmtId="0" fontId="7283" fillId="7287" borderId="7234" xfId="0" applyFont="1" applyFill="1" applyBorder="1"/>
    <xf numFmtId="0" fontId="7284" fillId="7288" borderId="7235" xfId="0" applyFont="1" applyFill="1" applyBorder="1"/>
    <xf numFmtId="14" fontId="7285" fillId="7289" borderId="7236" xfId="0" applyNumberFormat="1" applyFont="1" applyFill="1" applyBorder="1"/>
    <xf numFmtId="14" fontId="7286" fillId="7290" borderId="7237" xfId="0" applyNumberFormat="1" applyFont="1" applyFill="1" applyBorder="1"/>
    <xf numFmtId="0" fontId="7287" fillId="7291" borderId="7238" xfId="0" applyFont="1" applyFill="1" applyBorder="1"/>
    <xf numFmtId="14" fontId="7288" fillId="7292" borderId="7239" xfId="0" applyNumberFormat="1" applyFont="1" applyFill="1" applyBorder="1"/>
    <xf numFmtId="0" fontId="7289" fillId="7293" borderId="7240" xfId="0" applyFont="1" applyFill="1" applyBorder="1"/>
    <xf numFmtId="0" fontId="7290" fillId="7294" borderId="7241" xfId="0" applyFont="1" applyFill="1" applyBorder="1"/>
    <xf numFmtId="0" fontId="7291" fillId="7295" borderId="7242" xfId="0" applyFont="1" applyFill="1" applyBorder="1"/>
    <xf numFmtId="0" fontId="7292" fillId="7296" borderId="7243" xfId="0" applyFont="1" applyFill="1" applyBorder="1"/>
    <xf numFmtId="0" fontId="7293" fillId="7297" borderId="7244" xfId="0" applyFont="1" applyFill="1" applyBorder="1"/>
    <xf numFmtId="0" fontId="7294" fillId="7298" borderId="7245" xfId="0" applyFont="1" applyFill="1" applyBorder="1"/>
    <xf numFmtId="14" fontId="7295" fillId="7299" borderId="7246" xfId="0" applyNumberFormat="1" applyFont="1" applyFill="1" applyBorder="1"/>
    <xf numFmtId="14" fontId="7296" fillId="7300" borderId="7247" xfId="0" applyNumberFormat="1" applyFont="1" applyFill="1" applyBorder="1"/>
    <xf numFmtId="0" fontId="7297" fillId="7301" borderId="7248" xfId="0" applyFont="1" applyFill="1" applyBorder="1"/>
    <xf numFmtId="14" fontId="7298" fillId="7302" borderId="7249" xfId="0" applyNumberFormat="1" applyFont="1" applyFill="1" applyBorder="1"/>
    <xf numFmtId="0" fontId="7299" fillId="7303" borderId="7250" xfId="0" applyFont="1" applyFill="1" applyBorder="1"/>
    <xf numFmtId="0" fontId="7300" fillId="7304" borderId="7251" xfId="0" applyFont="1" applyFill="1" applyBorder="1"/>
    <xf numFmtId="0" fontId="7301" fillId="7305" borderId="7252" xfId="0" applyFont="1" applyFill="1" applyBorder="1"/>
    <xf numFmtId="0" fontId="7302" fillId="7306" borderId="7253" xfId="0" applyFont="1" applyFill="1" applyBorder="1"/>
    <xf numFmtId="0" fontId="7303" fillId="7307" borderId="7254" xfId="0" applyFont="1" applyFill="1" applyBorder="1"/>
    <xf numFmtId="0" fontId="7304" fillId="7308" borderId="7255" xfId="0" applyFont="1" applyFill="1" applyBorder="1"/>
    <xf numFmtId="14" fontId="7305" fillId="7309" borderId="7256" xfId="0" applyNumberFormat="1" applyFont="1" applyFill="1" applyBorder="1"/>
    <xf numFmtId="14" fontId="7306" fillId="7310" borderId="7257" xfId="0" applyNumberFormat="1" applyFont="1" applyFill="1" applyBorder="1"/>
    <xf numFmtId="0" fontId="7307" fillId="7311" borderId="7258" xfId="0" applyFont="1" applyFill="1" applyBorder="1"/>
    <xf numFmtId="14" fontId="7308" fillId="7312" borderId="7259" xfId="0" applyNumberFormat="1" applyFont="1" applyFill="1" applyBorder="1"/>
    <xf numFmtId="0" fontId="7309" fillId="7313" borderId="7260" xfId="0" applyFont="1" applyFill="1" applyBorder="1"/>
    <xf numFmtId="0" fontId="7310" fillId="7314" borderId="7261" xfId="0" applyFont="1" applyFill="1" applyBorder="1"/>
    <xf numFmtId="0" fontId="7311" fillId="7315" borderId="7262" xfId="0" applyFont="1" applyFill="1" applyBorder="1"/>
    <xf numFmtId="0" fontId="7312" fillId="7316" borderId="7263" xfId="0" applyFont="1" applyFill="1" applyBorder="1"/>
    <xf numFmtId="0" fontId="7313" fillId="7317" borderId="7264" xfId="0" applyFont="1" applyFill="1" applyBorder="1"/>
    <xf numFmtId="0" fontId="7314" fillId="7318" borderId="7265" xfId="0" applyFont="1" applyFill="1" applyBorder="1"/>
    <xf numFmtId="14" fontId="7315" fillId="7319" borderId="7266" xfId="0" applyNumberFormat="1" applyFont="1" applyFill="1" applyBorder="1"/>
    <xf numFmtId="14" fontId="7316" fillId="7320" borderId="7267" xfId="0" applyNumberFormat="1" applyFont="1" applyFill="1" applyBorder="1"/>
    <xf numFmtId="0" fontId="7317" fillId="7321" borderId="7268" xfId="0" applyFont="1" applyFill="1" applyBorder="1"/>
    <xf numFmtId="14" fontId="7318" fillId="7322" borderId="7269" xfId="0" applyNumberFormat="1" applyFont="1" applyFill="1" applyBorder="1"/>
    <xf numFmtId="0" fontId="7319" fillId="7323" borderId="7270" xfId="0" applyFont="1" applyFill="1" applyBorder="1"/>
    <xf numFmtId="0" fontId="7320" fillId="7324" borderId="7271" xfId="0" applyFont="1" applyFill="1" applyBorder="1"/>
    <xf numFmtId="0" fontId="7321" fillId="7325" borderId="7272" xfId="0" applyFont="1" applyFill="1" applyBorder="1"/>
    <xf numFmtId="0" fontId="7322" fillId="7326" borderId="7273" xfId="0" applyFont="1" applyFill="1" applyBorder="1"/>
    <xf numFmtId="0" fontId="7323" fillId="7327" borderId="7274" xfId="0" applyFont="1" applyFill="1" applyBorder="1"/>
    <xf numFmtId="0" fontId="7324" fillId="7328" borderId="7275" xfId="0" applyFont="1" applyFill="1" applyBorder="1"/>
    <xf numFmtId="14" fontId="7325" fillId="7329" borderId="7276" xfId="0" applyNumberFormat="1" applyFont="1" applyFill="1" applyBorder="1"/>
    <xf numFmtId="14" fontId="7326" fillId="7330" borderId="7277" xfId="0" applyNumberFormat="1" applyFont="1" applyFill="1" applyBorder="1"/>
    <xf numFmtId="0" fontId="7327" fillId="7331" borderId="7278" xfId="0" applyFont="1" applyFill="1" applyBorder="1"/>
    <xf numFmtId="14" fontId="7328" fillId="7332" borderId="7279" xfId="0" applyNumberFormat="1" applyFont="1" applyFill="1" applyBorder="1"/>
    <xf numFmtId="0" fontId="7329" fillId="7333" borderId="7280" xfId="0" applyFont="1" applyFill="1" applyBorder="1"/>
    <xf numFmtId="0" fontId="7330" fillId="7334" borderId="7281" xfId="0" applyFont="1" applyFill="1" applyBorder="1"/>
    <xf numFmtId="0" fontId="7331" fillId="7335" borderId="7282" xfId="0" applyFont="1" applyFill="1" applyBorder="1"/>
    <xf numFmtId="0" fontId="7332" fillId="7336" borderId="7283" xfId="0" applyFont="1" applyFill="1" applyBorder="1"/>
    <xf numFmtId="0" fontId="7333" fillId="7337" borderId="7284" xfId="0" applyFont="1" applyFill="1" applyBorder="1"/>
    <xf numFmtId="0" fontId="7334" fillId="7338" borderId="7285" xfId="0" applyFont="1" applyFill="1" applyBorder="1"/>
    <xf numFmtId="14" fontId="7335" fillId="7339" borderId="7286" xfId="0" applyNumberFormat="1" applyFont="1" applyFill="1" applyBorder="1"/>
    <xf numFmtId="14" fontId="7336" fillId="7340" borderId="7287" xfId="0" applyNumberFormat="1" applyFont="1" applyFill="1" applyBorder="1"/>
    <xf numFmtId="0" fontId="7337" fillId="7341" borderId="7288" xfId="0" applyFont="1" applyFill="1" applyBorder="1"/>
    <xf numFmtId="14" fontId="7338" fillId="7342" borderId="7289" xfId="0" applyNumberFormat="1" applyFont="1" applyFill="1" applyBorder="1"/>
    <xf numFmtId="0" fontId="7339" fillId="7343" borderId="7290" xfId="0" applyFont="1" applyFill="1" applyBorder="1"/>
    <xf numFmtId="0" fontId="7340" fillId="7344" borderId="7291" xfId="0" applyFont="1" applyFill="1" applyBorder="1"/>
    <xf numFmtId="0" fontId="7341" fillId="7345" borderId="7292" xfId="0" applyFont="1" applyFill="1" applyBorder="1"/>
    <xf numFmtId="0" fontId="7342" fillId="7346" borderId="7293" xfId="0" applyFont="1" applyFill="1" applyBorder="1"/>
    <xf numFmtId="0" fontId="7343" fillId="7347" borderId="7294" xfId="0" applyFont="1" applyFill="1" applyBorder="1"/>
    <xf numFmtId="0" fontId="7344" fillId="7348" borderId="7295" xfId="0" applyFont="1" applyFill="1" applyBorder="1"/>
    <xf numFmtId="14" fontId="7345" fillId="7349" borderId="7296" xfId="0" applyNumberFormat="1" applyFont="1" applyFill="1" applyBorder="1"/>
    <xf numFmtId="14" fontId="7346" fillId="7350" borderId="7297" xfId="0" applyNumberFormat="1" applyFont="1" applyFill="1" applyBorder="1"/>
    <xf numFmtId="0" fontId="7347" fillId="7351" borderId="7298" xfId="0" applyFont="1" applyFill="1" applyBorder="1"/>
    <xf numFmtId="14" fontId="7348" fillId="7352" borderId="7299" xfId="0" applyNumberFormat="1" applyFont="1" applyFill="1" applyBorder="1"/>
    <xf numFmtId="0" fontId="7349" fillId="7353" borderId="7300" xfId="0" applyFont="1" applyFill="1" applyBorder="1"/>
    <xf numFmtId="0" fontId="7350" fillId="7354" borderId="7301" xfId="0" applyFont="1" applyFill="1" applyBorder="1"/>
    <xf numFmtId="0" fontId="7351" fillId="7355" borderId="7302" xfId="0" applyFont="1" applyFill="1" applyBorder="1"/>
    <xf numFmtId="0" fontId="7352" fillId="7356" borderId="7303" xfId="0" applyFont="1" applyFill="1" applyBorder="1"/>
    <xf numFmtId="0" fontId="7353" fillId="7357" borderId="7304" xfId="0" applyFont="1" applyFill="1" applyBorder="1"/>
    <xf numFmtId="0" fontId="7354" fillId="7358" borderId="7305" xfId="0" applyFont="1" applyFill="1" applyBorder="1"/>
    <xf numFmtId="14" fontId="7355" fillId="7359" borderId="7306" xfId="0" applyNumberFormat="1" applyFont="1" applyFill="1" applyBorder="1"/>
    <xf numFmtId="14" fontId="7356" fillId="7360" borderId="7307" xfId="0" applyNumberFormat="1" applyFont="1" applyFill="1" applyBorder="1"/>
    <xf numFmtId="0" fontId="7357" fillId="7361" borderId="7308" xfId="0" applyFont="1" applyFill="1" applyBorder="1"/>
    <xf numFmtId="14" fontId="7358" fillId="7362" borderId="7309" xfId="0" applyNumberFormat="1" applyFont="1" applyFill="1" applyBorder="1"/>
    <xf numFmtId="0" fontId="7359" fillId="7363" borderId="7310" xfId="0" applyFont="1" applyFill="1" applyBorder="1"/>
    <xf numFmtId="0" fontId="7360" fillId="7364" borderId="7311" xfId="0" applyFont="1" applyFill="1" applyBorder="1"/>
    <xf numFmtId="0" fontId="7361" fillId="7365" borderId="7312" xfId="0" applyFont="1" applyFill="1" applyBorder="1"/>
    <xf numFmtId="0" fontId="7362" fillId="7366" borderId="7313" xfId="0" applyFont="1" applyFill="1" applyBorder="1"/>
    <xf numFmtId="0" fontId="7363" fillId="7367" borderId="7314" xfId="0" applyFont="1" applyFill="1" applyBorder="1"/>
    <xf numFmtId="0" fontId="7364" fillId="7368" borderId="7315" xfId="0" applyFont="1" applyFill="1" applyBorder="1"/>
    <xf numFmtId="14" fontId="7365" fillId="7369" borderId="7316" xfId="0" applyNumberFormat="1" applyFont="1" applyFill="1" applyBorder="1"/>
    <xf numFmtId="14" fontId="7366" fillId="7370" borderId="7317" xfId="0" applyNumberFormat="1" applyFont="1" applyFill="1" applyBorder="1"/>
    <xf numFmtId="0" fontId="7367" fillId="7371" borderId="7318" xfId="0" applyFont="1" applyFill="1" applyBorder="1"/>
    <xf numFmtId="14" fontId="7368" fillId="7372" borderId="7319" xfId="0" applyNumberFormat="1" applyFont="1" applyFill="1" applyBorder="1"/>
    <xf numFmtId="0" fontId="7369" fillId="7373" borderId="7320" xfId="0" applyFont="1" applyFill="1" applyBorder="1"/>
    <xf numFmtId="0" fontId="7370" fillId="7374" borderId="7321" xfId="0" applyFont="1" applyFill="1" applyBorder="1"/>
    <xf numFmtId="0" fontId="7371" fillId="7375" borderId="7322" xfId="0" applyFont="1" applyFill="1" applyBorder="1"/>
    <xf numFmtId="0" fontId="7372" fillId="7376" borderId="7323" xfId="0" applyFont="1" applyFill="1" applyBorder="1"/>
    <xf numFmtId="0" fontId="7373" fillId="7377" borderId="7324" xfId="0" applyFont="1" applyFill="1" applyBorder="1"/>
    <xf numFmtId="0" fontId="7374" fillId="7378" borderId="7325" xfId="0" applyFont="1" applyFill="1" applyBorder="1"/>
    <xf numFmtId="14" fontId="7375" fillId="7379" borderId="7326" xfId="0" applyNumberFormat="1" applyFont="1" applyFill="1" applyBorder="1"/>
    <xf numFmtId="14" fontId="7376" fillId="7380" borderId="7327" xfId="0" applyNumberFormat="1" applyFont="1" applyFill="1" applyBorder="1"/>
    <xf numFmtId="0" fontId="7377" fillId="7381" borderId="7328" xfId="0" applyFont="1" applyFill="1" applyBorder="1"/>
    <xf numFmtId="14" fontId="7378" fillId="7382" borderId="7329" xfId="0" applyNumberFormat="1" applyFont="1" applyFill="1" applyBorder="1"/>
    <xf numFmtId="0" fontId="7379" fillId="7383" borderId="7330" xfId="0" applyFont="1" applyFill="1" applyBorder="1"/>
    <xf numFmtId="0" fontId="7380" fillId="7384" borderId="7331" xfId="0" applyFont="1" applyFill="1" applyBorder="1"/>
    <xf numFmtId="0" fontId="7381" fillId="7385" borderId="7332" xfId="0" applyFont="1" applyFill="1" applyBorder="1"/>
    <xf numFmtId="0" fontId="7382" fillId="7386" borderId="7333" xfId="0" applyFont="1" applyFill="1" applyBorder="1"/>
    <xf numFmtId="0" fontId="7383" fillId="7387" borderId="7334" xfId="0" applyFont="1" applyFill="1" applyBorder="1"/>
    <xf numFmtId="0" fontId="7384" fillId="7388" borderId="7335" xfId="0" applyFont="1" applyFill="1" applyBorder="1"/>
    <xf numFmtId="14" fontId="7385" fillId="7389" borderId="7336" xfId="0" applyNumberFormat="1" applyFont="1" applyFill="1" applyBorder="1"/>
    <xf numFmtId="14" fontId="7386" fillId="7390" borderId="7337" xfId="0" applyNumberFormat="1" applyFont="1" applyFill="1" applyBorder="1"/>
    <xf numFmtId="0" fontId="7387" fillId="7391" borderId="7338" xfId="0" applyFont="1" applyFill="1" applyBorder="1"/>
    <xf numFmtId="14" fontId="7388" fillId="7392" borderId="7339" xfId="0" applyNumberFormat="1" applyFont="1" applyFill="1" applyBorder="1"/>
    <xf numFmtId="0" fontId="7389" fillId="7393" borderId="7340" xfId="0" applyFont="1" applyFill="1" applyBorder="1"/>
    <xf numFmtId="0" fontId="7390" fillId="7394" borderId="7341" xfId="0" applyFont="1" applyFill="1" applyBorder="1"/>
    <xf numFmtId="0" fontId="7391" fillId="7395" borderId="7342" xfId="0" applyFont="1" applyFill="1" applyBorder="1"/>
    <xf numFmtId="0" fontId="7392" fillId="7396" borderId="7343" xfId="0" applyFont="1" applyFill="1" applyBorder="1"/>
    <xf numFmtId="0" fontId="7393" fillId="7397" borderId="7344" xfId="0" applyFont="1" applyFill="1" applyBorder="1"/>
    <xf numFmtId="0" fontId="7394" fillId="7398" borderId="7345" xfId="0" applyFont="1" applyFill="1" applyBorder="1"/>
    <xf numFmtId="14" fontId="7395" fillId="7399" borderId="7346" xfId="0" applyNumberFormat="1" applyFont="1" applyFill="1" applyBorder="1"/>
    <xf numFmtId="14" fontId="7396" fillId="7400" borderId="7347" xfId="0" applyNumberFormat="1" applyFont="1" applyFill="1" applyBorder="1"/>
    <xf numFmtId="0" fontId="7397" fillId="7401" borderId="7348" xfId="0" applyFont="1" applyFill="1" applyBorder="1"/>
    <xf numFmtId="14" fontId="7398" fillId="7402" borderId="7349" xfId="0" applyNumberFormat="1" applyFont="1" applyFill="1" applyBorder="1"/>
    <xf numFmtId="0" fontId="7399" fillId="7403" borderId="7350" xfId="0" applyFont="1" applyFill="1" applyBorder="1"/>
    <xf numFmtId="0" fontId="7400" fillId="7404" borderId="7351" xfId="0" applyFont="1" applyFill="1" applyBorder="1"/>
    <xf numFmtId="0" fontId="7401" fillId="7405" borderId="7352" xfId="0" applyFont="1" applyFill="1" applyBorder="1"/>
    <xf numFmtId="0" fontId="7402" fillId="7406" borderId="7353" xfId="0" applyFont="1" applyFill="1" applyBorder="1"/>
    <xf numFmtId="0" fontId="7403" fillId="7407" borderId="7354" xfId="0" applyFont="1" applyFill="1" applyBorder="1"/>
    <xf numFmtId="0" fontId="7404" fillId="7408" borderId="7355" xfId="0" applyFont="1" applyFill="1" applyBorder="1"/>
    <xf numFmtId="14" fontId="7405" fillId="7409" borderId="7356" xfId="0" applyNumberFormat="1" applyFont="1" applyFill="1" applyBorder="1"/>
    <xf numFmtId="14" fontId="7406" fillId="7410" borderId="7357" xfId="0" applyNumberFormat="1" applyFont="1" applyFill="1" applyBorder="1"/>
    <xf numFmtId="0" fontId="7407" fillId="7411" borderId="7358" xfId="0" applyFont="1" applyFill="1" applyBorder="1"/>
    <xf numFmtId="14" fontId="7408" fillId="7412" borderId="7359" xfId="0" applyNumberFormat="1" applyFont="1" applyFill="1" applyBorder="1"/>
    <xf numFmtId="0" fontId="7409" fillId="7413" borderId="7360" xfId="0" applyFont="1" applyFill="1" applyBorder="1"/>
    <xf numFmtId="0" fontId="7410" fillId="7414" borderId="7361" xfId="0" applyFont="1" applyFill="1" applyBorder="1"/>
    <xf numFmtId="0" fontId="7411" fillId="7415" borderId="7362" xfId="0" applyFont="1" applyFill="1" applyBorder="1"/>
    <xf numFmtId="0" fontId="7412" fillId="7416" borderId="7363" xfId="0" applyFont="1" applyFill="1" applyBorder="1"/>
    <xf numFmtId="0" fontId="7413" fillId="7417" borderId="7364" xfId="0" applyFont="1" applyFill="1" applyBorder="1"/>
    <xf numFmtId="0" fontId="7414" fillId="7418" borderId="7365" xfId="0" applyFont="1" applyFill="1" applyBorder="1"/>
    <xf numFmtId="14" fontId="7415" fillId="7419" borderId="7366" xfId="0" applyNumberFormat="1" applyFont="1" applyFill="1" applyBorder="1"/>
    <xf numFmtId="14" fontId="7416" fillId="7420" borderId="7367" xfId="0" applyNumberFormat="1" applyFont="1" applyFill="1" applyBorder="1"/>
    <xf numFmtId="0" fontId="7417" fillId="7421" borderId="7368" xfId="0" applyFont="1" applyFill="1" applyBorder="1"/>
    <xf numFmtId="14" fontId="7418" fillId="7422" borderId="7369" xfId="0" applyNumberFormat="1" applyFont="1" applyFill="1" applyBorder="1"/>
    <xf numFmtId="0" fontId="7419" fillId="7423" borderId="7370" xfId="0" applyFont="1" applyFill="1" applyBorder="1"/>
    <xf numFmtId="0" fontId="7420" fillId="7424" borderId="7371" xfId="0" applyFont="1" applyFill="1" applyBorder="1"/>
    <xf numFmtId="0" fontId="7421" fillId="7425" borderId="7372" xfId="0" applyFont="1" applyFill="1" applyBorder="1"/>
    <xf numFmtId="0" fontId="7422" fillId="7426" borderId="7373" xfId="0" applyFont="1" applyFill="1" applyBorder="1"/>
    <xf numFmtId="0" fontId="7423" fillId="7427" borderId="7374" xfId="0" applyFont="1" applyFill="1" applyBorder="1"/>
    <xf numFmtId="0" fontId="7424" fillId="7428" borderId="7375" xfId="0" applyFont="1" applyFill="1" applyBorder="1"/>
    <xf numFmtId="14" fontId="7425" fillId="7429" borderId="7376" xfId="0" applyNumberFormat="1" applyFont="1" applyFill="1" applyBorder="1"/>
    <xf numFmtId="14" fontId="7426" fillId="7430" borderId="7377" xfId="0" applyNumberFormat="1" applyFont="1" applyFill="1" applyBorder="1"/>
    <xf numFmtId="0" fontId="7427" fillId="7431" borderId="7378" xfId="0" applyFont="1" applyFill="1" applyBorder="1"/>
    <xf numFmtId="14" fontId="7428" fillId="7432" borderId="7379" xfId="0" applyNumberFormat="1" applyFont="1" applyFill="1" applyBorder="1"/>
    <xf numFmtId="0" fontId="7429" fillId="7433" borderId="7380" xfId="0" applyFont="1" applyFill="1" applyBorder="1"/>
    <xf numFmtId="0" fontId="7430" fillId="7434" borderId="7381" xfId="0" applyFont="1" applyFill="1" applyBorder="1"/>
    <xf numFmtId="0" fontId="7431" fillId="7435" borderId="7382" xfId="0" applyFont="1" applyFill="1" applyBorder="1"/>
    <xf numFmtId="0" fontId="7432" fillId="7436" borderId="7383" xfId="0" applyFont="1" applyFill="1" applyBorder="1"/>
    <xf numFmtId="0" fontId="7433" fillId="7437" borderId="7384" xfId="0" applyFont="1" applyFill="1" applyBorder="1"/>
    <xf numFmtId="0" fontId="7434" fillId="7438" borderId="7385" xfId="0" applyFont="1" applyFill="1" applyBorder="1"/>
    <xf numFmtId="14" fontId="7435" fillId="7439" borderId="7386" xfId="0" applyNumberFormat="1" applyFont="1" applyFill="1" applyBorder="1"/>
    <xf numFmtId="14" fontId="7436" fillId="7440" borderId="7387" xfId="0" applyNumberFormat="1" applyFont="1" applyFill="1" applyBorder="1"/>
    <xf numFmtId="0" fontId="7437" fillId="7441" borderId="7388" xfId="0" applyFont="1" applyFill="1" applyBorder="1"/>
    <xf numFmtId="14" fontId="7438" fillId="7442" borderId="7389" xfId="0" applyNumberFormat="1" applyFont="1" applyFill="1" applyBorder="1"/>
    <xf numFmtId="0" fontId="7439" fillId="7443" borderId="7390" xfId="0" applyFont="1" applyFill="1" applyBorder="1"/>
    <xf numFmtId="0" fontId="7440" fillId="7444" borderId="7391" xfId="0" applyFont="1" applyFill="1" applyBorder="1"/>
    <xf numFmtId="0" fontId="7441" fillId="7445" borderId="7392" xfId="0" applyFont="1" applyFill="1" applyBorder="1"/>
    <xf numFmtId="0" fontId="7442" fillId="7446" borderId="7393" xfId="0" applyFont="1" applyFill="1" applyBorder="1"/>
    <xf numFmtId="0" fontId="7443" fillId="7447" borderId="7394" xfId="0" applyFont="1" applyFill="1" applyBorder="1"/>
    <xf numFmtId="0" fontId="7444" fillId="7448" borderId="7395" xfId="0" applyFont="1" applyFill="1" applyBorder="1"/>
    <xf numFmtId="14" fontId="7445" fillId="7449" borderId="7396" xfId="0" applyNumberFormat="1" applyFont="1" applyFill="1" applyBorder="1"/>
    <xf numFmtId="14" fontId="7446" fillId="7450" borderId="7397" xfId="0" applyNumberFormat="1" applyFont="1" applyFill="1" applyBorder="1"/>
    <xf numFmtId="0" fontId="7447" fillId="7451" borderId="7398" xfId="0" applyFont="1" applyFill="1" applyBorder="1"/>
    <xf numFmtId="14" fontId="7448" fillId="7452" borderId="7399" xfId="0" applyNumberFormat="1" applyFont="1" applyFill="1" applyBorder="1"/>
    <xf numFmtId="0" fontId="7449" fillId="7453" borderId="7400" xfId="0" applyFont="1" applyFill="1" applyBorder="1"/>
    <xf numFmtId="0" fontId="7450" fillId="7454" borderId="7401" xfId="0" applyFont="1" applyFill="1" applyBorder="1"/>
    <xf numFmtId="0" fontId="7451" fillId="7455" borderId="7402" xfId="0" applyFont="1" applyFill="1" applyBorder="1"/>
    <xf numFmtId="0" fontId="7452" fillId="7456" borderId="7403" xfId="0" applyFont="1" applyFill="1" applyBorder="1"/>
    <xf numFmtId="0" fontId="7453" fillId="7457" borderId="7404" xfId="0" applyFont="1" applyFill="1" applyBorder="1"/>
    <xf numFmtId="0" fontId="7454" fillId="7458" borderId="7405" xfId="0" applyFont="1" applyFill="1" applyBorder="1"/>
    <xf numFmtId="14" fontId="7455" fillId="7459" borderId="7406" xfId="0" applyNumberFormat="1" applyFont="1" applyFill="1" applyBorder="1"/>
    <xf numFmtId="14" fontId="7456" fillId="7460" borderId="7407" xfId="0" applyNumberFormat="1" applyFont="1" applyFill="1" applyBorder="1"/>
    <xf numFmtId="0" fontId="7457" fillId="7461" borderId="7408" xfId="0" applyFont="1" applyFill="1" applyBorder="1"/>
    <xf numFmtId="14" fontId="7458" fillId="7462" borderId="7409" xfId="0" applyNumberFormat="1" applyFont="1" applyFill="1" applyBorder="1"/>
    <xf numFmtId="0" fontId="7459" fillId="7463" borderId="7410" xfId="0" applyFont="1" applyFill="1" applyBorder="1"/>
    <xf numFmtId="0" fontId="7460" fillId="7464" borderId="7411" xfId="0" applyFont="1" applyFill="1" applyBorder="1"/>
    <xf numFmtId="0" fontId="7461" fillId="7465" borderId="7412" xfId="0" applyFont="1" applyFill="1" applyBorder="1"/>
    <xf numFmtId="0" fontId="7462" fillId="7466" borderId="7413" xfId="0" applyFont="1" applyFill="1" applyBorder="1"/>
    <xf numFmtId="0" fontId="7463" fillId="7467" borderId="7414" xfId="0" applyFont="1" applyFill="1" applyBorder="1"/>
    <xf numFmtId="0" fontId="7464" fillId="7468" borderId="7415" xfId="0" applyFont="1" applyFill="1" applyBorder="1"/>
    <xf numFmtId="14" fontId="7465" fillId="7469" borderId="7416" xfId="0" applyNumberFormat="1" applyFont="1" applyFill="1" applyBorder="1"/>
    <xf numFmtId="14" fontId="7466" fillId="7470" borderId="7417" xfId="0" applyNumberFormat="1" applyFont="1" applyFill="1" applyBorder="1"/>
    <xf numFmtId="0" fontId="7467" fillId="7471" borderId="7418" xfId="0" applyFont="1" applyFill="1" applyBorder="1"/>
    <xf numFmtId="14" fontId="7468" fillId="7472" borderId="7419" xfId="0" applyNumberFormat="1" applyFont="1" applyFill="1" applyBorder="1"/>
    <xf numFmtId="0" fontId="7469" fillId="7473" borderId="7420" xfId="0" applyFont="1" applyFill="1" applyBorder="1"/>
    <xf numFmtId="0" fontId="7470" fillId="7474" borderId="7421" xfId="0" applyFont="1" applyFill="1" applyBorder="1"/>
    <xf numFmtId="0" fontId="7471" fillId="7475" borderId="7422" xfId="0" applyFont="1" applyFill="1" applyBorder="1"/>
    <xf numFmtId="0" fontId="7472" fillId="7476" borderId="7423" xfId="0" applyFont="1" applyFill="1" applyBorder="1"/>
    <xf numFmtId="0" fontId="7473" fillId="7477" borderId="7424" xfId="0" applyFont="1" applyFill="1" applyBorder="1"/>
    <xf numFmtId="0" fontId="7474" fillId="7478" borderId="7425" xfId="0" applyFont="1" applyFill="1" applyBorder="1"/>
    <xf numFmtId="14" fontId="7475" fillId="7479" borderId="7426" xfId="0" applyNumberFormat="1" applyFont="1" applyFill="1" applyBorder="1"/>
    <xf numFmtId="14" fontId="7476" fillId="7480" borderId="7427" xfId="0" applyNumberFormat="1" applyFont="1" applyFill="1" applyBorder="1"/>
    <xf numFmtId="0" fontId="7477" fillId="7481" borderId="7428" xfId="0" applyFont="1" applyFill="1" applyBorder="1"/>
    <xf numFmtId="14" fontId="7478" fillId="7482" borderId="7429" xfId="0" applyNumberFormat="1" applyFont="1" applyFill="1" applyBorder="1"/>
    <xf numFmtId="0" fontId="7479" fillId="7483" borderId="7430" xfId="0" applyFont="1" applyFill="1" applyBorder="1"/>
    <xf numFmtId="0" fontId="7480" fillId="7484" borderId="7431" xfId="0" applyFont="1" applyFill="1" applyBorder="1"/>
    <xf numFmtId="0" fontId="7481" fillId="7485" borderId="7432" xfId="0" applyFont="1" applyFill="1" applyBorder="1"/>
    <xf numFmtId="0" fontId="7482" fillId="7486" borderId="7433" xfId="0" applyFont="1" applyFill="1" applyBorder="1"/>
    <xf numFmtId="0" fontId="7483" fillId="7487" borderId="7434" xfId="0" applyFont="1" applyFill="1" applyBorder="1"/>
    <xf numFmtId="0" fontId="7484" fillId="7488" borderId="7435" xfId="0" applyFont="1" applyFill="1" applyBorder="1"/>
    <xf numFmtId="14" fontId="7485" fillId="7489" borderId="7436" xfId="0" applyNumberFormat="1" applyFont="1" applyFill="1" applyBorder="1"/>
    <xf numFmtId="14" fontId="7486" fillId="7490" borderId="7437" xfId="0" applyNumberFormat="1" applyFont="1" applyFill="1" applyBorder="1"/>
    <xf numFmtId="0" fontId="7487" fillId="7491" borderId="7438" xfId="0" applyFont="1" applyFill="1" applyBorder="1"/>
    <xf numFmtId="14" fontId="7488" fillId="7492" borderId="7439" xfId="0" applyNumberFormat="1" applyFont="1" applyFill="1" applyBorder="1"/>
    <xf numFmtId="0" fontId="7489" fillId="7493" borderId="7440" xfId="0" applyFont="1" applyFill="1" applyBorder="1"/>
    <xf numFmtId="0" fontId="7490" fillId="7494" borderId="7441" xfId="0" applyFont="1" applyFill="1" applyBorder="1"/>
    <xf numFmtId="0" fontId="7491" fillId="7495" borderId="7442" xfId="0" applyFont="1" applyFill="1" applyBorder="1"/>
    <xf numFmtId="0" fontId="7492" fillId="7496" borderId="7443" xfId="0" applyFont="1" applyFill="1" applyBorder="1"/>
    <xf numFmtId="0" fontId="7493" fillId="7497" borderId="7444" xfId="0" applyFont="1" applyFill="1" applyBorder="1"/>
    <xf numFmtId="0" fontId="7494" fillId="7498" borderId="7445" xfId="0" applyFont="1" applyFill="1" applyBorder="1"/>
    <xf numFmtId="14" fontId="7495" fillId="7499" borderId="7446" xfId="0" applyNumberFormat="1" applyFont="1" applyFill="1" applyBorder="1"/>
    <xf numFmtId="14" fontId="7496" fillId="7500" borderId="7447" xfId="0" applyNumberFormat="1" applyFont="1" applyFill="1" applyBorder="1"/>
    <xf numFmtId="0" fontId="7497" fillId="7501" borderId="7448" xfId="0" applyFont="1" applyFill="1" applyBorder="1"/>
    <xf numFmtId="14" fontId="7498" fillId="7502" borderId="7449" xfId="0" applyNumberFormat="1" applyFont="1" applyFill="1" applyBorder="1"/>
    <xf numFmtId="0" fontId="7499" fillId="7503" borderId="7450" xfId="0" applyFont="1" applyFill="1" applyBorder="1"/>
    <xf numFmtId="0" fontId="7500" fillId="7504" borderId="7451" xfId="0" applyFont="1" applyFill="1" applyBorder="1"/>
    <xf numFmtId="0" fontId="7501" fillId="7505" borderId="7452" xfId="0" applyFont="1" applyFill="1" applyBorder="1"/>
    <xf numFmtId="0" fontId="7502" fillId="7506" borderId="7453" xfId="0" applyFont="1" applyFill="1" applyBorder="1"/>
    <xf numFmtId="0" fontId="7503" fillId="7507" borderId="7454" xfId="0" applyFont="1" applyFill="1" applyBorder="1"/>
    <xf numFmtId="0" fontId="7504" fillId="7508" borderId="7455" xfId="0" applyFont="1" applyFill="1" applyBorder="1"/>
    <xf numFmtId="14" fontId="7505" fillId="7509" borderId="7456" xfId="0" applyNumberFormat="1" applyFont="1" applyFill="1" applyBorder="1"/>
    <xf numFmtId="14" fontId="7506" fillId="7510" borderId="7457" xfId="0" applyNumberFormat="1" applyFont="1" applyFill="1" applyBorder="1"/>
    <xf numFmtId="0" fontId="7507" fillId="7511" borderId="7458" xfId="0" applyFont="1" applyFill="1" applyBorder="1"/>
    <xf numFmtId="14" fontId="7508" fillId="7512" borderId="7459" xfId="0" applyNumberFormat="1" applyFont="1" applyFill="1" applyBorder="1"/>
    <xf numFmtId="0" fontId="7509" fillId="7513" borderId="7460" xfId="0" applyFont="1" applyFill="1" applyBorder="1"/>
    <xf numFmtId="0" fontId="7510" fillId="7514" borderId="7461" xfId="0" applyFont="1" applyFill="1" applyBorder="1"/>
    <xf numFmtId="0" fontId="7511" fillId="7515" borderId="7462" xfId="0" applyFont="1" applyFill="1" applyBorder="1"/>
    <xf numFmtId="0" fontId="7512" fillId="7516" borderId="7463" xfId="0" applyFont="1" applyFill="1" applyBorder="1"/>
    <xf numFmtId="0" fontId="7513" fillId="7517" borderId="7464" xfId="0" applyFont="1" applyFill="1" applyBorder="1"/>
    <xf numFmtId="0" fontId="7514" fillId="7518" borderId="7465" xfId="0" applyFont="1" applyFill="1" applyBorder="1"/>
    <xf numFmtId="14" fontId="7515" fillId="7519" borderId="7466" xfId="0" applyNumberFormat="1" applyFont="1" applyFill="1" applyBorder="1"/>
    <xf numFmtId="14" fontId="7516" fillId="7520" borderId="7467" xfId="0" applyNumberFormat="1" applyFont="1" applyFill="1" applyBorder="1"/>
    <xf numFmtId="0" fontId="7517" fillId="7521" borderId="7468" xfId="0" applyFont="1" applyFill="1" applyBorder="1"/>
    <xf numFmtId="14" fontId="7518" fillId="7522" borderId="7469" xfId="0" applyNumberFormat="1" applyFont="1" applyFill="1" applyBorder="1"/>
    <xf numFmtId="0" fontId="7519" fillId="7523" borderId="7470" xfId="0" applyFont="1" applyFill="1" applyBorder="1"/>
    <xf numFmtId="0" fontId="7520" fillId="7524" borderId="7471" xfId="0" applyFont="1" applyFill="1" applyBorder="1"/>
    <xf numFmtId="0" fontId="7521" fillId="7525" borderId="7472" xfId="0" applyFont="1" applyFill="1" applyBorder="1"/>
    <xf numFmtId="0" fontId="7522" fillId="7526" borderId="7473" xfId="0" applyFont="1" applyFill="1" applyBorder="1"/>
    <xf numFmtId="0" fontId="7523" fillId="7527" borderId="7474" xfId="0" applyFont="1" applyFill="1" applyBorder="1"/>
    <xf numFmtId="0" fontId="7524" fillId="7528" borderId="7475" xfId="0" applyFont="1" applyFill="1" applyBorder="1"/>
    <xf numFmtId="14" fontId="7525" fillId="7529" borderId="7476" xfId="0" applyNumberFormat="1" applyFont="1" applyFill="1" applyBorder="1"/>
    <xf numFmtId="14" fontId="7526" fillId="7530" borderId="7477" xfId="0" applyNumberFormat="1" applyFont="1" applyFill="1" applyBorder="1"/>
    <xf numFmtId="0" fontId="7527" fillId="7531" borderId="7478" xfId="0" applyFont="1" applyFill="1" applyBorder="1"/>
    <xf numFmtId="14" fontId="7528" fillId="7532" borderId="7479" xfId="0" applyNumberFormat="1" applyFont="1" applyFill="1" applyBorder="1"/>
    <xf numFmtId="0" fontId="7529" fillId="7533" borderId="7480" xfId="0" applyFont="1" applyFill="1" applyBorder="1"/>
    <xf numFmtId="0" fontId="7530" fillId="7534" borderId="7481" xfId="0" applyFont="1" applyFill="1" applyBorder="1"/>
    <xf numFmtId="0" fontId="7531" fillId="7535" borderId="7482" xfId="0" applyFont="1" applyFill="1" applyBorder="1"/>
    <xf numFmtId="0" fontId="7532" fillId="7536" borderId="7483" xfId="0" applyFont="1" applyFill="1" applyBorder="1"/>
    <xf numFmtId="0" fontId="7533" fillId="7537" borderId="7484" xfId="0" applyFont="1" applyFill="1" applyBorder="1"/>
    <xf numFmtId="0" fontId="7534" fillId="7538" borderId="7485" xfId="0" applyFont="1" applyFill="1" applyBorder="1"/>
    <xf numFmtId="14" fontId="7535" fillId="7539" borderId="7486" xfId="0" applyNumberFormat="1" applyFont="1" applyFill="1" applyBorder="1"/>
    <xf numFmtId="14" fontId="7536" fillId="7540" borderId="7487" xfId="0" applyNumberFormat="1" applyFont="1" applyFill="1" applyBorder="1"/>
    <xf numFmtId="0" fontId="7537" fillId="7541" borderId="7488" xfId="0" applyFont="1" applyFill="1" applyBorder="1"/>
    <xf numFmtId="14" fontId="7538" fillId="7542" borderId="7489" xfId="0" applyNumberFormat="1" applyFont="1" applyFill="1" applyBorder="1"/>
    <xf numFmtId="0" fontId="7539" fillId="7543" borderId="7490" xfId="0" applyFont="1" applyFill="1" applyBorder="1"/>
    <xf numFmtId="0" fontId="7540" fillId="7544" borderId="7491" xfId="0" applyFont="1" applyFill="1" applyBorder="1"/>
    <xf numFmtId="0" fontId="7541" fillId="7545" borderId="7492" xfId="0" applyFont="1" applyFill="1" applyBorder="1"/>
    <xf numFmtId="0" fontId="7542" fillId="7546" borderId="7493" xfId="0" applyFont="1" applyFill="1" applyBorder="1"/>
    <xf numFmtId="0" fontId="7543" fillId="7547" borderId="7494" xfId="0" applyFont="1" applyFill="1" applyBorder="1"/>
    <xf numFmtId="0" fontId="7544" fillId="7548" borderId="7495" xfId="0" applyFont="1" applyFill="1" applyBorder="1"/>
    <xf numFmtId="14" fontId="7545" fillId="7549" borderId="7496" xfId="0" applyNumberFormat="1" applyFont="1" applyFill="1" applyBorder="1"/>
    <xf numFmtId="14" fontId="7546" fillId="7550" borderId="7497" xfId="0" applyNumberFormat="1" applyFont="1" applyFill="1" applyBorder="1"/>
    <xf numFmtId="0" fontId="7547" fillId="7551" borderId="7498" xfId="0" applyFont="1" applyFill="1" applyBorder="1"/>
    <xf numFmtId="14" fontId="7548" fillId="7552" borderId="7499" xfId="0" applyNumberFormat="1" applyFont="1" applyFill="1" applyBorder="1"/>
    <xf numFmtId="0" fontId="7549" fillId="7553" borderId="7500" xfId="0" applyFont="1" applyFill="1" applyBorder="1"/>
    <xf numFmtId="0" fontId="7550" fillId="7554" borderId="7501" xfId="0" applyFont="1" applyFill="1" applyBorder="1"/>
    <xf numFmtId="0" fontId="7551" fillId="7555" borderId="7502" xfId="0" applyFont="1" applyFill="1" applyBorder="1"/>
    <xf numFmtId="0" fontId="7552" fillId="7556" borderId="7503" xfId="0" applyFont="1" applyFill="1" applyBorder="1"/>
    <xf numFmtId="0" fontId="7553" fillId="7557" borderId="7504" xfId="0" applyFont="1" applyFill="1" applyBorder="1"/>
    <xf numFmtId="0" fontId="7554" fillId="7558" borderId="7505" xfId="0" applyFont="1" applyFill="1" applyBorder="1"/>
    <xf numFmtId="14" fontId="7555" fillId="7559" borderId="7506" xfId="0" applyNumberFormat="1" applyFont="1" applyFill="1" applyBorder="1"/>
    <xf numFmtId="14" fontId="7556" fillId="7560" borderId="7507" xfId="0" applyNumberFormat="1" applyFont="1" applyFill="1" applyBorder="1"/>
    <xf numFmtId="0" fontId="7557" fillId="7561" borderId="7508" xfId="0" applyFont="1" applyFill="1" applyBorder="1"/>
    <xf numFmtId="14" fontId="7558" fillId="7562" borderId="7509" xfId="0" applyNumberFormat="1" applyFont="1" applyFill="1" applyBorder="1"/>
    <xf numFmtId="0" fontId="7559" fillId="7563" borderId="7510" xfId="0" applyFont="1" applyFill="1" applyBorder="1"/>
    <xf numFmtId="0" fontId="7560" fillId="7564" borderId="7511" xfId="0" applyFont="1" applyFill="1" applyBorder="1"/>
    <xf numFmtId="0" fontId="7561" fillId="7565" borderId="7512" xfId="0" applyFont="1" applyFill="1" applyBorder="1"/>
    <xf numFmtId="0" fontId="7562" fillId="7566" borderId="7513" xfId="0" applyFont="1" applyFill="1" applyBorder="1"/>
    <xf numFmtId="0" fontId="7563" fillId="7567" borderId="7514" xfId="0" applyFont="1" applyFill="1" applyBorder="1"/>
    <xf numFmtId="0" fontId="7564" fillId="7568" borderId="7515" xfId="0" applyFont="1" applyFill="1" applyBorder="1"/>
    <xf numFmtId="14" fontId="7565" fillId="7569" borderId="7516" xfId="0" applyNumberFormat="1" applyFont="1" applyFill="1" applyBorder="1"/>
    <xf numFmtId="14" fontId="7566" fillId="7570" borderId="7517" xfId="0" applyNumberFormat="1" applyFont="1" applyFill="1" applyBorder="1"/>
    <xf numFmtId="0" fontId="7567" fillId="7571" borderId="7518" xfId="0" applyFont="1" applyFill="1" applyBorder="1"/>
    <xf numFmtId="14" fontId="7568" fillId="7572" borderId="7519" xfId="0" applyNumberFormat="1" applyFont="1" applyFill="1" applyBorder="1"/>
    <xf numFmtId="0" fontId="7569" fillId="7573" borderId="7520" xfId="0" applyFont="1" applyFill="1" applyBorder="1"/>
    <xf numFmtId="0" fontId="7570" fillId="7574" borderId="7521" xfId="0" applyFont="1" applyFill="1" applyBorder="1"/>
    <xf numFmtId="0" fontId="7571" fillId="7575" borderId="7522" xfId="0" applyFont="1" applyFill="1" applyBorder="1"/>
    <xf numFmtId="0" fontId="7572" fillId="7576" borderId="7523" xfId="0" applyFont="1" applyFill="1" applyBorder="1"/>
    <xf numFmtId="0" fontId="7573" fillId="7577" borderId="7524" xfId="0" applyFont="1" applyFill="1" applyBorder="1"/>
    <xf numFmtId="0" fontId="7574" fillId="7578" borderId="7525" xfId="0" applyFont="1" applyFill="1" applyBorder="1"/>
    <xf numFmtId="14" fontId="7575" fillId="7579" borderId="7526" xfId="0" applyNumberFormat="1" applyFont="1" applyFill="1" applyBorder="1"/>
    <xf numFmtId="14" fontId="7576" fillId="7580" borderId="7527" xfId="0" applyNumberFormat="1" applyFont="1" applyFill="1" applyBorder="1"/>
    <xf numFmtId="0" fontId="7577" fillId="7581" borderId="7528" xfId="0" applyFont="1" applyFill="1" applyBorder="1"/>
    <xf numFmtId="14" fontId="7578" fillId="7582" borderId="7529" xfId="0" applyNumberFormat="1" applyFont="1" applyFill="1" applyBorder="1"/>
    <xf numFmtId="0" fontId="7579" fillId="7583" borderId="7530" xfId="0" applyFont="1" applyFill="1" applyBorder="1"/>
    <xf numFmtId="0" fontId="7580" fillId="7584" borderId="7531" xfId="0" applyFont="1" applyFill="1" applyBorder="1"/>
    <xf numFmtId="0" fontId="7581" fillId="7585" borderId="7532" xfId="0" applyFont="1" applyFill="1" applyBorder="1"/>
    <xf numFmtId="0" fontId="7582" fillId="7586" borderId="7533" xfId="0" applyFont="1" applyFill="1" applyBorder="1"/>
    <xf numFmtId="0" fontId="7583" fillId="7587" borderId="7534" xfId="0" applyFont="1" applyFill="1" applyBorder="1"/>
    <xf numFmtId="0" fontId="7584" fillId="7588" borderId="7535" xfId="0" applyFont="1" applyFill="1" applyBorder="1"/>
    <xf numFmtId="14" fontId="7585" fillId="7589" borderId="7536" xfId="0" applyNumberFormat="1" applyFont="1" applyFill="1" applyBorder="1"/>
    <xf numFmtId="14" fontId="7586" fillId="7590" borderId="7537" xfId="0" applyNumberFormat="1" applyFont="1" applyFill="1" applyBorder="1"/>
    <xf numFmtId="0" fontId="7587" fillId="7591" borderId="7538" xfId="0" applyFont="1" applyFill="1" applyBorder="1"/>
    <xf numFmtId="14" fontId="7588" fillId="7592" borderId="7539" xfId="0" applyNumberFormat="1" applyFont="1" applyFill="1" applyBorder="1"/>
    <xf numFmtId="0" fontId="7589" fillId="7593" borderId="7540" xfId="0" applyFont="1" applyFill="1" applyBorder="1"/>
    <xf numFmtId="0" fontId="7590" fillId="7594" borderId="7541" xfId="0" applyFont="1" applyFill="1" applyBorder="1"/>
    <xf numFmtId="0" fontId="7591" fillId="7595" borderId="7542" xfId="0" applyFont="1" applyFill="1" applyBorder="1"/>
    <xf numFmtId="0" fontId="7592" fillId="7596" borderId="7543" xfId="0" applyFont="1" applyFill="1" applyBorder="1"/>
    <xf numFmtId="0" fontId="7593" fillId="7597" borderId="7544" xfId="0" applyFont="1" applyFill="1" applyBorder="1"/>
    <xf numFmtId="0" fontId="7594" fillId="7598" borderId="7545" xfId="0" applyFont="1" applyFill="1" applyBorder="1"/>
    <xf numFmtId="14" fontId="7595" fillId="7599" borderId="7546" xfId="0" applyNumberFormat="1" applyFont="1" applyFill="1" applyBorder="1"/>
    <xf numFmtId="14" fontId="7596" fillId="7600" borderId="7547" xfId="0" applyNumberFormat="1" applyFont="1" applyFill="1" applyBorder="1"/>
    <xf numFmtId="0" fontId="7597" fillId="7601" borderId="7548" xfId="0" applyFont="1" applyFill="1" applyBorder="1"/>
    <xf numFmtId="14" fontId="7598" fillId="7602" borderId="7549" xfId="0" applyNumberFormat="1" applyFont="1" applyFill="1" applyBorder="1"/>
    <xf numFmtId="0" fontId="7599" fillId="7603" borderId="7550" xfId="0" applyFont="1" applyFill="1" applyBorder="1"/>
    <xf numFmtId="0" fontId="7600" fillId="7604" borderId="7551" xfId="0" applyFont="1" applyFill="1" applyBorder="1"/>
    <xf numFmtId="0" fontId="7601" fillId="7605" borderId="7552" xfId="0" applyFont="1" applyFill="1" applyBorder="1"/>
    <xf numFmtId="0" fontId="7602" fillId="7606" borderId="7553" xfId="0" applyFont="1" applyFill="1" applyBorder="1"/>
    <xf numFmtId="0" fontId="7603" fillId="7607" borderId="7554" xfId="0" applyFont="1" applyFill="1" applyBorder="1"/>
    <xf numFmtId="0" fontId="7604" fillId="7608" borderId="7555" xfId="0" applyFont="1" applyFill="1" applyBorder="1"/>
    <xf numFmtId="14" fontId="7605" fillId="7609" borderId="7556" xfId="0" applyNumberFormat="1" applyFont="1" applyFill="1" applyBorder="1"/>
    <xf numFmtId="14" fontId="7606" fillId="7610" borderId="7557" xfId="0" applyNumberFormat="1" applyFont="1" applyFill="1" applyBorder="1"/>
    <xf numFmtId="0" fontId="7607" fillId="7611" borderId="7558" xfId="0" applyFont="1" applyFill="1" applyBorder="1"/>
    <xf numFmtId="14" fontId="7608" fillId="7612" borderId="7559" xfId="0" applyNumberFormat="1" applyFont="1" applyFill="1" applyBorder="1"/>
    <xf numFmtId="0" fontId="7609" fillId="7613" borderId="7560" xfId="0" applyFont="1" applyFill="1" applyBorder="1"/>
    <xf numFmtId="0" fontId="7610" fillId="7614" borderId="7561" xfId="0" applyFont="1" applyFill="1" applyBorder="1"/>
    <xf numFmtId="0" fontId="7611" fillId="7615" borderId="7562" xfId="0" applyFont="1" applyFill="1" applyBorder="1"/>
    <xf numFmtId="0" fontId="7612" fillId="7616" borderId="7563" xfId="0" applyFont="1" applyFill="1" applyBorder="1"/>
    <xf numFmtId="0" fontId="7613" fillId="7617" borderId="7564" xfId="0" applyFont="1" applyFill="1" applyBorder="1"/>
    <xf numFmtId="0" fontId="7614" fillId="7618" borderId="7565" xfId="0" applyFont="1" applyFill="1" applyBorder="1"/>
    <xf numFmtId="14" fontId="7615" fillId="7619" borderId="7566" xfId="0" applyNumberFormat="1" applyFont="1" applyFill="1" applyBorder="1"/>
    <xf numFmtId="14" fontId="7616" fillId="7620" borderId="7567" xfId="0" applyNumberFormat="1" applyFont="1" applyFill="1" applyBorder="1"/>
    <xf numFmtId="0" fontId="7617" fillId="7621" borderId="7568" xfId="0" applyFont="1" applyFill="1" applyBorder="1"/>
    <xf numFmtId="14" fontId="7618" fillId="7622" borderId="7569" xfId="0" applyNumberFormat="1" applyFont="1" applyFill="1" applyBorder="1"/>
    <xf numFmtId="0" fontId="7619" fillId="7623" borderId="7570" xfId="0" applyFont="1" applyFill="1" applyBorder="1"/>
    <xf numFmtId="0" fontId="7620" fillId="7624" borderId="7571" xfId="0" applyFont="1" applyFill="1" applyBorder="1"/>
    <xf numFmtId="0" fontId="7621" fillId="7625" borderId="7572" xfId="0" applyFont="1" applyFill="1" applyBorder="1"/>
    <xf numFmtId="0" fontId="7622" fillId="7626" borderId="7573" xfId="0" applyFont="1" applyFill="1" applyBorder="1"/>
    <xf numFmtId="0" fontId="7623" fillId="7627" borderId="7574" xfId="0" applyFont="1" applyFill="1" applyBorder="1"/>
    <xf numFmtId="0" fontId="7624" fillId="7628" borderId="7575" xfId="0" applyFont="1" applyFill="1" applyBorder="1"/>
    <xf numFmtId="14" fontId="7625" fillId="7629" borderId="7576" xfId="0" applyNumberFormat="1" applyFont="1" applyFill="1" applyBorder="1"/>
    <xf numFmtId="14" fontId="7626" fillId="7630" borderId="7577" xfId="0" applyNumberFormat="1" applyFont="1" applyFill="1" applyBorder="1"/>
    <xf numFmtId="0" fontId="7627" fillId="7631" borderId="7578" xfId="0" applyFont="1" applyFill="1" applyBorder="1"/>
    <xf numFmtId="14" fontId="7628" fillId="7632" borderId="7579" xfId="0" applyNumberFormat="1" applyFont="1" applyFill="1" applyBorder="1"/>
    <xf numFmtId="0" fontId="7629" fillId="7633" borderId="7580" xfId="0" applyFont="1" applyFill="1" applyBorder="1"/>
    <xf numFmtId="0" fontId="7630" fillId="7634" borderId="7581" xfId="0" applyFont="1" applyFill="1" applyBorder="1"/>
    <xf numFmtId="0" fontId="7631" fillId="7635" borderId="7582" xfId="0" applyFont="1" applyFill="1" applyBorder="1"/>
    <xf numFmtId="0" fontId="7632" fillId="7636" borderId="7583" xfId="0" applyFont="1" applyFill="1" applyBorder="1"/>
    <xf numFmtId="0" fontId="7633" fillId="7637" borderId="7584" xfId="0" applyFont="1" applyFill="1" applyBorder="1"/>
    <xf numFmtId="0" fontId="7634" fillId="7638" borderId="7585" xfId="0" applyFont="1" applyFill="1" applyBorder="1"/>
    <xf numFmtId="14" fontId="7635" fillId="7639" borderId="7586" xfId="0" applyNumberFormat="1" applyFont="1" applyFill="1" applyBorder="1"/>
    <xf numFmtId="14" fontId="7636" fillId="7640" borderId="7587" xfId="0" applyNumberFormat="1" applyFont="1" applyFill="1" applyBorder="1"/>
    <xf numFmtId="0" fontId="7637" fillId="7641" borderId="7588" xfId="0" applyFont="1" applyFill="1" applyBorder="1"/>
    <xf numFmtId="14" fontId="7638" fillId="7642" borderId="7589" xfId="0" applyNumberFormat="1" applyFont="1" applyFill="1" applyBorder="1"/>
    <xf numFmtId="0" fontId="7639" fillId="7643" borderId="7590" xfId="0" applyFont="1" applyFill="1" applyBorder="1"/>
    <xf numFmtId="0" fontId="7640" fillId="7644" borderId="7591" xfId="0" applyFont="1" applyFill="1" applyBorder="1"/>
    <xf numFmtId="0" fontId="7641" fillId="7645" borderId="7592" xfId="0" applyFont="1" applyFill="1" applyBorder="1"/>
    <xf numFmtId="0" fontId="7642" fillId="7646" borderId="7593" xfId="0" applyFont="1" applyFill="1" applyBorder="1"/>
    <xf numFmtId="0" fontId="7643" fillId="7647" borderId="7594" xfId="0" applyFont="1" applyFill="1" applyBorder="1"/>
    <xf numFmtId="0" fontId="7644" fillId="7648" borderId="7595" xfId="0" applyFont="1" applyFill="1" applyBorder="1"/>
    <xf numFmtId="14" fontId="7645" fillId="7649" borderId="7596" xfId="0" applyNumberFormat="1" applyFont="1" applyFill="1" applyBorder="1"/>
    <xf numFmtId="14" fontId="7646" fillId="7650" borderId="7597" xfId="0" applyNumberFormat="1" applyFont="1" applyFill="1" applyBorder="1"/>
    <xf numFmtId="0" fontId="7647" fillId="7651" borderId="7598" xfId="0" applyFont="1" applyFill="1" applyBorder="1"/>
    <xf numFmtId="14" fontId="7648" fillId="7652" borderId="7599" xfId="0" applyNumberFormat="1" applyFont="1" applyFill="1" applyBorder="1"/>
    <xf numFmtId="0" fontId="7649" fillId="7653" borderId="7600" xfId="0" applyFont="1" applyFill="1" applyBorder="1"/>
    <xf numFmtId="0" fontId="7650" fillId="7654" borderId="7601" xfId="0" applyFont="1" applyFill="1" applyBorder="1"/>
    <xf numFmtId="0" fontId="7651" fillId="7655" borderId="7602" xfId="0" applyFont="1" applyFill="1" applyBorder="1"/>
    <xf numFmtId="0" fontId="7652" fillId="7656" borderId="7603" xfId="0" applyFont="1" applyFill="1" applyBorder="1"/>
    <xf numFmtId="0" fontId="7653" fillId="7657" borderId="7604" xfId="0" applyFont="1" applyFill="1" applyBorder="1"/>
    <xf numFmtId="0" fontId="7654" fillId="7658" borderId="7605" xfId="0" applyFont="1" applyFill="1" applyBorder="1"/>
    <xf numFmtId="14" fontId="7655" fillId="7659" borderId="7606" xfId="0" applyNumberFormat="1" applyFont="1" applyFill="1" applyBorder="1"/>
    <xf numFmtId="14" fontId="7656" fillId="7660" borderId="7607" xfId="0" applyNumberFormat="1" applyFont="1" applyFill="1" applyBorder="1"/>
    <xf numFmtId="0" fontId="7657" fillId="7661" borderId="7608" xfId="0" applyFont="1" applyFill="1" applyBorder="1"/>
    <xf numFmtId="14" fontId="7658" fillId="7662" borderId="7609" xfId="0" applyNumberFormat="1" applyFont="1" applyFill="1" applyBorder="1"/>
    <xf numFmtId="0" fontId="7659" fillId="7663" borderId="7610" xfId="0" applyFont="1" applyFill="1" applyBorder="1"/>
    <xf numFmtId="0" fontId="7660" fillId="7664" borderId="7611" xfId="0" applyFont="1" applyFill="1" applyBorder="1"/>
    <xf numFmtId="0" fontId="7661" fillId="7665" borderId="7612" xfId="0" applyFont="1" applyFill="1" applyBorder="1"/>
    <xf numFmtId="0" fontId="7662" fillId="7666" borderId="7613" xfId="0" applyFont="1" applyFill="1" applyBorder="1"/>
    <xf numFmtId="0" fontId="7663" fillId="7667" borderId="7614" xfId="0" applyFont="1" applyFill="1" applyBorder="1"/>
    <xf numFmtId="0" fontId="7664" fillId="7668" borderId="7615" xfId="0" applyFont="1" applyFill="1" applyBorder="1"/>
    <xf numFmtId="14" fontId="7665" fillId="7669" borderId="7616" xfId="0" applyNumberFormat="1" applyFont="1" applyFill="1" applyBorder="1"/>
    <xf numFmtId="14" fontId="7666" fillId="7670" borderId="7617" xfId="0" applyNumberFormat="1" applyFont="1" applyFill="1" applyBorder="1"/>
    <xf numFmtId="0" fontId="7667" fillId="7671" borderId="7618" xfId="0" applyFont="1" applyFill="1" applyBorder="1"/>
    <xf numFmtId="14" fontId="7668" fillId="7672" borderId="7619" xfId="0" applyNumberFormat="1" applyFont="1" applyFill="1" applyBorder="1"/>
    <xf numFmtId="0" fontId="7669" fillId="7673" borderId="7620" xfId="0" applyFont="1" applyFill="1" applyBorder="1"/>
    <xf numFmtId="0" fontId="7670" fillId="7674" borderId="7621" xfId="0" applyFont="1" applyFill="1" applyBorder="1"/>
    <xf numFmtId="0" fontId="7671" fillId="7675" borderId="7622" xfId="0" applyFont="1" applyFill="1" applyBorder="1"/>
    <xf numFmtId="0" fontId="7672" fillId="7676" borderId="7623" xfId="0" applyFont="1" applyFill="1" applyBorder="1"/>
    <xf numFmtId="0" fontId="7673" fillId="7677" borderId="7624" xfId="0" applyFont="1" applyFill="1" applyBorder="1"/>
    <xf numFmtId="0" fontId="7674" fillId="7678" borderId="7625" xfId="0" applyFont="1" applyFill="1" applyBorder="1"/>
    <xf numFmtId="14" fontId="7675" fillId="7679" borderId="7626" xfId="0" applyNumberFormat="1" applyFont="1" applyFill="1" applyBorder="1"/>
    <xf numFmtId="14" fontId="7676" fillId="7680" borderId="7627" xfId="0" applyNumberFormat="1" applyFont="1" applyFill="1" applyBorder="1"/>
    <xf numFmtId="0" fontId="7677" fillId="7681" borderId="7628" xfId="0" applyFont="1" applyFill="1" applyBorder="1"/>
    <xf numFmtId="14" fontId="7678" fillId="7682" borderId="7629" xfId="0" applyNumberFormat="1" applyFont="1" applyFill="1" applyBorder="1"/>
    <xf numFmtId="0" fontId="7679" fillId="7683" borderId="7630" xfId="0" applyFont="1" applyFill="1" applyBorder="1"/>
    <xf numFmtId="0" fontId="7680" fillId="7684" borderId="7631" xfId="0" applyFont="1" applyFill="1" applyBorder="1"/>
    <xf numFmtId="0" fontId="7681" fillId="7685" borderId="7632" xfId="0" applyFont="1" applyFill="1" applyBorder="1"/>
    <xf numFmtId="0" fontId="7682" fillId="7686" borderId="7633" xfId="0" applyFont="1" applyFill="1" applyBorder="1"/>
    <xf numFmtId="0" fontId="7683" fillId="7687" borderId="7634" xfId="0" applyFont="1" applyFill="1" applyBorder="1"/>
    <xf numFmtId="0" fontId="7684" fillId="7688" borderId="7635" xfId="0" applyFont="1" applyFill="1" applyBorder="1"/>
    <xf numFmtId="14" fontId="7685" fillId="7689" borderId="7636" xfId="0" applyNumberFormat="1" applyFont="1" applyFill="1" applyBorder="1"/>
    <xf numFmtId="14" fontId="7686" fillId="7690" borderId="7637" xfId="0" applyNumberFormat="1" applyFont="1" applyFill="1" applyBorder="1"/>
    <xf numFmtId="0" fontId="7687" fillId="7691" borderId="7638" xfId="0" applyFont="1" applyFill="1" applyBorder="1"/>
    <xf numFmtId="14" fontId="7688" fillId="7692" borderId="7639" xfId="0" applyNumberFormat="1" applyFont="1" applyFill="1" applyBorder="1"/>
    <xf numFmtId="0" fontId="7689" fillId="7693" borderId="7640" xfId="0" applyFont="1" applyFill="1" applyBorder="1"/>
    <xf numFmtId="0" fontId="7690" fillId="7694" borderId="7641" xfId="0" applyFont="1" applyFill="1" applyBorder="1"/>
    <xf numFmtId="0" fontId="7691" fillId="7695" borderId="7642" xfId="0" applyFont="1" applyFill="1" applyBorder="1"/>
    <xf numFmtId="0" fontId="7692" fillId="7696" borderId="7643" xfId="0" applyFont="1" applyFill="1" applyBorder="1"/>
    <xf numFmtId="0" fontId="7693" fillId="7697" borderId="7644" xfId="0" applyFont="1" applyFill="1" applyBorder="1"/>
    <xf numFmtId="0" fontId="7694" fillId="7698" borderId="7645" xfId="0" applyFont="1" applyFill="1" applyBorder="1"/>
    <xf numFmtId="14" fontId="7695" fillId="7699" borderId="7646" xfId="0" applyNumberFormat="1" applyFont="1" applyFill="1" applyBorder="1"/>
    <xf numFmtId="14" fontId="7696" fillId="7700" borderId="7647" xfId="0" applyNumberFormat="1" applyFont="1" applyFill="1" applyBorder="1"/>
    <xf numFmtId="0" fontId="7697" fillId="7701" borderId="7648" xfId="0" applyFont="1" applyFill="1" applyBorder="1"/>
    <xf numFmtId="14" fontId="7698" fillId="7702" borderId="7649" xfId="0" applyNumberFormat="1" applyFont="1" applyFill="1" applyBorder="1"/>
    <xf numFmtId="0" fontId="7699" fillId="7703" borderId="7650" xfId="0" applyFont="1" applyFill="1" applyBorder="1"/>
    <xf numFmtId="0" fontId="7700" fillId="7704" borderId="7651" xfId="0" applyFont="1" applyFill="1" applyBorder="1"/>
    <xf numFmtId="0" fontId="7701" fillId="7705" borderId="7652" xfId="0" applyFont="1" applyFill="1" applyBorder="1"/>
    <xf numFmtId="0" fontId="7702" fillId="7706" borderId="7653" xfId="0" applyFont="1" applyFill="1" applyBorder="1"/>
    <xf numFmtId="0" fontId="7703" fillId="7707" borderId="7654" xfId="0" applyFont="1" applyFill="1" applyBorder="1"/>
    <xf numFmtId="0" fontId="7704" fillId="7708" borderId="7655" xfId="0" applyFont="1" applyFill="1" applyBorder="1"/>
    <xf numFmtId="14" fontId="7705" fillId="7709" borderId="7656" xfId="0" applyNumberFormat="1" applyFont="1" applyFill="1" applyBorder="1"/>
    <xf numFmtId="14" fontId="7706" fillId="7710" borderId="7657" xfId="0" applyNumberFormat="1" applyFont="1" applyFill="1" applyBorder="1"/>
    <xf numFmtId="0" fontId="7707" fillId="7711" borderId="7658" xfId="0" applyFont="1" applyFill="1" applyBorder="1"/>
    <xf numFmtId="14" fontId="7708" fillId="7712" borderId="7659" xfId="0" applyNumberFormat="1" applyFont="1" applyFill="1" applyBorder="1"/>
    <xf numFmtId="0" fontId="7709" fillId="7713" borderId="7660" xfId="0" applyFont="1" applyFill="1" applyBorder="1"/>
    <xf numFmtId="0" fontId="7710" fillId="7714" borderId="7661" xfId="0" applyFont="1" applyFill="1" applyBorder="1"/>
    <xf numFmtId="0" fontId="7711" fillId="7715" borderId="7662" xfId="0" applyFont="1" applyFill="1" applyBorder="1"/>
    <xf numFmtId="0" fontId="7712" fillId="7716" borderId="7663" xfId="0" applyFont="1" applyFill="1" applyBorder="1"/>
    <xf numFmtId="0" fontId="7713" fillId="7717" borderId="7664" xfId="0" applyFont="1" applyFill="1" applyBorder="1"/>
    <xf numFmtId="0" fontId="7714" fillId="7718" borderId="7665" xfId="0" applyFont="1" applyFill="1" applyBorder="1"/>
    <xf numFmtId="14" fontId="7715" fillId="7719" borderId="7666" xfId="0" applyNumberFormat="1" applyFont="1" applyFill="1" applyBorder="1"/>
    <xf numFmtId="14" fontId="7716" fillId="7720" borderId="7667" xfId="0" applyNumberFormat="1" applyFont="1" applyFill="1" applyBorder="1"/>
    <xf numFmtId="0" fontId="7717" fillId="7721" borderId="7668" xfId="0" applyFont="1" applyFill="1" applyBorder="1"/>
    <xf numFmtId="14" fontId="7718" fillId="7722" borderId="7669" xfId="0" applyNumberFormat="1" applyFont="1" applyFill="1" applyBorder="1"/>
    <xf numFmtId="0" fontId="7719" fillId="7723" borderId="7670" xfId="0" applyFont="1" applyFill="1" applyBorder="1"/>
    <xf numFmtId="0" fontId="7720" fillId="7724" borderId="7671" xfId="0" applyFont="1" applyFill="1" applyBorder="1"/>
    <xf numFmtId="0" fontId="7721" fillId="7725" borderId="7672" xfId="0" applyFont="1" applyFill="1" applyBorder="1"/>
    <xf numFmtId="0" fontId="7722" fillId="7726" borderId="7673" xfId="0" applyFont="1" applyFill="1" applyBorder="1"/>
    <xf numFmtId="0" fontId="7723" fillId="7727" borderId="7674" xfId="0" applyFont="1" applyFill="1" applyBorder="1"/>
    <xf numFmtId="0" fontId="7724" fillId="7728" borderId="7675" xfId="0" applyFont="1" applyFill="1" applyBorder="1"/>
    <xf numFmtId="14" fontId="7725" fillId="7729" borderId="7676" xfId="0" applyNumberFormat="1" applyFont="1" applyFill="1" applyBorder="1"/>
    <xf numFmtId="14" fontId="7726" fillId="7730" borderId="7677" xfId="0" applyNumberFormat="1" applyFont="1" applyFill="1" applyBorder="1"/>
    <xf numFmtId="0" fontId="7727" fillId="7731" borderId="7678" xfId="0" applyFont="1" applyFill="1" applyBorder="1"/>
    <xf numFmtId="14" fontId="7728" fillId="7732" borderId="7679" xfId="0" applyNumberFormat="1" applyFont="1" applyFill="1" applyBorder="1"/>
    <xf numFmtId="0" fontId="7729" fillId="7733" borderId="7680" xfId="0" applyFont="1" applyFill="1" applyBorder="1"/>
    <xf numFmtId="0" fontId="7730" fillId="7734" borderId="7681" xfId="0" applyFont="1" applyFill="1" applyBorder="1"/>
    <xf numFmtId="0" fontId="7731" fillId="7735" borderId="7682" xfId="0" applyFont="1" applyFill="1" applyBorder="1"/>
    <xf numFmtId="0" fontId="7732" fillId="7736" borderId="7683" xfId="0" applyFont="1" applyFill="1" applyBorder="1"/>
    <xf numFmtId="0" fontId="7733" fillId="7737" borderId="7684" xfId="0" applyFont="1" applyFill="1" applyBorder="1"/>
    <xf numFmtId="0" fontId="7734" fillId="7738" borderId="7685" xfId="0" applyFont="1" applyFill="1" applyBorder="1"/>
    <xf numFmtId="14" fontId="7735" fillId="7739" borderId="7686" xfId="0" applyNumberFormat="1" applyFont="1" applyFill="1" applyBorder="1"/>
    <xf numFmtId="14" fontId="7736" fillId="7740" borderId="7687" xfId="0" applyNumberFormat="1" applyFont="1" applyFill="1" applyBorder="1"/>
    <xf numFmtId="0" fontId="7737" fillId="7741" borderId="7688" xfId="0" applyFont="1" applyFill="1" applyBorder="1"/>
    <xf numFmtId="14" fontId="7738" fillId="7742" borderId="7689" xfId="0" applyNumberFormat="1" applyFont="1" applyFill="1" applyBorder="1"/>
    <xf numFmtId="0" fontId="7739" fillId="7743" borderId="7690" xfId="0" applyFont="1" applyFill="1" applyBorder="1"/>
    <xf numFmtId="0" fontId="7740" fillId="7744" borderId="7691" xfId="0" applyFont="1" applyFill="1" applyBorder="1"/>
    <xf numFmtId="0" fontId="7741" fillId="7745" borderId="7692" xfId="0" applyFont="1" applyFill="1" applyBorder="1"/>
    <xf numFmtId="0" fontId="7742" fillId="7746" borderId="7693" xfId="0" applyFont="1" applyFill="1" applyBorder="1"/>
    <xf numFmtId="0" fontId="7743" fillId="7747" borderId="7694" xfId="0" applyFont="1" applyFill="1" applyBorder="1"/>
    <xf numFmtId="0" fontId="7744" fillId="7748" borderId="7695" xfId="0" applyFont="1" applyFill="1" applyBorder="1"/>
    <xf numFmtId="14" fontId="7745" fillId="7749" borderId="7696" xfId="0" applyNumberFormat="1" applyFont="1" applyFill="1" applyBorder="1"/>
    <xf numFmtId="14" fontId="7746" fillId="7750" borderId="7697" xfId="0" applyNumberFormat="1" applyFont="1" applyFill="1" applyBorder="1"/>
    <xf numFmtId="0" fontId="7747" fillId="7751" borderId="7698" xfId="0" applyFont="1" applyFill="1" applyBorder="1"/>
    <xf numFmtId="14" fontId="7748" fillId="7752" borderId="7699" xfId="0" applyNumberFormat="1" applyFont="1" applyFill="1" applyBorder="1"/>
    <xf numFmtId="0" fontId="7749" fillId="7753" borderId="7700" xfId="0" applyFont="1" applyFill="1" applyBorder="1"/>
    <xf numFmtId="0" fontId="7750" fillId="7754" borderId="7701" xfId="0" applyFont="1" applyFill="1" applyBorder="1"/>
    <xf numFmtId="0" fontId="7751" fillId="7755" borderId="7702" xfId="0" applyFont="1" applyFill="1" applyBorder="1"/>
    <xf numFmtId="0" fontId="7752" fillId="7756" borderId="7703" xfId="0" applyFont="1" applyFill="1" applyBorder="1"/>
    <xf numFmtId="0" fontId="7753" fillId="7757" borderId="7704" xfId="0" applyFont="1" applyFill="1" applyBorder="1"/>
    <xf numFmtId="0" fontId="7754" fillId="7758" borderId="7705" xfId="0" applyFont="1" applyFill="1" applyBorder="1"/>
    <xf numFmtId="14" fontId="7755" fillId="7759" borderId="7706" xfId="0" applyNumberFormat="1" applyFont="1" applyFill="1" applyBorder="1"/>
    <xf numFmtId="14" fontId="7756" fillId="7760" borderId="7707" xfId="0" applyNumberFormat="1" applyFont="1" applyFill="1" applyBorder="1"/>
    <xf numFmtId="0" fontId="7757" fillId="7761" borderId="7708" xfId="0" applyFont="1" applyFill="1" applyBorder="1"/>
    <xf numFmtId="14" fontId="7758" fillId="7762" borderId="7709" xfId="0" applyNumberFormat="1" applyFont="1" applyFill="1" applyBorder="1"/>
    <xf numFmtId="0" fontId="7759" fillId="7763" borderId="7710" xfId="0" applyFont="1" applyFill="1" applyBorder="1"/>
    <xf numFmtId="0" fontId="7760" fillId="7764" borderId="7711" xfId="0" applyFont="1" applyFill="1" applyBorder="1"/>
    <xf numFmtId="0" fontId="7761" fillId="7765" borderId="7712" xfId="0" applyFont="1" applyFill="1" applyBorder="1"/>
    <xf numFmtId="0" fontId="7762" fillId="7766" borderId="7713" xfId="0" applyFont="1" applyFill="1" applyBorder="1"/>
    <xf numFmtId="0" fontId="7763" fillId="7767" borderId="7714" xfId="0" applyFont="1" applyFill="1" applyBorder="1"/>
    <xf numFmtId="0" fontId="7764" fillId="7768" borderId="7715" xfId="0" applyFont="1" applyFill="1" applyBorder="1"/>
    <xf numFmtId="14" fontId="7765" fillId="7769" borderId="7716" xfId="0" applyNumberFormat="1" applyFont="1" applyFill="1" applyBorder="1"/>
    <xf numFmtId="14" fontId="7766" fillId="7770" borderId="7717" xfId="0" applyNumberFormat="1" applyFont="1" applyFill="1" applyBorder="1"/>
    <xf numFmtId="0" fontId="7767" fillId="7771" borderId="7718" xfId="0" applyFont="1" applyFill="1" applyBorder="1"/>
    <xf numFmtId="14" fontId="7768" fillId="7772" borderId="7719" xfId="0" applyNumberFormat="1" applyFont="1" applyFill="1" applyBorder="1"/>
    <xf numFmtId="0" fontId="7769" fillId="7773" borderId="7720" xfId="0" applyFont="1" applyFill="1" applyBorder="1"/>
    <xf numFmtId="0" fontId="7770" fillId="7774" borderId="7721" xfId="0" applyFont="1" applyFill="1" applyBorder="1"/>
    <xf numFmtId="0" fontId="7771" fillId="7775" borderId="7722" xfId="0" applyFont="1" applyFill="1" applyBorder="1"/>
    <xf numFmtId="0" fontId="7772" fillId="7776" borderId="7723" xfId="0" applyFont="1" applyFill="1" applyBorder="1"/>
    <xf numFmtId="0" fontId="7773" fillId="7777" borderId="7724" xfId="0" applyFont="1" applyFill="1" applyBorder="1"/>
    <xf numFmtId="0" fontId="7774" fillId="7778" borderId="7725" xfId="0" applyFont="1" applyFill="1" applyBorder="1"/>
    <xf numFmtId="14" fontId="7775" fillId="7779" borderId="7726" xfId="0" applyNumberFormat="1" applyFont="1" applyFill="1" applyBorder="1"/>
    <xf numFmtId="14" fontId="7776" fillId="7780" borderId="7727" xfId="0" applyNumberFormat="1" applyFont="1" applyFill="1" applyBorder="1"/>
    <xf numFmtId="0" fontId="7777" fillId="7781" borderId="7728" xfId="0" applyFont="1" applyFill="1" applyBorder="1"/>
    <xf numFmtId="14" fontId="7778" fillId="7782" borderId="7729" xfId="0" applyNumberFormat="1" applyFont="1" applyFill="1" applyBorder="1"/>
    <xf numFmtId="0" fontId="7779" fillId="7783" borderId="7730" xfId="0" applyFont="1" applyFill="1" applyBorder="1"/>
    <xf numFmtId="0" fontId="7780" fillId="7784" borderId="7731" xfId="0" applyFont="1" applyFill="1" applyBorder="1"/>
    <xf numFmtId="0" fontId="7781" fillId="7785" borderId="7732" xfId="0" applyFont="1" applyFill="1" applyBorder="1"/>
    <xf numFmtId="0" fontId="7782" fillId="7786" borderId="7733" xfId="0" applyFont="1" applyFill="1" applyBorder="1"/>
    <xf numFmtId="0" fontId="7783" fillId="7787" borderId="7734" xfId="0" applyFont="1" applyFill="1" applyBorder="1"/>
    <xf numFmtId="0" fontId="7784" fillId="7788" borderId="7735" xfId="0" applyFont="1" applyFill="1" applyBorder="1"/>
    <xf numFmtId="14" fontId="7785" fillId="7789" borderId="7736" xfId="0" applyNumberFormat="1" applyFont="1" applyFill="1" applyBorder="1"/>
    <xf numFmtId="14" fontId="7786" fillId="7790" borderId="7737" xfId="0" applyNumberFormat="1" applyFont="1" applyFill="1" applyBorder="1"/>
    <xf numFmtId="0" fontId="7787" fillId="7791" borderId="7738" xfId="0" applyFont="1" applyFill="1" applyBorder="1"/>
    <xf numFmtId="14" fontId="7788" fillId="7792" borderId="7739" xfId="0" applyNumberFormat="1" applyFont="1" applyFill="1" applyBorder="1"/>
    <xf numFmtId="0" fontId="7789" fillId="7793" borderId="7740" xfId="0" applyFont="1" applyFill="1" applyBorder="1"/>
    <xf numFmtId="0" fontId="7790" fillId="7794" borderId="7741" xfId="0" applyFont="1" applyFill="1" applyBorder="1"/>
    <xf numFmtId="0" fontId="7791" fillId="7795" borderId="7742" xfId="0" applyFont="1" applyFill="1" applyBorder="1"/>
    <xf numFmtId="0" fontId="7792" fillId="7796" borderId="7743" xfId="0" applyFont="1" applyFill="1" applyBorder="1"/>
    <xf numFmtId="0" fontId="7793" fillId="7797" borderId="7744" xfId="0" applyFont="1" applyFill="1" applyBorder="1"/>
    <xf numFmtId="0" fontId="7794" fillId="7798" borderId="7745" xfId="0" applyFont="1" applyFill="1" applyBorder="1"/>
    <xf numFmtId="14" fontId="7795" fillId="7799" borderId="7746" xfId="0" applyNumberFormat="1" applyFont="1" applyFill="1" applyBorder="1"/>
    <xf numFmtId="14" fontId="7796" fillId="7800" borderId="7747" xfId="0" applyNumberFormat="1" applyFont="1" applyFill="1" applyBorder="1"/>
    <xf numFmtId="0" fontId="7797" fillId="7801" borderId="7748" xfId="0" applyFont="1" applyFill="1" applyBorder="1"/>
    <xf numFmtId="14" fontId="7798" fillId="7802" borderId="7749" xfId="0" applyNumberFormat="1" applyFont="1" applyFill="1" applyBorder="1"/>
    <xf numFmtId="0" fontId="7799" fillId="7803" borderId="7750" xfId="0" applyFont="1" applyFill="1" applyBorder="1"/>
    <xf numFmtId="0" fontId="7800" fillId="7804" borderId="7751" xfId="0" applyFont="1" applyFill="1" applyBorder="1"/>
    <xf numFmtId="0" fontId="7801" fillId="7805" borderId="7752" xfId="0" applyFont="1" applyFill="1" applyBorder="1"/>
    <xf numFmtId="0" fontId="7802" fillId="7806" borderId="7753" xfId="0" applyFont="1" applyFill="1" applyBorder="1"/>
    <xf numFmtId="0" fontId="7803" fillId="7807" borderId="7754" xfId="0" applyFont="1" applyFill="1" applyBorder="1"/>
    <xf numFmtId="0" fontId="7804" fillId="7808" borderId="7755" xfId="0" applyFont="1" applyFill="1" applyBorder="1"/>
    <xf numFmtId="14" fontId="7805" fillId="7809" borderId="7756" xfId="0" applyNumberFormat="1" applyFont="1" applyFill="1" applyBorder="1"/>
    <xf numFmtId="14" fontId="7806" fillId="7810" borderId="7757" xfId="0" applyNumberFormat="1" applyFont="1" applyFill="1" applyBorder="1"/>
    <xf numFmtId="0" fontId="7807" fillId="7811" borderId="7758" xfId="0" applyFont="1" applyFill="1" applyBorder="1"/>
    <xf numFmtId="14" fontId="7808" fillId="7812" borderId="7759" xfId="0" applyNumberFormat="1" applyFont="1" applyFill="1" applyBorder="1"/>
    <xf numFmtId="0" fontId="7809" fillId="7813" borderId="7760" xfId="0" applyFont="1" applyFill="1" applyBorder="1"/>
    <xf numFmtId="0" fontId="7810" fillId="7814" borderId="7761" xfId="0" applyFont="1" applyFill="1" applyBorder="1"/>
    <xf numFmtId="0" fontId="7811" fillId="7815" borderId="7762" xfId="0" applyFont="1" applyFill="1" applyBorder="1"/>
    <xf numFmtId="0" fontId="7812" fillId="7816" borderId="7763" xfId="0" applyFont="1" applyFill="1" applyBorder="1"/>
    <xf numFmtId="0" fontId="7813" fillId="7817" borderId="7764" xfId="0" applyFont="1" applyFill="1" applyBorder="1"/>
    <xf numFmtId="0" fontId="7814" fillId="7818" borderId="7765" xfId="0" applyFont="1" applyFill="1" applyBorder="1"/>
    <xf numFmtId="14" fontId="7815" fillId="7819" borderId="7766" xfId="0" applyNumberFormat="1" applyFont="1" applyFill="1" applyBorder="1"/>
    <xf numFmtId="14" fontId="7816" fillId="7820" borderId="7767" xfId="0" applyNumberFormat="1" applyFont="1" applyFill="1" applyBorder="1"/>
    <xf numFmtId="0" fontId="7817" fillId="7821" borderId="7768" xfId="0" applyFont="1" applyFill="1" applyBorder="1"/>
    <xf numFmtId="14" fontId="7818" fillId="7822" borderId="7769" xfId="0" applyNumberFormat="1" applyFont="1" applyFill="1" applyBorder="1"/>
    <xf numFmtId="0" fontId="7819" fillId="7823" borderId="7770" xfId="0" applyFont="1" applyFill="1" applyBorder="1"/>
    <xf numFmtId="0" fontId="7820" fillId="7824" borderId="7771" xfId="0" applyFont="1" applyFill="1" applyBorder="1"/>
    <xf numFmtId="0" fontId="7821" fillId="7825" borderId="7772" xfId="0" applyFont="1" applyFill="1" applyBorder="1"/>
    <xf numFmtId="0" fontId="7822" fillId="7826" borderId="7773" xfId="0" applyFont="1" applyFill="1" applyBorder="1"/>
    <xf numFmtId="0" fontId="7823" fillId="7827" borderId="7774" xfId="0" applyFont="1" applyFill="1" applyBorder="1"/>
    <xf numFmtId="0" fontId="7824" fillId="7828" borderId="7775" xfId="0" applyFont="1" applyFill="1" applyBorder="1"/>
    <xf numFmtId="14" fontId="7825" fillId="7829" borderId="7776" xfId="0" applyNumberFormat="1" applyFont="1" applyFill="1" applyBorder="1"/>
    <xf numFmtId="14" fontId="7826" fillId="7830" borderId="7777" xfId="0" applyNumberFormat="1" applyFont="1" applyFill="1" applyBorder="1"/>
    <xf numFmtId="0" fontId="7827" fillId="7831" borderId="7778" xfId="0" applyFont="1" applyFill="1" applyBorder="1"/>
    <xf numFmtId="14" fontId="7828" fillId="7832" borderId="7779" xfId="0" applyNumberFormat="1" applyFont="1" applyFill="1" applyBorder="1"/>
    <xf numFmtId="0" fontId="7829" fillId="7833" borderId="7780" xfId="0" applyFont="1" applyFill="1" applyBorder="1"/>
    <xf numFmtId="0" fontId="7830" fillId="7834" borderId="7781" xfId="0" applyFont="1" applyFill="1" applyBorder="1"/>
    <xf numFmtId="0" fontId="7831" fillId="7835" borderId="7782" xfId="0" applyFont="1" applyFill="1" applyBorder="1"/>
    <xf numFmtId="0" fontId="7832" fillId="7836" borderId="7783" xfId="0" applyFont="1" applyFill="1" applyBorder="1"/>
    <xf numFmtId="0" fontId="7833" fillId="7837" borderId="7784" xfId="0" applyFont="1" applyFill="1" applyBorder="1"/>
    <xf numFmtId="0" fontId="7834" fillId="7838" borderId="7785" xfId="0" applyFont="1" applyFill="1" applyBorder="1"/>
    <xf numFmtId="14" fontId="7835" fillId="7839" borderId="7786" xfId="0" applyNumberFormat="1" applyFont="1" applyFill="1" applyBorder="1"/>
    <xf numFmtId="14" fontId="7836" fillId="7840" borderId="7787" xfId="0" applyNumberFormat="1" applyFont="1" applyFill="1" applyBorder="1"/>
    <xf numFmtId="0" fontId="7837" fillId="7841" borderId="7788" xfId="0" applyFont="1" applyFill="1" applyBorder="1"/>
    <xf numFmtId="14" fontId="7838" fillId="7842" borderId="7789" xfId="0" applyNumberFormat="1" applyFont="1" applyFill="1" applyBorder="1"/>
    <xf numFmtId="0" fontId="7839" fillId="7843" borderId="7790" xfId="0" applyFont="1" applyFill="1" applyBorder="1"/>
    <xf numFmtId="0" fontId="7840" fillId="7844" borderId="7791" xfId="0" applyFont="1" applyFill="1" applyBorder="1"/>
    <xf numFmtId="0" fontId="7841" fillId="7845" borderId="7792" xfId="0" applyFont="1" applyFill="1" applyBorder="1"/>
    <xf numFmtId="0" fontId="7842" fillId="7846" borderId="7793" xfId="0" applyFont="1" applyFill="1" applyBorder="1"/>
    <xf numFmtId="0" fontId="7843" fillId="7847" borderId="7794" xfId="0" applyFont="1" applyFill="1" applyBorder="1"/>
    <xf numFmtId="0" fontId="7844" fillId="7848" borderId="7795" xfId="0" applyFont="1" applyFill="1" applyBorder="1"/>
    <xf numFmtId="14" fontId="7845" fillId="7849" borderId="7796" xfId="0" applyNumberFormat="1" applyFont="1" applyFill="1" applyBorder="1"/>
    <xf numFmtId="14" fontId="7846" fillId="7850" borderId="7797" xfId="0" applyNumberFormat="1" applyFont="1" applyFill="1" applyBorder="1"/>
    <xf numFmtId="0" fontId="7847" fillId="7851" borderId="7798" xfId="0" applyFont="1" applyFill="1" applyBorder="1"/>
    <xf numFmtId="14" fontId="7848" fillId="7852" borderId="7799" xfId="0" applyNumberFormat="1" applyFont="1" applyFill="1" applyBorder="1"/>
    <xf numFmtId="0" fontId="7849" fillId="7853" borderId="7800" xfId="0" applyFont="1" applyFill="1" applyBorder="1"/>
    <xf numFmtId="0" fontId="7850" fillId="7854" borderId="7801" xfId="0" applyFont="1" applyFill="1" applyBorder="1"/>
    <xf numFmtId="0" fontId="7851" fillId="7855" borderId="7802" xfId="0" applyFont="1" applyFill="1" applyBorder="1"/>
    <xf numFmtId="0" fontId="7852" fillId="7856" borderId="7803" xfId="0" applyFont="1" applyFill="1" applyBorder="1"/>
    <xf numFmtId="0" fontId="7853" fillId="7857" borderId="7804" xfId="0" applyFont="1" applyFill="1" applyBorder="1"/>
    <xf numFmtId="0" fontId="7854" fillId="7858" borderId="7805" xfId="0" applyFont="1" applyFill="1" applyBorder="1"/>
    <xf numFmtId="14" fontId="7855" fillId="7859" borderId="7806" xfId="0" applyNumberFormat="1" applyFont="1" applyFill="1" applyBorder="1"/>
    <xf numFmtId="14" fontId="7856" fillId="7860" borderId="7807" xfId="0" applyNumberFormat="1" applyFont="1" applyFill="1" applyBorder="1"/>
    <xf numFmtId="0" fontId="7857" fillId="7861" borderId="7808" xfId="0" applyFont="1" applyFill="1" applyBorder="1"/>
    <xf numFmtId="14" fontId="7858" fillId="7862" borderId="7809" xfId="0" applyNumberFormat="1" applyFont="1" applyFill="1" applyBorder="1"/>
    <xf numFmtId="0" fontId="7859" fillId="7863" borderId="7810" xfId="0" applyFont="1" applyFill="1" applyBorder="1"/>
    <xf numFmtId="0" fontId="7860" fillId="7864" borderId="7811" xfId="0" applyFont="1" applyFill="1" applyBorder="1"/>
    <xf numFmtId="0" fontId="7861" fillId="7865" borderId="7812" xfId="0" applyFont="1" applyFill="1" applyBorder="1"/>
    <xf numFmtId="0" fontId="7862" fillId="7866" borderId="7813" xfId="0" applyFont="1" applyFill="1" applyBorder="1"/>
    <xf numFmtId="0" fontId="7863" fillId="7867" borderId="7814" xfId="0" applyFont="1" applyFill="1" applyBorder="1"/>
    <xf numFmtId="0" fontId="7864" fillId="7868" borderId="7815" xfId="0" applyFont="1" applyFill="1" applyBorder="1"/>
    <xf numFmtId="14" fontId="7865" fillId="7869" borderId="7816" xfId="0" applyNumberFormat="1" applyFont="1" applyFill="1" applyBorder="1"/>
    <xf numFmtId="14" fontId="7866" fillId="7870" borderId="7817" xfId="0" applyNumberFormat="1" applyFont="1" applyFill="1" applyBorder="1"/>
    <xf numFmtId="0" fontId="7867" fillId="7871" borderId="7818" xfId="0" applyFont="1" applyFill="1" applyBorder="1"/>
    <xf numFmtId="14" fontId="7868" fillId="7872" borderId="7819" xfId="0" applyNumberFormat="1" applyFont="1" applyFill="1" applyBorder="1"/>
    <xf numFmtId="0" fontId="7869" fillId="7873" borderId="7820" xfId="0" applyFont="1" applyFill="1" applyBorder="1"/>
    <xf numFmtId="0" fontId="7870" fillId="7874" borderId="7821" xfId="0" applyFont="1" applyFill="1" applyBorder="1"/>
    <xf numFmtId="0" fontId="7871" fillId="7875" borderId="7822" xfId="0" applyFont="1" applyFill="1" applyBorder="1"/>
    <xf numFmtId="0" fontId="7872" fillId="7876" borderId="7823" xfId="0" applyFont="1" applyFill="1" applyBorder="1"/>
    <xf numFmtId="0" fontId="7873" fillId="7877" borderId="7824" xfId="0" applyFont="1" applyFill="1" applyBorder="1"/>
    <xf numFmtId="0" fontId="7874" fillId="7878" borderId="7825" xfId="0" applyFont="1" applyFill="1" applyBorder="1"/>
    <xf numFmtId="14" fontId="7875" fillId="7879" borderId="7826" xfId="0" applyNumberFormat="1" applyFont="1" applyFill="1" applyBorder="1"/>
    <xf numFmtId="14" fontId="7876" fillId="7880" borderId="7827" xfId="0" applyNumberFormat="1" applyFont="1" applyFill="1" applyBorder="1"/>
    <xf numFmtId="0" fontId="7877" fillId="7881" borderId="7828" xfId="0" applyFont="1" applyFill="1" applyBorder="1"/>
    <xf numFmtId="14" fontId="7878" fillId="7882" borderId="7829" xfId="0" applyNumberFormat="1" applyFont="1" applyFill="1" applyBorder="1"/>
    <xf numFmtId="0" fontId="7879" fillId="7883" borderId="7830" xfId="0" applyFont="1" applyFill="1" applyBorder="1"/>
    <xf numFmtId="0" fontId="7880" fillId="7884" borderId="7831" xfId="0" applyFont="1" applyFill="1" applyBorder="1"/>
    <xf numFmtId="0" fontId="7881" fillId="7885" borderId="7832" xfId="0" applyFont="1" applyFill="1" applyBorder="1"/>
    <xf numFmtId="0" fontId="7882" fillId="7886" borderId="7833" xfId="0" applyFont="1" applyFill="1" applyBorder="1"/>
    <xf numFmtId="0" fontId="7883" fillId="7887" borderId="7834" xfId="0" applyFont="1" applyFill="1" applyBorder="1"/>
    <xf numFmtId="0" fontId="7884" fillId="7888" borderId="7835" xfId="0" applyFont="1" applyFill="1" applyBorder="1"/>
    <xf numFmtId="14" fontId="7885" fillId="7889" borderId="7836" xfId="0" applyNumberFormat="1" applyFont="1" applyFill="1" applyBorder="1"/>
    <xf numFmtId="14" fontId="7886" fillId="7890" borderId="7837" xfId="0" applyNumberFormat="1" applyFont="1" applyFill="1" applyBorder="1"/>
    <xf numFmtId="0" fontId="7887" fillId="7891" borderId="7838" xfId="0" applyFont="1" applyFill="1" applyBorder="1"/>
    <xf numFmtId="14" fontId="7888" fillId="7892" borderId="7839" xfId="0" applyNumberFormat="1" applyFont="1" applyFill="1" applyBorder="1"/>
    <xf numFmtId="0" fontId="7889" fillId="7893" borderId="7840" xfId="0" applyFont="1" applyFill="1" applyBorder="1"/>
    <xf numFmtId="0" fontId="7890" fillId="7894" borderId="7841" xfId="0" applyFont="1" applyFill="1" applyBorder="1"/>
    <xf numFmtId="0" fontId="7891" fillId="7895" borderId="7842" xfId="0" applyFont="1" applyFill="1" applyBorder="1"/>
    <xf numFmtId="0" fontId="7892" fillId="7896" borderId="7843" xfId="0" applyFont="1" applyFill="1" applyBorder="1"/>
    <xf numFmtId="0" fontId="7893" fillId="7897" borderId="7844" xfId="0" applyFont="1" applyFill="1" applyBorder="1"/>
    <xf numFmtId="0" fontId="7894" fillId="7898" borderId="7845" xfId="0" applyFont="1" applyFill="1" applyBorder="1"/>
    <xf numFmtId="14" fontId="7895" fillId="7899" borderId="7846" xfId="0" applyNumberFormat="1" applyFont="1" applyFill="1" applyBorder="1"/>
    <xf numFmtId="14" fontId="7896" fillId="7900" borderId="7847" xfId="0" applyNumberFormat="1" applyFont="1" applyFill="1" applyBorder="1"/>
    <xf numFmtId="0" fontId="7897" fillId="7901" borderId="7848" xfId="0" applyFont="1" applyFill="1" applyBorder="1"/>
    <xf numFmtId="14" fontId="7898" fillId="7902" borderId="7849" xfId="0" applyNumberFormat="1" applyFont="1" applyFill="1" applyBorder="1"/>
    <xf numFmtId="0" fontId="7899" fillId="7903" borderId="7850" xfId="0" applyFont="1" applyFill="1" applyBorder="1"/>
    <xf numFmtId="0" fontId="7900" fillId="7904" borderId="7851" xfId="0" applyFont="1" applyFill="1" applyBorder="1"/>
    <xf numFmtId="0" fontId="7901" fillId="7905" borderId="7852" xfId="0" applyFont="1" applyFill="1" applyBorder="1"/>
    <xf numFmtId="0" fontId="7902" fillId="7906" borderId="7853" xfId="0" applyFont="1" applyFill="1" applyBorder="1"/>
    <xf numFmtId="0" fontId="7903" fillId="7907" borderId="7854" xfId="0" applyFont="1" applyFill="1" applyBorder="1"/>
    <xf numFmtId="0" fontId="7904" fillId="7908" borderId="7855" xfId="0" applyFont="1" applyFill="1" applyBorder="1"/>
    <xf numFmtId="14" fontId="7905" fillId="7909" borderId="7856" xfId="0" applyNumberFormat="1" applyFont="1" applyFill="1" applyBorder="1"/>
    <xf numFmtId="14" fontId="7906" fillId="7910" borderId="7857" xfId="0" applyNumberFormat="1" applyFont="1" applyFill="1" applyBorder="1"/>
    <xf numFmtId="0" fontId="7907" fillId="7911" borderId="7858" xfId="0" applyFont="1" applyFill="1" applyBorder="1"/>
    <xf numFmtId="14" fontId="7908" fillId="7912" borderId="7859" xfId="0" applyNumberFormat="1" applyFont="1" applyFill="1" applyBorder="1"/>
    <xf numFmtId="0" fontId="7909" fillId="7913" borderId="7860" xfId="0" applyFont="1" applyFill="1" applyBorder="1"/>
    <xf numFmtId="0" fontId="7910" fillId="7914" borderId="7861" xfId="0" applyFont="1" applyFill="1" applyBorder="1"/>
    <xf numFmtId="0" fontId="7911" fillId="7915" borderId="7862" xfId="0" applyFont="1" applyFill="1" applyBorder="1"/>
    <xf numFmtId="0" fontId="7912" fillId="7916" borderId="7863" xfId="0" applyFont="1" applyFill="1" applyBorder="1"/>
    <xf numFmtId="0" fontId="7913" fillId="7917" borderId="7864" xfId="0" applyFont="1" applyFill="1" applyBorder="1"/>
    <xf numFmtId="0" fontId="7914" fillId="7918" borderId="7865" xfId="0" applyFont="1" applyFill="1" applyBorder="1"/>
    <xf numFmtId="14" fontId="7915" fillId="7919" borderId="7866" xfId="0" applyNumberFormat="1" applyFont="1" applyFill="1" applyBorder="1"/>
    <xf numFmtId="14" fontId="7916" fillId="7920" borderId="7867" xfId="0" applyNumberFormat="1" applyFont="1" applyFill="1" applyBorder="1"/>
    <xf numFmtId="0" fontId="7917" fillId="7921" borderId="7868" xfId="0" applyFont="1" applyFill="1" applyBorder="1"/>
    <xf numFmtId="14" fontId="7918" fillId="7922" borderId="7869" xfId="0" applyNumberFormat="1" applyFont="1" applyFill="1" applyBorder="1"/>
    <xf numFmtId="0" fontId="7919" fillId="7923" borderId="7870" xfId="0" applyFont="1" applyFill="1" applyBorder="1"/>
    <xf numFmtId="0" fontId="7920" fillId="7924" borderId="7871" xfId="0" applyFont="1" applyFill="1" applyBorder="1"/>
    <xf numFmtId="0" fontId="7921" fillId="7925" borderId="7872" xfId="0" applyFont="1" applyFill="1" applyBorder="1"/>
    <xf numFmtId="0" fontId="7922" fillId="7926" borderId="7873" xfId="0" applyFont="1" applyFill="1" applyBorder="1"/>
    <xf numFmtId="0" fontId="7923" fillId="7927" borderId="7874" xfId="0" applyFont="1" applyFill="1" applyBorder="1"/>
    <xf numFmtId="0" fontId="7924" fillId="7928" borderId="7875" xfId="0" applyFont="1" applyFill="1" applyBorder="1"/>
    <xf numFmtId="14" fontId="7925" fillId="7929" borderId="7876" xfId="0" applyNumberFormat="1" applyFont="1" applyFill="1" applyBorder="1"/>
    <xf numFmtId="14" fontId="7926" fillId="7930" borderId="7877" xfId="0" applyNumberFormat="1" applyFont="1" applyFill="1" applyBorder="1"/>
    <xf numFmtId="0" fontId="7927" fillId="7931" borderId="7878" xfId="0" applyFont="1" applyFill="1" applyBorder="1"/>
    <xf numFmtId="14" fontId="7928" fillId="7932" borderId="7879" xfId="0" applyNumberFormat="1" applyFont="1" applyFill="1" applyBorder="1"/>
    <xf numFmtId="0" fontId="7929" fillId="7933" borderId="7880" xfId="0" applyFont="1" applyFill="1" applyBorder="1"/>
    <xf numFmtId="0" fontId="7930" fillId="7934" borderId="7881" xfId="0" applyFont="1" applyFill="1" applyBorder="1"/>
    <xf numFmtId="0" fontId="7931" fillId="7935" borderId="7882" xfId="0" applyFont="1" applyFill="1" applyBorder="1"/>
    <xf numFmtId="0" fontId="7932" fillId="7936" borderId="7883" xfId="0" applyFont="1" applyFill="1" applyBorder="1"/>
    <xf numFmtId="0" fontId="7933" fillId="7937" borderId="7884" xfId="0" applyFont="1" applyFill="1" applyBorder="1"/>
    <xf numFmtId="0" fontId="7934" fillId="7938" borderId="7885" xfId="0" applyFont="1" applyFill="1" applyBorder="1"/>
    <xf numFmtId="14" fontId="7935" fillId="7939" borderId="7886" xfId="0" applyNumberFormat="1" applyFont="1" applyFill="1" applyBorder="1"/>
    <xf numFmtId="14" fontId="7936" fillId="7940" borderId="7887" xfId="0" applyNumberFormat="1" applyFont="1" applyFill="1" applyBorder="1"/>
    <xf numFmtId="0" fontId="7937" fillId="7941" borderId="7888" xfId="0" applyFont="1" applyFill="1" applyBorder="1"/>
    <xf numFmtId="14" fontId="7938" fillId="7942" borderId="7889" xfId="0" applyNumberFormat="1" applyFont="1" applyFill="1" applyBorder="1"/>
    <xf numFmtId="0" fontId="7939" fillId="7943" borderId="7890" xfId="0" applyFont="1" applyFill="1" applyBorder="1"/>
    <xf numFmtId="0" fontId="7940" fillId="7944" borderId="7891" xfId="0" applyFont="1" applyFill="1" applyBorder="1"/>
    <xf numFmtId="0" fontId="7941" fillId="7945" borderId="7892" xfId="0" applyFont="1" applyFill="1" applyBorder="1"/>
    <xf numFmtId="0" fontId="7942" fillId="7946" borderId="7893" xfId="0" applyFont="1" applyFill="1" applyBorder="1"/>
    <xf numFmtId="0" fontId="7943" fillId="7947" borderId="7894" xfId="0" applyFont="1" applyFill="1" applyBorder="1"/>
    <xf numFmtId="0" fontId="7944" fillId="7948" borderId="7895" xfId="0" applyFont="1" applyFill="1" applyBorder="1"/>
    <xf numFmtId="14" fontId="7945" fillId="7949" borderId="7896" xfId="0" applyNumberFormat="1" applyFont="1" applyFill="1" applyBorder="1"/>
    <xf numFmtId="14" fontId="7946" fillId="7950" borderId="7897" xfId="0" applyNumberFormat="1" applyFont="1" applyFill="1" applyBorder="1"/>
    <xf numFmtId="0" fontId="7947" fillId="7951" borderId="7898" xfId="0" applyFont="1" applyFill="1" applyBorder="1"/>
    <xf numFmtId="14" fontId="7948" fillId="7952" borderId="7899" xfId="0" applyNumberFormat="1" applyFont="1" applyFill="1" applyBorder="1"/>
    <xf numFmtId="0" fontId="7949" fillId="7953" borderId="7900" xfId="0" applyFont="1" applyFill="1" applyBorder="1"/>
    <xf numFmtId="0" fontId="7950" fillId="7954" borderId="7901" xfId="0" applyFont="1" applyFill="1" applyBorder="1"/>
    <xf numFmtId="0" fontId="7951" fillId="7955" borderId="7902" xfId="0" applyFont="1" applyFill="1" applyBorder="1"/>
    <xf numFmtId="0" fontId="7952" fillId="7956" borderId="7903" xfId="0" applyFont="1" applyFill="1" applyBorder="1"/>
    <xf numFmtId="0" fontId="7953" fillId="7957" borderId="7904" xfId="0" applyFont="1" applyFill="1" applyBorder="1"/>
    <xf numFmtId="0" fontId="7954" fillId="7958" borderId="7905" xfId="0" applyFont="1" applyFill="1" applyBorder="1"/>
    <xf numFmtId="14" fontId="7955" fillId="7959" borderId="7906" xfId="0" applyNumberFormat="1" applyFont="1" applyFill="1" applyBorder="1"/>
    <xf numFmtId="14" fontId="7956" fillId="7960" borderId="7907" xfId="0" applyNumberFormat="1" applyFont="1" applyFill="1" applyBorder="1"/>
    <xf numFmtId="0" fontId="7957" fillId="7961" borderId="7908" xfId="0" applyFont="1" applyFill="1" applyBorder="1"/>
    <xf numFmtId="14" fontId="7958" fillId="7962" borderId="7909" xfId="0" applyNumberFormat="1" applyFont="1" applyFill="1" applyBorder="1"/>
    <xf numFmtId="0" fontId="7959" fillId="7963" borderId="7910" xfId="0" applyFont="1" applyFill="1" applyBorder="1"/>
    <xf numFmtId="0" fontId="7960" fillId="7964" borderId="7911" xfId="0" applyFont="1" applyFill="1" applyBorder="1"/>
    <xf numFmtId="0" fontId="7961" fillId="7965" borderId="7912" xfId="0" applyFont="1" applyFill="1" applyBorder="1"/>
    <xf numFmtId="0" fontId="7962" fillId="7966" borderId="7913" xfId="0" applyFont="1" applyFill="1" applyBorder="1"/>
    <xf numFmtId="0" fontId="7963" fillId="7967" borderId="7914" xfId="0" applyFont="1" applyFill="1" applyBorder="1"/>
    <xf numFmtId="0" fontId="7964" fillId="7968" borderId="7915" xfId="0" applyFont="1" applyFill="1" applyBorder="1"/>
    <xf numFmtId="14" fontId="7965" fillId="7969" borderId="7916" xfId="0" applyNumberFormat="1" applyFont="1" applyFill="1" applyBorder="1"/>
    <xf numFmtId="14" fontId="7966" fillId="7970" borderId="7917" xfId="0" applyNumberFormat="1" applyFont="1" applyFill="1" applyBorder="1"/>
    <xf numFmtId="0" fontId="7967" fillId="7971" borderId="7918" xfId="0" applyFont="1" applyFill="1" applyBorder="1"/>
    <xf numFmtId="14" fontId="7968" fillId="7972" borderId="7919" xfId="0" applyNumberFormat="1" applyFont="1" applyFill="1" applyBorder="1"/>
    <xf numFmtId="0" fontId="7969" fillId="7973" borderId="7920" xfId="0" applyFont="1" applyFill="1" applyBorder="1"/>
    <xf numFmtId="0" fontId="7970" fillId="7974" borderId="7921" xfId="0" applyFont="1" applyFill="1" applyBorder="1"/>
    <xf numFmtId="0" fontId="7971" fillId="7975" borderId="7922" xfId="0" applyFont="1" applyFill="1" applyBorder="1"/>
    <xf numFmtId="0" fontId="7972" fillId="7976" borderId="7923" xfId="0" applyFont="1" applyFill="1" applyBorder="1"/>
    <xf numFmtId="0" fontId="7973" fillId="7977" borderId="7924" xfId="0" applyFont="1" applyFill="1" applyBorder="1"/>
    <xf numFmtId="0" fontId="7974" fillId="7978" borderId="7925" xfId="0" applyFont="1" applyFill="1" applyBorder="1"/>
    <xf numFmtId="14" fontId="7975" fillId="7979" borderId="7926" xfId="0" applyNumberFormat="1" applyFont="1" applyFill="1" applyBorder="1"/>
    <xf numFmtId="14" fontId="7976" fillId="7980" borderId="7927" xfId="0" applyNumberFormat="1" applyFont="1" applyFill="1" applyBorder="1"/>
    <xf numFmtId="0" fontId="7977" fillId="7981" borderId="7928" xfId="0" applyFont="1" applyFill="1" applyBorder="1"/>
    <xf numFmtId="14" fontId="7978" fillId="7982" borderId="7929" xfId="0" applyNumberFormat="1" applyFont="1" applyFill="1" applyBorder="1"/>
    <xf numFmtId="0" fontId="7979" fillId="7983" borderId="7930" xfId="0" applyFont="1" applyFill="1" applyBorder="1"/>
    <xf numFmtId="0" fontId="7980" fillId="7984" borderId="7931" xfId="0" applyFont="1" applyFill="1" applyBorder="1"/>
    <xf numFmtId="0" fontId="7981" fillId="7985" borderId="7932" xfId="0" applyFont="1" applyFill="1" applyBorder="1"/>
    <xf numFmtId="0" fontId="7982" fillId="7986" borderId="7933" xfId="0" applyFont="1" applyFill="1" applyBorder="1"/>
    <xf numFmtId="0" fontId="7983" fillId="7987" borderId="7934" xfId="0" applyFont="1" applyFill="1" applyBorder="1"/>
    <xf numFmtId="0" fontId="7984" fillId="7988" borderId="7935" xfId="0" applyFont="1" applyFill="1" applyBorder="1"/>
    <xf numFmtId="14" fontId="7985" fillId="7989" borderId="7936" xfId="0" applyNumberFormat="1" applyFont="1" applyFill="1" applyBorder="1"/>
    <xf numFmtId="14" fontId="7986" fillId="7990" borderId="7937" xfId="0" applyNumberFormat="1" applyFont="1" applyFill="1" applyBorder="1"/>
    <xf numFmtId="0" fontId="7987" fillId="7991" borderId="7938" xfId="0" applyFont="1" applyFill="1" applyBorder="1"/>
    <xf numFmtId="14" fontId="7988" fillId="7992" borderId="7939" xfId="0" applyNumberFormat="1" applyFont="1" applyFill="1" applyBorder="1"/>
    <xf numFmtId="0" fontId="7989" fillId="7993" borderId="7940" xfId="0" applyFont="1" applyFill="1" applyBorder="1"/>
    <xf numFmtId="0" fontId="7990" fillId="7994" borderId="7941" xfId="0" applyFont="1" applyFill="1" applyBorder="1"/>
    <xf numFmtId="0" fontId="7991" fillId="7995" borderId="7942" xfId="0" applyFont="1" applyFill="1" applyBorder="1"/>
    <xf numFmtId="0" fontId="7992" fillId="7996" borderId="7943" xfId="0" applyFont="1" applyFill="1" applyBorder="1"/>
    <xf numFmtId="0" fontId="7993" fillId="7997" borderId="7944" xfId="0" applyFont="1" applyFill="1" applyBorder="1"/>
    <xf numFmtId="0" fontId="7994" fillId="7998" borderId="7945" xfId="0" applyFont="1" applyFill="1" applyBorder="1"/>
    <xf numFmtId="14" fontId="7995" fillId="7999" borderId="7946" xfId="0" applyNumberFormat="1" applyFont="1" applyFill="1" applyBorder="1"/>
    <xf numFmtId="14" fontId="7996" fillId="8000" borderId="7947" xfId="0" applyNumberFormat="1" applyFont="1" applyFill="1" applyBorder="1"/>
    <xf numFmtId="0" fontId="7997" fillId="8001" borderId="7948" xfId="0" applyFont="1" applyFill="1" applyBorder="1"/>
    <xf numFmtId="14" fontId="7998" fillId="8002" borderId="7949" xfId="0" applyNumberFormat="1" applyFont="1" applyFill="1" applyBorder="1"/>
    <xf numFmtId="0" fontId="7999" fillId="8003" borderId="7950" xfId="0" applyFont="1" applyFill="1" applyBorder="1"/>
    <xf numFmtId="0" fontId="8000" fillId="8004" borderId="7951" xfId="0" applyFont="1" applyFill="1" applyBorder="1"/>
    <xf numFmtId="0" fontId="8001" fillId="8005" borderId="7952" xfId="0" applyFont="1" applyFill="1" applyBorder="1"/>
    <xf numFmtId="0" fontId="8002" fillId="8006" borderId="7953" xfId="0" applyFont="1" applyFill="1" applyBorder="1"/>
    <xf numFmtId="0" fontId="8003" fillId="8007" borderId="7954" xfId="0" applyFont="1" applyFill="1" applyBorder="1"/>
    <xf numFmtId="0" fontId="8004" fillId="8008" borderId="7955" xfId="0" applyFont="1" applyFill="1" applyBorder="1"/>
    <xf numFmtId="14" fontId="8005" fillId="8009" borderId="7956" xfId="0" applyNumberFormat="1" applyFont="1" applyFill="1" applyBorder="1"/>
    <xf numFmtId="14" fontId="8006" fillId="8010" borderId="7957" xfId="0" applyNumberFormat="1" applyFont="1" applyFill="1" applyBorder="1"/>
    <xf numFmtId="0" fontId="8007" fillId="8011" borderId="7958" xfId="0" applyFont="1" applyFill="1" applyBorder="1"/>
    <xf numFmtId="14" fontId="8008" fillId="8012" borderId="7959" xfId="0" applyNumberFormat="1" applyFont="1" applyFill="1" applyBorder="1"/>
    <xf numFmtId="0" fontId="8009" fillId="8013" borderId="7960" xfId="0" applyFont="1" applyFill="1" applyBorder="1"/>
    <xf numFmtId="0" fontId="8010" fillId="8014" borderId="7961" xfId="0" applyFont="1" applyFill="1" applyBorder="1"/>
    <xf numFmtId="0" fontId="8011" fillId="8015" borderId="7962" xfId="0" applyFont="1" applyFill="1" applyBorder="1"/>
    <xf numFmtId="0" fontId="8012" fillId="8016" borderId="7963" xfId="0" applyFont="1" applyFill="1" applyBorder="1"/>
    <xf numFmtId="0" fontId="8013" fillId="8017" borderId="7964" xfId="0" applyFont="1" applyFill="1" applyBorder="1"/>
    <xf numFmtId="0" fontId="8014" fillId="8018" borderId="7965" xfId="0" applyFont="1" applyFill="1" applyBorder="1"/>
    <xf numFmtId="14" fontId="8015" fillId="8019" borderId="7966" xfId="0" applyNumberFormat="1" applyFont="1" applyFill="1" applyBorder="1"/>
    <xf numFmtId="14" fontId="8016" fillId="8020" borderId="7967" xfId="0" applyNumberFormat="1" applyFont="1" applyFill="1" applyBorder="1"/>
    <xf numFmtId="0" fontId="8017" fillId="8021" borderId="7968" xfId="0" applyFont="1" applyFill="1" applyBorder="1"/>
    <xf numFmtId="14" fontId="8018" fillId="8022" borderId="7969" xfId="0" applyNumberFormat="1" applyFont="1" applyFill="1" applyBorder="1"/>
    <xf numFmtId="0" fontId="8019" fillId="8023" borderId="7970" xfId="0" applyFont="1" applyFill="1" applyBorder="1"/>
    <xf numFmtId="0" fontId="8020" fillId="8024" borderId="7971" xfId="0" applyFont="1" applyFill="1" applyBorder="1"/>
    <xf numFmtId="0" fontId="8021" fillId="8025" borderId="7972" xfId="0" applyFont="1" applyFill="1" applyBorder="1"/>
    <xf numFmtId="0" fontId="8022" fillId="8026" borderId="7973" xfId="0" applyFont="1" applyFill="1" applyBorder="1"/>
    <xf numFmtId="0" fontId="8023" fillId="8027" borderId="7974" xfId="0" applyFont="1" applyFill="1" applyBorder="1"/>
    <xf numFmtId="0" fontId="8024" fillId="8028" borderId="7975" xfId="0" applyFont="1" applyFill="1" applyBorder="1"/>
    <xf numFmtId="14" fontId="8025" fillId="8029" borderId="7976" xfId="0" applyNumberFormat="1" applyFont="1" applyFill="1" applyBorder="1"/>
    <xf numFmtId="14" fontId="8026" fillId="8030" borderId="7977" xfId="0" applyNumberFormat="1" applyFont="1" applyFill="1" applyBorder="1"/>
    <xf numFmtId="0" fontId="8027" fillId="8031" borderId="7978" xfId="0" applyFont="1" applyFill="1" applyBorder="1"/>
    <xf numFmtId="14" fontId="8028" fillId="8032" borderId="7979" xfId="0" applyNumberFormat="1" applyFont="1" applyFill="1" applyBorder="1"/>
    <xf numFmtId="0" fontId="8029" fillId="8033" borderId="7980" xfId="0" applyFont="1" applyFill="1" applyBorder="1"/>
    <xf numFmtId="0" fontId="8030" fillId="8034" borderId="7981" xfId="0" applyFont="1" applyFill="1" applyBorder="1"/>
    <xf numFmtId="0" fontId="8031" fillId="8035" borderId="7982" xfId="0" applyFont="1" applyFill="1" applyBorder="1"/>
    <xf numFmtId="0" fontId="8032" fillId="8036" borderId="7983" xfId="0" applyFont="1" applyFill="1" applyBorder="1"/>
    <xf numFmtId="0" fontId="8033" fillId="8037" borderId="7984" xfId="0" applyFont="1" applyFill="1" applyBorder="1"/>
    <xf numFmtId="0" fontId="8034" fillId="8038" borderId="7985" xfId="0" applyFont="1" applyFill="1" applyBorder="1"/>
    <xf numFmtId="14" fontId="8035" fillId="8039" borderId="7986" xfId="0" applyNumberFormat="1" applyFont="1" applyFill="1" applyBorder="1"/>
    <xf numFmtId="14" fontId="8036" fillId="8040" borderId="7987" xfId="0" applyNumberFormat="1" applyFont="1" applyFill="1" applyBorder="1"/>
    <xf numFmtId="0" fontId="8037" fillId="8041" borderId="7988" xfId="0" applyFont="1" applyFill="1" applyBorder="1"/>
    <xf numFmtId="14" fontId="8038" fillId="8042" borderId="7989" xfId="0" applyNumberFormat="1" applyFont="1" applyFill="1" applyBorder="1"/>
    <xf numFmtId="0" fontId="8039" fillId="8043" borderId="7990" xfId="0" applyFont="1" applyFill="1" applyBorder="1"/>
    <xf numFmtId="0" fontId="8040" fillId="8044" borderId="7991" xfId="0" applyFont="1" applyFill="1" applyBorder="1"/>
    <xf numFmtId="0" fontId="8041" fillId="8045" borderId="7992" xfId="0" applyFont="1" applyFill="1" applyBorder="1"/>
    <xf numFmtId="0" fontId="8042" fillId="8046" borderId="7993" xfId="0" applyFont="1" applyFill="1" applyBorder="1"/>
    <xf numFmtId="0" fontId="8043" fillId="8047" borderId="7994" xfId="0" applyFont="1" applyFill="1" applyBorder="1"/>
    <xf numFmtId="0" fontId="8044" fillId="8048" borderId="7995" xfId="0" applyFont="1" applyFill="1" applyBorder="1"/>
    <xf numFmtId="14" fontId="8045" fillId="8049" borderId="7996" xfId="0" applyNumberFormat="1" applyFont="1" applyFill="1" applyBorder="1"/>
    <xf numFmtId="14" fontId="8046" fillId="8050" borderId="7997" xfId="0" applyNumberFormat="1" applyFont="1" applyFill="1" applyBorder="1"/>
    <xf numFmtId="0" fontId="8047" fillId="8051" borderId="7998" xfId="0" applyFont="1" applyFill="1" applyBorder="1"/>
    <xf numFmtId="14" fontId="8048" fillId="8052" borderId="7999" xfId="0" applyNumberFormat="1" applyFont="1" applyFill="1" applyBorder="1"/>
    <xf numFmtId="0" fontId="8049" fillId="8053" borderId="8000" xfId="0" applyFont="1" applyFill="1" applyBorder="1"/>
    <xf numFmtId="0" fontId="8050" fillId="8054" borderId="8001" xfId="0" applyFont="1" applyFill="1" applyBorder="1"/>
    <xf numFmtId="0" fontId="8051" fillId="8055" borderId="8002" xfId="0" applyFont="1" applyFill="1" applyBorder="1"/>
    <xf numFmtId="0" fontId="8052" fillId="8056" borderId="8003" xfId="0" applyFont="1" applyFill="1" applyBorder="1"/>
    <xf numFmtId="0" fontId="8053" fillId="8057" borderId="8004" xfId="0" applyFont="1" applyFill="1" applyBorder="1"/>
    <xf numFmtId="0" fontId="8054" fillId="8058" borderId="8005" xfId="0" applyFont="1" applyFill="1" applyBorder="1"/>
    <xf numFmtId="14" fontId="8055" fillId="8059" borderId="8006" xfId="0" applyNumberFormat="1" applyFont="1" applyFill="1" applyBorder="1"/>
    <xf numFmtId="14" fontId="8056" fillId="8060" borderId="8007" xfId="0" applyNumberFormat="1" applyFont="1" applyFill="1" applyBorder="1"/>
    <xf numFmtId="0" fontId="8057" fillId="8061" borderId="8008" xfId="0" applyFont="1" applyFill="1" applyBorder="1"/>
    <xf numFmtId="14" fontId="8058" fillId="8062" borderId="8009" xfId="0" applyNumberFormat="1" applyFont="1" applyFill="1" applyBorder="1"/>
    <xf numFmtId="0" fontId="8059" fillId="8063" borderId="8010" xfId="0" applyFont="1" applyFill="1" applyBorder="1"/>
    <xf numFmtId="0" fontId="8060" fillId="8064" borderId="8011" xfId="0" applyFont="1" applyFill="1" applyBorder="1"/>
    <xf numFmtId="0" fontId="8061" fillId="8065" borderId="8012" xfId="0" applyFont="1" applyFill="1" applyBorder="1"/>
    <xf numFmtId="0" fontId="8062" fillId="8066" borderId="8013" xfId="0" applyFont="1" applyFill="1" applyBorder="1"/>
    <xf numFmtId="0" fontId="8063" fillId="8067" borderId="8014" xfId="0" applyFont="1" applyFill="1" applyBorder="1"/>
    <xf numFmtId="0" fontId="8064" fillId="8068" borderId="8015" xfId="0" applyFont="1" applyFill="1" applyBorder="1"/>
    <xf numFmtId="14" fontId="8065" fillId="8069" borderId="8016" xfId="0" applyNumberFormat="1" applyFont="1" applyFill="1" applyBorder="1"/>
    <xf numFmtId="14" fontId="8066" fillId="8070" borderId="8017" xfId="0" applyNumberFormat="1" applyFont="1" applyFill="1" applyBorder="1"/>
    <xf numFmtId="0" fontId="8067" fillId="8071" borderId="8018" xfId="0" applyFont="1" applyFill="1" applyBorder="1"/>
    <xf numFmtId="14" fontId="8068" fillId="8072" borderId="8019" xfId="0" applyNumberFormat="1" applyFont="1" applyFill="1" applyBorder="1"/>
    <xf numFmtId="0" fontId="8069" fillId="8073" borderId="8020" xfId="0" applyFont="1" applyFill="1" applyBorder="1"/>
    <xf numFmtId="0" fontId="8070" fillId="8074" borderId="8021" xfId="0" applyFont="1" applyFill="1" applyBorder="1"/>
    <xf numFmtId="0" fontId="8071" fillId="8075" borderId="8022" xfId="0" applyFont="1" applyFill="1" applyBorder="1"/>
    <xf numFmtId="0" fontId="8072" fillId="8076" borderId="8023" xfId="0" applyFont="1" applyFill="1" applyBorder="1"/>
    <xf numFmtId="0" fontId="8073" fillId="8077" borderId="8024" xfId="0" applyFont="1" applyFill="1" applyBorder="1"/>
    <xf numFmtId="0" fontId="8074" fillId="8078" borderId="8025" xfId="0" applyFont="1" applyFill="1" applyBorder="1"/>
    <xf numFmtId="14" fontId="8075" fillId="8079" borderId="8026" xfId="0" applyNumberFormat="1" applyFont="1" applyFill="1" applyBorder="1"/>
    <xf numFmtId="14" fontId="8076" fillId="8080" borderId="8027" xfId="0" applyNumberFormat="1" applyFont="1" applyFill="1" applyBorder="1"/>
    <xf numFmtId="0" fontId="8077" fillId="8081" borderId="8028" xfId="0" applyFont="1" applyFill="1" applyBorder="1"/>
    <xf numFmtId="14" fontId="8078" fillId="8082" borderId="8029" xfId="0" applyNumberFormat="1" applyFont="1" applyFill="1" applyBorder="1"/>
    <xf numFmtId="0" fontId="8079" fillId="8083" borderId="8030" xfId="0" applyFont="1" applyFill="1" applyBorder="1"/>
    <xf numFmtId="0" fontId="8080" fillId="8084" borderId="8031" xfId="0" applyFont="1" applyFill="1" applyBorder="1"/>
    <xf numFmtId="0" fontId="8081" fillId="8085" borderId="8032" xfId="0" applyFont="1" applyFill="1" applyBorder="1"/>
    <xf numFmtId="0" fontId="8082" fillId="8086" borderId="8033" xfId="0" applyFont="1" applyFill="1" applyBorder="1"/>
    <xf numFmtId="0" fontId="8083" fillId="8087" borderId="8034" xfId="0" applyFont="1" applyFill="1" applyBorder="1"/>
    <xf numFmtId="0" fontId="8084" fillId="8088" borderId="8035" xfId="0" applyFont="1" applyFill="1" applyBorder="1"/>
    <xf numFmtId="14" fontId="8085" fillId="8089" borderId="8036" xfId="0" applyNumberFormat="1" applyFont="1" applyFill="1" applyBorder="1"/>
    <xf numFmtId="14" fontId="8086" fillId="8090" borderId="8037" xfId="0" applyNumberFormat="1" applyFont="1" applyFill="1" applyBorder="1"/>
    <xf numFmtId="0" fontId="8087" fillId="8091" borderId="8038" xfId="0" applyFont="1" applyFill="1" applyBorder="1"/>
    <xf numFmtId="14" fontId="8088" fillId="8092" borderId="8039" xfId="0" applyNumberFormat="1" applyFont="1" applyFill="1" applyBorder="1"/>
    <xf numFmtId="0" fontId="8089" fillId="8093" borderId="8040" xfId="0" applyFont="1" applyFill="1" applyBorder="1"/>
    <xf numFmtId="0" fontId="8090" fillId="8094" borderId="8041" xfId="0" applyFont="1" applyFill="1" applyBorder="1"/>
    <xf numFmtId="0" fontId="8091" fillId="8095" borderId="8042" xfId="0" applyFont="1" applyFill="1" applyBorder="1"/>
    <xf numFmtId="0" fontId="8092" fillId="8096" borderId="8043" xfId="0" applyFont="1" applyFill="1" applyBorder="1"/>
    <xf numFmtId="0" fontId="8093" fillId="8097" borderId="8044" xfId="0" applyFont="1" applyFill="1" applyBorder="1"/>
    <xf numFmtId="0" fontId="8094" fillId="8098" borderId="8045" xfId="0" applyFont="1" applyFill="1" applyBorder="1"/>
    <xf numFmtId="14" fontId="8095" fillId="8099" borderId="8046" xfId="0" applyNumberFormat="1" applyFont="1" applyFill="1" applyBorder="1"/>
    <xf numFmtId="14" fontId="8096" fillId="8100" borderId="8047" xfId="0" applyNumberFormat="1" applyFont="1" applyFill="1" applyBorder="1"/>
    <xf numFmtId="0" fontId="8097" fillId="8101" borderId="8048" xfId="0" applyFont="1" applyFill="1" applyBorder="1"/>
    <xf numFmtId="14" fontId="8098" fillId="8102" borderId="8049" xfId="0" applyNumberFormat="1" applyFont="1" applyFill="1" applyBorder="1"/>
    <xf numFmtId="0" fontId="8099" fillId="8103" borderId="8050" xfId="0" applyFont="1" applyFill="1" applyBorder="1"/>
    <xf numFmtId="0" fontId="8100" fillId="8104" borderId="8051" xfId="0" applyFont="1" applyFill="1" applyBorder="1"/>
    <xf numFmtId="0" fontId="8101" fillId="8105" borderId="8052" xfId="0" applyFont="1" applyFill="1" applyBorder="1"/>
    <xf numFmtId="0" fontId="8102" fillId="8106" borderId="8053" xfId="0" applyFont="1" applyFill="1" applyBorder="1"/>
    <xf numFmtId="0" fontId="8103" fillId="8107" borderId="8054" xfId="0" applyFont="1" applyFill="1" applyBorder="1"/>
    <xf numFmtId="0" fontId="8104" fillId="8108" borderId="8055" xfId="0" applyFont="1" applyFill="1" applyBorder="1"/>
    <xf numFmtId="14" fontId="8105" fillId="8109" borderId="8056" xfId="0" applyNumberFormat="1" applyFont="1" applyFill="1" applyBorder="1"/>
    <xf numFmtId="14" fontId="8106" fillId="8110" borderId="8057" xfId="0" applyNumberFormat="1" applyFont="1" applyFill="1" applyBorder="1"/>
    <xf numFmtId="0" fontId="8107" fillId="8111" borderId="8058" xfId="0" applyFont="1" applyFill="1" applyBorder="1"/>
    <xf numFmtId="14" fontId="8108" fillId="8112" borderId="8059" xfId="0" applyNumberFormat="1" applyFont="1" applyFill="1" applyBorder="1"/>
    <xf numFmtId="0" fontId="8109" fillId="8113" borderId="8060" xfId="0" applyFont="1" applyFill="1" applyBorder="1"/>
    <xf numFmtId="0" fontId="8110" fillId="8114" borderId="8061" xfId="0" applyFont="1" applyFill="1" applyBorder="1"/>
    <xf numFmtId="0" fontId="8111" fillId="8115" borderId="8062" xfId="0" applyFont="1" applyFill="1" applyBorder="1"/>
    <xf numFmtId="0" fontId="8112" fillId="8116" borderId="8063" xfId="0" applyFont="1" applyFill="1" applyBorder="1"/>
    <xf numFmtId="0" fontId="8113" fillId="8117" borderId="8064" xfId="0" applyFont="1" applyFill="1" applyBorder="1"/>
    <xf numFmtId="0" fontId="8114" fillId="8118" borderId="8065" xfId="0" applyFont="1" applyFill="1" applyBorder="1"/>
    <xf numFmtId="14" fontId="8115" fillId="8119" borderId="8066" xfId="0" applyNumberFormat="1" applyFont="1" applyFill="1" applyBorder="1"/>
    <xf numFmtId="14" fontId="8116" fillId="8120" borderId="8067" xfId="0" applyNumberFormat="1" applyFont="1" applyFill="1" applyBorder="1"/>
    <xf numFmtId="0" fontId="8117" fillId="8121" borderId="8068" xfId="0" applyFont="1" applyFill="1" applyBorder="1"/>
    <xf numFmtId="14" fontId="8118" fillId="8122" borderId="8069" xfId="0" applyNumberFormat="1" applyFont="1" applyFill="1" applyBorder="1"/>
    <xf numFmtId="0" fontId="8119" fillId="8123" borderId="8070" xfId="0" applyFont="1" applyFill="1" applyBorder="1"/>
    <xf numFmtId="0" fontId="8120" fillId="8124" borderId="8071" xfId="0" applyFont="1" applyFill="1" applyBorder="1"/>
    <xf numFmtId="0" fontId="8121" fillId="8125" borderId="8072" xfId="0" applyFont="1" applyFill="1" applyBorder="1"/>
    <xf numFmtId="0" fontId="8122" fillId="8126" borderId="8073" xfId="0" applyFont="1" applyFill="1" applyBorder="1"/>
    <xf numFmtId="0" fontId="8123" fillId="8127" borderId="8074" xfId="0" applyFont="1" applyFill="1" applyBorder="1"/>
    <xf numFmtId="0" fontId="8124" fillId="8128" borderId="8075" xfId="0" applyFont="1" applyFill="1" applyBorder="1"/>
    <xf numFmtId="14" fontId="8125" fillId="8129" borderId="8076" xfId="0" applyNumberFormat="1" applyFont="1" applyFill="1" applyBorder="1"/>
    <xf numFmtId="14" fontId="8126" fillId="8130" borderId="8077" xfId="0" applyNumberFormat="1" applyFont="1" applyFill="1" applyBorder="1"/>
    <xf numFmtId="0" fontId="8127" fillId="8131" borderId="8078" xfId="0" applyFont="1" applyFill="1" applyBorder="1"/>
    <xf numFmtId="14" fontId="8128" fillId="8132" borderId="8079" xfId="0" applyNumberFormat="1" applyFont="1" applyFill="1" applyBorder="1"/>
    <xf numFmtId="0" fontId="8129" fillId="8133" borderId="8080" xfId="0" applyFont="1" applyFill="1" applyBorder="1"/>
    <xf numFmtId="0" fontId="8130" fillId="8134" borderId="8081" xfId="0" applyFont="1" applyFill="1" applyBorder="1"/>
    <xf numFmtId="0" fontId="8131" fillId="8135" borderId="8082" xfId="0" applyFont="1" applyFill="1" applyBorder="1"/>
    <xf numFmtId="0" fontId="8132" fillId="8136" borderId="8083" xfId="0" applyFont="1" applyFill="1" applyBorder="1"/>
    <xf numFmtId="0" fontId="8133" fillId="8137" borderId="8084" xfId="0" applyFont="1" applyFill="1" applyBorder="1"/>
    <xf numFmtId="0" fontId="8134" fillId="8138" borderId="8085" xfId="0" applyFont="1" applyFill="1" applyBorder="1"/>
    <xf numFmtId="14" fontId="8135" fillId="8139" borderId="8086" xfId="0" applyNumberFormat="1" applyFont="1" applyFill="1" applyBorder="1"/>
    <xf numFmtId="14" fontId="8136" fillId="8140" borderId="8087" xfId="0" applyNumberFormat="1" applyFont="1" applyFill="1" applyBorder="1"/>
    <xf numFmtId="0" fontId="8137" fillId="8141" borderId="8088" xfId="0" applyFont="1" applyFill="1" applyBorder="1"/>
    <xf numFmtId="14" fontId="8138" fillId="8142" borderId="8089" xfId="0" applyNumberFormat="1" applyFont="1" applyFill="1" applyBorder="1"/>
    <xf numFmtId="0" fontId="8139" fillId="8143" borderId="8090" xfId="0" applyFont="1" applyFill="1" applyBorder="1"/>
    <xf numFmtId="0" fontId="8140" fillId="8144" borderId="8091" xfId="0" applyFont="1" applyFill="1" applyBorder="1"/>
    <xf numFmtId="0" fontId="8141" fillId="8145" borderId="8092" xfId="0" applyFont="1" applyFill="1" applyBorder="1"/>
    <xf numFmtId="0" fontId="8142" fillId="8146" borderId="8093" xfId="0" applyFont="1" applyFill="1" applyBorder="1"/>
    <xf numFmtId="0" fontId="8143" fillId="8147" borderId="8094" xfId="0" applyFont="1" applyFill="1" applyBorder="1"/>
    <xf numFmtId="0" fontId="8144" fillId="8148" borderId="8095" xfId="0" applyFont="1" applyFill="1" applyBorder="1"/>
    <xf numFmtId="14" fontId="8145" fillId="8149" borderId="8096" xfId="0" applyNumberFormat="1" applyFont="1" applyFill="1" applyBorder="1"/>
    <xf numFmtId="14" fontId="8146" fillId="8150" borderId="8097" xfId="0" applyNumberFormat="1" applyFont="1" applyFill="1" applyBorder="1"/>
    <xf numFmtId="0" fontId="8147" fillId="8151" borderId="8098" xfId="0" applyFont="1" applyFill="1" applyBorder="1"/>
    <xf numFmtId="14" fontId="8148" fillId="8152" borderId="8099" xfId="0" applyNumberFormat="1" applyFont="1" applyFill="1" applyBorder="1"/>
    <xf numFmtId="0" fontId="8149" fillId="8153" borderId="8100" xfId="0" applyFont="1" applyFill="1" applyBorder="1"/>
    <xf numFmtId="0" fontId="8150" fillId="8154" borderId="8101" xfId="0" applyFont="1" applyFill="1" applyBorder="1"/>
    <xf numFmtId="0" fontId="8151" fillId="8155" borderId="8102" xfId="0" applyFont="1" applyFill="1" applyBorder="1"/>
    <xf numFmtId="0" fontId="8152" fillId="8156" borderId="8103" xfId="0" applyFont="1" applyFill="1" applyBorder="1"/>
    <xf numFmtId="0" fontId="8153" fillId="8157" borderId="8104" xfId="0" applyFont="1" applyFill="1" applyBorder="1"/>
    <xf numFmtId="0" fontId="8154" fillId="8158" borderId="8105" xfId="0" applyFont="1" applyFill="1" applyBorder="1"/>
    <xf numFmtId="14" fontId="8155" fillId="8159" borderId="8106" xfId="0" applyNumberFormat="1" applyFont="1" applyFill="1" applyBorder="1"/>
    <xf numFmtId="14" fontId="8156" fillId="8160" borderId="8107" xfId="0" applyNumberFormat="1" applyFont="1" applyFill="1" applyBorder="1"/>
    <xf numFmtId="0" fontId="8157" fillId="8161" borderId="8108" xfId="0" applyFont="1" applyFill="1" applyBorder="1"/>
    <xf numFmtId="14" fontId="8158" fillId="8162" borderId="8109" xfId="0" applyNumberFormat="1" applyFont="1" applyFill="1" applyBorder="1"/>
    <xf numFmtId="0" fontId="8159" fillId="8163" borderId="8110" xfId="0" applyFont="1" applyFill="1" applyBorder="1"/>
    <xf numFmtId="0" fontId="8160" fillId="8164" borderId="8111" xfId="0" applyFont="1" applyFill="1" applyBorder="1"/>
    <xf numFmtId="0" fontId="8161" fillId="8165" borderId="8112" xfId="0" applyFont="1" applyFill="1" applyBorder="1"/>
    <xf numFmtId="0" fontId="8162" fillId="8166" borderId="8113" xfId="0" applyFont="1" applyFill="1" applyBorder="1"/>
    <xf numFmtId="0" fontId="8163" fillId="8167" borderId="8114" xfId="0" applyFont="1" applyFill="1" applyBorder="1"/>
    <xf numFmtId="0" fontId="8164" fillId="8168" borderId="8115" xfId="0" applyFont="1" applyFill="1" applyBorder="1"/>
    <xf numFmtId="14" fontId="8165" fillId="8169" borderId="8116" xfId="0" applyNumberFormat="1" applyFont="1" applyFill="1" applyBorder="1"/>
    <xf numFmtId="14" fontId="8166" fillId="8170" borderId="8117" xfId="0" applyNumberFormat="1" applyFont="1" applyFill="1" applyBorder="1"/>
    <xf numFmtId="0" fontId="8167" fillId="8171" borderId="8118" xfId="0" applyFont="1" applyFill="1" applyBorder="1"/>
    <xf numFmtId="14" fontId="8168" fillId="8172" borderId="8119" xfId="0" applyNumberFormat="1" applyFont="1" applyFill="1" applyBorder="1"/>
    <xf numFmtId="0" fontId="8169" fillId="8173" borderId="8120" xfId="0" applyFont="1" applyFill="1" applyBorder="1"/>
    <xf numFmtId="0" fontId="8170" fillId="8174" borderId="8121" xfId="0" applyFont="1" applyFill="1" applyBorder="1"/>
    <xf numFmtId="0" fontId="8171" fillId="8175" borderId="8122" xfId="0" applyFont="1" applyFill="1" applyBorder="1"/>
    <xf numFmtId="0" fontId="8172" fillId="8176" borderId="8123" xfId="0" applyFont="1" applyFill="1" applyBorder="1"/>
    <xf numFmtId="0" fontId="8173" fillId="8177" borderId="8124" xfId="0" applyFont="1" applyFill="1" applyBorder="1"/>
    <xf numFmtId="0" fontId="8174" fillId="8178" borderId="8125" xfId="0" applyFont="1" applyFill="1" applyBorder="1"/>
    <xf numFmtId="14" fontId="8175" fillId="8179" borderId="8126" xfId="0" applyNumberFormat="1" applyFont="1" applyFill="1" applyBorder="1"/>
    <xf numFmtId="14" fontId="8176" fillId="8180" borderId="8127" xfId="0" applyNumberFormat="1" applyFont="1" applyFill="1" applyBorder="1"/>
    <xf numFmtId="0" fontId="8177" fillId="8181" borderId="8128" xfId="0" applyFont="1" applyFill="1" applyBorder="1"/>
    <xf numFmtId="14" fontId="8178" fillId="8182" borderId="8129" xfId="0" applyNumberFormat="1" applyFont="1" applyFill="1" applyBorder="1"/>
    <xf numFmtId="0" fontId="8179" fillId="8183" borderId="8130" xfId="0" applyFont="1" applyFill="1" applyBorder="1"/>
    <xf numFmtId="0" fontId="8180" fillId="8184" borderId="8131" xfId="0" applyFont="1" applyFill="1" applyBorder="1"/>
    <xf numFmtId="0" fontId="8181" fillId="8185" borderId="8132" xfId="0" applyFont="1" applyFill="1" applyBorder="1"/>
    <xf numFmtId="0" fontId="8182" fillId="8186" borderId="8133" xfId="0" applyFont="1" applyFill="1" applyBorder="1"/>
    <xf numFmtId="0" fontId="8183" fillId="8187" borderId="8134" xfId="0" applyFont="1" applyFill="1" applyBorder="1"/>
    <xf numFmtId="0" fontId="8184" fillId="8188" borderId="8135" xfId="0" applyFont="1" applyFill="1" applyBorder="1"/>
    <xf numFmtId="14" fontId="8185" fillId="8189" borderId="8136" xfId="0" applyNumberFormat="1" applyFont="1" applyFill="1" applyBorder="1"/>
    <xf numFmtId="14" fontId="8186" fillId="8190" borderId="8137" xfId="0" applyNumberFormat="1" applyFont="1" applyFill="1" applyBorder="1"/>
    <xf numFmtId="0" fontId="8187" fillId="8191" borderId="8138" xfId="0" applyFont="1" applyFill="1" applyBorder="1"/>
    <xf numFmtId="14" fontId="8188" fillId="8192" borderId="8139" xfId="0" applyNumberFormat="1" applyFont="1" applyFill="1" applyBorder="1"/>
    <xf numFmtId="0" fontId="8189" fillId="8193" borderId="8140" xfId="0" applyFont="1" applyFill="1" applyBorder="1"/>
    <xf numFmtId="0" fontId="8190" fillId="8194" borderId="8141" xfId="0" applyFont="1" applyFill="1" applyBorder="1"/>
    <xf numFmtId="0" fontId="8191" fillId="8195" borderId="8142" xfId="0" applyFont="1" applyFill="1" applyBorder="1"/>
    <xf numFmtId="0" fontId="8192" fillId="8196" borderId="8143" xfId="0" applyFont="1" applyFill="1" applyBorder="1"/>
    <xf numFmtId="0" fontId="8193" fillId="8197" borderId="8144" xfId="0" applyFont="1" applyFill="1" applyBorder="1"/>
    <xf numFmtId="0" fontId="8194" fillId="8198" borderId="8145" xfId="0" applyFont="1" applyFill="1" applyBorder="1"/>
    <xf numFmtId="14" fontId="8195" fillId="8199" borderId="8146" xfId="0" applyNumberFormat="1" applyFont="1" applyFill="1" applyBorder="1"/>
    <xf numFmtId="14" fontId="8196" fillId="8200" borderId="8147" xfId="0" applyNumberFormat="1" applyFont="1" applyFill="1" applyBorder="1"/>
    <xf numFmtId="0" fontId="8197" fillId="8201" borderId="8148" xfId="0" applyFont="1" applyFill="1" applyBorder="1"/>
    <xf numFmtId="14" fontId="8198" fillId="8202" borderId="8149" xfId="0" applyNumberFormat="1" applyFont="1" applyFill="1" applyBorder="1"/>
    <xf numFmtId="0" fontId="8199" fillId="8203" borderId="8150" xfId="0" applyFont="1" applyFill="1" applyBorder="1"/>
    <xf numFmtId="0" fontId="8200" fillId="8204" borderId="8151" xfId="0" applyFont="1" applyFill="1" applyBorder="1"/>
    <xf numFmtId="0" fontId="8201" fillId="8205" borderId="8152" xfId="0" applyFont="1" applyFill="1" applyBorder="1"/>
    <xf numFmtId="0" fontId="8202" fillId="8206" borderId="8153" xfId="0" applyFont="1" applyFill="1" applyBorder="1"/>
    <xf numFmtId="0" fontId="8203" fillId="8207" borderId="8154" xfId="0" applyFont="1" applyFill="1" applyBorder="1"/>
    <xf numFmtId="0" fontId="8204" fillId="8208" borderId="8155" xfId="0" applyFont="1" applyFill="1" applyBorder="1"/>
    <xf numFmtId="14" fontId="8205" fillId="8209" borderId="8156" xfId="0" applyNumberFormat="1" applyFont="1" applyFill="1" applyBorder="1"/>
    <xf numFmtId="14" fontId="8206" fillId="8210" borderId="8157" xfId="0" applyNumberFormat="1" applyFont="1" applyFill="1" applyBorder="1"/>
    <xf numFmtId="0" fontId="8207" fillId="8211" borderId="8158" xfId="0" applyFont="1" applyFill="1" applyBorder="1"/>
    <xf numFmtId="14" fontId="8208" fillId="8212" borderId="8159" xfId="0" applyNumberFormat="1" applyFont="1" applyFill="1" applyBorder="1"/>
    <xf numFmtId="0" fontId="8209" fillId="8213" borderId="8160" xfId="0" applyFont="1" applyFill="1" applyBorder="1"/>
    <xf numFmtId="0" fontId="8210" fillId="8214" borderId="8161" xfId="0" applyFont="1" applyFill="1" applyBorder="1"/>
    <xf numFmtId="0" fontId="8211" fillId="8215" borderId="8162" xfId="0" applyFont="1" applyFill="1" applyBorder="1"/>
    <xf numFmtId="0" fontId="8212" fillId="8216" borderId="8163" xfId="0" applyFont="1" applyFill="1" applyBorder="1"/>
    <xf numFmtId="0" fontId="8213" fillId="8217" borderId="8164" xfId="0" applyFont="1" applyFill="1" applyBorder="1"/>
    <xf numFmtId="0" fontId="8214" fillId="8218" borderId="8165" xfId="0" applyFont="1" applyFill="1" applyBorder="1"/>
    <xf numFmtId="14" fontId="8215" fillId="8219" borderId="8166" xfId="0" applyNumberFormat="1" applyFont="1" applyFill="1" applyBorder="1"/>
    <xf numFmtId="14" fontId="8216" fillId="8220" borderId="8167" xfId="0" applyNumberFormat="1" applyFont="1" applyFill="1" applyBorder="1"/>
    <xf numFmtId="0" fontId="8217" fillId="8221" borderId="8168" xfId="0" applyFont="1" applyFill="1" applyBorder="1"/>
    <xf numFmtId="14" fontId="8218" fillId="8222" borderId="8169" xfId="0" applyNumberFormat="1" applyFont="1" applyFill="1" applyBorder="1"/>
    <xf numFmtId="0" fontId="8219" fillId="8223" borderId="8170" xfId="0" applyFont="1" applyFill="1" applyBorder="1"/>
    <xf numFmtId="0" fontId="8220" fillId="8224" borderId="8171" xfId="0" applyFont="1" applyFill="1" applyBorder="1"/>
    <xf numFmtId="0" fontId="8221" fillId="8225" borderId="8172" xfId="0" applyFont="1" applyFill="1" applyBorder="1"/>
    <xf numFmtId="0" fontId="8222" fillId="8226" borderId="8173" xfId="0" applyFont="1" applyFill="1" applyBorder="1"/>
    <xf numFmtId="0" fontId="8223" fillId="8227" borderId="8174" xfId="0" applyFont="1" applyFill="1" applyBorder="1"/>
    <xf numFmtId="0" fontId="8224" fillId="8228" borderId="8175" xfId="0" applyFont="1" applyFill="1" applyBorder="1"/>
    <xf numFmtId="14" fontId="8225" fillId="8229" borderId="8176" xfId="0" applyNumberFormat="1" applyFont="1" applyFill="1" applyBorder="1"/>
    <xf numFmtId="14" fontId="8226" fillId="8230" borderId="8177" xfId="0" applyNumberFormat="1" applyFont="1" applyFill="1" applyBorder="1"/>
    <xf numFmtId="0" fontId="8227" fillId="8231" borderId="8178" xfId="0" applyFont="1" applyFill="1" applyBorder="1"/>
    <xf numFmtId="14" fontId="8228" fillId="8232" borderId="8179" xfId="0" applyNumberFormat="1" applyFont="1" applyFill="1" applyBorder="1"/>
    <xf numFmtId="0" fontId="8229" fillId="8233" borderId="8180" xfId="0" applyFont="1" applyFill="1" applyBorder="1"/>
    <xf numFmtId="0" fontId="8230" fillId="8234" borderId="8181" xfId="0" applyFont="1" applyFill="1" applyBorder="1"/>
    <xf numFmtId="0" fontId="8231" fillId="8235" borderId="8182" xfId="0" applyFont="1" applyFill="1" applyBorder="1"/>
    <xf numFmtId="0" fontId="8232" fillId="8236" borderId="8183" xfId="0" applyFont="1" applyFill="1" applyBorder="1"/>
    <xf numFmtId="0" fontId="8233" fillId="8237" borderId="8184" xfId="0" applyFont="1" applyFill="1" applyBorder="1"/>
    <xf numFmtId="0" fontId="8234" fillId="8238" borderId="8185" xfId="0" applyFont="1" applyFill="1" applyBorder="1"/>
    <xf numFmtId="14" fontId="8235" fillId="8239" borderId="8186" xfId="0" applyNumberFormat="1" applyFont="1" applyFill="1" applyBorder="1"/>
    <xf numFmtId="14" fontId="8236" fillId="8240" borderId="8187" xfId="0" applyNumberFormat="1" applyFont="1" applyFill="1" applyBorder="1"/>
    <xf numFmtId="0" fontId="8237" fillId="8241" borderId="8188" xfId="0" applyFont="1" applyFill="1" applyBorder="1"/>
    <xf numFmtId="14" fontId="8238" fillId="8242" borderId="8189" xfId="0" applyNumberFormat="1" applyFont="1" applyFill="1" applyBorder="1"/>
    <xf numFmtId="0" fontId="8239" fillId="8243" borderId="8190" xfId="0" applyFont="1" applyFill="1" applyBorder="1"/>
    <xf numFmtId="0" fontId="8240" fillId="8244" borderId="8191" xfId="0" applyFont="1" applyFill="1" applyBorder="1"/>
    <xf numFmtId="0" fontId="8241" fillId="8245" borderId="8192" xfId="0" applyFont="1" applyFill="1" applyBorder="1"/>
    <xf numFmtId="0" fontId="8242" fillId="8246" borderId="8193" xfId="0" applyFont="1" applyFill="1" applyBorder="1"/>
    <xf numFmtId="0" fontId="8243" fillId="8247" borderId="8194" xfId="0" applyFont="1" applyFill="1" applyBorder="1"/>
    <xf numFmtId="0" fontId="8244" fillId="8248" borderId="8195" xfId="0" applyFont="1" applyFill="1" applyBorder="1"/>
    <xf numFmtId="14" fontId="8245" fillId="8249" borderId="8196" xfId="0" applyNumberFormat="1" applyFont="1" applyFill="1" applyBorder="1"/>
    <xf numFmtId="14" fontId="8246" fillId="8250" borderId="8197" xfId="0" applyNumberFormat="1" applyFont="1" applyFill="1" applyBorder="1"/>
    <xf numFmtId="0" fontId="8247" fillId="8251" borderId="8198" xfId="0" applyFont="1" applyFill="1" applyBorder="1"/>
    <xf numFmtId="14" fontId="8248" fillId="8252" borderId="8199" xfId="0" applyNumberFormat="1" applyFont="1" applyFill="1" applyBorder="1"/>
    <xf numFmtId="0" fontId="8249" fillId="8253" borderId="8200" xfId="0" applyFont="1" applyFill="1" applyBorder="1"/>
    <xf numFmtId="0" fontId="8250" fillId="8254" borderId="8201" xfId="0" applyFont="1" applyFill="1" applyBorder="1"/>
    <xf numFmtId="0" fontId="8251" fillId="8255" borderId="8202" xfId="0" applyFont="1" applyFill="1" applyBorder="1"/>
    <xf numFmtId="0" fontId="8252" fillId="8256" borderId="8203" xfId="0" applyFont="1" applyFill="1" applyBorder="1"/>
    <xf numFmtId="0" fontId="8253" fillId="8257" borderId="8204" xfId="0" applyFont="1" applyFill="1" applyBorder="1"/>
    <xf numFmtId="0" fontId="8254" fillId="8258" borderId="8205" xfId="0" applyFont="1" applyFill="1" applyBorder="1"/>
    <xf numFmtId="14" fontId="8255" fillId="8259" borderId="8206" xfId="0" applyNumberFormat="1" applyFont="1" applyFill="1" applyBorder="1"/>
    <xf numFmtId="14" fontId="8256" fillId="8260" borderId="8207" xfId="0" applyNumberFormat="1" applyFont="1" applyFill="1" applyBorder="1"/>
    <xf numFmtId="0" fontId="8257" fillId="8261" borderId="8208" xfId="0" applyFont="1" applyFill="1" applyBorder="1"/>
    <xf numFmtId="14" fontId="8258" fillId="8262" borderId="8209" xfId="0" applyNumberFormat="1" applyFont="1" applyFill="1" applyBorder="1"/>
    <xf numFmtId="0" fontId="8259" fillId="8263" borderId="8210" xfId="0" applyFont="1" applyFill="1" applyBorder="1"/>
    <xf numFmtId="0" fontId="8260" fillId="8264" borderId="8211" xfId="0" applyFont="1" applyFill="1" applyBorder="1"/>
    <xf numFmtId="0" fontId="8261" fillId="8265" borderId="8212" xfId="0" applyFont="1" applyFill="1" applyBorder="1"/>
    <xf numFmtId="0" fontId="8262" fillId="8266" borderId="8213" xfId="0" applyFont="1" applyFill="1" applyBorder="1"/>
    <xf numFmtId="0" fontId="8263" fillId="8267" borderId="8214" xfId="0" applyFont="1" applyFill="1" applyBorder="1"/>
    <xf numFmtId="0" fontId="8264" fillId="8268" borderId="8215" xfId="0" applyFont="1" applyFill="1" applyBorder="1"/>
    <xf numFmtId="14" fontId="8265" fillId="8269" borderId="8216" xfId="0" applyNumberFormat="1" applyFont="1" applyFill="1" applyBorder="1"/>
    <xf numFmtId="14" fontId="8266" fillId="8270" borderId="8217" xfId="0" applyNumberFormat="1" applyFont="1" applyFill="1" applyBorder="1"/>
    <xf numFmtId="0" fontId="8267" fillId="8271" borderId="8218" xfId="0" applyFont="1" applyFill="1" applyBorder="1"/>
    <xf numFmtId="14" fontId="8268" fillId="8272" borderId="8219" xfId="0" applyNumberFormat="1" applyFont="1" applyFill="1" applyBorder="1"/>
    <xf numFmtId="0" fontId="8269" fillId="8273" borderId="8220" xfId="0" applyFont="1" applyFill="1" applyBorder="1"/>
    <xf numFmtId="0" fontId="8270" fillId="8274" borderId="8221" xfId="0" applyFont="1" applyFill="1" applyBorder="1"/>
    <xf numFmtId="0" fontId="8271" fillId="8275" borderId="8222" xfId="0" applyFont="1" applyFill="1" applyBorder="1"/>
    <xf numFmtId="0" fontId="8272" fillId="8276" borderId="8223" xfId="0" applyFont="1" applyFill="1" applyBorder="1"/>
    <xf numFmtId="0" fontId="8273" fillId="8277" borderId="8224" xfId="0" applyFont="1" applyFill="1" applyBorder="1"/>
    <xf numFmtId="0" fontId="8274" fillId="8278" borderId="8225" xfId="0" applyFont="1" applyFill="1" applyBorder="1"/>
    <xf numFmtId="14" fontId="8275" fillId="8279" borderId="8226" xfId="0" applyNumberFormat="1" applyFont="1" applyFill="1" applyBorder="1"/>
    <xf numFmtId="14" fontId="8276" fillId="8280" borderId="8227" xfId="0" applyNumberFormat="1" applyFont="1" applyFill="1" applyBorder="1"/>
    <xf numFmtId="0" fontId="8277" fillId="8281" borderId="8228" xfId="0" applyFont="1" applyFill="1" applyBorder="1"/>
    <xf numFmtId="14" fontId="8278" fillId="8282" borderId="8229" xfId="0" applyNumberFormat="1" applyFont="1" applyFill="1" applyBorder="1"/>
    <xf numFmtId="0" fontId="8279" fillId="8283" borderId="8230" xfId="0" applyFont="1" applyFill="1" applyBorder="1"/>
    <xf numFmtId="0" fontId="8280" fillId="8284" borderId="8231" xfId="0" applyFont="1" applyFill="1" applyBorder="1"/>
    <xf numFmtId="0" fontId="8281" fillId="8285" borderId="8232" xfId="0" applyFont="1" applyFill="1" applyBorder="1"/>
    <xf numFmtId="0" fontId="8282" fillId="8286" borderId="8233" xfId="0" applyFont="1" applyFill="1" applyBorder="1"/>
    <xf numFmtId="0" fontId="8283" fillId="8287" borderId="8234" xfId="0" applyFont="1" applyFill="1" applyBorder="1"/>
    <xf numFmtId="0" fontId="8284" fillId="8288" borderId="8235" xfId="0" applyFont="1" applyFill="1" applyBorder="1"/>
    <xf numFmtId="14" fontId="8285" fillId="8289" borderId="8236" xfId="0" applyNumberFormat="1" applyFont="1" applyFill="1" applyBorder="1"/>
    <xf numFmtId="14" fontId="8286" fillId="8290" borderId="8237" xfId="0" applyNumberFormat="1" applyFont="1" applyFill="1" applyBorder="1"/>
    <xf numFmtId="0" fontId="8287" fillId="8291" borderId="8238" xfId="0" applyFont="1" applyFill="1" applyBorder="1"/>
    <xf numFmtId="14" fontId="8288" fillId="8292" borderId="8239" xfId="0" applyNumberFormat="1" applyFont="1" applyFill="1" applyBorder="1"/>
    <xf numFmtId="0" fontId="8289" fillId="8293" borderId="8240" xfId="0" applyFont="1" applyFill="1" applyBorder="1"/>
    <xf numFmtId="0" fontId="8290" fillId="8294" borderId="8241" xfId="0" applyFont="1" applyFill="1" applyBorder="1"/>
    <xf numFmtId="0" fontId="8291" fillId="8295" borderId="8242" xfId="0" applyFont="1" applyFill="1" applyBorder="1"/>
    <xf numFmtId="0" fontId="8292" fillId="8296" borderId="8243" xfId="0" applyFont="1" applyFill="1" applyBorder="1"/>
    <xf numFmtId="0" fontId="8293" fillId="8297" borderId="8244" xfId="0" applyFont="1" applyFill="1" applyBorder="1"/>
    <xf numFmtId="0" fontId="8294" fillId="8298" borderId="8245" xfId="0" applyFont="1" applyFill="1" applyBorder="1"/>
    <xf numFmtId="14" fontId="8295" fillId="8299" borderId="8246" xfId="0" applyNumberFormat="1" applyFont="1" applyFill="1" applyBorder="1"/>
    <xf numFmtId="14" fontId="8296" fillId="8300" borderId="8247" xfId="0" applyNumberFormat="1" applyFont="1" applyFill="1" applyBorder="1"/>
    <xf numFmtId="0" fontId="8297" fillId="8301" borderId="8248" xfId="0" applyFont="1" applyFill="1" applyBorder="1"/>
    <xf numFmtId="14" fontId="8298" fillId="8302" borderId="8249" xfId="0" applyNumberFormat="1" applyFont="1" applyFill="1" applyBorder="1"/>
    <xf numFmtId="0" fontId="8299" fillId="8303" borderId="8250" xfId="0" applyFont="1" applyFill="1" applyBorder="1"/>
    <xf numFmtId="0" fontId="8300" fillId="8304" borderId="8251" xfId="0" applyFont="1" applyFill="1" applyBorder="1"/>
    <xf numFmtId="0" fontId="8301" fillId="8305" borderId="8252" xfId="0" applyFont="1" applyFill="1" applyBorder="1"/>
    <xf numFmtId="0" fontId="8302" fillId="8306" borderId="8253" xfId="0" applyFont="1" applyFill="1" applyBorder="1"/>
    <xf numFmtId="0" fontId="8303" fillId="8307" borderId="8254" xfId="0" applyFont="1" applyFill="1" applyBorder="1"/>
    <xf numFmtId="0" fontId="8304" fillId="8308" borderId="8255" xfId="0" applyFont="1" applyFill="1" applyBorder="1"/>
    <xf numFmtId="14" fontId="8305" fillId="8309" borderId="8256" xfId="0" applyNumberFormat="1" applyFont="1" applyFill="1" applyBorder="1"/>
    <xf numFmtId="14" fontId="8306" fillId="8310" borderId="8257" xfId="0" applyNumberFormat="1" applyFont="1" applyFill="1" applyBorder="1"/>
    <xf numFmtId="0" fontId="8307" fillId="8311" borderId="8258" xfId="0" applyFont="1" applyFill="1" applyBorder="1"/>
    <xf numFmtId="14" fontId="8308" fillId="8312" borderId="8259" xfId="0" applyNumberFormat="1" applyFont="1" applyFill="1" applyBorder="1"/>
    <xf numFmtId="0" fontId="8309" fillId="8313" borderId="8260" xfId="0" applyFont="1" applyFill="1" applyBorder="1"/>
    <xf numFmtId="0" fontId="8310" fillId="8314" borderId="8261" xfId="0" applyFont="1" applyFill="1" applyBorder="1"/>
    <xf numFmtId="0" fontId="8311" fillId="8315" borderId="8262" xfId="0" applyFont="1" applyFill="1" applyBorder="1"/>
    <xf numFmtId="0" fontId="8312" fillId="8316" borderId="8263" xfId="0" applyFont="1" applyFill="1" applyBorder="1"/>
    <xf numFmtId="0" fontId="8313" fillId="8317" borderId="8264" xfId="0" applyFont="1" applyFill="1" applyBorder="1"/>
    <xf numFmtId="0" fontId="8314" fillId="8318" borderId="8265" xfId="0" applyFont="1" applyFill="1" applyBorder="1"/>
    <xf numFmtId="14" fontId="8315" fillId="8319" borderId="8266" xfId="0" applyNumberFormat="1" applyFont="1" applyFill="1" applyBorder="1"/>
    <xf numFmtId="14" fontId="8316" fillId="8320" borderId="8267" xfId="0" applyNumberFormat="1" applyFont="1" applyFill="1" applyBorder="1"/>
    <xf numFmtId="0" fontId="8317" fillId="8321" borderId="8268" xfId="0" applyFont="1" applyFill="1" applyBorder="1"/>
    <xf numFmtId="14" fontId="8318" fillId="8322" borderId="8269" xfId="0" applyNumberFormat="1" applyFont="1" applyFill="1" applyBorder="1"/>
    <xf numFmtId="0" fontId="8319" fillId="8323" borderId="8270" xfId="0" applyFont="1" applyFill="1" applyBorder="1"/>
    <xf numFmtId="0" fontId="8320" fillId="8324" borderId="8271" xfId="0" applyFont="1" applyFill="1" applyBorder="1"/>
    <xf numFmtId="0" fontId="8321" fillId="8325" borderId="8272" xfId="0" applyFont="1" applyFill="1" applyBorder="1"/>
    <xf numFmtId="0" fontId="8322" fillId="8326" borderId="8273" xfId="0" applyFont="1" applyFill="1" applyBorder="1"/>
    <xf numFmtId="0" fontId="8323" fillId="8327" borderId="8274" xfId="0" applyFont="1" applyFill="1" applyBorder="1"/>
    <xf numFmtId="0" fontId="8324" fillId="8328" borderId="8275" xfId="0" applyFont="1" applyFill="1" applyBorder="1"/>
    <xf numFmtId="14" fontId="8325" fillId="8329" borderId="8276" xfId="0" applyNumberFormat="1" applyFont="1" applyFill="1" applyBorder="1"/>
    <xf numFmtId="14" fontId="8326" fillId="8330" borderId="8277" xfId="0" applyNumberFormat="1" applyFont="1" applyFill="1" applyBorder="1"/>
    <xf numFmtId="0" fontId="8327" fillId="8331" borderId="8278" xfId="0" applyFont="1" applyFill="1" applyBorder="1"/>
    <xf numFmtId="14" fontId="8328" fillId="8332" borderId="8279" xfId="0" applyNumberFormat="1" applyFont="1" applyFill="1" applyBorder="1"/>
    <xf numFmtId="0" fontId="8329" fillId="8333" borderId="8280" xfId="0" applyFont="1" applyFill="1" applyBorder="1"/>
    <xf numFmtId="0" fontId="8330" fillId="8334" borderId="8281" xfId="0" applyFont="1" applyFill="1" applyBorder="1"/>
    <xf numFmtId="0" fontId="8331" fillId="8335" borderId="8282" xfId="0" applyFont="1" applyFill="1" applyBorder="1"/>
    <xf numFmtId="0" fontId="8332" fillId="8336" borderId="8283" xfId="0" applyFont="1" applyFill="1" applyBorder="1"/>
    <xf numFmtId="0" fontId="8333" fillId="8337" borderId="8284" xfId="0" applyFont="1" applyFill="1" applyBorder="1"/>
    <xf numFmtId="0" fontId="8334" fillId="8338" borderId="8285" xfId="0" applyFont="1" applyFill="1" applyBorder="1"/>
    <xf numFmtId="14" fontId="8335" fillId="8339" borderId="8286" xfId="0" applyNumberFormat="1" applyFont="1" applyFill="1" applyBorder="1"/>
    <xf numFmtId="14" fontId="8336" fillId="8340" borderId="8287" xfId="0" applyNumberFormat="1" applyFont="1" applyFill="1" applyBorder="1"/>
    <xf numFmtId="0" fontId="8337" fillId="8341" borderId="8288" xfId="0" applyFont="1" applyFill="1" applyBorder="1"/>
    <xf numFmtId="14" fontId="8338" fillId="8342" borderId="8289" xfId="0" applyNumberFormat="1" applyFont="1" applyFill="1" applyBorder="1"/>
    <xf numFmtId="0" fontId="8339" fillId="8343" borderId="8290" xfId="0" applyFont="1" applyFill="1" applyBorder="1"/>
    <xf numFmtId="0" fontId="8340" fillId="8344" borderId="8291" xfId="0" applyFont="1" applyFill="1" applyBorder="1"/>
    <xf numFmtId="0" fontId="8341" fillId="8345" borderId="8292" xfId="0" applyFont="1" applyFill="1" applyBorder="1"/>
    <xf numFmtId="0" fontId="8342" fillId="8346" borderId="8293" xfId="0" applyFont="1" applyFill="1" applyBorder="1"/>
    <xf numFmtId="0" fontId="8343" fillId="8347" borderId="8294" xfId="0" applyFont="1" applyFill="1" applyBorder="1"/>
    <xf numFmtId="0" fontId="8344" fillId="8348" borderId="8295" xfId="0" applyFont="1" applyFill="1" applyBorder="1"/>
    <xf numFmtId="14" fontId="8345" fillId="8349" borderId="8296" xfId="0" applyNumberFormat="1" applyFont="1" applyFill="1" applyBorder="1"/>
    <xf numFmtId="14" fontId="8346" fillId="8350" borderId="8297" xfId="0" applyNumberFormat="1" applyFont="1" applyFill="1" applyBorder="1"/>
    <xf numFmtId="0" fontId="8347" fillId="8351" borderId="8298" xfId="0" applyFont="1" applyFill="1" applyBorder="1"/>
    <xf numFmtId="14" fontId="8348" fillId="8352" borderId="8299" xfId="0" applyNumberFormat="1" applyFont="1" applyFill="1" applyBorder="1"/>
    <xf numFmtId="0" fontId="8349" fillId="8353" borderId="8300" xfId="0" applyFont="1" applyFill="1" applyBorder="1"/>
    <xf numFmtId="0" fontId="8350" fillId="8354" borderId="8301" xfId="0" applyFont="1" applyFill="1" applyBorder="1"/>
    <xf numFmtId="0" fontId="8351" fillId="8355" borderId="8302" xfId="0" applyFont="1" applyFill="1" applyBorder="1"/>
    <xf numFmtId="0" fontId="8352" fillId="8356" borderId="8303" xfId="0" applyFont="1" applyFill="1" applyBorder="1"/>
    <xf numFmtId="0" fontId="8353" fillId="8357" borderId="8304" xfId="0" applyFont="1" applyFill="1" applyBorder="1"/>
    <xf numFmtId="0" fontId="8354" fillId="8358" borderId="8305" xfId="0" applyFont="1" applyFill="1" applyBorder="1"/>
    <xf numFmtId="14" fontId="8355" fillId="8359" borderId="8306" xfId="0" applyNumberFormat="1" applyFont="1" applyFill="1" applyBorder="1"/>
    <xf numFmtId="14" fontId="8356" fillId="8360" borderId="8307" xfId="0" applyNumberFormat="1" applyFont="1" applyFill="1" applyBorder="1"/>
    <xf numFmtId="0" fontId="8357" fillId="8361" borderId="8308" xfId="0" applyFont="1" applyFill="1" applyBorder="1"/>
    <xf numFmtId="14" fontId="8358" fillId="8362" borderId="8309" xfId="0" applyNumberFormat="1" applyFont="1" applyFill="1" applyBorder="1"/>
    <xf numFmtId="0" fontId="8359" fillId="8363" borderId="8310" xfId="0" applyFont="1" applyFill="1" applyBorder="1"/>
    <xf numFmtId="0" fontId="8360" fillId="8364" borderId="8311" xfId="0" applyFont="1" applyFill="1" applyBorder="1"/>
    <xf numFmtId="0" fontId="8361" fillId="8365" borderId="8312" xfId="0" applyFont="1" applyFill="1" applyBorder="1"/>
    <xf numFmtId="0" fontId="8362" fillId="8366" borderId="8313" xfId="0" applyFont="1" applyFill="1" applyBorder="1"/>
    <xf numFmtId="0" fontId="8363" fillId="8367" borderId="8314" xfId="0" applyFont="1" applyFill="1" applyBorder="1"/>
    <xf numFmtId="0" fontId="8364" fillId="8368" borderId="8315" xfId="0" applyFont="1" applyFill="1" applyBorder="1"/>
    <xf numFmtId="14" fontId="8365" fillId="8369" borderId="8316" xfId="0" applyNumberFormat="1" applyFont="1" applyFill="1" applyBorder="1"/>
    <xf numFmtId="14" fontId="8366" fillId="8370" borderId="8317" xfId="0" applyNumberFormat="1" applyFont="1" applyFill="1" applyBorder="1"/>
    <xf numFmtId="0" fontId="8367" fillId="8371" borderId="8318" xfId="0" applyFont="1" applyFill="1" applyBorder="1"/>
    <xf numFmtId="14" fontId="8368" fillId="8372" borderId="8319" xfId="0" applyNumberFormat="1" applyFont="1" applyFill="1" applyBorder="1"/>
    <xf numFmtId="0" fontId="8369" fillId="8373" borderId="8320" xfId="0" applyFont="1" applyFill="1" applyBorder="1"/>
    <xf numFmtId="0" fontId="8370" fillId="8374" borderId="8321" xfId="0" applyFont="1" applyFill="1" applyBorder="1"/>
    <xf numFmtId="0" fontId="8371" fillId="8375" borderId="8322" xfId="0" applyFont="1" applyFill="1" applyBorder="1"/>
    <xf numFmtId="0" fontId="8372" fillId="8376" borderId="8323" xfId="0" applyFont="1" applyFill="1" applyBorder="1"/>
    <xf numFmtId="0" fontId="8373" fillId="8377" borderId="8324" xfId="0" applyFont="1" applyFill="1" applyBorder="1"/>
    <xf numFmtId="0" fontId="8374" fillId="8378" borderId="8325" xfId="0" applyFont="1" applyFill="1" applyBorder="1"/>
    <xf numFmtId="14" fontId="8375" fillId="8379" borderId="8326" xfId="0" applyNumberFormat="1" applyFont="1" applyFill="1" applyBorder="1"/>
    <xf numFmtId="14" fontId="8376" fillId="8380" borderId="8327" xfId="0" applyNumberFormat="1" applyFont="1" applyFill="1" applyBorder="1"/>
    <xf numFmtId="0" fontId="8377" fillId="8381" borderId="8328" xfId="0" applyFont="1" applyFill="1" applyBorder="1"/>
    <xf numFmtId="14" fontId="8378" fillId="8382" borderId="8329" xfId="0" applyNumberFormat="1" applyFont="1" applyFill="1" applyBorder="1"/>
    <xf numFmtId="0" fontId="8379" fillId="8383" borderId="8330" xfId="0" applyFont="1" applyFill="1" applyBorder="1"/>
    <xf numFmtId="0" fontId="8380" fillId="8384" borderId="8331" xfId="0" applyFont="1" applyFill="1" applyBorder="1"/>
    <xf numFmtId="0" fontId="8381" fillId="8385" borderId="8332" xfId="0" applyFont="1" applyFill="1" applyBorder="1"/>
    <xf numFmtId="0" fontId="8382" fillId="8386" borderId="8333" xfId="0" applyFont="1" applyFill="1" applyBorder="1"/>
    <xf numFmtId="0" fontId="8383" fillId="8387" borderId="8334" xfId="0" applyFont="1" applyFill="1" applyBorder="1"/>
    <xf numFmtId="0" fontId="8384" fillId="8388" borderId="8335" xfId="0" applyFont="1" applyFill="1" applyBorder="1"/>
    <xf numFmtId="14" fontId="8385" fillId="8389" borderId="8336" xfId="0" applyNumberFormat="1" applyFont="1" applyFill="1" applyBorder="1"/>
    <xf numFmtId="14" fontId="8386" fillId="8390" borderId="8337" xfId="0" applyNumberFormat="1" applyFont="1" applyFill="1" applyBorder="1"/>
    <xf numFmtId="0" fontId="8387" fillId="8391" borderId="8338" xfId="0" applyFont="1" applyFill="1" applyBorder="1"/>
    <xf numFmtId="14" fontId="8388" fillId="8392" borderId="8339" xfId="0" applyNumberFormat="1" applyFont="1" applyFill="1" applyBorder="1"/>
    <xf numFmtId="0" fontId="8389" fillId="8393" borderId="8340" xfId="0" applyFont="1" applyFill="1" applyBorder="1"/>
    <xf numFmtId="0" fontId="8390" fillId="8394" borderId="8341" xfId="0" applyFont="1" applyFill="1" applyBorder="1"/>
    <xf numFmtId="0" fontId="8391" fillId="8395" borderId="8342" xfId="0" applyFont="1" applyFill="1" applyBorder="1"/>
    <xf numFmtId="0" fontId="8392" fillId="8396" borderId="8343" xfId="0" applyFont="1" applyFill="1" applyBorder="1"/>
    <xf numFmtId="0" fontId="8393" fillId="8397" borderId="8344" xfId="0" applyFont="1" applyFill="1" applyBorder="1"/>
    <xf numFmtId="0" fontId="8394" fillId="8398" borderId="8345" xfId="0" applyFont="1" applyFill="1" applyBorder="1"/>
    <xf numFmtId="14" fontId="8395" fillId="8399" borderId="8346" xfId="0" applyNumberFormat="1" applyFont="1" applyFill="1" applyBorder="1"/>
    <xf numFmtId="14" fontId="8396" fillId="8400" borderId="8347" xfId="0" applyNumberFormat="1" applyFont="1" applyFill="1" applyBorder="1"/>
    <xf numFmtId="0" fontId="8397" fillId="8401" borderId="8348" xfId="0" applyFont="1" applyFill="1" applyBorder="1"/>
    <xf numFmtId="14" fontId="8398" fillId="8402" borderId="8349" xfId="0" applyNumberFormat="1" applyFont="1" applyFill="1" applyBorder="1"/>
    <xf numFmtId="0" fontId="8399" fillId="8403" borderId="8350" xfId="0" applyFont="1" applyFill="1" applyBorder="1"/>
    <xf numFmtId="0" fontId="8400" fillId="8404" borderId="8351" xfId="0" applyFont="1" applyFill="1" applyBorder="1"/>
    <xf numFmtId="0" fontId="8401" fillId="8405" borderId="8352" xfId="0" applyFont="1" applyFill="1" applyBorder="1"/>
    <xf numFmtId="0" fontId="8402" fillId="8406" borderId="8353" xfId="0" applyFont="1" applyFill="1" applyBorder="1"/>
    <xf numFmtId="0" fontId="8403" fillId="8407" borderId="8354" xfId="0" applyFont="1" applyFill="1" applyBorder="1"/>
    <xf numFmtId="0" fontId="8404" fillId="8408" borderId="8355" xfId="0" applyFont="1" applyFill="1" applyBorder="1"/>
    <xf numFmtId="14" fontId="8405" fillId="8409" borderId="8356" xfId="0" applyNumberFormat="1" applyFont="1" applyFill="1" applyBorder="1"/>
    <xf numFmtId="14" fontId="8406" fillId="8410" borderId="8357" xfId="0" applyNumberFormat="1" applyFont="1" applyFill="1" applyBorder="1"/>
    <xf numFmtId="0" fontId="8407" fillId="8411" borderId="8358" xfId="0" applyFont="1" applyFill="1" applyBorder="1"/>
    <xf numFmtId="14" fontId="8408" fillId="8412" borderId="8359" xfId="0" applyNumberFormat="1" applyFont="1" applyFill="1" applyBorder="1"/>
    <xf numFmtId="0" fontId="8409" fillId="8413" borderId="8360" xfId="0" applyFont="1" applyFill="1" applyBorder="1"/>
    <xf numFmtId="0" fontId="8410" fillId="8414" borderId="8361" xfId="0" applyFont="1" applyFill="1" applyBorder="1"/>
    <xf numFmtId="0" fontId="8411" fillId="8415" borderId="8362" xfId="0" applyFont="1" applyFill="1" applyBorder="1"/>
    <xf numFmtId="0" fontId="8412" fillId="8416" borderId="8363" xfId="0" applyFont="1" applyFill="1" applyBorder="1"/>
    <xf numFmtId="0" fontId="8413" fillId="8417" borderId="8364" xfId="0" applyFont="1" applyFill="1" applyBorder="1"/>
    <xf numFmtId="0" fontId="8414" fillId="8418" borderId="8365" xfId="0" applyFont="1" applyFill="1" applyBorder="1"/>
    <xf numFmtId="14" fontId="8415" fillId="8419" borderId="8366" xfId="0" applyNumberFormat="1" applyFont="1" applyFill="1" applyBorder="1"/>
    <xf numFmtId="14" fontId="8416" fillId="8420" borderId="8367" xfId="0" applyNumberFormat="1" applyFont="1" applyFill="1" applyBorder="1"/>
    <xf numFmtId="0" fontId="8417" fillId="8421" borderId="8368" xfId="0" applyFont="1" applyFill="1" applyBorder="1"/>
    <xf numFmtId="14" fontId="8418" fillId="8422" borderId="8369" xfId="0" applyNumberFormat="1" applyFont="1" applyFill="1" applyBorder="1"/>
    <xf numFmtId="0" fontId="8419" fillId="8423" borderId="8370" xfId="0" applyFont="1" applyFill="1" applyBorder="1"/>
    <xf numFmtId="0" fontId="8420" fillId="8424" borderId="8371" xfId="0" applyFont="1" applyFill="1" applyBorder="1"/>
    <xf numFmtId="0" fontId="8421" fillId="8425" borderId="8372" xfId="0" applyFont="1" applyFill="1" applyBorder="1"/>
    <xf numFmtId="0" fontId="8422" fillId="8426" borderId="8373" xfId="0" applyFont="1" applyFill="1" applyBorder="1"/>
    <xf numFmtId="0" fontId="8423" fillId="8427" borderId="8374" xfId="0" applyFont="1" applyFill="1" applyBorder="1"/>
    <xf numFmtId="0" fontId="8424" fillId="8428" borderId="8375" xfId="0" applyFont="1" applyFill="1" applyBorder="1"/>
    <xf numFmtId="14" fontId="8425" fillId="8429" borderId="8376" xfId="0" applyNumberFormat="1" applyFont="1" applyFill="1" applyBorder="1"/>
    <xf numFmtId="14" fontId="8426" fillId="8430" borderId="8377" xfId="0" applyNumberFormat="1" applyFont="1" applyFill="1" applyBorder="1"/>
    <xf numFmtId="0" fontId="8427" fillId="8431" borderId="8378" xfId="0" applyFont="1" applyFill="1" applyBorder="1"/>
    <xf numFmtId="14" fontId="8428" fillId="8432" borderId="8379" xfId="0" applyNumberFormat="1" applyFont="1" applyFill="1" applyBorder="1"/>
    <xf numFmtId="0" fontId="8429" fillId="8433" borderId="8380" xfId="0" applyFont="1" applyFill="1" applyBorder="1"/>
    <xf numFmtId="0" fontId="8430" fillId="8434" borderId="8381" xfId="0" applyFont="1" applyFill="1" applyBorder="1"/>
    <xf numFmtId="0" fontId="8431" fillId="8435" borderId="8382" xfId="0" applyFont="1" applyFill="1" applyBorder="1"/>
    <xf numFmtId="0" fontId="8432" fillId="8436" borderId="8383" xfId="0" applyFont="1" applyFill="1" applyBorder="1"/>
    <xf numFmtId="0" fontId="8433" fillId="8437" borderId="8384" xfId="0" applyFont="1" applyFill="1" applyBorder="1"/>
    <xf numFmtId="0" fontId="8434" fillId="8438" borderId="8385" xfId="0" applyFont="1" applyFill="1" applyBorder="1"/>
    <xf numFmtId="14" fontId="8435" fillId="8439" borderId="8386" xfId="0" applyNumberFormat="1" applyFont="1" applyFill="1" applyBorder="1"/>
    <xf numFmtId="14" fontId="8436" fillId="8440" borderId="8387" xfId="0" applyNumberFormat="1" applyFont="1" applyFill="1" applyBorder="1"/>
    <xf numFmtId="0" fontId="8437" fillId="8441" borderId="8388" xfId="0" applyFont="1" applyFill="1" applyBorder="1"/>
    <xf numFmtId="14" fontId="8438" fillId="8442" borderId="8389" xfId="0" applyNumberFormat="1" applyFont="1" applyFill="1" applyBorder="1"/>
    <xf numFmtId="0" fontId="8439" fillId="8443" borderId="8390" xfId="0" applyFont="1" applyFill="1" applyBorder="1"/>
    <xf numFmtId="0" fontId="8440" fillId="8444" borderId="8391" xfId="0" applyFont="1" applyFill="1" applyBorder="1"/>
    <xf numFmtId="0" fontId="8441" fillId="8445" borderId="8392" xfId="0" applyFont="1" applyFill="1" applyBorder="1"/>
    <xf numFmtId="0" fontId="8442" fillId="8446" borderId="8393" xfId="0" applyFont="1" applyFill="1" applyBorder="1"/>
    <xf numFmtId="0" fontId="8443" fillId="8447" borderId="8394" xfId="0" applyFont="1" applyFill="1" applyBorder="1"/>
    <xf numFmtId="0" fontId="8444" fillId="8448" borderId="8395" xfId="0" applyFont="1" applyFill="1" applyBorder="1"/>
    <xf numFmtId="14" fontId="8445" fillId="8449" borderId="8396" xfId="0" applyNumberFormat="1" applyFont="1" applyFill="1" applyBorder="1"/>
    <xf numFmtId="14" fontId="8446" fillId="8450" borderId="8397" xfId="0" applyNumberFormat="1" applyFont="1" applyFill="1" applyBorder="1"/>
    <xf numFmtId="0" fontId="8447" fillId="8451" borderId="8398" xfId="0" applyFont="1" applyFill="1" applyBorder="1"/>
    <xf numFmtId="14" fontId="8448" fillId="8452" borderId="8399" xfId="0" applyNumberFormat="1" applyFont="1" applyFill="1" applyBorder="1"/>
    <xf numFmtId="0" fontId="8449" fillId="8453" borderId="8400" xfId="0" applyFont="1" applyFill="1" applyBorder="1"/>
    <xf numFmtId="0" fontId="8450" fillId="8454" borderId="8401" xfId="0" applyFont="1" applyFill="1" applyBorder="1"/>
    <xf numFmtId="0" fontId="8451" fillId="8455" borderId="8402" xfId="0" applyFont="1" applyFill="1" applyBorder="1"/>
    <xf numFmtId="0" fontId="8452" fillId="8456" borderId="8403" xfId="0" applyFont="1" applyFill="1" applyBorder="1"/>
    <xf numFmtId="0" fontId="8453" fillId="8457" borderId="8404" xfId="0" applyFont="1" applyFill="1" applyBorder="1"/>
    <xf numFmtId="0" fontId="8454" fillId="8458" borderId="8405" xfId="0" applyFont="1" applyFill="1" applyBorder="1"/>
    <xf numFmtId="14" fontId="8455" fillId="8459" borderId="8406" xfId="0" applyNumberFormat="1" applyFont="1" applyFill="1" applyBorder="1"/>
    <xf numFmtId="14" fontId="8456" fillId="8460" borderId="8407" xfId="0" applyNumberFormat="1" applyFont="1" applyFill="1" applyBorder="1"/>
    <xf numFmtId="0" fontId="8457" fillId="8461" borderId="8408" xfId="0" applyFont="1" applyFill="1" applyBorder="1"/>
    <xf numFmtId="14" fontId="8458" fillId="8462" borderId="8409" xfId="0" applyNumberFormat="1" applyFont="1" applyFill="1" applyBorder="1"/>
    <xf numFmtId="0" fontId="8459" fillId="8463" borderId="8410" xfId="0" applyFont="1" applyFill="1" applyBorder="1"/>
    <xf numFmtId="0" fontId="8460" fillId="8464" borderId="8411" xfId="0" applyFont="1" applyFill="1" applyBorder="1"/>
    <xf numFmtId="0" fontId="8461" fillId="8465" borderId="8412" xfId="0" applyFont="1" applyFill="1" applyBorder="1"/>
    <xf numFmtId="0" fontId="8462" fillId="8466" borderId="8413" xfId="0" applyFont="1" applyFill="1" applyBorder="1"/>
    <xf numFmtId="0" fontId="8463" fillId="8467" borderId="8414" xfId="0" applyFont="1" applyFill="1" applyBorder="1"/>
    <xf numFmtId="0" fontId="8464" fillId="8468" borderId="8415" xfId="0" applyFont="1" applyFill="1" applyBorder="1"/>
    <xf numFmtId="14" fontId="8465" fillId="8469" borderId="8416" xfId="0" applyNumberFormat="1" applyFont="1" applyFill="1" applyBorder="1"/>
    <xf numFmtId="14" fontId="8466" fillId="8470" borderId="8417" xfId="0" applyNumberFormat="1" applyFont="1" applyFill="1" applyBorder="1"/>
    <xf numFmtId="0" fontId="8467" fillId="8471" borderId="8418" xfId="0" applyFont="1" applyFill="1" applyBorder="1"/>
    <xf numFmtId="14" fontId="8468" fillId="8472" borderId="8419" xfId="0" applyNumberFormat="1" applyFont="1" applyFill="1" applyBorder="1"/>
    <xf numFmtId="0" fontId="8469" fillId="8473" borderId="8420" xfId="0" applyFont="1" applyFill="1" applyBorder="1"/>
    <xf numFmtId="0" fontId="8470" fillId="8474" borderId="8421" xfId="0" applyFont="1" applyFill="1" applyBorder="1"/>
    <xf numFmtId="0" fontId="8471" fillId="8475" borderId="8422" xfId="0" applyFont="1" applyFill="1" applyBorder="1"/>
    <xf numFmtId="0" fontId="8472" fillId="8476" borderId="8423" xfId="0" applyFont="1" applyFill="1" applyBorder="1"/>
    <xf numFmtId="0" fontId="8473" fillId="8477" borderId="8424" xfId="0" applyFont="1" applyFill="1" applyBorder="1"/>
    <xf numFmtId="0" fontId="8474" fillId="8478" borderId="8425" xfId="0" applyFont="1" applyFill="1" applyBorder="1"/>
    <xf numFmtId="14" fontId="8475" fillId="8479" borderId="8426" xfId="0" applyNumberFormat="1" applyFont="1" applyFill="1" applyBorder="1"/>
    <xf numFmtId="14" fontId="8476" fillId="8480" borderId="8427" xfId="0" applyNumberFormat="1" applyFont="1" applyFill="1" applyBorder="1"/>
    <xf numFmtId="0" fontId="8477" fillId="8481" borderId="8428" xfId="0" applyFont="1" applyFill="1" applyBorder="1"/>
    <xf numFmtId="14" fontId="8478" fillId="8482" borderId="8429" xfId="0" applyNumberFormat="1" applyFont="1" applyFill="1" applyBorder="1"/>
    <xf numFmtId="0" fontId="8479" fillId="8483" borderId="8430" xfId="0" applyFont="1" applyFill="1" applyBorder="1"/>
    <xf numFmtId="0" fontId="8480" fillId="8484" borderId="8431" xfId="0" applyFont="1" applyFill="1" applyBorder="1"/>
    <xf numFmtId="0" fontId="8481" fillId="8485" borderId="8432" xfId="0" applyFont="1" applyFill="1" applyBorder="1"/>
    <xf numFmtId="0" fontId="8482" fillId="8486" borderId="8433" xfId="0" applyFont="1" applyFill="1" applyBorder="1"/>
    <xf numFmtId="0" fontId="8483" fillId="8487" borderId="8434" xfId="0" applyFont="1" applyFill="1" applyBorder="1"/>
    <xf numFmtId="0" fontId="8484" fillId="8488" borderId="8435" xfId="0" applyFont="1" applyFill="1" applyBorder="1"/>
    <xf numFmtId="14" fontId="8485" fillId="8489" borderId="8436" xfId="0" applyNumberFormat="1" applyFont="1" applyFill="1" applyBorder="1"/>
    <xf numFmtId="14" fontId="8486" fillId="8490" borderId="8437" xfId="0" applyNumberFormat="1" applyFont="1" applyFill="1" applyBorder="1"/>
    <xf numFmtId="0" fontId="8487" fillId="8491" borderId="8438" xfId="0" applyFont="1" applyFill="1" applyBorder="1"/>
    <xf numFmtId="14" fontId="8488" fillId="8492" borderId="8439" xfId="0" applyNumberFormat="1" applyFont="1" applyFill="1" applyBorder="1"/>
    <xf numFmtId="0" fontId="8489" fillId="8493" borderId="8440" xfId="0" applyFont="1" applyFill="1" applyBorder="1"/>
    <xf numFmtId="0" fontId="8490" fillId="8494" borderId="8441" xfId="0" applyFont="1" applyFill="1" applyBorder="1"/>
    <xf numFmtId="0" fontId="8491" fillId="8495" borderId="8442" xfId="0" applyFont="1" applyFill="1" applyBorder="1"/>
    <xf numFmtId="0" fontId="8492" fillId="8496" borderId="8443" xfId="0" applyFont="1" applyFill="1" applyBorder="1"/>
    <xf numFmtId="0" fontId="8493" fillId="8497" borderId="8444" xfId="0" applyFont="1" applyFill="1" applyBorder="1"/>
    <xf numFmtId="0" fontId="8494" fillId="8498" borderId="8445" xfId="0" applyFont="1" applyFill="1" applyBorder="1"/>
    <xf numFmtId="14" fontId="8495" fillId="8499" borderId="8446" xfId="0" applyNumberFormat="1" applyFont="1" applyFill="1" applyBorder="1"/>
    <xf numFmtId="14" fontId="8496" fillId="8500" borderId="8447" xfId="0" applyNumberFormat="1" applyFont="1" applyFill="1" applyBorder="1"/>
    <xf numFmtId="0" fontId="8497" fillId="8501" borderId="8448" xfId="0" applyFont="1" applyFill="1" applyBorder="1"/>
    <xf numFmtId="14" fontId="8498" fillId="8502" borderId="8449" xfId="0" applyNumberFormat="1" applyFont="1" applyFill="1" applyBorder="1"/>
    <xf numFmtId="0" fontId="8499" fillId="8503" borderId="8450" xfId="0" applyFont="1" applyFill="1" applyBorder="1"/>
    <xf numFmtId="0" fontId="8500" fillId="8504" borderId="8451" xfId="0" applyFont="1" applyFill="1" applyBorder="1"/>
    <xf numFmtId="0" fontId="8501" fillId="8505" borderId="8452" xfId="0" applyFont="1" applyFill="1" applyBorder="1"/>
    <xf numFmtId="0" fontId="8502" fillId="8506" borderId="8453" xfId="0" applyFont="1" applyFill="1" applyBorder="1"/>
    <xf numFmtId="0" fontId="8503" fillId="8507" borderId="8454" xfId="0" applyFont="1" applyFill="1" applyBorder="1"/>
    <xf numFmtId="0" fontId="8504" fillId="8508" borderId="8455" xfId="0" applyFont="1" applyFill="1" applyBorder="1"/>
    <xf numFmtId="14" fontId="8505" fillId="8509" borderId="8456" xfId="0" applyNumberFormat="1" applyFont="1" applyFill="1" applyBorder="1"/>
    <xf numFmtId="14" fontId="8506" fillId="8510" borderId="8457" xfId="0" applyNumberFormat="1" applyFont="1" applyFill="1" applyBorder="1"/>
    <xf numFmtId="0" fontId="8507" fillId="8511" borderId="8458" xfId="0" applyFont="1" applyFill="1" applyBorder="1"/>
    <xf numFmtId="14" fontId="8508" fillId="8512" borderId="8459" xfId="0" applyNumberFormat="1" applyFont="1" applyFill="1" applyBorder="1"/>
    <xf numFmtId="0" fontId="8509" fillId="8513" borderId="8460" xfId="0" applyFont="1" applyFill="1" applyBorder="1"/>
    <xf numFmtId="0" fontId="8510" fillId="8514" borderId="8461" xfId="0" applyFont="1" applyFill="1" applyBorder="1"/>
    <xf numFmtId="0" fontId="8511" fillId="8515" borderId="8462" xfId="0" applyFont="1" applyFill="1" applyBorder="1"/>
    <xf numFmtId="0" fontId="8512" fillId="8516" borderId="8463" xfId="0" applyFont="1" applyFill="1" applyBorder="1"/>
    <xf numFmtId="0" fontId="8513" fillId="8517" borderId="8464" xfId="0" applyFont="1" applyFill="1" applyBorder="1"/>
    <xf numFmtId="0" fontId="8514" fillId="8518" borderId="8465" xfId="0" applyFont="1" applyFill="1" applyBorder="1"/>
    <xf numFmtId="14" fontId="8515" fillId="8519" borderId="8466" xfId="0" applyNumberFormat="1" applyFont="1" applyFill="1" applyBorder="1"/>
    <xf numFmtId="14" fontId="8516" fillId="8520" borderId="8467" xfId="0" applyNumberFormat="1" applyFont="1" applyFill="1" applyBorder="1"/>
    <xf numFmtId="0" fontId="8517" fillId="8521" borderId="8468" xfId="0" applyFont="1" applyFill="1" applyBorder="1"/>
    <xf numFmtId="14" fontId="8518" fillId="8522" borderId="8469" xfId="0" applyNumberFormat="1" applyFont="1" applyFill="1" applyBorder="1"/>
    <xf numFmtId="0" fontId="8519" fillId="8523" borderId="8470" xfId="0" applyFont="1" applyFill="1" applyBorder="1"/>
    <xf numFmtId="0" fontId="8520" fillId="8524" borderId="8471" xfId="0" applyFont="1" applyFill="1" applyBorder="1"/>
    <xf numFmtId="0" fontId="8521" fillId="8525" borderId="8472" xfId="0" applyFont="1" applyFill="1" applyBorder="1"/>
    <xf numFmtId="0" fontId="8522" fillId="8526" borderId="8473" xfId="0" applyFont="1" applyFill="1" applyBorder="1"/>
    <xf numFmtId="0" fontId="8523" fillId="8527" borderId="8474" xfId="0" applyFont="1" applyFill="1" applyBorder="1"/>
    <xf numFmtId="0" fontId="8524" fillId="8528" borderId="8475" xfId="0" applyFont="1" applyFill="1" applyBorder="1"/>
    <xf numFmtId="14" fontId="8525" fillId="8529" borderId="8476" xfId="0" applyNumberFormat="1" applyFont="1" applyFill="1" applyBorder="1"/>
    <xf numFmtId="14" fontId="8526" fillId="8530" borderId="8477" xfId="0" applyNumberFormat="1" applyFont="1" applyFill="1" applyBorder="1"/>
    <xf numFmtId="0" fontId="8527" fillId="8531" borderId="8478" xfId="0" applyFont="1" applyFill="1" applyBorder="1"/>
    <xf numFmtId="14" fontId="8528" fillId="8532" borderId="8479" xfId="0" applyNumberFormat="1" applyFont="1" applyFill="1" applyBorder="1"/>
    <xf numFmtId="0" fontId="8529" fillId="8533" borderId="8480" xfId="0" applyFont="1" applyFill="1" applyBorder="1"/>
    <xf numFmtId="0" fontId="8530" fillId="8534" borderId="8481" xfId="0" applyFont="1" applyFill="1" applyBorder="1"/>
    <xf numFmtId="0" fontId="8531" fillId="8535" borderId="8482" xfId="0" applyFont="1" applyFill="1" applyBorder="1"/>
    <xf numFmtId="0" fontId="8532" fillId="8536" borderId="8483" xfId="0" applyFont="1" applyFill="1" applyBorder="1"/>
    <xf numFmtId="0" fontId="8533" fillId="8537" borderId="8484" xfId="0" applyFont="1" applyFill="1" applyBorder="1"/>
    <xf numFmtId="0" fontId="8534" fillId="8538" borderId="8485" xfId="0" applyFont="1" applyFill="1" applyBorder="1"/>
    <xf numFmtId="14" fontId="8535" fillId="8539" borderId="8486" xfId="0" applyNumberFormat="1" applyFont="1" applyFill="1" applyBorder="1"/>
    <xf numFmtId="14" fontId="8536" fillId="8540" borderId="8487" xfId="0" applyNumberFormat="1" applyFont="1" applyFill="1" applyBorder="1"/>
    <xf numFmtId="0" fontId="8537" fillId="8541" borderId="8488" xfId="0" applyFont="1" applyFill="1" applyBorder="1"/>
    <xf numFmtId="14" fontId="8538" fillId="8542" borderId="8489" xfId="0" applyNumberFormat="1" applyFont="1" applyFill="1" applyBorder="1"/>
    <xf numFmtId="0" fontId="8539" fillId="8543" borderId="8490" xfId="0" applyFont="1" applyFill="1" applyBorder="1"/>
    <xf numFmtId="0" fontId="8540" fillId="8544" borderId="8491" xfId="0" applyFont="1" applyFill="1" applyBorder="1"/>
    <xf numFmtId="0" fontId="8541" fillId="8545" borderId="8492" xfId="0" applyFont="1" applyFill="1" applyBorder="1"/>
    <xf numFmtId="0" fontId="8542" fillId="8546" borderId="8493" xfId="0" applyFont="1" applyFill="1" applyBorder="1"/>
    <xf numFmtId="0" fontId="8543" fillId="8547" borderId="8494" xfId="0" applyFont="1" applyFill="1" applyBorder="1"/>
    <xf numFmtId="0" fontId="8544" fillId="8548" borderId="8495" xfId="0" applyFont="1" applyFill="1" applyBorder="1"/>
    <xf numFmtId="14" fontId="8545" fillId="8549" borderId="8496" xfId="0" applyNumberFormat="1" applyFont="1" applyFill="1" applyBorder="1"/>
    <xf numFmtId="14" fontId="8546" fillId="8550" borderId="8497" xfId="0" applyNumberFormat="1" applyFont="1" applyFill="1" applyBorder="1"/>
    <xf numFmtId="0" fontId="8547" fillId="8551" borderId="8498" xfId="0" applyFont="1" applyFill="1" applyBorder="1"/>
    <xf numFmtId="14" fontId="8548" fillId="8552" borderId="8499" xfId="0" applyNumberFormat="1" applyFont="1" applyFill="1" applyBorder="1"/>
    <xf numFmtId="0" fontId="8549" fillId="8553" borderId="8500" xfId="0" applyFont="1" applyFill="1" applyBorder="1"/>
    <xf numFmtId="0" fontId="8550" fillId="8554" borderId="8501" xfId="0" applyFont="1" applyFill="1" applyBorder="1"/>
    <xf numFmtId="0" fontId="8551" fillId="8555" borderId="8502" xfId="0" applyFont="1" applyFill="1" applyBorder="1"/>
    <xf numFmtId="0" fontId="8552" fillId="8556" borderId="8503" xfId="0" applyFont="1" applyFill="1" applyBorder="1"/>
    <xf numFmtId="0" fontId="8553" fillId="8557" borderId="8504" xfId="0" applyFont="1" applyFill="1" applyBorder="1"/>
    <xf numFmtId="0" fontId="8554" fillId="8558" borderId="8505" xfId="0" applyFont="1" applyFill="1" applyBorder="1"/>
    <xf numFmtId="14" fontId="8555" fillId="8559" borderId="8506" xfId="0" applyNumberFormat="1" applyFont="1" applyFill="1" applyBorder="1"/>
    <xf numFmtId="14" fontId="8556" fillId="8560" borderId="8507" xfId="0" applyNumberFormat="1" applyFont="1" applyFill="1" applyBorder="1"/>
    <xf numFmtId="0" fontId="8557" fillId="8561" borderId="8508" xfId="0" applyFont="1" applyFill="1" applyBorder="1"/>
    <xf numFmtId="14" fontId="8558" fillId="8562" borderId="8509" xfId="0" applyNumberFormat="1" applyFont="1" applyFill="1" applyBorder="1"/>
    <xf numFmtId="0" fontId="8559" fillId="8563" borderId="8510" xfId="0" applyFont="1" applyFill="1" applyBorder="1"/>
    <xf numFmtId="0" fontId="8560" fillId="8564" borderId="8511" xfId="0" applyFont="1" applyFill="1" applyBorder="1"/>
    <xf numFmtId="0" fontId="8561" fillId="8565" borderId="8512" xfId="0" applyFont="1" applyFill="1" applyBorder="1"/>
    <xf numFmtId="0" fontId="8562" fillId="8566" borderId="8513" xfId="0" applyFont="1" applyFill="1" applyBorder="1"/>
    <xf numFmtId="0" fontId="8563" fillId="8567" borderId="8514" xfId="0" applyFont="1" applyFill="1" applyBorder="1"/>
    <xf numFmtId="0" fontId="8564" fillId="8568" borderId="8515" xfId="0" applyFont="1" applyFill="1" applyBorder="1"/>
    <xf numFmtId="14" fontId="8565" fillId="8569" borderId="8516" xfId="0" applyNumberFormat="1" applyFont="1" applyFill="1" applyBorder="1"/>
    <xf numFmtId="14" fontId="8566" fillId="8570" borderId="8517" xfId="0" applyNumberFormat="1" applyFont="1" applyFill="1" applyBorder="1"/>
    <xf numFmtId="0" fontId="8567" fillId="8571" borderId="8518" xfId="0" applyFont="1" applyFill="1" applyBorder="1"/>
    <xf numFmtId="14" fontId="8568" fillId="8572" borderId="8519" xfId="0" applyNumberFormat="1" applyFont="1" applyFill="1" applyBorder="1"/>
    <xf numFmtId="0" fontId="8569" fillId="8573" borderId="8520" xfId="0" applyFont="1" applyFill="1" applyBorder="1"/>
    <xf numFmtId="0" fontId="8570" fillId="8574" borderId="8521" xfId="0" applyFont="1" applyFill="1" applyBorder="1"/>
    <xf numFmtId="0" fontId="8571" fillId="8575" borderId="8522" xfId="0" applyFont="1" applyFill="1" applyBorder="1"/>
    <xf numFmtId="0" fontId="8572" fillId="8576" borderId="8523" xfId="0" applyFont="1" applyFill="1" applyBorder="1"/>
    <xf numFmtId="0" fontId="8573" fillId="8577" borderId="8524" xfId="0" applyFont="1" applyFill="1" applyBorder="1"/>
    <xf numFmtId="0" fontId="8574" fillId="8578" borderId="8525" xfId="0" applyFont="1" applyFill="1" applyBorder="1"/>
    <xf numFmtId="14" fontId="8575" fillId="8579" borderId="8526" xfId="0" applyNumberFormat="1" applyFont="1" applyFill="1" applyBorder="1"/>
    <xf numFmtId="14" fontId="8576" fillId="8580" borderId="8527" xfId="0" applyNumberFormat="1" applyFont="1" applyFill="1" applyBorder="1"/>
    <xf numFmtId="0" fontId="8577" fillId="8581" borderId="8528" xfId="0" applyFont="1" applyFill="1" applyBorder="1"/>
    <xf numFmtId="14" fontId="8578" fillId="8582" borderId="8529" xfId="0" applyNumberFormat="1" applyFont="1" applyFill="1" applyBorder="1"/>
    <xf numFmtId="0" fontId="8579" fillId="8583" borderId="8530" xfId="0" applyFont="1" applyFill="1" applyBorder="1"/>
    <xf numFmtId="0" fontId="8580" fillId="8584" borderId="8531" xfId="0" applyFont="1" applyFill="1" applyBorder="1"/>
    <xf numFmtId="0" fontId="8581" fillId="8585" borderId="8532" xfId="0" applyFont="1" applyFill="1" applyBorder="1"/>
    <xf numFmtId="0" fontId="8582" fillId="8586" borderId="8533" xfId="0" applyFont="1" applyFill="1" applyBorder="1"/>
    <xf numFmtId="0" fontId="8583" fillId="8587" borderId="8534" xfId="0" applyFont="1" applyFill="1" applyBorder="1"/>
    <xf numFmtId="0" fontId="8584" fillId="8588" borderId="8535" xfId="0" applyFont="1" applyFill="1" applyBorder="1"/>
    <xf numFmtId="0" fontId="8585" fillId="8589" borderId="8536" xfId="0" applyFont="1" applyFill="1" applyBorder="1"/>
    <xf numFmtId="14" fontId="8586" fillId="8590" borderId="8537" xfId="0" applyNumberFormat="1" applyFont="1" applyFill="1" applyBorder="1"/>
    <xf numFmtId="0" fontId="8587" fillId="8591" borderId="8538" xfId="0" applyFont="1" applyFill="1" applyBorder="1"/>
    <xf numFmtId="14" fontId="8588" fillId="8592" borderId="8539" xfId="0" applyNumberFormat="1" applyFont="1" applyFill="1" applyBorder="1"/>
    <xf numFmtId="0" fontId="8589" fillId="8593" borderId="8540" xfId="0" applyFont="1" applyFill="1" applyBorder="1"/>
    <xf numFmtId="0" fontId="8590" fillId="8594" borderId="8541" xfId="0" applyFont="1" applyFill="1" applyBorder="1"/>
    <xf numFmtId="0" fontId="8591" fillId="8595" borderId="8542" xfId="0" applyFont="1" applyFill="1" applyBorder="1"/>
    <xf numFmtId="0" fontId="8592" fillId="8596" borderId="8543" xfId="0" applyFont="1" applyFill="1" applyBorder="1"/>
    <xf numFmtId="0" fontId="8593" fillId="8597" borderId="8544" xfId="0" applyFont="1" applyFill="1" applyBorder="1"/>
    <xf numFmtId="0" fontId="8594" fillId="8598" borderId="8545" xfId="0" applyFont="1" applyFill="1" applyBorder="1"/>
    <xf numFmtId="0" fontId="8595" fillId="8599" borderId="8546" xfId="0" applyFont="1" applyFill="1" applyBorder="1"/>
    <xf numFmtId="14" fontId="8596" fillId="8600" borderId="8547" xfId="0" applyNumberFormat="1" applyFont="1" applyFill="1" applyBorder="1"/>
    <xf numFmtId="0" fontId="8597" fillId="8601" borderId="8548" xfId="0" applyFont="1" applyFill="1" applyBorder="1"/>
    <xf numFmtId="14" fontId="8598" fillId="8602" borderId="8549" xfId="0" applyNumberFormat="1" applyFont="1" applyFill="1" applyBorder="1"/>
    <xf numFmtId="0" fontId="8599" fillId="8603" borderId="8550" xfId="0" applyFont="1" applyFill="1" applyBorder="1"/>
    <xf numFmtId="0" fontId="8600" fillId="8604" borderId="8551" xfId="0" applyFont="1" applyFill="1" applyBorder="1"/>
    <xf numFmtId="0" fontId="8601" fillId="8605" borderId="8552" xfId="0" applyFont="1" applyFill="1" applyBorder="1"/>
    <xf numFmtId="0" fontId="8602" fillId="8606" borderId="8553" xfId="0" applyFont="1" applyFill="1" applyBorder="1"/>
    <xf numFmtId="0" fontId="8603" fillId="8607" borderId="8554" xfId="0" applyFont="1" applyFill="1" applyBorder="1"/>
    <xf numFmtId="0" fontId="8604" fillId="8608" borderId="8555" xfId="0" applyFont="1" applyFill="1" applyBorder="1"/>
    <xf numFmtId="0" fontId="8605" fillId="8609" borderId="8556" xfId="0" applyFont="1" applyFill="1" applyBorder="1"/>
    <xf numFmtId="14" fontId="8606" fillId="8610" borderId="8557" xfId="0" applyNumberFormat="1" applyFont="1" applyFill="1" applyBorder="1"/>
    <xf numFmtId="0" fontId="8607" fillId="8611" borderId="8558" xfId="0" applyFont="1" applyFill="1" applyBorder="1"/>
    <xf numFmtId="14" fontId="8608" fillId="8612" borderId="8559" xfId="0" applyNumberFormat="1" applyFont="1" applyFill="1" applyBorder="1"/>
    <xf numFmtId="0" fontId="8609" fillId="8613" borderId="8560" xfId="0" applyFont="1" applyFill="1" applyBorder="1"/>
    <xf numFmtId="0" fontId="8610" fillId="8614" borderId="8561" xfId="0" applyFont="1" applyFill="1" applyBorder="1"/>
    <xf numFmtId="0" fontId="8611" fillId="8615" borderId="8562" xfId="0" applyFont="1" applyFill="1" applyBorder="1"/>
    <xf numFmtId="0" fontId="8612" fillId="8616" borderId="8563" xfId="0" applyFont="1" applyFill="1" applyBorder="1"/>
    <xf numFmtId="0" fontId="8613" fillId="8617" borderId="8564" xfId="0" applyFont="1" applyFill="1" applyBorder="1"/>
    <xf numFmtId="0" fontId="8614" fillId="8618" borderId="8565" xfId="0" applyFont="1" applyFill="1" applyBorder="1"/>
    <xf numFmtId="0" fontId="8615" fillId="8619" borderId="8566" xfId="0" applyFont="1" applyFill="1" applyBorder="1"/>
    <xf numFmtId="14" fontId="8616" fillId="8620" borderId="8567" xfId="0" applyNumberFormat="1" applyFont="1" applyFill="1" applyBorder="1"/>
    <xf numFmtId="0" fontId="8617" fillId="8621" borderId="8568" xfId="0" applyFont="1" applyFill="1" applyBorder="1"/>
    <xf numFmtId="14" fontId="8618" fillId="8622" borderId="8569" xfId="0" applyNumberFormat="1" applyFont="1" applyFill="1" applyBorder="1"/>
    <xf numFmtId="0" fontId="8619" fillId="8623" borderId="8570" xfId="0" applyFont="1" applyFill="1" applyBorder="1"/>
    <xf numFmtId="0" fontId="8620" fillId="8624" borderId="8571" xfId="0" applyFont="1" applyFill="1" applyBorder="1"/>
    <xf numFmtId="0" fontId="8621" fillId="8625" borderId="8572" xfId="0" applyFont="1" applyFill="1" applyBorder="1"/>
    <xf numFmtId="0" fontId="8622" fillId="8626" borderId="8573" xfId="0" applyFont="1" applyFill="1" applyBorder="1"/>
    <xf numFmtId="0" fontId="8623" fillId="8627" borderId="8574" xfId="0" applyFont="1" applyFill="1" applyBorder="1"/>
    <xf numFmtId="0" fontId="8624" fillId="8628" borderId="8575" xfId="0" applyFont="1" applyFill="1" applyBorder="1"/>
    <xf numFmtId="0" fontId="8625" fillId="8629" borderId="8576" xfId="0" applyFont="1" applyFill="1" applyBorder="1"/>
    <xf numFmtId="14" fontId="8626" fillId="8630" borderId="8577" xfId="0" applyNumberFormat="1" applyFont="1" applyFill="1" applyBorder="1"/>
    <xf numFmtId="0" fontId="8627" fillId="8631" borderId="8578" xfId="0" applyFont="1" applyFill="1" applyBorder="1"/>
    <xf numFmtId="14" fontId="8628" fillId="8632" borderId="8579" xfId="0" applyNumberFormat="1" applyFont="1" applyFill="1" applyBorder="1"/>
    <xf numFmtId="0" fontId="8629" fillId="8633" borderId="8580" xfId="0" applyFont="1" applyFill="1" applyBorder="1"/>
    <xf numFmtId="0" fontId="8630" fillId="8634" borderId="8581" xfId="0" applyFont="1" applyFill="1" applyBorder="1"/>
    <xf numFmtId="0" fontId="8631" fillId="8635" borderId="8582" xfId="0" applyFont="1" applyFill="1" applyBorder="1"/>
    <xf numFmtId="0" fontId="8632" fillId="8636" borderId="8583" xfId="0" applyFont="1" applyFill="1" applyBorder="1"/>
    <xf numFmtId="0" fontId="8633" fillId="8637" borderId="8584" xfId="0" applyFont="1" applyFill="1" applyBorder="1"/>
    <xf numFmtId="0" fontId="8634" fillId="8638" borderId="8585" xfId="0" applyFont="1" applyFill="1" applyBorder="1"/>
    <xf numFmtId="0" fontId="8635" fillId="8639" borderId="8586" xfId="0" applyFont="1" applyFill="1" applyBorder="1"/>
    <xf numFmtId="14" fontId="8636" fillId="8640" borderId="8587" xfId="0" applyNumberFormat="1" applyFont="1" applyFill="1" applyBorder="1"/>
    <xf numFmtId="0" fontId="8637" fillId="8641" borderId="8588" xfId="0" applyFont="1" applyFill="1" applyBorder="1"/>
    <xf numFmtId="14" fontId="8638" fillId="8642" borderId="8589" xfId="0" applyNumberFormat="1" applyFont="1" applyFill="1" applyBorder="1"/>
    <xf numFmtId="0" fontId="8639" fillId="8643" borderId="8590" xfId="0" applyFont="1" applyFill="1" applyBorder="1"/>
    <xf numFmtId="0" fontId="8640" fillId="8644" borderId="8591" xfId="0" applyFont="1" applyFill="1" applyBorder="1"/>
    <xf numFmtId="0" fontId="8641" fillId="8645" borderId="8592" xfId="0" applyFont="1" applyFill="1" applyBorder="1"/>
    <xf numFmtId="0" fontId="8642" fillId="8646" borderId="8593" xfId="0" applyFont="1" applyFill="1" applyBorder="1"/>
    <xf numFmtId="0" fontId="8643" fillId="8647" borderId="8594" xfId="0" applyFont="1" applyFill="1" applyBorder="1"/>
    <xf numFmtId="0" fontId="8644" fillId="8648" borderId="8595" xfId="0" applyFont="1" applyFill="1" applyBorder="1"/>
    <xf numFmtId="0" fontId="8645" fillId="8649" borderId="8596" xfId="0" applyFont="1" applyFill="1" applyBorder="1"/>
    <xf numFmtId="14" fontId="8646" fillId="8650" borderId="8597" xfId="0" applyNumberFormat="1" applyFont="1" applyFill="1" applyBorder="1"/>
    <xf numFmtId="0" fontId="8647" fillId="8651" borderId="8598" xfId="0" applyFont="1" applyFill="1" applyBorder="1"/>
    <xf numFmtId="14" fontId="8648" fillId="8652" borderId="8599" xfId="0" applyNumberFormat="1" applyFont="1" applyFill="1" applyBorder="1"/>
    <xf numFmtId="0" fontId="8649" fillId="8653" borderId="8600" xfId="0" applyFont="1" applyFill="1" applyBorder="1"/>
    <xf numFmtId="0" fontId="8650" fillId="8654" borderId="8601" xfId="0" applyFont="1" applyFill="1" applyBorder="1"/>
    <xf numFmtId="0" fontId="8651" fillId="8655" borderId="8602" xfId="0" applyFont="1" applyFill="1" applyBorder="1"/>
    <xf numFmtId="0" fontId="8652" fillId="8656" borderId="8603" xfId="0" applyFont="1" applyFill="1" applyBorder="1"/>
    <xf numFmtId="0" fontId="8653" fillId="8657" borderId="8604" xfId="0" applyFont="1" applyFill="1" applyBorder="1"/>
    <xf numFmtId="0" fontId="8654" fillId="8658" borderId="8605" xfId="0" applyFont="1" applyFill="1" applyBorder="1"/>
    <xf numFmtId="0" fontId="8655" fillId="8659" borderId="8606" xfId="0" applyFont="1" applyFill="1" applyBorder="1"/>
    <xf numFmtId="14" fontId="8656" fillId="8660" borderId="8607" xfId="0" applyNumberFormat="1" applyFont="1" applyFill="1" applyBorder="1"/>
    <xf numFmtId="0" fontId="8657" fillId="8661" borderId="8608" xfId="0" applyFont="1" applyFill="1" applyBorder="1"/>
    <xf numFmtId="14" fontId="8658" fillId="8662" borderId="8609" xfId="0" applyNumberFormat="1" applyFont="1" applyFill="1" applyBorder="1"/>
    <xf numFmtId="0" fontId="8659" fillId="8663" borderId="8610" xfId="0" applyFont="1" applyFill="1" applyBorder="1"/>
    <xf numFmtId="0" fontId="8660" fillId="8664" borderId="8611" xfId="0" applyFont="1" applyFill="1" applyBorder="1"/>
    <xf numFmtId="0" fontId="8661" fillId="8665" borderId="8612" xfId="0" applyFont="1" applyFill="1" applyBorder="1"/>
    <xf numFmtId="0" fontId="8662" fillId="8666" borderId="8613" xfId="0" applyFont="1" applyFill="1" applyBorder="1"/>
    <xf numFmtId="0" fontId="8663" fillId="8667" borderId="8614" xfId="0" applyFont="1" applyFill="1" applyBorder="1"/>
    <xf numFmtId="0" fontId="8664" fillId="8668" borderId="8615" xfId="0" applyFont="1" applyFill="1" applyBorder="1"/>
    <xf numFmtId="0" fontId="8665" fillId="8669" borderId="8616" xfId="0" applyFont="1" applyFill="1" applyBorder="1"/>
    <xf numFmtId="14" fontId="8666" fillId="8670" borderId="8617" xfId="0" applyNumberFormat="1" applyFont="1" applyFill="1" applyBorder="1"/>
    <xf numFmtId="0" fontId="8667" fillId="8671" borderId="8618" xfId="0" applyFont="1" applyFill="1" applyBorder="1"/>
    <xf numFmtId="14" fontId="8668" fillId="8672" borderId="8619" xfId="0" applyNumberFormat="1" applyFont="1" applyFill="1" applyBorder="1"/>
    <xf numFmtId="0" fontId="8669" fillId="8673" borderId="8620" xfId="0" applyFont="1" applyFill="1" applyBorder="1"/>
    <xf numFmtId="0" fontId="8670" fillId="8674" borderId="8621" xfId="0" applyFont="1" applyFill="1" applyBorder="1"/>
    <xf numFmtId="0" fontId="8671" fillId="8675" borderId="8622" xfId="0" applyFont="1" applyFill="1" applyBorder="1"/>
    <xf numFmtId="0" fontId="8672" fillId="8676" borderId="8623" xfId="0" applyFont="1" applyFill="1" applyBorder="1"/>
    <xf numFmtId="0" fontId="8673" fillId="8677" borderId="8624" xfId="0" applyFont="1" applyFill="1" applyBorder="1"/>
    <xf numFmtId="0" fontId="8674" fillId="8678" borderId="8625" xfId="0" applyFont="1" applyFill="1" applyBorder="1"/>
    <xf numFmtId="0" fontId="8675" fillId="8679" borderId="8626" xfId="0" applyFont="1" applyFill="1" applyBorder="1"/>
    <xf numFmtId="14" fontId="8676" fillId="8680" borderId="8627" xfId="0" applyNumberFormat="1" applyFont="1" applyFill="1" applyBorder="1"/>
    <xf numFmtId="0" fontId="8677" fillId="8681" borderId="8628" xfId="0" applyFont="1" applyFill="1" applyBorder="1"/>
    <xf numFmtId="14" fontId="8678" fillId="8682" borderId="8629" xfId="0" applyNumberFormat="1" applyFont="1" applyFill="1" applyBorder="1"/>
    <xf numFmtId="0" fontId="8679" fillId="8683" borderId="8630" xfId="0" applyFont="1" applyFill="1" applyBorder="1"/>
    <xf numFmtId="0" fontId="8680" fillId="8684" borderId="8631" xfId="0" applyFont="1" applyFill="1" applyBorder="1"/>
    <xf numFmtId="0" fontId="8681" fillId="8685" borderId="8632" xfId="0" applyFont="1" applyFill="1" applyBorder="1"/>
    <xf numFmtId="0" fontId="8682" fillId="8686" borderId="8633" xfId="0" applyFont="1" applyFill="1" applyBorder="1"/>
    <xf numFmtId="0" fontId="8683" fillId="8687" borderId="8634" xfId="0" applyFont="1" applyFill="1" applyBorder="1"/>
    <xf numFmtId="0" fontId="8684" fillId="8688" borderId="8635" xfId="0" applyFont="1" applyFill="1" applyBorder="1"/>
    <xf numFmtId="0" fontId="8685" fillId="8689" borderId="8636" xfId="0" applyFont="1" applyFill="1" applyBorder="1"/>
    <xf numFmtId="14" fontId="8686" fillId="8690" borderId="8637" xfId="0" applyNumberFormat="1" applyFont="1" applyFill="1" applyBorder="1"/>
    <xf numFmtId="0" fontId="8687" fillId="8691" borderId="8638" xfId="0" applyFont="1" applyFill="1" applyBorder="1"/>
    <xf numFmtId="14" fontId="8688" fillId="8692" borderId="8639" xfId="0" applyNumberFormat="1" applyFont="1" applyFill="1" applyBorder="1"/>
    <xf numFmtId="0" fontId="8689" fillId="8693" borderId="8640" xfId="0" applyFont="1" applyFill="1" applyBorder="1"/>
    <xf numFmtId="0" fontId="8690" fillId="8694" borderId="8641" xfId="0" applyFont="1" applyFill="1" applyBorder="1"/>
    <xf numFmtId="0" fontId="8691" fillId="8695" borderId="8642" xfId="0" applyFont="1" applyFill="1" applyBorder="1"/>
    <xf numFmtId="0" fontId="8692" fillId="8696" borderId="8643" xfId="0" applyFont="1" applyFill="1" applyBorder="1"/>
    <xf numFmtId="0" fontId="8693" fillId="8697" borderId="8644" xfId="0" applyFont="1" applyFill="1" applyBorder="1"/>
    <xf numFmtId="0" fontId="8694" fillId="8698" borderId="8645" xfId="0" applyFont="1" applyFill="1" applyBorder="1"/>
    <xf numFmtId="0" fontId="8695" fillId="8699" borderId="8646" xfId="0" applyFont="1" applyFill="1" applyBorder="1"/>
    <xf numFmtId="14" fontId="8696" fillId="8700" borderId="8647" xfId="0" applyNumberFormat="1" applyFont="1" applyFill="1" applyBorder="1"/>
    <xf numFmtId="0" fontId="8697" fillId="8701" borderId="8648" xfId="0" applyFont="1" applyFill="1" applyBorder="1"/>
    <xf numFmtId="14" fontId="8698" fillId="8702" borderId="8649" xfId="0" applyNumberFormat="1" applyFont="1" applyFill="1" applyBorder="1"/>
    <xf numFmtId="0" fontId="8699" fillId="8703" borderId="8650" xfId="0" applyFont="1" applyFill="1" applyBorder="1"/>
    <xf numFmtId="0" fontId="8700" fillId="8704" borderId="8651" xfId="0" applyFont="1" applyFill="1" applyBorder="1"/>
    <xf numFmtId="0" fontId="8701" fillId="8705" borderId="8652" xfId="0" applyFont="1" applyFill="1" applyBorder="1"/>
    <xf numFmtId="0" fontId="8702" fillId="8706" borderId="8653" xfId="0" applyFont="1" applyFill="1" applyBorder="1"/>
    <xf numFmtId="0" fontId="8703" fillId="8707" borderId="8654" xfId="0" applyFont="1" applyFill="1" applyBorder="1"/>
    <xf numFmtId="0" fontId="8704" fillId="8708" borderId="8655" xfId="0" applyFont="1" applyFill="1" applyBorder="1"/>
    <xf numFmtId="0" fontId="8705" fillId="8709" borderId="8656" xfId="0" applyFont="1" applyFill="1" applyBorder="1"/>
    <xf numFmtId="14" fontId="8706" fillId="8710" borderId="8657" xfId="0" applyNumberFormat="1" applyFont="1" applyFill="1" applyBorder="1"/>
    <xf numFmtId="0" fontId="8707" fillId="8711" borderId="8658" xfId="0" applyFont="1" applyFill="1" applyBorder="1"/>
    <xf numFmtId="14" fontId="8708" fillId="8712" borderId="8659" xfId="0" applyNumberFormat="1" applyFont="1" applyFill="1" applyBorder="1"/>
    <xf numFmtId="0" fontId="8709" fillId="8713" borderId="8660" xfId="0" applyFont="1" applyFill="1" applyBorder="1"/>
    <xf numFmtId="0" fontId="8710" fillId="8714" borderId="8661" xfId="0" applyFont="1" applyFill="1" applyBorder="1"/>
    <xf numFmtId="0" fontId="8711" fillId="8715" borderId="8662" xfId="0" applyFont="1" applyFill="1" applyBorder="1"/>
    <xf numFmtId="0" fontId="8712" fillId="8716" borderId="8663" xfId="0" applyFont="1" applyFill="1" applyBorder="1"/>
    <xf numFmtId="0" fontId="8713" fillId="8717" borderId="8664" xfId="0" applyFont="1" applyFill="1" applyBorder="1"/>
    <xf numFmtId="0" fontId="8714" fillId="8718" borderId="8665" xfId="0" applyFont="1" applyFill="1" applyBorder="1"/>
    <xf numFmtId="0" fontId="8715" fillId="8719" borderId="8666" xfId="0" applyFont="1" applyFill="1" applyBorder="1"/>
    <xf numFmtId="14" fontId="8716" fillId="8720" borderId="8667" xfId="0" applyNumberFormat="1" applyFont="1" applyFill="1" applyBorder="1"/>
    <xf numFmtId="0" fontId="8717" fillId="8721" borderId="8668" xfId="0" applyFont="1" applyFill="1" applyBorder="1"/>
    <xf numFmtId="14" fontId="8718" fillId="8722" borderId="8669" xfId="0" applyNumberFormat="1" applyFont="1" applyFill="1" applyBorder="1"/>
    <xf numFmtId="0" fontId="8719" fillId="8723" borderId="8670" xfId="0" applyFont="1" applyFill="1" applyBorder="1"/>
    <xf numFmtId="0" fontId="8720" fillId="8724" borderId="8671" xfId="0" applyFont="1" applyFill="1" applyBorder="1"/>
    <xf numFmtId="0" fontId="8721" fillId="8725" borderId="8672" xfId="0" applyFont="1" applyFill="1" applyBorder="1"/>
    <xf numFmtId="0" fontId="8722" fillId="8726" borderId="8673" xfId="0" applyFont="1" applyFill="1" applyBorder="1"/>
    <xf numFmtId="0" fontId="8723" fillId="8727" borderId="8674" xfId="0" applyFont="1" applyFill="1" applyBorder="1"/>
    <xf numFmtId="0" fontId="8724" fillId="8728" borderId="8675" xfId="0" applyFont="1" applyFill="1" applyBorder="1"/>
    <xf numFmtId="0" fontId="8725" fillId="8729" borderId="8676" xfId="0" applyFont="1" applyFill="1" applyBorder="1"/>
    <xf numFmtId="14" fontId="8726" fillId="8730" borderId="8677" xfId="0" applyNumberFormat="1" applyFont="1" applyFill="1" applyBorder="1"/>
    <xf numFmtId="0" fontId="8727" fillId="8731" borderId="8678" xfId="0" applyFont="1" applyFill="1" applyBorder="1"/>
    <xf numFmtId="14" fontId="8728" fillId="8732" borderId="8679" xfId="0" applyNumberFormat="1" applyFont="1" applyFill="1" applyBorder="1"/>
    <xf numFmtId="0" fontId="8729" fillId="8733" borderId="8680" xfId="0" applyFont="1" applyFill="1" applyBorder="1"/>
    <xf numFmtId="0" fontId="8730" fillId="8734" borderId="8681" xfId="0" applyFont="1" applyFill="1" applyBorder="1"/>
    <xf numFmtId="0" fontId="8731" fillId="8735" borderId="8682" xfId="0" applyFont="1" applyFill="1" applyBorder="1"/>
    <xf numFmtId="0" fontId="8732" fillId="8736" borderId="8683" xfId="0" applyFont="1" applyFill="1" applyBorder="1"/>
    <xf numFmtId="0" fontId="8733" fillId="8737" borderId="8684" xfId="0" applyFont="1" applyFill="1" applyBorder="1"/>
    <xf numFmtId="0" fontId="8734" fillId="8738" borderId="8685" xfId="0" applyFont="1" applyFill="1" applyBorder="1"/>
    <xf numFmtId="0" fontId="8735" fillId="8739" borderId="8686" xfId="0" applyFont="1" applyFill="1" applyBorder="1"/>
    <xf numFmtId="14" fontId="8736" fillId="8740" borderId="8687" xfId="0" applyNumberFormat="1" applyFont="1" applyFill="1" applyBorder="1"/>
    <xf numFmtId="0" fontId="8737" fillId="8741" borderId="8688" xfId="0" applyFont="1" applyFill="1" applyBorder="1"/>
    <xf numFmtId="14" fontId="8738" fillId="8742" borderId="8689" xfId="0" applyNumberFormat="1" applyFont="1" applyFill="1" applyBorder="1"/>
    <xf numFmtId="0" fontId="8739" fillId="8743" borderId="8690" xfId="0" applyFont="1" applyFill="1" applyBorder="1"/>
    <xf numFmtId="0" fontId="8740" fillId="8744" borderId="8691" xfId="0" applyFont="1" applyFill="1" applyBorder="1"/>
    <xf numFmtId="0" fontId="8741" fillId="8745" borderId="8692" xfId="0" applyFont="1" applyFill="1" applyBorder="1"/>
    <xf numFmtId="0" fontId="8742" fillId="8746" borderId="8693" xfId="0" applyFont="1" applyFill="1" applyBorder="1"/>
    <xf numFmtId="0" fontId="8743" fillId="8747" borderId="8694" xfId="0" applyFont="1" applyFill="1" applyBorder="1"/>
    <xf numFmtId="0" fontId="8744" fillId="8748" borderId="8695" xfId="0" applyFont="1" applyFill="1" applyBorder="1"/>
    <xf numFmtId="0" fontId="8745" fillId="8749" borderId="8696" xfId="0" applyFont="1" applyFill="1" applyBorder="1"/>
    <xf numFmtId="14" fontId="8746" fillId="8750" borderId="8697" xfId="0" applyNumberFormat="1" applyFont="1" applyFill="1" applyBorder="1"/>
    <xf numFmtId="0" fontId="8747" fillId="8751" borderId="8698" xfId="0" applyFont="1" applyFill="1" applyBorder="1"/>
    <xf numFmtId="14" fontId="8748" fillId="8752" borderId="8699" xfId="0" applyNumberFormat="1" applyFont="1" applyFill="1" applyBorder="1"/>
    <xf numFmtId="0" fontId="8749" fillId="8753" borderId="8700" xfId="0" applyFont="1" applyFill="1" applyBorder="1"/>
    <xf numFmtId="0" fontId="8750" fillId="8754" borderId="8701" xfId="0" applyFont="1" applyFill="1" applyBorder="1"/>
    <xf numFmtId="0" fontId="8751" fillId="8755" borderId="8702" xfId="0" applyFont="1" applyFill="1" applyBorder="1"/>
    <xf numFmtId="0" fontId="8752" fillId="8756" borderId="8703" xfId="0" applyFont="1" applyFill="1" applyBorder="1"/>
    <xf numFmtId="0" fontId="8753" fillId="8757" borderId="8704" xfId="0" applyFont="1" applyFill="1" applyBorder="1"/>
    <xf numFmtId="0" fontId="8754" fillId="8758" borderId="8705" xfId="0" applyFont="1" applyFill="1" applyBorder="1"/>
    <xf numFmtId="0" fontId="8755" fillId="8759" borderId="8706" xfId="0" applyFont="1" applyFill="1" applyBorder="1"/>
    <xf numFmtId="14" fontId="8756" fillId="8760" borderId="8707" xfId="0" applyNumberFormat="1" applyFont="1" applyFill="1" applyBorder="1"/>
    <xf numFmtId="0" fontId="8757" fillId="8761" borderId="8708" xfId="0" applyFont="1" applyFill="1" applyBorder="1"/>
    <xf numFmtId="14" fontId="8758" fillId="8762" borderId="8709" xfId="0" applyNumberFormat="1" applyFont="1" applyFill="1" applyBorder="1"/>
    <xf numFmtId="0" fontId="8759" fillId="8763" borderId="8710" xfId="0" applyFont="1" applyFill="1" applyBorder="1"/>
    <xf numFmtId="0" fontId="8760" fillId="8764" borderId="8711" xfId="0" applyFont="1" applyFill="1" applyBorder="1"/>
    <xf numFmtId="0" fontId="8761" fillId="8765" borderId="8712" xfId="0" applyFont="1" applyFill="1" applyBorder="1"/>
    <xf numFmtId="0" fontId="8762" fillId="8766" borderId="8713" xfId="0" applyFont="1" applyFill="1" applyBorder="1"/>
    <xf numFmtId="0" fontId="8763" fillId="8767" borderId="8714" xfId="0" applyFont="1" applyFill="1" applyBorder="1"/>
    <xf numFmtId="0" fontId="8764" fillId="8768" borderId="8715" xfId="0" applyFont="1" applyFill="1" applyBorder="1"/>
    <xf numFmtId="0" fontId="8765" fillId="8769" borderId="8716" xfId="0" applyFont="1" applyFill="1" applyBorder="1"/>
    <xf numFmtId="14" fontId="8766" fillId="8770" borderId="8717" xfId="0" applyNumberFormat="1" applyFont="1" applyFill="1" applyBorder="1"/>
    <xf numFmtId="0" fontId="8767" fillId="8771" borderId="8718" xfId="0" applyFont="1" applyFill="1" applyBorder="1"/>
    <xf numFmtId="14" fontId="8768" fillId="8772" borderId="8719" xfId="0" applyNumberFormat="1" applyFont="1" applyFill="1" applyBorder="1"/>
    <xf numFmtId="0" fontId="8769" fillId="8773" borderId="8720" xfId="0" applyFont="1" applyFill="1" applyBorder="1"/>
    <xf numFmtId="0" fontId="8770" fillId="8774" borderId="8721" xfId="0" applyFont="1" applyFill="1" applyBorder="1"/>
    <xf numFmtId="0" fontId="8771" fillId="8775" borderId="8722" xfId="0" applyFont="1" applyFill="1" applyBorder="1"/>
    <xf numFmtId="0" fontId="8772" fillId="8776" borderId="8723" xfId="0" applyFont="1" applyFill="1" applyBorder="1"/>
    <xf numFmtId="0" fontId="8773" fillId="8777" borderId="8724" xfId="0" applyFont="1" applyFill="1" applyBorder="1"/>
    <xf numFmtId="0" fontId="8774" fillId="8778" borderId="8725" xfId="0" applyFont="1" applyFill="1" applyBorder="1"/>
    <xf numFmtId="0" fontId="8775" fillId="8779" borderId="8726" xfId="0" applyFont="1" applyFill="1" applyBorder="1"/>
    <xf numFmtId="14" fontId="8776" fillId="8780" borderId="8727" xfId="0" applyNumberFormat="1" applyFont="1" applyFill="1" applyBorder="1"/>
    <xf numFmtId="0" fontId="8777" fillId="8781" borderId="8728" xfId="0" applyFont="1" applyFill="1" applyBorder="1"/>
    <xf numFmtId="14" fontId="8778" fillId="8782" borderId="8729" xfId="0" applyNumberFormat="1" applyFont="1" applyFill="1" applyBorder="1"/>
    <xf numFmtId="0" fontId="8779" fillId="8783" borderId="8730" xfId="0" applyFont="1" applyFill="1" applyBorder="1"/>
    <xf numFmtId="0" fontId="8780" fillId="8784" borderId="8731" xfId="0" applyFont="1" applyFill="1" applyBorder="1"/>
    <xf numFmtId="0" fontId="8781" fillId="8785" borderId="8732" xfId="0" applyFont="1" applyFill="1" applyBorder="1"/>
    <xf numFmtId="0" fontId="8782" fillId="8786" borderId="8733" xfId="0" applyFont="1" applyFill="1" applyBorder="1"/>
    <xf numFmtId="0" fontId="8783" fillId="8787" borderId="8734" xfId="0" applyFont="1" applyFill="1" applyBorder="1"/>
    <xf numFmtId="0" fontId="8784" fillId="8788" borderId="8735" xfId="0" applyFont="1" applyFill="1" applyBorder="1"/>
    <xf numFmtId="0" fontId="8785" fillId="8789" borderId="8736" xfId="0" applyFont="1" applyFill="1" applyBorder="1"/>
    <xf numFmtId="14" fontId="8786" fillId="8790" borderId="8737" xfId="0" applyNumberFormat="1" applyFont="1" applyFill="1" applyBorder="1"/>
    <xf numFmtId="0" fontId="8787" fillId="8791" borderId="8738" xfId="0" applyFont="1" applyFill="1" applyBorder="1"/>
    <xf numFmtId="14" fontId="8788" fillId="8792" borderId="8739" xfId="0" applyNumberFormat="1" applyFont="1" applyFill="1" applyBorder="1"/>
    <xf numFmtId="0" fontId="8789" fillId="8793" borderId="8740" xfId="0" applyFont="1" applyFill="1" applyBorder="1"/>
    <xf numFmtId="0" fontId="8790" fillId="8794" borderId="8741" xfId="0" applyFont="1" applyFill="1" applyBorder="1"/>
    <xf numFmtId="0" fontId="8791" fillId="8795" borderId="8742" xfId="0" applyFont="1" applyFill="1" applyBorder="1"/>
    <xf numFmtId="0" fontId="8792" fillId="8796" borderId="8743" xfId="0" applyFont="1" applyFill="1" applyBorder="1"/>
    <xf numFmtId="0" fontId="8793" fillId="8797" borderId="8744" xfId="0" applyFont="1" applyFill="1" applyBorder="1"/>
    <xf numFmtId="0" fontId="8794" fillId="8798" borderId="8745" xfId="0" applyFont="1" applyFill="1" applyBorder="1"/>
    <xf numFmtId="0" fontId="8795" fillId="8799" borderId="8746" xfId="0" applyFont="1" applyFill="1" applyBorder="1"/>
    <xf numFmtId="14" fontId="8796" fillId="8800" borderId="8747" xfId="0" applyNumberFormat="1" applyFont="1" applyFill="1" applyBorder="1"/>
    <xf numFmtId="0" fontId="8797" fillId="8801" borderId="8748" xfId="0" applyFont="1" applyFill="1" applyBorder="1"/>
    <xf numFmtId="14" fontId="8798" fillId="8802" borderId="8749" xfId="0" applyNumberFormat="1" applyFont="1" applyFill="1" applyBorder="1"/>
    <xf numFmtId="0" fontId="8799" fillId="8803" borderId="8750" xfId="0" applyFont="1" applyFill="1" applyBorder="1"/>
    <xf numFmtId="0" fontId="8800" fillId="8804" borderId="8751" xfId="0" applyFont="1" applyFill="1" applyBorder="1"/>
    <xf numFmtId="0" fontId="8801" fillId="8805" borderId="8752" xfId="0" applyFont="1" applyFill="1" applyBorder="1"/>
    <xf numFmtId="0" fontId="8802" fillId="8806" borderId="8753" xfId="0" applyFont="1" applyFill="1" applyBorder="1"/>
    <xf numFmtId="0" fontId="8803" fillId="8807" borderId="8754" xfId="0" applyFont="1" applyFill="1" applyBorder="1"/>
    <xf numFmtId="0" fontId="8804" fillId="8808" borderId="8755" xfId="0" applyFont="1" applyFill="1" applyBorder="1"/>
    <xf numFmtId="0" fontId="8805" fillId="8809" borderId="8756" xfId="0" applyFont="1" applyFill="1" applyBorder="1"/>
    <xf numFmtId="14" fontId="8806" fillId="8810" borderId="8757" xfId="0" applyNumberFormat="1" applyFont="1" applyFill="1" applyBorder="1"/>
    <xf numFmtId="0" fontId="8807" fillId="8811" borderId="8758" xfId="0" applyFont="1" applyFill="1" applyBorder="1"/>
    <xf numFmtId="14" fontId="8808" fillId="8812" borderId="8759" xfId="0" applyNumberFormat="1" applyFont="1" applyFill="1" applyBorder="1"/>
    <xf numFmtId="0" fontId="8809" fillId="8813" borderId="8760" xfId="0" applyFont="1" applyFill="1" applyBorder="1"/>
    <xf numFmtId="0" fontId="8810" fillId="8814" borderId="8761" xfId="0" applyFont="1" applyFill="1" applyBorder="1"/>
    <xf numFmtId="0" fontId="8811" fillId="8815" borderId="8762" xfId="0" applyFont="1" applyFill="1" applyBorder="1"/>
    <xf numFmtId="0" fontId="8812" fillId="8816" borderId="8763" xfId="0" applyFont="1" applyFill="1" applyBorder="1"/>
    <xf numFmtId="0" fontId="8813" fillId="8817" borderId="8764" xfId="0" applyFont="1" applyFill="1" applyBorder="1"/>
    <xf numFmtId="0" fontId="8814" fillId="8818" borderId="8765" xfId="0" applyFont="1" applyFill="1" applyBorder="1"/>
    <xf numFmtId="0" fontId="8815" fillId="8819" borderId="8766" xfId="0" applyFont="1" applyFill="1" applyBorder="1"/>
    <xf numFmtId="14" fontId="8816" fillId="8820" borderId="8767" xfId="0" applyNumberFormat="1" applyFont="1" applyFill="1" applyBorder="1"/>
    <xf numFmtId="0" fontId="8817" fillId="8821" borderId="8768" xfId="0" applyFont="1" applyFill="1" applyBorder="1"/>
    <xf numFmtId="14" fontId="8818" fillId="8822" borderId="8769" xfId="0" applyNumberFormat="1" applyFont="1" applyFill="1" applyBorder="1"/>
    <xf numFmtId="0" fontId="8819" fillId="8823" borderId="8770" xfId="0" applyFont="1" applyFill="1" applyBorder="1"/>
    <xf numFmtId="0" fontId="8820" fillId="8824" borderId="8771" xfId="0" applyFont="1" applyFill="1" applyBorder="1"/>
    <xf numFmtId="0" fontId="8821" fillId="8825" borderId="8772" xfId="0" applyFont="1" applyFill="1" applyBorder="1"/>
    <xf numFmtId="0" fontId="8822" fillId="8826" borderId="8773" xfId="0" applyFont="1" applyFill="1" applyBorder="1"/>
    <xf numFmtId="0" fontId="8823" fillId="8827" borderId="8774" xfId="0" applyFont="1" applyFill="1" applyBorder="1"/>
    <xf numFmtId="0" fontId="8824" fillId="8828" borderId="8775" xfId="0" applyFont="1" applyFill="1" applyBorder="1"/>
    <xf numFmtId="0" fontId="8825" fillId="8829" borderId="8776" xfId="0" applyFont="1" applyFill="1" applyBorder="1"/>
    <xf numFmtId="14" fontId="8826" fillId="8830" borderId="8777" xfId="0" applyNumberFormat="1" applyFont="1" applyFill="1" applyBorder="1"/>
    <xf numFmtId="0" fontId="8827" fillId="8831" borderId="8778" xfId="0" applyFont="1" applyFill="1" applyBorder="1"/>
    <xf numFmtId="14" fontId="8828" fillId="8832" borderId="8779" xfId="0" applyNumberFormat="1" applyFont="1" applyFill="1" applyBorder="1"/>
    <xf numFmtId="0" fontId="8829" fillId="8833" borderId="8780" xfId="0" applyFont="1" applyFill="1" applyBorder="1"/>
    <xf numFmtId="0" fontId="8830" fillId="8834" borderId="8781" xfId="0" applyFont="1" applyFill="1" applyBorder="1"/>
    <xf numFmtId="0" fontId="8831" fillId="8835" borderId="8782" xfId="0" applyFont="1" applyFill="1" applyBorder="1"/>
    <xf numFmtId="0" fontId="8832" fillId="8836" borderId="8783" xfId="0" applyFont="1" applyFill="1" applyBorder="1"/>
    <xf numFmtId="0" fontId="8833" fillId="8837" borderId="8784" xfId="0" applyFont="1" applyFill="1" applyBorder="1"/>
    <xf numFmtId="0" fontId="8834" fillId="8838" borderId="8785" xfId="0" applyFont="1" applyFill="1" applyBorder="1"/>
    <xf numFmtId="0" fontId="8835" fillId="8839" borderId="8786" xfId="0" applyFont="1" applyFill="1" applyBorder="1"/>
    <xf numFmtId="14" fontId="8836" fillId="8840" borderId="8787" xfId="0" applyNumberFormat="1" applyFont="1" applyFill="1" applyBorder="1"/>
    <xf numFmtId="0" fontId="8837" fillId="8841" borderId="8788" xfId="0" applyFont="1" applyFill="1" applyBorder="1"/>
    <xf numFmtId="14" fontId="8838" fillId="8842" borderId="8789" xfId="0" applyNumberFormat="1" applyFont="1" applyFill="1" applyBorder="1"/>
    <xf numFmtId="0" fontId="8839" fillId="8843" borderId="8790" xfId="0" applyFont="1" applyFill="1" applyBorder="1"/>
    <xf numFmtId="0" fontId="8840" fillId="8844" borderId="8791" xfId="0" applyFont="1" applyFill="1" applyBorder="1"/>
    <xf numFmtId="0" fontId="8841" fillId="8845" borderId="8792" xfId="0" applyFont="1" applyFill="1" applyBorder="1"/>
    <xf numFmtId="0" fontId="8842" fillId="8846" borderId="8793" xfId="0" applyFont="1" applyFill="1" applyBorder="1"/>
    <xf numFmtId="0" fontId="8843" fillId="8847" borderId="8794" xfId="0" applyFont="1" applyFill="1" applyBorder="1"/>
    <xf numFmtId="0" fontId="8844" fillId="8848" borderId="8795" xfId="0" applyFont="1" applyFill="1" applyBorder="1"/>
    <xf numFmtId="0" fontId="8845" fillId="8849" borderId="8796" xfId="0" applyFont="1" applyFill="1" applyBorder="1"/>
    <xf numFmtId="14" fontId="8846" fillId="8850" borderId="8797" xfId="0" applyNumberFormat="1" applyFont="1" applyFill="1" applyBorder="1"/>
    <xf numFmtId="0" fontId="8847" fillId="8851" borderId="8798" xfId="0" applyFont="1" applyFill="1" applyBorder="1"/>
    <xf numFmtId="14" fontId="8848" fillId="8852" borderId="8799" xfId="0" applyNumberFormat="1" applyFont="1" applyFill="1" applyBorder="1"/>
    <xf numFmtId="0" fontId="8849" fillId="8853" borderId="8800" xfId="0" applyFont="1" applyFill="1" applyBorder="1"/>
    <xf numFmtId="0" fontId="8850" fillId="8854" borderId="8801" xfId="0" applyFont="1" applyFill="1" applyBorder="1"/>
    <xf numFmtId="0" fontId="8851" fillId="8855" borderId="8802" xfId="0" applyFont="1" applyFill="1" applyBorder="1"/>
    <xf numFmtId="0" fontId="8852" fillId="8856" borderId="8803" xfId="0" applyFont="1" applyFill="1" applyBorder="1"/>
    <xf numFmtId="0" fontId="8853" fillId="8857" borderId="8804" xfId="0" applyFont="1" applyFill="1" applyBorder="1"/>
    <xf numFmtId="0" fontId="8854" fillId="8858" borderId="8805" xfId="0" applyFont="1" applyFill="1" applyBorder="1"/>
    <xf numFmtId="0" fontId="8855" fillId="8859" borderId="8806" xfId="0" applyFont="1" applyFill="1" applyBorder="1"/>
    <xf numFmtId="14" fontId="8856" fillId="8860" borderId="8807" xfId="0" applyNumberFormat="1" applyFont="1" applyFill="1" applyBorder="1"/>
    <xf numFmtId="0" fontId="8857" fillId="8861" borderId="8808" xfId="0" applyFont="1" applyFill="1" applyBorder="1"/>
    <xf numFmtId="14" fontId="8858" fillId="8862" borderId="8809" xfId="0" applyNumberFormat="1" applyFont="1" applyFill="1" applyBorder="1"/>
    <xf numFmtId="0" fontId="8859" fillId="8863" borderId="8810" xfId="0" applyFont="1" applyFill="1" applyBorder="1"/>
    <xf numFmtId="0" fontId="8860" fillId="8864" borderId="8811" xfId="0" applyFont="1" applyFill="1" applyBorder="1"/>
    <xf numFmtId="0" fontId="8861" fillId="8865" borderId="8812" xfId="0" applyFont="1" applyFill="1" applyBorder="1"/>
    <xf numFmtId="0" fontId="8862" fillId="8866" borderId="8813" xfId="0" applyFont="1" applyFill="1" applyBorder="1"/>
    <xf numFmtId="0" fontId="8863" fillId="8867" borderId="8814" xfId="0" applyFont="1" applyFill="1" applyBorder="1"/>
    <xf numFmtId="0" fontId="8864" fillId="8868" borderId="8815" xfId="0" applyFont="1" applyFill="1" applyBorder="1"/>
    <xf numFmtId="0" fontId="8865" fillId="8869" borderId="8816" xfId="0" applyFont="1" applyFill="1" applyBorder="1"/>
    <xf numFmtId="14" fontId="8866" fillId="8870" borderId="8817" xfId="0" applyNumberFormat="1" applyFont="1" applyFill="1" applyBorder="1"/>
    <xf numFmtId="0" fontId="8867" fillId="8871" borderId="8818" xfId="0" applyFont="1" applyFill="1" applyBorder="1"/>
    <xf numFmtId="14" fontId="8868" fillId="8872" borderId="8819" xfId="0" applyNumberFormat="1" applyFont="1" applyFill="1" applyBorder="1"/>
    <xf numFmtId="0" fontId="8869" fillId="8873" borderId="8820" xfId="0" applyFont="1" applyFill="1" applyBorder="1"/>
    <xf numFmtId="0" fontId="8870" fillId="8874" borderId="8821" xfId="0" applyFont="1" applyFill="1" applyBorder="1"/>
    <xf numFmtId="0" fontId="8871" fillId="8875" borderId="8822" xfId="0" applyFont="1" applyFill="1" applyBorder="1"/>
    <xf numFmtId="0" fontId="8872" fillId="8876" borderId="8823" xfId="0" applyFont="1" applyFill="1" applyBorder="1"/>
    <xf numFmtId="0" fontId="8873" fillId="8877" borderId="8824" xfId="0" applyFont="1" applyFill="1" applyBorder="1"/>
    <xf numFmtId="0" fontId="8874" fillId="8878" borderId="8825" xfId="0" applyFont="1" applyFill="1" applyBorder="1"/>
    <xf numFmtId="0" fontId="8875" fillId="8879" borderId="8826" xfId="0" applyFont="1" applyFill="1" applyBorder="1"/>
    <xf numFmtId="14" fontId="8876" fillId="8880" borderId="8827" xfId="0" applyNumberFormat="1" applyFont="1" applyFill="1" applyBorder="1"/>
    <xf numFmtId="0" fontId="8877" fillId="8881" borderId="8828" xfId="0" applyFont="1" applyFill="1" applyBorder="1"/>
    <xf numFmtId="14" fontId="8878" fillId="8882" borderId="8829" xfId="0" applyNumberFormat="1" applyFont="1" applyFill="1" applyBorder="1"/>
    <xf numFmtId="0" fontId="8879" fillId="8883" borderId="8830" xfId="0" applyFont="1" applyFill="1" applyBorder="1"/>
    <xf numFmtId="0" fontId="8880" fillId="8884" borderId="8831" xfId="0" applyFont="1" applyFill="1" applyBorder="1"/>
    <xf numFmtId="0" fontId="8881" fillId="8885" borderId="8832" xfId="0" applyFont="1" applyFill="1" applyBorder="1"/>
    <xf numFmtId="0" fontId="8882" fillId="8886" borderId="8833" xfId="0" applyFont="1" applyFill="1" applyBorder="1"/>
    <xf numFmtId="0" fontId="8883" fillId="8887" borderId="8834" xfId="0" applyFont="1" applyFill="1" applyBorder="1"/>
    <xf numFmtId="0" fontId="8884" fillId="8888" borderId="8835" xfId="0" applyFont="1" applyFill="1" applyBorder="1"/>
    <xf numFmtId="0" fontId="8885" fillId="8889" borderId="8836" xfId="0" applyFont="1" applyFill="1" applyBorder="1"/>
    <xf numFmtId="14" fontId="8886" fillId="8890" borderId="8837" xfId="0" applyNumberFormat="1" applyFont="1" applyFill="1" applyBorder="1"/>
    <xf numFmtId="0" fontId="8887" fillId="8891" borderId="8838" xfId="0" applyFont="1" applyFill="1" applyBorder="1"/>
    <xf numFmtId="14" fontId="8888" fillId="8892" borderId="8839" xfId="0" applyNumberFormat="1" applyFont="1" applyFill="1" applyBorder="1"/>
    <xf numFmtId="0" fontId="8889" fillId="8893" borderId="8840" xfId="0" applyFont="1" applyFill="1" applyBorder="1"/>
    <xf numFmtId="0" fontId="8890" fillId="8894" borderId="8841" xfId="0" applyFont="1" applyFill="1" applyBorder="1"/>
    <xf numFmtId="0" fontId="8891" fillId="8895" borderId="8842" xfId="0" applyFont="1" applyFill="1" applyBorder="1"/>
    <xf numFmtId="0" fontId="8892" fillId="8896" borderId="8843" xfId="0" applyFont="1" applyFill="1" applyBorder="1"/>
    <xf numFmtId="0" fontId="8893" fillId="8897" borderId="8844" xfId="0" applyFont="1" applyFill="1" applyBorder="1"/>
    <xf numFmtId="0" fontId="8894" fillId="8898" borderId="8845" xfId="0" applyFont="1" applyFill="1" applyBorder="1"/>
    <xf numFmtId="0" fontId="8895" fillId="8899" borderId="8846" xfId="0" applyFont="1" applyFill="1" applyBorder="1"/>
    <xf numFmtId="14" fontId="8896" fillId="8900" borderId="8847" xfId="0" applyNumberFormat="1" applyFont="1" applyFill="1" applyBorder="1"/>
    <xf numFmtId="0" fontId="8897" fillId="8901" borderId="8848" xfId="0" applyFont="1" applyFill="1" applyBorder="1"/>
    <xf numFmtId="14" fontId="8898" fillId="8902" borderId="8849" xfId="0" applyNumberFormat="1" applyFont="1" applyFill="1" applyBorder="1"/>
    <xf numFmtId="0" fontId="8899" fillId="8903" borderId="8850" xfId="0" applyFont="1" applyFill="1" applyBorder="1"/>
    <xf numFmtId="0" fontId="8900" fillId="8904" borderId="8851" xfId="0" applyFont="1" applyFill="1" applyBorder="1"/>
    <xf numFmtId="0" fontId="8901" fillId="8905" borderId="8852" xfId="0" applyFont="1" applyFill="1" applyBorder="1"/>
    <xf numFmtId="0" fontId="8902" fillId="8906" borderId="8853" xfId="0" applyFont="1" applyFill="1" applyBorder="1"/>
    <xf numFmtId="0" fontId="8903" fillId="8907" borderId="8854" xfId="0" applyFont="1" applyFill="1" applyBorder="1"/>
    <xf numFmtId="0" fontId="8904" fillId="8908" borderId="8855" xfId="0" applyFont="1" applyFill="1" applyBorder="1"/>
    <xf numFmtId="0" fontId="8905" fillId="8909" borderId="8856" xfId="0" applyFont="1" applyFill="1" applyBorder="1"/>
    <xf numFmtId="14" fontId="8906" fillId="8910" borderId="8857" xfId="0" applyNumberFormat="1" applyFont="1" applyFill="1" applyBorder="1"/>
    <xf numFmtId="0" fontId="8907" fillId="8911" borderId="8858" xfId="0" applyFont="1" applyFill="1" applyBorder="1"/>
    <xf numFmtId="14" fontId="8908" fillId="8912" borderId="8859" xfId="0" applyNumberFormat="1" applyFont="1" applyFill="1" applyBorder="1"/>
    <xf numFmtId="0" fontId="8909" fillId="8913" borderId="8860" xfId="0" applyFont="1" applyFill="1" applyBorder="1"/>
    <xf numFmtId="0" fontId="8910" fillId="8914" borderId="8861" xfId="0" applyFont="1" applyFill="1" applyBorder="1"/>
    <xf numFmtId="0" fontId="8911" fillId="8915" borderId="8862" xfId="0" applyFont="1" applyFill="1" applyBorder="1"/>
    <xf numFmtId="0" fontId="8912" fillId="8916" borderId="8863" xfId="0" applyFont="1" applyFill="1" applyBorder="1"/>
    <xf numFmtId="0" fontId="8913" fillId="8917" borderId="8864" xfId="0" applyFont="1" applyFill="1" applyBorder="1"/>
    <xf numFmtId="0" fontId="8914" fillId="8918" borderId="8865" xfId="0" applyFont="1" applyFill="1" applyBorder="1"/>
    <xf numFmtId="0" fontId="8915" fillId="8919" borderId="8866" xfId="0" applyFont="1" applyFill="1" applyBorder="1"/>
    <xf numFmtId="14" fontId="8916" fillId="8920" borderId="8867" xfId="0" applyNumberFormat="1" applyFont="1" applyFill="1" applyBorder="1"/>
    <xf numFmtId="0" fontId="8917" fillId="8921" borderId="8868" xfId="0" applyFont="1" applyFill="1" applyBorder="1"/>
    <xf numFmtId="14" fontId="8918" fillId="8922" borderId="8869" xfId="0" applyNumberFormat="1" applyFont="1" applyFill="1" applyBorder="1"/>
    <xf numFmtId="0" fontId="8919" fillId="8923" borderId="8870" xfId="0" applyFont="1" applyFill="1" applyBorder="1"/>
    <xf numFmtId="0" fontId="8920" fillId="8924" borderId="8871" xfId="0" applyFont="1" applyFill="1" applyBorder="1"/>
    <xf numFmtId="0" fontId="8921" fillId="8925" borderId="8872" xfId="0" applyFont="1" applyFill="1" applyBorder="1"/>
    <xf numFmtId="0" fontId="8922" fillId="8926" borderId="8873" xfId="0" applyFont="1" applyFill="1" applyBorder="1"/>
    <xf numFmtId="0" fontId="8923" fillId="8927" borderId="8874" xfId="0" applyFont="1" applyFill="1" applyBorder="1"/>
    <xf numFmtId="0" fontId="8924" fillId="8928" borderId="8875" xfId="0" applyFont="1" applyFill="1" applyBorder="1"/>
    <xf numFmtId="0" fontId="8925" fillId="8929" borderId="8876" xfId="0" applyFont="1" applyFill="1" applyBorder="1"/>
    <xf numFmtId="14" fontId="8926" fillId="8930" borderId="8877" xfId="0" applyNumberFormat="1" applyFont="1" applyFill="1" applyBorder="1"/>
    <xf numFmtId="0" fontId="8927" fillId="8931" borderId="8878" xfId="0" applyFont="1" applyFill="1" applyBorder="1"/>
    <xf numFmtId="14" fontId="8928" fillId="8932" borderId="8879" xfId="0" applyNumberFormat="1" applyFont="1" applyFill="1" applyBorder="1"/>
    <xf numFmtId="0" fontId="8929" fillId="8933" borderId="8880" xfId="0" applyFont="1" applyFill="1" applyBorder="1"/>
    <xf numFmtId="0" fontId="8930" fillId="8934" borderId="8881" xfId="0" applyFont="1" applyFill="1" applyBorder="1"/>
    <xf numFmtId="0" fontId="8931" fillId="8935" borderId="8882" xfId="0" applyFont="1" applyFill="1" applyBorder="1"/>
    <xf numFmtId="0" fontId="8932" fillId="8936" borderId="8883" xfId="0" applyFont="1" applyFill="1" applyBorder="1"/>
    <xf numFmtId="0" fontId="8933" fillId="8937" borderId="8884" xfId="0" applyFont="1" applyFill="1" applyBorder="1"/>
    <xf numFmtId="0" fontId="8934" fillId="8938" borderId="8885" xfId="0" applyFont="1" applyFill="1" applyBorder="1"/>
    <xf numFmtId="0" fontId="8935" fillId="8939" borderId="8886" xfId="0" applyFont="1" applyFill="1" applyBorder="1"/>
    <xf numFmtId="14" fontId="8936" fillId="8940" borderId="8887" xfId="0" applyNumberFormat="1" applyFont="1" applyFill="1" applyBorder="1"/>
    <xf numFmtId="0" fontId="8937" fillId="8941" borderId="8888" xfId="0" applyFont="1" applyFill="1" applyBorder="1"/>
    <xf numFmtId="14" fontId="8938" fillId="8942" borderId="8889" xfId="0" applyNumberFormat="1" applyFont="1" applyFill="1" applyBorder="1"/>
    <xf numFmtId="0" fontId="8939" fillId="8943" borderId="8890" xfId="0" applyFont="1" applyFill="1" applyBorder="1"/>
    <xf numFmtId="0" fontId="8940" fillId="8944" borderId="8891" xfId="0" applyFont="1" applyFill="1" applyBorder="1"/>
    <xf numFmtId="0" fontId="8941" fillId="8945" borderId="8892" xfId="0" applyFont="1" applyFill="1" applyBorder="1"/>
    <xf numFmtId="0" fontId="8942" fillId="8946" borderId="8893" xfId="0" applyFont="1" applyFill="1" applyBorder="1"/>
    <xf numFmtId="0" fontId="8943" fillId="8947" borderId="8894" xfId="0" applyFont="1" applyFill="1" applyBorder="1"/>
    <xf numFmtId="0" fontId="8944" fillId="8948" borderId="8895" xfId="0" applyFont="1" applyFill="1" applyBorder="1"/>
    <xf numFmtId="0" fontId="8945" fillId="8949" borderId="8896" xfId="0" applyFont="1" applyFill="1" applyBorder="1"/>
    <xf numFmtId="14" fontId="8946" fillId="8950" borderId="8897" xfId="0" applyNumberFormat="1" applyFont="1" applyFill="1" applyBorder="1"/>
    <xf numFmtId="0" fontId="8947" fillId="8951" borderId="8898" xfId="0" applyFont="1" applyFill="1" applyBorder="1"/>
    <xf numFmtId="14" fontId="8948" fillId="8952" borderId="8899" xfId="0" applyNumberFormat="1" applyFont="1" applyFill="1" applyBorder="1"/>
    <xf numFmtId="0" fontId="8949" fillId="8953" borderId="8900" xfId="0" applyFont="1" applyFill="1" applyBorder="1"/>
    <xf numFmtId="0" fontId="8950" fillId="8954" borderId="8901" xfId="0" applyFont="1" applyFill="1" applyBorder="1"/>
    <xf numFmtId="0" fontId="8951" fillId="8955" borderId="8902" xfId="0" applyFont="1" applyFill="1" applyBorder="1"/>
    <xf numFmtId="0" fontId="8952" fillId="8956" borderId="8903" xfId="0" applyFont="1" applyFill="1" applyBorder="1"/>
    <xf numFmtId="0" fontId="8953" fillId="8957" borderId="8904" xfId="0" applyFont="1" applyFill="1" applyBorder="1"/>
    <xf numFmtId="0" fontId="8954" fillId="8958" borderId="8905" xfId="0" applyFont="1" applyFill="1" applyBorder="1"/>
    <xf numFmtId="0" fontId="8955" fillId="8959" borderId="8906" xfId="0" applyFont="1" applyFill="1" applyBorder="1"/>
    <xf numFmtId="14" fontId="8956" fillId="8960" borderId="8907" xfId="0" applyNumberFormat="1" applyFont="1" applyFill="1" applyBorder="1"/>
    <xf numFmtId="0" fontId="8957" fillId="8961" borderId="8908" xfId="0" applyFont="1" applyFill="1" applyBorder="1"/>
    <xf numFmtId="14" fontId="8958" fillId="8962" borderId="8909" xfId="0" applyNumberFormat="1" applyFont="1" applyFill="1" applyBorder="1"/>
    <xf numFmtId="0" fontId="8959" fillId="8963" borderId="8910" xfId="0" applyFont="1" applyFill="1" applyBorder="1"/>
    <xf numFmtId="0" fontId="8960" fillId="8964" borderId="8911" xfId="0" applyFont="1" applyFill="1" applyBorder="1"/>
    <xf numFmtId="0" fontId="8961" fillId="8965" borderId="8912" xfId="0" applyFont="1" applyFill="1" applyBorder="1"/>
    <xf numFmtId="0" fontId="8962" fillId="8966" borderId="8913" xfId="0" applyFont="1" applyFill="1" applyBorder="1"/>
    <xf numFmtId="0" fontId="8963" fillId="8967" borderId="8914" xfId="0" applyFont="1" applyFill="1" applyBorder="1"/>
    <xf numFmtId="0" fontId="8964" fillId="8968" borderId="8915" xfId="0" applyFont="1" applyFill="1" applyBorder="1"/>
    <xf numFmtId="0" fontId="8965" fillId="8969" borderId="8916" xfId="0" applyFont="1" applyFill="1" applyBorder="1"/>
    <xf numFmtId="14" fontId="8966" fillId="8970" borderId="8917" xfId="0" applyNumberFormat="1" applyFont="1" applyFill="1" applyBorder="1"/>
    <xf numFmtId="0" fontId="8967" fillId="8971" borderId="8918" xfId="0" applyFont="1" applyFill="1" applyBorder="1"/>
    <xf numFmtId="14" fontId="8968" fillId="8972" borderId="8919" xfId="0" applyNumberFormat="1" applyFont="1" applyFill="1" applyBorder="1"/>
    <xf numFmtId="0" fontId="8969" fillId="8973" borderId="8920" xfId="0" applyFont="1" applyFill="1" applyBorder="1"/>
    <xf numFmtId="0" fontId="8970" fillId="8974" borderId="8921" xfId="0" applyFont="1" applyFill="1" applyBorder="1"/>
    <xf numFmtId="0" fontId="8971" fillId="8975" borderId="8922" xfId="0" applyFont="1" applyFill="1" applyBorder="1"/>
    <xf numFmtId="0" fontId="8972" fillId="8976" borderId="8923" xfId="0" applyFont="1" applyFill="1" applyBorder="1"/>
    <xf numFmtId="0" fontId="8973" fillId="8977" borderId="8924" xfId="0" applyFont="1" applyFill="1" applyBorder="1"/>
    <xf numFmtId="0" fontId="8974" fillId="8978" borderId="8925" xfId="0" applyFont="1" applyFill="1" applyBorder="1"/>
    <xf numFmtId="0" fontId="8975" fillId="8979" borderId="8926" xfId="0" applyFont="1" applyFill="1" applyBorder="1"/>
    <xf numFmtId="14" fontId="8976" fillId="8980" borderId="8927" xfId="0" applyNumberFormat="1" applyFont="1" applyFill="1" applyBorder="1"/>
    <xf numFmtId="0" fontId="8977" fillId="8981" borderId="8928" xfId="0" applyFont="1" applyFill="1" applyBorder="1"/>
    <xf numFmtId="14" fontId="8978" fillId="8982" borderId="8929" xfId="0" applyNumberFormat="1" applyFont="1" applyFill="1" applyBorder="1"/>
    <xf numFmtId="0" fontId="8979" fillId="8983" borderId="8930" xfId="0" applyFont="1" applyFill="1" applyBorder="1"/>
    <xf numFmtId="0" fontId="8980" fillId="8984" borderId="8931" xfId="0" applyFont="1" applyFill="1" applyBorder="1"/>
    <xf numFmtId="0" fontId="8981" fillId="8985" borderId="8932" xfId="0" applyFont="1" applyFill="1" applyBorder="1"/>
    <xf numFmtId="0" fontId="8982" fillId="8986" borderId="8933" xfId="0" applyFont="1" applyFill="1" applyBorder="1"/>
    <xf numFmtId="0" fontId="8983" fillId="8987" borderId="8934" xfId="0" applyFont="1" applyFill="1" applyBorder="1"/>
    <xf numFmtId="0" fontId="8984" fillId="8988" borderId="8935" xfId="0" applyFont="1" applyFill="1" applyBorder="1"/>
    <xf numFmtId="0" fontId="8985" fillId="8989" borderId="8936" xfId="0" applyFont="1" applyFill="1" applyBorder="1"/>
    <xf numFmtId="14" fontId="8986" fillId="8990" borderId="8937" xfId="0" applyNumberFormat="1" applyFont="1" applyFill="1" applyBorder="1"/>
    <xf numFmtId="0" fontId="8987" fillId="8991" borderId="8938" xfId="0" applyFont="1" applyFill="1" applyBorder="1"/>
    <xf numFmtId="14" fontId="8988" fillId="8992" borderId="8939" xfId="0" applyNumberFormat="1" applyFont="1" applyFill="1" applyBorder="1"/>
    <xf numFmtId="0" fontId="8989" fillId="8993" borderId="8940" xfId="0" applyFont="1" applyFill="1" applyBorder="1"/>
    <xf numFmtId="0" fontId="8990" fillId="8994" borderId="8941" xfId="0" applyFont="1" applyFill="1" applyBorder="1"/>
    <xf numFmtId="0" fontId="8991" fillId="8995" borderId="8942" xfId="0" applyFont="1" applyFill="1" applyBorder="1"/>
    <xf numFmtId="0" fontId="8992" fillId="8996" borderId="8943" xfId="0" applyFont="1" applyFill="1" applyBorder="1"/>
    <xf numFmtId="0" fontId="8993" fillId="8997" borderId="8944" xfId="0" applyFont="1" applyFill="1" applyBorder="1"/>
    <xf numFmtId="0" fontId="8994" fillId="8998" borderId="8945" xfId="0" applyFont="1" applyFill="1" applyBorder="1"/>
    <xf numFmtId="0" fontId="8995" fillId="8999" borderId="8946" xfId="0" applyFont="1" applyFill="1" applyBorder="1"/>
    <xf numFmtId="14" fontId="8996" fillId="9000" borderId="8947" xfId="0" applyNumberFormat="1" applyFont="1" applyFill="1" applyBorder="1"/>
    <xf numFmtId="0" fontId="8997" fillId="9001" borderId="8948" xfId="0" applyFont="1" applyFill="1" applyBorder="1"/>
    <xf numFmtId="14" fontId="8998" fillId="9002" borderId="8949" xfId="0" applyNumberFormat="1" applyFont="1" applyFill="1" applyBorder="1"/>
    <xf numFmtId="0" fontId="8999" fillId="9003" borderId="8950" xfId="0" applyFont="1" applyFill="1" applyBorder="1"/>
    <xf numFmtId="0" fontId="9000" fillId="9004" borderId="8951" xfId="0" applyFont="1" applyFill="1" applyBorder="1"/>
    <xf numFmtId="0" fontId="9001" fillId="9005" borderId="8952" xfId="0" applyFont="1" applyFill="1" applyBorder="1"/>
    <xf numFmtId="0" fontId="9002" fillId="9006" borderId="8953" xfId="0" applyFont="1" applyFill="1" applyBorder="1"/>
    <xf numFmtId="0" fontId="9003" fillId="9007" borderId="8954" xfId="0" applyFont="1" applyFill="1" applyBorder="1"/>
    <xf numFmtId="0" fontId="9004" fillId="9008" borderId="8955" xfId="0" applyFont="1" applyFill="1" applyBorder="1"/>
    <xf numFmtId="0" fontId="9005" fillId="9009" borderId="8956" xfId="0" applyFont="1" applyFill="1" applyBorder="1"/>
    <xf numFmtId="14" fontId="9006" fillId="9010" borderId="8957" xfId="0" applyNumberFormat="1" applyFont="1" applyFill="1" applyBorder="1"/>
    <xf numFmtId="0" fontId="9007" fillId="9011" borderId="8958" xfId="0" applyFont="1" applyFill="1" applyBorder="1"/>
    <xf numFmtId="14" fontId="9008" fillId="9012" borderId="8959" xfId="0" applyNumberFormat="1" applyFont="1" applyFill="1" applyBorder="1"/>
    <xf numFmtId="0" fontId="9009" fillId="9013" borderId="8960" xfId="0" applyFont="1" applyFill="1" applyBorder="1"/>
    <xf numFmtId="0" fontId="9010" fillId="9014" borderId="8961" xfId="0" applyFont="1" applyFill="1" applyBorder="1"/>
    <xf numFmtId="0" fontId="9011" fillId="9015" borderId="8962" xfId="0" applyFont="1" applyFill="1" applyBorder="1"/>
    <xf numFmtId="0" fontId="9012" fillId="9016" borderId="8963" xfId="0" applyFont="1" applyFill="1" applyBorder="1"/>
    <xf numFmtId="0" fontId="9013" fillId="9017" borderId="8964" xfId="0" applyFont="1" applyFill="1" applyBorder="1"/>
    <xf numFmtId="0" fontId="9014" fillId="9018" borderId="8965" xfId="0" applyFont="1" applyFill="1" applyBorder="1"/>
    <xf numFmtId="0" fontId="9015" fillId="9019" borderId="8966" xfId="0" applyFont="1" applyFill="1" applyBorder="1"/>
    <xf numFmtId="14" fontId="9016" fillId="9020" borderId="8967" xfId="0" applyNumberFormat="1" applyFont="1" applyFill="1" applyBorder="1"/>
    <xf numFmtId="0" fontId="9017" fillId="9021" borderId="8968" xfId="0" applyFont="1" applyFill="1" applyBorder="1"/>
    <xf numFmtId="14" fontId="9018" fillId="9022" borderId="8969" xfId="0" applyNumberFormat="1" applyFont="1" applyFill="1" applyBorder="1"/>
    <xf numFmtId="0" fontId="9019" fillId="9023" borderId="8970" xfId="0" applyFont="1" applyFill="1" applyBorder="1"/>
    <xf numFmtId="0" fontId="9020" fillId="9024" borderId="8971" xfId="0" applyFont="1" applyFill="1" applyBorder="1"/>
    <xf numFmtId="0" fontId="9021" fillId="9025" borderId="8972" xfId="0" applyFont="1" applyFill="1" applyBorder="1"/>
    <xf numFmtId="0" fontId="9022" fillId="9026" borderId="8973" xfId="0" applyFont="1" applyFill="1" applyBorder="1"/>
    <xf numFmtId="0" fontId="9023" fillId="9027" borderId="8974" xfId="0" applyFont="1" applyFill="1" applyBorder="1"/>
    <xf numFmtId="0" fontId="9024" fillId="9028" borderId="8975" xfId="0" applyFont="1" applyFill="1" applyBorder="1"/>
    <xf numFmtId="0" fontId="9025" fillId="9029" borderId="8976" xfId="0" applyFont="1" applyFill="1" applyBorder="1"/>
    <xf numFmtId="14" fontId="9026" fillId="9030" borderId="8977" xfId="0" applyNumberFormat="1" applyFont="1" applyFill="1" applyBorder="1"/>
    <xf numFmtId="0" fontId="9027" fillId="9031" borderId="8978" xfId="0" applyFont="1" applyFill="1" applyBorder="1"/>
    <xf numFmtId="14" fontId="9028" fillId="9032" borderId="8979" xfId="0" applyNumberFormat="1" applyFont="1" applyFill="1" applyBorder="1"/>
    <xf numFmtId="0" fontId="9029" fillId="9033" borderId="8980" xfId="0" applyFont="1" applyFill="1" applyBorder="1"/>
    <xf numFmtId="0" fontId="9030" fillId="9034" borderId="8981" xfId="0" applyFont="1" applyFill="1" applyBorder="1"/>
    <xf numFmtId="0" fontId="9031" fillId="9035" borderId="8982" xfId="0" applyFont="1" applyFill="1" applyBorder="1"/>
    <xf numFmtId="0" fontId="9032" fillId="9036" borderId="8983" xfId="0" applyFont="1" applyFill="1" applyBorder="1"/>
    <xf numFmtId="0" fontId="9033" fillId="9037" borderId="8984" xfId="0" applyFont="1" applyFill="1" applyBorder="1"/>
    <xf numFmtId="0" fontId="9034" fillId="9038" borderId="8985" xfId="0" applyFont="1" applyFill="1" applyBorder="1"/>
    <xf numFmtId="0" fontId="9035" fillId="9039" borderId="8986" xfId="0" applyFont="1" applyFill="1" applyBorder="1"/>
    <xf numFmtId="14" fontId="9036" fillId="9040" borderId="8987" xfId="0" applyNumberFormat="1" applyFont="1" applyFill="1" applyBorder="1"/>
    <xf numFmtId="0" fontId="9037" fillId="9041" borderId="8988" xfId="0" applyFont="1" applyFill="1" applyBorder="1"/>
    <xf numFmtId="14" fontId="9038" fillId="9042" borderId="8989" xfId="0" applyNumberFormat="1" applyFont="1" applyFill="1" applyBorder="1"/>
    <xf numFmtId="0" fontId="9039" fillId="9043" borderId="8990" xfId="0" applyFont="1" applyFill="1" applyBorder="1"/>
    <xf numFmtId="0" fontId="9040" fillId="9044" borderId="8991" xfId="0" applyFont="1" applyFill="1" applyBorder="1"/>
    <xf numFmtId="0" fontId="9041" fillId="9045" borderId="8992" xfId="0" applyFont="1" applyFill="1" applyBorder="1"/>
    <xf numFmtId="0" fontId="9042" fillId="9046" borderId="8993" xfId="0" applyFont="1" applyFill="1" applyBorder="1"/>
    <xf numFmtId="0" fontId="9043" fillId="9047" borderId="8994" xfId="0" applyFont="1" applyFill="1" applyBorder="1"/>
    <xf numFmtId="0" fontId="9044" fillId="9048" borderId="8995" xfId="0" applyFont="1" applyFill="1" applyBorder="1"/>
    <xf numFmtId="0" fontId="9045" fillId="9049" borderId="8996" xfId="0" applyFont="1" applyFill="1" applyBorder="1"/>
    <xf numFmtId="14" fontId="9046" fillId="9050" borderId="8997" xfId="0" applyNumberFormat="1" applyFont="1" applyFill="1" applyBorder="1"/>
    <xf numFmtId="0" fontId="9047" fillId="9051" borderId="8998" xfId="0" applyFont="1" applyFill="1" applyBorder="1"/>
    <xf numFmtId="14" fontId="9048" fillId="9052" borderId="8999" xfId="0" applyNumberFormat="1" applyFont="1" applyFill="1" applyBorder="1"/>
    <xf numFmtId="0" fontId="9049" fillId="9053" borderId="9000" xfId="0" applyFont="1" applyFill="1" applyBorder="1"/>
    <xf numFmtId="0" fontId="9050" fillId="9054" borderId="9001" xfId="0" applyFont="1" applyFill="1" applyBorder="1"/>
    <xf numFmtId="0" fontId="9051" fillId="9055" borderId="9002" xfId="0" applyFont="1" applyFill="1" applyBorder="1"/>
    <xf numFmtId="0" fontId="9052" fillId="9056" borderId="9003" xfId="0" applyFont="1" applyFill="1" applyBorder="1"/>
    <xf numFmtId="0" fontId="9053" fillId="9057" borderId="9004" xfId="0" applyFont="1" applyFill="1" applyBorder="1"/>
    <xf numFmtId="0" fontId="9054" fillId="9058" borderId="9005" xfId="0" applyFont="1" applyFill="1" applyBorder="1"/>
    <xf numFmtId="0" fontId="9055" fillId="9059" borderId="9006" xfId="0" applyFont="1" applyFill="1" applyBorder="1"/>
    <xf numFmtId="14" fontId="9056" fillId="9060" borderId="9007" xfId="0" applyNumberFormat="1" applyFont="1" applyFill="1" applyBorder="1"/>
    <xf numFmtId="0" fontId="9057" fillId="9061" borderId="9008" xfId="0" applyFont="1" applyFill="1" applyBorder="1"/>
    <xf numFmtId="14" fontId="9058" fillId="9062" borderId="9009" xfId="0" applyNumberFormat="1" applyFont="1" applyFill="1" applyBorder="1"/>
    <xf numFmtId="0" fontId="9059" fillId="9063" borderId="9010" xfId="0" applyFont="1" applyFill="1" applyBorder="1"/>
    <xf numFmtId="0" fontId="9060" fillId="9064" borderId="9011" xfId="0" applyFont="1" applyFill="1" applyBorder="1"/>
    <xf numFmtId="0" fontId="9061" fillId="9065" borderId="9012" xfId="0" applyFont="1" applyFill="1" applyBorder="1"/>
    <xf numFmtId="0" fontId="9062" fillId="9066" borderId="9013" xfId="0" applyFont="1" applyFill="1" applyBorder="1"/>
    <xf numFmtId="0" fontId="9063" fillId="9067" borderId="9014" xfId="0" applyFont="1" applyFill="1" applyBorder="1"/>
    <xf numFmtId="0" fontId="9064" fillId="9068" borderId="9015" xfId="0" applyFont="1" applyFill="1" applyBorder="1"/>
    <xf numFmtId="0" fontId="9065" fillId="9069" borderId="9016" xfId="0" applyFont="1" applyFill="1" applyBorder="1"/>
    <xf numFmtId="14" fontId="9066" fillId="9070" borderId="9017" xfId="0" applyNumberFormat="1" applyFont="1" applyFill="1" applyBorder="1"/>
    <xf numFmtId="0" fontId="9067" fillId="9071" borderId="9018" xfId="0" applyFont="1" applyFill="1" applyBorder="1"/>
    <xf numFmtId="14" fontId="9068" fillId="9072" borderId="9019" xfId="0" applyNumberFormat="1" applyFont="1" applyFill="1" applyBorder="1"/>
    <xf numFmtId="0" fontId="9069" fillId="9073" borderId="9020" xfId="0" applyFont="1" applyFill="1" applyBorder="1"/>
    <xf numFmtId="0" fontId="9070" fillId="9074" borderId="9021" xfId="0" applyFont="1" applyFill="1" applyBorder="1"/>
    <xf numFmtId="0" fontId="9071" fillId="9075" borderId="9022" xfId="0" applyFont="1" applyFill="1" applyBorder="1"/>
    <xf numFmtId="0" fontId="9072" fillId="9076" borderId="9023" xfId="0" applyFont="1" applyFill="1" applyBorder="1"/>
    <xf numFmtId="0" fontId="9073" fillId="9077" borderId="9024" xfId="0" applyFont="1" applyFill="1" applyBorder="1"/>
    <xf numFmtId="0" fontId="9074" fillId="9078" borderId="9025" xfId="0" applyFont="1" applyFill="1" applyBorder="1"/>
    <xf numFmtId="0" fontId="9075" fillId="9079" borderId="9026" xfId="0" applyFont="1" applyFill="1" applyBorder="1"/>
    <xf numFmtId="14" fontId="9076" fillId="9080" borderId="9027" xfId="0" applyNumberFormat="1" applyFont="1" applyFill="1" applyBorder="1"/>
    <xf numFmtId="0" fontId="9077" fillId="9081" borderId="9028" xfId="0" applyFont="1" applyFill="1" applyBorder="1"/>
    <xf numFmtId="14" fontId="9078" fillId="9082" borderId="9029" xfId="0" applyNumberFormat="1" applyFont="1" applyFill="1" applyBorder="1"/>
    <xf numFmtId="0" fontId="9079" fillId="9083" borderId="9030" xfId="0" applyFont="1" applyFill="1" applyBorder="1"/>
    <xf numFmtId="0" fontId="9080" fillId="9084" borderId="9031" xfId="0" applyFont="1" applyFill="1" applyBorder="1"/>
    <xf numFmtId="0" fontId="9081" fillId="9085" borderId="9032" xfId="0" applyFont="1" applyFill="1" applyBorder="1"/>
    <xf numFmtId="0" fontId="9082" fillId="9086" borderId="9033" xfId="0" applyFont="1" applyFill="1" applyBorder="1"/>
    <xf numFmtId="0" fontId="9083" fillId="9087" borderId="9034" xfId="0" applyFont="1" applyFill="1" applyBorder="1"/>
    <xf numFmtId="0" fontId="9084" fillId="9088" borderId="9035" xfId="0" applyFont="1" applyFill="1" applyBorder="1"/>
    <xf numFmtId="0" fontId="9085" fillId="9089" borderId="9036" xfId="0" applyFont="1" applyFill="1" applyBorder="1"/>
    <xf numFmtId="14" fontId="9086" fillId="9090" borderId="9037" xfId="0" applyNumberFormat="1" applyFont="1" applyFill="1" applyBorder="1"/>
    <xf numFmtId="0" fontId="9087" fillId="9091" borderId="9038" xfId="0" applyFont="1" applyFill="1" applyBorder="1"/>
    <xf numFmtId="14" fontId="9088" fillId="9092" borderId="9039" xfId="0" applyNumberFormat="1" applyFont="1" applyFill="1" applyBorder="1"/>
    <xf numFmtId="0" fontId="9089" fillId="9093" borderId="9040" xfId="0" applyFont="1" applyFill="1" applyBorder="1"/>
    <xf numFmtId="0" fontId="9090" fillId="9094" borderId="9041" xfId="0" applyFont="1" applyFill="1" applyBorder="1"/>
    <xf numFmtId="0" fontId="9091" fillId="9095" borderId="9042" xfId="0" applyFont="1" applyFill="1" applyBorder="1"/>
    <xf numFmtId="0" fontId="9092" fillId="9096" borderId="9043" xfId="0" applyFont="1" applyFill="1" applyBorder="1"/>
    <xf numFmtId="0" fontId="9093" fillId="9097" borderId="9044" xfId="0" applyFont="1" applyFill="1" applyBorder="1"/>
    <xf numFmtId="0" fontId="9094" fillId="9098" borderId="9045" xfId="0" applyFont="1" applyFill="1" applyBorder="1"/>
    <xf numFmtId="0" fontId="9095" fillId="9099" borderId="9046" xfId="0" applyFont="1" applyFill="1" applyBorder="1"/>
    <xf numFmtId="14" fontId="9096" fillId="9100" borderId="9047" xfId="0" applyNumberFormat="1" applyFont="1" applyFill="1" applyBorder="1"/>
    <xf numFmtId="0" fontId="9097" fillId="9101" borderId="9048" xfId="0" applyFont="1" applyFill="1" applyBorder="1"/>
    <xf numFmtId="14" fontId="9098" fillId="9102" borderId="9049" xfId="0" applyNumberFormat="1" applyFont="1" applyFill="1" applyBorder="1"/>
    <xf numFmtId="0" fontId="9099" fillId="9103" borderId="9050" xfId="0" applyFont="1" applyFill="1" applyBorder="1"/>
    <xf numFmtId="0" fontId="9100" fillId="9104" borderId="9051" xfId="0" applyFont="1" applyFill="1" applyBorder="1"/>
    <xf numFmtId="0" fontId="9101" fillId="9105" borderId="9052" xfId="0" applyFont="1" applyFill="1" applyBorder="1"/>
    <xf numFmtId="0" fontId="9102" fillId="9106" borderId="9053" xfId="0" applyFont="1" applyFill="1" applyBorder="1"/>
    <xf numFmtId="0" fontId="9103" fillId="9107" borderId="9054" xfId="0" applyFont="1" applyFill="1" applyBorder="1"/>
    <xf numFmtId="0" fontId="9104" fillId="9108" borderId="9055" xfId="0" applyFont="1" applyFill="1" applyBorder="1"/>
    <xf numFmtId="0" fontId="9105" fillId="9109" borderId="9056" xfId="0" applyFont="1" applyFill="1" applyBorder="1"/>
    <xf numFmtId="14" fontId="9106" fillId="9110" borderId="9057" xfId="0" applyNumberFormat="1" applyFont="1" applyFill="1" applyBorder="1"/>
    <xf numFmtId="0" fontId="9107" fillId="9111" borderId="9058" xfId="0" applyFont="1" applyFill="1" applyBorder="1"/>
    <xf numFmtId="14" fontId="9108" fillId="9112" borderId="9059" xfId="0" applyNumberFormat="1" applyFont="1" applyFill="1" applyBorder="1"/>
    <xf numFmtId="0" fontId="9109" fillId="9113" borderId="9060" xfId="0" applyFont="1" applyFill="1" applyBorder="1"/>
    <xf numFmtId="0" fontId="9110" fillId="9114" borderId="9061" xfId="0" applyFont="1" applyFill="1" applyBorder="1"/>
    <xf numFmtId="0" fontId="9111" fillId="9115" borderId="9062" xfId="0" applyFont="1" applyFill="1" applyBorder="1"/>
    <xf numFmtId="0" fontId="9112" fillId="9116" borderId="9063" xfId="0" applyFont="1" applyFill="1" applyBorder="1"/>
    <xf numFmtId="0" fontId="9113" fillId="9117" borderId="9064" xfId="0" applyFont="1" applyFill="1" applyBorder="1"/>
    <xf numFmtId="0" fontId="9114" fillId="9118" borderId="9065" xfId="0" applyFont="1" applyFill="1" applyBorder="1"/>
    <xf numFmtId="0" fontId="9115" fillId="9119" borderId="9066" xfId="0" applyFont="1" applyFill="1" applyBorder="1"/>
    <xf numFmtId="14" fontId="9116" fillId="9120" borderId="9067" xfId="0" applyNumberFormat="1" applyFont="1" applyFill="1" applyBorder="1"/>
    <xf numFmtId="0" fontId="9117" fillId="9121" borderId="9068" xfId="0" applyFont="1" applyFill="1" applyBorder="1"/>
    <xf numFmtId="14" fontId="9118" fillId="9122" borderId="9069" xfId="0" applyNumberFormat="1" applyFont="1" applyFill="1" applyBorder="1"/>
    <xf numFmtId="0" fontId="9119" fillId="9123" borderId="9070" xfId="0" applyFont="1" applyFill="1" applyBorder="1"/>
    <xf numFmtId="0" fontId="9120" fillId="9124" borderId="9071" xfId="0" applyFont="1" applyFill="1" applyBorder="1"/>
    <xf numFmtId="0" fontId="9121" fillId="9125" borderId="9072" xfId="0" applyFont="1" applyFill="1" applyBorder="1"/>
    <xf numFmtId="0" fontId="9122" fillId="9126" borderId="9073" xfId="0" applyFont="1" applyFill="1" applyBorder="1"/>
    <xf numFmtId="0" fontId="9123" fillId="9127" borderId="9074" xfId="0" applyFont="1" applyFill="1" applyBorder="1"/>
    <xf numFmtId="0" fontId="9124" fillId="9128" borderId="9075" xfId="0" applyFont="1" applyFill="1" applyBorder="1"/>
    <xf numFmtId="0" fontId="9125" fillId="9129" borderId="9076" xfId="0" applyFont="1" applyFill="1" applyBorder="1"/>
    <xf numFmtId="14" fontId="9126" fillId="9130" borderId="9077" xfId="0" applyNumberFormat="1" applyFont="1" applyFill="1" applyBorder="1"/>
    <xf numFmtId="0" fontId="9127" fillId="9131" borderId="9078" xfId="0" applyFont="1" applyFill="1" applyBorder="1"/>
    <xf numFmtId="14" fontId="9128" fillId="9132" borderId="9079" xfId="0" applyNumberFormat="1" applyFont="1" applyFill="1" applyBorder="1"/>
    <xf numFmtId="0" fontId="9129" fillId="9133" borderId="9080" xfId="0" applyFont="1" applyFill="1" applyBorder="1"/>
    <xf numFmtId="0" fontId="9130" fillId="9134" borderId="9081" xfId="0" applyFont="1" applyFill="1" applyBorder="1"/>
    <xf numFmtId="0" fontId="9131" fillId="9135" borderId="9082" xfId="0" applyFont="1" applyFill="1" applyBorder="1"/>
    <xf numFmtId="0" fontId="9132" fillId="9136" borderId="9083" xfId="0" applyFont="1" applyFill="1" applyBorder="1"/>
    <xf numFmtId="0" fontId="9133" fillId="9137" borderId="9084" xfId="0" applyFont="1" applyFill="1" applyBorder="1"/>
    <xf numFmtId="0" fontId="9134" fillId="9138" borderId="9085" xfId="0" applyFont="1" applyFill="1" applyBorder="1"/>
    <xf numFmtId="0" fontId="9135" fillId="9139" borderId="9086" xfId="0" applyFont="1" applyFill="1" applyBorder="1"/>
    <xf numFmtId="14" fontId="9136" fillId="9140" borderId="9087" xfId="0" applyNumberFormat="1" applyFont="1" applyFill="1" applyBorder="1"/>
    <xf numFmtId="0" fontId="9137" fillId="9141" borderId="9088" xfId="0" applyFont="1" applyFill="1" applyBorder="1"/>
    <xf numFmtId="14" fontId="9138" fillId="9142" borderId="9089" xfId="0" applyNumberFormat="1" applyFont="1" applyFill="1" applyBorder="1"/>
    <xf numFmtId="0" fontId="9139" fillId="9143" borderId="9090" xfId="0" applyFont="1" applyFill="1" applyBorder="1"/>
    <xf numFmtId="0" fontId="9140" fillId="9144" borderId="9091" xfId="0" applyFont="1" applyFill="1" applyBorder="1"/>
    <xf numFmtId="0" fontId="9141" fillId="9145" borderId="9092" xfId="0" applyFont="1" applyFill="1" applyBorder="1"/>
    <xf numFmtId="0" fontId="9142" fillId="9146" borderId="9093" xfId="0" applyFont="1" applyFill="1" applyBorder="1"/>
    <xf numFmtId="0" fontId="9143" fillId="9147" borderId="9094" xfId="0" applyFont="1" applyFill="1" applyBorder="1"/>
    <xf numFmtId="0" fontId="9144" fillId="9148" borderId="9095" xfId="0" applyFont="1" applyFill="1" applyBorder="1"/>
    <xf numFmtId="0" fontId="9145" fillId="9149" borderId="9096" xfId="0" applyFont="1" applyFill="1" applyBorder="1"/>
    <xf numFmtId="14" fontId="9146" fillId="9150" borderId="9097" xfId="0" applyNumberFormat="1" applyFont="1" applyFill="1" applyBorder="1"/>
    <xf numFmtId="0" fontId="9147" fillId="9151" borderId="9098" xfId="0" applyFont="1" applyFill="1" applyBorder="1"/>
    <xf numFmtId="14" fontId="9148" fillId="9152" borderId="9099" xfId="0" applyNumberFormat="1" applyFont="1" applyFill="1" applyBorder="1"/>
    <xf numFmtId="0" fontId="9149" fillId="9153" borderId="9100" xfId="0" applyFont="1" applyFill="1" applyBorder="1"/>
    <xf numFmtId="0" fontId="9150" fillId="9154" borderId="9101" xfId="0" applyFont="1" applyFill="1" applyBorder="1"/>
    <xf numFmtId="0" fontId="9151" fillId="9155" borderId="9102" xfId="0" applyFont="1" applyFill="1" applyBorder="1"/>
    <xf numFmtId="0" fontId="9152" fillId="9156" borderId="9103" xfId="0" applyFont="1" applyFill="1" applyBorder="1"/>
    <xf numFmtId="0" fontId="9153" fillId="9157" borderId="9104" xfId="0" applyFont="1" applyFill="1" applyBorder="1"/>
    <xf numFmtId="0" fontId="9154" fillId="9158" borderId="9105" xfId="0" applyFont="1" applyFill="1" applyBorder="1"/>
    <xf numFmtId="0" fontId="9155" fillId="9159" borderId="9106" xfId="0" applyFont="1" applyFill="1" applyBorder="1"/>
    <xf numFmtId="14" fontId="9156" fillId="9160" borderId="9107" xfId="0" applyNumberFormat="1" applyFont="1" applyFill="1" applyBorder="1"/>
    <xf numFmtId="0" fontId="9157" fillId="9161" borderId="9108" xfId="0" applyFont="1" applyFill="1" applyBorder="1"/>
    <xf numFmtId="14" fontId="9158" fillId="9162" borderId="9109" xfId="0" applyNumberFormat="1" applyFont="1" applyFill="1" applyBorder="1"/>
    <xf numFmtId="0" fontId="9159" fillId="9163" borderId="9110" xfId="0" applyFont="1" applyFill="1" applyBorder="1"/>
    <xf numFmtId="0" fontId="9160" fillId="9164" borderId="9111" xfId="0" applyFont="1" applyFill="1" applyBorder="1"/>
    <xf numFmtId="0" fontId="9161" fillId="9165" borderId="9112" xfId="0" applyFont="1" applyFill="1" applyBorder="1"/>
    <xf numFmtId="0" fontId="9162" fillId="9166" borderId="9113" xfId="0" applyFont="1" applyFill="1" applyBorder="1"/>
    <xf numFmtId="0" fontId="9163" fillId="9167" borderId="9114" xfId="0" applyFont="1" applyFill="1" applyBorder="1"/>
    <xf numFmtId="0" fontId="9164" fillId="9168" borderId="9115" xfId="0" applyFont="1" applyFill="1" applyBorder="1"/>
    <xf numFmtId="0" fontId="9165" fillId="9169" borderId="9116" xfId="0" applyFont="1" applyFill="1" applyBorder="1"/>
    <xf numFmtId="14" fontId="9166" fillId="9170" borderId="9117" xfId="0" applyNumberFormat="1" applyFont="1" applyFill="1" applyBorder="1"/>
    <xf numFmtId="0" fontId="9167" fillId="9171" borderId="9118" xfId="0" applyFont="1" applyFill="1" applyBorder="1"/>
    <xf numFmtId="14" fontId="9168" fillId="9172" borderId="9119" xfId="0" applyNumberFormat="1" applyFont="1" applyFill="1" applyBorder="1"/>
    <xf numFmtId="0" fontId="9169" fillId="9173" borderId="9120" xfId="0" applyFont="1" applyFill="1" applyBorder="1"/>
    <xf numFmtId="0" fontId="9170" fillId="9174" borderId="9121" xfId="0" applyFont="1" applyFill="1" applyBorder="1"/>
    <xf numFmtId="0" fontId="9171" fillId="9175" borderId="9122" xfId="0" applyFont="1" applyFill="1" applyBorder="1"/>
    <xf numFmtId="0" fontId="9172" fillId="9176" borderId="9123" xfId="0" applyFont="1" applyFill="1" applyBorder="1"/>
    <xf numFmtId="0" fontId="9173" fillId="9177" borderId="9124" xfId="0" applyFont="1" applyFill="1" applyBorder="1"/>
    <xf numFmtId="0" fontId="9174" fillId="9178" borderId="9125" xfId="0" applyFont="1" applyFill="1" applyBorder="1"/>
    <xf numFmtId="0" fontId="9175" fillId="9179" borderId="9126" xfId="0" applyFont="1" applyFill="1" applyBorder="1"/>
    <xf numFmtId="14" fontId="9176" fillId="9180" borderId="9127" xfId="0" applyNumberFormat="1" applyFont="1" applyFill="1" applyBorder="1"/>
    <xf numFmtId="0" fontId="9177" fillId="9181" borderId="9128" xfId="0" applyFont="1" applyFill="1" applyBorder="1"/>
    <xf numFmtId="14" fontId="9178" fillId="9182" borderId="9129" xfId="0" applyNumberFormat="1" applyFont="1" applyFill="1" applyBorder="1"/>
    <xf numFmtId="0" fontId="9179" fillId="9183" borderId="9130" xfId="0" applyFont="1" applyFill="1" applyBorder="1"/>
    <xf numFmtId="0" fontId="9180" fillId="9184" borderId="9131" xfId="0" applyFont="1" applyFill="1" applyBorder="1"/>
    <xf numFmtId="0" fontId="9181" fillId="9185" borderId="9132" xfId="0" applyFont="1" applyFill="1" applyBorder="1"/>
    <xf numFmtId="0" fontId="9182" fillId="9186" borderId="9133" xfId="0" applyFont="1" applyFill="1" applyBorder="1"/>
    <xf numFmtId="0" fontId="9183" fillId="9187" borderId="9134" xfId="0" applyFont="1" applyFill="1" applyBorder="1"/>
    <xf numFmtId="0" fontId="9184" fillId="9188" borderId="9135" xfId="0" applyFont="1" applyFill="1" applyBorder="1"/>
    <xf numFmtId="0" fontId="9185" fillId="9189" borderId="9136" xfId="0" applyFont="1" applyFill="1" applyBorder="1"/>
    <xf numFmtId="14" fontId="9186" fillId="9190" borderId="9137" xfId="0" applyNumberFormat="1" applyFont="1" applyFill="1" applyBorder="1"/>
    <xf numFmtId="0" fontId="9187" fillId="9191" borderId="9138" xfId="0" applyFont="1" applyFill="1" applyBorder="1"/>
    <xf numFmtId="14" fontId="9188" fillId="9192" borderId="9139" xfId="0" applyNumberFormat="1" applyFont="1" applyFill="1" applyBorder="1"/>
    <xf numFmtId="0" fontId="9189" fillId="9193" borderId="9140" xfId="0" applyFont="1" applyFill="1" applyBorder="1"/>
    <xf numFmtId="0" fontId="9190" fillId="9194" borderId="9141" xfId="0" applyFont="1" applyFill="1" applyBorder="1"/>
    <xf numFmtId="0" fontId="9191" fillId="9195" borderId="9142" xfId="0" applyFont="1" applyFill="1" applyBorder="1"/>
    <xf numFmtId="0" fontId="9192" fillId="9196" borderId="9143" xfId="0" applyFont="1" applyFill="1" applyBorder="1"/>
    <xf numFmtId="0" fontId="9193" fillId="9197" borderId="9144" xfId="0" applyFont="1" applyFill="1" applyBorder="1"/>
    <xf numFmtId="0" fontId="9194" fillId="9198" borderId="9145" xfId="0" applyFont="1" applyFill="1" applyBorder="1"/>
    <xf numFmtId="0" fontId="9195" fillId="9199" borderId="9146" xfId="0" applyFont="1" applyFill="1" applyBorder="1"/>
    <xf numFmtId="14" fontId="9196" fillId="9200" borderId="9147" xfId="0" applyNumberFormat="1" applyFont="1" applyFill="1" applyBorder="1"/>
    <xf numFmtId="0" fontId="9197" fillId="9201" borderId="9148" xfId="0" applyFont="1" applyFill="1" applyBorder="1"/>
    <xf numFmtId="14" fontId="9198" fillId="9202" borderId="9149" xfId="0" applyNumberFormat="1" applyFont="1" applyFill="1" applyBorder="1"/>
    <xf numFmtId="0" fontId="9199" fillId="9203" borderId="9150" xfId="0" applyFont="1" applyFill="1" applyBorder="1"/>
    <xf numFmtId="0" fontId="9200" fillId="9204" borderId="9151" xfId="0" applyFont="1" applyFill="1" applyBorder="1"/>
    <xf numFmtId="0" fontId="9201" fillId="9205" borderId="9152" xfId="0" applyFont="1" applyFill="1" applyBorder="1"/>
    <xf numFmtId="0" fontId="9202" fillId="9206" borderId="9153" xfId="0" applyFont="1" applyFill="1" applyBorder="1"/>
    <xf numFmtId="0" fontId="9203" fillId="9207" borderId="9154" xfId="0" applyFont="1" applyFill="1" applyBorder="1"/>
    <xf numFmtId="0" fontId="9204" fillId="9208" borderId="9155" xfId="0" applyFont="1" applyFill="1" applyBorder="1"/>
    <xf numFmtId="0" fontId="9205" fillId="9209" borderId="9156" xfId="0" applyFont="1" applyFill="1" applyBorder="1"/>
    <xf numFmtId="14" fontId="9206" fillId="9210" borderId="9157" xfId="0" applyNumberFormat="1" applyFont="1" applyFill="1" applyBorder="1"/>
    <xf numFmtId="0" fontId="9207" fillId="9211" borderId="9158" xfId="0" applyFont="1" applyFill="1" applyBorder="1"/>
    <xf numFmtId="14" fontId="9208" fillId="9212" borderId="9159" xfId="0" applyNumberFormat="1" applyFont="1" applyFill="1" applyBorder="1"/>
    <xf numFmtId="0" fontId="9209" fillId="9213" borderId="9160" xfId="0" applyFont="1" applyFill="1" applyBorder="1"/>
    <xf numFmtId="0" fontId="9210" fillId="9214" borderId="9161" xfId="0" applyFont="1" applyFill="1" applyBorder="1"/>
    <xf numFmtId="0" fontId="9211" fillId="9215" borderId="9162" xfId="0" applyFont="1" applyFill="1" applyBorder="1"/>
    <xf numFmtId="0" fontId="9212" fillId="9216" borderId="9163" xfId="0" applyFont="1" applyFill="1" applyBorder="1"/>
    <xf numFmtId="0" fontId="9213" fillId="9217" borderId="9164" xfId="0" applyFont="1" applyFill="1" applyBorder="1"/>
    <xf numFmtId="0" fontId="9214" fillId="9218" borderId="9165" xfId="0" applyFont="1" applyFill="1" applyBorder="1"/>
    <xf numFmtId="0" fontId="9215" fillId="9219" borderId="9166" xfId="0" applyFont="1" applyFill="1" applyBorder="1"/>
    <xf numFmtId="14" fontId="9216" fillId="9220" borderId="9167" xfId="0" applyNumberFormat="1" applyFont="1" applyFill="1" applyBorder="1"/>
    <xf numFmtId="0" fontId="9217" fillId="9221" borderId="9168" xfId="0" applyFont="1" applyFill="1" applyBorder="1"/>
    <xf numFmtId="14" fontId="9218" fillId="9222" borderId="9169" xfId="0" applyNumberFormat="1" applyFont="1" applyFill="1" applyBorder="1"/>
    <xf numFmtId="0" fontId="9219" fillId="9223" borderId="9170" xfId="0" applyFont="1" applyFill="1" applyBorder="1"/>
    <xf numFmtId="0" fontId="9220" fillId="9224" borderId="9171" xfId="0" applyFont="1" applyFill="1" applyBorder="1"/>
    <xf numFmtId="0" fontId="9221" fillId="9225" borderId="9172" xfId="0" applyFont="1" applyFill="1" applyBorder="1"/>
    <xf numFmtId="0" fontId="9222" fillId="9226" borderId="9173" xfId="0" applyFont="1" applyFill="1" applyBorder="1"/>
    <xf numFmtId="0" fontId="9223" fillId="9227" borderId="9174" xfId="0" applyFont="1" applyFill="1" applyBorder="1"/>
    <xf numFmtId="0" fontId="9224" fillId="9228" borderId="9175" xfId="0" applyFont="1" applyFill="1" applyBorder="1"/>
    <xf numFmtId="0" fontId="9225" fillId="9229" borderId="9176" xfId="0" applyFont="1" applyFill="1" applyBorder="1"/>
    <xf numFmtId="14" fontId="9226" fillId="9230" borderId="9177" xfId="0" applyNumberFormat="1" applyFont="1" applyFill="1" applyBorder="1"/>
    <xf numFmtId="0" fontId="9227" fillId="9231" borderId="9178" xfId="0" applyFont="1" applyFill="1" applyBorder="1"/>
    <xf numFmtId="14" fontId="9228" fillId="9232" borderId="9179" xfId="0" applyNumberFormat="1" applyFont="1" applyFill="1" applyBorder="1"/>
    <xf numFmtId="0" fontId="9229" fillId="9233" borderId="9180" xfId="0" applyFont="1" applyFill="1" applyBorder="1"/>
    <xf numFmtId="0" fontId="9230" fillId="9234" borderId="9181" xfId="0" applyFont="1" applyFill="1" applyBorder="1"/>
    <xf numFmtId="0" fontId="9231" fillId="9235" borderId="9182" xfId="0" applyFont="1" applyFill="1" applyBorder="1"/>
    <xf numFmtId="0" fontId="9232" fillId="9236" borderId="9183" xfId="0" applyFont="1" applyFill="1" applyBorder="1"/>
    <xf numFmtId="0" fontId="9233" fillId="9237" borderId="9184" xfId="0" applyFont="1" applyFill="1" applyBorder="1"/>
    <xf numFmtId="0" fontId="9234" fillId="9238" borderId="9185" xfId="0" applyFont="1" applyFill="1" applyBorder="1"/>
    <xf numFmtId="0" fontId="9235" fillId="9239" borderId="9186" xfId="0" applyFont="1" applyFill="1" applyBorder="1"/>
    <xf numFmtId="14" fontId="9236" fillId="9240" borderId="9187" xfId="0" applyNumberFormat="1" applyFont="1" applyFill="1" applyBorder="1"/>
    <xf numFmtId="0" fontId="9237" fillId="9241" borderId="9188" xfId="0" applyFont="1" applyFill="1" applyBorder="1"/>
    <xf numFmtId="14" fontId="9238" fillId="9242" borderId="9189" xfId="0" applyNumberFormat="1" applyFont="1" applyFill="1" applyBorder="1"/>
    <xf numFmtId="0" fontId="9239" fillId="9243" borderId="9190" xfId="0" applyFont="1" applyFill="1" applyBorder="1"/>
    <xf numFmtId="0" fontId="9240" fillId="9244" borderId="9191" xfId="0" applyFont="1" applyFill="1" applyBorder="1"/>
    <xf numFmtId="0" fontId="9241" fillId="9245" borderId="9192" xfId="0" applyFont="1" applyFill="1" applyBorder="1"/>
    <xf numFmtId="0" fontId="9242" fillId="9246" borderId="9193" xfId="0" applyFont="1" applyFill="1" applyBorder="1"/>
    <xf numFmtId="0" fontId="9243" fillId="9247" borderId="9194" xfId="0" applyFont="1" applyFill="1" applyBorder="1"/>
    <xf numFmtId="0" fontId="9244" fillId="9248" borderId="9195" xfId="0" applyFont="1" applyFill="1" applyBorder="1"/>
    <xf numFmtId="0" fontId="9245" fillId="9249" borderId="9196" xfId="0" applyFont="1" applyFill="1" applyBorder="1"/>
    <xf numFmtId="14" fontId="9246" fillId="9250" borderId="9197" xfId="0" applyNumberFormat="1" applyFont="1" applyFill="1" applyBorder="1"/>
    <xf numFmtId="0" fontId="9247" fillId="9251" borderId="9198" xfId="0" applyFont="1" applyFill="1" applyBorder="1"/>
    <xf numFmtId="14" fontId="9248" fillId="9252" borderId="9199" xfId="0" applyNumberFormat="1" applyFont="1" applyFill="1" applyBorder="1"/>
    <xf numFmtId="0" fontId="9249" fillId="9253" borderId="9200" xfId="0" applyFont="1" applyFill="1" applyBorder="1"/>
    <xf numFmtId="0" fontId="9250" fillId="9254" borderId="9201" xfId="0" applyFont="1" applyFill="1" applyBorder="1"/>
    <xf numFmtId="0" fontId="9251" fillId="9255" borderId="9202" xfId="0" applyFont="1" applyFill="1" applyBorder="1"/>
    <xf numFmtId="0" fontId="9252" fillId="9256" borderId="9203" xfId="0" applyFont="1" applyFill="1" applyBorder="1"/>
    <xf numFmtId="0" fontId="9253" fillId="9257" borderId="9204" xfId="0" applyFont="1" applyFill="1" applyBorder="1"/>
    <xf numFmtId="0" fontId="9254" fillId="9258" borderId="9205" xfId="0" applyFont="1" applyFill="1" applyBorder="1"/>
    <xf numFmtId="0" fontId="9255" fillId="9259" borderId="9206" xfId="0" applyFont="1" applyFill="1" applyBorder="1"/>
    <xf numFmtId="14" fontId="9256" fillId="9260" borderId="9207" xfId="0" applyNumberFormat="1" applyFont="1" applyFill="1" applyBorder="1"/>
    <xf numFmtId="0" fontId="9257" fillId="9261" borderId="9208" xfId="0" applyFont="1" applyFill="1" applyBorder="1"/>
    <xf numFmtId="14" fontId="9258" fillId="9262" borderId="9209" xfId="0" applyNumberFormat="1" applyFont="1" applyFill="1" applyBorder="1"/>
    <xf numFmtId="0" fontId="9259" fillId="9263" borderId="9210" xfId="0" applyFont="1" applyFill="1" applyBorder="1"/>
    <xf numFmtId="0" fontId="9260" fillId="9264" borderId="9211" xfId="0" applyFont="1" applyFill="1" applyBorder="1"/>
    <xf numFmtId="0" fontId="9261" fillId="9265" borderId="9212" xfId="0" applyFont="1" applyFill="1" applyBorder="1"/>
    <xf numFmtId="0" fontId="9262" fillId="9266" borderId="9213" xfId="0" applyFont="1" applyFill="1" applyBorder="1"/>
    <xf numFmtId="0" fontId="9263" fillId="9267" borderId="9214" xfId="0" applyFont="1" applyFill="1" applyBorder="1"/>
    <xf numFmtId="0" fontId="9264" fillId="9268" borderId="9215" xfId="0" applyFont="1" applyFill="1" applyBorder="1"/>
    <xf numFmtId="0" fontId="9265" fillId="9269" borderId="9216" xfId="0" applyFont="1" applyFill="1" applyBorder="1"/>
    <xf numFmtId="14" fontId="9266" fillId="9270" borderId="9217" xfId="0" applyNumberFormat="1" applyFont="1" applyFill="1" applyBorder="1"/>
    <xf numFmtId="0" fontId="9267" fillId="9271" borderId="9218" xfId="0" applyFont="1" applyFill="1" applyBorder="1"/>
    <xf numFmtId="14" fontId="9268" fillId="9272" borderId="9219" xfId="0" applyNumberFormat="1" applyFont="1" applyFill="1" applyBorder="1"/>
    <xf numFmtId="0" fontId="9269" fillId="9273" borderId="9220" xfId="0" applyFont="1" applyFill="1" applyBorder="1"/>
    <xf numFmtId="0" fontId="9270" fillId="9274" borderId="9221" xfId="0" applyFont="1" applyFill="1" applyBorder="1"/>
    <xf numFmtId="0" fontId="9271" fillId="9275" borderId="9222" xfId="0" applyFont="1" applyFill="1" applyBorder="1"/>
    <xf numFmtId="0" fontId="9272" fillId="9276" borderId="9223" xfId="0" applyFont="1" applyFill="1" applyBorder="1"/>
    <xf numFmtId="0" fontId="9273" fillId="9277" borderId="9224" xfId="0" applyFont="1" applyFill="1" applyBorder="1"/>
    <xf numFmtId="0" fontId="9274" fillId="9278" borderId="9225" xfId="0" applyFont="1" applyFill="1" applyBorder="1"/>
    <xf numFmtId="0" fontId="9275" fillId="9279" borderId="9226" xfId="0" applyFont="1" applyFill="1" applyBorder="1"/>
    <xf numFmtId="14" fontId="9276" fillId="9280" borderId="9227" xfId="0" applyNumberFormat="1" applyFont="1" applyFill="1" applyBorder="1"/>
    <xf numFmtId="0" fontId="9277" fillId="9281" borderId="9228" xfId="0" applyFont="1" applyFill="1" applyBorder="1"/>
    <xf numFmtId="14" fontId="9278" fillId="9282" borderId="9229" xfId="0" applyNumberFormat="1" applyFont="1" applyFill="1" applyBorder="1"/>
    <xf numFmtId="0" fontId="9279" fillId="9283" borderId="9230" xfId="0" applyFont="1" applyFill="1" applyBorder="1"/>
    <xf numFmtId="0" fontId="9280" fillId="9284" borderId="9231" xfId="0" applyFont="1" applyFill="1" applyBorder="1"/>
    <xf numFmtId="0" fontId="9281" fillId="9285" borderId="9232" xfId="0" applyFont="1" applyFill="1" applyBorder="1"/>
    <xf numFmtId="0" fontId="9282" fillId="9286" borderId="9233" xfId="0" applyFont="1" applyFill="1" applyBorder="1"/>
    <xf numFmtId="0" fontId="9283" fillId="9287" borderId="9234" xfId="0" applyFont="1" applyFill="1" applyBorder="1"/>
    <xf numFmtId="0" fontId="9284" fillId="9288" borderId="9235" xfId="0" applyFont="1" applyFill="1" applyBorder="1"/>
    <xf numFmtId="0" fontId="9285" fillId="9289" borderId="9236" xfId="0" applyFont="1" applyFill="1" applyBorder="1"/>
    <xf numFmtId="14" fontId="9286" fillId="9290" borderId="9237" xfId="0" applyNumberFormat="1" applyFont="1" applyFill="1" applyBorder="1"/>
    <xf numFmtId="0" fontId="9287" fillId="9291" borderId="9238" xfId="0" applyFont="1" applyFill="1" applyBorder="1"/>
    <xf numFmtId="14" fontId="9288" fillId="9292" borderId="9239" xfId="0" applyNumberFormat="1" applyFont="1" applyFill="1" applyBorder="1"/>
    <xf numFmtId="0" fontId="9289" fillId="9293" borderId="9240" xfId="0" applyFont="1" applyFill="1" applyBorder="1"/>
    <xf numFmtId="0" fontId="9290" fillId="9294" borderId="9241" xfId="0" applyFont="1" applyFill="1" applyBorder="1"/>
    <xf numFmtId="0" fontId="9291" fillId="9295" borderId="9242" xfId="0" applyFont="1" applyFill="1" applyBorder="1"/>
    <xf numFmtId="0" fontId="9292" fillId="9296" borderId="9243" xfId="0" applyFont="1" applyFill="1" applyBorder="1"/>
    <xf numFmtId="0" fontId="9293" fillId="9297" borderId="9244" xfId="0" applyFont="1" applyFill="1" applyBorder="1"/>
    <xf numFmtId="0" fontId="9294" fillId="9298" borderId="9245" xfId="0" applyFont="1" applyFill="1" applyBorder="1"/>
    <xf numFmtId="0" fontId="9295" fillId="9299" borderId="9246" xfId="0" applyFont="1" applyFill="1" applyBorder="1"/>
    <xf numFmtId="14" fontId="9296" fillId="9300" borderId="9247" xfId="0" applyNumberFormat="1" applyFont="1" applyFill="1" applyBorder="1"/>
    <xf numFmtId="0" fontId="9297" fillId="9301" borderId="9248" xfId="0" applyFont="1" applyFill="1" applyBorder="1"/>
    <xf numFmtId="14" fontId="9298" fillId="9302" borderId="9249" xfId="0" applyNumberFormat="1" applyFont="1" applyFill="1" applyBorder="1"/>
    <xf numFmtId="0" fontId="9299" fillId="9303" borderId="9250" xfId="0" applyFont="1" applyFill="1" applyBorder="1"/>
    <xf numFmtId="0" fontId="9300" fillId="9304" borderId="9251" xfId="0" applyFont="1" applyFill="1" applyBorder="1"/>
    <xf numFmtId="0" fontId="9301" fillId="9305" borderId="9252" xfId="0" applyFont="1" applyFill="1" applyBorder="1"/>
    <xf numFmtId="0" fontId="9302" fillId="9306" borderId="9253" xfId="0" applyFont="1" applyFill="1" applyBorder="1"/>
    <xf numFmtId="0" fontId="9303" fillId="9307" borderId="9254" xfId="0" applyFont="1" applyFill="1" applyBorder="1"/>
    <xf numFmtId="0" fontId="9304" fillId="9308" borderId="9255" xfId="0" applyFont="1" applyFill="1" applyBorder="1"/>
    <xf numFmtId="0" fontId="9305" fillId="9309" borderId="9256" xfId="0" applyFont="1" applyFill="1" applyBorder="1"/>
    <xf numFmtId="14" fontId="9306" fillId="9310" borderId="9257" xfId="0" applyNumberFormat="1" applyFont="1" applyFill="1" applyBorder="1"/>
    <xf numFmtId="0" fontId="9307" fillId="9311" borderId="9258" xfId="0" applyFont="1" applyFill="1" applyBorder="1"/>
    <xf numFmtId="14" fontId="9308" fillId="9312" borderId="9259" xfId="0" applyNumberFormat="1" applyFont="1" applyFill="1" applyBorder="1"/>
    <xf numFmtId="0" fontId="9309" fillId="9313" borderId="9260" xfId="0" applyFont="1" applyFill="1" applyBorder="1"/>
    <xf numFmtId="0" fontId="9310" fillId="9314" borderId="9261" xfId="0" applyFont="1" applyFill="1" applyBorder="1"/>
    <xf numFmtId="0" fontId="9311" fillId="9315" borderId="9262" xfId="0" applyFont="1" applyFill="1" applyBorder="1"/>
    <xf numFmtId="0" fontId="9312" fillId="9316" borderId="9263" xfId="0" applyFont="1" applyFill="1" applyBorder="1"/>
    <xf numFmtId="0" fontId="9313" fillId="9317" borderId="9264" xfId="0" applyFont="1" applyFill="1" applyBorder="1"/>
    <xf numFmtId="0" fontId="9314" fillId="9318" borderId="9265" xfId="0" applyFont="1" applyFill="1" applyBorder="1"/>
    <xf numFmtId="0" fontId="9315" fillId="9319" borderId="9266" xfId="0" applyFont="1" applyFill="1" applyBorder="1"/>
    <xf numFmtId="14" fontId="9316" fillId="9320" borderId="9267" xfId="0" applyNumberFormat="1" applyFont="1" applyFill="1" applyBorder="1"/>
    <xf numFmtId="0" fontId="9317" fillId="9321" borderId="9268" xfId="0" applyFont="1" applyFill="1" applyBorder="1"/>
    <xf numFmtId="14" fontId="9318" fillId="9322" borderId="9269" xfId="0" applyNumberFormat="1" applyFont="1" applyFill="1" applyBorder="1"/>
    <xf numFmtId="0" fontId="9319" fillId="9323" borderId="9270" xfId="0" applyFont="1" applyFill="1" applyBorder="1"/>
    <xf numFmtId="0" fontId="9320" fillId="9324" borderId="9271" xfId="0" applyFont="1" applyFill="1" applyBorder="1"/>
    <xf numFmtId="0" fontId="9321" fillId="9325" borderId="9272" xfId="0" applyFont="1" applyFill="1" applyBorder="1"/>
    <xf numFmtId="0" fontId="9322" fillId="9326" borderId="9273" xfId="0" applyFont="1" applyFill="1" applyBorder="1"/>
    <xf numFmtId="0" fontId="9323" fillId="9327" borderId="9274" xfId="0" applyFont="1" applyFill="1" applyBorder="1"/>
    <xf numFmtId="0" fontId="9324" fillId="9328" borderId="9275" xfId="0" applyFont="1" applyFill="1" applyBorder="1"/>
    <xf numFmtId="0" fontId="9325" fillId="9329" borderId="9276" xfId="0" applyFont="1" applyFill="1" applyBorder="1"/>
    <xf numFmtId="14" fontId="9326" fillId="9330" borderId="9277" xfId="0" applyNumberFormat="1" applyFont="1" applyFill="1" applyBorder="1"/>
    <xf numFmtId="0" fontId="9327" fillId="9331" borderId="9278" xfId="0" applyFont="1" applyFill="1" applyBorder="1"/>
    <xf numFmtId="14" fontId="9328" fillId="9332" borderId="9279" xfId="0" applyNumberFormat="1" applyFont="1" applyFill="1" applyBorder="1"/>
    <xf numFmtId="0" fontId="9329" fillId="9333" borderId="9280" xfId="0" applyFont="1" applyFill="1" applyBorder="1"/>
    <xf numFmtId="0" fontId="9330" fillId="9334" borderId="9281" xfId="0" applyFont="1" applyFill="1" applyBorder="1"/>
    <xf numFmtId="0" fontId="9331" fillId="9335" borderId="9282" xfId="0" applyFont="1" applyFill="1" applyBorder="1"/>
    <xf numFmtId="0" fontId="9332" fillId="9336" borderId="9283" xfId="0" applyFont="1" applyFill="1" applyBorder="1"/>
    <xf numFmtId="0" fontId="9333" fillId="9337" borderId="9284" xfId="0" applyFont="1" applyFill="1" applyBorder="1"/>
    <xf numFmtId="0" fontId="9334" fillId="9338" borderId="9285" xfId="0" applyFont="1" applyFill="1" applyBorder="1"/>
    <xf numFmtId="0" fontId="9335" fillId="9339" borderId="9286" xfId="0" applyFont="1" applyFill="1" applyBorder="1"/>
    <xf numFmtId="14" fontId="9336" fillId="9340" borderId="9287" xfId="0" applyNumberFormat="1" applyFont="1" applyFill="1" applyBorder="1"/>
    <xf numFmtId="0" fontId="9337" fillId="9341" borderId="9288" xfId="0" applyFont="1" applyFill="1" applyBorder="1"/>
    <xf numFmtId="14" fontId="9338" fillId="9342" borderId="9289" xfId="0" applyNumberFormat="1" applyFont="1" applyFill="1" applyBorder="1"/>
    <xf numFmtId="0" fontId="9339" fillId="9343" borderId="9290" xfId="0" applyFont="1" applyFill="1" applyBorder="1"/>
    <xf numFmtId="0" fontId="9340" fillId="9344" borderId="9291" xfId="0" applyFont="1" applyFill="1" applyBorder="1"/>
    <xf numFmtId="0" fontId="9341" fillId="9345" borderId="9292" xfId="0" applyFont="1" applyFill="1" applyBorder="1"/>
    <xf numFmtId="0" fontId="9342" fillId="9346" borderId="9293" xfId="0" applyFont="1" applyFill="1" applyBorder="1"/>
    <xf numFmtId="0" fontId="9343" fillId="9347" borderId="9294" xfId="0" applyFont="1" applyFill="1" applyBorder="1"/>
    <xf numFmtId="0" fontId="9344" fillId="9348" borderId="9295" xfId="0" applyFont="1" applyFill="1" applyBorder="1"/>
    <xf numFmtId="0" fontId="9345" fillId="9349" borderId="9296" xfId="0" applyFont="1" applyFill="1" applyBorder="1"/>
    <xf numFmtId="14" fontId="9346" fillId="9350" borderId="9297" xfId="0" applyNumberFormat="1" applyFont="1" applyFill="1" applyBorder="1"/>
    <xf numFmtId="0" fontId="9347" fillId="9351" borderId="9298" xfId="0" applyFont="1" applyFill="1" applyBorder="1"/>
    <xf numFmtId="14" fontId="9348" fillId="9352" borderId="9299" xfId="0" applyNumberFormat="1" applyFont="1" applyFill="1" applyBorder="1"/>
    <xf numFmtId="0" fontId="9349" fillId="9353" borderId="9300" xfId="0" applyFont="1" applyFill="1" applyBorder="1"/>
    <xf numFmtId="0" fontId="9350" fillId="9354" borderId="9301" xfId="0" applyFont="1" applyFill="1" applyBorder="1"/>
    <xf numFmtId="0" fontId="9351" fillId="9355" borderId="9302" xfId="0" applyFont="1" applyFill="1" applyBorder="1"/>
    <xf numFmtId="0" fontId="9352" fillId="9356" borderId="9303" xfId="0" applyFont="1" applyFill="1" applyBorder="1"/>
    <xf numFmtId="0" fontId="9353" fillId="9357" borderId="9304" xfId="0" applyFont="1" applyFill="1" applyBorder="1"/>
    <xf numFmtId="0" fontId="9354" fillId="9358" borderId="9305" xfId="0" applyFont="1" applyFill="1" applyBorder="1"/>
    <xf numFmtId="0" fontId="9355" fillId="9359" borderId="9306" xfId="0" applyFont="1" applyFill="1" applyBorder="1"/>
    <xf numFmtId="14" fontId="9356" fillId="9360" borderId="9307" xfId="0" applyNumberFormat="1" applyFont="1" applyFill="1" applyBorder="1"/>
    <xf numFmtId="0" fontId="9357" fillId="9361" borderId="9308" xfId="0" applyFont="1" applyFill="1" applyBorder="1"/>
    <xf numFmtId="14" fontId="9358" fillId="9362" borderId="9309" xfId="0" applyNumberFormat="1" applyFont="1" applyFill="1" applyBorder="1"/>
    <xf numFmtId="0" fontId="9359" fillId="9363" borderId="9310" xfId="0" applyFont="1" applyFill="1" applyBorder="1"/>
    <xf numFmtId="0" fontId="9360" fillId="9364" borderId="9311" xfId="0" applyFont="1" applyFill="1" applyBorder="1"/>
    <xf numFmtId="0" fontId="9361" fillId="9365" borderId="9312" xfId="0" applyFont="1" applyFill="1" applyBorder="1"/>
    <xf numFmtId="0" fontId="9362" fillId="9366" borderId="9313" xfId="0" applyFont="1" applyFill="1" applyBorder="1"/>
    <xf numFmtId="0" fontId="9363" fillId="9367" borderId="9314" xfId="0" applyFont="1" applyFill="1" applyBorder="1"/>
    <xf numFmtId="0" fontId="9364" fillId="9368" borderId="9315" xfId="0" applyFont="1" applyFill="1" applyBorder="1"/>
    <xf numFmtId="0" fontId="9365" fillId="9369" borderId="9316" xfId="0" applyFont="1" applyFill="1" applyBorder="1"/>
    <xf numFmtId="14" fontId="9366" fillId="9370" borderId="9317" xfId="0" applyNumberFormat="1" applyFont="1" applyFill="1" applyBorder="1"/>
    <xf numFmtId="0" fontId="9367" fillId="9371" borderId="9318" xfId="0" applyFont="1" applyFill="1" applyBorder="1"/>
    <xf numFmtId="14" fontId="9368" fillId="9372" borderId="9319" xfId="0" applyNumberFormat="1" applyFont="1" applyFill="1" applyBorder="1"/>
    <xf numFmtId="0" fontId="9369" fillId="9373" borderId="9320" xfId="0" applyFont="1" applyFill="1" applyBorder="1"/>
    <xf numFmtId="0" fontId="9370" fillId="9374" borderId="9321" xfId="0" applyFont="1" applyFill="1" applyBorder="1"/>
    <xf numFmtId="0" fontId="9371" fillId="9375" borderId="9322" xfId="0" applyFont="1" applyFill="1" applyBorder="1"/>
    <xf numFmtId="0" fontId="9372" fillId="9376" borderId="9323" xfId="0" applyFont="1" applyFill="1" applyBorder="1"/>
    <xf numFmtId="0" fontId="9373" fillId="9377" borderId="9324" xfId="0" applyFont="1" applyFill="1" applyBorder="1"/>
    <xf numFmtId="0" fontId="9374" fillId="9378" borderId="9325" xfId="0" applyFont="1" applyFill="1" applyBorder="1"/>
    <xf numFmtId="0" fontId="9375" fillId="9379" borderId="9326" xfId="0" applyFont="1" applyFill="1" applyBorder="1"/>
    <xf numFmtId="14" fontId="9376" fillId="9380" borderId="9327" xfId="0" applyNumberFormat="1" applyFont="1" applyFill="1" applyBorder="1"/>
    <xf numFmtId="0" fontId="9377" fillId="9381" borderId="9328" xfId="0" applyFont="1" applyFill="1" applyBorder="1"/>
    <xf numFmtId="14" fontId="9378" fillId="9382" borderId="9329" xfId="0" applyNumberFormat="1" applyFont="1" applyFill="1" applyBorder="1"/>
    <xf numFmtId="0" fontId="9379" fillId="9383" borderId="9330" xfId="0" applyFont="1" applyFill="1" applyBorder="1"/>
    <xf numFmtId="0" fontId="9380" fillId="9384" borderId="9331" xfId="0" applyFont="1" applyFill="1" applyBorder="1"/>
    <xf numFmtId="0" fontId="9381" fillId="9385" borderId="9332" xfId="0" applyFont="1" applyFill="1" applyBorder="1"/>
    <xf numFmtId="0" fontId="9382" fillId="9386" borderId="9333" xfId="0" applyFont="1" applyFill="1" applyBorder="1"/>
    <xf numFmtId="0" fontId="9383" fillId="9387" borderId="9334" xfId="0" applyFont="1" applyFill="1" applyBorder="1"/>
    <xf numFmtId="0" fontId="9384" fillId="9388" borderId="9335" xfId="0" applyFont="1" applyFill="1" applyBorder="1"/>
    <xf numFmtId="0" fontId="9385" fillId="9389" borderId="9336" xfId="0" applyFont="1" applyFill="1" applyBorder="1"/>
    <xf numFmtId="14" fontId="9386" fillId="9390" borderId="9337" xfId="0" applyNumberFormat="1" applyFont="1" applyFill="1" applyBorder="1"/>
    <xf numFmtId="0" fontId="9387" fillId="9391" borderId="9338" xfId="0" applyFont="1" applyFill="1" applyBorder="1"/>
    <xf numFmtId="14" fontId="9388" fillId="9392" borderId="9339" xfId="0" applyNumberFormat="1" applyFont="1" applyFill="1" applyBorder="1"/>
    <xf numFmtId="0" fontId="9389" fillId="9393" borderId="9340" xfId="0" applyFont="1" applyFill="1" applyBorder="1"/>
    <xf numFmtId="0" fontId="9390" fillId="9394" borderId="9341" xfId="0" applyFont="1" applyFill="1" applyBorder="1"/>
    <xf numFmtId="0" fontId="9391" fillId="9395" borderId="9342" xfId="0" applyFont="1" applyFill="1" applyBorder="1"/>
    <xf numFmtId="0" fontId="9392" fillId="9396" borderId="9343" xfId="0" applyFont="1" applyFill="1" applyBorder="1"/>
    <xf numFmtId="0" fontId="9393" fillId="9397" borderId="9344" xfId="0" applyFont="1" applyFill="1" applyBorder="1"/>
    <xf numFmtId="0" fontId="9394" fillId="9398" borderId="9345" xfId="0" applyFont="1" applyFill="1" applyBorder="1"/>
    <xf numFmtId="0" fontId="9395" fillId="9399" borderId="9346" xfId="0" applyFont="1" applyFill="1" applyBorder="1"/>
    <xf numFmtId="14" fontId="9396" fillId="9400" borderId="9347" xfId="0" applyNumberFormat="1" applyFont="1" applyFill="1" applyBorder="1"/>
    <xf numFmtId="0" fontId="9397" fillId="9401" borderId="9348" xfId="0" applyFont="1" applyFill="1" applyBorder="1"/>
    <xf numFmtId="14" fontId="9398" fillId="9402" borderId="9349" xfId="0" applyNumberFormat="1" applyFont="1" applyFill="1" applyBorder="1"/>
    <xf numFmtId="0" fontId="9399" fillId="9403" borderId="9350" xfId="0" applyFont="1" applyFill="1" applyBorder="1"/>
    <xf numFmtId="0" fontId="9400" fillId="9404" borderId="9351" xfId="0" applyFont="1" applyFill="1" applyBorder="1"/>
    <xf numFmtId="0" fontId="9401" fillId="9405" borderId="9352" xfId="0" applyFont="1" applyFill="1" applyBorder="1"/>
    <xf numFmtId="0" fontId="9402" fillId="9406" borderId="9353" xfId="0" applyFont="1" applyFill="1" applyBorder="1"/>
    <xf numFmtId="0" fontId="9403" fillId="9407" borderId="9354" xfId="0" applyFont="1" applyFill="1" applyBorder="1"/>
    <xf numFmtId="0" fontId="9404" fillId="9408" borderId="9355" xfId="0" applyFont="1" applyFill="1" applyBorder="1"/>
    <xf numFmtId="0" fontId="9405" fillId="9409" borderId="9356" xfId="0" applyFont="1" applyFill="1" applyBorder="1"/>
    <xf numFmtId="14" fontId="9406" fillId="9410" borderId="9357" xfId="0" applyNumberFormat="1" applyFont="1" applyFill="1" applyBorder="1"/>
    <xf numFmtId="0" fontId="9407" fillId="9411" borderId="9358" xfId="0" applyFont="1" applyFill="1" applyBorder="1"/>
    <xf numFmtId="14" fontId="9408" fillId="9412" borderId="9359" xfId="0" applyNumberFormat="1" applyFont="1" applyFill="1" applyBorder="1"/>
    <xf numFmtId="0" fontId="9409" fillId="9413" borderId="9360" xfId="0" applyFont="1" applyFill="1" applyBorder="1"/>
    <xf numFmtId="0" fontId="9410" fillId="9414" borderId="9361" xfId="0" applyFont="1" applyFill="1" applyBorder="1"/>
    <xf numFmtId="0" fontId="9411" fillId="9415" borderId="9362" xfId="0" applyFont="1" applyFill="1" applyBorder="1"/>
    <xf numFmtId="0" fontId="9412" fillId="9416" borderId="9363" xfId="0" applyFont="1" applyFill="1" applyBorder="1"/>
    <xf numFmtId="0" fontId="9413" fillId="9417" borderId="9364" xfId="0" applyFont="1" applyFill="1" applyBorder="1"/>
    <xf numFmtId="0" fontId="9414" fillId="9418" borderId="9365" xfId="0" applyFont="1" applyFill="1" applyBorder="1"/>
    <xf numFmtId="0" fontId="9415" fillId="9419" borderId="9366" xfId="0" applyFont="1" applyFill="1" applyBorder="1"/>
    <xf numFmtId="14" fontId="9416" fillId="9420" borderId="9367" xfId="0" applyNumberFormat="1" applyFont="1" applyFill="1" applyBorder="1"/>
    <xf numFmtId="0" fontId="9417" fillId="9421" borderId="9368" xfId="0" applyFont="1" applyFill="1" applyBorder="1"/>
    <xf numFmtId="14" fontId="9418" fillId="9422" borderId="9369" xfId="0" applyNumberFormat="1" applyFont="1" applyFill="1" applyBorder="1"/>
    <xf numFmtId="0" fontId="9419" fillId="9423" borderId="9370" xfId="0" applyFont="1" applyFill="1" applyBorder="1"/>
    <xf numFmtId="0" fontId="9420" fillId="9424" borderId="9371" xfId="0" applyFont="1" applyFill="1" applyBorder="1"/>
    <xf numFmtId="0" fontId="9421" fillId="9425" borderId="9372" xfId="0" applyFont="1" applyFill="1" applyBorder="1"/>
    <xf numFmtId="0" fontId="9422" fillId="9426" borderId="9373" xfId="0" applyFont="1" applyFill="1" applyBorder="1"/>
    <xf numFmtId="0" fontId="9423" fillId="9427" borderId="9374" xfId="0" applyFont="1" applyFill="1" applyBorder="1"/>
    <xf numFmtId="0" fontId="9424" fillId="9428" borderId="9375" xfId="0" applyFont="1" applyFill="1" applyBorder="1"/>
    <xf numFmtId="0" fontId="9425" fillId="9429" borderId="9376" xfId="0" applyFont="1" applyFill="1" applyBorder="1"/>
    <xf numFmtId="14" fontId="9426" fillId="9430" borderId="9377" xfId="0" applyNumberFormat="1" applyFont="1" applyFill="1" applyBorder="1"/>
    <xf numFmtId="0" fontId="9427" fillId="9431" borderId="9378" xfId="0" applyFont="1" applyFill="1" applyBorder="1"/>
    <xf numFmtId="14" fontId="9428" fillId="9432" borderId="9379" xfId="0" applyNumberFormat="1" applyFont="1" applyFill="1" applyBorder="1"/>
    <xf numFmtId="0" fontId="9429" fillId="9433" borderId="9380" xfId="0" applyFont="1" applyFill="1" applyBorder="1"/>
    <xf numFmtId="0" fontId="9430" fillId="9434" borderId="9381" xfId="0" applyFont="1" applyFill="1" applyBorder="1"/>
    <xf numFmtId="0" fontId="9431" fillId="9435" borderId="9382" xfId="0" applyFont="1" applyFill="1" applyBorder="1"/>
    <xf numFmtId="0" fontId="9432" fillId="9436" borderId="9383" xfId="0" applyFont="1" applyFill="1" applyBorder="1"/>
    <xf numFmtId="0" fontId="9433" fillId="9437" borderId="9384" xfId="0" applyFont="1" applyFill="1" applyBorder="1"/>
    <xf numFmtId="0" fontId="9434" fillId="9438" borderId="9385" xfId="0" applyFont="1" applyFill="1" applyBorder="1"/>
    <xf numFmtId="0" fontId="9435" fillId="9439" borderId="9386" xfId="0" applyFont="1" applyFill="1" applyBorder="1"/>
    <xf numFmtId="14" fontId="9436" fillId="9440" borderId="9387" xfId="0" applyNumberFormat="1" applyFont="1" applyFill="1" applyBorder="1"/>
    <xf numFmtId="0" fontId="9437" fillId="9441" borderId="9388" xfId="0" applyFont="1" applyFill="1" applyBorder="1"/>
    <xf numFmtId="14" fontId="9438" fillId="9442" borderId="9389" xfId="0" applyNumberFormat="1" applyFont="1" applyFill="1" applyBorder="1"/>
    <xf numFmtId="0" fontId="9439" fillId="9443" borderId="9390" xfId="0" applyFont="1" applyFill="1" applyBorder="1"/>
    <xf numFmtId="0" fontId="9440" fillId="9444" borderId="9391" xfId="0" applyFont="1" applyFill="1" applyBorder="1"/>
    <xf numFmtId="0" fontId="9441" fillId="9445" borderId="9392" xfId="0" applyFont="1" applyFill="1" applyBorder="1"/>
    <xf numFmtId="0" fontId="9442" fillId="9446" borderId="9393" xfId="0" applyFont="1" applyFill="1" applyBorder="1"/>
    <xf numFmtId="0" fontId="9443" fillId="9447" borderId="9394" xfId="0" applyFont="1" applyFill="1" applyBorder="1"/>
    <xf numFmtId="0" fontId="9444" fillId="9448" borderId="9395" xfId="0" applyFont="1" applyFill="1" applyBorder="1"/>
    <xf numFmtId="0" fontId="9445" fillId="9449" borderId="9396" xfId="0" applyFont="1" applyFill="1" applyBorder="1"/>
    <xf numFmtId="14" fontId="9446" fillId="9450" borderId="9397" xfId="0" applyNumberFormat="1" applyFont="1" applyFill="1" applyBorder="1"/>
    <xf numFmtId="0" fontId="9447" fillId="9451" borderId="9398" xfId="0" applyFont="1" applyFill="1" applyBorder="1"/>
    <xf numFmtId="14" fontId="9448" fillId="9452" borderId="9399" xfId="0" applyNumberFormat="1" applyFont="1" applyFill="1" applyBorder="1"/>
    <xf numFmtId="0" fontId="9449" fillId="9453" borderId="9400" xfId="0" applyFont="1" applyFill="1" applyBorder="1"/>
    <xf numFmtId="0" fontId="9450" fillId="9454" borderId="9401" xfId="0" applyFont="1" applyFill="1" applyBorder="1"/>
    <xf numFmtId="0" fontId="9451" fillId="9455" borderId="9402" xfId="0" applyFont="1" applyFill="1" applyBorder="1"/>
    <xf numFmtId="0" fontId="9452" fillId="9456" borderId="9403" xfId="0" applyFont="1" applyFill="1" applyBorder="1"/>
    <xf numFmtId="0" fontId="9453" fillId="9457" borderId="9404" xfId="0" applyFont="1" applyFill="1" applyBorder="1"/>
    <xf numFmtId="0" fontId="9454" fillId="9458" borderId="9405" xfId="0" applyFont="1" applyFill="1" applyBorder="1"/>
    <xf numFmtId="0" fontId="9455" fillId="9459" borderId="9406" xfId="0" applyFont="1" applyFill="1" applyBorder="1"/>
    <xf numFmtId="14" fontId="9456" fillId="9460" borderId="9407" xfId="0" applyNumberFormat="1" applyFont="1" applyFill="1" applyBorder="1"/>
    <xf numFmtId="0" fontId="9457" fillId="9461" borderId="9408" xfId="0" applyFont="1" applyFill="1" applyBorder="1"/>
    <xf numFmtId="14" fontId="9458" fillId="9462" borderId="9409" xfId="0" applyNumberFormat="1" applyFont="1" applyFill="1" applyBorder="1"/>
    <xf numFmtId="0" fontId="9459" fillId="9463" borderId="9410" xfId="0" applyFont="1" applyFill="1" applyBorder="1"/>
    <xf numFmtId="0" fontId="9460" fillId="9464" borderId="9411" xfId="0" applyFont="1" applyFill="1" applyBorder="1"/>
    <xf numFmtId="0" fontId="9461" fillId="9465" borderId="9412" xfId="0" applyFont="1" applyFill="1" applyBorder="1"/>
    <xf numFmtId="0" fontId="9462" fillId="9466" borderId="9413" xfId="0" applyFont="1" applyFill="1" applyBorder="1"/>
    <xf numFmtId="0" fontId="9463" fillId="9467" borderId="9414" xfId="0" applyFont="1" applyFill="1" applyBorder="1"/>
    <xf numFmtId="0" fontId="9464" fillId="9468" borderId="9415" xfId="0" applyFont="1" applyFill="1" applyBorder="1"/>
    <xf numFmtId="0" fontId="9465" fillId="9469" borderId="9416" xfId="0" applyFont="1" applyFill="1" applyBorder="1"/>
    <xf numFmtId="14" fontId="9466" fillId="9470" borderId="9417" xfId="0" applyNumberFormat="1" applyFont="1" applyFill="1" applyBorder="1"/>
    <xf numFmtId="0" fontId="9467" fillId="9471" borderId="9418" xfId="0" applyFont="1" applyFill="1" applyBorder="1"/>
    <xf numFmtId="14" fontId="9468" fillId="9472" borderId="9419" xfId="0" applyNumberFormat="1" applyFont="1" applyFill="1" applyBorder="1"/>
    <xf numFmtId="0" fontId="9469" fillId="9473" borderId="9420" xfId="0" applyFont="1" applyFill="1" applyBorder="1"/>
    <xf numFmtId="0" fontId="9470" fillId="9474" borderId="9421" xfId="0" applyFont="1" applyFill="1" applyBorder="1"/>
    <xf numFmtId="0" fontId="9471" fillId="9475" borderId="9422" xfId="0" applyFont="1" applyFill="1" applyBorder="1"/>
    <xf numFmtId="0" fontId="9472" fillId="9476" borderId="9423" xfId="0" applyFont="1" applyFill="1" applyBorder="1"/>
    <xf numFmtId="0" fontId="9473" fillId="9477" borderId="9424" xfId="0" applyFont="1" applyFill="1" applyBorder="1"/>
    <xf numFmtId="0" fontId="9474" fillId="9478" borderId="9425" xfId="0" applyFont="1" applyFill="1" applyBorder="1"/>
    <xf numFmtId="0" fontId="9475" fillId="9479" borderId="9426" xfId="0" applyFont="1" applyFill="1" applyBorder="1"/>
    <xf numFmtId="14" fontId="9476" fillId="9480" borderId="9427" xfId="0" applyNumberFormat="1" applyFont="1" applyFill="1" applyBorder="1"/>
    <xf numFmtId="0" fontId="9477" fillId="9481" borderId="9428" xfId="0" applyFont="1" applyFill="1" applyBorder="1"/>
    <xf numFmtId="14" fontId="9478" fillId="9482" borderId="9429" xfId="0" applyNumberFormat="1" applyFont="1" applyFill="1" applyBorder="1"/>
    <xf numFmtId="0" fontId="9479" fillId="9483" borderId="9430" xfId="0" applyFont="1" applyFill="1" applyBorder="1"/>
    <xf numFmtId="0" fontId="9480" fillId="9484" borderId="9431" xfId="0" applyFont="1" applyFill="1" applyBorder="1"/>
    <xf numFmtId="0" fontId="9481" fillId="9485" borderId="9432" xfId="0" applyFont="1" applyFill="1" applyBorder="1"/>
    <xf numFmtId="0" fontId="9482" fillId="9486" borderId="9433" xfId="0" applyFont="1" applyFill="1" applyBorder="1"/>
    <xf numFmtId="0" fontId="9483" fillId="9487" borderId="9434" xfId="0" applyFont="1" applyFill="1" applyBorder="1"/>
    <xf numFmtId="0" fontId="9484" fillId="9488" borderId="9435" xfId="0" applyFont="1" applyFill="1" applyBorder="1"/>
    <xf numFmtId="0" fontId="9485" fillId="9489" borderId="9436" xfId="0" applyFont="1" applyFill="1" applyBorder="1"/>
    <xf numFmtId="14" fontId="9486" fillId="9490" borderId="9437" xfId="0" applyNumberFormat="1" applyFont="1" applyFill="1" applyBorder="1"/>
    <xf numFmtId="0" fontId="9487" fillId="9491" borderId="9438" xfId="0" applyFont="1" applyFill="1" applyBorder="1"/>
    <xf numFmtId="14" fontId="9488" fillId="9492" borderId="9439" xfId="0" applyNumberFormat="1" applyFont="1" applyFill="1" applyBorder="1"/>
    <xf numFmtId="0" fontId="9489" fillId="9493" borderId="9440" xfId="0" applyFont="1" applyFill="1" applyBorder="1"/>
    <xf numFmtId="0" fontId="9490" fillId="9494" borderId="9441" xfId="0" applyFont="1" applyFill="1" applyBorder="1"/>
    <xf numFmtId="0" fontId="9491" fillId="9495" borderId="9442" xfId="0" applyFont="1" applyFill="1" applyBorder="1"/>
    <xf numFmtId="0" fontId="9492" fillId="9496" borderId="9443" xfId="0" applyFont="1" applyFill="1" applyBorder="1"/>
    <xf numFmtId="0" fontId="9493" fillId="9497" borderId="9444" xfId="0" applyFont="1" applyFill="1" applyBorder="1"/>
    <xf numFmtId="0" fontId="9494" fillId="9498" borderId="9445" xfId="0" applyFont="1" applyFill="1" applyBorder="1"/>
    <xf numFmtId="0" fontId="9495" fillId="9499" borderId="9446" xfId="0" applyFont="1" applyFill="1" applyBorder="1"/>
    <xf numFmtId="14" fontId="9496" fillId="9500" borderId="9447" xfId="0" applyNumberFormat="1" applyFont="1" applyFill="1" applyBorder="1"/>
    <xf numFmtId="0" fontId="9497" fillId="9501" borderId="9448" xfId="0" applyFont="1" applyFill="1" applyBorder="1"/>
    <xf numFmtId="14" fontId="9498" fillId="9502" borderId="9449" xfId="0" applyNumberFormat="1" applyFont="1" applyFill="1" applyBorder="1"/>
    <xf numFmtId="0" fontId="9499" fillId="9503" borderId="9450" xfId="0" applyFont="1" applyFill="1" applyBorder="1"/>
    <xf numFmtId="0" fontId="9500" fillId="9504" borderId="9451" xfId="0" applyFont="1" applyFill="1" applyBorder="1"/>
    <xf numFmtId="0" fontId="9501" fillId="9505" borderId="9452" xfId="0" applyFont="1" applyFill="1" applyBorder="1"/>
    <xf numFmtId="0" fontId="9502" fillId="9506" borderId="9453" xfId="0" applyFont="1" applyFill="1" applyBorder="1"/>
    <xf numFmtId="0" fontId="9503" fillId="9507" borderId="9454" xfId="0" applyFont="1" applyFill="1" applyBorder="1"/>
    <xf numFmtId="0" fontId="9504" fillId="9508" borderId="9455" xfId="0" applyFont="1" applyFill="1" applyBorder="1"/>
    <xf numFmtId="0" fontId="9505" fillId="9509" borderId="9456" xfId="0" applyFont="1" applyFill="1" applyBorder="1"/>
    <xf numFmtId="14" fontId="9506" fillId="9510" borderId="9457" xfId="0" applyNumberFormat="1" applyFont="1" applyFill="1" applyBorder="1"/>
    <xf numFmtId="0" fontId="9507" fillId="9511" borderId="9458" xfId="0" applyFont="1" applyFill="1" applyBorder="1"/>
    <xf numFmtId="14" fontId="9508" fillId="9512" borderId="9459" xfId="0" applyNumberFormat="1" applyFont="1" applyFill="1" applyBorder="1"/>
    <xf numFmtId="0" fontId="9509" fillId="9513" borderId="9460" xfId="0" applyFont="1" applyFill="1" applyBorder="1"/>
    <xf numFmtId="0" fontId="9510" fillId="9514" borderId="9461" xfId="0" applyFont="1" applyFill="1" applyBorder="1"/>
    <xf numFmtId="0" fontId="9511" fillId="9515" borderId="9462" xfId="0" applyFont="1" applyFill="1" applyBorder="1"/>
    <xf numFmtId="0" fontId="9512" fillId="9516" borderId="9463" xfId="0" applyFont="1" applyFill="1" applyBorder="1"/>
    <xf numFmtId="0" fontId="9513" fillId="9517" borderId="9464" xfId="0" applyFont="1" applyFill="1" applyBorder="1"/>
    <xf numFmtId="0" fontId="9514" fillId="9518" borderId="9465" xfId="0" applyFont="1" applyFill="1" applyBorder="1"/>
    <xf numFmtId="0" fontId="9515" fillId="9519" borderId="9466" xfId="0" applyFont="1" applyFill="1" applyBorder="1"/>
    <xf numFmtId="14" fontId="9516" fillId="9520" borderId="9467" xfId="0" applyNumberFormat="1" applyFont="1" applyFill="1" applyBorder="1"/>
    <xf numFmtId="0" fontId="9517" fillId="9521" borderId="9468" xfId="0" applyFont="1" applyFill="1" applyBorder="1"/>
    <xf numFmtId="14" fontId="9518" fillId="9522" borderId="9469" xfId="0" applyNumberFormat="1" applyFont="1" applyFill="1" applyBorder="1"/>
    <xf numFmtId="0" fontId="9519" fillId="9523" borderId="9470" xfId="0" applyFont="1" applyFill="1" applyBorder="1"/>
    <xf numFmtId="0" fontId="9520" fillId="9524" borderId="9471" xfId="0" applyFont="1" applyFill="1" applyBorder="1"/>
    <xf numFmtId="0" fontId="9521" fillId="9525" borderId="9472" xfId="0" applyFont="1" applyFill="1" applyBorder="1"/>
    <xf numFmtId="0" fontId="9522" fillId="9526" borderId="9473" xfId="0" applyFont="1" applyFill="1" applyBorder="1"/>
    <xf numFmtId="0" fontId="9523" fillId="9527" borderId="9474" xfId="0" applyFont="1" applyFill="1" applyBorder="1"/>
    <xf numFmtId="0" fontId="9524" fillId="9528" borderId="9475" xfId="0" applyFont="1" applyFill="1" applyBorder="1"/>
    <xf numFmtId="0" fontId="9525" fillId="9529" borderId="9476" xfId="0" applyFont="1" applyFill="1" applyBorder="1"/>
    <xf numFmtId="14" fontId="9526" fillId="9530" borderId="9477" xfId="0" applyNumberFormat="1" applyFont="1" applyFill="1" applyBorder="1"/>
    <xf numFmtId="0" fontId="9527" fillId="9531" borderId="9478" xfId="0" applyFont="1" applyFill="1" applyBorder="1"/>
    <xf numFmtId="14" fontId="9528" fillId="9532" borderId="9479" xfId="0" applyNumberFormat="1" applyFont="1" applyFill="1" applyBorder="1"/>
    <xf numFmtId="0" fontId="9529" fillId="9533" borderId="9480" xfId="0" applyFont="1" applyFill="1" applyBorder="1"/>
    <xf numFmtId="0" fontId="9530" fillId="9534" borderId="9481" xfId="0" applyFont="1" applyFill="1" applyBorder="1"/>
    <xf numFmtId="0" fontId="9531" fillId="9535" borderId="9482" xfId="0" applyFont="1" applyFill="1" applyBorder="1"/>
    <xf numFmtId="0" fontId="9532" fillId="9536" borderId="9483" xfId="0" applyFont="1" applyFill="1" applyBorder="1"/>
    <xf numFmtId="0" fontId="9533" fillId="9537" borderId="9484" xfId="0" applyFont="1" applyFill="1" applyBorder="1"/>
    <xf numFmtId="0" fontId="9534" fillId="9538" borderId="9485" xfId="0" applyFont="1" applyFill="1" applyBorder="1"/>
    <xf numFmtId="0" fontId="9535" fillId="9539" borderId="9486" xfId="0" applyFont="1" applyFill="1" applyBorder="1"/>
    <xf numFmtId="14" fontId="9536" fillId="9540" borderId="9487" xfId="0" applyNumberFormat="1" applyFont="1" applyFill="1" applyBorder="1"/>
    <xf numFmtId="0" fontId="9537" fillId="9541" borderId="9488" xfId="0" applyFont="1" applyFill="1" applyBorder="1"/>
    <xf numFmtId="14" fontId="9538" fillId="9542" borderId="9489" xfId="0" applyNumberFormat="1" applyFont="1" applyFill="1" applyBorder="1"/>
    <xf numFmtId="0" fontId="9539" fillId="9543" borderId="9490" xfId="0" applyFont="1" applyFill="1" applyBorder="1"/>
    <xf numFmtId="0" fontId="9540" fillId="9544" borderId="9491" xfId="0" applyFont="1" applyFill="1" applyBorder="1"/>
    <xf numFmtId="0" fontId="9541" fillId="9545" borderId="9492" xfId="0" applyFont="1" applyFill="1" applyBorder="1"/>
    <xf numFmtId="0" fontId="9542" fillId="9546" borderId="9493" xfId="0" applyFont="1" applyFill="1" applyBorder="1"/>
    <xf numFmtId="0" fontId="9543" fillId="9547" borderId="9494" xfId="0" applyFont="1" applyFill="1" applyBorder="1"/>
    <xf numFmtId="0" fontId="9544" fillId="9548" borderId="9495" xfId="0" applyFont="1" applyFill="1" applyBorder="1"/>
    <xf numFmtId="0" fontId="9545" fillId="9549" borderId="9496" xfId="0" applyFont="1" applyFill="1" applyBorder="1"/>
    <xf numFmtId="14" fontId="9546" fillId="9550" borderId="9497" xfId="0" applyNumberFormat="1" applyFont="1" applyFill="1" applyBorder="1"/>
    <xf numFmtId="0" fontId="9547" fillId="9551" borderId="9498" xfId="0" applyFont="1" applyFill="1" applyBorder="1"/>
    <xf numFmtId="14" fontId="9548" fillId="9552" borderId="9499" xfId="0" applyNumberFormat="1" applyFont="1" applyFill="1" applyBorder="1"/>
    <xf numFmtId="0" fontId="9549" fillId="9553" borderId="9500" xfId="0" applyFont="1" applyFill="1" applyBorder="1"/>
    <xf numFmtId="0" fontId="9550" fillId="9554" borderId="9501" xfId="0" applyFont="1" applyFill="1" applyBorder="1"/>
    <xf numFmtId="0" fontId="9551" fillId="9555" borderId="9502" xfId="0" applyFont="1" applyFill="1" applyBorder="1"/>
    <xf numFmtId="0" fontId="9552" fillId="9556" borderId="9503" xfId="0" applyFont="1" applyFill="1" applyBorder="1"/>
    <xf numFmtId="0" fontId="9553" fillId="9557" borderId="9504" xfId="0" applyFont="1" applyFill="1" applyBorder="1"/>
    <xf numFmtId="0" fontId="9554" fillId="9558" borderId="9505" xfId="0" applyFont="1" applyFill="1" applyBorder="1"/>
    <xf numFmtId="0" fontId="9555" fillId="9559" borderId="9506" xfId="0" applyFont="1" applyFill="1" applyBorder="1"/>
    <xf numFmtId="14" fontId="9556" fillId="9560" borderId="9507" xfId="0" applyNumberFormat="1" applyFont="1" applyFill="1" applyBorder="1"/>
    <xf numFmtId="0" fontId="9557" fillId="9561" borderId="9508" xfId="0" applyFont="1" applyFill="1" applyBorder="1"/>
    <xf numFmtId="14" fontId="9558" fillId="9562" borderId="9509" xfId="0" applyNumberFormat="1" applyFont="1" applyFill="1" applyBorder="1"/>
    <xf numFmtId="0" fontId="9559" fillId="9563" borderId="9510" xfId="0" applyFont="1" applyFill="1" applyBorder="1"/>
    <xf numFmtId="0" fontId="9560" fillId="9564" borderId="9511" xfId="0" applyFont="1" applyFill="1" applyBorder="1"/>
    <xf numFmtId="0" fontId="9561" fillId="9565" borderId="9512" xfId="0" applyFont="1" applyFill="1" applyBorder="1"/>
    <xf numFmtId="0" fontId="9562" fillId="9566" borderId="9513" xfId="0" applyFont="1" applyFill="1" applyBorder="1"/>
    <xf numFmtId="0" fontId="9563" fillId="9567" borderId="9514" xfId="0" applyFont="1" applyFill="1" applyBorder="1"/>
    <xf numFmtId="0" fontId="9564" fillId="9568" borderId="9515" xfId="0" applyFont="1" applyFill="1" applyBorder="1"/>
    <xf numFmtId="0" fontId="9565" fillId="9569" borderId="9516" xfId="0" applyFont="1" applyFill="1" applyBorder="1"/>
    <xf numFmtId="14" fontId="9566" fillId="9570" borderId="9517" xfId="0" applyNumberFormat="1" applyFont="1" applyFill="1" applyBorder="1"/>
    <xf numFmtId="0" fontId="9567" fillId="9571" borderId="9518" xfId="0" applyFont="1" applyFill="1" applyBorder="1"/>
    <xf numFmtId="14" fontId="9568" fillId="9572" borderId="9519" xfId="0" applyNumberFormat="1" applyFont="1" applyFill="1" applyBorder="1"/>
    <xf numFmtId="0" fontId="9569" fillId="9573" borderId="9520" xfId="0" applyFont="1" applyFill="1" applyBorder="1"/>
    <xf numFmtId="0" fontId="9570" fillId="9574" borderId="9521" xfId="0" applyFont="1" applyFill="1" applyBorder="1"/>
    <xf numFmtId="0" fontId="9571" fillId="9575" borderId="9522" xfId="0" applyFont="1" applyFill="1" applyBorder="1"/>
    <xf numFmtId="0" fontId="9572" fillId="9576" borderId="9523" xfId="0" applyFont="1" applyFill="1" applyBorder="1"/>
    <xf numFmtId="0" fontId="9573" fillId="9577" borderId="9524" xfId="0" applyFont="1" applyFill="1" applyBorder="1"/>
    <xf numFmtId="0" fontId="9574" fillId="9578" borderId="9525" xfId="0" applyFont="1" applyFill="1" applyBorder="1"/>
    <xf numFmtId="0" fontId="9575" fillId="9579" borderId="9526" xfId="0" applyFont="1" applyFill="1" applyBorder="1"/>
    <xf numFmtId="14" fontId="9576" fillId="9580" borderId="9527" xfId="0" applyNumberFormat="1" applyFont="1" applyFill="1" applyBorder="1"/>
    <xf numFmtId="0" fontId="9577" fillId="9581" borderId="9528" xfId="0" applyFont="1" applyFill="1" applyBorder="1"/>
    <xf numFmtId="14" fontId="9578" fillId="9582" borderId="9529" xfId="0" applyNumberFormat="1" applyFont="1" applyFill="1" applyBorder="1"/>
    <xf numFmtId="0" fontId="9579" fillId="9583" borderId="9530" xfId="0" applyFont="1" applyFill="1" applyBorder="1"/>
    <xf numFmtId="0" fontId="9580" fillId="9584" borderId="9531" xfId="0" applyFont="1" applyFill="1" applyBorder="1"/>
    <xf numFmtId="0" fontId="9581" fillId="9585" borderId="9532" xfId="0" applyFont="1" applyFill="1" applyBorder="1"/>
    <xf numFmtId="0" fontId="9582" fillId="9586" borderId="9533" xfId="0" applyFont="1" applyFill="1" applyBorder="1"/>
    <xf numFmtId="0" fontId="9583" fillId="9587" borderId="9534" xfId="0" applyFont="1" applyFill="1" applyBorder="1"/>
    <xf numFmtId="0" fontId="9584" fillId="9588" borderId="9535" xfId="0" applyFont="1" applyFill="1" applyBorder="1"/>
    <xf numFmtId="0" fontId="9585" fillId="9589" borderId="9536" xfId="0" applyFont="1" applyFill="1" applyBorder="1"/>
    <xf numFmtId="14" fontId="9586" fillId="9590" borderId="9537" xfId="0" applyNumberFormat="1" applyFont="1" applyFill="1" applyBorder="1"/>
    <xf numFmtId="0" fontId="9587" fillId="9591" borderId="9538" xfId="0" applyFont="1" applyFill="1" applyBorder="1"/>
    <xf numFmtId="14" fontId="9588" fillId="9592" borderId="9539" xfId="0" applyNumberFormat="1" applyFont="1" applyFill="1" applyBorder="1"/>
    <xf numFmtId="0" fontId="9589" fillId="9593" borderId="9540" xfId="0" applyFont="1" applyFill="1" applyBorder="1"/>
    <xf numFmtId="0" fontId="9590" fillId="9594" borderId="9541" xfId="0" applyFont="1" applyFill="1" applyBorder="1"/>
    <xf numFmtId="0" fontId="9591" fillId="9595" borderId="9542" xfId="0" applyFont="1" applyFill="1" applyBorder="1"/>
    <xf numFmtId="0" fontId="9592" fillId="9596" borderId="9543" xfId="0" applyFont="1" applyFill="1" applyBorder="1"/>
    <xf numFmtId="0" fontId="9593" fillId="9597" borderId="9544" xfId="0" applyFont="1" applyFill="1" applyBorder="1"/>
    <xf numFmtId="0" fontId="9594" fillId="9598" borderId="9545" xfId="0" applyFont="1" applyFill="1" applyBorder="1"/>
    <xf numFmtId="0" fontId="9595" fillId="9599" borderId="9546" xfId="0" applyFont="1" applyFill="1" applyBorder="1"/>
    <xf numFmtId="14" fontId="9596" fillId="9600" borderId="9547" xfId="0" applyNumberFormat="1" applyFont="1" applyFill="1" applyBorder="1"/>
    <xf numFmtId="0" fontId="9597" fillId="9601" borderId="9548" xfId="0" applyFont="1" applyFill="1" applyBorder="1"/>
    <xf numFmtId="14" fontId="9598" fillId="9602" borderId="9549" xfId="0" applyNumberFormat="1" applyFont="1" applyFill="1" applyBorder="1"/>
    <xf numFmtId="0" fontId="9599" fillId="9603" borderId="9550" xfId="0" applyFont="1" applyFill="1" applyBorder="1"/>
    <xf numFmtId="0" fontId="9600" fillId="9604" borderId="9551" xfId="0" applyFont="1" applyFill="1" applyBorder="1"/>
    <xf numFmtId="0" fontId="9601" fillId="9605" borderId="9552" xfId="0" applyFont="1" applyFill="1" applyBorder="1"/>
    <xf numFmtId="0" fontId="9602" fillId="9606" borderId="9553" xfId="0" applyFont="1" applyFill="1" applyBorder="1"/>
    <xf numFmtId="0" fontId="9603" fillId="9607" borderId="9554" xfId="0" applyFont="1" applyFill="1" applyBorder="1"/>
    <xf numFmtId="0" fontId="9604" fillId="9608" borderId="9555" xfId="0" applyFont="1" applyFill="1" applyBorder="1"/>
    <xf numFmtId="0" fontId="9605" fillId="9609" borderId="9556" xfId="0" applyFont="1" applyFill="1" applyBorder="1"/>
    <xf numFmtId="14" fontId="9606" fillId="9610" borderId="9557" xfId="0" applyNumberFormat="1" applyFont="1" applyFill="1" applyBorder="1"/>
    <xf numFmtId="0" fontId="9607" fillId="9611" borderId="9558" xfId="0" applyFont="1" applyFill="1" applyBorder="1"/>
    <xf numFmtId="14" fontId="9608" fillId="9612" borderId="9559" xfId="0" applyNumberFormat="1" applyFont="1" applyFill="1" applyBorder="1"/>
    <xf numFmtId="0" fontId="9609" fillId="9613" borderId="9560" xfId="0" applyFont="1" applyFill="1" applyBorder="1"/>
    <xf numFmtId="0" fontId="9610" fillId="9614" borderId="9561" xfId="0" applyFont="1" applyFill="1" applyBorder="1"/>
    <xf numFmtId="0" fontId="9611" fillId="9615" borderId="9562" xfId="0" applyFont="1" applyFill="1" applyBorder="1"/>
    <xf numFmtId="0" fontId="9612" fillId="9616" borderId="9563" xfId="0" applyFont="1" applyFill="1" applyBorder="1"/>
    <xf numFmtId="0" fontId="9613" fillId="9617" borderId="9564" xfId="0" applyFont="1" applyFill="1" applyBorder="1"/>
    <xf numFmtId="0" fontId="9614" fillId="9618" borderId="9565" xfId="0" applyFont="1" applyFill="1" applyBorder="1"/>
    <xf numFmtId="0" fontId="9615" fillId="9619" borderId="9566" xfId="0" applyFont="1" applyFill="1" applyBorder="1"/>
    <xf numFmtId="14" fontId="9616" fillId="9620" borderId="9567" xfId="0" applyNumberFormat="1" applyFont="1" applyFill="1" applyBorder="1"/>
    <xf numFmtId="0" fontId="9617" fillId="9621" borderId="9568" xfId="0" applyFont="1" applyFill="1" applyBorder="1"/>
    <xf numFmtId="14" fontId="9618" fillId="9622" borderId="9569" xfId="0" applyNumberFormat="1" applyFont="1" applyFill="1" applyBorder="1"/>
    <xf numFmtId="0" fontId="9619" fillId="9623" borderId="9570" xfId="0" applyFont="1" applyFill="1" applyBorder="1"/>
    <xf numFmtId="0" fontId="9620" fillId="9624" borderId="9571" xfId="0" applyFont="1" applyFill="1" applyBorder="1"/>
    <xf numFmtId="0" fontId="9621" fillId="9625" borderId="9572" xfId="0" applyFont="1" applyFill="1" applyBorder="1"/>
    <xf numFmtId="0" fontId="9622" fillId="9626" borderId="9573" xfId="0" applyFont="1" applyFill="1" applyBorder="1"/>
    <xf numFmtId="0" fontId="9623" fillId="9627" borderId="9574" xfId="0" applyFont="1" applyFill="1" applyBorder="1"/>
    <xf numFmtId="0" fontId="9624" fillId="9628" borderId="9575" xfId="0" applyFont="1" applyFill="1" applyBorder="1"/>
    <xf numFmtId="0" fontId="9625" fillId="9629" borderId="9576" xfId="0" applyFont="1" applyFill="1" applyBorder="1"/>
    <xf numFmtId="14" fontId="9626" fillId="9630" borderId="9577" xfId="0" applyNumberFormat="1" applyFont="1" applyFill="1" applyBorder="1"/>
    <xf numFmtId="0" fontId="9627" fillId="9631" borderId="9578" xfId="0" applyFont="1" applyFill="1" applyBorder="1"/>
    <xf numFmtId="14" fontId="9628" fillId="9632" borderId="9579" xfId="0" applyNumberFormat="1" applyFont="1" applyFill="1" applyBorder="1"/>
    <xf numFmtId="0" fontId="9629" fillId="9633" borderId="9580" xfId="0" applyFont="1" applyFill="1" applyBorder="1"/>
    <xf numFmtId="0" fontId="9630" fillId="9634" borderId="9581" xfId="0" applyFont="1" applyFill="1" applyBorder="1"/>
    <xf numFmtId="0" fontId="9631" fillId="9635" borderId="9582" xfId="0" applyFont="1" applyFill="1" applyBorder="1"/>
    <xf numFmtId="0" fontId="9632" fillId="9636" borderId="9583" xfId="0" applyFont="1" applyFill="1" applyBorder="1"/>
    <xf numFmtId="0" fontId="9633" fillId="9637" borderId="9584" xfId="0" applyFont="1" applyFill="1" applyBorder="1"/>
    <xf numFmtId="0" fontId="9634" fillId="9638" borderId="9585" xfId="0" applyFont="1" applyFill="1" applyBorder="1"/>
    <xf numFmtId="0" fontId="9635" fillId="9639" borderId="9586" xfId="0" applyFont="1" applyFill="1" applyBorder="1"/>
    <xf numFmtId="14" fontId="9636" fillId="9640" borderId="9587" xfId="0" applyNumberFormat="1" applyFont="1" applyFill="1" applyBorder="1"/>
    <xf numFmtId="0" fontId="9637" fillId="9641" borderId="9588" xfId="0" applyFont="1" applyFill="1" applyBorder="1"/>
    <xf numFmtId="14" fontId="9638" fillId="9642" borderId="9589" xfId="0" applyNumberFormat="1" applyFont="1" applyFill="1" applyBorder="1"/>
    <xf numFmtId="0" fontId="9639" fillId="9643" borderId="9590" xfId="0" applyFont="1" applyFill="1" applyBorder="1"/>
    <xf numFmtId="0" fontId="9640" fillId="9644" borderId="9591" xfId="0" applyFont="1" applyFill="1" applyBorder="1"/>
    <xf numFmtId="0" fontId="9641" fillId="9645" borderId="9592" xfId="0" applyFont="1" applyFill="1" applyBorder="1"/>
    <xf numFmtId="0" fontId="9642" fillId="9646" borderId="9593" xfId="0" applyFont="1" applyFill="1" applyBorder="1"/>
    <xf numFmtId="0" fontId="9643" fillId="9647" borderId="9594" xfId="0" applyFont="1" applyFill="1" applyBorder="1"/>
    <xf numFmtId="0" fontId="9644" fillId="9648" borderId="9595" xfId="0" applyFont="1" applyFill="1" applyBorder="1"/>
    <xf numFmtId="0" fontId="9645" fillId="9649" borderId="9596" xfId="0" applyFont="1" applyFill="1" applyBorder="1"/>
    <xf numFmtId="14" fontId="9646" fillId="9650" borderId="9597" xfId="0" applyNumberFormat="1" applyFont="1" applyFill="1" applyBorder="1"/>
    <xf numFmtId="0" fontId="9647" fillId="9651" borderId="9598" xfId="0" applyFont="1" applyFill="1" applyBorder="1"/>
    <xf numFmtId="14" fontId="9648" fillId="9652" borderId="9599" xfId="0" applyNumberFormat="1" applyFont="1" applyFill="1" applyBorder="1"/>
    <xf numFmtId="0" fontId="9649" fillId="9653" borderId="9600" xfId="0" applyFont="1" applyFill="1" applyBorder="1"/>
    <xf numFmtId="0" fontId="9650" fillId="9654" borderId="9601" xfId="0" applyFont="1" applyFill="1" applyBorder="1"/>
    <xf numFmtId="0" fontId="9651" fillId="9655" borderId="9602" xfId="0" applyFont="1" applyFill="1" applyBorder="1"/>
    <xf numFmtId="0" fontId="9652" fillId="9656" borderId="9603" xfId="0" applyFont="1" applyFill="1" applyBorder="1"/>
    <xf numFmtId="0" fontId="9653" fillId="9657" borderId="9604" xfId="0" applyFont="1" applyFill="1" applyBorder="1"/>
    <xf numFmtId="0" fontId="9654" fillId="9658" borderId="9605" xfId="0" applyFont="1" applyFill="1" applyBorder="1"/>
    <xf numFmtId="0" fontId="9655" fillId="9659" borderId="9606" xfId="0" applyFont="1" applyFill="1" applyBorder="1"/>
    <xf numFmtId="14" fontId="9656" fillId="9660" borderId="9607" xfId="0" applyNumberFormat="1" applyFont="1" applyFill="1" applyBorder="1"/>
    <xf numFmtId="0" fontId="9657" fillId="9661" borderId="9608" xfId="0" applyFont="1" applyFill="1" applyBorder="1"/>
    <xf numFmtId="14" fontId="9658" fillId="9662" borderId="9609" xfId="0" applyNumberFormat="1" applyFont="1" applyFill="1" applyBorder="1"/>
    <xf numFmtId="0" fontId="9659" fillId="9663" borderId="9610" xfId="0" applyFont="1" applyFill="1" applyBorder="1"/>
    <xf numFmtId="0" fontId="9660" fillId="9664" borderId="9611" xfId="0" applyFont="1" applyFill="1" applyBorder="1"/>
    <xf numFmtId="0" fontId="9661" fillId="9665" borderId="9612" xfId="0" applyFont="1" applyFill="1" applyBorder="1"/>
    <xf numFmtId="0" fontId="9662" fillId="9666" borderId="9613" xfId="0" applyFont="1" applyFill="1" applyBorder="1"/>
    <xf numFmtId="0" fontId="9663" fillId="9667" borderId="9614" xfId="0" applyFont="1" applyFill="1" applyBorder="1"/>
    <xf numFmtId="0" fontId="9664" fillId="9668" borderId="9615" xfId="0" applyFont="1" applyFill="1" applyBorder="1"/>
    <xf numFmtId="0" fontId="9665" fillId="9669" borderId="9616" xfId="0" applyFont="1" applyFill="1" applyBorder="1"/>
    <xf numFmtId="14" fontId="9666" fillId="9670" borderId="9617" xfId="0" applyNumberFormat="1" applyFont="1" applyFill="1" applyBorder="1"/>
    <xf numFmtId="0" fontId="9667" fillId="9671" borderId="9618" xfId="0" applyFont="1" applyFill="1" applyBorder="1"/>
    <xf numFmtId="14" fontId="9668" fillId="9672" borderId="9619" xfId="0" applyNumberFormat="1" applyFont="1" applyFill="1" applyBorder="1"/>
    <xf numFmtId="0" fontId="9669" fillId="9673" borderId="9620" xfId="0" applyFont="1" applyFill="1" applyBorder="1"/>
    <xf numFmtId="0" fontId="9670" fillId="9674" borderId="9621" xfId="0" applyFont="1" applyFill="1" applyBorder="1"/>
    <xf numFmtId="0" fontId="9671" fillId="9675" borderId="9622" xfId="0" applyFont="1" applyFill="1" applyBorder="1"/>
    <xf numFmtId="0" fontId="9672" fillId="9676" borderId="9623" xfId="0" applyFont="1" applyFill="1" applyBorder="1"/>
    <xf numFmtId="0" fontId="9673" fillId="9677" borderId="9624" xfId="0" applyFont="1" applyFill="1" applyBorder="1"/>
    <xf numFmtId="0" fontId="9674" fillId="9678" borderId="9625" xfId="0" applyFont="1" applyFill="1" applyBorder="1"/>
    <xf numFmtId="0" fontId="9675" fillId="9679" borderId="9626" xfId="0" applyFont="1" applyFill="1" applyBorder="1"/>
    <xf numFmtId="14" fontId="9676" fillId="9680" borderId="9627" xfId="0" applyNumberFormat="1" applyFont="1" applyFill="1" applyBorder="1"/>
    <xf numFmtId="0" fontId="9677" fillId="9681" borderId="9628" xfId="0" applyFont="1" applyFill="1" applyBorder="1"/>
    <xf numFmtId="14" fontId="9678" fillId="9682" borderId="9629" xfId="0" applyNumberFormat="1" applyFont="1" applyFill="1" applyBorder="1"/>
    <xf numFmtId="0" fontId="9679" fillId="9683" borderId="9630" xfId="0" applyFont="1" applyFill="1" applyBorder="1"/>
    <xf numFmtId="0" fontId="9680" fillId="9684" borderId="9631" xfId="0" applyFont="1" applyFill="1" applyBorder="1"/>
    <xf numFmtId="0" fontId="9681" fillId="9685" borderId="9632" xfId="0" applyFont="1" applyFill="1" applyBorder="1"/>
    <xf numFmtId="0" fontId="9682" fillId="9686" borderId="9633" xfId="0" applyFont="1" applyFill="1" applyBorder="1"/>
    <xf numFmtId="0" fontId="9683" fillId="9687" borderId="9634" xfId="0" applyFont="1" applyFill="1" applyBorder="1"/>
    <xf numFmtId="0" fontId="9684" fillId="9688" borderId="9635" xfId="0" applyFont="1" applyFill="1" applyBorder="1"/>
    <xf numFmtId="0" fontId="9685" fillId="9689" borderId="9636" xfId="0" applyFont="1" applyFill="1" applyBorder="1"/>
    <xf numFmtId="14" fontId="9686" fillId="9690" borderId="9637" xfId="0" applyNumberFormat="1" applyFont="1" applyFill="1" applyBorder="1"/>
    <xf numFmtId="0" fontId="9687" fillId="9691" borderId="9638" xfId="0" applyFont="1" applyFill="1" applyBorder="1"/>
    <xf numFmtId="14" fontId="9688" fillId="9692" borderId="9639" xfId="0" applyNumberFormat="1" applyFont="1" applyFill="1" applyBorder="1"/>
    <xf numFmtId="0" fontId="9689" fillId="9693" borderId="9640" xfId="0" applyFont="1" applyFill="1" applyBorder="1"/>
    <xf numFmtId="0" fontId="9690" fillId="9694" borderId="9641" xfId="0" applyFont="1" applyFill="1" applyBorder="1"/>
    <xf numFmtId="0" fontId="9691" fillId="9695" borderId="9642" xfId="0" applyFont="1" applyFill="1" applyBorder="1"/>
    <xf numFmtId="0" fontId="9692" fillId="9696" borderId="9643" xfId="0" applyFont="1" applyFill="1" applyBorder="1"/>
    <xf numFmtId="0" fontId="9693" fillId="9697" borderId="9644" xfId="0" applyFont="1" applyFill="1" applyBorder="1"/>
    <xf numFmtId="0" fontId="9694" fillId="9698" borderId="9645" xfId="0" applyFont="1" applyFill="1" applyBorder="1"/>
    <xf numFmtId="0" fontId="9695" fillId="9699" borderId="9646" xfId="0" applyFont="1" applyFill="1" applyBorder="1"/>
    <xf numFmtId="14" fontId="9696" fillId="9700" borderId="9647" xfId="0" applyNumberFormat="1" applyFont="1" applyFill="1" applyBorder="1"/>
    <xf numFmtId="0" fontId="9697" fillId="9701" borderId="9648" xfId="0" applyFont="1" applyFill="1" applyBorder="1"/>
    <xf numFmtId="14" fontId="9698" fillId="9702" borderId="9649" xfId="0" applyNumberFormat="1" applyFont="1" applyFill="1" applyBorder="1"/>
    <xf numFmtId="0" fontId="9699" fillId="9703" borderId="9650" xfId="0" applyFont="1" applyFill="1" applyBorder="1"/>
    <xf numFmtId="0" fontId="9700" fillId="9704" borderId="9651" xfId="0" applyFont="1" applyFill="1" applyBorder="1"/>
    <xf numFmtId="0" fontId="9701" fillId="9705" borderId="9652" xfId="0" applyFont="1" applyFill="1" applyBorder="1"/>
    <xf numFmtId="0" fontId="9702" fillId="9706" borderId="9653" xfId="0" applyFont="1" applyFill="1" applyBorder="1"/>
    <xf numFmtId="0" fontId="9703" fillId="9707" borderId="9654" xfId="0" applyFont="1" applyFill="1" applyBorder="1"/>
    <xf numFmtId="0" fontId="9704" fillId="9708" borderId="9655" xfId="0" applyFont="1" applyFill="1" applyBorder="1"/>
    <xf numFmtId="0" fontId="9705" fillId="9709" borderId="9656" xfId="0" applyFont="1" applyFill="1" applyBorder="1"/>
    <xf numFmtId="14" fontId="9706" fillId="9710" borderId="9657" xfId="0" applyNumberFormat="1" applyFont="1" applyFill="1" applyBorder="1"/>
    <xf numFmtId="0" fontId="9707" fillId="9711" borderId="9658" xfId="0" applyFont="1" applyFill="1" applyBorder="1"/>
    <xf numFmtId="14" fontId="9708" fillId="9712" borderId="9659" xfId="0" applyNumberFormat="1" applyFont="1" applyFill="1" applyBorder="1"/>
    <xf numFmtId="0" fontId="9709" fillId="9713" borderId="9660" xfId="0" applyFont="1" applyFill="1" applyBorder="1"/>
    <xf numFmtId="0" fontId="9710" fillId="9714" borderId="9661" xfId="0" applyFont="1" applyFill="1" applyBorder="1"/>
    <xf numFmtId="0" fontId="9711" fillId="9715" borderId="9662" xfId="0" applyFont="1" applyFill="1" applyBorder="1"/>
    <xf numFmtId="0" fontId="9712" fillId="9716" borderId="9663" xfId="0" applyFont="1" applyFill="1" applyBorder="1"/>
    <xf numFmtId="0" fontId="9713" fillId="9717" borderId="9664" xfId="0" applyFont="1" applyFill="1" applyBorder="1"/>
    <xf numFmtId="0" fontId="9714" fillId="9718" borderId="9665" xfId="0" applyFont="1" applyFill="1" applyBorder="1"/>
    <xf numFmtId="0" fontId="9715" fillId="9719" borderId="9666" xfId="0" applyFont="1" applyFill="1" applyBorder="1"/>
    <xf numFmtId="14" fontId="9716" fillId="9720" borderId="9667" xfId="0" applyNumberFormat="1" applyFont="1" applyFill="1" applyBorder="1"/>
    <xf numFmtId="0" fontId="9717" fillId="9721" borderId="9668" xfId="0" applyFont="1" applyFill="1" applyBorder="1"/>
    <xf numFmtId="14" fontId="9718" fillId="9722" borderId="9669" xfId="0" applyNumberFormat="1" applyFont="1" applyFill="1" applyBorder="1"/>
    <xf numFmtId="0" fontId="9719" fillId="9723" borderId="9670" xfId="0" applyFont="1" applyFill="1" applyBorder="1"/>
    <xf numFmtId="0" fontId="9720" fillId="9724" borderId="9671" xfId="0" applyFont="1" applyFill="1" applyBorder="1"/>
    <xf numFmtId="0" fontId="9721" fillId="9725" borderId="9672" xfId="0" applyFont="1" applyFill="1" applyBorder="1"/>
    <xf numFmtId="0" fontId="9722" fillId="9726" borderId="9673" xfId="0" applyFont="1" applyFill="1" applyBorder="1"/>
    <xf numFmtId="0" fontId="9723" fillId="9727" borderId="9674" xfId="0" applyFont="1" applyFill="1" applyBorder="1"/>
    <xf numFmtId="0" fontId="9724" fillId="9728" borderId="9675" xfId="0" applyFont="1" applyFill="1" applyBorder="1"/>
    <xf numFmtId="0" fontId="9725" fillId="9729" borderId="9676" xfId="0" applyFont="1" applyFill="1" applyBorder="1"/>
    <xf numFmtId="14" fontId="9726" fillId="9730" borderId="9677" xfId="0" applyNumberFormat="1" applyFont="1" applyFill="1" applyBorder="1"/>
    <xf numFmtId="0" fontId="9727" fillId="9731" borderId="9678" xfId="0" applyFont="1" applyFill="1" applyBorder="1"/>
    <xf numFmtId="14" fontId="9728" fillId="9732" borderId="9679" xfId="0" applyNumberFormat="1" applyFont="1" applyFill="1" applyBorder="1"/>
    <xf numFmtId="0" fontId="9729" fillId="9733" borderId="9680" xfId="0" applyFont="1" applyFill="1" applyBorder="1"/>
    <xf numFmtId="0" fontId="9730" fillId="9734" borderId="9681" xfId="0" applyFont="1" applyFill="1" applyBorder="1"/>
    <xf numFmtId="0" fontId="9731" fillId="9735" borderId="9682" xfId="0" applyFont="1" applyFill="1" applyBorder="1"/>
    <xf numFmtId="0" fontId="9732" fillId="9736" borderId="9683" xfId="0" applyFont="1" applyFill="1" applyBorder="1"/>
    <xf numFmtId="0" fontId="9733" fillId="9737" borderId="9684" xfId="0" applyFont="1" applyFill="1" applyBorder="1"/>
    <xf numFmtId="0" fontId="9734" fillId="9738" borderId="9685" xfId="0" applyFont="1" applyFill="1" applyBorder="1"/>
    <xf numFmtId="0" fontId="9735" fillId="9739" borderId="9686" xfId="0" applyFont="1" applyFill="1" applyBorder="1"/>
    <xf numFmtId="14" fontId="9736" fillId="9740" borderId="9687" xfId="0" applyNumberFormat="1" applyFont="1" applyFill="1" applyBorder="1"/>
    <xf numFmtId="0" fontId="9737" fillId="9741" borderId="9688" xfId="0" applyFont="1" applyFill="1" applyBorder="1"/>
    <xf numFmtId="14" fontId="9738" fillId="9742" borderId="9689" xfId="0" applyNumberFormat="1" applyFont="1" applyFill="1" applyBorder="1"/>
    <xf numFmtId="0" fontId="9739" fillId="9743" borderId="9690" xfId="0" applyFont="1" applyFill="1" applyBorder="1"/>
    <xf numFmtId="0" fontId="9740" fillId="9744" borderId="9691" xfId="0" applyFont="1" applyFill="1" applyBorder="1"/>
    <xf numFmtId="0" fontId="9741" fillId="9745" borderId="9692" xfId="0" applyFont="1" applyFill="1" applyBorder="1"/>
    <xf numFmtId="0" fontId="9742" fillId="9746" borderId="9693" xfId="0" applyFont="1" applyFill="1" applyBorder="1"/>
    <xf numFmtId="0" fontId="9743" fillId="9747" borderId="9694" xfId="0" applyFont="1" applyFill="1" applyBorder="1"/>
    <xf numFmtId="0" fontId="9744" fillId="9748" borderId="9695" xfId="0" applyFont="1" applyFill="1" applyBorder="1"/>
    <xf numFmtId="0" fontId="9745" fillId="9749" borderId="9696" xfId="0" applyFont="1" applyFill="1" applyBorder="1"/>
    <xf numFmtId="14" fontId="9746" fillId="9750" borderId="9697" xfId="0" applyNumberFormat="1" applyFont="1" applyFill="1" applyBorder="1"/>
    <xf numFmtId="0" fontId="9747" fillId="9751" borderId="9698" xfId="0" applyFont="1" applyFill="1" applyBorder="1"/>
    <xf numFmtId="14" fontId="9748" fillId="9752" borderId="9699" xfId="0" applyNumberFormat="1" applyFont="1" applyFill="1" applyBorder="1"/>
    <xf numFmtId="0" fontId="9749" fillId="9753" borderId="9700" xfId="0" applyFont="1" applyFill="1" applyBorder="1"/>
    <xf numFmtId="0" fontId="9750" fillId="9754" borderId="9701" xfId="0" applyFont="1" applyFill="1" applyBorder="1"/>
    <xf numFmtId="0" fontId="9751" fillId="9755" borderId="9702" xfId="0" applyFont="1" applyFill="1" applyBorder="1"/>
    <xf numFmtId="0" fontId="9752" fillId="9756" borderId="9703" xfId="0" applyFont="1" applyFill="1" applyBorder="1"/>
    <xf numFmtId="0" fontId="9753" fillId="9757" borderId="9704" xfId="0" applyFont="1" applyFill="1" applyBorder="1"/>
    <xf numFmtId="0" fontId="9754" fillId="9758" borderId="9705" xfId="0" applyFont="1" applyFill="1" applyBorder="1"/>
    <xf numFmtId="0" fontId="9755" fillId="9759" borderId="9706" xfId="0" applyFont="1" applyFill="1" applyBorder="1"/>
    <xf numFmtId="14" fontId="9756" fillId="9760" borderId="9707" xfId="0" applyNumberFormat="1" applyFont="1" applyFill="1" applyBorder="1"/>
    <xf numFmtId="0" fontId="9757" fillId="9761" borderId="9708" xfId="0" applyFont="1" applyFill="1" applyBorder="1"/>
    <xf numFmtId="14" fontId="9758" fillId="9762" borderId="9709" xfId="0" applyNumberFormat="1" applyFont="1" applyFill="1" applyBorder="1"/>
    <xf numFmtId="0" fontId="9759" fillId="9763" borderId="9710" xfId="0" applyFont="1" applyFill="1" applyBorder="1"/>
    <xf numFmtId="0" fontId="9760" fillId="9764" borderId="9711" xfId="0" applyFont="1" applyFill="1" applyBorder="1"/>
    <xf numFmtId="0" fontId="9761" fillId="9765" borderId="9712" xfId="0" applyFont="1" applyFill="1" applyBorder="1"/>
    <xf numFmtId="0" fontId="9762" fillId="9766" borderId="9713" xfId="0" applyFont="1" applyFill="1" applyBorder="1"/>
    <xf numFmtId="0" fontId="9763" fillId="9767" borderId="9714" xfId="0" applyFont="1" applyFill="1" applyBorder="1"/>
    <xf numFmtId="0" fontId="9764" fillId="9768" borderId="9715" xfId="0" applyFont="1" applyFill="1" applyBorder="1"/>
    <xf numFmtId="0" fontId="9765" fillId="9769" borderId="9716" xfId="0" applyFont="1" applyFill="1" applyBorder="1"/>
    <xf numFmtId="14" fontId="9766" fillId="9770" borderId="9717" xfId="0" applyNumberFormat="1" applyFont="1" applyFill="1" applyBorder="1"/>
    <xf numFmtId="0" fontId="9767" fillId="9771" borderId="9718" xfId="0" applyFont="1" applyFill="1" applyBorder="1"/>
    <xf numFmtId="14" fontId="9768" fillId="9772" borderId="9719" xfId="0" applyNumberFormat="1" applyFont="1" applyFill="1" applyBorder="1"/>
    <xf numFmtId="0" fontId="9769" fillId="9773" borderId="9720" xfId="0" applyFont="1" applyFill="1" applyBorder="1"/>
    <xf numFmtId="0" fontId="9770" fillId="9774" borderId="9721" xfId="0" applyFont="1" applyFill="1" applyBorder="1"/>
    <xf numFmtId="0" fontId="9771" fillId="9775" borderId="9722" xfId="0" applyFont="1" applyFill="1" applyBorder="1"/>
    <xf numFmtId="0" fontId="9772" fillId="9776" borderId="9723" xfId="0" applyFont="1" applyFill="1" applyBorder="1"/>
    <xf numFmtId="0" fontId="9773" fillId="9777" borderId="9724" xfId="0" applyFont="1" applyFill="1" applyBorder="1"/>
    <xf numFmtId="0" fontId="9774" fillId="9778" borderId="9725" xfId="0" applyFont="1" applyFill="1" applyBorder="1"/>
    <xf numFmtId="0" fontId="9775" fillId="9779" borderId="9726" xfId="0" applyFont="1" applyFill="1" applyBorder="1"/>
    <xf numFmtId="14" fontId="9776" fillId="9780" borderId="9727" xfId="0" applyNumberFormat="1" applyFont="1" applyFill="1" applyBorder="1"/>
    <xf numFmtId="0" fontId="9777" fillId="9781" borderId="9728" xfId="0" applyFont="1" applyFill="1" applyBorder="1"/>
    <xf numFmtId="14" fontId="9778" fillId="9782" borderId="9729" xfId="0" applyNumberFormat="1" applyFont="1" applyFill="1" applyBorder="1"/>
    <xf numFmtId="0" fontId="9779" fillId="9783" borderId="9730" xfId="0" applyFont="1" applyFill="1" applyBorder="1"/>
    <xf numFmtId="0" fontId="9780" fillId="9784" borderId="9731" xfId="0" applyFont="1" applyFill="1" applyBorder="1"/>
    <xf numFmtId="0" fontId="9781" fillId="9785" borderId="9732" xfId="0" applyFont="1" applyFill="1" applyBorder="1"/>
    <xf numFmtId="0" fontId="9782" fillId="9786" borderId="9733" xfId="0" applyFont="1" applyFill="1" applyBorder="1"/>
    <xf numFmtId="0" fontId="9783" fillId="9787" borderId="9734" xfId="0" applyFont="1" applyFill="1" applyBorder="1"/>
    <xf numFmtId="0" fontId="9784" fillId="9788" borderId="9735" xfId="0" applyFont="1" applyFill="1" applyBorder="1"/>
    <xf numFmtId="0" fontId="9785" fillId="9789" borderId="9736" xfId="0" applyFont="1" applyFill="1" applyBorder="1"/>
    <xf numFmtId="14" fontId="9786" fillId="9790" borderId="9737" xfId="0" applyNumberFormat="1" applyFont="1" applyFill="1" applyBorder="1"/>
    <xf numFmtId="0" fontId="9787" fillId="9791" borderId="9738" xfId="0" applyFont="1" applyFill="1" applyBorder="1"/>
    <xf numFmtId="14" fontId="9788" fillId="9792" borderId="9739" xfId="0" applyNumberFormat="1" applyFont="1" applyFill="1" applyBorder="1"/>
    <xf numFmtId="0" fontId="9789" fillId="9793" borderId="9740" xfId="0" applyFont="1" applyFill="1" applyBorder="1"/>
    <xf numFmtId="0" fontId="9790" fillId="9794" borderId="9741" xfId="0" applyFont="1" applyFill="1" applyBorder="1"/>
    <xf numFmtId="0" fontId="9791" fillId="9795" borderId="9742" xfId="0" applyFont="1" applyFill="1" applyBorder="1"/>
    <xf numFmtId="0" fontId="9792" fillId="9796" borderId="9743" xfId="0" applyFont="1" applyFill="1" applyBorder="1"/>
    <xf numFmtId="0" fontId="9793" fillId="9797" borderId="9744" xfId="0" applyFont="1" applyFill="1" applyBorder="1"/>
    <xf numFmtId="0" fontId="9794" fillId="9798" borderId="9745" xfId="0" applyFont="1" applyFill="1" applyBorder="1"/>
    <xf numFmtId="0" fontId="9795" fillId="9799" borderId="9746" xfId="0" applyFont="1" applyFill="1" applyBorder="1"/>
    <xf numFmtId="14" fontId="9796" fillId="9800" borderId="9747" xfId="0" applyNumberFormat="1" applyFont="1" applyFill="1" applyBorder="1"/>
    <xf numFmtId="0" fontId="9797" fillId="9801" borderId="9748" xfId="0" applyFont="1" applyFill="1" applyBorder="1"/>
    <xf numFmtId="14" fontId="9798" fillId="9802" borderId="9749" xfId="0" applyNumberFormat="1" applyFont="1" applyFill="1" applyBorder="1"/>
    <xf numFmtId="0" fontId="9799" fillId="9803" borderId="9750" xfId="0" applyFont="1" applyFill="1" applyBorder="1"/>
    <xf numFmtId="0" fontId="9800" fillId="9804" borderId="9751" xfId="0" applyFont="1" applyFill="1" applyBorder="1"/>
    <xf numFmtId="0" fontId="9801" fillId="9805" borderId="9752" xfId="0" applyFont="1" applyFill="1" applyBorder="1"/>
    <xf numFmtId="0" fontId="9802" fillId="9806" borderId="9753" xfId="0" applyFont="1" applyFill="1" applyBorder="1"/>
    <xf numFmtId="0" fontId="9803" fillId="9807" borderId="9754" xfId="0" applyFont="1" applyFill="1" applyBorder="1"/>
    <xf numFmtId="0" fontId="9804" fillId="9808" borderId="9755" xfId="0" applyFont="1" applyFill="1" applyBorder="1"/>
    <xf numFmtId="0" fontId="9805" fillId="9809" borderId="9756" xfId="0" applyFont="1" applyFill="1" applyBorder="1"/>
    <xf numFmtId="14" fontId="9806" fillId="9810" borderId="9757" xfId="0" applyNumberFormat="1" applyFont="1" applyFill="1" applyBorder="1"/>
    <xf numFmtId="0" fontId="9807" fillId="9811" borderId="9758" xfId="0" applyFont="1" applyFill="1" applyBorder="1"/>
    <xf numFmtId="14" fontId="9808" fillId="9812" borderId="9759" xfId="0" applyNumberFormat="1" applyFont="1" applyFill="1" applyBorder="1"/>
    <xf numFmtId="0" fontId="9809" fillId="9813" borderId="9760" xfId="0" applyFont="1" applyFill="1" applyBorder="1"/>
    <xf numFmtId="0" fontId="9810" fillId="9814" borderId="9761" xfId="0" applyFont="1" applyFill="1" applyBorder="1"/>
    <xf numFmtId="0" fontId="9811" fillId="9815" borderId="9762" xfId="0" applyFont="1" applyFill="1" applyBorder="1"/>
    <xf numFmtId="0" fontId="9812" fillId="9816" borderId="9763" xfId="0" applyFont="1" applyFill="1" applyBorder="1"/>
    <xf numFmtId="0" fontId="9813" fillId="9817" borderId="9764" xfId="0" applyFont="1" applyFill="1" applyBorder="1"/>
    <xf numFmtId="0" fontId="9814" fillId="9818" borderId="9765" xfId="0" applyFont="1" applyFill="1" applyBorder="1"/>
    <xf numFmtId="0" fontId="9815" fillId="9819" borderId="9766" xfId="0" applyFont="1" applyFill="1" applyBorder="1"/>
    <xf numFmtId="14" fontId="9816" fillId="9820" borderId="9767" xfId="0" applyNumberFormat="1" applyFont="1" applyFill="1" applyBorder="1"/>
    <xf numFmtId="0" fontId="9817" fillId="9821" borderId="9768" xfId="0" applyFont="1" applyFill="1" applyBorder="1"/>
    <xf numFmtId="14" fontId="9818" fillId="9822" borderId="9769" xfId="0" applyNumberFormat="1" applyFont="1" applyFill="1" applyBorder="1"/>
    <xf numFmtId="0" fontId="9819" fillId="9823" borderId="9770" xfId="0" applyFont="1" applyFill="1" applyBorder="1"/>
    <xf numFmtId="0" fontId="9820" fillId="9824" borderId="9771" xfId="0" applyFont="1" applyFill="1" applyBorder="1"/>
    <xf numFmtId="0" fontId="9821" fillId="9825" borderId="9772" xfId="0" applyFont="1" applyFill="1" applyBorder="1"/>
    <xf numFmtId="0" fontId="9822" fillId="9826" borderId="9773" xfId="0" applyFont="1" applyFill="1" applyBorder="1"/>
    <xf numFmtId="0" fontId="9823" fillId="9827" borderId="9774" xfId="0" applyFont="1" applyFill="1" applyBorder="1"/>
    <xf numFmtId="0" fontId="9824" fillId="9828" borderId="9775" xfId="0" applyFont="1" applyFill="1" applyBorder="1"/>
    <xf numFmtId="0" fontId="9825" fillId="9829" borderId="9776" xfId="0" applyFont="1" applyFill="1" applyBorder="1"/>
    <xf numFmtId="14" fontId="9826" fillId="9830" borderId="9777" xfId="0" applyNumberFormat="1" applyFont="1" applyFill="1" applyBorder="1"/>
    <xf numFmtId="0" fontId="9827" fillId="9831" borderId="9778" xfId="0" applyFont="1" applyFill="1" applyBorder="1"/>
    <xf numFmtId="14" fontId="9828" fillId="9832" borderId="9779" xfId="0" applyNumberFormat="1" applyFont="1" applyFill="1" applyBorder="1"/>
    <xf numFmtId="0" fontId="9829" fillId="9833" borderId="9780" xfId="0" applyFont="1" applyFill="1" applyBorder="1"/>
    <xf numFmtId="0" fontId="9830" fillId="9834" borderId="9781" xfId="0" applyFont="1" applyFill="1" applyBorder="1"/>
    <xf numFmtId="0" fontId="9831" fillId="9835" borderId="9782" xfId="0" applyFont="1" applyFill="1" applyBorder="1"/>
    <xf numFmtId="0" fontId="9832" fillId="9836" borderId="9783" xfId="0" applyFont="1" applyFill="1" applyBorder="1"/>
    <xf numFmtId="0" fontId="9833" fillId="9837" borderId="9784" xfId="0" applyFont="1" applyFill="1" applyBorder="1"/>
    <xf numFmtId="0" fontId="9834" fillId="9838" borderId="9785" xfId="0" applyFont="1" applyFill="1" applyBorder="1"/>
    <xf numFmtId="0" fontId="9835" fillId="9839" borderId="9786" xfId="0" applyFont="1" applyFill="1" applyBorder="1"/>
    <xf numFmtId="14" fontId="9836" fillId="9840" borderId="9787" xfId="0" applyNumberFormat="1" applyFont="1" applyFill="1" applyBorder="1"/>
    <xf numFmtId="0" fontId="9837" fillId="9841" borderId="9788" xfId="0" applyFont="1" applyFill="1" applyBorder="1"/>
    <xf numFmtId="14" fontId="9838" fillId="9842" borderId="9789" xfId="0" applyNumberFormat="1" applyFont="1" applyFill="1" applyBorder="1"/>
    <xf numFmtId="0" fontId="9839" fillId="9843" borderId="9790" xfId="0" applyFont="1" applyFill="1" applyBorder="1"/>
    <xf numFmtId="0" fontId="9840" fillId="9844" borderId="9791" xfId="0" applyFont="1" applyFill="1" applyBorder="1"/>
    <xf numFmtId="0" fontId="9841" fillId="9845" borderId="9792" xfId="0" applyFont="1" applyFill="1" applyBorder="1"/>
    <xf numFmtId="0" fontId="9842" fillId="9846" borderId="9793" xfId="0" applyFont="1" applyFill="1" applyBorder="1"/>
    <xf numFmtId="0" fontId="9843" fillId="9847" borderId="9794" xfId="0" applyFont="1" applyFill="1" applyBorder="1"/>
    <xf numFmtId="0" fontId="9844" fillId="9848" borderId="9795" xfId="0" applyFont="1" applyFill="1" applyBorder="1"/>
    <xf numFmtId="0" fontId="9845" fillId="9849" borderId="9796" xfId="0" applyFont="1" applyFill="1" applyBorder="1"/>
    <xf numFmtId="14" fontId="9846" fillId="9850" borderId="9797" xfId="0" applyNumberFormat="1" applyFont="1" applyFill="1" applyBorder="1"/>
    <xf numFmtId="0" fontId="9847" fillId="9851" borderId="9798" xfId="0" applyFont="1" applyFill="1" applyBorder="1"/>
    <xf numFmtId="14" fontId="9848" fillId="9852" borderId="9799" xfId="0" applyNumberFormat="1" applyFont="1" applyFill="1" applyBorder="1"/>
    <xf numFmtId="0" fontId="9849" fillId="9853" borderId="9800" xfId="0" applyFont="1" applyFill="1" applyBorder="1"/>
    <xf numFmtId="0" fontId="9850" fillId="9854" borderId="9801" xfId="0" applyFont="1" applyFill="1" applyBorder="1"/>
    <xf numFmtId="0" fontId="9851" fillId="9855" borderId="9802" xfId="0" applyFont="1" applyFill="1" applyBorder="1"/>
    <xf numFmtId="0" fontId="9852" fillId="9856" borderId="9803" xfId="0" applyFont="1" applyFill="1" applyBorder="1"/>
    <xf numFmtId="0" fontId="9853" fillId="9857" borderId="9804" xfId="0" applyFont="1" applyFill="1" applyBorder="1"/>
    <xf numFmtId="0" fontId="9854" fillId="9858" borderId="9805" xfId="0" applyFont="1" applyFill="1" applyBorder="1"/>
    <xf numFmtId="0" fontId="9855" fillId="9859" borderId="9806" xfId="0" applyFont="1" applyFill="1" applyBorder="1"/>
    <xf numFmtId="14" fontId="9856" fillId="9860" borderId="9807" xfId="0" applyNumberFormat="1" applyFont="1" applyFill="1" applyBorder="1"/>
    <xf numFmtId="0" fontId="9857" fillId="9861" borderId="9808" xfId="0" applyFont="1" applyFill="1" applyBorder="1"/>
    <xf numFmtId="14" fontId="9858" fillId="9862" borderId="9809" xfId="0" applyNumberFormat="1" applyFont="1" applyFill="1" applyBorder="1"/>
    <xf numFmtId="0" fontId="9859" fillId="9863" borderId="9810" xfId="0" applyFont="1" applyFill="1" applyBorder="1"/>
    <xf numFmtId="0" fontId="9860" fillId="9864" borderId="9811" xfId="0" applyFont="1" applyFill="1" applyBorder="1"/>
    <xf numFmtId="0" fontId="9861" fillId="9865" borderId="9812" xfId="0" applyFont="1" applyFill="1" applyBorder="1"/>
    <xf numFmtId="0" fontId="9862" fillId="9866" borderId="9813" xfId="0" applyFont="1" applyFill="1" applyBorder="1"/>
    <xf numFmtId="0" fontId="9863" fillId="9867" borderId="9814" xfId="0" applyFont="1" applyFill="1" applyBorder="1"/>
    <xf numFmtId="0" fontId="9864" fillId="9868" borderId="9815" xfId="0" applyFont="1" applyFill="1" applyBorder="1"/>
    <xf numFmtId="0" fontId="9865" fillId="9869" borderId="9816" xfId="0" applyFont="1" applyFill="1" applyBorder="1"/>
    <xf numFmtId="14" fontId="9866" fillId="9870" borderId="9817" xfId="0" applyNumberFormat="1" applyFont="1" applyFill="1" applyBorder="1"/>
    <xf numFmtId="0" fontId="9867" fillId="9871" borderId="9818" xfId="0" applyFont="1" applyFill="1" applyBorder="1"/>
    <xf numFmtId="14" fontId="9868" fillId="9872" borderId="9819" xfId="0" applyNumberFormat="1" applyFont="1" applyFill="1" applyBorder="1"/>
    <xf numFmtId="0" fontId="9869" fillId="9873" borderId="9820" xfId="0" applyFont="1" applyFill="1" applyBorder="1"/>
    <xf numFmtId="0" fontId="9870" fillId="9874" borderId="9821" xfId="0" applyFont="1" applyFill="1" applyBorder="1"/>
    <xf numFmtId="0" fontId="9871" fillId="9875" borderId="9822" xfId="0" applyFont="1" applyFill="1" applyBorder="1"/>
    <xf numFmtId="0" fontId="9872" fillId="9876" borderId="9823" xfId="0" applyFont="1" applyFill="1" applyBorder="1"/>
    <xf numFmtId="0" fontId="9873" fillId="9877" borderId="9824" xfId="0" applyFont="1" applyFill="1" applyBorder="1"/>
    <xf numFmtId="0" fontId="9874" fillId="9878" borderId="9825" xfId="0" applyFont="1" applyFill="1" applyBorder="1"/>
    <xf numFmtId="0" fontId="9875" fillId="9879" borderId="9826" xfId="0" applyFont="1" applyFill="1" applyBorder="1"/>
    <xf numFmtId="14" fontId="9876" fillId="9880" borderId="9827" xfId="0" applyNumberFormat="1" applyFont="1" applyFill="1" applyBorder="1"/>
    <xf numFmtId="0" fontId="9877" fillId="9881" borderId="9828" xfId="0" applyFont="1" applyFill="1" applyBorder="1"/>
    <xf numFmtId="14" fontId="9878" fillId="9882" borderId="9829" xfId="0" applyNumberFormat="1" applyFont="1" applyFill="1" applyBorder="1"/>
    <xf numFmtId="0" fontId="9879" fillId="9883" borderId="9830" xfId="0" applyFont="1" applyFill="1" applyBorder="1"/>
    <xf numFmtId="0" fontId="9880" fillId="9884" borderId="9831" xfId="0" applyFont="1" applyFill="1" applyBorder="1"/>
    <xf numFmtId="0" fontId="9881" fillId="9885" borderId="9832" xfId="0" applyFont="1" applyFill="1" applyBorder="1"/>
    <xf numFmtId="0" fontId="9882" fillId="9886" borderId="9833" xfId="0" applyFont="1" applyFill="1" applyBorder="1"/>
    <xf numFmtId="0" fontId="9883" fillId="9887" borderId="9834" xfId="0" applyFont="1" applyFill="1" applyBorder="1"/>
    <xf numFmtId="0" fontId="9884" fillId="9888" borderId="9835" xfId="0" applyFont="1" applyFill="1" applyBorder="1"/>
    <xf numFmtId="0" fontId="9885" fillId="9889" borderId="9836" xfId="0" applyFont="1" applyFill="1" applyBorder="1"/>
    <xf numFmtId="14" fontId="9886" fillId="9890" borderId="9837" xfId="0" applyNumberFormat="1" applyFont="1" applyFill="1" applyBorder="1"/>
    <xf numFmtId="0" fontId="9887" fillId="9891" borderId="9838" xfId="0" applyFont="1" applyFill="1" applyBorder="1"/>
    <xf numFmtId="14" fontId="9888" fillId="9892" borderId="9839" xfId="0" applyNumberFormat="1" applyFont="1" applyFill="1" applyBorder="1"/>
    <xf numFmtId="0" fontId="9889" fillId="9893" borderId="9840" xfId="0" applyFont="1" applyFill="1" applyBorder="1"/>
    <xf numFmtId="0" fontId="9890" fillId="9894" borderId="9841" xfId="0" applyFont="1" applyFill="1" applyBorder="1"/>
    <xf numFmtId="0" fontId="9891" fillId="9895" borderId="9842" xfId="0" applyFont="1" applyFill="1" applyBorder="1"/>
    <xf numFmtId="0" fontId="9892" fillId="9896" borderId="9843" xfId="0" applyFont="1" applyFill="1" applyBorder="1"/>
    <xf numFmtId="0" fontId="9893" fillId="9897" borderId="9844" xfId="0" applyFont="1" applyFill="1" applyBorder="1"/>
    <xf numFmtId="0" fontId="9894" fillId="9898" borderId="9845" xfId="0" applyFont="1" applyFill="1" applyBorder="1"/>
    <xf numFmtId="0" fontId="9895" fillId="9899" borderId="9846" xfId="0" applyFont="1" applyFill="1" applyBorder="1"/>
    <xf numFmtId="14" fontId="9896" fillId="9900" borderId="9847" xfId="0" applyNumberFormat="1" applyFont="1" applyFill="1" applyBorder="1"/>
    <xf numFmtId="0" fontId="9897" fillId="9901" borderId="9848" xfId="0" applyFont="1" applyFill="1" applyBorder="1"/>
    <xf numFmtId="14" fontId="9898" fillId="9902" borderId="9849" xfId="0" applyNumberFormat="1" applyFont="1" applyFill="1" applyBorder="1"/>
    <xf numFmtId="0" fontId="9899" fillId="9903" borderId="9850" xfId="0" applyFont="1" applyFill="1" applyBorder="1"/>
    <xf numFmtId="0" fontId="9900" fillId="9904" borderId="9851" xfId="0" applyFont="1" applyFill="1" applyBorder="1"/>
    <xf numFmtId="0" fontId="9901" fillId="9905" borderId="9852" xfId="0" applyFont="1" applyFill="1" applyBorder="1"/>
    <xf numFmtId="0" fontId="9902" fillId="9906" borderId="9853" xfId="0" applyFont="1" applyFill="1" applyBorder="1"/>
    <xf numFmtId="0" fontId="9903" fillId="9907" borderId="9854" xfId="0" applyFont="1" applyFill="1" applyBorder="1"/>
    <xf numFmtId="0" fontId="9904" fillId="9908" borderId="9855" xfId="0" applyFont="1" applyFill="1" applyBorder="1"/>
    <xf numFmtId="0" fontId="9905" fillId="9909" borderId="9856" xfId="0" applyFont="1" applyFill="1" applyBorder="1"/>
    <xf numFmtId="14" fontId="9906" fillId="9910" borderId="9857" xfId="0" applyNumberFormat="1" applyFont="1" applyFill="1" applyBorder="1"/>
    <xf numFmtId="0" fontId="9907" fillId="9911" borderId="9858" xfId="0" applyFont="1" applyFill="1" applyBorder="1"/>
    <xf numFmtId="14" fontId="9908" fillId="9912" borderId="9859" xfId="0" applyNumberFormat="1" applyFont="1" applyFill="1" applyBorder="1"/>
    <xf numFmtId="0" fontId="9909" fillId="9913" borderId="9860" xfId="0" applyFont="1" applyFill="1" applyBorder="1"/>
    <xf numFmtId="0" fontId="9910" fillId="9914" borderId="9861" xfId="0" applyFont="1" applyFill="1" applyBorder="1"/>
    <xf numFmtId="0" fontId="9911" fillId="9915" borderId="9862" xfId="0" applyFont="1" applyFill="1" applyBorder="1"/>
    <xf numFmtId="0" fontId="9912" fillId="9916" borderId="9863" xfId="0" applyFont="1" applyFill="1" applyBorder="1"/>
    <xf numFmtId="0" fontId="9913" fillId="9917" borderId="9864" xfId="0" applyFont="1" applyFill="1" applyBorder="1"/>
    <xf numFmtId="0" fontId="9914" fillId="9918" borderId="9865" xfId="0" applyFont="1" applyFill="1" applyBorder="1"/>
    <xf numFmtId="0" fontId="9915" fillId="9919" borderId="9866" xfId="0" applyFont="1" applyFill="1" applyBorder="1"/>
    <xf numFmtId="14" fontId="9916" fillId="9920" borderId="9867" xfId="0" applyNumberFormat="1" applyFont="1" applyFill="1" applyBorder="1"/>
    <xf numFmtId="0" fontId="9917" fillId="9921" borderId="9868" xfId="0" applyFont="1" applyFill="1" applyBorder="1"/>
    <xf numFmtId="14" fontId="9918" fillId="9922" borderId="9869" xfId="0" applyNumberFormat="1" applyFont="1" applyFill="1" applyBorder="1"/>
    <xf numFmtId="0" fontId="9919" fillId="9923" borderId="9870" xfId="0" applyFont="1" applyFill="1" applyBorder="1"/>
    <xf numFmtId="0" fontId="9920" fillId="9924" borderId="9871" xfId="0" applyFont="1" applyFill="1" applyBorder="1"/>
    <xf numFmtId="0" fontId="9921" fillId="9925" borderId="9872" xfId="0" applyFont="1" applyFill="1" applyBorder="1"/>
    <xf numFmtId="0" fontId="9922" fillId="9926" borderId="9873" xfId="0" applyFont="1" applyFill="1" applyBorder="1"/>
    <xf numFmtId="0" fontId="9923" fillId="9927" borderId="9874" xfId="0" applyFont="1" applyFill="1" applyBorder="1"/>
    <xf numFmtId="0" fontId="9924" fillId="9928" borderId="9875" xfId="0" applyFont="1" applyFill="1" applyBorder="1"/>
    <xf numFmtId="0" fontId="9925" fillId="9929" borderId="9876" xfId="0" applyFont="1" applyFill="1" applyBorder="1"/>
    <xf numFmtId="14" fontId="9926" fillId="9930" borderId="9877" xfId="0" applyNumberFormat="1" applyFont="1" applyFill="1" applyBorder="1"/>
    <xf numFmtId="0" fontId="9927" fillId="9931" borderId="9878" xfId="0" applyFont="1" applyFill="1" applyBorder="1"/>
    <xf numFmtId="14" fontId="9928" fillId="9932" borderId="9879" xfId="0" applyNumberFormat="1" applyFont="1" applyFill="1" applyBorder="1"/>
    <xf numFmtId="0" fontId="9929" fillId="9933" borderId="9880" xfId="0" applyFont="1" applyFill="1" applyBorder="1"/>
    <xf numFmtId="0" fontId="9930" fillId="9934" borderId="9881" xfId="0" applyFont="1" applyFill="1" applyBorder="1"/>
    <xf numFmtId="0" fontId="9931" fillId="9935" borderId="9882" xfId="0" applyFont="1" applyFill="1" applyBorder="1"/>
    <xf numFmtId="0" fontId="9932" fillId="9936" borderId="9883" xfId="0" applyFont="1" applyFill="1" applyBorder="1"/>
    <xf numFmtId="0" fontId="9933" fillId="9937" borderId="9884" xfId="0" applyFont="1" applyFill="1" applyBorder="1"/>
    <xf numFmtId="0" fontId="9934" fillId="9938" borderId="9885" xfId="0" applyFont="1" applyFill="1" applyBorder="1"/>
    <xf numFmtId="0" fontId="9935" fillId="9939" borderId="9886" xfId="0" applyFont="1" applyFill="1" applyBorder="1"/>
    <xf numFmtId="14" fontId="9936" fillId="9940" borderId="9887" xfId="0" applyNumberFormat="1" applyFont="1" applyFill="1" applyBorder="1"/>
    <xf numFmtId="0" fontId="9937" fillId="9941" borderId="9888" xfId="0" applyFont="1" applyFill="1" applyBorder="1"/>
    <xf numFmtId="14" fontId="9938" fillId="9942" borderId="9889" xfId="0" applyNumberFormat="1" applyFont="1" applyFill="1" applyBorder="1"/>
    <xf numFmtId="0" fontId="9939" fillId="9943" borderId="9890" xfId="0" applyFont="1" applyFill="1" applyBorder="1"/>
    <xf numFmtId="0" fontId="9940" fillId="9944" borderId="9891" xfId="0" applyFont="1" applyFill="1" applyBorder="1"/>
    <xf numFmtId="0" fontId="9941" fillId="9945" borderId="9892" xfId="0" applyFont="1" applyFill="1" applyBorder="1"/>
    <xf numFmtId="0" fontId="9942" fillId="9946" borderId="9893" xfId="0" applyFont="1" applyFill="1" applyBorder="1"/>
    <xf numFmtId="0" fontId="9943" fillId="9947" borderId="9894" xfId="0" applyFont="1" applyFill="1" applyBorder="1"/>
    <xf numFmtId="0" fontId="9944" fillId="9948" borderId="9895" xfId="0" applyFont="1" applyFill="1" applyBorder="1"/>
    <xf numFmtId="0" fontId="9945" fillId="9949" borderId="9896" xfId="0" applyFont="1" applyFill="1" applyBorder="1"/>
    <xf numFmtId="14" fontId="9946" fillId="9950" borderId="9897" xfId="0" applyNumberFormat="1" applyFont="1" applyFill="1" applyBorder="1"/>
    <xf numFmtId="0" fontId="9947" fillId="9951" borderId="9898" xfId="0" applyFont="1" applyFill="1" applyBorder="1"/>
    <xf numFmtId="14" fontId="9948" fillId="9952" borderId="9899" xfId="0" applyNumberFormat="1" applyFont="1" applyFill="1" applyBorder="1"/>
    <xf numFmtId="0" fontId="9949" fillId="9953" borderId="9900" xfId="0" applyFont="1" applyFill="1" applyBorder="1"/>
    <xf numFmtId="0" fontId="9950" fillId="9954" borderId="9901" xfId="0" applyFont="1" applyFill="1" applyBorder="1"/>
    <xf numFmtId="0" fontId="9951" fillId="9955" borderId="9902" xfId="0" applyFont="1" applyFill="1" applyBorder="1"/>
    <xf numFmtId="0" fontId="9952" fillId="9956" borderId="9903" xfId="0" applyFont="1" applyFill="1" applyBorder="1"/>
    <xf numFmtId="0" fontId="9953" fillId="9957" borderId="9904" xfId="0" applyFont="1" applyFill="1" applyBorder="1"/>
    <xf numFmtId="0" fontId="9954" fillId="9958" borderId="9905" xfId="0" applyFont="1" applyFill="1" applyBorder="1"/>
    <xf numFmtId="0" fontId="9955" fillId="9959" borderId="9906" xfId="0" applyFont="1" applyFill="1" applyBorder="1"/>
    <xf numFmtId="14" fontId="9956" fillId="9960" borderId="9907" xfId="0" applyNumberFormat="1" applyFont="1" applyFill="1" applyBorder="1"/>
    <xf numFmtId="0" fontId="9957" fillId="9961" borderId="9908" xfId="0" applyFont="1" applyFill="1" applyBorder="1"/>
    <xf numFmtId="14" fontId="9958" fillId="9962" borderId="9909" xfId="0" applyNumberFormat="1" applyFont="1" applyFill="1" applyBorder="1"/>
    <xf numFmtId="0" fontId="9959" fillId="9963" borderId="9910" xfId="0" applyFont="1" applyFill="1" applyBorder="1"/>
    <xf numFmtId="0" fontId="9960" fillId="9964" borderId="9911" xfId="0" applyFont="1" applyFill="1" applyBorder="1"/>
    <xf numFmtId="0" fontId="9961" fillId="9965" borderId="9912" xfId="0" applyFont="1" applyFill="1" applyBorder="1"/>
    <xf numFmtId="0" fontId="9962" fillId="9966" borderId="9913" xfId="0" applyFont="1" applyFill="1" applyBorder="1"/>
    <xf numFmtId="0" fontId="9963" fillId="9967" borderId="9914" xfId="0" applyFont="1" applyFill="1" applyBorder="1"/>
    <xf numFmtId="0" fontId="9964" fillId="9968" borderId="9915" xfId="0" applyFont="1" applyFill="1" applyBorder="1"/>
    <xf numFmtId="0" fontId="9965" fillId="9969" borderId="9916" xfId="0" applyFont="1" applyFill="1" applyBorder="1"/>
    <xf numFmtId="14" fontId="9966" fillId="9970" borderId="9917" xfId="0" applyNumberFormat="1" applyFont="1" applyFill="1" applyBorder="1"/>
    <xf numFmtId="0" fontId="9967" fillId="9971" borderId="9918" xfId="0" applyFont="1" applyFill="1" applyBorder="1"/>
    <xf numFmtId="14" fontId="9968" fillId="9972" borderId="9919" xfId="0" applyNumberFormat="1" applyFont="1" applyFill="1" applyBorder="1"/>
    <xf numFmtId="0" fontId="9969" fillId="9973" borderId="9920" xfId="0" applyFont="1" applyFill="1" applyBorder="1"/>
    <xf numFmtId="0" fontId="9970" fillId="9974" borderId="9921" xfId="0" applyFont="1" applyFill="1" applyBorder="1"/>
    <xf numFmtId="0" fontId="9971" fillId="9975" borderId="9922" xfId="0" applyFont="1" applyFill="1" applyBorder="1"/>
    <xf numFmtId="0" fontId="9972" fillId="9976" borderId="9923" xfId="0" applyFont="1" applyFill="1" applyBorder="1"/>
    <xf numFmtId="0" fontId="9973" fillId="9977" borderId="9924" xfId="0" applyFont="1" applyFill="1" applyBorder="1"/>
    <xf numFmtId="0" fontId="9974" fillId="9978" borderId="9925" xfId="0" applyFont="1" applyFill="1" applyBorder="1"/>
    <xf numFmtId="0" fontId="9975" fillId="9979" borderId="9926" xfId="0" applyFont="1" applyFill="1" applyBorder="1"/>
    <xf numFmtId="14" fontId="9976" fillId="9980" borderId="9927" xfId="0" applyNumberFormat="1" applyFont="1" applyFill="1" applyBorder="1"/>
    <xf numFmtId="0" fontId="9977" fillId="9981" borderId="9928" xfId="0" applyFont="1" applyFill="1" applyBorder="1"/>
    <xf numFmtId="14" fontId="9978" fillId="9982" borderId="9929" xfId="0" applyNumberFormat="1" applyFont="1" applyFill="1" applyBorder="1"/>
    <xf numFmtId="0" fontId="9979" fillId="9983" borderId="9930" xfId="0" applyFont="1" applyFill="1" applyBorder="1"/>
    <xf numFmtId="0" fontId="9980" fillId="9984" borderId="9931" xfId="0" applyFont="1" applyFill="1" applyBorder="1"/>
    <xf numFmtId="0" fontId="9981" fillId="9985" borderId="9932" xfId="0" applyFont="1" applyFill="1" applyBorder="1"/>
    <xf numFmtId="0" fontId="9982" fillId="9986" borderId="9933" xfId="0" applyFont="1" applyFill="1" applyBorder="1"/>
    <xf numFmtId="0" fontId="9983" fillId="9987" borderId="9934" xfId="0" applyFont="1" applyFill="1" applyBorder="1"/>
    <xf numFmtId="0" fontId="9984" fillId="9988" borderId="9935" xfId="0" applyFont="1" applyFill="1" applyBorder="1"/>
    <xf numFmtId="0" fontId="9985" fillId="9989" borderId="9936" xfId="0" applyFont="1" applyFill="1" applyBorder="1"/>
    <xf numFmtId="14" fontId="9986" fillId="9990" borderId="9937" xfId="0" applyNumberFormat="1" applyFont="1" applyFill="1" applyBorder="1"/>
    <xf numFmtId="0" fontId="9987" fillId="9991" borderId="9938" xfId="0" applyFont="1" applyFill="1" applyBorder="1"/>
    <xf numFmtId="14" fontId="9988" fillId="9992" borderId="9939" xfId="0" applyNumberFormat="1" applyFont="1" applyFill="1" applyBorder="1"/>
    <xf numFmtId="0" fontId="9989" fillId="9993" borderId="9940" xfId="0" applyFont="1" applyFill="1" applyBorder="1"/>
    <xf numFmtId="0" fontId="9990" fillId="9994" borderId="9941" xfId="0" applyFont="1" applyFill="1" applyBorder="1"/>
    <xf numFmtId="0" fontId="9991" fillId="9995" borderId="9942" xfId="0" applyFont="1" applyFill="1" applyBorder="1"/>
    <xf numFmtId="0" fontId="9992" fillId="9996" borderId="9943" xfId="0" applyFont="1" applyFill="1" applyBorder="1"/>
    <xf numFmtId="0" fontId="9993" fillId="9997" borderId="9944" xfId="0" applyFont="1" applyFill="1" applyBorder="1"/>
    <xf numFmtId="0" fontId="9994" fillId="9998" borderId="9945" xfId="0" applyFont="1" applyFill="1" applyBorder="1"/>
    <xf numFmtId="0" fontId="9995" fillId="9999" borderId="9946" xfId="0" applyFont="1" applyFill="1" applyBorder="1"/>
    <xf numFmtId="14" fontId="9996" fillId="10000" borderId="9947" xfId="0" applyNumberFormat="1" applyFont="1" applyFill="1" applyBorder="1"/>
    <xf numFmtId="0" fontId="9997" fillId="10001" borderId="9948" xfId="0" applyFont="1" applyFill="1" applyBorder="1"/>
    <xf numFmtId="14" fontId="9998" fillId="10002" borderId="9949" xfId="0" applyNumberFormat="1" applyFont="1" applyFill="1" applyBorder="1"/>
    <xf numFmtId="0" fontId="9999" fillId="10003" borderId="9950" xfId="0" applyFont="1" applyFill="1" applyBorder="1"/>
    <xf numFmtId="0" fontId="10000" fillId="10004" borderId="9951" xfId="0" applyFont="1" applyFill="1" applyBorder="1"/>
    <xf numFmtId="0" fontId="10001" fillId="10005" borderId="9952" xfId="0" applyFont="1" applyFill="1" applyBorder="1"/>
    <xf numFmtId="0" fontId="10002" fillId="10006" borderId="9953" xfId="0" applyFont="1" applyFill="1" applyBorder="1"/>
    <xf numFmtId="0" fontId="10003" fillId="10007" borderId="9954" xfId="0" applyFont="1" applyFill="1" applyBorder="1"/>
    <xf numFmtId="0" fontId="10004" fillId="10008" borderId="9955" xfId="0" applyFont="1" applyFill="1" applyBorder="1"/>
    <xf numFmtId="0" fontId="10005" fillId="10009" borderId="9956" xfId="0" applyFont="1" applyFill="1" applyBorder="1"/>
    <xf numFmtId="14" fontId="10006" fillId="10010" borderId="9957" xfId="0" applyNumberFormat="1" applyFont="1" applyFill="1" applyBorder="1"/>
    <xf numFmtId="0" fontId="10007" fillId="10011" borderId="9958" xfId="0" applyFont="1" applyFill="1" applyBorder="1"/>
    <xf numFmtId="14" fontId="10008" fillId="10012" borderId="9959" xfId="0" applyNumberFormat="1" applyFont="1" applyFill="1" applyBorder="1"/>
    <xf numFmtId="0" fontId="10009" fillId="10013" borderId="9960" xfId="0" applyFont="1" applyFill="1" applyBorder="1"/>
    <xf numFmtId="0" fontId="10010" fillId="10014" borderId="9961" xfId="0" applyFont="1" applyFill="1" applyBorder="1"/>
    <xf numFmtId="0" fontId="10011" fillId="10015" borderId="9962" xfId="0" applyFont="1" applyFill="1" applyBorder="1"/>
    <xf numFmtId="0" fontId="10012" fillId="10016" borderId="9963" xfId="0" applyFont="1" applyFill="1" applyBorder="1"/>
    <xf numFmtId="0" fontId="10013" fillId="10017" borderId="9964" xfId="0" applyFont="1" applyFill="1" applyBorder="1"/>
    <xf numFmtId="0" fontId="10014" fillId="10018" borderId="9965" xfId="0" applyFont="1" applyFill="1" applyBorder="1"/>
    <xf numFmtId="0" fontId="10015" fillId="10019" borderId="9966" xfId="0" applyFont="1" applyFill="1" applyBorder="1"/>
    <xf numFmtId="14" fontId="10016" fillId="10020" borderId="9967" xfId="0" applyNumberFormat="1" applyFont="1" applyFill="1" applyBorder="1"/>
    <xf numFmtId="0" fontId="10017" fillId="10021" borderId="9968" xfId="0" applyFont="1" applyFill="1" applyBorder="1"/>
    <xf numFmtId="14" fontId="10018" fillId="10022" borderId="9969" xfId="0" applyNumberFormat="1" applyFont="1" applyFill="1" applyBorder="1"/>
    <xf numFmtId="0" fontId="10019" fillId="10023" borderId="9970" xfId="0" applyFont="1" applyFill="1" applyBorder="1"/>
    <xf numFmtId="0" fontId="10020" fillId="10024" borderId="9971" xfId="0" applyFont="1" applyFill="1" applyBorder="1"/>
    <xf numFmtId="0" fontId="10021" fillId="10025" borderId="9972" xfId="0" applyFont="1" applyFill="1" applyBorder="1"/>
    <xf numFmtId="0" fontId="10022" fillId="10026" borderId="9973" xfId="0" applyFont="1" applyFill="1" applyBorder="1"/>
    <xf numFmtId="0" fontId="10023" fillId="10027" borderId="9974" xfId="0" applyFont="1" applyFill="1" applyBorder="1"/>
    <xf numFmtId="0" fontId="10024" fillId="10028" borderId="9975" xfId="0" applyFont="1" applyFill="1" applyBorder="1"/>
    <xf numFmtId="0" fontId="10025" fillId="10029" borderId="9976" xfId="0" applyFont="1" applyFill="1" applyBorder="1"/>
    <xf numFmtId="14" fontId="10026" fillId="10030" borderId="9977" xfId="0" applyNumberFormat="1" applyFont="1" applyFill="1" applyBorder="1"/>
    <xf numFmtId="0" fontId="10027" fillId="10031" borderId="9978" xfId="0" applyFont="1" applyFill="1" applyBorder="1"/>
    <xf numFmtId="14" fontId="10028" fillId="10032" borderId="9979" xfId="0" applyNumberFormat="1" applyFont="1" applyFill="1" applyBorder="1"/>
    <xf numFmtId="0" fontId="10029" fillId="10033" borderId="9980" xfId="0" applyFont="1" applyFill="1" applyBorder="1"/>
    <xf numFmtId="0" fontId="10030" fillId="10034" borderId="9981" xfId="0" applyFont="1" applyFill="1" applyBorder="1"/>
    <xf numFmtId="0" fontId="10031" fillId="10035" borderId="9982" xfId="0" applyFont="1" applyFill="1" applyBorder="1"/>
    <xf numFmtId="0" fontId="10032" fillId="10036" borderId="9983" xfId="0" applyFont="1" applyFill="1" applyBorder="1"/>
    <xf numFmtId="0" fontId="10033" fillId="10037" borderId="9984" xfId="0" applyFont="1" applyFill="1" applyBorder="1"/>
    <xf numFmtId="0" fontId="10034" fillId="10038" borderId="9985" xfId="0" applyFont="1" applyFill="1" applyBorder="1"/>
    <xf numFmtId="0" fontId="10035" fillId="10039" borderId="9986" xfId="0" applyFont="1" applyFill="1" applyBorder="1"/>
    <xf numFmtId="14" fontId="10036" fillId="10040" borderId="9987" xfId="0" applyNumberFormat="1" applyFont="1" applyFill="1" applyBorder="1"/>
    <xf numFmtId="0" fontId="10037" fillId="10041" borderId="9988" xfId="0" applyFont="1" applyFill="1" applyBorder="1"/>
    <xf numFmtId="14" fontId="10038" fillId="10042" borderId="9989" xfId="0" applyNumberFormat="1" applyFont="1" applyFill="1" applyBorder="1"/>
    <xf numFmtId="0" fontId="10039" fillId="10043" borderId="9990" xfId="0" applyFont="1" applyFill="1" applyBorder="1"/>
    <xf numFmtId="0" fontId="10040" fillId="10044" borderId="9991" xfId="0" applyFont="1" applyFill="1" applyBorder="1"/>
    <xf numFmtId="0" fontId="10041" fillId="10045" borderId="9992" xfId="0" applyFont="1" applyFill="1" applyBorder="1"/>
    <xf numFmtId="0" fontId="10042" fillId="10046" borderId="9993" xfId="0" applyFont="1" applyFill="1" applyBorder="1"/>
    <xf numFmtId="0" fontId="10043" fillId="10047" borderId="9994" xfId="0" applyFont="1" applyFill="1" applyBorder="1"/>
    <xf numFmtId="0" fontId="10044" fillId="10048" borderId="9995" xfId="0" applyFont="1" applyFill="1" applyBorder="1"/>
    <xf numFmtId="0" fontId="10045" fillId="10049" borderId="9996" xfId="0" applyFont="1" applyFill="1" applyBorder="1"/>
    <xf numFmtId="14" fontId="10046" fillId="10050" borderId="9997" xfId="0" applyNumberFormat="1" applyFont="1" applyFill="1" applyBorder="1"/>
    <xf numFmtId="0" fontId="10047" fillId="10051" borderId="9998" xfId="0" applyFont="1" applyFill="1" applyBorder="1"/>
    <xf numFmtId="14" fontId="10048" fillId="10052" borderId="9999" xfId="0" applyNumberFormat="1" applyFont="1" applyFill="1" applyBorder="1"/>
    <xf numFmtId="0" fontId="10049" fillId="10053" borderId="10000" xfId="0" applyFont="1" applyFill="1" applyBorder="1"/>
    <xf numFmtId="0" fontId="10050" fillId="10054" borderId="10001" xfId="0" applyFont="1" applyFill="1" applyBorder="1"/>
    <xf numFmtId="0" fontId="10051" fillId="10055" borderId="10002" xfId="0" applyFont="1" applyFill="1" applyBorder="1"/>
    <xf numFmtId="0" fontId="10052" fillId="10056" borderId="10003" xfId="0" applyFont="1" applyFill="1" applyBorder="1"/>
    <xf numFmtId="0" fontId="10053" fillId="10057" borderId="10004" xfId="0" applyFont="1" applyFill="1" applyBorder="1"/>
    <xf numFmtId="0" fontId="10054" fillId="10058" borderId="10005" xfId="0" applyFont="1" applyFill="1" applyBorder="1"/>
    <xf numFmtId="0" fontId="10055" fillId="10059" borderId="10006" xfId="0" applyFont="1" applyFill="1" applyBorder="1"/>
    <xf numFmtId="14" fontId="10056" fillId="10060" borderId="10007" xfId="0" applyNumberFormat="1" applyFont="1" applyFill="1" applyBorder="1"/>
    <xf numFmtId="0" fontId="10057" fillId="10061" borderId="10008" xfId="0" applyFont="1" applyFill="1" applyBorder="1"/>
    <xf numFmtId="14" fontId="10058" fillId="10062" borderId="10009" xfId="0" applyNumberFormat="1" applyFont="1" applyFill="1" applyBorder="1"/>
    <xf numFmtId="0" fontId="10059" fillId="10063" borderId="10010" xfId="0" applyFont="1" applyFill="1" applyBorder="1"/>
    <xf numFmtId="0" fontId="10060" fillId="10064" borderId="10011" xfId="0" applyFont="1" applyFill="1" applyBorder="1"/>
    <xf numFmtId="0" fontId="10061" fillId="10065" borderId="10012" xfId="0" applyFont="1" applyFill="1" applyBorder="1"/>
    <xf numFmtId="0" fontId="10062" fillId="10066" borderId="10013" xfId="0" applyFont="1" applyFill="1" applyBorder="1"/>
    <xf numFmtId="0" fontId="10063" fillId="10067" borderId="10014" xfId="0" applyFont="1" applyFill="1" applyBorder="1"/>
    <xf numFmtId="0" fontId="10064" fillId="10068" borderId="10015" xfId="0" applyFont="1" applyFill="1" applyBorder="1"/>
    <xf numFmtId="0" fontId="10065" fillId="10069" borderId="10016" xfId="0" applyFont="1" applyFill="1" applyBorder="1"/>
    <xf numFmtId="14" fontId="10066" fillId="10070" borderId="10017" xfId="0" applyNumberFormat="1" applyFont="1" applyFill="1" applyBorder="1"/>
    <xf numFmtId="0" fontId="10067" fillId="10071" borderId="10018" xfId="0" applyFont="1" applyFill="1" applyBorder="1"/>
    <xf numFmtId="14" fontId="10068" fillId="10072" borderId="10019" xfId="0" applyNumberFormat="1" applyFont="1" applyFill="1" applyBorder="1"/>
    <xf numFmtId="0" fontId="10069" fillId="10073" borderId="10020" xfId="0" applyFont="1" applyFill="1" applyBorder="1"/>
    <xf numFmtId="0" fontId="10070" fillId="10074" borderId="10021" xfId="0" applyFont="1" applyFill="1" applyBorder="1"/>
    <xf numFmtId="0" fontId="10071" fillId="10075" borderId="10022" xfId="0" applyFont="1" applyFill="1" applyBorder="1"/>
    <xf numFmtId="0" fontId="10072" fillId="10076" borderId="10023" xfId="0" applyFont="1" applyFill="1" applyBorder="1"/>
    <xf numFmtId="0" fontId="10073" fillId="10077" borderId="10024" xfId="0" applyFont="1" applyFill="1" applyBorder="1"/>
    <xf numFmtId="0" fontId="10074" fillId="10078" borderId="10025" xfId="0" applyFont="1" applyFill="1" applyBorder="1"/>
    <xf numFmtId="0" fontId="10075" fillId="10079" borderId="10026" xfId="0" applyFont="1" applyFill="1" applyBorder="1"/>
    <xf numFmtId="14" fontId="10076" fillId="10080" borderId="10027" xfId="0" applyNumberFormat="1" applyFont="1" applyFill="1" applyBorder="1"/>
    <xf numFmtId="0" fontId="10077" fillId="10081" borderId="10028" xfId="0" applyFont="1" applyFill="1" applyBorder="1"/>
    <xf numFmtId="14" fontId="10078" fillId="10082" borderId="10029" xfId="0" applyNumberFormat="1" applyFont="1" applyFill="1" applyBorder="1"/>
    <xf numFmtId="0" fontId="10079" fillId="10083" borderId="10030" xfId="0" applyFont="1" applyFill="1" applyBorder="1"/>
    <xf numFmtId="0" fontId="10080" fillId="10084" borderId="10031" xfId="0" applyFont="1" applyFill="1" applyBorder="1"/>
    <xf numFmtId="0" fontId="10081" fillId="10085" borderId="10032" xfId="0" applyFont="1" applyFill="1" applyBorder="1"/>
    <xf numFmtId="0" fontId="10082" fillId="10086" borderId="10033" xfId="0" applyFont="1" applyFill="1" applyBorder="1"/>
    <xf numFmtId="0" fontId="10083" fillId="10087" borderId="10034" xfId="0" applyFont="1" applyFill="1" applyBorder="1"/>
    <xf numFmtId="0" fontId="10084" fillId="10088" borderId="10035" xfId="0" applyFont="1" applyFill="1" applyBorder="1"/>
    <xf numFmtId="0" fontId="10085" fillId="10089" borderId="10036" xfId="0" applyFont="1" applyFill="1" applyBorder="1"/>
    <xf numFmtId="14" fontId="10086" fillId="10090" borderId="10037" xfId="0" applyNumberFormat="1" applyFont="1" applyFill="1" applyBorder="1"/>
    <xf numFmtId="0" fontId="10087" fillId="10091" borderId="10038" xfId="0" applyFont="1" applyFill="1" applyBorder="1"/>
    <xf numFmtId="14" fontId="10088" fillId="10092" borderId="10039" xfId="0" applyNumberFormat="1" applyFont="1" applyFill="1" applyBorder="1"/>
    <xf numFmtId="0" fontId="10089" fillId="10093" borderId="10040" xfId="0" applyFont="1" applyFill="1" applyBorder="1"/>
    <xf numFmtId="0" fontId="10090" fillId="10094" borderId="10041" xfId="0" applyFont="1" applyFill="1" applyBorder="1"/>
    <xf numFmtId="0" fontId="10091" fillId="10095" borderId="10042" xfId="0" applyFont="1" applyFill="1" applyBorder="1"/>
    <xf numFmtId="0" fontId="10092" fillId="10096" borderId="10043" xfId="0" applyFont="1" applyFill="1" applyBorder="1"/>
    <xf numFmtId="0" fontId="10093" fillId="10097" borderId="10044" xfId="0" applyFont="1" applyFill="1" applyBorder="1"/>
    <xf numFmtId="0" fontId="10094" fillId="10098" borderId="10045" xfId="0" applyFont="1" applyFill="1" applyBorder="1"/>
    <xf numFmtId="0" fontId="10095" fillId="10099" borderId="10046" xfId="0" applyFont="1" applyFill="1" applyBorder="1"/>
    <xf numFmtId="14" fontId="10096" fillId="10100" borderId="10047" xfId="0" applyNumberFormat="1" applyFont="1" applyFill="1" applyBorder="1"/>
    <xf numFmtId="0" fontId="10097" fillId="10101" borderId="10048" xfId="0" applyFont="1" applyFill="1" applyBorder="1"/>
    <xf numFmtId="14" fontId="10098" fillId="10102" borderId="10049" xfId="0" applyNumberFormat="1" applyFont="1" applyFill="1" applyBorder="1"/>
    <xf numFmtId="0" fontId="10099" fillId="10103" borderId="10050" xfId="0" applyFont="1" applyFill="1" applyBorder="1"/>
    <xf numFmtId="0" fontId="10100" fillId="10104" borderId="10051" xfId="0" applyFont="1" applyFill="1" applyBorder="1"/>
    <xf numFmtId="0" fontId="10101" fillId="10105" borderId="10052" xfId="0" applyFont="1" applyFill="1" applyBorder="1"/>
    <xf numFmtId="0" fontId="10102" fillId="10106" borderId="10053" xfId="0" applyFont="1" applyFill="1" applyBorder="1"/>
    <xf numFmtId="0" fontId="10103" fillId="10107" borderId="10054" xfId="0" applyFont="1" applyFill="1" applyBorder="1"/>
    <xf numFmtId="0" fontId="10104" fillId="10108" borderId="10055" xfId="0" applyFont="1" applyFill="1" applyBorder="1"/>
    <xf numFmtId="0" fontId="10105" fillId="10109" borderId="10056" xfId="0" applyFont="1" applyFill="1" applyBorder="1"/>
    <xf numFmtId="14" fontId="10106" fillId="10110" borderId="10057" xfId="0" applyNumberFormat="1" applyFont="1" applyFill="1" applyBorder="1"/>
    <xf numFmtId="0" fontId="10107" fillId="10111" borderId="10058" xfId="0" applyFont="1" applyFill="1" applyBorder="1"/>
    <xf numFmtId="14" fontId="10108" fillId="10112" borderId="10059" xfId="0" applyNumberFormat="1" applyFont="1" applyFill="1" applyBorder="1"/>
    <xf numFmtId="0" fontId="10109" fillId="10113" borderId="10060" xfId="0" applyFont="1" applyFill="1" applyBorder="1"/>
    <xf numFmtId="0" fontId="10110" fillId="10114" borderId="10061" xfId="0" applyFont="1" applyFill="1" applyBorder="1"/>
    <xf numFmtId="0" fontId="10111" fillId="10115" borderId="10062" xfId="0" applyFont="1" applyFill="1" applyBorder="1"/>
    <xf numFmtId="0" fontId="10112" fillId="10116" borderId="10063" xfId="0" applyFont="1" applyFill="1" applyBorder="1"/>
    <xf numFmtId="0" fontId="10113" fillId="10117" borderId="10064" xfId="0" applyFont="1" applyFill="1" applyBorder="1"/>
    <xf numFmtId="0" fontId="10114" fillId="10118" borderId="10065" xfId="0" applyFont="1" applyFill="1" applyBorder="1"/>
    <xf numFmtId="0" fontId="10115" fillId="10119" borderId="10066" xfId="0" applyFont="1" applyFill="1" applyBorder="1"/>
    <xf numFmtId="14" fontId="10116" fillId="10120" borderId="10067" xfId="0" applyNumberFormat="1" applyFont="1" applyFill="1" applyBorder="1"/>
    <xf numFmtId="0" fontId="10117" fillId="10121" borderId="10068" xfId="0" applyFont="1" applyFill="1" applyBorder="1"/>
    <xf numFmtId="14" fontId="10118" fillId="10122" borderId="10069" xfId="0" applyNumberFormat="1" applyFont="1" applyFill="1" applyBorder="1"/>
    <xf numFmtId="0" fontId="10119" fillId="10123" borderId="10070" xfId="0" applyFont="1" applyFill="1" applyBorder="1"/>
    <xf numFmtId="0" fontId="10120" fillId="10124" borderId="10071" xfId="0" applyFont="1" applyFill="1" applyBorder="1"/>
    <xf numFmtId="0" fontId="10121" fillId="10125" borderId="10072" xfId="0" applyFont="1" applyFill="1" applyBorder="1"/>
    <xf numFmtId="0" fontId="10122" fillId="10126" borderId="10073" xfId="0" applyFont="1" applyFill="1" applyBorder="1"/>
    <xf numFmtId="0" fontId="10123" fillId="10127" borderId="10074" xfId="0" applyFont="1" applyFill="1" applyBorder="1"/>
    <xf numFmtId="0" fontId="10124" fillId="10128" borderId="10075" xfId="0" applyFont="1" applyFill="1" applyBorder="1"/>
    <xf numFmtId="0" fontId="10125" fillId="10129" borderId="10076" xfId="0" applyFont="1" applyFill="1" applyBorder="1"/>
    <xf numFmtId="14" fontId="10126" fillId="10130" borderId="10077" xfId="0" applyNumberFormat="1" applyFont="1" applyFill="1" applyBorder="1"/>
    <xf numFmtId="0" fontId="10127" fillId="10131" borderId="10078" xfId="0" applyFont="1" applyFill="1" applyBorder="1"/>
    <xf numFmtId="14" fontId="10128" fillId="10132" borderId="10079" xfId="0" applyNumberFormat="1" applyFont="1" applyFill="1" applyBorder="1"/>
    <xf numFmtId="0" fontId="10129" fillId="10133" borderId="10080" xfId="0" applyFont="1" applyFill="1" applyBorder="1"/>
    <xf numFmtId="0" fontId="10130" fillId="10134" borderId="10081" xfId="0" applyFont="1" applyFill="1" applyBorder="1"/>
    <xf numFmtId="0" fontId="10131" fillId="10135" borderId="10082" xfId="0" applyFont="1" applyFill="1" applyBorder="1"/>
    <xf numFmtId="0" fontId="10132" fillId="10136" borderId="10083" xfId="0" applyFont="1" applyFill="1" applyBorder="1"/>
    <xf numFmtId="0" fontId="10133" fillId="10137" borderId="10084" xfId="0" applyFont="1" applyFill="1" applyBorder="1"/>
    <xf numFmtId="0" fontId="10134" fillId="10138" borderId="10085" xfId="0" applyFont="1" applyFill="1" applyBorder="1"/>
    <xf numFmtId="0" fontId="10135" fillId="10139" borderId="10086" xfId="0" applyFont="1" applyFill="1" applyBorder="1"/>
    <xf numFmtId="14" fontId="10136" fillId="10140" borderId="10087" xfId="0" applyNumberFormat="1" applyFont="1" applyFill="1" applyBorder="1"/>
    <xf numFmtId="0" fontId="10137" fillId="10141" borderId="10088" xfId="0" applyFont="1" applyFill="1" applyBorder="1"/>
    <xf numFmtId="14" fontId="10138" fillId="10142" borderId="10089" xfId="0" applyNumberFormat="1" applyFont="1" applyFill="1" applyBorder="1"/>
    <xf numFmtId="0" fontId="10139" fillId="10143" borderId="10090" xfId="0" applyFont="1" applyFill="1" applyBorder="1"/>
    <xf numFmtId="0" fontId="10140" fillId="10144" borderId="10091" xfId="0" applyFont="1" applyFill="1" applyBorder="1"/>
    <xf numFmtId="0" fontId="10141" fillId="10145" borderId="10092" xfId="0" applyFont="1" applyFill="1" applyBorder="1"/>
    <xf numFmtId="0" fontId="10142" fillId="10146" borderId="10093" xfId="0" applyFont="1" applyFill="1" applyBorder="1"/>
    <xf numFmtId="0" fontId="10143" fillId="10147" borderId="10094" xfId="0" applyFont="1" applyFill="1" applyBorder="1"/>
    <xf numFmtId="0" fontId="10144" fillId="10148" borderId="10095" xfId="0" applyFont="1" applyFill="1" applyBorder="1"/>
    <xf numFmtId="0" fontId="10145" fillId="10149" borderId="10096" xfId="0" applyFont="1" applyFill="1" applyBorder="1"/>
    <xf numFmtId="14" fontId="10146" fillId="10150" borderId="10097" xfId="0" applyNumberFormat="1" applyFont="1" applyFill="1" applyBorder="1"/>
    <xf numFmtId="0" fontId="10147" fillId="10151" borderId="10098" xfId="0" applyFont="1" applyFill="1" applyBorder="1"/>
    <xf numFmtId="14" fontId="10148" fillId="10152" borderId="10099" xfId="0" applyNumberFormat="1" applyFont="1" applyFill="1" applyBorder="1"/>
    <xf numFmtId="0" fontId="10149" fillId="10153" borderId="10100" xfId="0" applyFont="1" applyFill="1" applyBorder="1"/>
    <xf numFmtId="0" fontId="10150" fillId="10154" borderId="10101" xfId="0" applyFont="1" applyFill="1" applyBorder="1"/>
    <xf numFmtId="0" fontId="10151" fillId="10155" borderId="10102" xfId="0" applyFont="1" applyFill="1" applyBorder="1"/>
    <xf numFmtId="0" fontId="10152" fillId="10156" borderId="10103" xfId="0" applyFont="1" applyFill="1" applyBorder="1"/>
    <xf numFmtId="0" fontId="10153" fillId="10157" borderId="10104" xfId="0" applyFont="1" applyFill="1" applyBorder="1"/>
    <xf numFmtId="0" fontId="10154" fillId="10158" borderId="10105" xfId="0" applyFont="1" applyFill="1" applyBorder="1"/>
    <xf numFmtId="0" fontId="10155" fillId="10159" borderId="10106" xfId="0" applyFont="1" applyFill="1" applyBorder="1"/>
    <xf numFmtId="14" fontId="10156" fillId="10160" borderId="10107" xfId="0" applyNumberFormat="1" applyFont="1" applyFill="1" applyBorder="1"/>
    <xf numFmtId="0" fontId="10157" fillId="10161" borderId="10108" xfId="0" applyFont="1" applyFill="1" applyBorder="1"/>
    <xf numFmtId="14" fontId="10158" fillId="10162" borderId="10109" xfId="0" applyNumberFormat="1" applyFont="1" applyFill="1" applyBorder="1"/>
    <xf numFmtId="0" fontId="10159" fillId="10163" borderId="10110" xfId="0" applyFont="1" applyFill="1" applyBorder="1"/>
    <xf numFmtId="0" fontId="10160" fillId="10164" borderId="10111" xfId="0" applyFont="1" applyFill="1" applyBorder="1"/>
    <xf numFmtId="0" fontId="10161" fillId="10165" borderId="10112" xfId="0" applyFont="1" applyFill="1" applyBorder="1"/>
    <xf numFmtId="0" fontId="10162" fillId="10166" borderId="10113" xfId="0" applyFont="1" applyFill="1" applyBorder="1"/>
    <xf numFmtId="0" fontId="10163" fillId="10167" borderId="10114" xfId="0" applyFont="1" applyFill="1" applyBorder="1"/>
    <xf numFmtId="0" fontId="10164" fillId="10168" borderId="10115" xfId="0" applyFont="1" applyFill="1" applyBorder="1"/>
    <xf numFmtId="0" fontId="10165" fillId="10169" borderId="10116" xfId="0" applyFont="1" applyFill="1" applyBorder="1"/>
    <xf numFmtId="14" fontId="10166" fillId="10170" borderId="10117" xfId="0" applyNumberFormat="1" applyFont="1" applyFill="1" applyBorder="1"/>
    <xf numFmtId="0" fontId="10167" fillId="10171" borderId="10118" xfId="0" applyFont="1" applyFill="1" applyBorder="1"/>
    <xf numFmtId="14" fontId="10168" fillId="10172" borderId="10119" xfId="0" applyNumberFormat="1" applyFont="1" applyFill="1" applyBorder="1"/>
    <xf numFmtId="0" fontId="10169" fillId="10173" borderId="10120" xfId="0" applyFont="1" applyFill="1" applyBorder="1"/>
    <xf numFmtId="0" fontId="10170" fillId="10174" borderId="10121" xfId="0" applyFont="1" applyFill="1" applyBorder="1"/>
    <xf numFmtId="0" fontId="10171" fillId="10175" borderId="10122" xfId="0" applyFont="1" applyFill="1" applyBorder="1"/>
    <xf numFmtId="0" fontId="10172" fillId="10176" borderId="10123" xfId="0" applyFont="1" applyFill="1" applyBorder="1"/>
    <xf numFmtId="0" fontId="10173" fillId="10177" borderId="10124" xfId="0" applyFont="1" applyFill="1" applyBorder="1"/>
    <xf numFmtId="0" fontId="10174" fillId="10178" borderId="10125" xfId="0" applyFont="1" applyFill="1" applyBorder="1"/>
    <xf numFmtId="0" fontId="10175" fillId="10179" borderId="10126" xfId="0" applyFont="1" applyFill="1" applyBorder="1"/>
    <xf numFmtId="14" fontId="10176" fillId="10180" borderId="10127" xfId="0" applyNumberFormat="1" applyFont="1" applyFill="1" applyBorder="1"/>
    <xf numFmtId="0" fontId="10177" fillId="10181" borderId="10128" xfId="0" applyFont="1" applyFill="1" applyBorder="1"/>
    <xf numFmtId="14" fontId="10178" fillId="10182" borderId="10129" xfId="0" applyNumberFormat="1" applyFont="1" applyFill="1" applyBorder="1"/>
    <xf numFmtId="0" fontId="10179" fillId="10183" borderId="10130" xfId="0" applyFont="1" applyFill="1" applyBorder="1"/>
    <xf numFmtId="0" fontId="10180" fillId="10184" borderId="10131" xfId="0" applyFont="1" applyFill="1" applyBorder="1"/>
    <xf numFmtId="0" fontId="10181" fillId="10185" borderId="10132" xfId="0" applyFont="1" applyFill="1" applyBorder="1"/>
    <xf numFmtId="0" fontId="10182" fillId="10186" borderId="10133" xfId="0" applyFont="1" applyFill="1" applyBorder="1"/>
    <xf numFmtId="0" fontId="10183" fillId="10187" borderId="10134" xfId="0" applyFont="1" applyFill="1" applyBorder="1"/>
    <xf numFmtId="0" fontId="10184" fillId="10188" borderId="10135" xfId="0" applyFont="1" applyFill="1" applyBorder="1"/>
    <xf numFmtId="0" fontId="10185" fillId="10189" borderId="10136" xfId="0" applyFont="1" applyFill="1" applyBorder="1"/>
    <xf numFmtId="14" fontId="10186" fillId="10190" borderId="10137" xfId="0" applyNumberFormat="1" applyFont="1" applyFill="1" applyBorder="1"/>
    <xf numFmtId="0" fontId="10187" fillId="10191" borderId="10138" xfId="0" applyFont="1" applyFill="1" applyBorder="1"/>
    <xf numFmtId="14" fontId="10188" fillId="10192" borderId="10139" xfId="0" applyNumberFormat="1" applyFont="1" applyFill="1" applyBorder="1"/>
    <xf numFmtId="0" fontId="10189" fillId="10193" borderId="10140" xfId="0" applyFont="1" applyFill="1" applyBorder="1"/>
    <xf numFmtId="0" fontId="10190" fillId="10194" borderId="10141" xfId="0" applyFont="1" applyFill="1" applyBorder="1"/>
    <xf numFmtId="0" fontId="10191" fillId="10195" borderId="10142" xfId="0" applyFont="1" applyFill="1" applyBorder="1"/>
    <xf numFmtId="0" fontId="10192" fillId="10196" borderId="10143" xfId="0" applyFont="1" applyFill="1" applyBorder="1"/>
    <xf numFmtId="0" fontId="10193" fillId="10197" borderId="10144" xfId="0" applyFont="1" applyFill="1" applyBorder="1"/>
    <xf numFmtId="0" fontId="10194" fillId="10198" borderId="10145" xfId="0" applyFont="1" applyFill="1" applyBorder="1"/>
    <xf numFmtId="0" fontId="10195" fillId="10199" borderId="10146" xfId="0" applyFont="1" applyFill="1" applyBorder="1"/>
    <xf numFmtId="14" fontId="10196" fillId="10200" borderId="10147" xfId="0" applyNumberFormat="1" applyFont="1" applyFill="1" applyBorder="1"/>
    <xf numFmtId="0" fontId="10197" fillId="10201" borderId="10148" xfId="0" applyFont="1" applyFill="1" applyBorder="1"/>
    <xf numFmtId="14" fontId="10198" fillId="10202" borderId="10149" xfId="0" applyNumberFormat="1" applyFont="1" applyFill="1" applyBorder="1"/>
    <xf numFmtId="0" fontId="10199" fillId="10203" borderId="10150" xfId="0" applyFont="1" applyFill="1" applyBorder="1"/>
    <xf numFmtId="0" fontId="10200" fillId="10204" borderId="10151" xfId="0" applyFont="1" applyFill="1" applyBorder="1"/>
    <xf numFmtId="0" fontId="10201" fillId="10205" borderId="10152" xfId="0" applyFont="1" applyFill="1" applyBorder="1"/>
    <xf numFmtId="0" fontId="10202" fillId="10206" borderId="10153" xfId="0" applyFont="1" applyFill="1" applyBorder="1"/>
    <xf numFmtId="0" fontId="10203" fillId="10207" borderId="10154" xfId="0" applyFont="1" applyFill="1" applyBorder="1"/>
    <xf numFmtId="0" fontId="10204" fillId="10208" borderId="10155" xfId="0" applyFont="1" applyFill="1" applyBorder="1"/>
    <xf numFmtId="0" fontId="10205" fillId="10209" borderId="10156" xfId="0" applyFont="1" applyFill="1" applyBorder="1"/>
    <xf numFmtId="14" fontId="10206" fillId="10210" borderId="10157" xfId="0" applyNumberFormat="1" applyFont="1" applyFill="1" applyBorder="1"/>
    <xf numFmtId="0" fontId="10207" fillId="10211" borderId="10158" xfId="0" applyFont="1" applyFill="1" applyBorder="1"/>
    <xf numFmtId="14" fontId="10208" fillId="10212" borderId="10159" xfId="0" applyNumberFormat="1" applyFont="1" applyFill="1" applyBorder="1"/>
    <xf numFmtId="0" fontId="10209" fillId="10213" borderId="10160" xfId="0" applyFont="1" applyFill="1" applyBorder="1"/>
    <xf numFmtId="0" fontId="10210" fillId="10214" borderId="10161" xfId="0" applyFont="1" applyFill="1" applyBorder="1"/>
    <xf numFmtId="0" fontId="10211" fillId="10215" borderId="10162" xfId="0" applyFont="1" applyFill="1" applyBorder="1"/>
    <xf numFmtId="0" fontId="10212" fillId="10216" borderId="10163" xfId="0" applyFont="1" applyFill="1" applyBorder="1"/>
    <xf numFmtId="0" fontId="10213" fillId="10217" borderId="10164" xfId="0" applyFont="1" applyFill="1" applyBorder="1"/>
    <xf numFmtId="0" fontId="10214" fillId="10218" borderId="10165" xfId="0" applyFont="1" applyFill="1" applyBorder="1"/>
    <xf numFmtId="0" fontId="10215" fillId="10219" borderId="10166" xfId="0" applyFont="1" applyFill="1" applyBorder="1"/>
    <xf numFmtId="14" fontId="10216" fillId="10220" borderId="10167" xfId="0" applyNumberFormat="1" applyFont="1" applyFill="1" applyBorder="1"/>
    <xf numFmtId="0" fontId="10217" fillId="10221" borderId="10168" xfId="0" applyFont="1" applyFill="1" applyBorder="1"/>
    <xf numFmtId="14" fontId="10218" fillId="10222" borderId="10169" xfId="0" applyNumberFormat="1" applyFont="1" applyFill="1" applyBorder="1"/>
    <xf numFmtId="0" fontId="10219" fillId="10223" borderId="10170" xfId="0" applyFont="1" applyFill="1" applyBorder="1"/>
    <xf numFmtId="0" fontId="10220" fillId="10224" borderId="10171" xfId="0" applyFont="1" applyFill="1" applyBorder="1"/>
    <xf numFmtId="0" fontId="10221" fillId="10225" borderId="10172" xfId="0" applyFont="1" applyFill="1" applyBorder="1"/>
    <xf numFmtId="0" fontId="10222" fillId="10226" borderId="10173" xfId="0" applyFont="1" applyFill="1" applyBorder="1"/>
    <xf numFmtId="0" fontId="10223" fillId="10227" borderId="10174" xfId="0" applyFont="1" applyFill="1" applyBorder="1"/>
    <xf numFmtId="0" fontId="10224" fillId="10228" borderId="10175" xfId="0" applyFont="1" applyFill="1" applyBorder="1"/>
    <xf numFmtId="0" fontId="10225" fillId="10229" borderId="10176" xfId="0" applyFont="1" applyFill="1" applyBorder="1"/>
    <xf numFmtId="14" fontId="10226" fillId="10230" borderId="10177" xfId="0" applyNumberFormat="1" applyFont="1" applyFill="1" applyBorder="1"/>
    <xf numFmtId="0" fontId="10227" fillId="10231" borderId="10178" xfId="0" applyFont="1" applyFill="1" applyBorder="1"/>
    <xf numFmtId="14" fontId="10228" fillId="10232" borderId="10179" xfId="0" applyNumberFormat="1" applyFont="1" applyFill="1" applyBorder="1"/>
    <xf numFmtId="0" fontId="10229" fillId="10233" borderId="10180" xfId="0" applyFont="1" applyFill="1" applyBorder="1"/>
    <xf numFmtId="0" fontId="10230" fillId="10234" borderId="10181" xfId="0" applyFont="1" applyFill="1" applyBorder="1"/>
    <xf numFmtId="0" fontId="10231" fillId="10235" borderId="10182" xfId="0" applyFont="1" applyFill="1" applyBorder="1"/>
    <xf numFmtId="0" fontId="10232" fillId="10236" borderId="10183" xfId="0" applyFont="1" applyFill="1" applyBorder="1"/>
    <xf numFmtId="0" fontId="10233" fillId="10237" borderId="10184" xfId="0" applyFont="1" applyFill="1" applyBorder="1"/>
    <xf numFmtId="0" fontId="10234" fillId="10238" borderId="10185" xfId="0" applyFont="1" applyFill="1" applyBorder="1"/>
    <xf numFmtId="0" fontId="10235" fillId="10239" borderId="10186" xfId="0" applyFont="1" applyFill="1" applyBorder="1"/>
    <xf numFmtId="14" fontId="10236" fillId="10240" borderId="10187" xfId="0" applyNumberFormat="1" applyFont="1" applyFill="1" applyBorder="1"/>
    <xf numFmtId="0" fontId="10237" fillId="10241" borderId="10188" xfId="0" applyFont="1" applyFill="1" applyBorder="1"/>
    <xf numFmtId="14" fontId="10238" fillId="10242" borderId="10189" xfId="0" applyNumberFormat="1" applyFont="1" applyFill="1" applyBorder="1"/>
    <xf numFmtId="0" fontId="10239" fillId="10243" borderId="10190" xfId="0" applyFont="1" applyFill="1" applyBorder="1"/>
    <xf numFmtId="0" fontId="10240" fillId="10244" borderId="10191" xfId="0" applyFont="1" applyFill="1" applyBorder="1"/>
    <xf numFmtId="0" fontId="10241" fillId="10245" borderId="10192" xfId="0" applyFont="1" applyFill="1" applyBorder="1"/>
    <xf numFmtId="0" fontId="10242" fillId="10246" borderId="10193" xfId="0" applyFont="1" applyFill="1" applyBorder="1"/>
    <xf numFmtId="0" fontId="10243" fillId="10247" borderId="10194" xfId="0" applyFont="1" applyFill="1" applyBorder="1"/>
    <xf numFmtId="0" fontId="10244" fillId="10248" borderId="10195" xfId="0" applyFont="1" applyFill="1" applyBorder="1"/>
    <xf numFmtId="0" fontId="10245" fillId="10249" borderId="10196" xfId="0" applyFont="1" applyFill="1" applyBorder="1"/>
    <xf numFmtId="14" fontId="10246" fillId="10250" borderId="10197" xfId="0" applyNumberFormat="1" applyFont="1" applyFill="1" applyBorder="1"/>
    <xf numFmtId="0" fontId="10247" fillId="10251" borderId="10198" xfId="0" applyFont="1" applyFill="1" applyBorder="1"/>
    <xf numFmtId="14" fontId="10248" fillId="10252" borderId="10199" xfId="0" applyNumberFormat="1" applyFont="1" applyFill="1" applyBorder="1"/>
    <xf numFmtId="0" fontId="10249" fillId="10253" borderId="10200" xfId="0" applyFont="1" applyFill="1" applyBorder="1"/>
    <xf numFmtId="0" fontId="10250" fillId="10254" borderId="10201" xfId="0" applyFont="1" applyFill="1" applyBorder="1"/>
    <xf numFmtId="0" fontId="10251" fillId="10255" borderId="10202" xfId="0" applyFont="1" applyFill="1" applyBorder="1"/>
    <xf numFmtId="0" fontId="10252" fillId="10256" borderId="10203" xfId="0" applyFont="1" applyFill="1" applyBorder="1"/>
    <xf numFmtId="0" fontId="10253" fillId="10257" borderId="10204" xfId="0" applyFont="1" applyFill="1" applyBorder="1"/>
    <xf numFmtId="0" fontId="10254" fillId="10258" borderId="10205" xfId="0" applyFont="1" applyFill="1" applyBorder="1"/>
    <xf numFmtId="0" fontId="10255" fillId="10259" borderId="10206" xfId="0" applyFont="1" applyFill="1" applyBorder="1"/>
    <xf numFmtId="14" fontId="10256" fillId="10260" borderId="10207" xfId="0" applyNumberFormat="1" applyFont="1" applyFill="1" applyBorder="1"/>
    <xf numFmtId="0" fontId="10257" fillId="10261" borderId="10208" xfId="0" applyFont="1" applyFill="1" applyBorder="1"/>
    <xf numFmtId="14" fontId="10258" fillId="10262" borderId="10209" xfId="0" applyNumberFormat="1" applyFont="1" applyFill="1" applyBorder="1"/>
    <xf numFmtId="0" fontId="10259" fillId="10263" borderId="10210" xfId="0" applyFont="1" applyFill="1" applyBorder="1"/>
    <xf numFmtId="0" fontId="10260" fillId="10264" borderId="10211" xfId="0" applyFont="1" applyFill="1" applyBorder="1"/>
    <xf numFmtId="0" fontId="10261" fillId="10265" borderId="10212" xfId="0" applyFont="1" applyFill="1" applyBorder="1"/>
    <xf numFmtId="0" fontId="10262" fillId="10266" borderId="10213" xfId="0" applyFont="1" applyFill="1" applyBorder="1"/>
    <xf numFmtId="0" fontId="10263" fillId="10267" borderId="10214" xfId="0" applyFont="1" applyFill="1" applyBorder="1"/>
    <xf numFmtId="0" fontId="10264" fillId="10268" borderId="10215" xfId="0" applyFont="1" applyFill="1" applyBorder="1"/>
    <xf numFmtId="0" fontId="10265" fillId="10269" borderId="10216" xfId="0" applyFont="1" applyFill="1" applyBorder="1"/>
    <xf numFmtId="14" fontId="10266" fillId="10270" borderId="10217" xfId="0" applyNumberFormat="1" applyFont="1" applyFill="1" applyBorder="1"/>
    <xf numFmtId="0" fontId="10267" fillId="10271" borderId="10218" xfId="0" applyFont="1" applyFill="1" applyBorder="1"/>
    <xf numFmtId="14" fontId="10268" fillId="10272" borderId="10219" xfId="0" applyNumberFormat="1" applyFont="1" applyFill="1" applyBorder="1"/>
    <xf numFmtId="0" fontId="10269" fillId="10273" borderId="10220" xfId="0" applyFont="1" applyFill="1" applyBorder="1"/>
    <xf numFmtId="0" fontId="10270" fillId="10274" borderId="10221" xfId="0" applyFont="1" applyFill="1" applyBorder="1"/>
    <xf numFmtId="0" fontId="10271" fillId="10275" borderId="10222" xfId="0" applyFont="1" applyFill="1" applyBorder="1"/>
    <xf numFmtId="0" fontId="10272" fillId="10276" borderId="10223" xfId="0" applyFont="1" applyFill="1" applyBorder="1"/>
    <xf numFmtId="0" fontId="10273" fillId="10277" borderId="10224" xfId="0" applyFont="1" applyFill="1" applyBorder="1"/>
    <xf numFmtId="0" fontId="10274" fillId="10278" borderId="10225" xfId="0" applyFont="1" applyFill="1" applyBorder="1"/>
    <xf numFmtId="0" fontId="10275" fillId="10279" borderId="10226" xfId="0" applyFont="1" applyFill="1" applyBorder="1"/>
    <xf numFmtId="14" fontId="10276" fillId="10280" borderId="10227" xfId="0" applyNumberFormat="1" applyFont="1" applyFill="1" applyBorder="1"/>
    <xf numFmtId="0" fontId="10277" fillId="10281" borderId="10228" xfId="0" applyFont="1" applyFill="1" applyBorder="1"/>
    <xf numFmtId="14" fontId="10278" fillId="10282" borderId="10229" xfId="0" applyNumberFormat="1" applyFont="1" applyFill="1" applyBorder="1"/>
    <xf numFmtId="0" fontId="10279" fillId="10283" borderId="10230" xfId="0" applyFont="1" applyFill="1" applyBorder="1"/>
    <xf numFmtId="0" fontId="10280" fillId="10284" borderId="10231" xfId="0" applyFont="1" applyFill="1" applyBorder="1"/>
    <xf numFmtId="0" fontId="10281" fillId="10285" borderId="10232" xfId="0" applyFont="1" applyFill="1" applyBorder="1"/>
    <xf numFmtId="0" fontId="10282" fillId="10286" borderId="10233" xfId="0" applyFont="1" applyFill="1" applyBorder="1"/>
    <xf numFmtId="0" fontId="10283" fillId="10287" borderId="10234" xfId="0" applyFont="1" applyFill="1" applyBorder="1"/>
    <xf numFmtId="0" fontId="10284" fillId="10288" borderId="10235" xfId="0" applyFont="1" applyFill="1" applyBorder="1"/>
    <xf numFmtId="0" fontId="10285" fillId="10289" borderId="10236" xfId="0" applyFont="1" applyFill="1" applyBorder="1"/>
    <xf numFmtId="14" fontId="10286" fillId="10290" borderId="10237" xfId="0" applyNumberFormat="1" applyFont="1" applyFill="1" applyBorder="1"/>
    <xf numFmtId="0" fontId="10287" fillId="10291" borderId="10238" xfId="0" applyFont="1" applyFill="1" applyBorder="1"/>
    <xf numFmtId="14" fontId="10288" fillId="10292" borderId="10239" xfId="0" applyNumberFormat="1" applyFont="1" applyFill="1" applyBorder="1"/>
    <xf numFmtId="0" fontId="10289" fillId="10293" borderId="10240" xfId="0" applyFont="1" applyFill="1" applyBorder="1"/>
    <xf numFmtId="0" fontId="10290" fillId="10294" borderId="10241" xfId="0" applyFont="1" applyFill="1" applyBorder="1"/>
    <xf numFmtId="0" fontId="10291" fillId="10295" borderId="10242" xfId="0" applyFont="1" applyFill="1" applyBorder="1"/>
    <xf numFmtId="0" fontId="10292" fillId="10296" borderId="10243" xfId="0" applyFont="1" applyFill="1" applyBorder="1"/>
    <xf numFmtId="0" fontId="10293" fillId="10297" borderId="10244" xfId="0" applyFont="1" applyFill="1" applyBorder="1"/>
    <xf numFmtId="0" fontId="10294" fillId="10298" borderId="10245" xfId="0" applyFont="1" applyFill="1" applyBorder="1"/>
    <xf numFmtId="0" fontId="10295" fillId="10299" borderId="10246" xfId="0" applyFont="1" applyFill="1" applyBorder="1"/>
    <xf numFmtId="14" fontId="10296" fillId="10300" borderId="10247" xfId="0" applyNumberFormat="1" applyFont="1" applyFill="1" applyBorder="1"/>
    <xf numFmtId="0" fontId="10297" fillId="10301" borderId="10248" xfId="0" applyFont="1" applyFill="1" applyBorder="1"/>
    <xf numFmtId="14" fontId="10298" fillId="10302" borderId="10249" xfId="0" applyNumberFormat="1" applyFont="1" applyFill="1" applyBorder="1"/>
    <xf numFmtId="0" fontId="10299" fillId="10303" borderId="10250" xfId="0" applyFont="1" applyFill="1" applyBorder="1"/>
    <xf numFmtId="0" fontId="10300" fillId="10304" borderId="10251" xfId="0" applyFont="1" applyFill="1" applyBorder="1"/>
    <xf numFmtId="0" fontId="10301" fillId="10305" borderId="10252" xfId="0" applyFont="1" applyFill="1" applyBorder="1"/>
    <xf numFmtId="0" fontId="10302" fillId="10306" borderId="10253" xfId="0" applyFont="1" applyFill="1" applyBorder="1"/>
    <xf numFmtId="0" fontId="10303" fillId="10307" borderId="10254" xfId="0" applyFont="1" applyFill="1" applyBorder="1"/>
    <xf numFmtId="0" fontId="10304" fillId="10308" borderId="10255" xfId="0" applyFont="1" applyFill="1" applyBorder="1"/>
    <xf numFmtId="0" fontId="10305" fillId="10309" borderId="10256" xfId="0" applyFont="1" applyFill="1" applyBorder="1"/>
    <xf numFmtId="14" fontId="10306" fillId="10310" borderId="10257" xfId="0" applyNumberFormat="1" applyFont="1" applyFill="1" applyBorder="1"/>
    <xf numFmtId="0" fontId="10307" fillId="10311" borderId="10258" xfId="0" applyFont="1" applyFill="1" applyBorder="1"/>
    <xf numFmtId="14" fontId="10308" fillId="10312" borderId="10259" xfId="0" applyNumberFormat="1" applyFont="1" applyFill="1" applyBorder="1"/>
    <xf numFmtId="0" fontId="10309" fillId="10313" borderId="10260" xfId="0" applyFont="1" applyFill="1" applyBorder="1"/>
    <xf numFmtId="0" fontId="10310" fillId="10314" borderId="10261" xfId="0" applyFont="1" applyFill="1" applyBorder="1"/>
    <xf numFmtId="0" fontId="10311" fillId="10315" borderId="10262" xfId="0" applyFont="1" applyFill="1" applyBorder="1"/>
    <xf numFmtId="0" fontId="10312" fillId="10316" borderId="10263" xfId="0" applyFont="1" applyFill="1" applyBorder="1"/>
    <xf numFmtId="0" fontId="10313" fillId="10317" borderId="10264" xfId="0" applyFont="1" applyFill="1" applyBorder="1"/>
    <xf numFmtId="0" fontId="10314" fillId="10318" borderId="10265" xfId="0" applyFont="1" applyFill="1" applyBorder="1"/>
    <xf numFmtId="0" fontId="10315" fillId="10319" borderId="10266" xfId="0" applyFont="1" applyFill="1" applyBorder="1"/>
    <xf numFmtId="14" fontId="10316" fillId="10320" borderId="10267" xfId="0" applyNumberFormat="1" applyFont="1" applyFill="1" applyBorder="1"/>
    <xf numFmtId="0" fontId="10317" fillId="10321" borderId="10268" xfId="0" applyFont="1" applyFill="1" applyBorder="1"/>
    <xf numFmtId="14" fontId="10318" fillId="10322" borderId="10269" xfId="0" applyNumberFormat="1" applyFont="1" applyFill="1" applyBorder="1"/>
    <xf numFmtId="0" fontId="10319" fillId="10323" borderId="10270" xfId="0" applyFont="1" applyFill="1" applyBorder="1"/>
    <xf numFmtId="0" fontId="10320" fillId="10324" borderId="10271" xfId="0" applyFont="1" applyFill="1" applyBorder="1"/>
    <xf numFmtId="0" fontId="10321" fillId="10325" borderId="10272" xfId="0" applyFont="1" applyFill="1" applyBorder="1"/>
    <xf numFmtId="0" fontId="10322" fillId="10326" borderId="10273" xfId="0" applyFont="1" applyFill="1" applyBorder="1"/>
    <xf numFmtId="0" fontId="10323" fillId="10327" borderId="10274" xfId="0" applyFont="1" applyFill="1" applyBorder="1"/>
    <xf numFmtId="0" fontId="10324" fillId="10328" borderId="10275" xfId="0" applyFont="1" applyFill="1" applyBorder="1"/>
    <xf numFmtId="0" fontId="10325" fillId="10329" borderId="10276" xfId="0" applyFont="1" applyFill="1" applyBorder="1"/>
    <xf numFmtId="14" fontId="10326" fillId="10330" borderId="10277" xfId="0" applyNumberFormat="1" applyFont="1" applyFill="1" applyBorder="1"/>
    <xf numFmtId="0" fontId="10327" fillId="10331" borderId="10278" xfId="0" applyFont="1" applyFill="1" applyBorder="1"/>
    <xf numFmtId="14" fontId="10328" fillId="10332" borderId="10279" xfId="0" applyNumberFormat="1" applyFont="1" applyFill="1" applyBorder="1"/>
    <xf numFmtId="0" fontId="10329" fillId="10333" borderId="10280" xfId="0" applyFont="1" applyFill="1" applyBorder="1"/>
    <xf numFmtId="0" fontId="10330" fillId="10334" borderId="10281" xfId="0" applyFont="1" applyFill="1" applyBorder="1"/>
    <xf numFmtId="0" fontId="10331" fillId="10335" borderId="10282" xfId="0" applyFont="1" applyFill="1" applyBorder="1"/>
    <xf numFmtId="0" fontId="10332" fillId="10336" borderId="10283" xfId="0" applyFont="1" applyFill="1" applyBorder="1"/>
    <xf numFmtId="0" fontId="10333" fillId="10337" borderId="10284" xfId="0" applyFont="1" applyFill="1" applyBorder="1"/>
    <xf numFmtId="0" fontId="10334" fillId="10338" borderId="10285" xfId="0" applyFont="1" applyFill="1" applyBorder="1"/>
    <xf numFmtId="0" fontId="10335" fillId="10339" borderId="10286" xfId="0" applyFont="1" applyFill="1" applyBorder="1"/>
    <xf numFmtId="14" fontId="10336" fillId="10340" borderId="10287" xfId="0" applyNumberFormat="1" applyFont="1" applyFill="1" applyBorder="1"/>
    <xf numFmtId="0" fontId="10337" fillId="10341" borderId="10288" xfId="0" applyFont="1" applyFill="1" applyBorder="1"/>
    <xf numFmtId="14" fontId="10338" fillId="10342" borderId="10289" xfId="0" applyNumberFormat="1" applyFont="1" applyFill="1" applyBorder="1"/>
    <xf numFmtId="0" fontId="10339" fillId="10343" borderId="10290" xfId="0" applyFont="1" applyFill="1" applyBorder="1"/>
    <xf numFmtId="0" fontId="10340" fillId="10344" borderId="10291" xfId="0" applyFont="1" applyFill="1" applyBorder="1"/>
    <xf numFmtId="0" fontId="10341" fillId="10345" borderId="10292" xfId="0" applyFont="1" applyFill="1" applyBorder="1"/>
    <xf numFmtId="0" fontId="10342" fillId="10346" borderId="10293" xfId="0" applyFont="1" applyFill="1" applyBorder="1"/>
    <xf numFmtId="0" fontId="10343" fillId="10347" borderId="10294" xfId="0" applyFont="1" applyFill="1" applyBorder="1"/>
    <xf numFmtId="0" fontId="10344" fillId="10348" borderId="10295" xfId="0" applyFont="1" applyFill="1" applyBorder="1"/>
    <xf numFmtId="0" fontId="10345" fillId="10349" borderId="10296" xfId="0" applyFont="1" applyFill="1" applyBorder="1"/>
    <xf numFmtId="14" fontId="10346" fillId="10350" borderId="10297" xfId="0" applyNumberFormat="1" applyFont="1" applyFill="1" applyBorder="1"/>
    <xf numFmtId="0" fontId="10347" fillId="10351" borderId="10298" xfId="0" applyFont="1" applyFill="1" applyBorder="1"/>
    <xf numFmtId="14" fontId="10348" fillId="10352" borderId="10299" xfId="0" applyNumberFormat="1" applyFont="1" applyFill="1" applyBorder="1"/>
    <xf numFmtId="0" fontId="10349" fillId="10353" borderId="10300" xfId="0" applyFont="1" applyFill="1" applyBorder="1"/>
    <xf numFmtId="0" fontId="10350" fillId="10354" borderId="10301" xfId="0" applyFont="1" applyFill="1" applyBorder="1"/>
    <xf numFmtId="0" fontId="10351" fillId="10355" borderId="10302" xfId="0" applyFont="1" applyFill="1" applyBorder="1"/>
    <xf numFmtId="0" fontId="10352" fillId="10356" borderId="10303" xfId="0" applyFont="1" applyFill="1" applyBorder="1"/>
    <xf numFmtId="0" fontId="10353" fillId="10357" borderId="10304" xfId="0" applyFont="1" applyFill="1" applyBorder="1"/>
    <xf numFmtId="0" fontId="10354" fillId="10358" borderId="10305" xfId="0" applyFont="1" applyFill="1" applyBorder="1"/>
    <xf numFmtId="0" fontId="10355" fillId="10359" borderId="10306" xfId="0" applyFont="1" applyFill="1" applyBorder="1"/>
    <xf numFmtId="14" fontId="10356" fillId="10360" borderId="10307" xfId="0" applyNumberFormat="1" applyFont="1" applyFill="1" applyBorder="1"/>
    <xf numFmtId="0" fontId="10357" fillId="10361" borderId="10308" xfId="0" applyFont="1" applyFill="1" applyBorder="1"/>
    <xf numFmtId="14" fontId="10358" fillId="10362" borderId="10309" xfId="0" applyNumberFormat="1" applyFont="1" applyFill="1" applyBorder="1"/>
    <xf numFmtId="0" fontId="10359" fillId="10363" borderId="10310" xfId="0" applyFont="1" applyFill="1" applyBorder="1"/>
    <xf numFmtId="0" fontId="10360" fillId="10364" borderId="10311" xfId="0" applyFont="1" applyFill="1" applyBorder="1"/>
    <xf numFmtId="0" fontId="10361" fillId="10365" borderId="10312" xfId="0" applyFont="1" applyFill="1" applyBorder="1"/>
    <xf numFmtId="0" fontId="10362" fillId="10366" borderId="10313" xfId="0" applyFont="1" applyFill="1" applyBorder="1"/>
    <xf numFmtId="0" fontId="10363" fillId="10367" borderId="10314" xfId="0" applyFont="1" applyFill="1" applyBorder="1"/>
    <xf numFmtId="0" fontId="10364" fillId="10368" borderId="10315" xfId="0" applyFont="1" applyFill="1" applyBorder="1"/>
    <xf numFmtId="0" fontId="10365" fillId="10369" borderId="10316" xfId="0" applyFont="1" applyFill="1" applyBorder="1"/>
    <xf numFmtId="14" fontId="10366" fillId="10370" borderId="10317" xfId="0" applyNumberFormat="1" applyFont="1" applyFill="1" applyBorder="1"/>
    <xf numFmtId="0" fontId="10367" fillId="10371" borderId="10318" xfId="0" applyFont="1" applyFill="1" applyBorder="1"/>
    <xf numFmtId="14" fontId="10368" fillId="10372" borderId="10319" xfId="0" applyNumberFormat="1" applyFont="1" applyFill="1" applyBorder="1"/>
    <xf numFmtId="0" fontId="10369" fillId="10373" borderId="10320" xfId="0" applyFont="1" applyFill="1" applyBorder="1"/>
    <xf numFmtId="0" fontId="10370" fillId="10374" borderId="10321" xfId="0" applyFont="1" applyFill="1" applyBorder="1"/>
    <xf numFmtId="0" fontId="10371" fillId="10375" borderId="10322" xfId="0" applyFont="1" applyFill="1" applyBorder="1"/>
    <xf numFmtId="0" fontId="10372" fillId="10376" borderId="10323" xfId="0" applyFont="1" applyFill="1" applyBorder="1"/>
    <xf numFmtId="0" fontId="10373" fillId="10377" borderId="10324" xfId="0" applyFont="1" applyFill="1" applyBorder="1"/>
    <xf numFmtId="0" fontId="10374" fillId="10378" borderId="10325" xfId="0" applyFont="1" applyFill="1" applyBorder="1"/>
    <xf numFmtId="0" fontId="10375" fillId="10379" borderId="10326" xfId="0" applyFont="1" applyFill="1" applyBorder="1"/>
    <xf numFmtId="14" fontId="10376" fillId="10380" borderId="10327" xfId="0" applyNumberFormat="1" applyFont="1" applyFill="1" applyBorder="1"/>
    <xf numFmtId="0" fontId="10377" fillId="10381" borderId="10328" xfId="0" applyFont="1" applyFill="1" applyBorder="1"/>
    <xf numFmtId="14" fontId="10378" fillId="10382" borderId="10329" xfId="0" applyNumberFormat="1" applyFont="1" applyFill="1" applyBorder="1"/>
    <xf numFmtId="0" fontId="10379" fillId="10383" borderId="10330" xfId="0" applyFont="1" applyFill="1" applyBorder="1"/>
    <xf numFmtId="0" fontId="10380" fillId="10384" borderId="10331" xfId="0" applyFont="1" applyFill="1" applyBorder="1"/>
    <xf numFmtId="0" fontId="10381" fillId="10385" borderId="10332" xfId="0" applyFont="1" applyFill="1" applyBorder="1"/>
    <xf numFmtId="0" fontId="10382" fillId="10386" borderId="10333" xfId="0" applyFont="1" applyFill="1" applyBorder="1"/>
    <xf numFmtId="0" fontId="10383" fillId="10387" borderId="10334" xfId="0" applyFont="1" applyFill="1" applyBorder="1"/>
    <xf numFmtId="0" fontId="10384" fillId="10388" borderId="10335" xfId="0" applyFont="1" applyFill="1" applyBorder="1"/>
    <xf numFmtId="0" fontId="10385" fillId="10389" borderId="10336" xfId="0" applyFont="1" applyFill="1" applyBorder="1"/>
    <xf numFmtId="14" fontId="10386" fillId="10390" borderId="10337" xfId="0" applyNumberFormat="1" applyFont="1" applyFill="1" applyBorder="1"/>
    <xf numFmtId="0" fontId="10387" fillId="10391" borderId="10338" xfId="0" applyFont="1" applyFill="1" applyBorder="1"/>
    <xf numFmtId="14" fontId="10388" fillId="10392" borderId="10339" xfId="0" applyNumberFormat="1" applyFont="1" applyFill="1" applyBorder="1"/>
    <xf numFmtId="0" fontId="10389" fillId="10393" borderId="10340" xfId="0" applyFont="1" applyFill="1" applyBorder="1"/>
    <xf numFmtId="0" fontId="10390" fillId="10394" borderId="10341" xfId="0" applyFont="1" applyFill="1" applyBorder="1"/>
    <xf numFmtId="0" fontId="10391" fillId="10395" borderId="10342" xfId="0" applyFont="1" applyFill="1" applyBorder="1"/>
    <xf numFmtId="0" fontId="10392" fillId="10396" borderId="10343" xfId="0" applyFont="1" applyFill="1" applyBorder="1"/>
    <xf numFmtId="0" fontId="10393" fillId="10397" borderId="10344" xfId="0" applyFont="1" applyFill="1" applyBorder="1"/>
    <xf numFmtId="0" fontId="10394" fillId="10398" borderId="10345" xfId="0" applyFont="1" applyFill="1" applyBorder="1"/>
    <xf numFmtId="0" fontId="10395" fillId="10399" borderId="10346" xfId="0" applyFont="1" applyFill="1" applyBorder="1"/>
    <xf numFmtId="14" fontId="10396" fillId="10400" borderId="10347" xfId="0" applyNumberFormat="1" applyFont="1" applyFill="1" applyBorder="1"/>
    <xf numFmtId="0" fontId="10397" fillId="10401" borderId="10348" xfId="0" applyFont="1" applyFill="1" applyBorder="1"/>
    <xf numFmtId="14" fontId="10398" fillId="10402" borderId="10349" xfId="0" applyNumberFormat="1" applyFont="1" applyFill="1" applyBorder="1"/>
    <xf numFmtId="0" fontId="10399" fillId="10403" borderId="10350" xfId="0" applyFont="1" applyFill="1" applyBorder="1"/>
    <xf numFmtId="0" fontId="10400" fillId="10404" borderId="10351" xfId="0" applyFont="1" applyFill="1" applyBorder="1"/>
    <xf numFmtId="0" fontId="10401" fillId="10405" borderId="10352" xfId="0" applyFont="1" applyFill="1" applyBorder="1"/>
    <xf numFmtId="0" fontId="10402" fillId="10406" borderId="10353" xfId="0" applyFont="1" applyFill="1" applyBorder="1"/>
    <xf numFmtId="0" fontId="10403" fillId="10407" borderId="10354" xfId="0" applyFont="1" applyFill="1" applyBorder="1"/>
    <xf numFmtId="0" fontId="10404" fillId="10408" borderId="10355" xfId="0" applyFont="1" applyFill="1" applyBorder="1"/>
    <xf numFmtId="0" fontId="10405" fillId="10409" borderId="10356" xfId="0" applyFont="1" applyFill="1" applyBorder="1"/>
    <xf numFmtId="14" fontId="10406" fillId="10410" borderId="10357" xfId="0" applyNumberFormat="1" applyFont="1" applyFill="1" applyBorder="1"/>
    <xf numFmtId="0" fontId="10407" fillId="10411" borderId="10358" xfId="0" applyFont="1" applyFill="1" applyBorder="1"/>
    <xf numFmtId="14" fontId="10408" fillId="10412" borderId="10359" xfId="0" applyNumberFormat="1" applyFont="1" applyFill="1" applyBorder="1"/>
    <xf numFmtId="0" fontId="10409" fillId="10413" borderId="10360" xfId="0" applyFont="1" applyFill="1" applyBorder="1"/>
    <xf numFmtId="0" fontId="10410" fillId="10414" borderId="10361" xfId="0" applyFont="1" applyFill="1" applyBorder="1"/>
    <xf numFmtId="0" fontId="10411" fillId="10415" borderId="10362" xfId="0" applyFont="1" applyFill="1" applyBorder="1"/>
    <xf numFmtId="0" fontId="10412" fillId="10416" borderId="10363" xfId="0" applyFont="1" applyFill="1" applyBorder="1"/>
    <xf numFmtId="0" fontId="10413" fillId="10417" borderId="10364" xfId="0" applyFont="1" applyFill="1" applyBorder="1"/>
    <xf numFmtId="0" fontId="10414" fillId="10418" borderId="10365" xfId="0" applyFont="1" applyFill="1" applyBorder="1"/>
    <xf numFmtId="0" fontId="10415" fillId="10419" borderId="10366" xfId="0" applyFont="1" applyFill="1" applyBorder="1"/>
    <xf numFmtId="14" fontId="10416" fillId="10420" borderId="10367" xfId="0" applyNumberFormat="1" applyFont="1" applyFill="1" applyBorder="1"/>
    <xf numFmtId="0" fontId="10417" fillId="10421" borderId="10368" xfId="0" applyFont="1" applyFill="1" applyBorder="1"/>
    <xf numFmtId="14" fontId="10418" fillId="10422" borderId="10369" xfId="0" applyNumberFormat="1" applyFont="1" applyFill="1" applyBorder="1"/>
    <xf numFmtId="0" fontId="10419" fillId="10423" borderId="10370" xfId="0" applyFont="1" applyFill="1" applyBorder="1"/>
    <xf numFmtId="0" fontId="10420" fillId="10424" borderId="10371" xfId="0" applyFont="1" applyFill="1" applyBorder="1"/>
    <xf numFmtId="0" fontId="10421" fillId="10425" borderId="10372" xfId="0" applyFont="1" applyFill="1" applyBorder="1"/>
    <xf numFmtId="0" fontId="10422" fillId="10426" borderId="10373" xfId="0" applyFont="1" applyFill="1" applyBorder="1"/>
    <xf numFmtId="0" fontId="10423" fillId="10427" borderId="10374" xfId="0" applyFont="1" applyFill="1" applyBorder="1"/>
    <xf numFmtId="0" fontId="10424" fillId="10428" borderId="10375" xfId="0" applyFont="1" applyFill="1" applyBorder="1"/>
    <xf numFmtId="0" fontId="10425" fillId="10429" borderId="10376" xfId="0" applyFont="1" applyFill="1" applyBorder="1"/>
    <xf numFmtId="14" fontId="10426" fillId="10430" borderId="10377" xfId="0" applyNumberFormat="1" applyFont="1" applyFill="1" applyBorder="1"/>
    <xf numFmtId="0" fontId="10427" fillId="10431" borderId="10378" xfId="0" applyFont="1" applyFill="1" applyBorder="1"/>
    <xf numFmtId="14" fontId="10428" fillId="10432" borderId="10379" xfId="0" applyNumberFormat="1" applyFont="1" applyFill="1" applyBorder="1"/>
    <xf numFmtId="0" fontId="10429" fillId="10433" borderId="10380" xfId="0" applyFont="1" applyFill="1" applyBorder="1"/>
    <xf numFmtId="0" fontId="10430" fillId="10434" borderId="10381" xfId="0" applyFont="1" applyFill="1" applyBorder="1"/>
    <xf numFmtId="0" fontId="10431" fillId="10435" borderId="10382" xfId="0" applyFont="1" applyFill="1" applyBorder="1"/>
    <xf numFmtId="0" fontId="10432" fillId="10436" borderId="10383" xfId="0" applyFont="1" applyFill="1" applyBorder="1"/>
    <xf numFmtId="0" fontId="10433" fillId="10437" borderId="10384" xfId="0" applyFont="1" applyFill="1" applyBorder="1"/>
    <xf numFmtId="0" fontId="10434" fillId="10438" borderId="10385" xfId="0" applyFont="1" applyFill="1" applyBorder="1"/>
    <xf numFmtId="0" fontId="10435" fillId="10439" borderId="10386" xfId="0" applyFont="1" applyFill="1" applyBorder="1"/>
    <xf numFmtId="14" fontId="10436" fillId="10440" borderId="10387" xfId="0" applyNumberFormat="1" applyFont="1" applyFill="1" applyBorder="1"/>
    <xf numFmtId="0" fontId="10437" fillId="10441" borderId="10388" xfId="0" applyFont="1" applyFill="1" applyBorder="1"/>
    <xf numFmtId="14" fontId="10438" fillId="10442" borderId="10389" xfId="0" applyNumberFormat="1" applyFont="1" applyFill="1" applyBorder="1"/>
    <xf numFmtId="0" fontId="10439" fillId="10443" borderId="10390" xfId="0" applyFont="1" applyFill="1" applyBorder="1"/>
    <xf numFmtId="0" fontId="10440" fillId="10444" borderId="10391" xfId="0" applyFont="1" applyFill="1" applyBorder="1"/>
    <xf numFmtId="0" fontId="10441" fillId="10445" borderId="10392" xfId="0" applyFont="1" applyFill="1" applyBorder="1"/>
    <xf numFmtId="0" fontId="10442" fillId="10446" borderId="10393" xfId="0" applyFont="1" applyFill="1" applyBorder="1"/>
    <xf numFmtId="0" fontId="10443" fillId="10447" borderId="10394" xfId="0" applyFont="1" applyFill="1" applyBorder="1"/>
    <xf numFmtId="0" fontId="10444" fillId="10448" borderId="10395" xfId="0" applyFont="1" applyFill="1" applyBorder="1"/>
    <xf numFmtId="0" fontId="10445" fillId="10449" borderId="10396" xfId="0" applyFont="1" applyFill="1" applyBorder="1"/>
    <xf numFmtId="14" fontId="10446" fillId="10450" borderId="10397" xfId="0" applyNumberFormat="1" applyFont="1" applyFill="1" applyBorder="1"/>
    <xf numFmtId="0" fontId="10447" fillId="10451" borderId="10398" xfId="0" applyFont="1" applyFill="1" applyBorder="1"/>
    <xf numFmtId="14" fontId="10448" fillId="10452" borderId="10399" xfId="0" applyNumberFormat="1" applyFont="1" applyFill="1" applyBorder="1"/>
    <xf numFmtId="0" fontId="10449" fillId="10453" borderId="10400" xfId="0" applyFont="1" applyFill="1" applyBorder="1"/>
    <xf numFmtId="0" fontId="10450" fillId="10454" borderId="10401" xfId="0" applyFont="1" applyFill="1" applyBorder="1"/>
    <xf numFmtId="0" fontId="10451" fillId="10455" borderId="10402" xfId="0" applyFont="1" applyFill="1" applyBorder="1"/>
    <xf numFmtId="0" fontId="10452" fillId="10456" borderId="10403" xfId="0" applyFont="1" applyFill="1" applyBorder="1"/>
    <xf numFmtId="0" fontId="10453" fillId="10457" borderId="10404" xfId="0" applyFont="1" applyFill="1" applyBorder="1"/>
    <xf numFmtId="0" fontId="10454" fillId="10458" borderId="10405" xfId="0" applyFont="1" applyFill="1" applyBorder="1"/>
    <xf numFmtId="0" fontId="10455" fillId="10459" borderId="10406" xfId="0" applyFont="1" applyFill="1" applyBorder="1"/>
    <xf numFmtId="14" fontId="10456" fillId="10460" borderId="10407" xfId="0" applyNumberFormat="1" applyFont="1" applyFill="1" applyBorder="1"/>
    <xf numFmtId="0" fontId="10457" fillId="10461" borderId="10408" xfId="0" applyFont="1" applyFill="1" applyBorder="1"/>
    <xf numFmtId="14" fontId="10458" fillId="10462" borderId="10409" xfId="0" applyNumberFormat="1" applyFont="1" applyFill="1" applyBorder="1"/>
    <xf numFmtId="0" fontId="10459" fillId="10463" borderId="10410" xfId="0" applyFont="1" applyFill="1" applyBorder="1"/>
    <xf numFmtId="0" fontId="10460" fillId="10464" borderId="10411" xfId="0" applyFont="1" applyFill="1" applyBorder="1"/>
    <xf numFmtId="0" fontId="10461" fillId="10465" borderId="10412" xfId="0" applyFont="1" applyFill="1" applyBorder="1"/>
    <xf numFmtId="0" fontId="10462" fillId="10466" borderId="10413" xfId="0" applyFont="1" applyFill="1" applyBorder="1"/>
    <xf numFmtId="0" fontId="10463" fillId="10467" borderId="10414" xfId="0" applyFont="1" applyFill="1" applyBorder="1"/>
    <xf numFmtId="0" fontId="10464" fillId="10468" borderId="10415" xfId="0" applyFont="1" applyFill="1" applyBorder="1"/>
    <xf numFmtId="0" fontId="10465" fillId="10469" borderId="10416" xfId="0" applyFont="1" applyFill="1" applyBorder="1"/>
    <xf numFmtId="14" fontId="10466" fillId="10470" borderId="10417" xfId="0" applyNumberFormat="1" applyFont="1" applyFill="1" applyBorder="1"/>
    <xf numFmtId="0" fontId="10467" fillId="10471" borderId="10418" xfId="0" applyFont="1" applyFill="1" applyBorder="1"/>
    <xf numFmtId="14" fontId="10468" fillId="10472" borderId="10419" xfId="0" applyNumberFormat="1" applyFont="1" applyFill="1" applyBorder="1"/>
    <xf numFmtId="0" fontId="10469" fillId="10473" borderId="10420" xfId="0" applyFont="1" applyFill="1" applyBorder="1"/>
    <xf numFmtId="0" fontId="10470" fillId="10474" borderId="10421" xfId="0" applyFont="1" applyFill="1" applyBorder="1"/>
    <xf numFmtId="0" fontId="10471" fillId="10475" borderId="10422" xfId="0" applyFont="1" applyFill="1" applyBorder="1"/>
    <xf numFmtId="0" fontId="10472" fillId="10476" borderId="10423" xfId="0" applyFont="1" applyFill="1" applyBorder="1"/>
    <xf numFmtId="0" fontId="10473" fillId="10477" borderId="10424" xfId="0" applyFont="1" applyFill="1" applyBorder="1"/>
    <xf numFmtId="0" fontId="10474" fillId="10478" borderId="10425" xfId="0" applyFont="1" applyFill="1" applyBorder="1"/>
    <xf numFmtId="0" fontId="10475" fillId="10479" borderId="10426" xfId="0" applyFont="1" applyFill="1" applyBorder="1"/>
    <xf numFmtId="14" fontId="10476" fillId="10480" borderId="10427" xfId="0" applyNumberFormat="1" applyFont="1" applyFill="1" applyBorder="1"/>
    <xf numFmtId="0" fontId="10477" fillId="10481" borderId="10428" xfId="0" applyFont="1" applyFill="1" applyBorder="1"/>
    <xf numFmtId="14" fontId="10478" fillId="10482" borderId="10429" xfId="0" applyNumberFormat="1" applyFont="1" applyFill="1" applyBorder="1"/>
    <xf numFmtId="0" fontId="10479" fillId="10483" borderId="10430" xfId="0" applyFont="1" applyFill="1" applyBorder="1"/>
    <xf numFmtId="0" fontId="10480" fillId="10484" borderId="10431" xfId="0" applyFont="1" applyFill="1" applyBorder="1"/>
    <xf numFmtId="0" fontId="10481" fillId="10485" borderId="10432" xfId="0" applyFont="1" applyFill="1" applyBorder="1"/>
    <xf numFmtId="0" fontId="10482" fillId="10486" borderId="10433" xfId="0" applyFont="1" applyFill="1" applyBorder="1"/>
    <xf numFmtId="0" fontId="10483" fillId="10487" borderId="10434" xfId="0" applyFont="1" applyFill="1" applyBorder="1"/>
    <xf numFmtId="0" fontId="10484" fillId="10488" borderId="10435" xfId="0" applyFont="1" applyFill="1" applyBorder="1"/>
    <xf numFmtId="0" fontId="10485" fillId="10489" borderId="10436" xfId="0" applyFont="1" applyFill="1" applyBorder="1"/>
    <xf numFmtId="14" fontId="10486" fillId="10490" borderId="10437" xfId="0" applyNumberFormat="1" applyFont="1" applyFill="1" applyBorder="1"/>
    <xf numFmtId="0" fontId="10487" fillId="10491" borderId="10438" xfId="0" applyFont="1" applyFill="1" applyBorder="1"/>
    <xf numFmtId="14" fontId="10488" fillId="10492" borderId="10439" xfId="0" applyNumberFormat="1" applyFont="1" applyFill="1" applyBorder="1"/>
    <xf numFmtId="0" fontId="10489" fillId="10493" borderId="10440" xfId="0" applyFont="1" applyFill="1" applyBorder="1"/>
    <xf numFmtId="0" fontId="10490" fillId="10494" borderId="10441" xfId="0" applyFont="1" applyFill="1" applyBorder="1"/>
    <xf numFmtId="0" fontId="10491" fillId="10495" borderId="10442" xfId="0" applyFont="1" applyFill="1" applyBorder="1"/>
    <xf numFmtId="0" fontId="10492" fillId="10496" borderId="10443" xfId="0" applyFont="1" applyFill="1" applyBorder="1"/>
    <xf numFmtId="0" fontId="10493" fillId="10497" borderId="10444" xfId="0" applyFont="1" applyFill="1" applyBorder="1"/>
    <xf numFmtId="0" fontId="10494" fillId="10498" borderId="10445" xfId="0" applyFont="1" applyFill="1" applyBorder="1"/>
    <xf numFmtId="0" fontId="10495" fillId="10499" borderId="10446" xfId="0" applyFont="1" applyFill="1" applyBorder="1"/>
    <xf numFmtId="14" fontId="10496" fillId="10500" borderId="10447" xfId="0" applyNumberFormat="1" applyFont="1" applyFill="1" applyBorder="1"/>
    <xf numFmtId="0" fontId="10497" fillId="10501" borderId="10448" xfId="0" applyFont="1" applyFill="1" applyBorder="1"/>
    <xf numFmtId="14" fontId="10498" fillId="10502" borderId="10449" xfId="0" applyNumberFormat="1" applyFont="1" applyFill="1" applyBorder="1"/>
    <xf numFmtId="0" fontId="10499" fillId="10503" borderId="10450" xfId="0" applyFont="1" applyFill="1" applyBorder="1"/>
    <xf numFmtId="0" fontId="10500" fillId="10504" borderId="10451" xfId="0" applyFont="1" applyFill="1" applyBorder="1"/>
    <xf numFmtId="0" fontId="10501" fillId="10505" borderId="10452" xfId="0" applyFont="1" applyFill="1" applyBorder="1"/>
    <xf numFmtId="0" fontId="10502" fillId="10506" borderId="10453" xfId="0" applyFont="1" applyFill="1" applyBorder="1"/>
    <xf numFmtId="0" fontId="10503" fillId="10507" borderId="10454" xfId="0" applyFont="1" applyFill="1" applyBorder="1"/>
    <xf numFmtId="0" fontId="10504" fillId="10508" borderId="10455" xfId="0" applyFont="1" applyFill="1" applyBorder="1"/>
    <xf numFmtId="0" fontId="10505" fillId="10509" borderId="10456" xfId="0" applyFont="1" applyFill="1" applyBorder="1"/>
    <xf numFmtId="14" fontId="10506" fillId="10510" borderId="10457" xfId="0" applyNumberFormat="1" applyFont="1" applyFill="1" applyBorder="1"/>
    <xf numFmtId="0" fontId="10507" fillId="10511" borderId="10458" xfId="0" applyFont="1" applyFill="1" applyBorder="1"/>
    <xf numFmtId="14" fontId="10508" fillId="10512" borderId="10459" xfId="0" applyNumberFormat="1" applyFont="1" applyFill="1" applyBorder="1"/>
    <xf numFmtId="0" fontId="10509" fillId="10513" borderId="10460" xfId="0" applyFont="1" applyFill="1" applyBorder="1"/>
    <xf numFmtId="0" fontId="10510" fillId="10514" borderId="10461" xfId="0" applyFont="1" applyFill="1" applyBorder="1"/>
    <xf numFmtId="0" fontId="10511" fillId="10515" borderId="10462" xfId="0" applyFont="1" applyFill="1" applyBorder="1"/>
    <xf numFmtId="0" fontId="10512" fillId="10516" borderId="10463" xfId="0" applyFont="1" applyFill="1" applyBorder="1"/>
    <xf numFmtId="0" fontId="10513" fillId="10517" borderId="10464" xfId="0" applyFont="1" applyFill="1" applyBorder="1"/>
    <xf numFmtId="0" fontId="10514" fillId="10518" borderId="10465" xfId="0" applyFont="1" applyFill="1" applyBorder="1"/>
    <xf numFmtId="0" fontId="10515" fillId="10519" borderId="10466" xfId="0" applyFont="1" applyFill="1" applyBorder="1"/>
    <xf numFmtId="14" fontId="10516" fillId="10520" borderId="10467" xfId="0" applyNumberFormat="1" applyFont="1" applyFill="1" applyBorder="1"/>
    <xf numFmtId="0" fontId="10517" fillId="10521" borderId="10468" xfId="0" applyFont="1" applyFill="1" applyBorder="1"/>
    <xf numFmtId="14" fontId="10518" fillId="10522" borderId="10469" xfId="0" applyNumberFormat="1" applyFont="1" applyFill="1" applyBorder="1"/>
    <xf numFmtId="0" fontId="10519" fillId="10523" borderId="10470" xfId="0" applyFont="1" applyFill="1" applyBorder="1"/>
    <xf numFmtId="0" fontId="10520" fillId="10524" borderId="10471" xfId="0" applyFont="1" applyFill="1" applyBorder="1"/>
    <xf numFmtId="0" fontId="10521" fillId="10525" borderId="10472" xfId="0" applyFont="1" applyFill="1" applyBorder="1"/>
    <xf numFmtId="0" fontId="10522" fillId="10526" borderId="10473" xfId="0" applyFont="1" applyFill="1" applyBorder="1"/>
    <xf numFmtId="0" fontId="10523" fillId="10527" borderId="10474" xfId="0" applyFont="1" applyFill="1" applyBorder="1"/>
    <xf numFmtId="0" fontId="10524" fillId="10528" borderId="10475" xfId="0" applyFont="1" applyFill="1" applyBorder="1"/>
    <xf numFmtId="0" fontId="10525" fillId="10529" borderId="10476" xfId="0" applyFont="1" applyFill="1" applyBorder="1"/>
    <xf numFmtId="14" fontId="10526" fillId="10530" borderId="10477" xfId="0" applyNumberFormat="1" applyFont="1" applyFill="1" applyBorder="1"/>
    <xf numFmtId="0" fontId="10527" fillId="10531" borderId="10478" xfId="0" applyFont="1" applyFill="1" applyBorder="1"/>
    <xf numFmtId="14" fontId="10528" fillId="10532" borderId="10479" xfId="0" applyNumberFormat="1" applyFont="1" applyFill="1" applyBorder="1"/>
    <xf numFmtId="0" fontId="10529" fillId="10533" borderId="10480" xfId="0" applyFont="1" applyFill="1" applyBorder="1"/>
    <xf numFmtId="0" fontId="10530" fillId="10534" borderId="10481" xfId="0" applyFont="1" applyFill="1" applyBorder="1"/>
    <xf numFmtId="0" fontId="10531" fillId="10535" borderId="10482" xfId="0" applyFont="1" applyFill="1" applyBorder="1"/>
    <xf numFmtId="0" fontId="10532" fillId="10536" borderId="10483" xfId="0" applyFont="1" applyFill="1" applyBorder="1"/>
    <xf numFmtId="0" fontId="10533" fillId="10537" borderId="10484" xfId="0" applyFont="1" applyFill="1" applyBorder="1"/>
    <xf numFmtId="0" fontId="10534" fillId="10538" borderId="10485" xfId="0" applyFont="1" applyFill="1" applyBorder="1"/>
    <xf numFmtId="0" fontId="10535" fillId="10539" borderId="10486" xfId="0" applyFont="1" applyFill="1" applyBorder="1"/>
    <xf numFmtId="14" fontId="10536" fillId="10540" borderId="10487" xfId="0" applyNumberFormat="1" applyFont="1" applyFill="1" applyBorder="1"/>
    <xf numFmtId="0" fontId="10537" fillId="10541" borderId="10488" xfId="0" applyFont="1" applyFill="1" applyBorder="1"/>
    <xf numFmtId="14" fontId="10538" fillId="10542" borderId="10489" xfId="0" applyNumberFormat="1" applyFont="1" applyFill="1" applyBorder="1"/>
    <xf numFmtId="0" fontId="10539" fillId="10543" borderId="10490" xfId="0" applyFont="1" applyFill="1" applyBorder="1"/>
    <xf numFmtId="0" fontId="10540" fillId="10544" borderId="10491" xfId="0" applyFont="1" applyFill="1" applyBorder="1"/>
    <xf numFmtId="0" fontId="10541" fillId="10545" borderId="10492" xfId="0" applyFont="1" applyFill="1" applyBorder="1"/>
    <xf numFmtId="0" fontId="10542" fillId="10546" borderId="10493" xfId="0" applyFont="1" applyFill="1" applyBorder="1"/>
    <xf numFmtId="0" fontId="10543" fillId="10547" borderId="10494" xfId="0" applyFont="1" applyFill="1" applyBorder="1"/>
    <xf numFmtId="0" fontId="10544" fillId="10548" borderId="10495" xfId="0" applyFont="1" applyFill="1" applyBorder="1"/>
    <xf numFmtId="0" fontId="10545" fillId="10549" borderId="10496" xfId="0" applyFont="1" applyFill="1" applyBorder="1"/>
    <xf numFmtId="14" fontId="10546" fillId="10550" borderId="10497" xfId="0" applyNumberFormat="1" applyFont="1" applyFill="1" applyBorder="1"/>
    <xf numFmtId="0" fontId="10547" fillId="10551" borderId="10498" xfId="0" applyFont="1" applyFill="1" applyBorder="1"/>
    <xf numFmtId="14" fontId="10548" fillId="10552" borderId="10499" xfId="0" applyNumberFormat="1" applyFont="1" applyFill="1" applyBorder="1"/>
    <xf numFmtId="0" fontId="10549" fillId="10553" borderId="10500" xfId="0" applyFont="1" applyFill="1" applyBorder="1"/>
    <xf numFmtId="0" fontId="10550" fillId="10554" borderId="10501" xfId="0" applyFont="1" applyFill="1" applyBorder="1"/>
    <xf numFmtId="0" fontId="10551" fillId="10555" borderId="10502" xfId="0" applyFont="1" applyFill="1" applyBorder="1"/>
    <xf numFmtId="0" fontId="10552" fillId="10556" borderId="10503" xfId="0" applyFont="1" applyFill="1" applyBorder="1"/>
    <xf numFmtId="0" fontId="10553" fillId="10557" borderId="10504" xfId="0" applyFont="1" applyFill="1" applyBorder="1"/>
    <xf numFmtId="0" fontId="10554" fillId="10558" borderId="10505" xfId="0" applyFont="1" applyFill="1" applyBorder="1"/>
    <xf numFmtId="0" fontId="10555" fillId="10559" borderId="10506" xfId="0" applyFont="1" applyFill="1" applyBorder="1"/>
    <xf numFmtId="14" fontId="10556" fillId="10560" borderId="10507" xfId="0" applyNumberFormat="1" applyFont="1" applyFill="1" applyBorder="1"/>
    <xf numFmtId="0" fontId="10557" fillId="10561" borderId="10508" xfId="0" applyFont="1" applyFill="1" applyBorder="1"/>
    <xf numFmtId="14" fontId="10558" fillId="10562" borderId="10509" xfId="0" applyNumberFormat="1" applyFont="1" applyFill="1" applyBorder="1"/>
    <xf numFmtId="0" fontId="10559" fillId="10563" borderId="10510" xfId="0" applyFont="1" applyFill="1" applyBorder="1"/>
    <xf numFmtId="0" fontId="10560" fillId="10564" borderId="10511" xfId="0" applyFont="1" applyFill="1" applyBorder="1"/>
    <xf numFmtId="0" fontId="10561" fillId="10565" borderId="10512" xfId="0" applyFont="1" applyFill="1" applyBorder="1"/>
    <xf numFmtId="0" fontId="10562" fillId="10566" borderId="10513" xfId="0" applyFont="1" applyFill="1" applyBorder="1"/>
    <xf numFmtId="0" fontId="10563" fillId="10567" borderId="10514" xfId="0" applyFont="1" applyFill="1" applyBorder="1"/>
    <xf numFmtId="0" fontId="10564" fillId="10568" borderId="10515" xfId="0" applyFont="1" applyFill="1" applyBorder="1"/>
    <xf numFmtId="0" fontId="10565" fillId="10569" borderId="10516" xfId="0" applyFont="1" applyFill="1" applyBorder="1"/>
    <xf numFmtId="14" fontId="10566" fillId="10570" borderId="10517" xfId="0" applyNumberFormat="1" applyFont="1" applyFill="1" applyBorder="1"/>
    <xf numFmtId="0" fontId="10567" fillId="10571" borderId="10518" xfId="0" applyFont="1" applyFill="1" applyBorder="1"/>
    <xf numFmtId="14" fontId="10568" fillId="10572" borderId="10519" xfId="0" applyNumberFormat="1" applyFont="1" applyFill="1" applyBorder="1"/>
    <xf numFmtId="0" fontId="10569" fillId="10573" borderId="10520" xfId="0" applyFont="1" applyFill="1" applyBorder="1"/>
    <xf numFmtId="0" fontId="10570" fillId="10574" borderId="10521" xfId="0" applyFont="1" applyFill="1" applyBorder="1"/>
    <xf numFmtId="0" fontId="10571" fillId="10575" borderId="10522" xfId="0" applyFont="1" applyFill="1" applyBorder="1"/>
    <xf numFmtId="0" fontId="10572" fillId="10576" borderId="10523" xfId="0" applyFont="1" applyFill="1" applyBorder="1"/>
    <xf numFmtId="0" fontId="10573" fillId="10577" borderId="10524" xfId="0" applyFont="1" applyFill="1" applyBorder="1"/>
    <xf numFmtId="0" fontId="10574" fillId="10578" borderId="10525" xfId="0" applyFont="1" applyFill="1" applyBorder="1"/>
    <xf numFmtId="0" fontId="10575" fillId="10579" borderId="10526" xfId="0" applyFont="1" applyFill="1" applyBorder="1"/>
    <xf numFmtId="14" fontId="10576" fillId="10580" borderId="10527" xfId="0" applyNumberFormat="1" applyFont="1" applyFill="1" applyBorder="1"/>
    <xf numFmtId="0" fontId="10577" fillId="10581" borderId="10528" xfId="0" applyFont="1" applyFill="1" applyBorder="1"/>
    <xf numFmtId="14" fontId="10578" fillId="10582" borderId="10529" xfId="0" applyNumberFormat="1" applyFont="1" applyFill="1" applyBorder="1"/>
    <xf numFmtId="0" fontId="10579" fillId="10583" borderId="10530" xfId="0" applyFont="1" applyFill="1" applyBorder="1"/>
    <xf numFmtId="0" fontId="10580" fillId="10584" borderId="10531" xfId="0" applyFont="1" applyFill="1" applyBorder="1"/>
    <xf numFmtId="0" fontId="10581" fillId="10585" borderId="10532" xfId="0" applyFont="1" applyFill="1" applyBorder="1"/>
    <xf numFmtId="0" fontId="10582" fillId="10586" borderId="10533" xfId="0" applyFont="1" applyFill="1" applyBorder="1"/>
    <xf numFmtId="0" fontId="10583" fillId="10587" borderId="10534" xfId="0" applyFont="1" applyFill="1" applyBorder="1"/>
    <xf numFmtId="0" fontId="10584" fillId="10588" borderId="10535" xfId="0" applyFont="1" applyFill="1" applyBorder="1"/>
    <xf numFmtId="0" fontId="10585" fillId="10589" borderId="10536" xfId="0" applyFont="1" applyFill="1" applyBorder="1"/>
    <xf numFmtId="14" fontId="10586" fillId="10590" borderId="10537" xfId="0" applyNumberFormat="1" applyFont="1" applyFill="1" applyBorder="1"/>
    <xf numFmtId="0" fontId="10587" fillId="10591" borderId="10538" xfId="0" applyFont="1" applyFill="1" applyBorder="1"/>
    <xf numFmtId="14" fontId="10588" fillId="10592" borderId="10539" xfId="0" applyNumberFormat="1" applyFont="1" applyFill="1" applyBorder="1"/>
    <xf numFmtId="0" fontId="10589" fillId="10593" borderId="10540" xfId="0" applyFont="1" applyFill="1" applyBorder="1"/>
    <xf numFmtId="0" fontId="10590" fillId="10594" borderId="10541" xfId="0" applyFont="1" applyFill="1" applyBorder="1"/>
    <xf numFmtId="0" fontId="10591" fillId="10595" borderId="10542" xfId="0" applyFont="1" applyFill="1" applyBorder="1"/>
    <xf numFmtId="0" fontId="10592" fillId="10596" borderId="10543" xfId="0" applyFont="1" applyFill="1" applyBorder="1"/>
    <xf numFmtId="0" fontId="10593" fillId="10597" borderId="10544" xfId="0" applyFont="1" applyFill="1" applyBorder="1"/>
    <xf numFmtId="0" fontId="10594" fillId="10598" borderId="10545" xfId="0" applyFont="1" applyFill="1" applyBorder="1"/>
    <xf numFmtId="0" fontId="10595" fillId="10599" borderId="10546" xfId="0" applyFont="1" applyFill="1" applyBorder="1"/>
    <xf numFmtId="14" fontId="10596" fillId="10600" borderId="10547" xfId="0" applyNumberFormat="1" applyFont="1" applyFill="1" applyBorder="1"/>
    <xf numFmtId="0" fontId="10597" fillId="10601" borderId="10548" xfId="0" applyFont="1" applyFill="1" applyBorder="1"/>
    <xf numFmtId="14" fontId="10598" fillId="10602" borderId="10549" xfId="0" applyNumberFormat="1" applyFont="1" applyFill="1" applyBorder="1"/>
    <xf numFmtId="0" fontId="10599" fillId="10603" borderId="10550" xfId="0" applyFont="1" applyFill="1" applyBorder="1"/>
    <xf numFmtId="0" fontId="10600" fillId="10604" borderId="10551" xfId="0" applyFont="1" applyFill="1" applyBorder="1"/>
    <xf numFmtId="0" fontId="10601" fillId="10605" borderId="10552" xfId="0" applyFont="1" applyFill="1" applyBorder="1"/>
    <xf numFmtId="0" fontId="10602" fillId="10606" borderId="10553" xfId="0" applyFont="1" applyFill="1" applyBorder="1"/>
    <xf numFmtId="0" fontId="10603" fillId="10607" borderId="10554" xfId="0" applyFont="1" applyFill="1" applyBorder="1"/>
    <xf numFmtId="0" fontId="10604" fillId="10608" borderId="10555" xfId="0" applyFont="1" applyFill="1" applyBorder="1"/>
    <xf numFmtId="0" fontId="10605" fillId="10609" borderId="10556" xfId="0" applyFont="1" applyFill="1" applyBorder="1"/>
    <xf numFmtId="14" fontId="10606" fillId="10610" borderId="10557" xfId="0" applyNumberFormat="1" applyFont="1" applyFill="1" applyBorder="1"/>
    <xf numFmtId="0" fontId="10607" fillId="10611" borderId="10558" xfId="0" applyFont="1" applyFill="1" applyBorder="1"/>
    <xf numFmtId="14" fontId="10608" fillId="10612" borderId="10559" xfId="0" applyNumberFormat="1" applyFont="1" applyFill="1" applyBorder="1"/>
    <xf numFmtId="0" fontId="10609" fillId="10613" borderId="10560" xfId="0" applyFont="1" applyFill="1" applyBorder="1"/>
    <xf numFmtId="0" fontId="10610" fillId="10614" borderId="10561" xfId="0" applyFont="1" applyFill="1" applyBorder="1"/>
    <xf numFmtId="0" fontId="10611" fillId="10615" borderId="10562" xfId="0" applyFont="1" applyFill="1" applyBorder="1"/>
    <xf numFmtId="0" fontId="10612" fillId="10616" borderId="10563" xfId="0" applyFont="1" applyFill="1" applyBorder="1"/>
    <xf numFmtId="0" fontId="10613" fillId="10617" borderId="10564" xfId="0" applyFont="1" applyFill="1" applyBorder="1"/>
    <xf numFmtId="0" fontId="10614" fillId="10618" borderId="10565" xfId="0" applyFont="1" applyFill="1" applyBorder="1"/>
    <xf numFmtId="0" fontId="10615" fillId="10619" borderId="10566" xfId="0" applyFont="1" applyFill="1" applyBorder="1"/>
    <xf numFmtId="14" fontId="10616" fillId="10620" borderId="10567" xfId="0" applyNumberFormat="1" applyFont="1" applyFill="1" applyBorder="1"/>
    <xf numFmtId="0" fontId="10617" fillId="10621" borderId="10568" xfId="0" applyFont="1" applyFill="1" applyBorder="1"/>
    <xf numFmtId="14" fontId="10618" fillId="10622" borderId="10569" xfId="0" applyNumberFormat="1" applyFont="1" applyFill="1" applyBorder="1"/>
    <xf numFmtId="0" fontId="10619" fillId="10623" borderId="10570" xfId="0" applyFont="1" applyFill="1" applyBorder="1"/>
    <xf numFmtId="0" fontId="10620" fillId="10624" borderId="10571" xfId="0" applyFont="1" applyFill="1" applyBorder="1"/>
    <xf numFmtId="0" fontId="10621" fillId="10625" borderId="10572" xfId="0" applyFont="1" applyFill="1" applyBorder="1"/>
    <xf numFmtId="0" fontId="10622" fillId="10626" borderId="10573" xfId="0" applyFont="1" applyFill="1" applyBorder="1"/>
    <xf numFmtId="0" fontId="10623" fillId="10627" borderId="10574" xfId="0" applyFont="1" applyFill="1" applyBorder="1"/>
    <xf numFmtId="0" fontId="10624" fillId="10628" borderId="10575" xfId="0" applyFont="1" applyFill="1" applyBorder="1"/>
    <xf numFmtId="0" fontId="10625" fillId="10629" borderId="10576" xfId="0" applyFont="1" applyFill="1" applyBorder="1"/>
    <xf numFmtId="14" fontId="10626" fillId="10630" borderId="10577" xfId="0" applyNumberFormat="1" applyFont="1" applyFill="1" applyBorder="1"/>
    <xf numFmtId="0" fontId="10627" fillId="10631" borderId="10578" xfId="0" applyFont="1" applyFill="1" applyBorder="1"/>
    <xf numFmtId="14" fontId="10628" fillId="10632" borderId="10579" xfId="0" applyNumberFormat="1" applyFont="1" applyFill="1" applyBorder="1"/>
    <xf numFmtId="0" fontId="10629" fillId="10633" borderId="10580" xfId="0" applyFont="1" applyFill="1" applyBorder="1"/>
    <xf numFmtId="0" fontId="10630" fillId="10634" borderId="10581" xfId="0" applyFont="1" applyFill="1" applyBorder="1"/>
    <xf numFmtId="0" fontId="10631" fillId="10635" borderId="10582" xfId="0" applyFont="1" applyFill="1" applyBorder="1"/>
    <xf numFmtId="0" fontId="10632" fillId="10636" borderId="10583" xfId="0" applyFont="1" applyFill="1" applyBorder="1"/>
    <xf numFmtId="0" fontId="10633" fillId="10637" borderId="10584" xfId="0" applyFont="1" applyFill="1" applyBorder="1"/>
    <xf numFmtId="0" fontId="10634" fillId="10638" borderId="10585" xfId="0" applyFont="1" applyFill="1" applyBorder="1"/>
    <xf numFmtId="0" fontId="10635" fillId="10639" borderId="10586" xfId="0" applyFont="1" applyFill="1" applyBorder="1"/>
    <xf numFmtId="14" fontId="10636" fillId="10640" borderId="10587" xfId="0" applyNumberFormat="1" applyFont="1" applyFill="1" applyBorder="1"/>
    <xf numFmtId="0" fontId="10637" fillId="10641" borderId="10588" xfId="0" applyFont="1" applyFill="1" applyBorder="1"/>
    <xf numFmtId="14" fontId="10638" fillId="10642" borderId="10589" xfId="0" applyNumberFormat="1" applyFont="1" applyFill="1" applyBorder="1"/>
    <xf numFmtId="0" fontId="10639" fillId="10643" borderId="10590" xfId="0" applyFont="1" applyFill="1" applyBorder="1"/>
    <xf numFmtId="0" fontId="10640" fillId="10644" borderId="10591" xfId="0" applyFont="1" applyFill="1" applyBorder="1"/>
    <xf numFmtId="0" fontId="10641" fillId="10645" borderId="10592" xfId="0" applyFont="1" applyFill="1" applyBorder="1"/>
    <xf numFmtId="0" fontId="10642" fillId="10646" borderId="10593" xfId="0" applyFont="1" applyFill="1" applyBorder="1"/>
    <xf numFmtId="0" fontId="10643" fillId="10647" borderId="10594" xfId="0" applyFont="1" applyFill="1" applyBorder="1"/>
    <xf numFmtId="0" fontId="10644" fillId="10648" borderId="10595" xfId="0" applyFont="1" applyFill="1" applyBorder="1"/>
    <xf numFmtId="0" fontId="10645" fillId="10649" borderId="10596" xfId="0" applyFont="1" applyFill="1" applyBorder="1"/>
    <xf numFmtId="14" fontId="10646" fillId="10650" borderId="10597" xfId="0" applyNumberFormat="1" applyFont="1" applyFill="1" applyBorder="1"/>
    <xf numFmtId="0" fontId="10647" fillId="10651" borderId="10598" xfId="0" applyFont="1" applyFill="1" applyBorder="1"/>
    <xf numFmtId="14" fontId="10648" fillId="10652" borderId="10599" xfId="0" applyNumberFormat="1" applyFont="1" applyFill="1" applyBorder="1"/>
    <xf numFmtId="0" fontId="10649" fillId="10653" borderId="10600" xfId="0" applyFont="1" applyFill="1" applyBorder="1"/>
    <xf numFmtId="0" fontId="10650" fillId="10654" borderId="10601" xfId="0" applyFont="1" applyFill="1" applyBorder="1"/>
    <xf numFmtId="0" fontId="10651" fillId="10655" borderId="10602" xfId="0" applyFont="1" applyFill="1" applyBorder="1"/>
    <xf numFmtId="0" fontId="10652" fillId="10656" borderId="10603" xfId="0" applyFont="1" applyFill="1" applyBorder="1"/>
    <xf numFmtId="0" fontId="10653" fillId="10657" borderId="10604" xfId="0" applyFont="1" applyFill="1" applyBorder="1"/>
    <xf numFmtId="0" fontId="10654" fillId="10658" borderId="10605" xfId="0" applyFont="1" applyFill="1" applyBorder="1"/>
    <xf numFmtId="0" fontId="10655" fillId="10659" borderId="10606" xfId="0" applyFont="1" applyFill="1" applyBorder="1"/>
    <xf numFmtId="14" fontId="10656" fillId="10660" borderId="10607" xfId="0" applyNumberFormat="1" applyFont="1" applyFill="1" applyBorder="1"/>
    <xf numFmtId="0" fontId="10657" fillId="10661" borderId="10608" xfId="0" applyFont="1" applyFill="1" applyBorder="1"/>
    <xf numFmtId="14" fontId="10658" fillId="10662" borderId="10609" xfId="0" applyNumberFormat="1" applyFont="1" applyFill="1" applyBorder="1"/>
    <xf numFmtId="0" fontId="10659" fillId="10663" borderId="10610" xfId="0" applyFont="1" applyFill="1" applyBorder="1"/>
    <xf numFmtId="0" fontId="10660" fillId="10664" borderId="10611" xfId="0" applyFont="1" applyFill="1" applyBorder="1"/>
    <xf numFmtId="0" fontId="10661" fillId="10665" borderId="10612" xfId="0" applyFont="1" applyFill="1" applyBorder="1"/>
    <xf numFmtId="0" fontId="10662" fillId="10666" borderId="10613" xfId="0" applyFont="1" applyFill="1" applyBorder="1"/>
    <xf numFmtId="0" fontId="10663" fillId="10667" borderId="10614" xfId="0" applyFont="1" applyFill="1" applyBorder="1"/>
    <xf numFmtId="0" fontId="10664" fillId="10668" borderId="10615" xfId="0" applyFont="1" applyFill="1" applyBorder="1"/>
    <xf numFmtId="0" fontId="10665" fillId="10669" borderId="10616" xfId="0" applyFont="1" applyFill="1" applyBorder="1"/>
    <xf numFmtId="14" fontId="10666" fillId="10670" borderId="10617" xfId="0" applyNumberFormat="1" applyFont="1" applyFill="1" applyBorder="1"/>
    <xf numFmtId="0" fontId="10667" fillId="10671" borderId="10618" xfId="0" applyFont="1" applyFill="1" applyBorder="1"/>
    <xf numFmtId="14" fontId="10668" fillId="10672" borderId="10619" xfId="0" applyNumberFormat="1" applyFont="1" applyFill="1" applyBorder="1"/>
    <xf numFmtId="0" fontId="10669" fillId="10673" borderId="10620" xfId="0" applyFont="1" applyFill="1" applyBorder="1"/>
    <xf numFmtId="0" fontId="10670" fillId="10674" borderId="10621" xfId="0" applyFont="1" applyFill="1" applyBorder="1"/>
    <xf numFmtId="0" fontId="10671" fillId="10675" borderId="10622" xfId="0" applyFont="1" applyFill="1" applyBorder="1"/>
    <xf numFmtId="0" fontId="10672" fillId="10676" borderId="10623" xfId="0" applyFont="1" applyFill="1" applyBorder="1"/>
    <xf numFmtId="0" fontId="10673" fillId="10677" borderId="10624" xfId="0" applyFont="1" applyFill="1" applyBorder="1"/>
    <xf numFmtId="0" fontId="10674" fillId="10678" borderId="10625" xfId="0" applyFont="1" applyFill="1" applyBorder="1"/>
    <xf numFmtId="0" fontId="10675" fillId="10679" borderId="10626" xfId="0" applyFont="1" applyFill="1" applyBorder="1"/>
    <xf numFmtId="14" fontId="10676" fillId="10680" borderId="10627" xfId="0" applyNumberFormat="1" applyFont="1" applyFill="1" applyBorder="1"/>
    <xf numFmtId="0" fontId="10677" fillId="10681" borderId="10628" xfId="0" applyFont="1" applyFill="1" applyBorder="1"/>
    <xf numFmtId="14" fontId="10678" fillId="10682" borderId="10629" xfId="0" applyNumberFormat="1" applyFont="1" applyFill="1" applyBorder="1"/>
    <xf numFmtId="0" fontId="10679" fillId="10683" borderId="10630" xfId="0" applyFont="1" applyFill="1" applyBorder="1"/>
    <xf numFmtId="0" fontId="10680" fillId="10684" borderId="10631" xfId="0" applyFont="1" applyFill="1" applyBorder="1"/>
    <xf numFmtId="0" fontId="10681" fillId="10685" borderId="10632" xfId="0" applyFont="1" applyFill="1" applyBorder="1"/>
    <xf numFmtId="0" fontId="10682" fillId="10686" borderId="10633" xfId="0" applyFont="1" applyFill="1" applyBorder="1"/>
    <xf numFmtId="0" fontId="10683" fillId="10687" borderId="10634" xfId="0" applyFont="1" applyFill="1" applyBorder="1"/>
    <xf numFmtId="0" fontId="10684" fillId="10688" borderId="10635" xfId="0" applyFont="1" applyFill="1" applyBorder="1"/>
    <xf numFmtId="0" fontId="10685" fillId="10689" borderId="10636" xfId="0" applyFont="1" applyFill="1" applyBorder="1"/>
    <xf numFmtId="14" fontId="10686" fillId="10690" borderId="10637" xfId="0" applyNumberFormat="1" applyFont="1" applyFill="1" applyBorder="1"/>
    <xf numFmtId="0" fontId="10687" fillId="10691" borderId="10638" xfId="0" applyFont="1" applyFill="1" applyBorder="1"/>
    <xf numFmtId="14" fontId="10688" fillId="10692" borderId="10639" xfId="0" applyNumberFormat="1" applyFont="1" applyFill="1" applyBorder="1"/>
    <xf numFmtId="0" fontId="10689" fillId="10693" borderId="10640" xfId="0" applyFont="1" applyFill="1" applyBorder="1"/>
    <xf numFmtId="0" fontId="10690" fillId="10694" borderId="10641" xfId="0" applyFont="1" applyFill="1" applyBorder="1"/>
    <xf numFmtId="0" fontId="10691" fillId="10695" borderId="10642" xfId="0" applyFont="1" applyFill="1" applyBorder="1"/>
    <xf numFmtId="0" fontId="10692" fillId="10696" borderId="10643" xfId="0" applyFont="1" applyFill="1" applyBorder="1"/>
    <xf numFmtId="0" fontId="10693" fillId="10697" borderId="10644" xfId="0" applyFont="1" applyFill="1" applyBorder="1"/>
    <xf numFmtId="0" fontId="10694" fillId="10698" borderId="10645" xfId="0" applyFont="1" applyFill="1" applyBorder="1"/>
    <xf numFmtId="0" fontId="10695" fillId="10699" borderId="10646" xfId="0" applyFont="1" applyFill="1" applyBorder="1"/>
    <xf numFmtId="14" fontId="10696" fillId="10700" borderId="10647" xfId="0" applyNumberFormat="1" applyFont="1" applyFill="1" applyBorder="1"/>
    <xf numFmtId="0" fontId="10697" fillId="10701" borderId="10648" xfId="0" applyFont="1" applyFill="1" applyBorder="1"/>
    <xf numFmtId="14" fontId="10698" fillId="10702" borderId="10649" xfId="0" applyNumberFormat="1" applyFont="1" applyFill="1" applyBorder="1"/>
    <xf numFmtId="0" fontId="10699" fillId="10703" borderId="10650" xfId="0" applyFont="1" applyFill="1" applyBorder="1"/>
    <xf numFmtId="0" fontId="10700" fillId="10704" borderId="10651" xfId="0" applyFont="1" applyFill="1" applyBorder="1"/>
    <xf numFmtId="0" fontId="10701" fillId="10705" borderId="10652" xfId="0" applyFont="1" applyFill="1" applyBorder="1"/>
    <xf numFmtId="0" fontId="10702" fillId="10706" borderId="10653" xfId="0" applyFont="1" applyFill="1" applyBorder="1"/>
    <xf numFmtId="0" fontId="10703" fillId="10707" borderId="10654" xfId="0" applyFont="1" applyFill="1" applyBorder="1"/>
    <xf numFmtId="0" fontId="10704" fillId="10708" borderId="10655" xfId="0" applyFont="1" applyFill="1" applyBorder="1"/>
    <xf numFmtId="0" fontId="10705" fillId="10709" borderId="10656" xfId="0" applyFont="1" applyFill="1" applyBorder="1"/>
    <xf numFmtId="14" fontId="10706" fillId="10710" borderId="10657" xfId="0" applyNumberFormat="1" applyFont="1" applyFill="1" applyBorder="1"/>
    <xf numFmtId="0" fontId="10707" fillId="10711" borderId="10658" xfId="0" applyFont="1" applyFill="1" applyBorder="1"/>
    <xf numFmtId="14" fontId="10708" fillId="10712" borderId="10659" xfId="0" applyNumberFormat="1" applyFont="1" applyFill="1" applyBorder="1"/>
    <xf numFmtId="0" fontId="10709" fillId="10713" borderId="10660" xfId="0" applyFont="1" applyFill="1" applyBorder="1"/>
    <xf numFmtId="0" fontId="10710" fillId="10714" borderId="10661" xfId="0" applyFont="1" applyFill="1" applyBorder="1"/>
    <xf numFmtId="0" fontId="10711" fillId="10715" borderId="10662" xfId="0" applyFont="1" applyFill="1" applyBorder="1"/>
    <xf numFmtId="0" fontId="10712" fillId="10716" borderId="10663" xfId="0" applyFont="1" applyFill="1" applyBorder="1"/>
    <xf numFmtId="0" fontId="10713" fillId="10717" borderId="10664" xfId="0" applyFont="1" applyFill="1" applyBorder="1"/>
    <xf numFmtId="0" fontId="10714" fillId="10718" borderId="10665" xfId="0" applyFont="1" applyFill="1" applyBorder="1"/>
    <xf numFmtId="0" fontId="10715" fillId="10719" borderId="10666" xfId="0" applyFont="1" applyFill="1" applyBorder="1"/>
    <xf numFmtId="14" fontId="10716" fillId="10720" borderId="10667" xfId="0" applyNumberFormat="1" applyFont="1" applyFill="1" applyBorder="1"/>
    <xf numFmtId="0" fontId="10717" fillId="10721" borderId="10668" xfId="0" applyFont="1" applyFill="1" applyBorder="1"/>
    <xf numFmtId="14" fontId="10718" fillId="10722" borderId="10669" xfId="0" applyNumberFormat="1" applyFont="1" applyFill="1" applyBorder="1"/>
    <xf numFmtId="0" fontId="10719" fillId="10723" borderId="10670" xfId="0" applyFont="1" applyFill="1" applyBorder="1"/>
    <xf numFmtId="0" fontId="10720" fillId="10724" borderId="10671" xfId="0" applyFont="1" applyFill="1" applyBorder="1"/>
    <xf numFmtId="0" fontId="10721" fillId="10725" borderId="10672" xfId="0" applyFont="1" applyFill="1" applyBorder="1"/>
    <xf numFmtId="0" fontId="10722" fillId="10726" borderId="10673" xfId="0" applyFont="1" applyFill="1" applyBorder="1"/>
    <xf numFmtId="0" fontId="10723" fillId="10727" borderId="10674" xfId="0" applyFont="1" applyFill="1" applyBorder="1"/>
    <xf numFmtId="0" fontId="10724" fillId="10728" borderId="10675" xfId="0" applyFont="1" applyFill="1" applyBorder="1"/>
    <xf numFmtId="0" fontId="10725" fillId="10729" borderId="10676" xfId="0" applyFont="1" applyFill="1" applyBorder="1"/>
    <xf numFmtId="14" fontId="10726" fillId="10730" borderId="10677" xfId="0" applyNumberFormat="1" applyFont="1" applyFill="1" applyBorder="1"/>
    <xf numFmtId="0" fontId="10727" fillId="10731" borderId="10678" xfId="0" applyFont="1" applyFill="1" applyBorder="1"/>
    <xf numFmtId="14" fontId="10728" fillId="10732" borderId="10679" xfId="0" applyNumberFormat="1" applyFont="1" applyFill="1" applyBorder="1"/>
    <xf numFmtId="0" fontId="10729" fillId="10733" borderId="10680" xfId="0" applyFont="1" applyFill="1" applyBorder="1"/>
    <xf numFmtId="0" fontId="10730" fillId="10734" borderId="10681" xfId="0" applyFont="1" applyFill="1" applyBorder="1"/>
    <xf numFmtId="0" fontId="10731" fillId="10735" borderId="10682" xfId="0" applyFont="1" applyFill="1" applyBorder="1"/>
    <xf numFmtId="0" fontId="10732" fillId="10736" borderId="10683" xfId="0" applyFont="1" applyFill="1" applyBorder="1"/>
    <xf numFmtId="0" fontId="10733" fillId="10737" borderId="10684" xfId="0" applyFont="1" applyFill="1" applyBorder="1"/>
    <xf numFmtId="0" fontId="10734" fillId="10738" borderId="10685" xfId="0" applyFont="1" applyFill="1" applyBorder="1"/>
    <xf numFmtId="0" fontId="10735" fillId="10739" borderId="10686" xfId="0" applyFont="1" applyFill="1" applyBorder="1"/>
    <xf numFmtId="14" fontId="10736" fillId="10740" borderId="10687" xfId="0" applyNumberFormat="1" applyFont="1" applyFill="1" applyBorder="1"/>
    <xf numFmtId="0" fontId="10737" fillId="10741" borderId="10688" xfId="0" applyFont="1" applyFill="1" applyBorder="1"/>
    <xf numFmtId="14" fontId="10738" fillId="10742" borderId="10689" xfId="0" applyNumberFormat="1" applyFont="1" applyFill="1" applyBorder="1"/>
    <xf numFmtId="0" fontId="10739" fillId="10743" borderId="10690" xfId="0" applyFont="1" applyFill="1" applyBorder="1"/>
    <xf numFmtId="0" fontId="10740" fillId="10744" borderId="10691" xfId="0" applyFont="1" applyFill="1" applyBorder="1"/>
    <xf numFmtId="0" fontId="10741" fillId="10745" borderId="10692" xfId="0" applyFont="1" applyFill="1" applyBorder="1"/>
    <xf numFmtId="0" fontId="10742" fillId="10746" borderId="10693" xfId="0" applyFont="1" applyFill="1" applyBorder="1"/>
    <xf numFmtId="0" fontId="10743" fillId="10747" borderId="10694" xfId="0" applyFont="1" applyFill="1" applyBorder="1"/>
    <xf numFmtId="0" fontId="10744" fillId="10748" borderId="10695" xfId="0" applyFont="1" applyFill="1" applyBorder="1"/>
    <xf numFmtId="0" fontId="10745" fillId="10749" borderId="10696" xfId="0" applyFont="1" applyFill="1" applyBorder="1"/>
    <xf numFmtId="14" fontId="10746" fillId="10750" borderId="10697" xfId="0" applyNumberFormat="1" applyFont="1" applyFill="1" applyBorder="1"/>
    <xf numFmtId="0" fontId="10747" fillId="10751" borderId="10698" xfId="0" applyFont="1" applyFill="1" applyBorder="1"/>
    <xf numFmtId="14" fontId="10748" fillId="10752" borderId="10699" xfId="0" applyNumberFormat="1" applyFont="1" applyFill="1" applyBorder="1"/>
    <xf numFmtId="0" fontId="10749" fillId="10753" borderId="10700" xfId="0" applyFont="1" applyFill="1" applyBorder="1"/>
    <xf numFmtId="0" fontId="10750" fillId="10754" borderId="10701" xfId="0" applyFont="1" applyFill="1" applyBorder="1"/>
    <xf numFmtId="0" fontId="10751" fillId="10755" borderId="10702" xfId="0" applyFont="1" applyFill="1" applyBorder="1"/>
    <xf numFmtId="0" fontId="10752" fillId="10756" borderId="10703" xfId="0" applyFont="1" applyFill="1" applyBorder="1"/>
    <xf numFmtId="0" fontId="10753" fillId="10757" borderId="10704" xfId="0" applyFont="1" applyFill="1" applyBorder="1"/>
    <xf numFmtId="0" fontId="10754" fillId="10758" borderId="10705" xfId="0" applyFont="1" applyFill="1" applyBorder="1"/>
    <xf numFmtId="0" fontId="10755" fillId="10759" borderId="10706" xfId="0" applyFont="1" applyFill="1" applyBorder="1"/>
    <xf numFmtId="14" fontId="10756" fillId="10760" borderId="10707" xfId="0" applyNumberFormat="1" applyFont="1" applyFill="1" applyBorder="1"/>
    <xf numFmtId="0" fontId="10757" fillId="10761" borderId="10708" xfId="0" applyFont="1" applyFill="1" applyBorder="1"/>
    <xf numFmtId="14" fontId="10758" fillId="10762" borderId="10709" xfId="0" applyNumberFormat="1" applyFont="1" applyFill="1" applyBorder="1"/>
    <xf numFmtId="0" fontId="10759" fillId="10763" borderId="10710" xfId="0" applyFont="1" applyFill="1" applyBorder="1"/>
    <xf numFmtId="0" fontId="10760" fillId="10764" borderId="10711" xfId="0" applyFont="1" applyFill="1" applyBorder="1"/>
    <xf numFmtId="0" fontId="10761" fillId="10765" borderId="10712" xfId="0" applyFont="1" applyFill="1" applyBorder="1"/>
    <xf numFmtId="0" fontId="10762" fillId="10766" borderId="10713" xfId="0" applyFont="1" applyFill="1" applyBorder="1"/>
    <xf numFmtId="0" fontId="10763" fillId="10767" borderId="10714" xfId="0" applyFont="1" applyFill="1" applyBorder="1"/>
    <xf numFmtId="0" fontId="10764" fillId="10768" borderId="10715" xfId="0" applyFont="1" applyFill="1" applyBorder="1"/>
    <xf numFmtId="0" fontId="10765" fillId="10769" borderId="10716" xfId="0" applyFont="1" applyFill="1" applyBorder="1"/>
    <xf numFmtId="14" fontId="10766" fillId="10770" borderId="10717" xfId="0" applyNumberFormat="1" applyFont="1" applyFill="1" applyBorder="1"/>
    <xf numFmtId="0" fontId="10767" fillId="10771" borderId="10718" xfId="0" applyFont="1" applyFill="1" applyBorder="1"/>
    <xf numFmtId="14" fontId="10768" fillId="10772" borderId="10719" xfId="0" applyNumberFormat="1" applyFont="1" applyFill="1" applyBorder="1"/>
    <xf numFmtId="0" fontId="10769" fillId="10773" borderId="10720" xfId="0" applyFont="1" applyFill="1" applyBorder="1"/>
    <xf numFmtId="0" fontId="10770" fillId="10774" borderId="10721" xfId="0" applyFont="1" applyFill="1" applyBorder="1"/>
    <xf numFmtId="0" fontId="10771" fillId="10775" borderId="10722" xfId="0" applyFont="1" applyFill="1" applyBorder="1"/>
    <xf numFmtId="0" fontId="10772" fillId="10776" borderId="10723" xfId="0" applyFont="1" applyFill="1" applyBorder="1"/>
    <xf numFmtId="0" fontId="10773" fillId="10777" borderId="10724" xfId="0" applyFont="1" applyFill="1" applyBorder="1"/>
    <xf numFmtId="0" fontId="10774" fillId="10778" borderId="10725" xfId="0" applyFont="1" applyFill="1" applyBorder="1"/>
    <xf numFmtId="0" fontId="10775" fillId="10779" borderId="10726" xfId="0" applyFont="1" applyFill="1" applyBorder="1"/>
    <xf numFmtId="14" fontId="10776" fillId="10780" borderId="10727" xfId="0" applyNumberFormat="1" applyFont="1" applyFill="1" applyBorder="1"/>
    <xf numFmtId="0" fontId="10777" fillId="10781" borderId="10728" xfId="0" applyFont="1" applyFill="1" applyBorder="1"/>
    <xf numFmtId="14" fontId="10778" fillId="10782" borderId="10729" xfId="0" applyNumberFormat="1" applyFont="1" applyFill="1" applyBorder="1"/>
    <xf numFmtId="0" fontId="10779" fillId="10783" borderId="10730" xfId="0" applyFont="1" applyFill="1" applyBorder="1"/>
    <xf numFmtId="0" fontId="10780" fillId="10784" borderId="10731" xfId="0" applyFont="1" applyFill="1" applyBorder="1"/>
    <xf numFmtId="0" fontId="10781" fillId="10785" borderId="10732" xfId="0" applyFont="1" applyFill="1" applyBorder="1"/>
    <xf numFmtId="0" fontId="10782" fillId="10786" borderId="10733" xfId="0" applyFont="1" applyFill="1" applyBorder="1"/>
    <xf numFmtId="0" fontId="10783" fillId="10787" borderId="10734" xfId="0" applyFont="1" applyFill="1" applyBorder="1"/>
    <xf numFmtId="0" fontId="10784" fillId="10788" borderId="10735" xfId="0" applyFont="1" applyFill="1" applyBorder="1"/>
    <xf numFmtId="0" fontId="10785" fillId="10789" borderId="10736" xfId="0" applyFont="1" applyFill="1" applyBorder="1"/>
    <xf numFmtId="14" fontId="10786" fillId="10790" borderId="10737" xfId="0" applyNumberFormat="1" applyFont="1" applyFill="1" applyBorder="1"/>
    <xf numFmtId="0" fontId="10787" fillId="10791" borderId="10738" xfId="0" applyFont="1" applyFill="1" applyBorder="1"/>
    <xf numFmtId="14" fontId="10788" fillId="10792" borderId="10739" xfId="0" applyNumberFormat="1" applyFont="1" applyFill="1" applyBorder="1"/>
    <xf numFmtId="0" fontId="10789" fillId="10793" borderId="10740" xfId="0" applyFont="1" applyFill="1" applyBorder="1"/>
    <xf numFmtId="0" fontId="10790" fillId="10794" borderId="10741" xfId="0" applyFont="1" applyFill="1" applyBorder="1"/>
    <xf numFmtId="0" fontId="10791" fillId="10795" borderId="10742" xfId="0" applyFont="1" applyFill="1" applyBorder="1"/>
    <xf numFmtId="0" fontId="10792" fillId="10796" borderId="10743" xfId="0" applyFont="1" applyFill="1" applyBorder="1"/>
    <xf numFmtId="0" fontId="10793" fillId="10797" borderId="10744" xfId="0" applyFont="1" applyFill="1" applyBorder="1"/>
    <xf numFmtId="0" fontId="10794" fillId="10798" borderId="10745" xfId="0" applyFont="1" applyFill="1" applyBorder="1"/>
    <xf numFmtId="0" fontId="10795" fillId="10799" borderId="10746" xfId="0" applyFont="1" applyFill="1" applyBorder="1"/>
    <xf numFmtId="14" fontId="10796" fillId="10800" borderId="10747" xfId="0" applyNumberFormat="1" applyFont="1" applyFill="1" applyBorder="1"/>
    <xf numFmtId="0" fontId="10797" fillId="10801" borderId="10748" xfId="0" applyFont="1" applyFill="1" applyBorder="1"/>
    <xf numFmtId="14" fontId="10798" fillId="10802" borderId="10749" xfId="0" applyNumberFormat="1" applyFont="1" applyFill="1" applyBorder="1"/>
    <xf numFmtId="0" fontId="10799" fillId="10803" borderId="10750" xfId="0" applyFont="1" applyFill="1" applyBorder="1"/>
    <xf numFmtId="0" fontId="10800" fillId="10804" borderId="10751" xfId="0" applyFont="1" applyFill="1" applyBorder="1"/>
    <xf numFmtId="0" fontId="10801" fillId="10805" borderId="10752" xfId="0" applyFont="1" applyFill="1" applyBorder="1"/>
    <xf numFmtId="0" fontId="10802" fillId="10806" borderId="10753" xfId="0" applyFont="1" applyFill="1" applyBorder="1"/>
    <xf numFmtId="0" fontId="10803" fillId="10807" borderId="10754" xfId="0" applyFont="1" applyFill="1" applyBorder="1"/>
    <xf numFmtId="0" fontId="10804" fillId="10808" borderId="10755" xfId="0" applyFont="1" applyFill="1" applyBorder="1"/>
    <xf numFmtId="0" fontId="10805" fillId="10809" borderId="10756" xfId="0" applyFont="1" applyFill="1" applyBorder="1"/>
    <xf numFmtId="14" fontId="10806" fillId="10810" borderId="10757" xfId="0" applyNumberFormat="1" applyFont="1" applyFill="1" applyBorder="1"/>
    <xf numFmtId="0" fontId="10807" fillId="10811" borderId="10758" xfId="0" applyFont="1" applyFill="1" applyBorder="1"/>
    <xf numFmtId="14" fontId="10808" fillId="10812" borderId="10759" xfId="0" applyNumberFormat="1" applyFont="1" applyFill="1" applyBorder="1"/>
    <xf numFmtId="0" fontId="10809" fillId="10813" borderId="10760" xfId="0" applyFont="1" applyFill="1" applyBorder="1"/>
    <xf numFmtId="0" fontId="10810" fillId="10814" borderId="10761" xfId="0" applyFont="1" applyFill="1" applyBorder="1"/>
    <xf numFmtId="0" fontId="10811" fillId="10815" borderId="10762" xfId="0" applyFont="1" applyFill="1" applyBorder="1"/>
    <xf numFmtId="0" fontId="10812" fillId="10816" borderId="10763" xfId="0" applyFont="1" applyFill="1" applyBorder="1"/>
    <xf numFmtId="0" fontId="10813" fillId="10817" borderId="10764" xfId="0" applyFont="1" applyFill="1" applyBorder="1"/>
    <xf numFmtId="0" fontId="10814" fillId="10818" borderId="10765" xfId="0" applyFont="1" applyFill="1" applyBorder="1"/>
    <xf numFmtId="0" fontId="10815" fillId="10819" borderId="10766" xfId="0" applyFont="1" applyFill="1" applyBorder="1"/>
    <xf numFmtId="14" fontId="10816" fillId="10820" borderId="10767" xfId="0" applyNumberFormat="1" applyFont="1" applyFill="1" applyBorder="1"/>
    <xf numFmtId="0" fontId="10817" fillId="10821" borderId="10768" xfId="0" applyFont="1" applyFill="1" applyBorder="1"/>
    <xf numFmtId="14" fontId="10818" fillId="10822" borderId="10769" xfId="0" applyNumberFormat="1" applyFont="1" applyFill="1" applyBorder="1"/>
    <xf numFmtId="0" fontId="10819" fillId="10823" borderId="10770" xfId="0" applyFont="1" applyFill="1" applyBorder="1"/>
    <xf numFmtId="0" fontId="10820" fillId="10824" borderId="10771" xfId="0" applyFont="1" applyFill="1" applyBorder="1"/>
    <xf numFmtId="0" fontId="10821" fillId="10825" borderId="10772" xfId="0" applyFont="1" applyFill="1" applyBorder="1"/>
    <xf numFmtId="0" fontId="10822" fillId="10826" borderId="10773" xfId="0" applyFont="1" applyFill="1" applyBorder="1"/>
    <xf numFmtId="0" fontId="10823" fillId="10827" borderId="10774" xfId="0" applyFont="1" applyFill="1" applyBorder="1"/>
    <xf numFmtId="0" fontId="10824" fillId="10828" borderId="10775" xfId="0" applyFont="1" applyFill="1" applyBorder="1"/>
    <xf numFmtId="0" fontId="10825" fillId="10829" borderId="10776" xfId="0" applyFont="1" applyFill="1" applyBorder="1"/>
    <xf numFmtId="14" fontId="10826" fillId="10830" borderId="10777" xfId="0" applyNumberFormat="1" applyFont="1" applyFill="1" applyBorder="1"/>
    <xf numFmtId="0" fontId="10827" fillId="10831" borderId="10778" xfId="0" applyFont="1" applyFill="1" applyBorder="1"/>
    <xf numFmtId="14" fontId="10828" fillId="10832" borderId="10779" xfId="0" applyNumberFormat="1" applyFont="1" applyFill="1" applyBorder="1"/>
    <xf numFmtId="0" fontId="10829" fillId="10833" borderId="10780" xfId="0" applyFont="1" applyFill="1" applyBorder="1"/>
    <xf numFmtId="0" fontId="10830" fillId="10834" borderId="10781" xfId="0" applyFont="1" applyFill="1" applyBorder="1"/>
    <xf numFmtId="0" fontId="10831" fillId="10835" borderId="10782" xfId="0" applyFont="1" applyFill="1" applyBorder="1"/>
    <xf numFmtId="0" fontId="10832" fillId="10836" borderId="10783" xfId="0" applyFont="1" applyFill="1" applyBorder="1"/>
    <xf numFmtId="0" fontId="10833" fillId="10837" borderId="10784" xfId="0" applyFont="1" applyFill="1" applyBorder="1"/>
    <xf numFmtId="0" fontId="10834" fillId="10838" borderId="10785" xfId="0" applyFont="1" applyFill="1" applyBorder="1"/>
    <xf numFmtId="0" fontId="10835" fillId="10839" borderId="10786" xfId="0" applyFont="1" applyFill="1" applyBorder="1"/>
    <xf numFmtId="14" fontId="10836" fillId="10840" borderId="10787" xfId="0" applyNumberFormat="1" applyFont="1" applyFill="1" applyBorder="1"/>
    <xf numFmtId="0" fontId="10837" fillId="10841" borderId="10788" xfId="0" applyFont="1" applyFill="1" applyBorder="1"/>
    <xf numFmtId="14" fontId="10838" fillId="10842" borderId="10789" xfId="0" applyNumberFormat="1" applyFont="1" applyFill="1" applyBorder="1"/>
    <xf numFmtId="0" fontId="10839" fillId="10843" borderId="10790" xfId="0" applyFont="1" applyFill="1" applyBorder="1"/>
    <xf numFmtId="0" fontId="10840" fillId="10844" borderId="10791" xfId="0" applyFont="1" applyFill="1" applyBorder="1"/>
    <xf numFmtId="0" fontId="10841" fillId="10845" borderId="10792" xfId="0" applyFont="1" applyFill="1" applyBorder="1"/>
    <xf numFmtId="0" fontId="10842" fillId="10846" borderId="10793" xfId="0" applyFont="1" applyFill="1" applyBorder="1"/>
    <xf numFmtId="0" fontId="10843" fillId="10847" borderId="10794" xfId="0" applyFont="1" applyFill="1" applyBorder="1"/>
    <xf numFmtId="0" fontId="10844" fillId="10848" borderId="10795" xfId="0" applyFont="1" applyFill="1" applyBorder="1"/>
    <xf numFmtId="0" fontId="10845" fillId="10849" borderId="10796" xfId="0" applyFont="1" applyFill="1" applyBorder="1"/>
    <xf numFmtId="14" fontId="10846" fillId="10850" borderId="10797" xfId="0" applyNumberFormat="1" applyFont="1" applyFill="1" applyBorder="1"/>
    <xf numFmtId="0" fontId="10847" fillId="10851" borderId="10798" xfId="0" applyFont="1" applyFill="1" applyBorder="1"/>
    <xf numFmtId="14" fontId="10848" fillId="10852" borderId="10799" xfId="0" applyNumberFormat="1" applyFont="1" applyFill="1" applyBorder="1"/>
    <xf numFmtId="0" fontId="10849" fillId="10853" borderId="10800" xfId="0" applyFont="1" applyFill="1" applyBorder="1"/>
    <xf numFmtId="0" fontId="10850" fillId="10854" borderId="10801" xfId="0" applyFont="1" applyFill="1" applyBorder="1"/>
    <xf numFmtId="0" fontId="10851" fillId="10855" borderId="10802" xfId="0" applyFont="1" applyFill="1" applyBorder="1"/>
    <xf numFmtId="0" fontId="10852" fillId="10856" borderId="10803" xfId="0" applyFont="1" applyFill="1" applyBorder="1"/>
    <xf numFmtId="0" fontId="10853" fillId="10857" borderId="10804" xfId="0" applyFont="1" applyFill="1" applyBorder="1"/>
    <xf numFmtId="0" fontId="10854" fillId="10858" borderId="10805" xfId="0" applyFont="1" applyFill="1" applyBorder="1"/>
    <xf numFmtId="0" fontId="10855" fillId="10859" borderId="10806" xfId="0" applyFont="1" applyFill="1" applyBorder="1"/>
    <xf numFmtId="14" fontId="10856" fillId="10860" borderId="10807" xfId="0" applyNumberFormat="1" applyFont="1" applyFill="1" applyBorder="1"/>
    <xf numFmtId="0" fontId="10857" fillId="10861" borderId="10808" xfId="0" applyFont="1" applyFill="1" applyBorder="1"/>
    <xf numFmtId="14" fontId="10858" fillId="10862" borderId="10809" xfId="0" applyNumberFormat="1" applyFont="1" applyFill="1" applyBorder="1"/>
    <xf numFmtId="0" fontId="10859" fillId="10863" borderId="10810" xfId="0" applyFont="1" applyFill="1" applyBorder="1"/>
    <xf numFmtId="0" fontId="10860" fillId="10864" borderId="10811" xfId="0" applyFont="1" applyFill="1" applyBorder="1"/>
    <xf numFmtId="0" fontId="10861" fillId="10865" borderId="10812" xfId="0" applyFont="1" applyFill="1" applyBorder="1"/>
    <xf numFmtId="0" fontId="10862" fillId="10866" borderId="10813" xfId="0" applyFont="1" applyFill="1" applyBorder="1"/>
    <xf numFmtId="0" fontId="10863" fillId="10867" borderId="10814" xfId="0" applyFont="1" applyFill="1" applyBorder="1"/>
    <xf numFmtId="0" fontId="10864" fillId="10868" borderId="10815" xfId="0" applyFont="1" applyFill="1" applyBorder="1"/>
    <xf numFmtId="0" fontId="10865" fillId="10869" borderId="10816" xfId="0" applyFont="1" applyFill="1" applyBorder="1"/>
    <xf numFmtId="14" fontId="10866" fillId="10870" borderId="10817" xfId="0" applyNumberFormat="1" applyFont="1" applyFill="1" applyBorder="1"/>
    <xf numFmtId="0" fontId="10867" fillId="10871" borderId="10818" xfId="0" applyFont="1" applyFill="1" applyBorder="1"/>
    <xf numFmtId="14" fontId="10868" fillId="10872" borderId="10819" xfId="0" applyNumberFormat="1" applyFont="1" applyFill="1" applyBorder="1"/>
    <xf numFmtId="0" fontId="10869" fillId="10873" borderId="10820" xfId="0" applyFont="1" applyFill="1" applyBorder="1"/>
    <xf numFmtId="0" fontId="10870" fillId="10874" borderId="10821" xfId="0" applyFont="1" applyFill="1" applyBorder="1"/>
    <xf numFmtId="0" fontId="10871" fillId="10875" borderId="10822" xfId="0" applyFont="1" applyFill="1" applyBorder="1"/>
    <xf numFmtId="0" fontId="10872" fillId="10876" borderId="10823" xfId="0" applyFont="1" applyFill="1" applyBorder="1"/>
    <xf numFmtId="0" fontId="10873" fillId="10877" borderId="10824" xfId="0" applyFont="1" applyFill="1" applyBorder="1"/>
    <xf numFmtId="0" fontId="10874" fillId="10878" borderId="10825" xfId="0" applyFont="1" applyFill="1" applyBorder="1"/>
    <xf numFmtId="0" fontId="10875" fillId="10879" borderId="10826" xfId="0" applyFont="1" applyFill="1" applyBorder="1"/>
    <xf numFmtId="14" fontId="10876" fillId="10880" borderId="10827" xfId="0" applyNumberFormat="1" applyFont="1" applyFill="1" applyBorder="1"/>
    <xf numFmtId="0" fontId="10877" fillId="10881" borderId="10828" xfId="0" applyFont="1" applyFill="1" applyBorder="1"/>
    <xf numFmtId="14" fontId="10878" fillId="10882" borderId="10829" xfId="0" applyNumberFormat="1" applyFont="1" applyFill="1" applyBorder="1"/>
    <xf numFmtId="0" fontId="10879" fillId="10883" borderId="10830" xfId="0" applyFont="1" applyFill="1" applyBorder="1"/>
    <xf numFmtId="0" fontId="10880" fillId="10884" borderId="10831" xfId="0" applyFont="1" applyFill="1" applyBorder="1"/>
    <xf numFmtId="0" fontId="10881" fillId="10885" borderId="10832" xfId="0" applyFont="1" applyFill="1" applyBorder="1"/>
    <xf numFmtId="0" fontId="10882" fillId="10886" borderId="10833" xfId="0" applyFont="1" applyFill="1" applyBorder="1"/>
    <xf numFmtId="0" fontId="10883" fillId="10887" borderId="10834" xfId="0" applyFont="1" applyFill="1" applyBorder="1"/>
    <xf numFmtId="0" fontId="10884" fillId="10888" borderId="10835" xfId="0" applyFont="1" applyFill="1" applyBorder="1"/>
    <xf numFmtId="0" fontId="10885" fillId="10889" borderId="10836" xfId="0" applyFont="1" applyFill="1" applyBorder="1"/>
    <xf numFmtId="14" fontId="10886" fillId="10890" borderId="10837" xfId="0" applyNumberFormat="1" applyFont="1" applyFill="1" applyBorder="1"/>
    <xf numFmtId="0" fontId="10887" fillId="10891" borderId="10838" xfId="0" applyFont="1" applyFill="1" applyBorder="1"/>
    <xf numFmtId="14" fontId="10888" fillId="10892" borderId="10839" xfId="0" applyNumberFormat="1" applyFont="1" applyFill="1" applyBorder="1"/>
    <xf numFmtId="0" fontId="10889" fillId="10893" borderId="10840" xfId="0" applyFont="1" applyFill="1" applyBorder="1"/>
    <xf numFmtId="0" fontId="10890" fillId="10894" borderId="10841" xfId="0" applyFont="1" applyFill="1" applyBorder="1"/>
    <xf numFmtId="0" fontId="10891" fillId="10895" borderId="10842" xfId="0" applyFont="1" applyFill="1" applyBorder="1"/>
    <xf numFmtId="0" fontId="10892" fillId="10896" borderId="10843" xfId="0" applyFont="1" applyFill="1" applyBorder="1"/>
    <xf numFmtId="0" fontId="10893" fillId="10897" borderId="10844" xfId="0" applyFont="1" applyFill="1" applyBorder="1"/>
    <xf numFmtId="0" fontId="10894" fillId="10898" borderId="10845" xfId="0" applyFont="1" applyFill="1" applyBorder="1"/>
    <xf numFmtId="0" fontId="10895" fillId="10899" borderId="10846" xfId="0" applyFont="1" applyFill="1" applyBorder="1"/>
    <xf numFmtId="14" fontId="10896" fillId="10900" borderId="10847" xfId="0" applyNumberFormat="1" applyFont="1" applyFill="1" applyBorder="1"/>
    <xf numFmtId="0" fontId="10897" fillId="10901" borderId="10848" xfId="0" applyFont="1" applyFill="1" applyBorder="1"/>
    <xf numFmtId="14" fontId="10898" fillId="10902" borderId="10849" xfId="0" applyNumberFormat="1" applyFont="1" applyFill="1" applyBorder="1"/>
    <xf numFmtId="0" fontId="10899" fillId="10903" borderId="10850" xfId="0" applyFont="1" applyFill="1" applyBorder="1"/>
    <xf numFmtId="0" fontId="10900" fillId="10904" borderId="10851" xfId="0" applyFont="1" applyFill="1" applyBorder="1"/>
    <xf numFmtId="0" fontId="10901" fillId="10905" borderId="10852" xfId="0" applyFont="1" applyFill="1" applyBorder="1"/>
    <xf numFmtId="0" fontId="10902" fillId="10906" borderId="10853" xfId="0" applyFont="1" applyFill="1" applyBorder="1"/>
    <xf numFmtId="0" fontId="10903" fillId="10907" borderId="10854" xfId="0" applyFont="1" applyFill="1" applyBorder="1"/>
    <xf numFmtId="0" fontId="10904" fillId="10908" borderId="10855" xfId="0" applyFont="1" applyFill="1" applyBorder="1"/>
    <xf numFmtId="0" fontId="10905" fillId="10909" borderId="10856" xfId="0" applyFont="1" applyFill="1" applyBorder="1"/>
    <xf numFmtId="14" fontId="10906" fillId="10910" borderId="10857" xfId="0" applyNumberFormat="1" applyFont="1" applyFill="1" applyBorder="1"/>
    <xf numFmtId="0" fontId="10907" fillId="10911" borderId="10858" xfId="0" applyFont="1" applyFill="1" applyBorder="1"/>
    <xf numFmtId="14" fontId="10908" fillId="10912" borderId="10859" xfId="0" applyNumberFormat="1" applyFont="1" applyFill="1" applyBorder="1"/>
    <xf numFmtId="0" fontId="10909" fillId="10913" borderId="10860" xfId="0" applyFont="1" applyFill="1" applyBorder="1"/>
    <xf numFmtId="0" fontId="10910" fillId="10914" borderId="10861" xfId="0" applyFont="1" applyFill="1" applyBorder="1"/>
    <xf numFmtId="0" fontId="10911" fillId="10915" borderId="10862" xfId="0" applyFont="1" applyFill="1" applyBorder="1"/>
    <xf numFmtId="0" fontId="10912" fillId="10916" borderId="10863" xfId="0" applyFont="1" applyFill="1" applyBorder="1"/>
    <xf numFmtId="0" fontId="10913" fillId="10917" borderId="10864" xfId="0" applyFont="1" applyFill="1" applyBorder="1"/>
    <xf numFmtId="0" fontId="10914" fillId="10918" borderId="10865" xfId="0" applyFont="1" applyFill="1" applyBorder="1"/>
    <xf numFmtId="0" fontId="10915" fillId="10919" borderId="10866" xfId="0" applyFont="1" applyFill="1" applyBorder="1"/>
    <xf numFmtId="14" fontId="10916" fillId="10920" borderId="10867" xfId="0" applyNumberFormat="1" applyFont="1" applyFill="1" applyBorder="1"/>
    <xf numFmtId="0" fontId="10917" fillId="10921" borderId="10868" xfId="0" applyFont="1" applyFill="1" applyBorder="1"/>
    <xf numFmtId="14" fontId="10918" fillId="10922" borderId="10869" xfId="0" applyNumberFormat="1" applyFont="1" applyFill="1" applyBorder="1"/>
    <xf numFmtId="0" fontId="10919" fillId="10923" borderId="10870" xfId="0" applyFont="1" applyFill="1" applyBorder="1"/>
    <xf numFmtId="0" fontId="10920" fillId="10924" borderId="10871" xfId="0" applyFont="1" applyFill="1" applyBorder="1"/>
    <xf numFmtId="0" fontId="10921" fillId="10925" borderId="10872" xfId="0" applyFont="1" applyFill="1" applyBorder="1"/>
    <xf numFmtId="0" fontId="10922" fillId="10926" borderId="10873" xfId="0" applyFont="1" applyFill="1" applyBorder="1"/>
    <xf numFmtId="0" fontId="10923" fillId="10927" borderId="10874" xfId="0" applyFont="1" applyFill="1" applyBorder="1"/>
    <xf numFmtId="0" fontId="10924" fillId="10928" borderId="10875" xfId="0" applyFont="1" applyFill="1" applyBorder="1"/>
    <xf numFmtId="0" fontId="10925" fillId="10929" borderId="10876" xfId="0" applyFont="1" applyFill="1" applyBorder="1"/>
    <xf numFmtId="14" fontId="10926" fillId="10930" borderId="10877" xfId="0" applyNumberFormat="1" applyFont="1" applyFill="1" applyBorder="1"/>
    <xf numFmtId="0" fontId="10927" fillId="10931" borderId="10878" xfId="0" applyFont="1" applyFill="1" applyBorder="1"/>
    <xf numFmtId="14" fontId="10928" fillId="10932" borderId="10879" xfId="0" applyNumberFormat="1" applyFont="1" applyFill="1" applyBorder="1"/>
    <xf numFmtId="0" fontId="10929" fillId="10933" borderId="10880" xfId="0" applyFont="1" applyFill="1" applyBorder="1"/>
    <xf numFmtId="0" fontId="10930" fillId="10934" borderId="10881" xfId="0" applyFont="1" applyFill="1" applyBorder="1"/>
    <xf numFmtId="0" fontId="10931" fillId="10935" borderId="10882" xfId="0" applyFont="1" applyFill="1" applyBorder="1"/>
    <xf numFmtId="0" fontId="10932" fillId="10936" borderId="10883" xfId="0" applyFont="1" applyFill="1" applyBorder="1"/>
    <xf numFmtId="0" fontId="10933" fillId="10937" borderId="10884" xfId="0" applyFont="1" applyFill="1" applyBorder="1"/>
    <xf numFmtId="0" fontId="10934" fillId="10938" borderId="10885" xfId="0" applyFont="1" applyFill="1" applyBorder="1"/>
    <xf numFmtId="0" fontId="10935" fillId="10939" borderId="10886" xfId="0" applyFont="1" applyFill="1" applyBorder="1"/>
    <xf numFmtId="14" fontId="10936" fillId="10940" borderId="10887" xfId="0" applyNumberFormat="1" applyFont="1" applyFill="1" applyBorder="1"/>
    <xf numFmtId="0" fontId="10937" fillId="10941" borderId="10888" xfId="0" applyFont="1" applyFill="1" applyBorder="1"/>
    <xf numFmtId="14" fontId="10938" fillId="10942" borderId="10889" xfId="0" applyNumberFormat="1" applyFont="1" applyFill="1" applyBorder="1"/>
    <xf numFmtId="0" fontId="10939" fillId="10943" borderId="10890" xfId="0" applyFont="1" applyFill="1" applyBorder="1"/>
    <xf numFmtId="0" fontId="10940" fillId="10944" borderId="10891" xfId="0" applyFont="1" applyFill="1" applyBorder="1"/>
    <xf numFmtId="0" fontId="10941" fillId="10945" borderId="10892" xfId="0" applyFont="1" applyFill="1" applyBorder="1"/>
    <xf numFmtId="0" fontId="10942" fillId="10946" borderId="10893" xfId="0" applyFont="1" applyFill="1" applyBorder="1"/>
    <xf numFmtId="0" fontId="10943" fillId="10947" borderId="10894" xfId="0" applyFont="1" applyFill="1" applyBorder="1"/>
    <xf numFmtId="0" fontId="10944" fillId="10948" borderId="10895" xfId="0" applyFont="1" applyFill="1" applyBorder="1"/>
    <xf numFmtId="0" fontId="10945" fillId="10949" borderId="10896" xfId="0" applyFont="1" applyFill="1" applyBorder="1"/>
    <xf numFmtId="14" fontId="10946" fillId="10950" borderId="10897" xfId="0" applyNumberFormat="1" applyFont="1" applyFill="1" applyBorder="1"/>
    <xf numFmtId="0" fontId="10947" fillId="10951" borderId="10898" xfId="0" applyFont="1" applyFill="1" applyBorder="1"/>
    <xf numFmtId="14" fontId="10948" fillId="10952" borderId="10899" xfId="0" applyNumberFormat="1" applyFont="1" applyFill="1" applyBorder="1"/>
    <xf numFmtId="0" fontId="10949" fillId="10953" borderId="10900" xfId="0" applyFont="1" applyFill="1" applyBorder="1"/>
    <xf numFmtId="0" fontId="10950" fillId="10954" borderId="10901" xfId="0" applyFont="1" applyFill="1" applyBorder="1"/>
    <xf numFmtId="0" fontId="10951" fillId="10955" borderId="10902" xfId="0" applyFont="1" applyFill="1" applyBorder="1"/>
    <xf numFmtId="0" fontId="10952" fillId="10956" borderId="10903" xfId="0" applyFont="1" applyFill="1" applyBorder="1"/>
    <xf numFmtId="0" fontId="10953" fillId="10957" borderId="10904" xfId="0" applyFont="1" applyFill="1" applyBorder="1"/>
    <xf numFmtId="0" fontId="10954" fillId="10958" borderId="10905" xfId="0" applyFont="1" applyFill="1" applyBorder="1"/>
    <xf numFmtId="0" fontId="10955" fillId="10959" borderId="10906" xfId="0" applyFont="1" applyFill="1" applyBorder="1"/>
    <xf numFmtId="14" fontId="10956" fillId="10960" borderId="10907" xfId="0" applyNumberFormat="1" applyFont="1" applyFill="1" applyBorder="1"/>
    <xf numFmtId="0" fontId="10957" fillId="10961" borderId="10908" xfId="0" applyFont="1" applyFill="1" applyBorder="1"/>
    <xf numFmtId="14" fontId="10958" fillId="10962" borderId="10909" xfId="0" applyNumberFormat="1" applyFont="1" applyFill="1" applyBorder="1"/>
    <xf numFmtId="0" fontId="10959" fillId="10963" borderId="10910" xfId="0" applyFont="1" applyFill="1" applyBorder="1"/>
    <xf numFmtId="0" fontId="10960" fillId="10964" borderId="10911" xfId="0" applyFont="1" applyFill="1" applyBorder="1"/>
    <xf numFmtId="0" fontId="10961" fillId="10965" borderId="10912" xfId="0" applyFont="1" applyFill="1" applyBorder="1"/>
    <xf numFmtId="0" fontId="10962" fillId="10966" borderId="10913" xfId="0" applyFont="1" applyFill="1" applyBorder="1"/>
    <xf numFmtId="0" fontId="10963" fillId="10967" borderId="10914" xfId="0" applyFont="1" applyFill="1" applyBorder="1"/>
    <xf numFmtId="0" fontId="10964" fillId="10968" borderId="10915" xfId="0" applyFont="1" applyFill="1" applyBorder="1"/>
    <xf numFmtId="0" fontId="10965" fillId="10969" borderId="10916" xfId="0" applyFont="1" applyFill="1" applyBorder="1"/>
    <xf numFmtId="14" fontId="10966" fillId="10970" borderId="10917" xfId="0" applyNumberFormat="1" applyFont="1" applyFill="1" applyBorder="1"/>
    <xf numFmtId="0" fontId="10967" fillId="10971" borderId="10918" xfId="0" applyFont="1" applyFill="1" applyBorder="1"/>
    <xf numFmtId="14" fontId="10968" fillId="10972" borderId="10919" xfId="0" applyNumberFormat="1" applyFont="1" applyFill="1" applyBorder="1"/>
    <xf numFmtId="0" fontId="10969" fillId="10973" borderId="10920" xfId="0" applyFont="1" applyFill="1" applyBorder="1"/>
    <xf numFmtId="0" fontId="10970" fillId="10974" borderId="10921" xfId="0" applyFont="1" applyFill="1" applyBorder="1"/>
    <xf numFmtId="0" fontId="10971" fillId="10975" borderId="10922" xfId="0" applyFont="1" applyFill="1" applyBorder="1"/>
    <xf numFmtId="0" fontId="10972" fillId="10976" borderId="10923" xfId="0" applyFont="1" applyFill="1" applyBorder="1"/>
    <xf numFmtId="0" fontId="10973" fillId="10977" borderId="10924" xfId="0" applyFont="1" applyFill="1" applyBorder="1"/>
    <xf numFmtId="0" fontId="10974" fillId="10978" borderId="10925" xfId="0" applyFont="1" applyFill="1" applyBorder="1"/>
    <xf numFmtId="0" fontId="10975" fillId="10979" borderId="10926" xfId="0" applyFont="1" applyFill="1" applyBorder="1"/>
    <xf numFmtId="14" fontId="10976" fillId="10980" borderId="10927" xfId="0" applyNumberFormat="1" applyFont="1" applyFill="1" applyBorder="1"/>
    <xf numFmtId="0" fontId="10977" fillId="10981" borderId="10928" xfId="0" applyFont="1" applyFill="1" applyBorder="1"/>
    <xf numFmtId="14" fontId="10978" fillId="10982" borderId="10929" xfId="0" applyNumberFormat="1" applyFont="1" applyFill="1" applyBorder="1"/>
    <xf numFmtId="0" fontId="10979" fillId="10983" borderId="10930" xfId="0" applyFont="1" applyFill="1" applyBorder="1"/>
    <xf numFmtId="0" fontId="10980" fillId="10984" borderId="10931" xfId="0" applyFont="1" applyFill="1" applyBorder="1"/>
    <xf numFmtId="0" fontId="10981" fillId="10985" borderId="10932" xfId="0" applyFont="1" applyFill="1" applyBorder="1"/>
    <xf numFmtId="0" fontId="10982" fillId="10986" borderId="10933" xfId="0" applyFont="1" applyFill="1" applyBorder="1"/>
    <xf numFmtId="0" fontId="10983" fillId="10987" borderId="10934" xfId="0" applyFont="1" applyFill="1" applyBorder="1"/>
    <xf numFmtId="0" fontId="10984" fillId="10988" borderId="10935" xfId="0" applyFont="1" applyFill="1" applyBorder="1"/>
    <xf numFmtId="0" fontId="10985" fillId="10989" borderId="10936" xfId="0" applyFont="1" applyFill="1" applyBorder="1"/>
    <xf numFmtId="14" fontId="10986" fillId="10990" borderId="10937" xfId="0" applyNumberFormat="1" applyFont="1" applyFill="1" applyBorder="1"/>
    <xf numFmtId="0" fontId="10987" fillId="10991" borderId="10938" xfId="0" applyFont="1" applyFill="1" applyBorder="1"/>
    <xf numFmtId="14" fontId="10988" fillId="10992" borderId="10939" xfId="0" applyNumberFormat="1" applyFont="1" applyFill="1" applyBorder="1"/>
    <xf numFmtId="0" fontId="10989" fillId="10993" borderId="10940" xfId="0" applyFont="1" applyFill="1" applyBorder="1"/>
    <xf numFmtId="0" fontId="10990" fillId="10994" borderId="10941" xfId="0" applyFont="1" applyFill="1" applyBorder="1"/>
    <xf numFmtId="0" fontId="10991" fillId="10995" borderId="10942" xfId="0" applyFont="1" applyFill="1" applyBorder="1"/>
    <xf numFmtId="0" fontId="10992" fillId="10996" borderId="10943" xfId="0" applyFont="1" applyFill="1" applyBorder="1"/>
    <xf numFmtId="0" fontId="10993" fillId="10997" borderId="10944" xfId="0" applyFont="1" applyFill="1" applyBorder="1"/>
    <xf numFmtId="0" fontId="10994" fillId="10998" borderId="10945" xfId="0" applyFont="1" applyFill="1" applyBorder="1"/>
    <xf numFmtId="0" fontId="10995" fillId="10999" borderId="10946" xfId="0" applyFont="1" applyFill="1" applyBorder="1"/>
    <xf numFmtId="14" fontId="10996" fillId="11000" borderId="10947" xfId="0" applyNumberFormat="1" applyFont="1" applyFill="1" applyBorder="1"/>
    <xf numFmtId="0" fontId="10997" fillId="11001" borderId="10948" xfId="0" applyFont="1" applyFill="1" applyBorder="1"/>
    <xf numFmtId="14" fontId="10998" fillId="11002" borderId="10949" xfId="0" applyNumberFormat="1" applyFont="1" applyFill="1" applyBorder="1"/>
    <xf numFmtId="0" fontId="10999" fillId="11003" borderId="10950" xfId="0" applyFont="1" applyFill="1" applyBorder="1"/>
    <xf numFmtId="0" fontId="11000" fillId="11004" borderId="10951" xfId="0" applyFont="1" applyFill="1" applyBorder="1"/>
    <xf numFmtId="0" fontId="11001" fillId="11005" borderId="10952" xfId="0" applyFont="1" applyFill="1" applyBorder="1"/>
    <xf numFmtId="0" fontId="11002" fillId="11006" borderId="10953" xfId="0" applyFont="1" applyFill="1" applyBorder="1"/>
    <xf numFmtId="0" fontId="11003" fillId="11007" borderId="10954" xfId="0" applyFont="1" applyFill="1" applyBorder="1"/>
    <xf numFmtId="0" fontId="11004" fillId="11008" borderId="10955" xfId="0" applyFont="1" applyFill="1" applyBorder="1"/>
    <xf numFmtId="0" fontId="11005" fillId="11009" borderId="10956" xfId="0" applyFont="1" applyFill="1" applyBorder="1"/>
    <xf numFmtId="14" fontId="11006" fillId="11010" borderId="10957" xfId="0" applyNumberFormat="1" applyFont="1" applyFill="1" applyBorder="1"/>
    <xf numFmtId="0" fontId="11007" fillId="11011" borderId="10958" xfId="0" applyFont="1" applyFill="1" applyBorder="1"/>
    <xf numFmtId="14" fontId="11008" fillId="11012" borderId="10959" xfId="0" applyNumberFormat="1" applyFont="1" applyFill="1" applyBorder="1"/>
    <xf numFmtId="0" fontId="11009" fillId="11013" borderId="10960" xfId="0" applyFont="1" applyFill="1" applyBorder="1"/>
    <xf numFmtId="0" fontId="11010" fillId="11014" borderId="10961" xfId="0" applyFont="1" applyFill="1" applyBorder="1"/>
    <xf numFmtId="0" fontId="11011" fillId="11015" borderId="10962" xfId="0" applyFont="1" applyFill="1" applyBorder="1"/>
    <xf numFmtId="0" fontId="11012" fillId="11016" borderId="10963" xfId="0" applyFont="1" applyFill="1" applyBorder="1"/>
    <xf numFmtId="0" fontId="11013" fillId="11017" borderId="10964" xfId="0" applyFont="1" applyFill="1" applyBorder="1"/>
    <xf numFmtId="0" fontId="11014" fillId="11018" borderId="10965" xfId="0" applyFont="1" applyFill="1" applyBorder="1"/>
    <xf numFmtId="0" fontId="11015" fillId="11019" borderId="10966" xfId="0" applyFont="1" applyFill="1" applyBorder="1"/>
    <xf numFmtId="14" fontId="11016" fillId="11020" borderId="10967" xfId="0" applyNumberFormat="1" applyFont="1" applyFill="1" applyBorder="1"/>
    <xf numFmtId="0" fontId="11017" fillId="11021" borderId="10968" xfId="0" applyFont="1" applyFill="1" applyBorder="1"/>
    <xf numFmtId="14" fontId="11018" fillId="11022" borderId="10969" xfId="0" applyNumberFormat="1" applyFont="1" applyFill="1" applyBorder="1"/>
    <xf numFmtId="0" fontId="11019" fillId="11023" borderId="10970" xfId="0" applyFont="1" applyFill="1" applyBorder="1"/>
    <xf numFmtId="0" fontId="11020" fillId="11024" borderId="10971" xfId="0" applyFont="1" applyFill="1" applyBorder="1"/>
    <xf numFmtId="0" fontId="11021" fillId="11025" borderId="10972" xfId="0" applyFont="1" applyFill="1" applyBorder="1"/>
    <xf numFmtId="0" fontId="11022" fillId="11026" borderId="10973" xfId="0" applyFont="1" applyFill="1" applyBorder="1"/>
    <xf numFmtId="0" fontId="11023" fillId="11027" borderId="10974" xfId="0" applyFont="1" applyFill="1" applyBorder="1"/>
    <xf numFmtId="0" fontId="11024" fillId="11028" borderId="10975" xfId="0" applyFont="1" applyFill="1" applyBorder="1"/>
    <xf numFmtId="0" fontId="11025" fillId="11029" borderId="10976" xfId="0" applyFont="1" applyFill="1" applyBorder="1"/>
    <xf numFmtId="14" fontId="11026" fillId="11030" borderId="10977" xfId="0" applyNumberFormat="1" applyFont="1" applyFill="1" applyBorder="1"/>
    <xf numFmtId="0" fontId="11027" fillId="11031" borderId="10978" xfId="0" applyFont="1" applyFill="1" applyBorder="1"/>
    <xf numFmtId="14" fontId="11028" fillId="11032" borderId="10979" xfId="0" applyNumberFormat="1" applyFont="1" applyFill="1" applyBorder="1"/>
    <xf numFmtId="0" fontId="11029" fillId="11033" borderId="10980" xfId="0" applyFont="1" applyFill="1" applyBorder="1"/>
    <xf numFmtId="0" fontId="11030" fillId="11034" borderId="10981" xfId="0" applyFont="1" applyFill="1" applyBorder="1"/>
    <xf numFmtId="0" fontId="11031" fillId="11035" borderId="10982" xfId="0" applyFont="1" applyFill="1" applyBorder="1"/>
    <xf numFmtId="0" fontId="11032" fillId="11036" borderId="10983" xfId="0" applyFont="1" applyFill="1" applyBorder="1"/>
    <xf numFmtId="0" fontId="11033" fillId="11037" borderId="10984" xfId="0" applyFont="1" applyFill="1" applyBorder="1"/>
    <xf numFmtId="0" fontId="11034" fillId="11038" borderId="10985" xfId="0" applyFont="1" applyFill="1" applyBorder="1"/>
    <xf numFmtId="0" fontId="11035" fillId="11039" borderId="10986" xfId="0" applyFont="1" applyFill="1" applyBorder="1"/>
    <xf numFmtId="14" fontId="11036" fillId="11040" borderId="10987" xfId="0" applyNumberFormat="1" applyFont="1" applyFill="1" applyBorder="1"/>
    <xf numFmtId="0" fontId="11037" fillId="11041" borderId="10988" xfId="0" applyFont="1" applyFill="1" applyBorder="1"/>
    <xf numFmtId="14" fontId="11038" fillId="11042" borderId="10989" xfId="0" applyNumberFormat="1" applyFont="1" applyFill="1" applyBorder="1"/>
    <xf numFmtId="0" fontId="11039" fillId="11043" borderId="10990" xfId="0" applyFont="1" applyFill="1" applyBorder="1"/>
    <xf numFmtId="0" fontId="11040" fillId="11044" borderId="10991" xfId="0" applyFont="1" applyFill="1" applyBorder="1"/>
    <xf numFmtId="0" fontId="11041" fillId="11045" borderId="10992" xfId="0" applyFont="1" applyFill="1" applyBorder="1"/>
    <xf numFmtId="0" fontId="11042" fillId="11046" borderId="10993" xfId="0" applyFont="1" applyFill="1" applyBorder="1"/>
    <xf numFmtId="0" fontId="11043" fillId="11047" borderId="10994" xfId="0" applyFont="1" applyFill="1" applyBorder="1"/>
    <xf numFmtId="0" fontId="11044" fillId="11048" borderId="10995" xfId="0" applyFont="1" applyFill="1" applyBorder="1"/>
    <xf numFmtId="0" fontId="11045" fillId="11049" borderId="10996" xfId="0" applyFont="1" applyFill="1" applyBorder="1"/>
    <xf numFmtId="14" fontId="11046" fillId="11050" borderId="10997" xfId="0" applyNumberFormat="1" applyFont="1" applyFill="1" applyBorder="1"/>
    <xf numFmtId="0" fontId="11047" fillId="11051" borderId="10998" xfId="0" applyFont="1" applyFill="1" applyBorder="1"/>
    <xf numFmtId="14" fontId="11048" fillId="11052" borderId="10999" xfId="0" applyNumberFormat="1" applyFont="1" applyFill="1" applyBorder="1"/>
    <xf numFmtId="0" fontId="11049" fillId="11053" borderId="11000" xfId="0" applyFont="1" applyFill="1" applyBorder="1"/>
    <xf numFmtId="0" fontId="11050" fillId="11054" borderId="11001" xfId="0" applyFont="1" applyFill="1" applyBorder="1"/>
    <xf numFmtId="0" fontId="11051" fillId="11055" borderId="11002" xfId="0" applyFont="1" applyFill="1" applyBorder="1"/>
    <xf numFmtId="0" fontId="11052" fillId="11056" borderId="11003" xfId="0" applyFont="1" applyFill="1" applyBorder="1"/>
    <xf numFmtId="0" fontId="11053" fillId="11057" borderId="11004" xfId="0" applyFont="1" applyFill="1" applyBorder="1"/>
    <xf numFmtId="0" fontId="11054" fillId="11058" borderId="11005" xfId="0" applyFont="1" applyFill="1" applyBorder="1"/>
    <xf numFmtId="0" fontId="11055" fillId="11059" borderId="11006" xfId="0" applyFont="1" applyFill="1" applyBorder="1"/>
    <xf numFmtId="14" fontId="11056" fillId="11060" borderId="11007" xfId="0" applyNumberFormat="1" applyFont="1" applyFill="1" applyBorder="1"/>
    <xf numFmtId="0" fontId="11057" fillId="11061" borderId="11008" xfId="0" applyFont="1" applyFill="1" applyBorder="1"/>
    <xf numFmtId="14" fontId="11058" fillId="11062" borderId="11009" xfId="0" applyNumberFormat="1" applyFont="1" applyFill="1" applyBorder="1"/>
    <xf numFmtId="0" fontId="11059" fillId="11063" borderId="11010" xfId="0" applyFont="1" applyFill="1" applyBorder="1"/>
    <xf numFmtId="0" fontId="11060" fillId="11064" borderId="11011" xfId="0" applyFont="1" applyFill="1" applyBorder="1"/>
    <xf numFmtId="0" fontId="11061" fillId="11065" borderId="11012" xfId="0" applyFont="1" applyFill="1" applyBorder="1"/>
    <xf numFmtId="0" fontId="11062" fillId="11066" borderId="11013" xfId="0" applyFont="1" applyFill="1" applyBorder="1"/>
    <xf numFmtId="0" fontId="11063" fillId="11067" borderId="11014" xfId="0" applyFont="1" applyFill="1" applyBorder="1"/>
    <xf numFmtId="0" fontId="11064" fillId="11068" borderId="11015" xfId="0" applyFont="1" applyFill="1" applyBorder="1"/>
    <xf numFmtId="0" fontId="11065" fillId="11069" borderId="11016" xfId="0" applyFont="1" applyFill="1" applyBorder="1"/>
    <xf numFmtId="14" fontId="11066" fillId="11070" borderId="11017" xfId="0" applyNumberFormat="1" applyFont="1" applyFill="1" applyBorder="1"/>
    <xf numFmtId="0" fontId="11067" fillId="11071" borderId="11018" xfId="0" applyFont="1" applyFill="1" applyBorder="1"/>
    <xf numFmtId="14" fontId="11068" fillId="11072" borderId="11019" xfId="0" applyNumberFormat="1" applyFont="1" applyFill="1" applyBorder="1"/>
    <xf numFmtId="0" fontId="11069" fillId="11073" borderId="11020" xfId="0" applyFont="1" applyFill="1" applyBorder="1"/>
    <xf numFmtId="0" fontId="11070" fillId="11074" borderId="11021" xfId="0" applyFont="1" applyFill="1" applyBorder="1"/>
    <xf numFmtId="0" fontId="11071" fillId="11075" borderId="11022" xfId="0" applyFont="1" applyFill="1" applyBorder="1"/>
    <xf numFmtId="0" fontId="11072" fillId="11076" borderId="11023" xfId="0" applyFont="1" applyFill="1" applyBorder="1"/>
    <xf numFmtId="0" fontId="11073" fillId="11077" borderId="11024" xfId="0" applyFont="1" applyFill="1" applyBorder="1"/>
    <xf numFmtId="0" fontId="11074" fillId="11078" borderId="11025" xfId="0" applyFont="1" applyFill="1" applyBorder="1"/>
    <xf numFmtId="0" fontId="11075" fillId="11079" borderId="11026" xfId="0" applyFont="1" applyFill="1" applyBorder="1"/>
    <xf numFmtId="14" fontId="11076" fillId="11080" borderId="11027" xfId="0" applyNumberFormat="1" applyFont="1" applyFill="1" applyBorder="1"/>
    <xf numFmtId="0" fontId="11077" fillId="11081" borderId="11028" xfId="0" applyFont="1" applyFill="1" applyBorder="1"/>
    <xf numFmtId="14" fontId="11078" fillId="11082" borderId="11029" xfId="0" applyNumberFormat="1" applyFont="1" applyFill="1" applyBorder="1"/>
    <xf numFmtId="0" fontId="11079" fillId="11083" borderId="11030" xfId="0" applyFont="1" applyFill="1" applyBorder="1"/>
    <xf numFmtId="0" fontId="11080" fillId="11084" borderId="11031" xfId="0" applyFont="1" applyFill="1" applyBorder="1"/>
    <xf numFmtId="0" fontId="11081" fillId="11085" borderId="11032" xfId="0" applyFont="1" applyFill="1" applyBorder="1"/>
    <xf numFmtId="0" fontId="11082" fillId="11086" borderId="11033" xfId="0" applyFont="1" applyFill="1" applyBorder="1"/>
    <xf numFmtId="0" fontId="11083" fillId="11087" borderId="11034" xfId="0" applyFont="1" applyFill="1" applyBorder="1"/>
    <xf numFmtId="0" fontId="11084" fillId="11088" borderId="11035" xfId="0" applyFont="1" applyFill="1" applyBorder="1"/>
    <xf numFmtId="0" fontId="11085" fillId="11089" borderId="11036" xfId="0" applyFont="1" applyFill="1" applyBorder="1"/>
    <xf numFmtId="14" fontId="11086" fillId="11090" borderId="11037" xfId="0" applyNumberFormat="1" applyFont="1" applyFill="1" applyBorder="1"/>
    <xf numFmtId="0" fontId="11087" fillId="11091" borderId="11038" xfId="0" applyFont="1" applyFill="1" applyBorder="1"/>
    <xf numFmtId="14" fontId="11088" fillId="11092" borderId="11039" xfId="0" applyNumberFormat="1" applyFont="1" applyFill="1" applyBorder="1"/>
    <xf numFmtId="0" fontId="11089" fillId="11093" borderId="11040" xfId="0" applyFont="1" applyFill="1" applyBorder="1"/>
    <xf numFmtId="0" fontId="11090" fillId="11094" borderId="11041" xfId="0" applyFont="1" applyFill="1" applyBorder="1"/>
    <xf numFmtId="0" fontId="11091" fillId="11095" borderId="11042" xfId="0" applyFont="1" applyFill="1" applyBorder="1"/>
    <xf numFmtId="0" fontId="11092" fillId="11096" borderId="11043" xfId="0" applyFont="1" applyFill="1" applyBorder="1"/>
    <xf numFmtId="0" fontId="11093" fillId="11097" borderId="11044" xfId="0" applyFont="1" applyFill="1" applyBorder="1"/>
    <xf numFmtId="0" fontId="11094" fillId="11098" borderId="11045" xfId="0" applyFont="1" applyFill="1" applyBorder="1"/>
    <xf numFmtId="0" fontId="11095" fillId="11099" borderId="11046" xfId="0" applyFont="1" applyFill="1" applyBorder="1"/>
    <xf numFmtId="14" fontId="11096" fillId="11100" borderId="11047" xfId="0" applyNumberFormat="1" applyFont="1" applyFill="1" applyBorder="1"/>
    <xf numFmtId="0" fontId="11097" fillId="11101" borderId="11048" xfId="0" applyFont="1" applyFill="1" applyBorder="1"/>
    <xf numFmtId="14" fontId="11098" fillId="11102" borderId="11049" xfId="0" applyNumberFormat="1" applyFont="1" applyFill="1" applyBorder="1"/>
    <xf numFmtId="0" fontId="11099" fillId="11103" borderId="11050" xfId="0" applyFont="1" applyFill="1" applyBorder="1"/>
    <xf numFmtId="0" fontId="11100" fillId="11104" borderId="11051" xfId="0" applyFont="1" applyFill="1" applyBorder="1"/>
    <xf numFmtId="0" fontId="11101" fillId="11105" borderId="11052" xfId="0" applyFont="1" applyFill="1" applyBorder="1"/>
    <xf numFmtId="0" fontId="11102" fillId="11106" borderId="11053" xfId="0" applyFont="1" applyFill="1" applyBorder="1"/>
    <xf numFmtId="0" fontId="11103" fillId="11107" borderId="11054" xfId="0" applyFont="1" applyFill="1" applyBorder="1"/>
    <xf numFmtId="0" fontId="11104" fillId="11108" borderId="11055" xfId="0" applyFont="1" applyFill="1" applyBorder="1"/>
    <xf numFmtId="0" fontId="11105" fillId="11109" borderId="11056" xfId="0" applyFont="1" applyFill="1" applyBorder="1"/>
    <xf numFmtId="14" fontId="11106" fillId="11110" borderId="11057" xfId="0" applyNumberFormat="1" applyFont="1" applyFill="1" applyBorder="1"/>
    <xf numFmtId="0" fontId="11107" fillId="11111" borderId="11058" xfId="0" applyFont="1" applyFill="1" applyBorder="1"/>
    <xf numFmtId="14" fontId="11108" fillId="11112" borderId="11059" xfId="0" applyNumberFormat="1" applyFont="1" applyFill="1" applyBorder="1"/>
    <xf numFmtId="0" fontId="11109" fillId="11113" borderId="11060" xfId="0" applyFont="1" applyFill="1" applyBorder="1"/>
    <xf numFmtId="0" fontId="11110" fillId="11114" borderId="11061" xfId="0" applyFont="1" applyFill="1" applyBorder="1"/>
    <xf numFmtId="0" fontId="11111" fillId="11115" borderId="11062" xfId="0" applyFont="1" applyFill="1" applyBorder="1"/>
    <xf numFmtId="0" fontId="11112" fillId="11116" borderId="11063" xfId="0" applyFont="1" applyFill="1" applyBorder="1"/>
    <xf numFmtId="0" fontId="11113" fillId="11117" borderId="11064" xfId="0" applyFont="1" applyFill="1" applyBorder="1"/>
    <xf numFmtId="0" fontId="11114" fillId="11118" borderId="11065" xfId="0" applyFont="1" applyFill="1" applyBorder="1"/>
    <xf numFmtId="0" fontId="11115" fillId="11119" borderId="11066" xfId="0" applyFont="1" applyFill="1" applyBorder="1"/>
    <xf numFmtId="14" fontId="11116" fillId="11120" borderId="11067" xfId="0" applyNumberFormat="1" applyFont="1" applyFill="1" applyBorder="1"/>
    <xf numFmtId="0" fontId="11117" fillId="11121" borderId="11068" xfId="0" applyFont="1" applyFill="1" applyBorder="1"/>
    <xf numFmtId="14" fontId="11118" fillId="11122" borderId="11069" xfId="0" applyNumberFormat="1" applyFont="1" applyFill="1" applyBorder="1"/>
    <xf numFmtId="0" fontId="11119" fillId="11123" borderId="11070" xfId="0" applyFont="1" applyFill="1" applyBorder="1"/>
    <xf numFmtId="0" fontId="11120" fillId="11124" borderId="11071" xfId="0" applyFont="1" applyFill="1" applyBorder="1"/>
    <xf numFmtId="0" fontId="11121" fillId="11125" borderId="11072" xfId="0" applyFont="1" applyFill="1" applyBorder="1"/>
    <xf numFmtId="0" fontId="11122" fillId="11126" borderId="11073" xfId="0" applyFont="1" applyFill="1" applyBorder="1"/>
    <xf numFmtId="0" fontId="11123" fillId="11127" borderId="11074" xfId="0" applyFont="1" applyFill="1" applyBorder="1"/>
    <xf numFmtId="0" fontId="11124" fillId="11128" borderId="11075" xfId="0" applyFont="1" applyFill="1" applyBorder="1"/>
    <xf numFmtId="0" fontId="11125" fillId="11129" borderId="11076" xfId="0" applyFont="1" applyFill="1" applyBorder="1"/>
    <xf numFmtId="14" fontId="11126" fillId="11130" borderId="11077" xfId="0" applyNumberFormat="1" applyFont="1" applyFill="1" applyBorder="1"/>
    <xf numFmtId="0" fontId="11127" fillId="11131" borderId="11078" xfId="0" applyFont="1" applyFill="1" applyBorder="1"/>
    <xf numFmtId="14" fontId="11128" fillId="11132" borderId="11079" xfId="0" applyNumberFormat="1" applyFont="1" applyFill="1" applyBorder="1"/>
    <xf numFmtId="0" fontId="11129" fillId="11133" borderId="11080" xfId="0" applyFont="1" applyFill="1" applyBorder="1"/>
    <xf numFmtId="0" fontId="11130" fillId="11134" borderId="11081" xfId="0" applyFont="1" applyFill="1" applyBorder="1"/>
    <xf numFmtId="0" fontId="11131" fillId="11135" borderId="11082" xfId="0" applyFont="1" applyFill="1" applyBorder="1"/>
    <xf numFmtId="0" fontId="11132" fillId="11136" borderId="11083" xfId="0" applyFont="1" applyFill="1" applyBorder="1"/>
    <xf numFmtId="0" fontId="11133" fillId="11137" borderId="11084" xfId="0" applyFont="1" applyFill="1" applyBorder="1"/>
    <xf numFmtId="0" fontId="11134" fillId="11138" borderId="11085" xfId="0" applyFont="1" applyFill="1" applyBorder="1"/>
    <xf numFmtId="0" fontId="11135" fillId="11139" borderId="11086" xfId="0" applyFont="1" applyFill="1" applyBorder="1"/>
    <xf numFmtId="14" fontId="11136" fillId="11140" borderId="11087" xfId="0" applyNumberFormat="1" applyFont="1" applyFill="1" applyBorder="1"/>
    <xf numFmtId="0" fontId="11137" fillId="11141" borderId="11088" xfId="0" applyFont="1" applyFill="1" applyBorder="1"/>
    <xf numFmtId="14" fontId="11138" fillId="11142" borderId="11089" xfId="0" applyNumberFormat="1" applyFont="1" applyFill="1" applyBorder="1"/>
    <xf numFmtId="0" fontId="11139" fillId="11143" borderId="11090" xfId="0" applyFont="1" applyFill="1" applyBorder="1"/>
    <xf numFmtId="0" fontId="11140" fillId="11144" borderId="11091" xfId="0" applyFont="1" applyFill="1" applyBorder="1"/>
    <xf numFmtId="0" fontId="11141" fillId="11145" borderId="11092" xfId="0" applyFont="1" applyFill="1" applyBorder="1"/>
    <xf numFmtId="0" fontId="11142" fillId="11146" borderId="11093" xfId="0" applyFont="1" applyFill="1" applyBorder="1"/>
    <xf numFmtId="0" fontId="11143" fillId="11147" borderId="11094" xfId="0" applyFont="1" applyFill="1" applyBorder="1"/>
    <xf numFmtId="0" fontId="11144" fillId="11148" borderId="11095" xfId="0" applyFont="1" applyFill="1" applyBorder="1"/>
    <xf numFmtId="0" fontId="11145" fillId="11149" borderId="11096" xfId="0" applyFont="1" applyFill="1" applyBorder="1"/>
    <xf numFmtId="14" fontId="11146" fillId="11150" borderId="11097" xfId="0" applyNumberFormat="1" applyFont="1" applyFill="1" applyBorder="1"/>
    <xf numFmtId="0" fontId="11147" fillId="11151" borderId="11098" xfId="0" applyFont="1" applyFill="1" applyBorder="1"/>
    <xf numFmtId="14" fontId="11148" fillId="11152" borderId="11099" xfId="0" applyNumberFormat="1" applyFont="1" applyFill="1" applyBorder="1"/>
    <xf numFmtId="0" fontId="11149" fillId="11153" borderId="11100" xfId="0" applyFont="1" applyFill="1" applyBorder="1"/>
    <xf numFmtId="0" fontId="11150" fillId="11154" borderId="11101" xfId="0" applyFont="1" applyFill="1" applyBorder="1"/>
    <xf numFmtId="0" fontId="11151" fillId="11155" borderId="11102" xfId="0" applyFont="1" applyFill="1" applyBorder="1"/>
    <xf numFmtId="0" fontId="11152" fillId="11156" borderId="11103" xfId="0" applyFont="1" applyFill="1" applyBorder="1"/>
    <xf numFmtId="0" fontId="11153" fillId="11157" borderId="11104" xfId="0" applyFont="1" applyFill="1" applyBorder="1"/>
    <xf numFmtId="0" fontId="11154" fillId="11158" borderId="11105" xfId="0" applyFont="1" applyFill="1" applyBorder="1"/>
    <xf numFmtId="0" fontId="11155" fillId="11159" borderId="11106" xfId="0" applyFont="1" applyFill="1" applyBorder="1"/>
    <xf numFmtId="14" fontId="11156" fillId="11160" borderId="11107" xfId="0" applyNumberFormat="1" applyFont="1" applyFill="1" applyBorder="1"/>
    <xf numFmtId="0" fontId="11157" fillId="11161" borderId="11108" xfId="0" applyFont="1" applyFill="1" applyBorder="1"/>
    <xf numFmtId="14" fontId="11158" fillId="11162" borderId="11109" xfId="0" applyNumberFormat="1" applyFont="1" applyFill="1" applyBorder="1"/>
    <xf numFmtId="0" fontId="11159" fillId="11163" borderId="11110" xfId="0" applyFont="1" applyFill="1" applyBorder="1"/>
    <xf numFmtId="0" fontId="11160" fillId="11164" borderId="11111" xfId="0" applyFont="1" applyFill="1" applyBorder="1"/>
    <xf numFmtId="0" fontId="11161" fillId="11165" borderId="11112" xfId="0" applyFont="1" applyFill="1" applyBorder="1"/>
    <xf numFmtId="0" fontId="11162" fillId="11166" borderId="11113" xfId="0" applyFont="1" applyFill="1" applyBorder="1"/>
    <xf numFmtId="0" fontId="11163" fillId="11167" borderId="11114" xfId="0" applyFont="1" applyFill="1" applyBorder="1"/>
    <xf numFmtId="0" fontId="11164" fillId="11168" borderId="11115" xfId="0" applyFont="1" applyFill="1" applyBorder="1"/>
    <xf numFmtId="0" fontId="11165" fillId="11169" borderId="11116" xfId="0" applyFont="1" applyFill="1" applyBorder="1"/>
    <xf numFmtId="14" fontId="11166" fillId="11170" borderId="11117" xfId="0" applyNumberFormat="1" applyFont="1" applyFill="1" applyBorder="1"/>
    <xf numFmtId="0" fontId="11167" fillId="11171" borderId="11118" xfId="0" applyFont="1" applyFill="1" applyBorder="1"/>
    <xf numFmtId="14" fontId="11168" fillId="11172" borderId="11119" xfId="0" applyNumberFormat="1" applyFont="1" applyFill="1" applyBorder="1"/>
    <xf numFmtId="0" fontId="11169" fillId="11173" borderId="11120" xfId="0" applyFont="1" applyFill="1" applyBorder="1"/>
    <xf numFmtId="0" fontId="11170" fillId="11174" borderId="11121" xfId="0" applyFont="1" applyFill="1" applyBorder="1"/>
    <xf numFmtId="0" fontId="11171" fillId="11175" borderId="11122" xfId="0" applyFont="1" applyFill="1" applyBorder="1"/>
    <xf numFmtId="0" fontId="11172" fillId="11176" borderId="11123" xfId="0" applyFont="1" applyFill="1" applyBorder="1"/>
    <xf numFmtId="0" fontId="11173" fillId="11177" borderId="11124" xfId="0" applyFont="1" applyFill="1" applyBorder="1"/>
    <xf numFmtId="0" fontId="11174" fillId="11178" borderId="11125" xfId="0" applyFont="1" applyFill="1" applyBorder="1"/>
    <xf numFmtId="0" fontId="11175" fillId="11179" borderId="11126" xfId="0" applyFont="1" applyFill="1" applyBorder="1"/>
    <xf numFmtId="14" fontId="11176" fillId="11180" borderId="11127" xfId="0" applyNumberFormat="1" applyFont="1" applyFill="1" applyBorder="1"/>
    <xf numFmtId="0" fontId="11177" fillId="11181" borderId="11128" xfId="0" applyFont="1" applyFill="1" applyBorder="1"/>
    <xf numFmtId="14" fontId="11178" fillId="11182" borderId="11129" xfId="0" applyNumberFormat="1" applyFont="1" applyFill="1" applyBorder="1"/>
    <xf numFmtId="0" fontId="11179" fillId="11183" borderId="11130" xfId="0" applyFont="1" applyFill="1" applyBorder="1"/>
    <xf numFmtId="0" fontId="11180" fillId="11184" borderId="11131" xfId="0" applyFont="1" applyFill="1" applyBorder="1"/>
    <xf numFmtId="0" fontId="11181" fillId="11185" borderId="11132" xfId="0" applyFont="1" applyFill="1" applyBorder="1"/>
    <xf numFmtId="0" fontId="11182" fillId="11186" borderId="11133" xfId="0" applyFont="1" applyFill="1" applyBorder="1"/>
    <xf numFmtId="0" fontId="11183" fillId="11187" borderId="11134" xfId="0" applyFont="1" applyFill="1" applyBorder="1"/>
    <xf numFmtId="0" fontId="11184" fillId="11188" borderId="11135" xfId="0" applyFont="1" applyFill="1" applyBorder="1"/>
    <xf numFmtId="0" fontId="11185" fillId="11189" borderId="11136" xfId="0" applyFont="1" applyFill="1" applyBorder="1"/>
    <xf numFmtId="14" fontId="11186" fillId="11190" borderId="11137" xfId="0" applyNumberFormat="1" applyFont="1" applyFill="1" applyBorder="1"/>
    <xf numFmtId="0" fontId="11187" fillId="11191" borderId="11138" xfId="0" applyFont="1" applyFill="1" applyBorder="1"/>
    <xf numFmtId="14" fontId="11188" fillId="11192" borderId="11139" xfId="0" applyNumberFormat="1" applyFont="1" applyFill="1" applyBorder="1"/>
    <xf numFmtId="0" fontId="11189" fillId="11193" borderId="11140" xfId="0" applyFont="1" applyFill="1" applyBorder="1"/>
    <xf numFmtId="0" fontId="11190" fillId="11194" borderId="11141" xfId="0" applyFont="1" applyFill="1" applyBorder="1"/>
    <xf numFmtId="0" fontId="11191" fillId="11195" borderId="11142" xfId="0" applyFont="1" applyFill="1" applyBorder="1"/>
    <xf numFmtId="0" fontId="11192" fillId="11196" borderId="11143" xfId="0" applyFont="1" applyFill="1" applyBorder="1"/>
    <xf numFmtId="0" fontId="11193" fillId="11197" borderId="11144" xfId="0" applyFont="1" applyFill="1" applyBorder="1"/>
    <xf numFmtId="0" fontId="11194" fillId="11198" borderId="11145" xfId="0" applyFont="1" applyFill="1" applyBorder="1"/>
    <xf numFmtId="0" fontId="11195" fillId="11199" borderId="11146" xfId="0" applyFont="1" applyFill="1" applyBorder="1"/>
    <xf numFmtId="14" fontId="11196" fillId="11200" borderId="11147" xfId="0" applyNumberFormat="1" applyFont="1" applyFill="1" applyBorder="1"/>
    <xf numFmtId="0" fontId="11197" fillId="11201" borderId="11148" xfId="0" applyFont="1" applyFill="1" applyBorder="1"/>
    <xf numFmtId="14" fontId="11198" fillId="11202" borderId="11149" xfId="0" applyNumberFormat="1" applyFont="1" applyFill="1" applyBorder="1"/>
    <xf numFmtId="0" fontId="11199" fillId="11203" borderId="11150" xfId="0" applyFont="1" applyFill="1" applyBorder="1"/>
    <xf numFmtId="0" fontId="11200" fillId="11204" borderId="11151" xfId="0" applyFont="1" applyFill="1" applyBorder="1"/>
    <xf numFmtId="0" fontId="11201" fillId="11205" borderId="11152" xfId="0" applyFont="1" applyFill="1" applyBorder="1"/>
    <xf numFmtId="0" fontId="11202" fillId="11206" borderId="11153" xfId="0" applyFont="1" applyFill="1" applyBorder="1"/>
    <xf numFmtId="0" fontId="11203" fillId="11207" borderId="11154" xfId="0" applyFont="1" applyFill="1" applyBorder="1"/>
    <xf numFmtId="0" fontId="11204" fillId="11208" borderId="11155" xfId="0" applyFont="1" applyFill="1" applyBorder="1"/>
    <xf numFmtId="0" fontId="11205" fillId="11209" borderId="11156" xfId="0" applyFont="1" applyFill="1" applyBorder="1"/>
    <xf numFmtId="14" fontId="11206" fillId="11210" borderId="11157" xfId="0" applyNumberFormat="1" applyFont="1" applyFill="1" applyBorder="1"/>
    <xf numFmtId="0" fontId="11207" fillId="11211" borderId="11158" xfId="0" applyFont="1" applyFill="1" applyBorder="1"/>
    <xf numFmtId="14" fontId="11208" fillId="11212" borderId="11159" xfId="0" applyNumberFormat="1" applyFont="1" applyFill="1" applyBorder="1"/>
    <xf numFmtId="0" fontId="11209" fillId="11213" borderId="11160" xfId="0" applyFont="1" applyFill="1" applyBorder="1"/>
    <xf numFmtId="0" fontId="11210" fillId="11214" borderId="11161" xfId="0" applyFont="1" applyFill="1" applyBorder="1"/>
    <xf numFmtId="0" fontId="11211" fillId="11215" borderId="11162" xfId="0" applyFont="1" applyFill="1" applyBorder="1"/>
    <xf numFmtId="0" fontId="11212" fillId="11216" borderId="11163" xfId="0" applyFont="1" applyFill="1" applyBorder="1"/>
    <xf numFmtId="0" fontId="11213" fillId="11217" borderId="11164" xfId="0" applyFont="1" applyFill="1" applyBorder="1"/>
    <xf numFmtId="0" fontId="11214" fillId="11218" borderId="11165" xfId="0" applyFont="1" applyFill="1" applyBorder="1"/>
    <xf numFmtId="0" fontId="11215" fillId="11219" borderId="11166" xfId="0" applyFont="1" applyFill="1" applyBorder="1"/>
    <xf numFmtId="14" fontId="11216" fillId="11220" borderId="11167" xfId="0" applyNumberFormat="1" applyFont="1" applyFill="1" applyBorder="1"/>
    <xf numFmtId="0" fontId="11217" fillId="11221" borderId="11168" xfId="0" applyFont="1" applyFill="1" applyBorder="1"/>
    <xf numFmtId="14" fontId="11218" fillId="11222" borderId="11169" xfId="0" applyNumberFormat="1" applyFont="1" applyFill="1" applyBorder="1"/>
    <xf numFmtId="0" fontId="11219" fillId="11223" borderId="11170" xfId="0" applyFont="1" applyFill="1" applyBorder="1"/>
    <xf numFmtId="0" fontId="11220" fillId="11224" borderId="11171" xfId="0" applyFont="1" applyFill="1" applyBorder="1"/>
    <xf numFmtId="0" fontId="11221" fillId="11225" borderId="11172" xfId="0" applyFont="1" applyFill="1" applyBorder="1"/>
    <xf numFmtId="0" fontId="11222" fillId="11226" borderId="11173" xfId="0" applyFont="1" applyFill="1" applyBorder="1"/>
    <xf numFmtId="0" fontId="11223" fillId="11227" borderId="11174" xfId="0" applyFont="1" applyFill="1" applyBorder="1"/>
    <xf numFmtId="0" fontId="11224" fillId="11228" borderId="11175" xfId="0" applyFont="1" applyFill="1" applyBorder="1"/>
    <xf numFmtId="0" fontId="11225" fillId="11229" borderId="11176" xfId="0" applyFont="1" applyFill="1" applyBorder="1"/>
    <xf numFmtId="14" fontId="11226" fillId="11230" borderId="11177" xfId="0" applyNumberFormat="1" applyFont="1" applyFill="1" applyBorder="1"/>
    <xf numFmtId="0" fontId="11227" fillId="11231" borderId="11178" xfId="0" applyFont="1" applyFill="1" applyBorder="1"/>
    <xf numFmtId="14" fontId="11228" fillId="11232" borderId="11179" xfId="0" applyNumberFormat="1" applyFont="1" applyFill="1" applyBorder="1"/>
    <xf numFmtId="0" fontId="11229" fillId="11233" borderId="11180" xfId="0" applyFont="1" applyFill="1" applyBorder="1"/>
    <xf numFmtId="0" fontId="11230" fillId="11234" borderId="11181" xfId="0" applyFont="1" applyFill="1" applyBorder="1"/>
    <xf numFmtId="0" fontId="11231" fillId="11235" borderId="11182" xfId="0" applyFont="1" applyFill="1" applyBorder="1"/>
    <xf numFmtId="0" fontId="11232" fillId="11236" borderId="11183" xfId="0" applyFont="1" applyFill="1" applyBorder="1"/>
    <xf numFmtId="0" fontId="11233" fillId="11237" borderId="11184" xfId="0" applyFont="1" applyFill="1" applyBorder="1"/>
    <xf numFmtId="0" fontId="11234" fillId="11238" borderId="11185" xfId="0" applyFont="1" applyFill="1" applyBorder="1"/>
    <xf numFmtId="0" fontId="11235" fillId="11239" borderId="11186" xfId="0" applyFont="1" applyFill="1" applyBorder="1"/>
    <xf numFmtId="14" fontId="11236" fillId="11240" borderId="11187" xfId="0" applyNumberFormat="1" applyFont="1" applyFill="1" applyBorder="1"/>
    <xf numFmtId="0" fontId="11237" fillId="11241" borderId="11188" xfId="0" applyFont="1" applyFill="1" applyBorder="1"/>
    <xf numFmtId="14" fontId="11238" fillId="11242" borderId="11189" xfId="0" applyNumberFormat="1" applyFont="1" applyFill="1" applyBorder="1"/>
    <xf numFmtId="0" fontId="11239" fillId="11243" borderId="11190" xfId="0" applyFont="1" applyFill="1" applyBorder="1"/>
    <xf numFmtId="0" fontId="11240" fillId="11244" borderId="11191" xfId="0" applyFont="1" applyFill="1" applyBorder="1"/>
    <xf numFmtId="0" fontId="11241" fillId="11245" borderId="11192" xfId="0" applyFont="1" applyFill="1" applyBorder="1"/>
    <xf numFmtId="0" fontId="11242" fillId="11246" borderId="11193" xfId="0" applyFont="1" applyFill="1" applyBorder="1"/>
    <xf numFmtId="0" fontId="11243" fillId="11247" borderId="11194" xfId="0" applyFont="1" applyFill="1" applyBorder="1"/>
    <xf numFmtId="0" fontId="11244" fillId="11248" borderId="11195" xfId="0" applyFont="1" applyFill="1" applyBorder="1"/>
    <xf numFmtId="0" fontId="11245" fillId="11249" borderId="11196" xfId="0" applyFont="1" applyFill="1" applyBorder="1"/>
    <xf numFmtId="14" fontId="11246" fillId="11250" borderId="11197" xfId="0" applyNumberFormat="1" applyFont="1" applyFill="1" applyBorder="1"/>
    <xf numFmtId="0" fontId="11247" fillId="11251" borderId="11198" xfId="0" applyFont="1" applyFill="1" applyBorder="1"/>
    <xf numFmtId="14" fontId="11248" fillId="11252" borderId="11199" xfId="0" applyNumberFormat="1" applyFont="1" applyFill="1" applyBorder="1"/>
    <xf numFmtId="0" fontId="11249" fillId="11253" borderId="11200" xfId="0" applyFont="1" applyFill="1" applyBorder="1"/>
    <xf numFmtId="0" fontId="11250" fillId="11254" borderId="11201" xfId="0" applyFont="1" applyFill="1" applyBorder="1"/>
    <xf numFmtId="0" fontId="11251" fillId="11255" borderId="11202" xfId="0" applyFont="1" applyFill="1" applyBorder="1"/>
    <xf numFmtId="0" fontId="11252" fillId="11256" borderId="11203" xfId="0" applyFont="1" applyFill="1" applyBorder="1"/>
    <xf numFmtId="0" fontId="11253" fillId="11257" borderId="11204" xfId="0" applyFont="1" applyFill="1" applyBorder="1"/>
    <xf numFmtId="0" fontId="11254" fillId="11258" borderId="11205" xfId="0" applyFont="1" applyFill="1" applyBorder="1"/>
    <xf numFmtId="0" fontId="11255" fillId="11259" borderId="11206" xfId="0" applyFont="1" applyFill="1" applyBorder="1"/>
    <xf numFmtId="14" fontId="11256" fillId="11260" borderId="11207" xfId="0" applyNumberFormat="1" applyFont="1" applyFill="1" applyBorder="1"/>
    <xf numFmtId="0" fontId="11257" fillId="11261" borderId="11208" xfId="0" applyFont="1" applyFill="1" applyBorder="1"/>
    <xf numFmtId="14" fontId="11258" fillId="11262" borderId="11209" xfId="0" applyNumberFormat="1" applyFont="1" applyFill="1" applyBorder="1"/>
    <xf numFmtId="0" fontId="11259" fillId="11263" borderId="11210" xfId="0" applyFont="1" applyFill="1" applyBorder="1"/>
    <xf numFmtId="0" fontId="11260" fillId="11264" borderId="11211" xfId="0" applyFont="1" applyFill="1" applyBorder="1"/>
    <xf numFmtId="0" fontId="11261" fillId="11265" borderId="11212" xfId="0" applyFont="1" applyFill="1" applyBorder="1"/>
    <xf numFmtId="0" fontId="11262" fillId="11266" borderId="11213" xfId="0" applyFont="1" applyFill="1" applyBorder="1"/>
    <xf numFmtId="0" fontId="11263" fillId="11267" borderId="11214" xfId="0" applyFont="1" applyFill="1" applyBorder="1"/>
    <xf numFmtId="0" fontId="11264" fillId="11268" borderId="11215" xfId="0" applyFont="1" applyFill="1" applyBorder="1"/>
    <xf numFmtId="0" fontId="11265" fillId="11269" borderId="11216" xfId="0" applyFont="1" applyFill="1" applyBorder="1"/>
    <xf numFmtId="14" fontId="11266" fillId="11270" borderId="11217" xfId="0" applyNumberFormat="1" applyFont="1" applyFill="1" applyBorder="1"/>
    <xf numFmtId="0" fontId="11267" fillId="11271" borderId="11218" xfId="0" applyFont="1" applyFill="1" applyBorder="1"/>
    <xf numFmtId="14" fontId="11268" fillId="11272" borderId="11219" xfId="0" applyNumberFormat="1" applyFont="1" applyFill="1" applyBorder="1"/>
    <xf numFmtId="0" fontId="11269" fillId="11273" borderId="11220" xfId="0" applyFont="1" applyFill="1" applyBorder="1"/>
    <xf numFmtId="0" fontId="11270" fillId="11274" borderId="11221" xfId="0" applyFont="1" applyFill="1" applyBorder="1"/>
    <xf numFmtId="0" fontId="11271" fillId="11275" borderId="11222" xfId="0" applyFont="1" applyFill="1" applyBorder="1"/>
    <xf numFmtId="0" fontId="11272" fillId="11276" borderId="11223" xfId="0" applyFont="1" applyFill="1" applyBorder="1"/>
    <xf numFmtId="0" fontId="11273" fillId="11277" borderId="11224" xfId="0" applyFont="1" applyFill="1" applyBorder="1"/>
    <xf numFmtId="0" fontId="11274" fillId="11278" borderId="11225" xfId="0" applyFont="1" applyFill="1" applyBorder="1"/>
    <xf numFmtId="0" fontId="11275" fillId="11279" borderId="11226" xfId="0" applyFont="1" applyFill="1" applyBorder="1"/>
    <xf numFmtId="14" fontId="11276" fillId="11280" borderId="11227" xfId="0" applyNumberFormat="1" applyFont="1" applyFill="1" applyBorder="1"/>
    <xf numFmtId="0" fontId="11277" fillId="11281" borderId="11228" xfId="0" applyFont="1" applyFill="1" applyBorder="1"/>
    <xf numFmtId="14" fontId="11278" fillId="11282" borderId="11229" xfId="0" applyNumberFormat="1" applyFont="1" applyFill="1" applyBorder="1"/>
    <xf numFmtId="0" fontId="11279" fillId="11283" borderId="11230" xfId="0" applyFont="1" applyFill="1" applyBorder="1"/>
    <xf numFmtId="0" fontId="11280" fillId="11284" borderId="11231" xfId="0" applyFont="1" applyFill="1" applyBorder="1"/>
    <xf numFmtId="0" fontId="11281" fillId="11285" borderId="11232" xfId="0" applyFont="1" applyFill="1" applyBorder="1"/>
    <xf numFmtId="0" fontId="11282" fillId="11286" borderId="11233" xfId="0" applyFont="1" applyFill="1" applyBorder="1"/>
    <xf numFmtId="0" fontId="11283" fillId="11287" borderId="11234" xfId="0" applyFont="1" applyFill="1" applyBorder="1"/>
    <xf numFmtId="0" fontId="11284" fillId="11288" borderId="11235" xfId="0" applyFont="1" applyFill="1" applyBorder="1"/>
    <xf numFmtId="0" fontId="11285" fillId="11289" borderId="11236" xfId="0" applyFont="1" applyFill="1" applyBorder="1"/>
    <xf numFmtId="14" fontId="11286" fillId="11290" borderId="11237" xfId="0" applyNumberFormat="1" applyFont="1" applyFill="1" applyBorder="1"/>
    <xf numFmtId="0" fontId="11287" fillId="11291" borderId="11238" xfId="0" applyFont="1" applyFill="1" applyBorder="1"/>
    <xf numFmtId="14" fontId="11288" fillId="11292" borderId="11239" xfId="0" applyNumberFormat="1" applyFont="1" applyFill="1" applyBorder="1"/>
    <xf numFmtId="0" fontId="11289" fillId="11293" borderId="11240" xfId="0" applyFont="1" applyFill="1" applyBorder="1"/>
    <xf numFmtId="0" fontId="11290" fillId="11294" borderId="11241" xfId="0" applyFont="1" applyFill="1" applyBorder="1"/>
    <xf numFmtId="0" fontId="11291" fillId="11295" borderId="11242" xfId="0" applyFont="1" applyFill="1" applyBorder="1"/>
    <xf numFmtId="0" fontId="11292" fillId="11296" borderId="11243" xfId="0" applyFont="1" applyFill="1" applyBorder="1"/>
    <xf numFmtId="0" fontId="11293" fillId="11297" borderId="11244" xfId="0" applyFont="1" applyFill="1" applyBorder="1"/>
    <xf numFmtId="0" fontId="11294" fillId="11298" borderId="11245" xfId="0" applyFont="1" applyFill="1" applyBorder="1"/>
    <xf numFmtId="0" fontId="11295" fillId="11299" borderId="11246" xfId="0" applyFont="1" applyFill="1" applyBorder="1"/>
    <xf numFmtId="14" fontId="11296" fillId="11300" borderId="11247" xfId="0" applyNumberFormat="1" applyFont="1" applyFill="1" applyBorder="1"/>
    <xf numFmtId="0" fontId="11297" fillId="11301" borderId="11248" xfId="0" applyFont="1" applyFill="1" applyBorder="1"/>
    <xf numFmtId="14" fontId="11298" fillId="11302" borderId="11249" xfId="0" applyNumberFormat="1" applyFont="1" applyFill="1" applyBorder="1"/>
    <xf numFmtId="0" fontId="11299" fillId="11303" borderId="11250" xfId="0" applyFont="1" applyFill="1" applyBorder="1"/>
    <xf numFmtId="0" fontId="11300" fillId="11304" borderId="11251" xfId="0" applyFont="1" applyFill="1" applyBorder="1"/>
    <xf numFmtId="0" fontId="11301" fillId="11305" borderId="11252" xfId="0" applyFont="1" applyFill="1" applyBorder="1"/>
    <xf numFmtId="0" fontId="11302" fillId="11306" borderId="11253" xfId="0" applyFont="1" applyFill="1" applyBorder="1"/>
    <xf numFmtId="0" fontId="11303" fillId="11307" borderId="11254" xfId="0" applyFont="1" applyFill="1" applyBorder="1"/>
    <xf numFmtId="0" fontId="11304" fillId="11308" borderId="11255" xfId="0" applyFont="1" applyFill="1" applyBorder="1"/>
    <xf numFmtId="0" fontId="11305" fillId="11309" borderId="11256" xfId="0" applyFont="1" applyFill="1" applyBorder="1"/>
    <xf numFmtId="14" fontId="11306" fillId="11310" borderId="11257" xfId="0" applyNumberFormat="1" applyFont="1" applyFill="1" applyBorder="1"/>
    <xf numFmtId="0" fontId="11307" fillId="11311" borderId="11258" xfId="0" applyFont="1" applyFill="1" applyBorder="1"/>
    <xf numFmtId="14" fontId="11308" fillId="11312" borderId="11259" xfId="0" applyNumberFormat="1" applyFont="1" applyFill="1" applyBorder="1"/>
    <xf numFmtId="0" fontId="11309" fillId="11313" borderId="11260" xfId="0" applyFont="1" applyFill="1" applyBorder="1"/>
    <xf numFmtId="0" fontId="11310" fillId="11314" borderId="11261" xfId="0" applyFont="1" applyFill="1" applyBorder="1"/>
    <xf numFmtId="0" fontId="11311" fillId="11315" borderId="11262" xfId="0" applyFont="1" applyFill="1" applyBorder="1"/>
    <xf numFmtId="0" fontId="11312" fillId="11316" borderId="11263" xfId="0" applyFont="1" applyFill="1" applyBorder="1"/>
    <xf numFmtId="0" fontId="11313" fillId="11317" borderId="11264" xfId="0" applyFont="1" applyFill="1" applyBorder="1"/>
    <xf numFmtId="0" fontId="11314" fillId="11318" borderId="11265" xfId="0" applyFont="1" applyFill="1" applyBorder="1"/>
    <xf numFmtId="0" fontId="11315" fillId="11319" borderId="11266" xfId="0" applyFont="1" applyFill="1" applyBorder="1"/>
    <xf numFmtId="14" fontId="11316" fillId="11320" borderId="11267" xfId="0" applyNumberFormat="1" applyFont="1" applyFill="1" applyBorder="1"/>
    <xf numFmtId="0" fontId="11317" fillId="11321" borderId="11268" xfId="0" applyFont="1" applyFill="1" applyBorder="1"/>
    <xf numFmtId="14" fontId="11318" fillId="11322" borderId="11269" xfId="0" applyNumberFormat="1" applyFont="1" applyFill="1" applyBorder="1"/>
    <xf numFmtId="0" fontId="11319" fillId="11323" borderId="11270" xfId="0" applyFont="1" applyFill="1" applyBorder="1"/>
    <xf numFmtId="0" fontId="11320" fillId="11324" borderId="11271" xfId="0" applyFont="1" applyFill="1" applyBorder="1"/>
    <xf numFmtId="0" fontId="11321" fillId="11325" borderId="11272" xfId="0" applyFont="1" applyFill="1" applyBorder="1"/>
    <xf numFmtId="0" fontId="11322" fillId="11326" borderId="11273" xfId="0" applyFont="1" applyFill="1" applyBorder="1"/>
    <xf numFmtId="0" fontId="11323" fillId="11327" borderId="11274" xfId="0" applyFont="1" applyFill="1" applyBorder="1"/>
    <xf numFmtId="0" fontId="11324" fillId="11328" borderId="11275" xfId="0" applyFont="1" applyFill="1" applyBorder="1"/>
    <xf numFmtId="0" fontId="11325" fillId="11329" borderId="11276" xfId="0" applyFont="1" applyFill="1" applyBorder="1"/>
    <xf numFmtId="14" fontId="11326" fillId="11330" borderId="11277" xfId="0" applyNumberFormat="1" applyFont="1" applyFill="1" applyBorder="1"/>
    <xf numFmtId="0" fontId="11327" fillId="11331" borderId="11278" xfId="0" applyFont="1" applyFill="1" applyBorder="1"/>
    <xf numFmtId="14" fontId="11328" fillId="11332" borderId="11279" xfId="0" applyNumberFormat="1" applyFont="1" applyFill="1" applyBorder="1"/>
    <xf numFmtId="0" fontId="11329" fillId="11333" borderId="11280" xfId="0" applyFont="1" applyFill="1" applyBorder="1"/>
    <xf numFmtId="0" fontId="11330" fillId="11334" borderId="11281" xfId="0" applyFont="1" applyFill="1" applyBorder="1"/>
    <xf numFmtId="0" fontId="11331" fillId="11335" borderId="11282" xfId="0" applyFont="1" applyFill="1" applyBorder="1"/>
    <xf numFmtId="0" fontId="11332" fillId="11336" borderId="11283" xfId="0" applyFont="1" applyFill="1" applyBorder="1"/>
    <xf numFmtId="0" fontId="11333" fillId="11337" borderId="11284" xfId="0" applyFont="1" applyFill="1" applyBorder="1"/>
    <xf numFmtId="0" fontId="11334" fillId="11338" borderId="11285" xfId="0" applyFont="1" applyFill="1" applyBorder="1"/>
    <xf numFmtId="0" fontId="11335" fillId="11339" borderId="11286" xfId="0" applyFont="1" applyFill="1" applyBorder="1"/>
    <xf numFmtId="14" fontId="11336" fillId="11340" borderId="11287" xfId="0" applyNumberFormat="1" applyFont="1" applyFill="1" applyBorder="1"/>
    <xf numFmtId="0" fontId="11337" fillId="11341" borderId="11288" xfId="0" applyFont="1" applyFill="1" applyBorder="1"/>
    <xf numFmtId="14" fontId="11338" fillId="11342" borderId="11289" xfId="0" applyNumberFormat="1" applyFont="1" applyFill="1" applyBorder="1"/>
    <xf numFmtId="0" fontId="11339" fillId="11343" borderId="11290" xfId="0" applyFont="1" applyFill="1" applyBorder="1"/>
    <xf numFmtId="0" fontId="11340" fillId="11344" borderId="11291" xfId="0" applyFont="1" applyFill="1" applyBorder="1"/>
    <xf numFmtId="0" fontId="11341" fillId="11345" borderId="11292" xfId="0" applyFont="1" applyFill="1" applyBorder="1"/>
    <xf numFmtId="0" fontId="11342" fillId="11346" borderId="11293" xfId="0" applyFont="1" applyFill="1" applyBorder="1"/>
    <xf numFmtId="0" fontId="11343" fillId="11347" borderId="11294" xfId="0" applyFont="1" applyFill="1" applyBorder="1"/>
    <xf numFmtId="0" fontId="11344" fillId="11348" borderId="11295" xfId="0" applyFont="1" applyFill="1" applyBorder="1"/>
    <xf numFmtId="0" fontId="11345" fillId="11349" borderId="11296" xfId="0" applyFont="1" applyFill="1" applyBorder="1"/>
    <xf numFmtId="14" fontId="11346" fillId="11350" borderId="11297" xfId="0" applyNumberFormat="1" applyFont="1" applyFill="1" applyBorder="1"/>
    <xf numFmtId="0" fontId="11347" fillId="11351" borderId="11298" xfId="0" applyFont="1" applyFill="1" applyBorder="1"/>
    <xf numFmtId="14" fontId="11348" fillId="11352" borderId="11299" xfId="0" applyNumberFormat="1" applyFont="1" applyFill="1" applyBorder="1"/>
    <xf numFmtId="0" fontId="11349" fillId="11353" borderId="11300" xfId="0" applyFont="1" applyFill="1" applyBorder="1"/>
    <xf numFmtId="0" fontId="11350" fillId="11354" borderId="11301" xfId="0" applyFont="1" applyFill="1" applyBorder="1"/>
    <xf numFmtId="0" fontId="11351" fillId="11355" borderId="11302" xfId="0" applyFont="1" applyFill="1" applyBorder="1"/>
    <xf numFmtId="0" fontId="11352" fillId="11356" borderId="11303" xfId="0" applyFont="1" applyFill="1" applyBorder="1"/>
    <xf numFmtId="0" fontId="11353" fillId="11357" borderId="11304" xfId="0" applyFont="1" applyFill="1" applyBorder="1"/>
    <xf numFmtId="0" fontId="11354" fillId="11358" borderId="11305" xfId="0" applyFont="1" applyFill="1" applyBorder="1"/>
    <xf numFmtId="0" fontId="11355" fillId="11359" borderId="11306" xfId="0" applyFont="1" applyFill="1" applyBorder="1"/>
    <xf numFmtId="14" fontId="11356" fillId="11360" borderId="11307" xfId="0" applyNumberFormat="1" applyFont="1" applyFill="1" applyBorder="1"/>
    <xf numFmtId="0" fontId="11357" fillId="11361" borderId="11308" xfId="0" applyFont="1" applyFill="1" applyBorder="1"/>
    <xf numFmtId="14" fontId="11358" fillId="11362" borderId="11309" xfId="0" applyNumberFormat="1" applyFont="1" applyFill="1" applyBorder="1"/>
    <xf numFmtId="0" fontId="11359" fillId="11363" borderId="11310" xfId="0" applyFont="1" applyFill="1" applyBorder="1"/>
    <xf numFmtId="0" fontId="11360" fillId="11364" borderId="11311" xfId="0" applyFont="1" applyFill="1" applyBorder="1"/>
    <xf numFmtId="0" fontId="11361" fillId="11365" borderId="11312" xfId="0" applyFont="1" applyFill="1" applyBorder="1"/>
    <xf numFmtId="0" fontId="11362" fillId="11366" borderId="11313" xfId="0" applyFont="1" applyFill="1" applyBorder="1"/>
    <xf numFmtId="0" fontId="11363" fillId="11367" borderId="11314" xfId="0" applyFont="1" applyFill="1" applyBorder="1"/>
    <xf numFmtId="0" fontId="11364" fillId="11368" borderId="11315" xfId="0" applyFont="1" applyFill="1" applyBorder="1"/>
    <xf numFmtId="0" fontId="11365" fillId="11369" borderId="11316" xfId="0" applyFont="1" applyFill="1" applyBorder="1"/>
    <xf numFmtId="14" fontId="11366" fillId="11370" borderId="11317" xfId="0" applyNumberFormat="1" applyFont="1" applyFill="1" applyBorder="1"/>
    <xf numFmtId="0" fontId="11367" fillId="11371" borderId="11318" xfId="0" applyFont="1" applyFill="1" applyBorder="1"/>
    <xf numFmtId="14" fontId="11368" fillId="11372" borderId="11319" xfId="0" applyNumberFormat="1" applyFont="1" applyFill="1" applyBorder="1"/>
    <xf numFmtId="0" fontId="11369" fillId="11373" borderId="11320" xfId="0" applyFont="1" applyFill="1" applyBorder="1"/>
    <xf numFmtId="0" fontId="11370" fillId="11374" borderId="11321" xfId="0" applyFont="1" applyFill="1" applyBorder="1"/>
    <xf numFmtId="0" fontId="11371" fillId="11375" borderId="11322" xfId="0" applyFont="1" applyFill="1" applyBorder="1"/>
    <xf numFmtId="0" fontId="11372" fillId="11376" borderId="11323" xfId="0" applyFont="1" applyFill="1" applyBorder="1"/>
    <xf numFmtId="0" fontId="11373" fillId="11377" borderId="11324" xfId="0" applyFont="1" applyFill="1" applyBorder="1"/>
    <xf numFmtId="0" fontId="11374" fillId="11378" borderId="11325" xfId="0" applyFont="1" applyFill="1" applyBorder="1"/>
    <xf numFmtId="0" fontId="11375" fillId="11379" borderId="11326" xfId="0" applyFont="1" applyFill="1" applyBorder="1"/>
    <xf numFmtId="14" fontId="11376" fillId="11380" borderId="11327" xfId="0" applyNumberFormat="1" applyFont="1" applyFill="1" applyBorder="1"/>
    <xf numFmtId="0" fontId="11377" fillId="11381" borderId="11328" xfId="0" applyFont="1" applyFill="1" applyBorder="1"/>
    <xf numFmtId="14" fontId="11378" fillId="11382" borderId="11329" xfId="0" applyNumberFormat="1" applyFont="1" applyFill="1" applyBorder="1"/>
    <xf numFmtId="0" fontId="11379" fillId="11383" borderId="11330" xfId="0" applyFont="1" applyFill="1" applyBorder="1"/>
    <xf numFmtId="0" fontId="11380" fillId="11384" borderId="11331" xfId="0" applyFont="1" applyFill="1" applyBorder="1"/>
    <xf numFmtId="0" fontId="11381" fillId="11385" borderId="11332" xfId="0" applyFont="1" applyFill="1" applyBorder="1"/>
    <xf numFmtId="0" fontId="11382" fillId="11386" borderId="11333" xfId="0" applyFont="1" applyFill="1" applyBorder="1"/>
    <xf numFmtId="0" fontId="11383" fillId="11387" borderId="11334" xfId="0" applyFont="1" applyFill="1" applyBorder="1"/>
    <xf numFmtId="0" fontId="11384" fillId="11388" borderId="11335" xfId="0" applyFont="1" applyFill="1" applyBorder="1"/>
    <xf numFmtId="0" fontId="11385" fillId="11389" borderId="11336" xfId="0" applyFont="1" applyFill="1" applyBorder="1"/>
    <xf numFmtId="14" fontId="11386" fillId="11390" borderId="11337" xfId="0" applyNumberFormat="1" applyFont="1" applyFill="1" applyBorder="1"/>
    <xf numFmtId="0" fontId="11387" fillId="11391" borderId="11338" xfId="0" applyFont="1" applyFill="1" applyBorder="1"/>
    <xf numFmtId="14" fontId="11388" fillId="11392" borderId="11339" xfId="0" applyNumberFormat="1" applyFont="1" applyFill="1" applyBorder="1"/>
    <xf numFmtId="0" fontId="11389" fillId="11393" borderId="11340" xfId="0" applyFont="1" applyFill="1" applyBorder="1"/>
    <xf numFmtId="0" fontId="11390" fillId="11394" borderId="11341" xfId="0" applyFont="1" applyFill="1" applyBorder="1"/>
    <xf numFmtId="0" fontId="11391" fillId="11395" borderId="11342" xfId="0" applyFont="1" applyFill="1" applyBorder="1"/>
    <xf numFmtId="0" fontId="11392" fillId="11396" borderId="11343" xfId="0" applyFont="1" applyFill="1" applyBorder="1"/>
    <xf numFmtId="0" fontId="11393" fillId="11397" borderId="11344" xfId="0" applyFont="1" applyFill="1" applyBorder="1"/>
    <xf numFmtId="0" fontId="11394" fillId="11398" borderId="11345" xfId="0" applyFont="1" applyFill="1" applyBorder="1"/>
    <xf numFmtId="0" fontId="11395" fillId="11399" borderId="11346" xfId="0" applyFont="1" applyFill="1" applyBorder="1"/>
    <xf numFmtId="14" fontId="11396" fillId="11400" borderId="11347" xfId="0" applyNumberFormat="1" applyFont="1" applyFill="1" applyBorder="1"/>
    <xf numFmtId="0" fontId="11397" fillId="11401" borderId="11348" xfId="0" applyFont="1" applyFill="1" applyBorder="1"/>
    <xf numFmtId="14" fontId="11398" fillId="11402" borderId="11349" xfId="0" applyNumberFormat="1" applyFont="1" applyFill="1" applyBorder="1"/>
    <xf numFmtId="0" fontId="11399" fillId="11403" borderId="11350" xfId="0" applyFont="1" applyFill="1" applyBorder="1"/>
    <xf numFmtId="0" fontId="11400" fillId="11404" borderId="11351" xfId="0" applyFont="1" applyFill="1" applyBorder="1"/>
    <xf numFmtId="0" fontId="11401" fillId="11405" borderId="11352" xfId="0" applyFont="1" applyFill="1" applyBorder="1"/>
    <xf numFmtId="0" fontId="11402" fillId="11406" borderId="11353" xfId="0" applyFont="1" applyFill="1" applyBorder="1"/>
    <xf numFmtId="0" fontId="11403" fillId="11407" borderId="11354" xfId="0" applyFont="1" applyFill="1" applyBorder="1"/>
    <xf numFmtId="0" fontId="11404" fillId="11408" borderId="11355" xfId="0" applyFont="1" applyFill="1" applyBorder="1"/>
    <xf numFmtId="0" fontId="11405" fillId="11409" borderId="11356" xfId="0" applyFont="1" applyFill="1" applyBorder="1"/>
    <xf numFmtId="14" fontId="11406" fillId="11410" borderId="11357" xfId="0" applyNumberFormat="1" applyFont="1" applyFill="1" applyBorder="1"/>
    <xf numFmtId="0" fontId="11407" fillId="11411" borderId="11358" xfId="0" applyFont="1" applyFill="1" applyBorder="1"/>
    <xf numFmtId="14" fontId="11408" fillId="11412" borderId="11359" xfId="0" applyNumberFormat="1" applyFont="1" applyFill="1" applyBorder="1"/>
    <xf numFmtId="0" fontId="11409" fillId="11413" borderId="11360" xfId="0" applyFont="1" applyFill="1" applyBorder="1"/>
    <xf numFmtId="0" fontId="11410" fillId="11414" borderId="11361" xfId="0" applyFont="1" applyFill="1" applyBorder="1"/>
    <xf numFmtId="0" fontId="11411" fillId="11415" borderId="11362" xfId="0" applyFont="1" applyFill="1" applyBorder="1"/>
    <xf numFmtId="0" fontId="11412" fillId="11416" borderId="11363" xfId="0" applyFont="1" applyFill="1" applyBorder="1"/>
    <xf numFmtId="0" fontId="11413" fillId="11417" borderId="11364" xfId="0" applyFont="1" applyFill="1" applyBorder="1"/>
    <xf numFmtId="0" fontId="11414" fillId="11418" borderId="11365" xfId="0" applyFont="1" applyFill="1" applyBorder="1"/>
    <xf numFmtId="0" fontId="11415" fillId="11419" borderId="11366" xfId="0" applyFont="1" applyFill="1" applyBorder="1"/>
    <xf numFmtId="14" fontId="11416" fillId="11420" borderId="11367" xfId="0" applyNumberFormat="1" applyFont="1" applyFill="1" applyBorder="1"/>
    <xf numFmtId="0" fontId="11417" fillId="11421" borderId="11368" xfId="0" applyFont="1" applyFill="1" applyBorder="1"/>
    <xf numFmtId="14" fontId="11418" fillId="11422" borderId="11369" xfId="0" applyNumberFormat="1" applyFont="1" applyFill="1" applyBorder="1"/>
    <xf numFmtId="0" fontId="11419" fillId="11423" borderId="11370" xfId="0" applyFont="1" applyFill="1" applyBorder="1"/>
    <xf numFmtId="0" fontId="11420" fillId="11424" borderId="11371" xfId="0" applyFont="1" applyFill="1" applyBorder="1"/>
    <xf numFmtId="0" fontId="11421" fillId="11425" borderId="11372" xfId="0" applyFont="1" applyFill="1" applyBorder="1"/>
    <xf numFmtId="0" fontId="11422" fillId="11426" borderId="11373" xfId="0" applyFont="1" applyFill="1" applyBorder="1"/>
    <xf numFmtId="0" fontId="11423" fillId="11427" borderId="11374" xfId="0" applyFont="1" applyFill="1" applyBorder="1"/>
    <xf numFmtId="0" fontId="11424" fillId="11428" borderId="11375" xfId="0" applyFont="1" applyFill="1" applyBorder="1"/>
    <xf numFmtId="0" fontId="11425" fillId="11429" borderId="11376" xfId="0" applyFont="1" applyFill="1" applyBorder="1"/>
    <xf numFmtId="14" fontId="11426" fillId="11430" borderId="11377" xfId="0" applyNumberFormat="1" applyFont="1" applyFill="1" applyBorder="1"/>
    <xf numFmtId="0" fontId="11427" fillId="11431" borderId="11378" xfId="0" applyFont="1" applyFill="1" applyBorder="1"/>
    <xf numFmtId="14" fontId="11428" fillId="11432" borderId="11379" xfId="0" applyNumberFormat="1" applyFont="1" applyFill="1" applyBorder="1"/>
    <xf numFmtId="0" fontId="11429" fillId="11433" borderId="11380" xfId="0" applyFont="1" applyFill="1" applyBorder="1"/>
    <xf numFmtId="0" fontId="11430" fillId="11434" borderId="11381" xfId="0" applyFont="1" applyFill="1" applyBorder="1"/>
    <xf numFmtId="0" fontId="11431" fillId="11435" borderId="11382" xfId="0" applyFont="1" applyFill="1" applyBorder="1"/>
    <xf numFmtId="0" fontId="11432" fillId="11436" borderId="11383" xfId="0" applyFont="1" applyFill="1" applyBorder="1"/>
    <xf numFmtId="0" fontId="11433" fillId="11437" borderId="11384" xfId="0" applyFont="1" applyFill="1" applyBorder="1"/>
    <xf numFmtId="0" fontId="11434" fillId="11438" borderId="11385" xfId="0" applyFont="1" applyFill="1" applyBorder="1"/>
    <xf numFmtId="0" fontId="11435" fillId="11439" borderId="11386" xfId="0" applyFont="1" applyFill="1" applyBorder="1"/>
    <xf numFmtId="14" fontId="11436" fillId="11440" borderId="11387" xfId="0" applyNumberFormat="1" applyFont="1" applyFill="1" applyBorder="1"/>
    <xf numFmtId="0" fontId="11437" fillId="11441" borderId="11388" xfId="0" applyFont="1" applyFill="1" applyBorder="1"/>
    <xf numFmtId="14" fontId="11438" fillId="11442" borderId="11389" xfId="0" applyNumberFormat="1" applyFont="1" applyFill="1" applyBorder="1"/>
    <xf numFmtId="0" fontId="11439" fillId="11443" borderId="11390" xfId="0" applyFont="1" applyFill="1" applyBorder="1"/>
    <xf numFmtId="0" fontId="11440" fillId="11444" borderId="11391" xfId="0" applyFont="1" applyFill="1" applyBorder="1"/>
    <xf numFmtId="0" fontId="11441" fillId="11445" borderId="11392" xfId="0" applyFont="1" applyFill="1" applyBorder="1"/>
    <xf numFmtId="0" fontId="11442" fillId="11446" borderId="11393" xfId="0" applyFont="1" applyFill="1" applyBorder="1"/>
    <xf numFmtId="0" fontId="11443" fillId="11447" borderId="11394" xfId="0" applyFont="1" applyFill="1" applyBorder="1"/>
    <xf numFmtId="0" fontId="11444" fillId="11448" borderId="11395" xfId="0" applyFont="1" applyFill="1" applyBorder="1"/>
    <xf numFmtId="0" fontId="11445" fillId="11449" borderId="11396" xfId="0" applyFont="1" applyFill="1" applyBorder="1"/>
    <xf numFmtId="14" fontId="11446" fillId="11450" borderId="11397" xfId="0" applyNumberFormat="1" applyFont="1" applyFill="1" applyBorder="1"/>
    <xf numFmtId="0" fontId="11447" fillId="11451" borderId="11398" xfId="0" applyFont="1" applyFill="1" applyBorder="1"/>
    <xf numFmtId="14" fontId="11448" fillId="11452" borderId="11399" xfId="0" applyNumberFormat="1" applyFont="1" applyFill="1" applyBorder="1"/>
    <xf numFmtId="0" fontId="11449" fillId="11453" borderId="11400" xfId="0" applyFont="1" applyFill="1" applyBorder="1"/>
    <xf numFmtId="0" fontId="11450" fillId="11454" borderId="11401" xfId="0" applyFont="1" applyFill="1" applyBorder="1"/>
    <xf numFmtId="0" fontId="11451" fillId="11455" borderId="11402" xfId="0" applyFont="1" applyFill="1" applyBorder="1"/>
    <xf numFmtId="0" fontId="11452" fillId="11456" borderId="11403" xfId="0" applyFont="1" applyFill="1" applyBorder="1"/>
    <xf numFmtId="0" fontId="11453" fillId="11457" borderId="11404" xfId="0" applyFont="1" applyFill="1" applyBorder="1"/>
    <xf numFmtId="0" fontId="11454" fillId="11458" borderId="11405" xfId="0" applyFont="1" applyFill="1" applyBorder="1"/>
    <xf numFmtId="0" fontId="11455" fillId="11459" borderId="11406" xfId="0" applyFont="1" applyFill="1" applyBorder="1"/>
    <xf numFmtId="14" fontId="11456" fillId="11460" borderId="11407" xfId="0" applyNumberFormat="1" applyFont="1" applyFill="1" applyBorder="1"/>
    <xf numFmtId="0" fontId="11457" fillId="11461" borderId="11408" xfId="0" applyFont="1" applyFill="1" applyBorder="1"/>
    <xf numFmtId="14" fontId="11458" fillId="11462" borderId="11409" xfId="0" applyNumberFormat="1" applyFont="1" applyFill="1" applyBorder="1"/>
    <xf numFmtId="0" fontId="11459" fillId="11463" borderId="11410" xfId="0" applyFont="1" applyFill="1" applyBorder="1"/>
    <xf numFmtId="0" fontId="11460" fillId="11464" borderId="11411" xfId="0" applyFont="1" applyFill="1" applyBorder="1"/>
    <xf numFmtId="0" fontId="11461" fillId="11465" borderId="11412" xfId="0" applyFont="1" applyFill="1" applyBorder="1"/>
    <xf numFmtId="0" fontId="11462" fillId="11466" borderId="11413" xfId="0" applyFont="1" applyFill="1" applyBorder="1"/>
    <xf numFmtId="0" fontId="11463" fillId="11467" borderId="11414" xfId="0" applyFont="1" applyFill="1" applyBorder="1"/>
    <xf numFmtId="0" fontId="11464" fillId="11468" borderId="11415" xfId="0" applyFont="1" applyFill="1" applyBorder="1"/>
    <xf numFmtId="0" fontId="11465" fillId="11469" borderId="11416" xfId="0" applyFont="1" applyFill="1" applyBorder="1"/>
    <xf numFmtId="14" fontId="11466" fillId="11470" borderId="11417" xfId="0" applyNumberFormat="1" applyFont="1" applyFill="1" applyBorder="1"/>
    <xf numFmtId="0" fontId="11467" fillId="11471" borderId="11418" xfId="0" applyFont="1" applyFill="1" applyBorder="1"/>
    <xf numFmtId="14" fontId="11468" fillId="11472" borderId="11419" xfId="0" applyNumberFormat="1" applyFont="1" applyFill="1" applyBorder="1"/>
    <xf numFmtId="0" fontId="11469" fillId="11473" borderId="11420" xfId="0" applyFont="1" applyFill="1" applyBorder="1"/>
    <xf numFmtId="0" fontId="11470" fillId="11474" borderId="11421" xfId="0" applyFont="1" applyFill="1" applyBorder="1"/>
    <xf numFmtId="0" fontId="11471" fillId="11475" borderId="11422" xfId="0" applyFont="1" applyFill="1" applyBorder="1"/>
    <xf numFmtId="0" fontId="11472" fillId="11476" borderId="11423" xfId="0" applyFont="1" applyFill="1" applyBorder="1"/>
    <xf numFmtId="0" fontId="11473" fillId="11477" borderId="11424" xfId="0" applyFont="1" applyFill="1" applyBorder="1"/>
    <xf numFmtId="0" fontId="11474" fillId="11478" borderId="11425" xfId="0" applyFont="1" applyFill="1" applyBorder="1"/>
    <xf numFmtId="0" fontId="11475" fillId="11479" borderId="11426" xfId="0" applyFont="1" applyFill="1" applyBorder="1"/>
    <xf numFmtId="14" fontId="11476" fillId="11480" borderId="11427" xfId="0" applyNumberFormat="1" applyFont="1" applyFill="1" applyBorder="1"/>
    <xf numFmtId="0" fontId="11477" fillId="11481" borderId="11428" xfId="0" applyFont="1" applyFill="1" applyBorder="1"/>
    <xf numFmtId="14" fontId="11478" fillId="11482" borderId="11429" xfId="0" applyNumberFormat="1" applyFont="1" applyFill="1" applyBorder="1"/>
    <xf numFmtId="0" fontId="11479" fillId="11483" borderId="11430" xfId="0" applyFont="1" applyFill="1" applyBorder="1"/>
    <xf numFmtId="0" fontId="11480" fillId="11484" borderId="11431" xfId="0" applyFont="1" applyFill="1" applyBorder="1"/>
    <xf numFmtId="0" fontId="11481" fillId="11485" borderId="11432" xfId="0" applyFont="1" applyFill="1" applyBorder="1"/>
    <xf numFmtId="0" fontId="11482" fillId="11486" borderId="11433" xfId="0" applyFont="1" applyFill="1" applyBorder="1"/>
    <xf numFmtId="0" fontId="11483" fillId="11487" borderId="11434" xfId="0" applyFont="1" applyFill="1" applyBorder="1"/>
    <xf numFmtId="0" fontId="11484" fillId="11488" borderId="11435" xfId="0" applyFont="1" applyFill="1" applyBorder="1"/>
    <xf numFmtId="0" fontId="11485" fillId="11489" borderId="11436" xfId="0" applyFont="1" applyFill="1" applyBorder="1"/>
    <xf numFmtId="14" fontId="11486" fillId="11490" borderId="11437" xfId="0" applyNumberFormat="1" applyFont="1" applyFill="1" applyBorder="1"/>
    <xf numFmtId="0" fontId="11487" fillId="11491" borderId="11438" xfId="0" applyFont="1" applyFill="1" applyBorder="1"/>
    <xf numFmtId="14" fontId="11488" fillId="11492" borderId="11439" xfId="0" applyNumberFormat="1" applyFont="1" applyFill="1" applyBorder="1"/>
    <xf numFmtId="0" fontId="11489" fillId="11493" borderId="11440" xfId="0" applyFont="1" applyFill="1" applyBorder="1"/>
    <xf numFmtId="0" fontId="11490" fillId="11494" borderId="11441" xfId="0" applyFont="1" applyFill="1" applyBorder="1"/>
    <xf numFmtId="0" fontId="11491" fillId="11495" borderId="11442" xfId="0" applyFont="1" applyFill="1" applyBorder="1"/>
    <xf numFmtId="0" fontId="11492" fillId="11496" borderId="11443" xfId="0" applyFont="1" applyFill="1" applyBorder="1"/>
    <xf numFmtId="0" fontId="11493" fillId="11497" borderId="11444" xfId="0" applyFont="1" applyFill="1" applyBorder="1"/>
    <xf numFmtId="0" fontId="11494" fillId="11498" borderId="11445" xfId="0" applyFont="1" applyFill="1" applyBorder="1"/>
    <xf numFmtId="0" fontId="11495" fillId="11499" borderId="11446" xfId="0" applyFont="1" applyFill="1" applyBorder="1"/>
    <xf numFmtId="14" fontId="11496" fillId="11500" borderId="11447" xfId="0" applyNumberFormat="1" applyFont="1" applyFill="1" applyBorder="1"/>
    <xf numFmtId="0" fontId="11497" fillId="11501" borderId="11448" xfId="0" applyFont="1" applyFill="1" applyBorder="1"/>
    <xf numFmtId="14" fontId="11498" fillId="11502" borderId="11449" xfId="0" applyNumberFormat="1" applyFont="1" applyFill="1" applyBorder="1"/>
    <xf numFmtId="0" fontId="11499" fillId="11503" borderId="11450" xfId="0" applyFont="1" applyFill="1" applyBorder="1"/>
    <xf numFmtId="0" fontId="11500" fillId="11504" borderId="11451" xfId="0" applyFont="1" applyFill="1" applyBorder="1"/>
    <xf numFmtId="0" fontId="11501" fillId="11505" borderId="11452" xfId="0" applyFont="1" applyFill="1" applyBorder="1"/>
    <xf numFmtId="0" fontId="11502" fillId="11506" borderId="11453" xfId="0" applyFont="1" applyFill="1" applyBorder="1"/>
    <xf numFmtId="0" fontId="11503" fillId="11507" borderId="11454" xfId="0" applyFont="1" applyFill="1" applyBorder="1"/>
    <xf numFmtId="0" fontId="11504" fillId="11508" borderId="11455" xfId="0" applyFont="1" applyFill="1" applyBorder="1"/>
    <xf numFmtId="0" fontId="11505" fillId="11509" borderId="11456" xfId="0" applyFont="1" applyFill="1" applyBorder="1"/>
    <xf numFmtId="14" fontId="11506" fillId="11510" borderId="11457" xfId="0" applyNumberFormat="1" applyFont="1" applyFill="1" applyBorder="1"/>
    <xf numFmtId="0" fontId="11507" fillId="11511" borderId="11458" xfId="0" applyFont="1" applyFill="1" applyBorder="1"/>
    <xf numFmtId="14" fontId="11508" fillId="11512" borderId="11459" xfId="0" applyNumberFormat="1" applyFont="1" applyFill="1" applyBorder="1"/>
    <xf numFmtId="0" fontId="11509" fillId="11513" borderId="11460" xfId="0" applyFont="1" applyFill="1" applyBorder="1"/>
    <xf numFmtId="0" fontId="11510" fillId="11514" borderId="11461" xfId="0" applyFont="1" applyFill="1" applyBorder="1"/>
    <xf numFmtId="0" fontId="11511" fillId="11515" borderId="11462" xfId="0" applyFont="1" applyFill="1" applyBorder="1"/>
    <xf numFmtId="0" fontId="11512" fillId="11516" borderId="11463" xfId="0" applyFont="1" applyFill="1" applyBorder="1"/>
    <xf numFmtId="0" fontId="11513" fillId="11517" borderId="11464" xfId="0" applyFont="1" applyFill="1" applyBorder="1"/>
    <xf numFmtId="0" fontId="11514" fillId="11518" borderId="11465" xfId="0" applyFont="1" applyFill="1" applyBorder="1"/>
    <xf numFmtId="0" fontId="11515" fillId="11519" borderId="11466" xfId="0" applyFont="1" applyFill="1" applyBorder="1"/>
    <xf numFmtId="14" fontId="11516" fillId="11520" borderId="11467" xfId="0" applyNumberFormat="1" applyFont="1" applyFill="1" applyBorder="1"/>
    <xf numFmtId="0" fontId="11517" fillId="11521" borderId="11468" xfId="0" applyFont="1" applyFill="1" applyBorder="1"/>
    <xf numFmtId="14" fontId="11518" fillId="11522" borderId="11469" xfId="0" applyNumberFormat="1" applyFont="1" applyFill="1" applyBorder="1"/>
    <xf numFmtId="0" fontId="11519" fillId="11523" borderId="11470" xfId="0" applyFont="1" applyFill="1" applyBorder="1"/>
    <xf numFmtId="0" fontId="11520" fillId="11524" borderId="11471" xfId="0" applyFont="1" applyFill="1" applyBorder="1"/>
    <xf numFmtId="0" fontId="11521" fillId="11525" borderId="11472" xfId="0" applyFont="1" applyFill="1" applyBorder="1"/>
    <xf numFmtId="0" fontId="11522" fillId="11526" borderId="11473" xfId="0" applyFont="1" applyFill="1" applyBorder="1"/>
    <xf numFmtId="0" fontId="11523" fillId="11527" borderId="11474" xfId="0" applyFont="1" applyFill="1" applyBorder="1"/>
    <xf numFmtId="0" fontId="11524" fillId="11528" borderId="11475" xfId="0" applyFont="1" applyFill="1" applyBorder="1"/>
    <xf numFmtId="0" fontId="11525" fillId="11529" borderId="11476" xfId="0" applyFont="1" applyFill="1" applyBorder="1"/>
    <xf numFmtId="14" fontId="11526" fillId="11530" borderId="11477" xfId="0" applyNumberFormat="1" applyFont="1" applyFill="1" applyBorder="1"/>
    <xf numFmtId="0" fontId="11527" fillId="11531" borderId="11478" xfId="0" applyFont="1" applyFill="1" applyBorder="1"/>
    <xf numFmtId="14" fontId="11528" fillId="11532" borderId="11479" xfId="0" applyNumberFormat="1" applyFont="1" applyFill="1" applyBorder="1"/>
    <xf numFmtId="0" fontId="11529" fillId="11533" borderId="11480" xfId="0" applyFont="1" applyFill="1" applyBorder="1"/>
    <xf numFmtId="0" fontId="11530" fillId="11534" borderId="11481" xfId="0" applyFont="1" applyFill="1" applyBorder="1"/>
    <xf numFmtId="0" fontId="11531" fillId="11535" borderId="11482" xfId="0" applyFont="1" applyFill="1" applyBorder="1"/>
    <xf numFmtId="0" fontId="11532" fillId="11536" borderId="11483" xfId="0" applyFont="1" applyFill="1" applyBorder="1"/>
    <xf numFmtId="0" fontId="11533" fillId="11537" borderId="11484" xfId="0" applyFont="1" applyFill="1" applyBorder="1"/>
    <xf numFmtId="0" fontId="11534" fillId="11538" borderId="11485" xfId="0" applyFont="1" applyFill="1" applyBorder="1"/>
    <xf numFmtId="0" fontId="11535" fillId="11539" borderId="11486" xfId="0" applyFont="1" applyFill="1" applyBorder="1"/>
    <xf numFmtId="14" fontId="11536" fillId="11540" borderId="11487" xfId="0" applyNumberFormat="1" applyFont="1" applyFill="1" applyBorder="1"/>
    <xf numFmtId="0" fontId="11537" fillId="11541" borderId="11488" xfId="0" applyFont="1" applyFill="1" applyBorder="1"/>
    <xf numFmtId="14" fontId="11538" fillId="11542" borderId="11489" xfId="0" applyNumberFormat="1" applyFont="1" applyFill="1" applyBorder="1"/>
    <xf numFmtId="0" fontId="11539" fillId="11543" borderId="11490" xfId="0" applyFont="1" applyFill="1" applyBorder="1"/>
    <xf numFmtId="0" fontId="11540" fillId="11544" borderId="11491" xfId="0" applyFont="1" applyFill="1" applyBorder="1"/>
    <xf numFmtId="0" fontId="11541" fillId="11545" borderId="11492" xfId="0" applyFont="1" applyFill="1" applyBorder="1"/>
    <xf numFmtId="0" fontId="11542" fillId="11546" borderId="11493" xfId="0" applyFont="1" applyFill="1" applyBorder="1"/>
    <xf numFmtId="0" fontId="11543" fillId="11547" borderId="11494" xfId="0" applyFont="1" applyFill="1" applyBorder="1"/>
    <xf numFmtId="0" fontId="11544" fillId="11548" borderId="11495" xfId="0" applyFont="1" applyFill="1" applyBorder="1"/>
    <xf numFmtId="0" fontId="11545" fillId="11549" borderId="11496" xfId="0" applyFont="1" applyFill="1" applyBorder="1"/>
    <xf numFmtId="14" fontId="11546" fillId="11550" borderId="11497" xfId="0" applyNumberFormat="1" applyFont="1" applyFill="1" applyBorder="1"/>
    <xf numFmtId="0" fontId="11547" fillId="11551" borderId="11498" xfId="0" applyFont="1" applyFill="1" applyBorder="1"/>
    <xf numFmtId="14" fontId="11548" fillId="11552" borderId="11499" xfId="0" applyNumberFormat="1" applyFont="1" applyFill="1" applyBorder="1"/>
    <xf numFmtId="0" fontId="11549" fillId="11553" borderId="11500" xfId="0" applyFont="1" applyFill="1" applyBorder="1"/>
    <xf numFmtId="0" fontId="11550" fillId="11554" borderId="11501" xfId="0" applyFont="1" applyFill="1" applyBorder="1"/>
    <xf numFmtId="0" fontId="11551" fillId="11555" borderId="11502" xfId="0" applyFont="1" applyFill="1" applyBorder="1"/>
    <xf numFmtId="0" fontId="11552" fillId="11556" borderId="11503" xfId="0" applyFont="1" applyFill="1" applyBorder="1"/>
    <xf numFmtId="0" fontId="11553" fillId="11557" borderId="11504" xfId="0" applyFont="1" applyFill="1" applyBorder="1"/>
    <xf numFmtId="0" fontId="11554" fillId="11558" borderId="11505" xfId="0" applyFont="1" applyFill="1" applyBorder="1"/>
    <xf numFmtId="0" fontId="11555" fillId="11559" borderId="11506" xfId="0" applyFont="1" applyFill="1" applyBorder="1"/>
    <xf numFmtId="14" fontId="11556" fillId="11560" borderId="11507" xfId="0" applyNumberFormat="1" applyFont="1" applyFill="1" applyBorder="1"/>
    <xf numFmtId="0" fontId="11557" fillId="11561" borderId="11508" xfId="0" applyFont="1" applyFill="1" applyBorder="1"/>
    <xf numFmtId="14" fontId="11558" fillId="11562" borderId="11509" xfId="0" applyNumberFormat="1" applyFont="1" applyFill="1" applyBorder="1"/>
    <xf numFmtId="0" fontId="11559" fillId="11563" borderId="11510" xfId="0" applyFont="1" applyFill="1" applyBorder="1"/>
    <xf numFmtId="0" fontId="11560" fillId="11564" borderId="11511" xfId="0" applyFont="1" applyFill="1" applyBorder="1"/>
    <xf numFmtId="0" fontId="11561" fillId="11565" borderId="11512" xfId="0" applyFont="1" applyFill="1" applyBorder="1"/>
    <xf numFmtId="0" fontId="11562" fillId="11566" borderId="11513" xfId="0" applyFont="1" applyFill="1" applyBorder="1"/>
    <xf numFmtId="0" fontId="11563" fillId="11567" borderId="11514" xfId="0" applyFont="1" applyFill="1" applyBorder="1"/>
    <xf numFmtId="0" fontId="11564" fillId="11568" borderId="11515" xfId="0" applyFont="1" applyFill="1" applyBorder="1"/>
    <xf numFmtId="0" fontId="11565" fillId="11569" borderId="11516" xfId="0" applyFont="1" applyFill="1" applyBorder="1"/>
    <xf numFmtId="14" fontId="11566" fillId="11570" borderId="11517" xfId="0" applyNumberFormat="1" applyFont="1" applyFill="1" applyBorder="1"/>
    <xf numFmtId="0" fontId="11567" fillId="11571" borderId="11518" xfId="0" applyFont="1" applyFill="1" applyBorder="1"/>
    <xf numFmtId="14" fontId="11568" fillId="11572" borderId="11519" xfId="0" applyNumberFormat="1" applyFont="1" applyFill="1" applyBorder="1"/>
    <xf numFmtId="0" fontId="11569" fillId="11573" borderId="11520" xfId="0" applyFont="1" applyFill="1" applyBorder="1"/>
    <xf numFmtId="0" fontId="11570" fillId="11574" borderId="11521" xfId="0" applyFont="1" applyFill="1" applyBorder="1"/>
    <xf numFmtId="0" fontId="11571" fillId="11575" borderId="11522" xfId="0" applyFont="1" applyFill="1" applyBorder="1"/>
    <xf numFmtId="0" fontId="11572" fillId="11576" borderId="11523" xfId="0" applyFont="1" applyFill="1" applyBorder="1"/>
    <xf numFmtId="0" fontId="11573" fillId="11577" borderId="11524" xfId="0" applyFont="1" applyFill="1" applyBorder="1"/>
    <xf numFmtId="0" fontId="11574" fillId="11578" borderId="11525" xfId="0" applyFont="1" applyFill="1" applyBorder="1"/>
    <xf numFmtId="0" fontId="11575" fillId="11579" borderId="11526" xfId="0" applyFont="1" applyFill="1" applyBorder="1"/>
    <xf numFmtId="14" fontId="11576" fillId="11580" borderId="11527" xfId="0" applyNumberFormat="1" applyFont="1" applyFill="1" applyBorder="1"/>
    <xf numFmtId="0" fontId="11577" fillId="11581" borderId="11528" xfId="0" applyFont="1" applyFill="1" applyBorder="1"/>
    <xf numFmtId="14" fontId="11578" fillId="11582" borderId="11529" xfId="0" applyNumberFormat="1" applyFont="1" applyFill="1" applyBorder="1"/>
    <xf numFmtId="0" fontId="11579" fillId="11583" borderId="11530" xfId="0" applyFont="1" applyFill="1" applyBorder="1"/>
    <xf numFmtId="0" fontId="11580" fillId="11584" borderId="11531" xfId="0" applyFont="1" applyFill="1" applyBorder="1"/>
    <xf numFmtId="0" fontId="11581" fillId="11585" borderId="11532" xfId="0" applyFont="1" applyFill="1" applyBorder="1"/>
    <xf numFmtId="0" fontId="11582" fillId="11586" borderId="11533" xfId="0" applyFont="1" applyFill="1" applyBorder="1"/>
    <xf numFmtId="0" fontId="11583" fillId="11587" borderId="11534" xfId="0" applyFont="1" applyFill="1" applyBorder="1"/>
    <xf numFmtId="0" fontId="11586" fillId="11590" borderId="11537" xfId="0" applyFont="1" applyFill="1" applyBorder="1" applyAlignment="1">
      <alignment horizontal="center" wrapText="1"/>
    </xf>
    <xf numFmtId="0" fontId="11587" fillId="11591" borderId="11538" xfId="0" applyFont="1" applyFill="1" applyBorder="1" applyAlignment="1">
      <alignment horizontal="center" wrapText="1"/>
    </xf>
    <xf numFmtId="0" fontId="11588" fillId="11592" borderId="11539" xfId="0" applyFont="1" applyFill="1" applyBorder="1" applyAlignment="1">
      <alignment horizontal="center" wrapText="1"/>
    </xf>
    <xf numFmtId="0" fontId="11589" fillId="11593" borderId="11540" xfId="0" applyFont="1" applyFill="1" applyBorder="1" applyAlignment="1">
      <alignment horizontal="center" wrapText="1"/>
    </xf>
    <xf numFmtId="0" fontId="11590" fillId="11594" borderId="11541" xfId="0" applyFont="1" applyFill="1" applyBorder="1" applyAlignment="1">
      <alignment horizontal="center" wrapText="1"/>
    </xf>
    <xf numFmtId="0" fontId="11591" fillId="11595" borderId="11542" xfId="0" applyFont="1" applyFill="1" applyBorder="1" applyAlignment="1">
      <alignment horizontal="center" wrapText="1"/>
    </xf>
    <xf numFmtId="0" fontId="11592" fillId="11596" borderId="11543" xfId="0" applyFont="1" applyFill="1" applyBorder="1" applyAlignment="1">
      <alignment horizontal="center" wrapText="1"/>
    </xf>
    <xf numFmtId="0" fontId="11593" fillId="11597" borderId="11544" xfId="0" applyFont="1" applyFill="1" applyBorder="1" applyAlignment="1">
      <alignment horizontal="center" wrapText="1"/>
    </xf>
    <xf numFmtId="0" fontId="11594" fillId="11598" borderId="11545" xfId="0" applyFont="1" applyFill="1" applyBorder="1" applyAlignment="1">
      <alignment horizontal="center" wrapText="1"/>
    </xf>
    <xf numFmtId="0" fontId="11595" fillId="11599" borderId="11546" xfId="0" applyFont="1" applyFill="1" applyBorder="1" applyAlignment="1">
      <alignment horizontal="center" wrapText="1"/>
    </xf>
    <xf numFmtId="0" fontId="11596" fillId="11600" borderId="11547" xfId="0" applyFont="1" applyFill="1" applyBorder="1" applyAlignment="1">
      <alignment horizontal="center" wrapText="1"/>
    </xf>
    <xf numFmtId="0" fontId="11597" fillId="11601" borderId="11548" xfId="0" applyFont="1" applyFill="1" applyBorder="1" applyAlignment="1">
      <alignment horizontal="center" wrapText="1"/>
    </xf>
    <xf numFmtId="0" fontId="11598" fillId="11602" borderId="11549" xfId="0" applyFont="1" applyFill="1" applyBorder="1" applyAlignment="1">
      <alignment horizontal="center" wrapText="1"/>
    </xf>
    <xf numFmtId="0" fontId="11599" fillId="11603" borderId="11550" xfId="0" applyFont="1" applyFill="1" applyBorder="1"/>
    <xf numFmtId="0" fontId="11602" fillId="11606" borderId="11553" xfId="0" applyFont="1" applyFill="1" applyBorder="1" applyAlignment="1">
      <alignment horizontal="center" wrapText="1"/>
    </xf>
    <xf numFmtId="0" fontId="11603" fillId="11607" borderId="11554" xfId="0" applyFont="1" applyFill="1" applyBorder="1" applyAlignment="1">
      <alignment horizontal="center" wrapText="1"/>
    </xf>
    <xf numFmtId="0" fontId="11604" fillId="11608" borderId="11555" xfId="0" applyFont="1" applyFill="1" applyBorder="1" applyAlignment="1">
      <alignment horizontal="center" wrapText="1"/>
    </xf>
    <xf numFmtId="0" fontId="11605" fillId="11609" borderId="11556" xfId="0" applyFont="1" applyFill="1" applyBorder="1" applyAlignment="1">
      <alignment horizontal="center" wrapText="1"/>
    </xf>
    <xf numFmtId="0" fontId="11606" fillId="11610" borderId="11557" xfId="0" applyFont="1" applyFill="1" applyBorder="1" applyAlignment="1">
      <alignment horizontal="center" wrapText="1"/>
    </xf>
    <xf numFmtId="0" fontId="11607" fillId="11611" borderId="11558" xfId="0" applyFont="1" applyFill="1" applyBorder="1" applyAlignment="1">
      <alignment horizontal="center" wrapText="1"/>
    </xf>
    <xf numFmtId="0" fontId="11608" fillId="11612" borderId="11559" xfId="0" applyFont="1" applyFill="1" applyBorder="1" applyAlignment="1">
      <alignment horizontal="center" wrapText="1"/>
    </xf>
    <xf numFmtId="0" fontId="11609" fillId="11613" borderId="11560" xfId="0" applyFont="1" applyFill="1" applyBorder="1" applyAlignment="1">
      <alignment horizontal="center" wrapText="1"/>
    </xf>
    <xf numFmtId="0" fontId="11610" fillId="11614" borderId="11561" xfId="0" applyFont="1" applyFill="1" applyBorder="1" applyAlignment="1">
      <alignment horizontal="center" wrapText="1"/>
    </xf>
    <xf numFmtId="0" fontId="11611" fillId="11615" borderId="11562" xfId="0" applyFont="1" applyFill="1" applyBorder="1" applyAlignment="1">
      <alignment horizontal="center" wrapText="1"/>
    </xf>
    <xf numFmtId="0" fontId="11612" fillId="11616" borderId="11563" xfId="0" applyFont="1" applyFill="1" applyBorder="1" applyAlignment="1">
      <alignment horizontal="center" wrapText="1"/>
    </xf>
    <xf numFmtId="0" fontId="12075" fillId="12079" borderId="12026" xfId="0" applyFont="1" applyFill="1" applyBorder="1"/>
    <xf numFmtId="165" fontId="12076" fillId="12080" borderId="12027" xfId="0" applyNumberFormat="1" applyFont="1" applyFill="1" applyBorder="1"/>
    <xf numFmtId="165" fontId="12077" fillId="12081" borderId="12028" xfId="0" applyNumberFormat="1" applyFont="1" applyFill="1" applyBorder="1"/>
    <xf numFmtId="165" fontId="12078" fillId="12082" borderId="12029" xfId="0" applyNumberFormat="1" applyFont="1" applyFill="1" applyBorder="1"/>
    <xf numFmtId="4" fontId="12079" fillId="12083" borderId="12030" xfId="0" applyNumberFormat="1" applyFont="1" applyFill="1" applyBorder="1"/>
    <xf numFmtId="0" fontId="12081" fillId="12085" borderId="12032" xfId="0" applyFont="1" applyFill="1" applyBorder="1"/>
    <xf numFmtId="0" fontId="12082" fillId="12086" borderId="12033" xfId="0" applyFont="1" applyFill="1" applyBorder="1"/>
    <xf numFmtId="0" fontId="12083" fillId="12087" borderId="12034" xfId="0" applyFont="1" applyFill="1" applyBorder="1"/>
    <xf numFmtId="0" fontId="12084" fillId="12088" borderId="12035" xfId="0" applyFont="1" applyFill="1" applyBorder="1"/>
    <xf numFmtId="0" fontId="12085" fillId="12089" borderId="12036" xfId="0" applyFont="1" applyFill="1" applyBorder="1"/>
    <xf numFmtId="0" fontId="12086" fillId="12090" borderId="12037" xfId="0" applyFont="1" applyFill="1" applyBorder="1"/>
    <xf numFmtId="0" fontId="12087" fillId="12091" borderId="12038" xfId="0" applyFont="1" applyFill="1" applyBorder="1"/>
    <xf numFmtId="0" fontId="12088" fillId="12092" borderId="12039" xfId="0" applyFont="1" applyFill="1" applyBorder="1"/>
    <xf numFmtId="0" fontId="12089" fillId="12093" borderId="12040" xfId="0" applyFont="1" applyFill="1" applyBorder="1"/>
    <xf numFmtId="0" fontId="12090" fillId="12094" borderId="12041" xfId="0" applyFont="1" applyFill="1" applyBorder="1" applyAlignment="1">
      <alignment horizontal="center"/>
    </xf>
    <xf numFmtId="0" fontId="12091" fillId="12095" borderId="12042" xfId="0" applyFont="1" applyFill="1" applyBorder="1"/>
    <xf numFmtId="165" fontId="12092" fillId="12096" borderId="12043" xfId="0" applyNumberFormat="1" applyFont="1" applyFill="1" applyBorder="1"/>
    <xf numFmtId="165" fontId="12093" fillId="12097" borderId="12044" xfId="0" applyNumberFormat="1" applyFont="1" applyFill="1" applyBorder="1"/>
    <xf numFmtId="165" fontId="12094" fillId="12098" borderId="12045" xfId="0" applyNumberFormat="1" applyFont="1" applyFill="1" applyBorder="1"/>
    <xf numFmtId="4" fontId="12095" fillId="12099" borderId="12046" xfId="0" applyNumberFormat="1" applyFont="1" applyFill="1" applyBorder="1"/>
    <xf numFmtId="168" fontId="12096" fillId="12100" borderId="12047" xfId="0" applyNumberFormat="1" applyFont="1" applyFill="1" applyBorder="1"/>
    <xf numFmtId="4" fontId="12097" fillId="12101" borderId="12048" xfId="0" applyNumberFormat="1" applyFont="1" applyFill="1" applyBorder="1"/>
    <xf numFmtId="165" fontId="12098" fillId="12102" borderId="12049" xfId="0" applyNumberFormat="1" applyFont="1" applyFill="1" applyBorder="1"/>
    <xf numFmtId="0" fontId="12099" fillId="12103" borderId="12050" xfId="0" applyFont="1" applyFill="1" applyBorder="1" applyAlignment="1">
      <alignment horizontal="center"/>
    </xf>
    <xf numFmtId="0" fontId="12100" fillId="12104" borderId="12051" xfId="0" applyFont="1" applyFill="1" applyBorder="1"/>
    <xf numFmtId="165" fontId="12101" fillId="12105" borderId="12052" xfId="0" applyNumberFormat="1" applyFont="1" applyFill="1" applyBorder="1"/>
    <xf numFmtId="165" fontId="12102" fillId="12106" borderId="12053" xfId="0" applyNumberFormat="1" applyFont="1" applyFill="1" applyBorder="1"/>
    <xf numFmtId="165" fontId="12103" fillId="12107" borderId="12054" xfId="0" applyNumberFormat="1" applyFont="1" applyFill="1" applyBorder="1"/>
    <xf numFmtId="4" fontId="12104" fillId="12108" borderId="12055" xfId="0" applyNumberFormat="1" applyFont="1" applyFill="1" applyBorder="1"/>
    <xf numFmtId="168" fontId="12105" fillId="12109" borderId="12056" xfId="0" applyNumberFormat="1" applyFont="1" applyFill="1" applyBorder="1"/>
    <xf numFmtId="4" fontId="12106" fillId="12110" borderId="12057" xfId="0" applyNumberFormat="1" applyFont="1" applyFill="1" applyBorder="1"/>
    <xf numFmtId="165" fontId="12107" fillId="12111" borderId="12058" xfId="0" applyNumberFormat="1" applyFont="1" applyFill="1" applyBorder="1"/>
    <xf numFmtId="0" fontId="12108" fillId="12112" borderId="12059" xfId="0" applyFont="1" applyFill="1" applyBorder="1" applyAlignment="1">
      <alignment horizontal="center"/>
    </xf>
    <xf numFmtId="0" fontId="12109" fillId="12113" borderId="12060" xfId="0" applyFont="1" applyFill="1" applyBorder="1"/>
    <xf numFmtId="165" fontId="12110" fillId="12114" borderId="12061" xfId="0" applyNumberFormat="1" applyFont="1" applyFill="1" applyBorder="1"/>
    <xf numFmtId="165" fontId="12111" fillId="12115" borderId="12062" xfId="0" applyNumberFormat="1" applyFont="1" applyFill="1" applyBorder="1"/>
    <xf numFmtId="165" fontId="12112" fillId="12116" borderId="12063" xfId="0" applyNumberFormat="1" applyFont="1" applyFill="1" applyBorder="1"/>
    <xf numFmtId="4" fontId="12113" fillId="12117" borderId="12064" xfId="0" applyNumberFormat="1" applyFont="1" applyFill="1" applyBorder="1"/>
    <xf numFmtId="168" fontId="12114" fillId="12118" borderId="12065" xfId="0" applyNumberFormat="1" applyFont="1" applyFill="1" applyBorder="1"/>
    <xf numFmtId="4" fontId="12115" fillId="12119" borderId="12066" xfId="0" applyNumberFormat="1" applyFont="1" applyFill="1" applyBorder="1"/>
    <xf numFmtId="165" fontId="12116" fillId="12120" borderId="12067" xfId="0" applyNumberFormat="1" applyFont="1" applyFill="1" applyBorder="1"/>
    <xf numFmtId="0" fontId="12117" fillId="12121" borderId="12068" xfId="0" applyFont="1" applyFill="1" applyBorder="1" applyAlignment="1">
      <alignment horizontal="center"/>
    </xf>
    <xf numFmtId="0" fontId="12118" fillId="12122" borderId="12069" xfId="0" applyFont="1" applyFill="1" applyBorder="1"/>
    <xf numFmtId="165" fontId="12119" fillId="12123" borderId="12070" xfId="0" applyNumberFormat="1" applyFont="1" applyFill="1" applyBorder="1"/>
    <xf numFmtId="165" fontId="12120" fillId="12124" borderId="12071" xfId="0" applyNumberFormat="1" applyFont="1" applyFill="1" applyBorder="1"/>
    <xf numFmtId="165" fontId="12121" fillId="12125" borderId="12072" xfId="0" applyNumberFormat="1" applyFont="1" applyFill="1" applyBorder="1"/>
    <xf numFmtId="4" fontId="12122" fillId="12126" borderId="12073" xfId="0" applyNumberFormat="1" applyFont="1" applyFill="1" applyBorder="1"/>
    <xf numFmtId="168" fontId="12123" fillId="12127" borderId="12074" xfId="0" applyNumberFormat="1" applyFont="1" applyFill="1" applyBorder="1"/>
    <xf numFmtId="4" fontId="12124" fillId="12128" borderId="12075" xfId="0" applyNumberFormat="1" applyFont="1" applyFill="1" applyBorder="1"/>
    <xf numFmtId="165" fontId="12125" fillId="12129" borderId="12076" xfId="0" applyNumberFormat="1" applyFont="1" applyFill="1" applyBorder="1"/>
    <xf numFmtId="0" fontId="12126" fillId="12130" borderId="12077" xfId="0" applyFont="1" applyFill="1" applyBorder="1" applyAlignment="1">
      <alignment horizontal="center"/>
    </xf>
    <xf numFmtId="0" fontId="12127" fillId="12131" borderId="12078" xfId="0" applyFont="1" applyFill="1" applyBorder="1"/>
    <xf numFmtId="165" fontId="12128" fillId="12132" borderId="12079" xfId="0" applyNumberFormat="1" applyFont="1" applyFill="1" applyBorder="1"/>
    <xf numFmtId="165" fontId="12129" fillId="12133" borderId="12080" xfId="0" applyNumberFormat="1" applyFont="1" applyFill="1" applyBorder="1"/>
    <xf numFmtId="165" fontId="12130" fillId="12134" borderId="12081" xfId="0" applyNumberFormat="1" applyFont="1" applyFill="1" applyBorder="1"/>
    <xf numFmtId="4" fontId="12131" fillId="12135" borderId="12082" xfId="0" applyNumberFormat="1" applyFont="1" applyFill="1" applyBorder="1"/>
    <xf numFmtId="168" fontId="12132" fillId="12136" borderId="12083" xfId="0" applyNumberFormat="1" applyFont="1" applyFill="1" applyBorder="1"/>
    <xf numFmtId="4" fontId="12133" fillId="12137" borderId="12084" xfId="0" applyNumberFormat="1" applyFont="1" applyFill="1" applyBorder="1"/>
    <xf numFmtId="165" fontId="12134" fillId="12138" borderId="12085" xfId="0" applyNumberFormat="1" applyFont="1" applyFill="1" applyBorder="1"/>
    <xf numFmtId="0" fontId="12135" fillId="12139" borderId="12086" xfId="0" applyFont="1" applyFill="1" applyBorder="1" applyAlignment="1">
      <alignment horizontal="center"/>
    </xf>
    <xf numFmtId="0" fontId="12136" fillId="12140" borderId="12087" xfId="0" applyFont="1" applyFill="1" applyBorder="1"/>
    <xf numFmtId="165" fontId="12137" fillId="12141" borderId="12088" xfId="0" applyNumberFormat="1" applyFont="1" applyFill="1" applyBorder="1"/>
    <xf numFmtId="165" fontId="12138" fillId="12142" borderId="12089" xfId="0" applyNumberFormat="1" applyFont="1" applyFill="1" applyBorder="1"/>
    <xf numFmtId="165" fontId="12139" fillId="12143" borderId="12090" xfId="0" applyNumberFormat="1" applyFont="1" applyFill="1" applyBorder="1"/>
    <xf numFmtId="4" fontId="12140" fillId="12144" borderId="12091" xfId="0" applyNumberFormat="1" applyFont="1" applyFill="1" applyBorder="1"/>
    <xf numFmtId="168" fontId="12141" fillId="12145" borderId="12092" xfId="0" applyNumberFormat="1" applyFont="1" applyFill="1" applyBorder="1"/>
    <xf numFmtId="4" fontId="12142" fillId="12146" borderId="12093" xfId="0" applyNumberFormat="1" applyFont="1" applyFill="1" applyBorder="1"/>
    <xf numFmtId="165" fontId="12143" fillId="12147" borderId="12094" xfId="0" applyNumberFormat="1" applyFont="1" applyFill="1" applyBorder="1"/>
    <xf numFmtId="0" fontId="12144" fillId="12148" borderId="12095" xfId="0" applyFont="1" applyFill="1" applyBorder="1" applyAlignment="1">
      <alignment horizontal="center"/>
    </xf>
    <xf numFmtId="0" fontId="12145" fillId="12149" borderId="12096" xfId="0" applyFont="1" applyFill="1" applyBorder="1"/>
    <xf numFmtId="165" fontId="12146" fillId="12150" borderId="12097" xfId="0" applyNumberFormat="1" applyFont="1" applyFill="1" applyBorder="1"/>
    <xf numFmtId="165" fontId="12147" fillId="12151" borderId="12098" xfId="0" applyNumberFormat="1" applyFont="1" applyFill="1" applyBorder="1"/>
    <xf numFmtId="165" fontId="12148" fillId="12152" borderId="12099" xfId="0" applyNumberFormat="1" applyFont="1" applyFill="1" applyBorder="1"/>
    <xf numFmtId="4" fontId="12149" fillId="12153" borderId="12100" xfId="0" applyNumberFormat="1" applyFont="1" applyFill="1" applyBorder="1"/>
    <xf numFmtId="168" fontId="12150" fillId="12154" borderId="12101" xfId="0" applyNumberFormat="1" applyFont="1" applyFill="1" applyBorder="1"/>
    <xf numFmtId="4" fontId="12151" fillId="12155" borderId="12102" xfId="0" applyNumberFormat="1" applyFont="1" applyFill="1" applyBorder="1"/>
    <xf numFmtId="165" fontId="12152" fillId="12156" borderId="12103" xfId="0" applyNumberFormat="1" applyFont="1" applyFill="1" applyBorder="1"/>
    <xf numFmtId="0" fontId="12153" fillId="12157" borderId="12104" xfId="0" applyFont="1" applyFill="1" applyBorder="1" applyAlignment="1">
      <alignment horizontal="center"/>
    </xf>
    <xf numFmtId="0" fontId="12154" fillId="12158" borderId="12105" xfId="0" applyFont="1" applyFill="1" applyBorder="1"/>
    <xf numFmtId="165" fontId="12155" fillId="12159" borderId="12106" xfId="0" applyNumberFormat="1" applyFont="1" applyFill="1" applyBorder="1"/>
    <xf numFmtId="165" fontId="12156" fillId="12160" borderId="12107" xfId="0" applyNumberFormat="1" applyFont="1" applyFill="1" applyBorder="1"/>
    <xf numFmtId="165" fontId="12157" fillId="12161" borderId="12108" xfId="0" applyNumberFormat="1" applyFont="1" applyFill="1" applyBorder="1"/>
    <xf numFmtId="4" fontId="12158" fillId="12162" borderId="12109" xfId="0" applyNumberFormat="1" applyFont="1" applyFill="1" applyBorder="1"/>
    <xf numFmtId="168" fontId="12159" fillId="12163" borderId="12110" xfId="0" applyNumberFormat="1" applyFont="1" applyFill="1" applyBorder="1"/>
    <xf numFmtId="4" fontId="12160" fillId="12164" borderId="12111" xfId="0" applyNumberFormat="1" applyFont="1" applyFill="1" applyBorder="1"/>
    <xf numFmtId="165" fontId="12161" fillId="12165" borderId="12112" xfId="0" applyNumberFormat="1" applyFont="1" applyFill="1" applyBorder="1"/>
    <xf numFmtId="0" fontId="12162" fillId="12166" borderId="12113" xfId="0" applyFont="1" applyFill="1" applyBorder="1" applyAlignment="1">
      <alignment horizontal="center"/>
    </xf>
    <xf numFmtId="0" fontId="12163" fillId="12167" borderId="12114" xfId="0" applyFont="1" applyFill="1" applyBorder="1"/>
    <xf numFmtId="165" fontId="12164" fillId="12168" borderId="12115" xfId="0" applyNumberFormat="1" applyFont="1" applyFill="1" applyBorder="1"/>
    <xf numFmtId="165" fontId="12165" fillId="12169" borderId="12116" xfId="0" applyNumberFormat="1" applyFont="1" applyFill="1" applyBorder="1"/>
    <xf numFmtId="165" fontId="12166" fillId="12170" borderId="12117" xfId="0" applyNumberFormat="1" applyFont="1" applyFill="1" applyBorder="1"/>
    <xf numFmtId="4" fontId="12167" fillId="12171" borderId="12118" xfId="0" applyNumberFormat="1" applyFont="1" applyFill="1" applyBorder="1"/>
    <xf numFmtId="168" fontId="12168" fillId="12172" borderId="12119" xfId="0" applyNumberFormat="1" applyFont="1" applyFill="1" applyBorder="1"/>
    <xf numFmtId="4" fontId="12169" fillId="12173" borderId="12120" xfId="0" applyNumberFormat="1" applyFont="1" applyFill="1" applyBorder="1"/>
    <xf numFmtId="165" fontId="12170" fillId="12174" borderId="12121" xfId="0" applyNumberFormat="1" applyFont="1" applyFill="1" applyBorder="1"/>
    <xf numFmtId="0" fontId="12171" fillId="12175" borderId="12122" xfId="0" applyFont="1" applyFill="1" applyBorder="1" applyAlignment="1">
      <alignment horizontal="center"/>
    </xf>
    <xf numFmtId="0" fontId="12172" fillId="12176" borderId="12123" xfId="0" applyFont="1" applyFill="1" applyBorder="1"/>
    <xf numFmtId="165" fontId="12173" fillId="12177" borderId="12124" xfId="0" applyNumberFormat="1" applyFont="1" applyFill="1" applyBorder="1"/>
    <xf numFmtId="165" fontId="12174" fillId="12178" borderId="12125" xfId="0" applyNumberFormat="1" applyFont="1" applyFill="1" applyBorder="1"/>
    <xf numFmtId="165" fontId="12175" fillId="12179" borderId="12126" xfId="0" applyNumberFormat="1" applyFont="1" applyFill="1" applyBorder="1"/>
    <xf numFmtId="4" fontId="12176" fillId="12180" borderId="12127" xfId="0" applyNumberFormat="1" applyFont="1" applyFill="1" applyBorder="1"/>
    <xf numFmtId="168" fontId="12177" fillId="12181" borderId="12128" xfId="0" applyNumberFormat="1" applyFont="1" applyFill="1" applyBorder="1"/>
    <xf numFmtId="4" fontId="12178" fillId="12182" borderId="12129" xfId="0" applyNumberFormat="1" applyFont="1" applyFill="1" applyBorder="1"/>
    <xf numFmtId="165" fontId="12179" fillId="12183" borderId="12130" xfId="0" applyNumberFormat="1" applyFont="1" applyFill="1" applyBorder="1"/>
    <xf numFmtId="0" fontId="12180" fillId="12184" borderId="12131" xfId="0" applyFont="1" applyFill="1" applyBorder="1" applyAlignment="1">
      <alignment horizontal="center"/>
    </xf>
    <xf numFmtId="0" fontId="12181" fillId="12185" borderId="12132" xfId="0" applyFont="1" applyFill="1" applyBorder="1"/>
    <xf numFmtId="165" fontId="12182" fillId="12186" borderId="12133" xfId="0" applyNumberFormat="1" applyFont="1" applyFill="1" applyBorder="1"/>
    <xf numFmtId="165" fontId="12183" fillId="12187" borderId="12134" xfId="0" applyNumberFormat="1" applyFont="1" applyFill="1" applyBorder="1"/>
    <xf numFmtId="165" fontId="12184" fillId="12188" borderId="12135" xfId="0" applyNumberFormat="1" applyFont="1" applyFill="1" applyBorder="1"/>
    <xf numFmtId="4" fontId="12185" fillId="12189" borderId="12136" xfId="0" applyNumberFormat="1" applyFont="1" applyFill="1" applyBorder="1"/>
    <xf numFmtId="168" fontId="12186" fillId="12190" borderId="12137" xfId="0" applyNumberFormat="1" applyFont="1" applyFill="1" applyBorder="1"/>
    <xf numFmtId="4" fontId="12187" fillId="12191" borderId="12138" xfId="0" applyNumberFormat="1" applyFont="1" applyFill="1" applyBorder="1"/>
    <xf numFmtId="165" fontId="12188" fillId="12192" borderId="12139" xfId="0" applyNumberFormat="1" applyFont="1" applyFill="1" applyBorder="1"/>
    <xf numFmtId="0" fontId="12189" fillId="12193" borderId="12140" xfId="0" applyFont="1" applyFill="1" applyBorder="1" applyAlignment="1">
      <alignment horizontal="center"/>
    </xf>
    <xf numFmtId="0" fontId="12190" fillId="12194" borderId="12141" xfId="0" applyFont="1" applyFill="1" applyBorder="1"/>
    <xf numFmtId="165" fontId="12191" fillId="12195" borderId="12142" xfId="0" applyNumberFormat="1" applyFont="1" applyFill="1" applyBorder="1"/>
    <xf numFmtId="165" fontId="12192" fillId="12196" borderId="12143" xfId="0" applyNumberFormat="1" applyFont="1" applyFill="1" applyBorder="1"/>
    <xf numFmtId="165" fontId="12193" fillId="12197" borderId="12144" xfId="0" applyNumberFormat="1" applyFont="1" applyFill="1" applyBorder="1"/>
    <xf numFmtId="4" fontId="12194" fillId="12198" borderId="12145" xfId="0" applyNumberFormat="1" applyFont="1" applyFill="1" applyBorder="1"/>
    <xf numFmtId="168" fontId="12195" fillId="12199" borderId="12146" xfId="0" applyNumberFormat="1" applyFont="1" applyFill="1" applyBorder="1"/>
    <xf numFmtId="4" fontId="12196" fillId="12200" borderId="12147" xfId="0" applyNumberFormat="1" applyFont="1" applyFill="1" applyBorder="1"/>
    <xf numFmtId="165" fontId="12197" fillId="12201" borderId="12148" xfId="0" applyNumberFormat="1" applyFont="1" applyFill="1" applyBorder="1"/>
    <xf numFmtId="0" fontId="12198" fillId="12202" borderId="12149" xfId="0" applyFont="1" applyFill="1" applyBorder="1" applyAlignment="1">
      <alignment horizontal="center"/>
    </xf>
    <xf numFmtId="0" fontId="12199" fillId="12203" borderId="12150" xfId="0" applyFont="1" applyFill="1" applyBorder="1"/>
    <xf numFmtId="165" fontId="12200" fillId="12204" borderId="12151" xfId="0" applyNumberFormat="1" applyFont="1" applyFill="1" applyBorder="1"/>
    <xf numFmtId="165" fontId="12201" fillId="12205" borderId="12152" xfId="0" applyNumberFormat="1" applyFont="1" applyFill="1" applyBorder="1"/>
    <xf numFmtId="165" fontId="12202" fillId="12206" borderId="12153" xfId="0" applyNumberFormat="1" applyFont="1" applyFill="1" applyBorder="1"/>
    <xf numFmtId="4" fontId="12203" fillId="12207" borderId="12154" xfId="0" applyNumberFormat="1" applyFont="1" applyFill="1" applyBorder="1"/>
    <xf numFmtId="168" fontId="12204" fillId="12208" borderId="12155" xfId="0" applyNumberFormat="1" applyFont="1" applyFill="1" applyBorder="1"/>
    <xf numFmtId="4" fontId="12205" fillId="12209" borderId="12156" xfId="0" applyNumberFormat="1" applyFont="1" applyFill="1" applyBorder="1"/>
    <xf numFmtId="165" fontId="12206" fillId="12210" borderId="12157" xfId="0" applyNumberFormat="1" applyFont="1" applyFill="1" applyBorder="1"/>
    <xf numFmtId="0" fontId="12207" fillId="12211" borderId="12158" xfId="0" applyFont="1" applyFill="1" applyBorder="1" applyAlignment="1">
      <alignment horizontal="center"/>
    </xf>
    <xf numFmtId="0" fontId="12208" fillId="12212" borderId="12159" xfId="0" applyFont="1" applyFill="1" applyBorder="1"/>
    <xf numFmtId="165" fontId="12209" fillId="12213" borderId="12160" xfId="0" applyNumberFormat="1" applyFont="1" applyFill="1" applyBorder="1"/>
    <xf numFmtId="165" fontId="12210" fillId="12214" borderId="12161" xfId="0" applyNumberFormat="1" applyFont="1" applyFill="1" applyBorder="1"/>
    <xf numFmtId="165" fontId="12211" fillId="12215" borderId="12162" xfId="0" applyNumberFormat="1" applyFont="1" applyFill="1" applyBorder="1"/>
    <xf numFmtId="4" fontId="12212" fillId="12216" borderId="12163" xfId="0" applyNumberFormat="1" applyFont="1" applyFill="1" applyBorder="1"/>
    <xf numFmtId="168" fontId="12213" fillId="12217" borderId="12164" xfId="0" applyNumberFormat="1" applyFont="1" applyFill="1" applyBorder="1"/>
    <xf numFmtId="4" fontId="12214" fillId="12218" borderId="12165" xfId="0" applyNumberFormat="1" applyFont="1" applyFill="1" applyBorder="1"/>
    <xf numFmtId="165" fontId="12215" fillId="12219" borderId="12166" xfId="0" applyNumberFormat="1" applyFont="1" applyFill="1" applyBorder="1"/>
    <xf numFmtId="0" fontId="12219" fillId="12223" borderId="12170" xfId="0" applyFont="1" applyFill="1" applyBorder="1" applyAlignment="1">
      <alignment horizontal="center" wrapText="1"/>
    </xf>
    <xf numFmtId="0" fontId="12220" fillId="12224" borderId="12171" xfId="0" applyFont="1" applyFill="1" applyBorder="1" applyAlignment="1">
      <alignment horizontal="center" wrapText="1"/>
    </xf>
    <xf numFmtId="0" fontId="12221" fillId="12225" borderId="12172" xfId="0" applyFont="1" applyFill="1" applyBorder="1" applyAlignment="1">
      <alignment horizontal="center" wrapText="1"/>
    </xf>
    <xf numFmtId="0" fontId="12222" fillId="12226" borderId="12173" xfId="0" applyFont="1" applyFill="1" applyBorder="1" applyAlignment="1">
      <alignment horizontal="center" wrapText="1"/>
    </xf>
    <xf numFmtId="0" fontId="12223" fillId="12227" borderId="12174" xfId="0" applyFont="1" applyFill="1" applyBorder="1" applyAlignment="1">
      <alignment horizontal="center" wrapText="1"/>
    </xf>
    <xf numFmtId="0" fontId="12224" fillId="12228" borderId="12175" xfId="0" applyFont="1" applyFill="1" applyBorder="1" applyAlignment="1">
      <alignment horizontal="center" wrapText="1"/>
    </xf>
    <xf numFmtId="0" fontId="12225" fillId="12229" borderId="12176" xfId="0" applyFont="1" applyFill="1" applyBorder="1" applyAlignment="1">
      <alignment horizontal="center" wrapText="1"/>
    </xf>
    <xf numFmtId="0" fontId="12226" fillId="12230" borderId="12177" xfId="0" applyFont="1" applyFill="1" applyBorder="1" applyAlignment="1">
      <alignment horizontal="center" wrapText="1"/>
    </xf>
    <xf numFmtId="0" fontId="12227" fillId="12231" borderId="12178" xfId="0" applyFont="1" applyFill="1" applyBorder="1" applyAlignment="1">
      <alignment horizontal="center" wrapText="1"/>
    </xf>
    <xf numFmtId="0" fontId="12228" fillId="12232" borderId="12179" xfId="0" applyFont="1" applyFill="1" applyBorder="1" applyAlignment="1">
      <alignment horizontal="center" wrapText="1"/>
    </xf>
    <xf numFmtId="0" fontId="12230" fillId="12234" borderId="12181" xfId="0" applyFont="1" applyFill="1" applyBorder="1" applyAlignment="1">
      <alignment horizontal="center"/>
    </xf>
    <xf numFmtId="0" fontId="12231" fillId="12235" borderId="12182" xfId="0" applyFont="1" applyFill="1" applyBorder="1" applyAlignment="1">
      <alignment horizontal="center"/>
    </xf>
    <xf numFmtId="0" fontId="12232" fillId="12236" borderId="12183" xfId="0" applyFont="1" applyFill="1" applyBorder="1" applyAlignment="1">
      <alignment horizontal="center"/>
    </xf>
    <xf numFmtId="0" fontId="12233" fillId="12237" borderId="12184" xfId="0" applyFont="1" applyFill="1" applyBorder="1"/>
    <xf numFmtId="0" fontId="12234" fillId="12238" borderId="12185" xfId="0" applyFont="1" applyFill="1" applyBorder="1"/>
    <xf numFmtId="0" fontId="12235" fillId="12239" borderId="12186" xfId="0" applyFont="1" applyFill="1" applyBorder="1" applyAlignment="1">
      <alignment horizontal="center"/>
    </xf>
    <xf numFmtId="0" fontId="12236" fillId="12240" borderId="12187" xfId="0" applyFont="1" applyFill="1" applyBorder="1"/>
    <xf numFmtId="165" fontId="12237" fillId="12241" borderId="12188" xfId="0" applyNumberFormat="1" applyFont="1" applyFill="1" applyBorder="1"/>
    <xf numFmtId="0" fontId="12238" fillId="12242" borderId="12189" xfId="0" applyFont="1" applyFill="1" applyBorder="1" applyAlignment="1">
      <alignment horizontal="center"/>
    </xf>
    <xf numFmtId="0" fontId="12239" fillId="12243" borderId="12190" xfId="0" applyFont="1" applyFill="1" applyBorder="1" applyAlignment="1">
      <alignment wrapText="1"/>
    </xf>
    <xf numFmtId="0" fontId="12240" fillId="12244" borderId="12191" xfId="0" applyFont="1" applyFill="1" applyBorder="1" applyAlignment="1">
      <alignment horizontal="center"/>
    </xf>
    <xf numFmtId="0" fontId="12241" fillId="12245" borderId="12192" xfId="0" applyFont="1" applyFill="1" applyBorder="1" applyAlignment="1">
      <alignment horizontal="center"/>
    </xf>
    <xf numFmtId="0" fontId="12242" fillId="12246" borderId="12193" xfId="0" applyFont="1" applyFill="1" applyBorder="1" applyAlignment="1">
      <alignment horizontal="center"/>
    </xf>
    <xf numFmtId="0" fontId="12243" fillId="12247" borderId="12194" xfId="0" applyFont="1" applyFill="1" applyBorder="1"/>
    <xf numFmtId="0" fontId="12244" fillId="12248" borderId="12195" xfId="0" applyFont="1" applyFill="1" applyBorder="1"/>
    <xf numFmtId="0" fontId="12245" fillId="12249" borderId="12196" xfId="0" applyFont="1" applyFill="1" applyBorder="1" applyAlignment="1">
      <alignment horizontal="center"/>
    </xf>
    <xf numFmtId="0" fontId="12246" fillId="12250" borderId="12197" xfId="0" applyFont="1" applyFill="1" applyBorder="1"/>
    <xf numFmtId="165" fontId="12247" fillId="12251" borderId="12198" xfId="0" applyNumberFormat="1" applyFont="1" applyFill="1" applyBorder="1"/>
    <xf numFmtId="0" fontId="12248" fillId="12252" borderId="12199" xfId="0" applyFont="1" applyFill="1" applyBorder="1" applyAlignment="1">
      <alignment horizontal="center"/>
    </xf>
    <xf numFmtId="0" fontId="12249" fillId="12253" borderId="12200" xfId="0" applyFont="1" applyFill="1" applyBorder="1" applyAlignment="1">
      <alignment wrapText="1"/>
    </xf>
    <xf numFmtId="0" fontId="12250" fillId="12254" borderId="12201" xfId="0" applyFont="1" applyFill="1" applyBorder="1" applyAlignment="1">
      <alignment horizontal="center"/>
    </xf>
    <xf numFmtId="0" fontId="12251" fillId="12255" borderId="12202" xfId="0" applyFont="1" applyFill="1" applyBorder="1" applyAlignment="1">
      <alignment horizontal="center"/>
    </xf>
    <xf numFmtId="0" fontId="12252" fillId="12256" borderId="12203" xfId="0" applyFont="1" applyFill="1" applyBorder="1" applyAlignment="1">
      <alignment horizontal="center"/>
    </xf>
    <xf numFmtId="0" fontId="12253" fillId="12257" borderId="12204" xfId="0" applyFont="1" applyFill="1" applyBorder="1"/>
    <xf numFmtId="0" fontId="12254" fillId="12258" borderId="12205" xfId="0" applyFont="1" applyFill="1" applyBorder="1"/>
    <xf numFmtId="0" fontId="12255" fillId="12259" borderId="12206" xfId="0" applyFont="1" applyFill="1" applyBorder="1" applyAlignment="1">
      <alignment horizontal="center"/>
    </xf>
    <xf numFmtId="0" fontId="12256" fillId="12260" borderId="12207" xfId="0" applyFont="1" applyFill="1" applyBorder="1"/>
    <xf numFmtId="165" fontId="12257" fillId="12261" borderId="12208" xfId="0" applyNumberFormat="1" applyFont="1" applyFill="1" applyBorder="1"/>
    <xf numFmtId="0" fontId="12258" fillId="12262" borderId="12209" xfId="0" applyFont="1" applyFill="1" applyBorder="1" applyAlignment="1">
      <alignment horizontal="center"/>
    </xf>
    <xf numFmtId="0" fontId="12259" fillId="12263" borderId="12210" xfId="0" applyFont="1" applyFill="1" applyBorder="1" applyAlignment="1">
      <alignment wrapText="1"/>
    </xf>
    <xf numFmtId="0" fontId="12260" fillId="12264" borderId="12211" xfId="0" applyFont="1" applyFill="1" applyBorder="1" applyAlignment="1">
      <alignment horizontal="center"/>
    </xf>
    <xf numFmtId="0" fontId="12261" fillId="12265" borderId="12212" xfId="0" applyFont="1" applyFill="1" applyBorder="1" applyAlignment="1">
      <alignment horizontal="center"/>
    </xf>
    <xf numFmtId="0" fontId="12262" fillId="12266" borderId="12213" xfId="0" applyFont="1" applyFill="1" applyBorder="1" applyAlignment="1">
      <alignment horizontal="center"/>
    </xf>
    <xf numFmtId="0" fontId="12263" fillId="12267" borderId="12214" xfId="0" applyFont="1" applyFill="1" applyBorder="1"/>
    <xf numFmtId="0" fontId="12264" fillId="12268" borderId="12215" xfId="0" applyFont="1" applyFill="1" applyBorder="1"/>
    <xf numFmtId="0" fontId="12265" fillId="12269" borderId="12216" xfId="0" applyFont="1" applyFill="1" applyBorder="1" applyAlignment="1">
      <alignment horizontal="center"/>
    </xf>
    <xf numFmtId="0" fontId="12266" fillId="12270" borderId="12217" xfId="0" applyFont="1" applyFill="1" applyBorder="1"/>
    <xf numFmtId="165" fontId="12267" fillId="12271" borderId="12218" xfId="0" applyNumberFormat="1" applyFont="1" applyFill="1" applyBorder="1"/>
    <xf numFmtId="0" fontId="12268" fillId="12272" borderId="12219" xfId="0" applyFont="1" applyFill="1" applyBorder="1" applyAlignment="1">
      <alignment horizontal="center"/>
    </xf>
    <xf numFmtId="0" fontId="12269" fillId="12273" borderId="12220" xfId="0" applyFont="1" applyFill="1" applyBorder="1" applyAlignment="1">
      <alignment wrapText="1"/>
    </xf>
    <xf numFmtId="0" fontId="12270" fillId="12274" borderId="12221" xfId="0" applyFont="1" applyFill="1" applyBorder="1" applyAlignment="1">
      <alignment horizontal="center"/>
    </xf>
    <xf numFmtId="0" fontId="12271" fillId="12275" borderId="12222" xfId="0" applyFont="1" applyFill="1" applyBorder="1" applyAlignment="1">
      <alignment horizontal="center"/>
    </xf>
    <xf numFmtId="0" fontId="12272" fillId="12276" borderId="12223" xfId="0" applyFont="1" applyFill="1" applyBorder="1" applyAlignment="1">
      <alignment horizontal="center"/>
    </xf>
    <xf numFmtId="0" fontId="12273" fillId="12277" borderId="12224" xfId="0" applyFont="1" applyFill="1" applyBorder="1"/>
    <xf numFmtId="0" fontId="12274" fillId="12278" borderId="12225" xfId="0" applyFont="1" applyFill="1" applyBorder="1"/>
    <xf numFmtId="0" fontId="12275" fillId="12279" borderId="12226" xfId="0" applyFont="1" applyFill="1" applyBorder="1" applyAlignment="1">
      <alignment horizontal="center"/>
    </xf>
    <xf numFmtId="0" fontId="12276" fillId="12280" borderId="12227" xfId="0" applyFont="1" applyFill="1" applyBorder="1"/>
    <xf numFmtId="165" fontId="12277" fillId="12281" borderId="12228" xfId="0" applyNumberFormat="1" applyFont="1" applyFill="1" applyBorder="1"/>
    <xf numFmtId="0" fontId="12278" fillId="12282" borderId="12229" xfId="0" applyFont="1" applyFill="1" applyBorder="1" applyAlignment="1">
      <alignment horizontal="center"/>
    </xf>
    <xf numFmtId="0" fontId="12279" fillId="12283" borderId="12230" xfId="0" applyFont="1" applyFill="1" applyBorder="1" applyAlignment="1">
      <alignment wrapText="1"/>
    </xf>
    <xf numFmtId="0" fontId="12280" fillId="12284" borderId="12231" xfId="0" applyFont="1" applyFill="1" applyBorder="1" applyAlignment="1">
      <alignment horizontal="center"/>
    </xf>
    <xf numFmtId="0" fontId="12281" fillId="12285" borderId="12232" xfId="0" applyFont="1" applyFill="1" applyBorder="1" applyAlignment="1">
      <alignment horizontal="center"/>
    </xf>
    <xf numFmtId="0" fontId="12282" fillId="12286" borderId="12233" xfId="0" applyFont="1" applyFill="1" applyBorder="1" applyAlignment="1">
      <alignment horizontal="center"/>
    </xf>
    <xf numFmtId="0" fontId="12283" fillId="12287" borderId="12234" xfId="0" applyFont="1" applyFill="1" applyBorder="1"/>
    <xf numFmtId="0" fontId="12284" fillId="12288" borderId="12235" xfId="0" applyFont="1" applyFill="1" applyBorder="1"/>
    <xf numFmtId="0" fontId="12285" fillId="12289" borderId="12236" xfId="0" applyFont="1" applyFill="1" applyBorder="1" applyAlignment="1">
      <alignment horizontal="center"/>
    </xf>
    <xf numFmtId="0" fontId="12286" fillId="12290" borderId="12237" xfId="0" applyFont="1" applyFill="1" applyBorder="1"/>
    <xf numFmtId="165" fontId="12287" fillId="12291" borderId="12238" xfId="0" applyNumberFormat="1" applyFont="1" applyFill="1" applyBorder="1"/>
    <xf numFmtId="0" fontId="12288" fillId="12292" borderId="12239" xfId="0" applyFont="1" applyFill="1" applyBorder="1" applyAlignment="1">
      <alignment horizontal="center"/>
    </xf>
    <xf numFmtId="0" fontId="12289" fillId="12293" borderId="12240" xfId="0" applyFont="1" applyFill="1" applyBorder="1" applyAlignment="1">
      <alignment wrapText="1"/>
    </xf>
    <xf numFmtId="0" fontId="12290" fillId="12294" borderId="12241" xfId="0" applyFont="1" applyFill="1" applyBorder="1" applyAlignment="1">
      <alignment horizontal="center"/>
    </xf>
    <xf numFmtId="0" fontId="12291" fillId="12295" borderId="12242" xfId="0" applyFont="1" applyFill="1" applyBorder="1" applyAlignment="1">
      <alignment horizontal="center"/>
    </xf>
    <xf numFmtId="0" fontId="12292" fillId="12296" borderId="12243" xfId="0" applyFont="1" applyFill="1" applyBorder="1" applyAlignment="1">
      <alignment horizontal="center"/>
    </xf>
    <xf numFmtId="0" fontId="12293" fillId="12297" borderId="12244" xfId="0" applyFont="1" applyFill="1" applyBorder="1"/>
    <xf numFmtId="0" fontId="12294" fillId="12298" borderId="12245" xfId="0" applyFont="1" applyFill="1" applyBorder="1"/>
    <xf numFmtId="0" fontId="12295" fillId="12299" borderId="12246" xfId="0" applyFont="1" applyFill="1" applyBorder="1" applyAlignment="1">
      <alignment horizontal="center"/>
    </xf>
    <xf numFmtId="0" fontId="12296" fillId="12300" borderId="12247" xfId="0" applyFont="1" applyFill="1" applyBorder="1"/>
    <xf numFmtId="165" fontId="12297" fillId="12301" borderId="12248" xfId="0" applyNumberFormat="1" applyFont="1" applyFill="1" applyBorder="1"/>
    <xf numFmtId="0" fontId="12298" fillId="12302" borderId="12249" xfId="0" applyFont="1" applyFill="1" applyBorder="1" applyAlignment="1">
      <alignment horizontal="center"/>
    </xf>
    <xf numFmtId="0" fontId="12299" fillId="12303" borderId="12250" xfId="0" applyFont="1" applyFill="1" applyBorder="1" applyAlignment="1">
      <alignment wrapText="1"/>
    </xf>
    <xf numFmtId="0" fontId="12300" fillId="12304" borderId="12251" xfId="0" applyFont="1" applyFill="1" applyBorder="1" applyAlignment="1">
      <alignment horizontal="center"/>
    </xf>
    <xf numFmtId="0" fontId="12301" fillId="12305" borderId="12252" xfId="0" applyFont="1" applyFill="1" applyBorder="1" applyAlignment="1">
      <alignment horizontal="center"/>
    </xf>
    <xf numFmtId="0" fontId="12302" fillId="12306" borderId="12253" xfId="0" applyFont="1" applyFill="1" applyBorder="1" applyAlignment="1">
      <alignment horizontal="center"/>
    </xf>
    <xf numFmtId="0" fontId="12303" fillId="12307" borderId="12254" xfId="0" applyFont="1" applyFill="1" applyBorder="1"/>
    <xf numFmtId="0" fontId="12304" fillId="12308" borderId="12255" xfId="0" applyFont="1" applyFill="1" applyBorder="1"/>
    <xf numFmtId="0" fontId="12305" fillId="12309" borderId="12256" xfId="0" applyFont="1" applyFill="1" applyBorder="1" applyAlignment="1">
      <alignment horizontal="center"/>
    </xf>
    <xf numFmtId="0" fontId="12306" fillId="12310" borderId="12257" xfId="0" applyFont="1" applyFill="1" applyBorder="1"/>
    <xf numFmtId="165" fontId="12307" fillId="12311" borderId="12258" xfId="0" applyNumberFormat="1" applyFont="1" applyFill="1" applyBorder="1"/>
    <xf numFmtId="0" fontId="12308" fillId="12312" borderId="12259" xfId="0" applyFont="1" applyFill="1" applyBorder="1" applyAlignment="1">
      <alignment horizontal="center"/>
    </xf>
    <xf numFmtId="0" fontId="12309" fillId="12313" borderId="12260" xfId="0" applyFont="1" applyFill="1" applyBorder="1" applyAlignment="1">
      <alignment wrapText="1"/>
    </xf>
    <xf numFmtId="0" fontId="12310" fillId="12314" borderId="12261" xfId="0" applyFont="1" applyFill="1" applyBorder="1" applyAlignment="1">
      <alignment horizontal="center"/>
    </xf>
    <xf numFmtId="0" fontId="12311" fillId="12315" borderId="12262" xfId="0" applyFont="1" applyFill="1" applyBorder="1" applyAlignment="1">
      <alignment horizontal="center"/>
    </xf>
    <xf numFmtId="0" fontId="12312" fillId="12316" borderId="12263" xfId="0" applyFont="1" applyFill="1" applyBorder="1" applyAlignment="1">
      <alignment horizontal="center"/>
    </xf>
    <xf numFmtId="0" fontId="12313" fillId="12317" borderId="12264" xfId="0" applyFont="1" applyFill="1" applyBorder="1"/>
    <xf numFmtId="0" fontId="12314" fillId="12318" borderId="12265" xfId="0" applyFont="1" applyFill="1" applyBorder="1"/>
    <xf numFmtId="0" fontId="12315" fillId="12319" borderId="12266" xfId="0" applyFont="1" applyFill="1" applyBorder="1" applyAlignment="1">
      <alignment horizontal="center"/>
    </xf>
    <xf numFmtId="0" fontId="12316" fillId="12320" borderId="12267" xfId="0" applyFont="1" applyFill="1" applyBorder="1"/>
    <xf numFmtId="165" fontId="12317" fillId="12321" borderId="12268" xfId="0" applyNumberFormat="1" applyFont="1" applyFill="1" applyBorder="1"/>
    <xf numFmtId="0" fontId="12318" fillId="12322" borderId="12269" xfId="0" applyFont="1" applyFill="1" applyBorder="1" applyAlignment="1">
      <alignment horizontal="center"/>
    </xf>
    <xf numFmtId="0" fontId="12319" fillId="12323" borderId="12270" xfId="0" applyFont="1" applyFill="1" applyBorder="1" applyAlignment="1">
      <alignment wrapText="1"/>
    </xf>
    <xf numFmtId="0" fontId="12320" fillId="12324" borderId="12271" xfId="0" applyFont="1" applyFill="1" applyBorder="1" applyAlignment="1">
      <alignment horizontal="center"/>
    </xf>
    <xf numFmtId="0" fontId="12321" fillId="12325" borderId="12272" xfId="0" applyFont="1" applyFill="1" applyBorder="1" applyAlignment="1">
      <alignment horizontal="center"/>
    </xf>
    <xf numFmtId="0" fontId="12322" fillId="12326" borderId="12273" xfId="0" applyFont="1" applyFill="1" applyBorder="1" applyAlignment="1">
      <alignment horizontal="center"/>
    </xf>
    <xf numFmtId="0" fontId="12323" fillId="12327" borderId="12274" xfId="0" applyFont="1" applyFill="1" applyBorder="1"/>
    <xf numFmtId="0" fontId="12324" fillId="12328" borderId="12275" xfId="0" applyFont="1" applyFill="1" applyBorder="1"/>
    <xf numFmtId="0" fontId="12325" fillId="12329" borderId="12276" xfId="0" applyFont="1" applyFill="1" applyBorder="1" applyAlignment="1">
      <alignment horizontal="center"/>
    </xf>
    <xf numFmtId="0" fontId="12326" fillId="12330" borderId="12277" xfId="0" applyFont="1" applyFill="1" applyBorder="1"/>
    <xf numFmtId="165" fontId="12327" fillId="12331" borderId="12278" xfId="0" applyNumberFormat="1" applyFont="1" applyFill="1" applyBorder="1"/>
    <xf numFmtId="0" fontId="12328" fillId="12332" borderId="12279" xfId="0" applyFont="1" applyFill="1" applyBorder="1" applyAlignment="1">
      <alignment horizontal="center"/>
    </xf>
    <xf numFmtId="0" fontId="12329" fillId="12333" borderId="12280" xfId="0" applyFont="1" applyFill="1" applyBorder="1" applyAlignment="1">
      <alignment wrapText="1"/>
    </xf>
    <xf numFmtId="0" fontId="12330" fillId="12334" borderId="12281" xfId="0" applyFont="1" applyFill="1" applyBorder="1" applyAlignment="1">
      <alignment horizontal="center"/>
    </xf>
    <xf numFmtId="0" fontId="12331" fillId="12335" borderId="12282" xfId="0" applyFont="1" applyFill="1" applyBorder="1" applyAlignment="1">
      <alignment horizontal="center"/>
    </xf>
    <xf numFmtId="0" fontId="12332" fillId="12336" borderId="12283" xfId="0" applyFont="1" applyFill="1" applyBorder="1" applyAlignment="1">
      <alignment horizontal="center"/>
    </xf>
    <xf numFmtId="0" fontId="12333" fillId="12337" borderId="12284" xfId="0" applyFont="1" applyFill="1" applyBorder="1"/>
    <xf numFmtId="0" fontId="12334" fillId="12338" borderId="12285" xfId="0" applyFont="1" applyFill="1" applyBorder="1"/>
    <xf numFmtId="0" fontId="12335" fillId="12339" borderId="12286" xfId="0" applyFont="1" applyFill="1" applyBorder="1" applyAlignment="1">
      <alignment horizontal="center"/>
    </xf>
    <xf numFmtId="0" fontId="12336" fillId="12340" borderId="12287" xfId="0" applyFont="1" applyFill="1" applyBorder="1"/>
    <xf numFmtId="165" fontId="12337" fillId="12341" borderId="12288" xfId="0" applyNumberFormat="1" applyFont="1" applyFill="1" applyBorder="1"/>
    <xf numFmtId="0" fontId="12338" fillId="12342" borderId="12289" xfId="0" applyFont="1" applyFill="1" applyBorder="1" applyAlignment="1">
      <alignment horizontal="center"/>
    </xf>
    <xf numFmtId="0" fontId="12339" fillId="12343" borderId="12290" xfId="0" applyFont="1" applyFill="1" applyBorder="1" applyAlignment="1">
      <alignment wrapText="1"/>
    </xf>
    <xf numFmtId="0" fontId="12340" fillId="12344" borderId="12291" xfId="0" applyFont="1" applyFill="1" applyBorder="1" applyAlignment="1">
      <alignment horizontal="center"/>
    </xf>
    <xf numFmtId="0" fontId="12341" fillId="12345" borderId="12292" xfId="0" applyFont="1" applyFill="1" applyBorder="1" applyAlignment="1">
      <alignment horizontal="center"/>
    </xf>
    <xf numFmtId="0" fontId="12342" fillId="12346" borderId="12293" xfId="0" applyFont="1" applyFill="1" applyBorder="1" applyAlignment="1">
      <alignment horizontal="center"/>
    </xf>
    <xf numFmtId="0" fontId="12343" fillId="12347" borderId="12294" xfId="0" applyFont="1" applyFill="1" applyBorder="1"/>
    <xf numFmtId="0" fontId="12344" fillId="12348" borderId="12295" xfId="0" applyFont="1" applyFill="1" applyBorder="1"/>
    <xf numFmtId="0" fontId="12345" fillId="12349" borderId="12296" xfId="0" applyFont="1" applyFill="1" applyBorder="1" applyAlignment="1">
      <alignment horizontal="center"/>
    </xf>
    <xf numFmtId="0" fontId="12346" fillId="12350" borderId="12297" xfId="0" applyFont="1" applyFill="1" applyBorder="1"/>
    <xf numFmtId="165" fontId="12347" fillId="12351" borderId="12298" xfId="0" applyNumberFormat="1" applyFont="1" applyFill="1" applyBorder="1"/>
    <xf numFmtId="0" fontId="12348" fillId="12352" borderId="12299" xfId="0" applyFont="1" applyFill="1" applyBorder="1" applyAlignment="1">
      <alignment horizontal="center"/>
    </xf>
    <xf numFmtId="0" fontId="12349" fillId="12353" borderId="12300" xfId="0" applyFont="1" applyFill="1" applyBorder="1" applyAlignment="1">
      <alignment wrapText="1"/>
    </xf>
    <xf numFmtId="0" fontId="12350" fillId="12354" borderId="12301" xfId="0" applyFont="1" applyFill="1" applyBorder="1" applyAlignment="1">
      <alignment horizontal="center"/>
    </xf>
    <xf numFmtId="0" fontId="12351" fillId="12355" borderId="12302" xfId="0" applyFont="1" applyFill="1" applyBorder="1" applyAlignment="1">
      <alignment horizontal="center"/>
    </xf>
    <xf numFmtId="0" fontId="12352" fillId="12356" borderId="12303" xfId="0" applyFont="1" applyFill="1" applyBorder="1" applyAlignment="1">
      <alignment horizontal="center"/>
    </xf>
    <xf numFmtId="0" fontId="12353" fillId="12357" borderId="12304" xfId="0" applyFont="1" applyFill="1" applyBorder="1"/>
    <xf numFmtId="0" fontId="12354" fillId="12358" borderId="12305" xfId="0" applyFont="1" applyFill="1" applyBorder="1"/>
    <xf numFmtId="0" fontId="12355" fillId="12359" borderId="12306" xfId="0" applyFont="1" applyFill="1" applyBorder="1" applyAlignment="1">
      <alignment horizontal="center"/>
    </xf>
    <xf numFmtId="0" fontId="12356" fillId="12360" borderId="12307" xfId="0" applyFont="1" applyFill="1" applyBorder="1"/>
    <xf numFmtId="165" fontId="12357" fillId="12361" borderId="12308" xfId="0" applyNumberFormat="1" applyFont="1" applyFill="1" applyBorder="1"/>
    <xf numFmtId="0" fontId="12358" fillId="12362" borderId="12309" xfId="0" applyFont="1" applyFill="1" applyBorder="1" applyAlignment="1">
      <alignment horizontal="center"/>
    </xf>
    <xf numFmtId="0" fontId="12359" fillId="12363" borderId="12310" xfId="0" applyFont="1" applyFill="1" applyBorder="1" applyAlignment="1">
      <alignment wrapText="1"/>
    </xf>
    <xf numFmtId="0" fontId="12360" fillId="12364" borderId="12311" xfId="0" applyFont="1" applyFill="1" applyBorder="1" applyAlignment="1">
      <alignment horizontal="center"/>
    </xf>
    <xf numFmtId="0" fontId="12361" fillId="12365" borderId="12312" xfId="0" applyFont="1" applyFill="1" applyBorder="1" applyAlignment="1">
      <alignment horizontal="center"/>
    </xf>
    <xf numFmtId="0" fontId="12362" fillId="12366" borderId="12313" xfId="0" applyFont="1" applyFill="1" applyBorder="1" applyAlignment="1">
      <alignment horizontal="center"/>
    </xf>
    <xf numFmtId="0" fontId="12363" fillId="12367" borderId="12314" xfId="0" applyFont="1" applyFill="1" applyBorder="1"/>
    <xf numFmtId="0" fontId="12364" fillId="12368" borderId="12315" xfId="0" applyFont="1" applyFill="1" applyBorder="1"/>
    <xf numFmtId="0" fontId="12365" fillId="12369" borderId="12316" xfId="0" applyFont="1" applyFill="1" applyBorder="1" applyAlignment="1">
      <alignment horizontal="center"/>
    </xf>
    <xf numFmtId="0" fontId="12366" fillId="12370" borderId="12317" xfId="0" applyFont="1" applyFill="1" applyBorder="1"/>
    <xf numFmtId="165" fontId="12367" fillId="12371" borderId="12318" xfId="0" applyNumberFormat="1" applyFont="1" applyFill="1" applyBorder="1"/>
    <xf numFmtId="0" fontId="12368" fillId="12372" borderId="12319" xfId="0" applyFont="1" applyFill="1" applyBorder="1" applyAlignment="1">
      <alignment horizontal="center"/>
    </xf>
    <xf numFmtId="0" fontId="12369" fillId="12373" borderId="12320" xfId="0" applyFont="1" applyFill="1" applyBorder="1" applyAlignment="1">
      <alignment wrapText="1"/>
    </xf>
    <xf numFmtId="0" fontId="12370" fillId="12374" borderId="12321" xfId="0" applyFont="1" applyFill="1" applyBorder="1" applyAlignment="1">
      <alignment horizontal="center"/>
    </xf>
    <xf numFmtId="0" fontId="12371" fillId="12375" borderId="12322" xfId="0" applyFont="1" applyFill="1" applyBorder="1" applyAlignment="1">
      <alignment horizontal="center"/>
    </xf>
    <xf numFmtId="0" fontId="12372" fillId="12376" borderId="12323" xfId="0" applyFont="1" applyFill="1" applyBorder="1" applyAlignment="1">
      <alignment horizontal="center"/>
    </xf>
    <xf numFmtId="0" fontId="12373" fillId="12377" borderId="12324" xfId="0" applyFont="1" applyFill="1" applyBorder="1"/>
    <xf numFmtId="0" fontId="12374" fillId="12378" borderId="12325" xfId="0" applyFont="1" applyFill="1" applyBorder="1"/>
    <xf numFmtId="0" fontId="12375" fillId="12379" borderId="12326" xfId="0" applyFont="1" applyFill="1" applyBorder="1" applyAlignment="1">
      <alignment horizontal="center"/>
    </xf>
    <xf numFmtId="0" fontId="12376" fillId="12380" borderId="12327" xfId="0" applyFont="1" applyFill="1" applyBorder="1"/>
    <xf numFmtId="165" fontId="12377" fillId="12381" borderId="12328" xfId="0" applyNumberFormat="1" applyFont="1" applyFill="1" applyBorder="1"/>
    <xf numFmtId="0" fontId="12378" fillId="12382" borderId="12329" xfId="0" applyFont="1" applyFill="1" applyBorder="1" applyAlignment="1">
      <alignment horizontal="center"/>
    </xf>
    <xf numFmtId="0" fontId="12379" fillId="12383" borderId="12330" xfId="0" applyFont="1" applyFill="1" applyBorder="1" applyAlignment="1">
      <alignment wrapText="1"/>
    </xf>
    <xf numFmtId="0" fontId="12380" fillId="12384" borderId="12331" xfId="0" applyFont="1" applyFill="1" applyBorder="1" applyAlignment="1">
      <alignment horizontal="center"/>
    </xf>
    <xf numFmtId="0" fontId="12381" fillId="12385" borderId="12332" xfId="0" applyFont="1" applyFill="1" applyBorder="1" applyAlignment="1">
      <alignment horizontal="center"/>
    </xf>
    <xf numFmtId="0" fontId="12382" fillId="12386" borderId="12333" xfId="0" applyFont="1" applyFill="1" applyBorder="1" applyAlignment="1">
      <alignment horizontal="center"/>
    </xf>
    <xf numFmtId="0" fontId="12383" fillId="12387" borderId="12334" xfId="0" applyFont="1" applyFill="1" applyBorder="1"/>
    <xf numFmtId="0" fontId="12384" fillId="12388" borderId="12335" xfId="0" applyFont="1" applyFill="1" applyBorder="1"/>
    <xf numFmtId="0" fontId="12385" fillId="12389" borderId="12336" xfId="0" applyFont="1" applyFill="1" applyBorder="1" applyAlignment="1">
      <alignment horizontal="center"/>
    </xf>
    <xf numFmtId="0" fontId="12386" fillId="12390" borderId="12337" xfId="0" applyFont="1" applyFill="1" applyBorder="1"/>
    <xf numFmtId="165" fontId="12387" fillId="12391" borderId="12338" xfId="0" applyNumberFormat="1" applyFont="1" applyFill="1" applyBorder="1"/>
    <xf numFmtId="0" fontId="12388" fillId="12392" borderId="12339" xfId="0" applyFont="1" applyFill="1" applyBorder="1" applyAlignment="1">
      <alignment horizontal="center"/>
    </xf>
    <xf numFmtId="0" fontId="12389" fillId="12393" borderId="12340" xfId="0" applyFont="1" applyFill="1" applyBorder="1" applyAlignment="1">
      <alignment wrapText="1"/>
    </xf>
    <xf numFmtId="0" fontId="12390" fillId="12394" borderId="12341" xfId="0" applyFont="1" applyFill="1" applyBorder="1" applyAlignment="1">
      <alignment horizontal="center"/>
    </xf>
    <xf numFmtId="0" fontId="12391" fillId="12395" borderId="12342" xfId="0" applyFont="1" applyFill="1" applyBorder="1" applyAlignment="1">
      <alignment horizontal="center"/>
    </xf>
    <xf numFmtId="0" fontId="12392" fillId="12396" borderId="12343" xfId="0" applyFont="1" applyFill="1" applyBorder="1" applyAlignment="1">
      <alignment horizontal="center"/>
    </xf>
    <xf numFmtId="0" fontId="12393" fillId="12397" borderId="12344" xfId="0" applyFont="1" applyFill="1" applyBorder="1"/>
    <xf numFmtId="0" fontId="12394" fillId="12398" borderId="12345" xfId="0" applyFont="1" applyFill="1" applyBorder="1"/>
    <xf numFmtId="0" fontId="12395" fillId="12399" borderId="12346" xfId="0" applyFont="1" applyFill="1" applyBorder="1" applyAlignment="1">
      <alignment horizontal="center"/>
    </xf>
    <xf numFmtId="0" fontId="12396" fillId="12400" borderId="12347" xfId="0" applyFont="1" applyFill="1" applyBorder="1"/>
    <xf numFmtId="165" fontId="12397" fillId="12401" borderId="12348" xfId="0" applyNumberFormat="1" applyFont="1" applyFill="1" applyBorder="1"/>
    <xf numFmtId="0" fontId="12398" fillId="12402" borderId="12349" xfId="0" applyFont="1" applyFill="1" applyBorder="1" applyAlignment="1">
      <alignment horizontal="center"/>
    </xf>
    <xf numFmtId="0" fontId="12399" fillId="12403" borderId="12350" xfId="0" applyFont="1" applyFill="1" applyBorder="1" applyAlignment="1">
      <alignment wrapText="1"/>
    </xf>
    <xf numFmtId="0" fontId="12400" fillId="12404" borderId="12351" xfId="0" applyFont="1" applyFill="1" applyBorder="1" applyAlignment="1">
      <alignment horizontal="center"/>
    </xf>
    <xf numFmtId="0" fontId="12401" fillId="12405" borderId="12352" xfId="0" applyFont="1" applyFill="1" applyBorder="1" applyAlignment="1">
      <alignment horizontal="center"/>
    </xf>
    <xf numFmtId="0" fontId="12402" fillId="12406" borderId="12353" xfId="0" applyFont="1" applyFill="1" applyBorder="1" applyAlignment="1">
      <alignment horizontal="center"/>
    </xf>
    <xf numFmtId="0" fontId="12403" fillId="12407" borderId="12354" xfId="0" applyFont="1" applyFill="1" applyBorder="1"/>
    <xf numFmtId="0" fontId="12404" fillId="12408" borderId="12355" xfId="0" applyFont="1" applyFill="1" applyBorder="1"/>
    <xf numFmtId="0" fontId="12405" fillId="12409" borderId="12356" xfId="0" applyFont="1" applyFill="1" applyBorder="1" applyAlignment="1">
      <alignment horizontal="center"/>
    </xf>
    <xf numFmtId="0" fontId="12406" fillId="12410" borderId="12357" xfId="0" applyFont="1" applyFill="1" applyBorder="1"/>
    <xf numFmtId="165" fontId="12407" fillId="12411" borderId="12358" xfId="0" applyNumberFormat="1" applyFont="1" applyFill="1" applyBorder="1"/>
    <xf numFmtId="0" fontId="12408" fillId="12412" borderId="12359" xfId="0" applyFont="1" applyFill="1" applyBorder="1" applyAlignment="1">
      <alignment horizontal="center"/>
    </xf>
    <xf numFmtId="0" fontId="12409" fillId="12413" borderId="12360" xfId="0" applyFont="1" applyFill="1" applyBorder="1" applyAlignment="1">
      <alignment wrapText="1"/>
    </xf>
    <xf numFmtId="0" fontId="12410" fillId="12414" borderId="12361" xfId="0" applyFont="1" applyFill="1" applyBorder="1" applyAlignment="1">
      <alignment horizontal="center"/>
    </xf>
    <xf numFmtId="0" fontId="12411" fillId="12415" borderId="12362" xfId="0" applyFont="1" applyFill="1" applyBorder="1" applyAlignment="1">
      <alignment horizontal="center"/>
    </xf>
    <xf numFmtId="0" fontId="12412" fillId="12416" borderId="12363" xfId="0" applyFont="1" applyFill="1" applyBorder="1" applyAlignment="1">
      <alignment horizontal="center"/>
    </xf>
    <xf numFmtId="0" fontId="12413" fillId="12417" borderId="12364" xfId="0" applyFont="1" applyFill="1" applyBorder="1"/>
    <xf numFmtId="0" fontId="12414" fillId="12418" borderId="12365" xfId="0" applyFont="1" applyFill="1" applyBorder="1"/>
    <xf numFmtId="0" fontId="12415" fillId="12419" borderId="12366" xfId="0" applyFont="1" applyFill="1" applyBorder="1" applyAlignment="1">
      <alignment horizontal="center"/>
    </xf>
    <xf numFmtId="0" fontId="12416" fillId="12420" borderId="12367" xfId="0" applyFont="1" applyFill="1" applyBorder="1"/>
    <xf numFmtId="165" fontId="12417" fillId="12421" borderId="12368" xfId="0" applyNumberFormat="1" applyFont="1" applyFill="1" applyBorder="1"/>
    <xf numFmtId="0" fontId="12418" fillId="12422" borderId="12369" xfId="0" applyFont="1" applyFill="1" applyBorder="1" applyAlignment="1">
      <alignment horizontal="center"/>
    </xf>
    <xf numFmtId="0" fontId="12419" fillId="12423" borderId="12370" xfId="0" applyFont="1" applyFill="1" applyBorder="1" applyAlignment="1">
      <alignment wrapText="1"/>
    </xf>
    <xf numFmtId="0" fontId="12420" fillId="12424" borderId="12371" xfId="0" applyFont="1" applyFill="1" applyBorder="1" applyAlignment="1">
      <alignment horizontal="center"/>
    </xf>
    <xf numFmtId="0" fontId="12421" fillId="12425" borderId="12372" xfId="0" applyFont="1" applyFill="1" applyBorder="1" applyAlignment="1">
      <alignment horizontal="center"/>
    </xf>
    <xf numFmtId="0" fontId="12422" fillId="12426" borderId="12373" xfId="0" applyFont="1" applyFill="1" applyBorder="1" applyAlignment="1">
      <alignment horizontal="center"/>
    </xf>
    <xf numFmtId="0" fontId="12423" fillId="12427" borderId="12374" xfId="0" applyFont="1" applyFill="1" applyBorder="1"/>
    <xf numFmtId="0" fontId="12424" fillId="12428" borderId="12375" xfId="0" applyFont="1" applyFill="1" applyBorder="1"/>
    <xf numFmtId="0" fontId="12425" fillId="12429" borderId="12376" xfId="0" applyFont="1" applyFill="1" applyBorder="1" applyAlignment="1">
      <alignment horizontal="center"/>
    </xf>
    <xf numFmtId="0" fontId="12426" fillId="12430" borderId="12377" xfId="0" applyFont="1" applyFill="1" applyBorder="1"/>
    <xf numFmtId="165" fontId="12427" fillId="12431" borderId="12378" xfId="0" applyNumberFormat="1" applyFont="1" applyFill="1" applyBorder="1"/>
    <xf numFmtId="0" fontId="12428" fillId="12432" borderId="12379" xfId="0" applyFont="1" applyFill="1" applyBorder="1" applyAlignment="1">
      <alignment horizontal="center"/>
    </xf>
    <xf numFmtId="0" fontId="12429" fillId="12433" borderId="12380" xfId="0" applyFont="1" applyFill="1" applyBorder="1" applyAlignment="1">
      <alignment wrapText="1"/>
    </xf>
    <xf numFmtId="0" fontId="12430" fillId="12434" borderId="12381" xfId="0" applyFont="1" applyFill="1" applyBorder="1" applyAlignment="1">
      <alignment horizontal="center"/>
    </xf>
    <xf numFmtId="0" fontId="12431" fillId="12435" borderId="12382" xfId="0" applyFont="1" applyFill="1" applyBorder="1" applyAlignment="1">
      <alignment horizontal="center"/>
    </xf>
    <xf numFmtId="0" fontId="12432" fillId="12436" borderId="12383" xfId="0" applyFont="1" applyFill="1" applyBorder="1" applyAlignment="1">
      <alignment horizontal="center"/>
    </xf>
    <xf numFmtId="0" fontId="12433" fillId="12437" borderId="12384" xfId="0" applyFont="1" applyFill="1" applyBorder="1"/>
    <xf numFmtId="0" fontId="12434" fillId="12438" borderId="12385" xfId="0" applyFont="1" applyFill="1" applyBorder="1"/>
    <xf numFmtId="0" fontId="12435" fillId="12439" borderId="12386" xfId="0" applyFont="1" applyFill="1" applyBorder="1" applyAlignment="1">
      <alignment horizontal="center"/>
    </xf>
    <xf numFmtId="0" fontId="12436" fillId="12440" borderId="12387" xfId="0" applyFont="1" applyFill="1" applyBorder="1"/>
    <xf numFmtId="165" fontId="12437" fillId="12441" borderId="12388" xfId="0" applyNumberFormat="1" applyFont="1" applyFill="1" applyBorder="1"/>
    <xf numFmtId="0" fontId="12438" fillId="12442" borderId="12389" xfId="0" applyFont="1" applyFill="1" applyBorder="1" applyAlignment="1">
      <alignment horizontal="center"/>
    </xf>
    <xf numFmtId="0" fontId="12439" fillId="12443" borderId="12390" xfId="0" applyFont="1" applyFill="1" applyBorder="1" applyAlignment="1">
      <alignment wrapText="1"/>
    </xf>
    <xf numFmtId="0" fontId="12440" fillId="12444" borderId="12391" xfId="0" applyFont="1" applyFill="1" applyBorder="1" applyAlignment="1">
      <alignment horizontal="center"/>
    </xf>
    <xf numFmtId="0" fontId="12441" fillId="12445" borderId="12392" xfId="0" applyFont="1" applyFill="1" applyBorder="1" applyAlignment="1">
      <alignment horizontal="center"/>
    </xf>
    <xf numFmtId="0" fontId="12442" fillId="12446" borderId="12393" xfId="0" applyFont="1" applyFill="1" applyBorder="1" applyAlignment="1">
      <alignment horizontal="center"/>
    </xf>
    <xf numFmtId="0" fontId="12443" fillId="12447" borderId="12394" xfId="0" applyFont="1" applyFill="1" applyBorder="1"/>
    <xf numFmtId="0" fontId="12444" fillId="12448" borderId="12395" xfId="0" applyFont="1" applyFill="1" applyBorder="1"/>
    <xf numFmtId="0" fontId="12445" fillId="12449" borderId="12396" xfId="0" applyFont="1" applyFill="1" applyBorder="1" applyAlignment="1">
      <alignment horizontal="center"/>
    </xf>
    <xf numFmtId="0" fontId="12446" fillId="12450" borderId="12397" xfId="0" applyFont="1" applyFill="1" applyBorder="1"/>
    <xf numFmtId="165" fontId="12447" fillId="12451" borderId="12398" xfId="0" applyNumberFormat="1" applyFont="1" applyFill="1" applyBorder="1"/>
    <xf numFmtId="0" fontId="12448" fillId="12452" borderId="12399" xfId="0" applyFont="1" applyFill="1" applyBorder="1" applyAlignment="1">
      <alignment horizontal="center"/>
    </xf>
    <xf numFmtId="0" fontId="12449" fillId="12453" borderId="12400" xfId="0" applyFont="1" applyFill="1" applyBorder="1" applyAlignment="1">
      <alignment wrapText="1"/>
    </xf>
    <xf numFmtId="0" fontId="12450" fillId="12454" borderId="12401" xfId="0" applyFont="1" applyFill="1" applyBorder="1" applyAlignment="1">
      <alignment horizontal="center"/>
    </xf>
    <xf numFmtId="0" fontId="12451" fillId="12455" borderId="12402" xfId="0" applyFont="1" applyFill="1" applyBorder="1" applyAlignment="1">
      <alignment horizontal="center"/>
    </xf>
    <xf numFmtId="0" fontId="12452" fillId="12456" borderId="12403" xfId="0" applyFont="1" applyFill="1" applyBorder="1" applyAlignment="1">
      <alignment horizontal="center"/>
    </xf>
    <xf numFmtId="0" fontId="12453" fillId="12457" borderId="12404" xfId="0" applyFont="1" applyFill="1" applyBorder="1"/>
    <xf numFmtId="0" fontId="12454" fillId="12458" borderId="12405" xfId="0" applyFont="1" applyFill="1" applyBorder="1"/>
    <xf numFmtId="0" fontId="12455" fillId="12459" borderId="12406" xfId="0" applyFont="1" applyFill="1" applyBorder="1" applyAlignment="1">
      <alignment horizontal="center"/>
    </xf>
    <xf numFmtId="0" fontId="12456" fillId="12460" borderId="12407" xfId="0" applyFont="1" applyFill="1" applyBorder="1"/>
    <xf numFmtId="165" fontId="12457" fillId="12461" borderId="12408" xfId="0" applyNumberFormat="1" applyFont="1" applyFill="1" applyBorder="1"/>
    <xf numFmtId="0" fontId="12458" fillId="12462" borderId="12409" xfId="0" applyFont="1" applyFill="1" applyBorder="1" applyAlignment="1">
      <alignment horizontal="center"/>
    </xf>
    <xf numFmtId="0" fontId="12459" fillId="12463" borderId="12410" xfId="0" applyFont="1" applyFill="1" applyBorder="1" applyAlignment="1">
      <alignment wrapText="1"/>
    </xf>
    <xf numFmtId="0" fontId="12460" fillId="12464" borderId="12411" xfId="0" applyFont="1" applyFill="1" applyBorder="1" applyAlignment="1">
      <alignment horizontal="center"/>
    </xf>
    <xf numFmtId="0" fontId="12461" fillId="12465" borderId="12412" xfId="0" applyFont="1" applyFill="1" applyBorder="1" applyAlignment="1">
      <alignment horizontal="center"/>
    </xf>
    <xf numFmtId="0" fontId="12462" fillId="12466" borderId="12413" xfId="0" applyFont="1" applyFill="1" applyBorder="1" applyAlignment="1">
      <alignment horizontal="center"/>
    </xf>
    <xf numFmtId="0" fontId="12463" fillId="12467" borderId="12414" xfId="0" applyFont="1" applyFill="1" applyBorder="1"/>
    <xf numFmtId="0" fontId="12464" fillId="12468" borderId="12415" xfId="0" applyFont="1" applyFill="1" applyBorder="1"/>
    <xf numFmtId="0" fontId="12465" fillId="12469" borderId="12416" xfId="0" applyFont="1" applyFill="1" applyBorder="1" applyAlignment="1">
      <alignment horizontal="center"/>
    </xf>
    <xf numFmtId="0" fontId="12466" fillId="12470" borderId="12417" xfId="0" applyFont="1" applyFill="1" applyBorder="1"/>
    <xf numFmtId="165" fontId="12467" fillId="12471" borderId="12418" xfId="0" applyNumberFormat="1" applyFont="1" applyFill="1" applyBorder="1"/>
    <xf numFmtId="0" fontId="12468" fillId="12472" borderId="12419" xfId="0" applyFont="1" applyFill="1" applyBorder="1" applyAlignment="1">
      <alignment horizontal="center"/>
    </xf>
    <xf numFmtId="0" fontId="12469" fillId="12473" borderId="12420" xfId="0" applyFont="1" applyFill="1" applyBorder="1" applyAlignment="1">
      <alignment wrapText="1"/>
    </xf>
    <xf numFmtId="0" fontId="12470" fillId="12474" borderId="12421" xfId="0" applyFont="1" applyFill="1" applyBorder="1" applyAlignment="1">
      <alignment horizontal="center"/>
    </xf>
    <xf numFmtId="0" fontId="12471" fillId="12475" borderId="12422" xfId="0" applyFont="1" applyFill="1" applyBorder="1" applyAlignment="1">
      <alignment horizontal="center"/>
    </xf>
    <xf numFmtId="0" fontId="12472" fillId="12476" borderId="12423" xfId="0" applyFont="1" applyFill="1" applyBorder="1" applyAlignment="1">
      <alignment horizontal="center"/>
    </xf>
    <xf numFmtId="0" fontId="12473" fillId="12477" borderId="12424" xfId="0" applyFont="1" applyFill="1" applyBorder="1"/>
    <xf numFmtId="0" fontId="12474" fillId="12478" borderId="12425" xfId="0" applyFont="1" applyFill="1" applyBorder="1"/>
    <xf numFmtId="0" fontId="12475" fillId="12479" borderId="12426" xfId="0" applyFont="1" applyFill="1" applyBorder="1" applyAlignment="1">
      <alignment horizontal="center"/>
    </xf>
    <xf numFmtId="0" fontId="12476" fillId="12480" borderId="12427" xfId="0" applyFont="1" applyFill="1" applyBorder="1"/>
    <xf numFmtId="165" fontId="12477" fillId="12481" borderId="12428" xfId="0" applyNumberFormat="1" applyFont="1" applyFill="1" applyBorder="1"/>
    <xf numFmtId="0" fontId="12478" fillId="12482" borderId="12429" xfId="0" applyFont="1" applyFill="1" applyBorder="1" applyAlignment="1">
      <alignment horizontal="center"/>
    </xf>
    <xf numFmtId="0" fontId="12479" fillId="12483" borderId="12430" xfId="0" applyFont="1" applyFill="1" applyBorder="1" applyAlignment="1">
      <alignment wrapText="1"/>
    </xf>
    <xf numFmtId="0" fontId="12480" fillId="12484" borderId="12431" xfId="0" applyFont="1" applyFill="1" applyBorder="1" applyAlignment="1">
      <alignment horizontal="center"/>
    </xf>
    <xf numFmtId="0" fontId="12481" fillId="12485" borderId="12432" xfId="0" applyFont="1" applyFill="1" applyBorder="1" applyAlignment="1">
      <alignment horizontal="center"/>
    </xf>
    <xf numFmtId="0" fontId="12482" fillId="12486" borderId="12433" xfId="0" applyFont="1" applyFill="1" applyBorder="1" applyAlignment="1">
      <alignment horizontal="center"/>
    </xf>
    <xf numFmtId="0" fontId="12483" fillId="12487" borderId="12434" xfId="0" applyFont="1" applyFill="1" applyBorder="1"/>
    <xf numFmtId="0" fontId="12484" fillId="12488" borderId="12435" xfId="0" applyFont="1" applyFill="1" applyBorder="1"/>
    <xf numFmtId="0" fontId="12485" fillId="12489" borderId="12436" xfId="0" applyFont="1" applyFill="1" applyBorder="1" applyAlignment="1">
      <alignment horizontal="center"/>
    </xf>
    <xf numFmtId="0" fontId="12486" fillId="12490" borderId="12437" xfId="0" applyFont="1" applyFill="1" applyBorder="1"/>
    <xf numFmtId="165" fontId="12487" fillId="12491" borderId="12438" xfId="0" applyNumberFormat="1" applyFont="1" applyFill="1" applyBorder="1"/>
    <xf numFmtId="0" fontId="12488" fillId="12492" borderId="12439" xfId="0" applyFont="1" applyFill="1" applyBorder="1" applyAlignment="1">
      <alignment horizontal="center"/>
    </xf>
    <xf numFmtId="0" fontId="12489" fillId="12493" borderId="12440" xfId="0" applyFont="1" applyFill="1" applyBorder="1" applyAlignment="1">
      <alignment wrapText="1"/>
    </xf>
    <xf numFmtId="0" fontId="12490" fillId="12494" borderId="12441" xfId="0" applyFont="1" applyFill="1" applyBorder="1" applyAlignment="1">
      <alignment horizontal="center"/>
    </xf>
    <xf numFmtId="0" fontId="12491" fillId="12495" borderId="12442" xfId="0" applyFont="1" applyFill="1" applyBorder="1" applyAlignment="1">
      <alignment horizontal="center"/>
    </xf>
    <xf numFmtId="0" fontId="12492" fillId="12496" borderId="12443" xfId="0" applyFont="1" applyFill="1" applyBorder="1" applyAlignment="1">
      <alignment horizontal="center"/>
    </xf>
    <xf numFmtId="0" fontId="12493" fillId="12497" borderId="12444" xfId="0" applyFont="1" applyFill="1" applyBorder="1"/>
    <xf numFmtId="0" fontId="12494" fillId="12498" borderId="12445" xfId="0" applyFont="1" applyFill="1" applyBorder="1"/>
    <xf numFmtId="0" fontId="12495" fillId="12499" borderId="12446" xfId="0" applyFont="1" applyFill="1" applyBorder="1" applyAlignment="1">
      <alignment horizontal="center"/>
    </xf>
    <xf numFmtId="0" fontId="12496" fillId="12500" borderId="12447" xfId="0" applyFont="1" applyFill="1" applyBorder="1"/>
    <xf numFmtId="165" fontId="12497" fillId="12501" borderId="12448" xfId="0" applyNumberFormat="1" applyFont="1" applyFill="1" applyBorder="1"/>
    <xf numFmtId="0" fontId="12498" fillId="12502" borderId="12449" xfId="0" applyFont="1" applyFill="1" applyBorder="1" applyAlignment="1">
      <alignment horizontal="center"/>
    </xf>
    <xf numFmtId="0" fontId="12499" fillId="12503" borderId="12450" xfId="0" applyFont="1" applyFill="1" applyBorder="1" applyAlignment="1">
      <alignment wrapText="1"/>
    </xf>
    <xf numFmtId="0" fontId="12500" fillId="12504" borderId="12451" xfId="0" applyFont="1" applyFill="1" applyBorder="1"/>
    <xf numFmtId="165" fontId="12501" fillId="12505" borderId="12452" xfId="0" applyNumberFormat="1" applyFont="1" applyFill="1" applyBorder="1"/>
    <xf numFmtId="0" fontId="12503" fillId="12507" borderId="12454" xfId="0" applyFont="1" applyFill="1" applyBorder="1" applyAlignment="1">
      <alignment horizontal="center"/>
    </xf>
    <xf numFmtId="0" fontId="12504" fillId="12508" borderId="12455" xfId="0" applyFont="1" applyFill="1" applyBorder="1" applyAlignment="1">
      <alignment horizontal="center"/>
    </xf>
    <xf numFmtId="0" fontId="12505" fillId="12509" borderId="12456" xfId="0" applyFont="1" applyFill="1" applyBorder="1" applyAlignment="1">
      <alignment horizontal="center"/>
    </xf>
    <xf numFmtId="0" fontId="12506" fillId="12510" borderId="12457" xfId="0" applyFont="1" applyFill="1" applyBorder="1"/>
    <xf numFmtId="0" fontId="12507" fillId="12511" borderId="12458" xfId="0" applyFont="1" applyFill="1" applyBorder="1"/>
    <xf numFmtId="0" fontId="12508" fillId="12512" borderId="12459" xfId="0" applyFont="1" applyFill="1" applyBorder="1" applyAlignment="1">
      <alignment horizontal="center"/>
    </xf>
    <xf numFmtId="0" fontId="12509" fillId="12513" borderId="12460" xfId="0" applyFont="1" applyFill="1" applyBorder="1"/>
    <xf numFmtId="165" fontId="12510" fillId="12514" borderId="12461" xfId="0" applyNumberFormat="1" applyFont="1" applyFill="1" applyBorder="1"/>
    <xf numFmtId="0" fontId="12511" fillId="12515" borderId="12462" xfId="0" applyFont="1" applyFill="1" applyBorder="1" applyAlignment="1">
      <alignment horizontal="center"/>
    </xf>
    <xf numFmtId="0" fontId="12512" fillId="12516" borderId="12463" xfId="0" applyFont="1" applyFill="1" applyBorder="1" applyAlignment="1">
      <alignment wrapText="1"/>
    </xf>
    <xf numFmtId="0" fontId="12513" fillId="12517" borderId="12464" xfId="0" applyFont="1" applyFill="1" applyBorder="1" applyAlignment="1">
      <alignment horizontal="center"/>
    </xf>
    <xf numFmtId="0" fontId="12514" fillId="12518" borderId="12465" xfId="0" applyFont="1" applyFill="1" applyBorder="1" applyAlignment="1">
      <alignment horizontal="center"/>
    </xf>
    <xf numFmtId="0" fontId="12515" fillId="12519" borderId="12466" xfId="0" applyFont="1" applyFill="1" applyBorder="1" applyAlignment="1">
      <alignment horizontal="center"/>
    </xf>
    <xf numFmtId="0" fontId="12516" fillId="12520" borderId="12467" xfId="0" applyFont="1" applyFill="1" applyBorder="1"/>
    <xf numFmtId="0" fontId="12517" fillId="12521" borderId="12468" xfId="0" applyFont="1" applyFill="1" applyBorder="1"/>
    <xf numFmtId="0" fontId="12518" fillId="12522" borderId="12469" xfId="0" applyFont="1" applyFill="1" applyBorder="1" applyAlignment="1">
      <alignment horizontal="center"/>
    </xf>
    <xf numFmtId="0" fontId="12519" fillId="12523" borderId="12470" xfId="0" applyFont="1" applyFill="1" applyBorder="1"/>
    <xf numFmtId="165" fontId="12520" fillId="12524" borderId="12471" xfId="0" applyNumberFormat="1" applyFont="1" applyFill="1" applyBorder="1"/>
    <xf numFmtId="0" fontId="12521" fillId="12525" borderId="12472" xfId="0" applyFont="1" applyFill="1" applyBorder="1" applyAlignment="1">
      <alignment horizontal="center"/>
    </xf>
    <xf numFmtId="0" fontId="12522" fillId="12526" borderId="12473" xfId="0" applyFont="1" applyFill="1" applyBorder="1" applyAlignment="1">
      <alignment wrapText="1"/>
    </xf>
    <xf numFmtId="0" fontId="12523" fillId="12527" borderId="12474" xfId="0" applyFont="1" applyFill="1" applyBorder="1" applyAlignment="1">
      <alignment horizontal="center"/>
    </xf>
    <xf numFmtId="0" fontId="12524" fillId="12528" borderId="12475" xfId="0" applyFont="1" applyFill="1" applyBorder="1" applyAlignment="1">
      <alignment horizontal="center"/>
    </xf>
    <xf numFmtId="0" fontId="12525" fillId="12529" borderId="12476" xfId="0" applyFont="1" applyFill="1" applyBorder="1" applyAlignment="1">
      <alignment horizontal="center"/>
    </xf>
    <xf numFmtId="0" fontId="12526" fillId="12530" borderId="12477" xfId="0" applyFont="1" applyFill="1" applyBorder="1"/>
    <xf numFmtId="0" fontId="12527" fillId="12531" borderId="12478" xfId="0" applyFont="1" applyFill="1" applyBorder="1"/>
    <xf numFmtId="0" fontId="12528" fillId="12532" borderId="12479" xfId="0" applyFont="1" applyFill="1" applyBorder="1" applyAlignment="1">
      <alignment horizontal="center"/>
    </xf>
    <xf numFmtId="0" fontId="12529" fillId="12533" borderId="12480" xfId="0" applyFont="1" applyFill="1" applyBorder="1"/>
    <xf numFmtId="165" fontId="12530" fillId="12534" borderId="12481" xfId="0" applyNumberFormat="1" applyFont="1" applyFill="1" applyBorder="1"/>
    <xf numFmtId="0" fontId="12531" fillId="12535" borderId="12482" xfId="0" applyFont="1" applyFill="1" applyBorder="1" applyAlignment="1">
      <alignment horizontal="center"/>
    </xf>
    <xf numFmtId="0" fontId="12532" fillId="12536" borderId="12483" xfId="0" applyFont="1" applyFill="1" applyBorder="1" applyAlignment="1">
      <alignment wrapText="1"/>
    </xf>
    <xf numFmtId="0" fontId="12533" fillId="12537" borderId="12484" xfId="0" applyFont="1" applyFill="1" applyBorder="1" applyAlignment="1">
      <alignment horizontal="center"/>
    </xf>
    <xf numFmtId="0" fontId="12534" fillId="12538" borderId="12485" xfId="0" applyFont="1" applyFill="1" applyBorder="1" applyAlignment="1">
      <alignment horizontal="center"/>
    </xf>
    <xf numFmtId="0" fontId="12535" fillId="12539" borderId="12486" xfId="0" applyFont="1" applyFill="1" applyBorder="1" applyAlignment="1">
      <alignment horizontal="center"/>
    </xf>
    <xf numFmtId="0" fontId="12536" fillId="12540" borderId="12487" xfId="0" applyFont="1" applyFill="1" applyBorder="1"/>
    <xf numFmtId="0" fontId="12537" fillId="12541" borderId="12488" xfId="0" applyFont="1" applyFill="1" applyBorder="1"/>
    <xf numFmtId="0" fontId="12538" fillId="12542" borderId="12489" xfId="0" applyFont="1" applyFill="1" applyBorder="1" applyAlignment="1">
      <alignment horizontal="center"/>
    </xf>
    <xf numFmtId="0" fontId="12539" fillId="12543" borderId="12490" xfId="0" applyFont="1" applyFill="1" applyBorder="1"/>
    <xf numFmtId="165" fontId="12540" fillId="12544" borderId="12491" xfId="0" applyNumberFormat="1" applyFont="1" applyFill="1" applyBorder="1"/>
    <xf numFmtId="0" fontId="12541" fillId="12545" borderId="12492" xfId="0" applyFont="1" applyFill="1" applyBorder="1" applyAlignment="1">
      <alignment horizontal="center"/>
    </xf>
    <xf numFmtId="0" fontId="12542" fillId="12546" borderId="12493" xfId="0" applyFont="1" applyFill="1" applyBorder="1" applyAlignment="1">
      <alignment wrapText="1"/>
    </xf>
    <xf numFmtId="0" fontId="12543" fillId="12547" borderId="12494" xfId="0" applyFont="1" applyFill="1" applyBorder="1"/>
    <xf numFmtId="165" fontId="12544" fillId="12548" borderId="12495" xfId="0" applyNumberFormat="1" applyFont="1" applyFill="1" applyBorder="1"/>
    <xf numFmtId="0" fontId="12546" fillId="12550" borderId="12497" xfId="0" applyFont="1" applyFill="1" applyBorder="1" applyAlignment="1">
      <alignment horizontal="center"/>
    </xf>
    <xf numFmtId="0" fontId="12547" fillId="12551" borderId="12498" xfId="0" applyFont="1" applyFill="1" applyBorder="1" applyAlignment="1">
      <alignment horizontal="center"/>
    </xf>
    <xf numFmtId="0" fontId="12548" fillId="12552" borderId="12499" xfId="0" applyFont="1" applyFill="1" applyBorder="1" applyAlignment="1">
      <alignment horizontal="center"/>
    </xf>
    <xf numFmtId="0" fontId="12549" fillId="12553" borderId="12500" xfId="0" applyFont="1" applyFill="1" applyBorder="1"/>
    <xf numFmtId="0" fontId="12550" fillId="12554" borderId="12501" xfId="0" applyFont="1" applyFill="1" applyBorder="1"/>
    <xf numFmtId="0" fontId="12551" fillId="12555" borderId="12502" xfId="0" applyFont="1" applyFill="1" applyBorder="1" applyAlignment="1">
      <alignment horizontal="center"/>
    </xf>
    <xf numFmtId="0" fontId="12552" fillId="12556" borderId="12503" xfId="0" applyFont="1" applyFill="1" applyBorder="1"/>
    <xf numFmtId="165" fontId="12553" fillId="12557" borderId="12504" xfId="0" applyNumberFormat="1" applyFont="1" applyFill="1" applyBorder="1"/>
    <xf numFmtId="0" fontId="12554" fillId="12558" borderId="12505" xfId="0" applyFont="1" applyFill="1" applyBorder="1" applyAlignment="1">
      <alignment horizontal="center"/>
    </xf>
    <xf numFmtId="0" fontId="12555" fillId="12559" borderId="12506" xfId="0" applyFont="1" applyFill="1" applyBorder="1" applyAlignment="1">
      <alignment wrapText="1"/>
    </xf>
    <xf numFmtId="0" fontId="12556" fillId="12560" borderId="12507" xfId="0" applyFont="1" applyFill="1" applyBorder="1" applyAlignment="1">
      <alignment horizontal="center"/>
    </xf>
    <xf numFmtId="0" fontId="12557" fillId="12561" borderId="12508" xfId="0" applyFont="1" applyFill="1" applyBorder="1" applyAlignment="1">
      <alignment horizontal="center"/>
    </xf>
    <xf numFmtId="0" fontId="12558" fillId="12562" borderId="12509" xfId="0" applyFont="1" applyFill="1" applyBorder="1" applyAlignment="1">
      <alignment horizontal="center"/>
    </xf>
    <xf numFmtId="0" fontId="12559" fillId="12563" borderId="12510" xfId="0" applyFont="1" applyFill="1" applyBorder="1"/>
    <xf numFmtId="0" fontId="12560" fillId="12564" borderId="12511" xfId="0" applyFont="1" applyFill="1" applyBorder="1"/>
    <xf numFmtId="0" fontId="12561" fillId="12565" borderId="12512" xfId="0" applyFont="1" applyFill="1" applyBorder="1" applyAlignment="1">
      <alignment horizontal="center"/>
    </xf>
    <xf numFmtId="0" fontId="12562" fillId="12566" borderId="12513" xfId="0" applyFont="1" applyFill="1" applyBorder="1"/>
    <xf numFmtId="165" fontId="12563" fillId="12567" borderId="12514" xfId="0" applyNumberFormat="1" applyFont="1" applyFill="1" applyBorder="1"/>
    <xf numFmtId="0" fontId="12564" fillId="12568" borderId="12515" xfId="0" applyFont="1" applyFill="1" applyBorder="1" applyAlignment="1">
      <alignment horizontal="center"/>
    </xf>
    <xf numFmtId="0" fontId="12565" fillId="12569" borderId="12516" xfId="0" applyFont="1" applyFill="1" applyBorder="1" applyAlignment="1">
      <alignment wrapText="1"/>
    </xf>
    <xf numFmtId="0" fontId="12566" fillId="12570" borderId="12517" xfId="0" applyFont="1" applyFill="1" applyBorder="1" applyAlignment="1">
      <alignment horizontal="center"/>
    </xf>
    <xf numFmtId="0" fontId="12567" fillId="12571" borderId="12518" xfId="0" applyFont="1" applyFill="1" applyBorder="1" applyAlignment="1">
      <alignment horizontal="center"/>
    </xf>
    <xf numFmtId="0" fontId="12568" fillId="12572" borderId="12519" xfId="0" applyFont="1" applyFill="1" applyBorder="1" applyAlignment="1">
      <alignment horizontal="center"/>
    </xf>
    <xf numFmtId="0" fontId="12569" fillId="12573" borderId="12520" xfId="0" applyFont="1" applyFill="1" applyBorder="1"/>
    <xf numFmtId="0" fontId="12570" fillId="12574" borderId="12521" xfId="0" applyFont="1" applyFill="1" applyBorder="1"/>
    <xf numFmtId="0" fontId="12571" fillId="12575" borderId="12522" xfId="0" applyFont="1" applyFill="1" applyBorder="1" applyAlignment="1">
      <alignment horizontal="center"/>
    </xf>
    <xf numFmtId="0" fontId="12572" fillId="12576" borderId="12523" xfId="0" applyFont="1" applyFill="1" applyBorder="1"/>
    <xf numFmtId="165" fontId="12573" fillId="12577" borderId="12524" xfId="0" applyNumberFormat="1" applyFont="1" applyFill="1" applyBorder="1"/>
    <xf numFmtId="0" fontId="12574" fillId="12578" borderId="12525" xfId="0" applyFont="1" applyFill="1" applyBorder="1" applyAlignment="1">
      <alignment horizontal="center"/>
    </xf>
    <xf numFmtId="0" fontId="12575" fillId="12579" borderId="12526" xfId="0" applyFont="1" applyFill="1" applyBorder="1" applyAlignment="1">
      <alignment wrapText="1"/>
    </xf>
    <xf numFmtId="0" fontId="12576" fillId="12580" borderId="12527" xfId="0" applyFont="1" applyFill="1" applyBorder="1" applyAlignment="1">
      <alignment horizontal="center"/>
    </xf>
    <xf numFmtId="0" fontId="12577" fillId="12581" borderId="12528" xfId="0" applyFont="1" applyFill="1" applyBorder="1" applyAlignment="1">
      <alignment horizontal="center"/>
    </xf>
    <xf numFmtId="0" fontId="12578" fillId="12582" borderId="12529" xfId="0" applyFont="1" applyFill="1" applyBorder="1" applyAlignment="1">
      <alignment horizontal="center"/>
    </xf>
    <xf numFmtId="0" fontId="12579" fillId="12583" borderId="12530" xfId="0" applyFont="1" applyFill="1" applyBorder="1"/>
    <xf numFmtId="0" fontId="12580" fillId="12584" borderId="12531" xfId="0" applyFont="1" applyFill="1" applyBorder="1"/>
    <xf numFmtId="0" fontId="12581" fillId="12585" borderId="12532" xfId="0" applyFont="1" applyFill="1" applyBorder="1" applyAlignment="1">
      <alignment horizontal="center"/>
    </xf>
    <xf numFmtId="0" fontId="12582" fillId="12586" borderId="12533" xfId="0" applyFont="1" applyFill="1" applyBorder="1"/>
    <xf numFmtId="165" fontId="12583" fillId="12587" borderId="12534" xfId="0" applyNumberFormat="1" applyFont="1" applyFill="1" applyBorder="1"/>
    <xf numFmtId="0" fontId="12584" fillId="12588" borderId="12535" xfId="0" applyFont="1" applyFill="1" applyBorder="1" applyAlignment="1">
      <alignment horizontal="center"/>
    </xf>
    <xf numFmtId="0" fontId="12585" fillId="12589" borderId="12536" xfId="0" applyFont="1" applyFill="1" applyBorder="1" applyAlignment="1">
      <alignment wrapText="1"/>
    </xf>
    <xf numFmtId="0" fontId="12586" fillId="12590" borderId="12537" xfId="0" applyFont="1" applyFill="1" applyBorder="1" applyAlignment="1">
      <alignment horizontal="center"/>
    </xf>
    <xf numFmtId="0" fontId="12587" fillId="12591" borderId="12538" xfId="0" applyFont="1" applyFill="1" applyBorder="1" applyAlignment="1">
      <alignment horizontal="center"/>
    </xf>
    <xf numFmtId="0" fontId="12588" fillId="12592" borderId="12539" xfId="0" applyFont="1" applyFill="1" applyBorder="1" applyAlignment="1">
      <alignment horizontal="center"/>
    </xf>
    <xf numFmtId="0" fontId="12589" fillId="12593" borderId="12540" xfId="0" applyFont="1" applyFill="1" applyBorder="1"/>
    <xf numFmtId="0" fontId="12590" fillId="12594" borderId="12541" xfId="0" applyFont="1" applyFill="1" applyBorder="1"/>
    <xf numFmtId="0" fontId="12591" fillId="12595" borderId="12542" xfId="0" applyFont="1" applyFill="1" applyBorder="1" applyAlignment="1">
      <alignment horizontal="center"/>
    </xf>
    <xf numFmtId="0" fontId="12592" fillId="12596" borderId="12543" xfId="0" applyFont="1" applyFill="1" applyBorder="1"/>
    <xf numFmtId="165" fontId="12593" fillId="12597" borderId="12544" xfId="0" applyNumberFormat="1" applyFont="1" applyFill="1" applyBorder="1"/>
    <xf numFmtId="0" fontId="12594" fillId="12598" borderId="12545" xfId="0" applyFont="1" applyFill="1" applyBorder="1" applyAlignment="1">
      <alignment horizontal="center"/>
    </xf>
    <xf numFmtId="0" fontId="12595" fillId="12599" borderId="12546" xfId="0" applyFont="1" applyFill="1" applyBorder="1" applyAlignment="1">
      <alignment wrapText="1"/>
    </xf>
    <xf numFmtId="0" fontId="12596" fillId="12600" borderId="12547" xfId="0" applyFont="1" applyFill="1" applyBorder="1" applyAlignment="1">
      <alignment horizontal="center"/>
    </xf>
    <xf numFmtId="0" fontId="12597" fillId="12601" borderId="12548" xfId="0" applyFont="1" applyFill="1" applyBorder="1" applyAlignment="1">
      <alignment horizontal="center"/>
    </xf>
    <xf numFmtId="0" fontId="12598" fillId="12602" borderId="12549" xfId="0" applyFont="1" applyFill="1" applyBorder="1" applyAlignment="1">
      <alignment horizontal="center"/>
    </xf>
    <xf numFmtId="0" fontId="12599" fillId="12603" borderId="12550" xfId="0" applyFont="1" applyFill="1" applyBorder="1"/>
    <xf numFmtId="0" fontId="12600" fillId="12604" borderId="12551" xfId="0" applyFont="1" applyFill="1" applyBorder="1"/>
    <xf numFmtId="0" fontId="12601" fillId="12605" borderId="12552" xfId="0" applyFont="1" applyFill="1" applyBorder="1" applyAlignment="1">
      <alignment horizontal="center"/>
    </xf>
    <xf numFmtId="0" fontId="12602" fillId="12606" borderId="12553" xfId="0" applyFont="1" applyFill="1" applyBorder="1"/>
    <xf numFmtId="165" fontId="12603" fillId="12607" borderId="12554" xfId="0" applyNumberFormat="1" applyFont="1" applyFill="1" applyBorder="1"/>
    <xf numFmtId="0" fontId="12604" fillId="12608" borderId="12555" xfId="0" applyFont="1" applyFill="1" applyBorder="1" applyAlignment="1">
      <alignment horizontal="center"/>
    </xf>
    <xf numFmtId="0" fontId="12605" fillId="12609" borderId="12556" xfId="0" applyFont="1" applyFill="1" applyBorder="1" applyAlignment="1">
      <alignment wrapText="1"/>
    </xf>
    <xf numFmtId="0" fontId="12606" fillId="12610" borderId="12557" xfId="0" applyFont="1" applyFill="1" applyBorder="1"/>
    <xf numFmtId="165" fontId="12607" fillId="12611" borderId="12558" xfId="0" applyNumberFormat="1" applyFont="1" applyFill="1" applyBorder="1"/>
    <xf numFmtId="0" fontId="12608" fillId="12612" borderId="12559" xfId="0" applyFont="1" applyFill="1" applyBorder="1"/>
    <xf numFmtId="165" fontId="12609" fillId="12613" borderId="12560" xfId="0" applyNumberFormat="1" applyFont="1" applyFill="1" applyBorder="1"/>
    <xf numFmtId="0" fontId="12611" fillId="12615" borderId="12562" xfId="0" applyFont="1" applyFill="1" applyBorder="1" applyAlignment="1">
      <alignment horizontal="center" wrapText="1"/>
    </xf>
    <xf numFmtId="0" fontId="12612" fillId="12616" borderId="12563" xfId="0" applyFont="1" applyFill="1" applyBorder="1" applyAlignment="1">
      <alignment horizontal="center" wrapText="1"/>
    </xf>
    <xf numFmtId="0" fontId="12613" fillId="12617" borderId="12564" xfId="0" applyFont="1" applyFill="1" applyBorder="1" applyAlignment="1">
      <alignment horizontal="center" wrapText="1"/>
    </xf>
    <xf numFmtId="0" fontId="12614" fillId="12618" borderId="12565" xfId="0" applyFont="1" applyFill="1" applyBorder="1" applyAlignment="1">
      <alignment horizontal="center" wrapText="1"/>
    </xf>
    <xf numFmtId="0" fontId="12615" fillId="12619" borderId="12566" xfId="0" applyFont="1" applyFill="1" applyBorder="1" applyAlignment="1">
      <alignment horizontal="center" wrapText="1"/>
    </xf>
    <xf numFmtId="0" fontId="12616" fillId="12620" borderId="12567" xfId="0" applyFont="1" applyFill="1" applyBorder="1" applyAlignment="1">
      <alignment horizontal="center" wrapText="1"/>
    </xf>
    <xf numFmtId="0" fontId="12617" fillId="12621" borderId="12568" xfId="0" applyFont="1" applyFill="1" applyBorder="1" applyAlignment="1">
      <alignment horizontal="center" wrapText="1"/>
    </xf>
    <xf numFmtId="0" fontId="12618" fillId="12622" borderId="12569" xfId="0" applyFont="1" applyFill="1" applyBorder="1" applyAlignment="1">
      <alignment horizontal="center" wrapText="1"/>
    </xf>
    <xf numFmtId="0" fontId="12619" fillId="12623" borderId="12570" xfId="0" applyFont="1" applyFill="1" applyBorder="1" applyAlignment="1">
      <alignment horizontal="center" wrapText="1"/>
    </xf>
    <xf numFmtId="0" fontId="12620" fillId="12624" borderId="12571" xfId="0" applyFont="1" applyFill="1" applyBorder="1" applyAlignment="1">
      <alignment horizontal="center" wrapText="1"/>
    </xf>
    <xf numFmtId="0" fontId="12621" fillId="12625" borderId="12572" xfId="0" applyFont="1" applyFill="1" applyBorder="1" applyAlignment="1">
      <alignment horizontal="center" wrapText="1"/>
    </xf>
    <xf numFmtId="0" fontId="12622" fillId="12626" borderId="12573" xfId="0" applyFont="1" applyFill="1" applyBorder="1" applyAlignment="1">
      <alignment horizontal="center" wrapText="1"/>
    </xf>
    <xf numFmtId="0" fontId="12623" fillId="12627" borderId="12574" xfId="0" applyFont="1" applyFill="1" applyBorder="1" applyAlignment="1">
      <alignment horizontal="center" wrapText="1"/>
    </xf>
    <xf numFmtId="0" fontId="12624" fillId="12628" borderId="12575" xfId="0" applyFont="1" applyFill="1" applyBorder="1" applyAlignment="1">
      <alignment horizontal="center" wrapText="1"/>
    </xf>
    <xf numFmtId="0" fontId="12625" fillId="12629" borderId="12576" xfId="0" applyFont="1" applyFill="1" applyBorder="1" applyAlignment="1">
      <alignment horizontal="center" wrapText="1"/>
    </xf>
    <xf numFmtId="0" fontId="12626" fillId="12630" borderId="12577" xfId="0" applyFont="1" applyFill="1" applyBorder="1" applyAlignment="1">
      <alignment horizontal="center"/>
    </xf>
    <xf numFmtId="14" fontId="12627" fillId="12631" borderId="12578" xfId="0" applyNumberFormat="1" applyFont="1" applyFill="1" applyBorder="1"/>
    <xf numFmtId="0" fontId="12628" fillId="12632" borderId="12579" xfId="0" applyFont="1" applyFill="1" applyBorder="1" applyAlignment="1">
      <alignment horizontal="center"/>
    </xf>
    <xf numFmtId="0" fontId="12629" fillId="12633" borderId="12580" xfId="0" applyFont="1" applyFill="1" applyBorder="1"/>
    <xf numFmtId="0" fontId="12630" fillId="12634" borderId="12581" xfId="0" applyFont="1" applyFill="1" applyBorder="1"/>
    <xf numFmtId="165" fontId="12631" fillId="12635" borderId="12582" xfId="0" applyNumberFormat="1" applyFont="1" applyFill="1" applyBorder="1"/>
    <xf numFmtId="165" fontId="12632" fillId="12636" borderId="12583" xfId="0" applyNumberFormat="1" applyFont="1" applyFill="1" applyBorder="1"/>
    <xf numFmtId="169" fontId="12633" fillId="12637" borderId="12584" xfId="0" applyNumberFormat="1" applyFont="1" applyFill="1" applyBorder="1"/>
    <xf numFmtId="168" fontId="12634" fillId="12638" borderId="12585" xfId="0" applyNumberFormat="1" applyFont="1" applyFill="1" applyBorder="1"/>
    <xf numFmtId="165" fontId="12635" fillId="12639" borderId="12586" xfId="0" applyNumberFormat="1" applyFont="1" applyFill="1" applyBorder="1"/>
    <xf numFmtId="0" fontId="12636" fillId="12640" borderId="12587" xfId="0" applyFont="1" applyFill="1" applyBorder="1" applyAlignment="1">
      <alignment horizontal="center"/>
    </xf>
    <xf numFmtId="0" fontId="12637" fillId="12641" borderId="12588" xfId="0" applyFont="1" applyFill="1" applyBorder="1" applyAlignment="1">
      <alignment horizontal="center"/>
    </xf>
    <xf numFmtId="0" fontId="12638" fillId="12642" borderId="12589" xfId="0" applyFont="1" applyFill="1" applyBorder="1" applyAlignment="1">
      <alignment wrapText="1"/>
    </xf>
    <xf numFmtId="165" fontId="12639" fillId="12643" borderId="12590" xfId="0" applyNumberFormat="1" applyFont="1" applyFill="1" applyBorder="1"/>
    <xf numFmtId="0" fontId="12640" fillId="12644" borderId="12591" xfId="0" applyFont="1" applyFill="1" applyBorder="1" applyAlignment="1">
      <alignment wrapText="1"/>
    </xf>
    <xf numFmtId="0" fontId="12641" fillId="12645" borderId="12592" xfId="0" applyFont="1" applyFill="1" applyBorder="1" applyAlignment="1">
      <alignment horizontal="center"/>
    </xf>
    <xf numFmtId="14" fontId="12642" fillId="12646" borderId="12593" xfId="0" applyNumberFormat="1" applyFont="1" applyFill="1" applyBorder="1"/>
    <xf numFmtId="0" fontId="12643" fillId="12647" borderId="12594" xfId="0" applyFont="1" applyFill="1" applyBorder="1" applyAlignment="1">
      <alignment horizontal="center"/>
    </xf>
    <xf numFmtId="0" fontId="12644" fillId="12648" borderId="12595" xfId="0" applyFont="1" applyFill="1" applyBorder="1"/>
    <xf numFmtId="0" fontId="12645" fillId="12649" borderId="12596" xfId="0" applyFont="1" applyFill="1" applyBorder="1"/>
    <xf numFmtId="165" fontId="12646" fillId="12650" borderId="12597" xfId="0" applyNumberFormat="1" applyFont="1" applyFill="1" applyBorder="1"/>
    <xf numFmtId="165" fontId="12647" fillId="12651" borderId="12598" xfId="0" applyNumberFormat="1" applyFont="1" applyFill="1" applyBorder="1"/>
    <xf numFmtId="169" fontId="12648" fillId="12652" borderId="12599" xfId="0" applyNumberFormat="1" applyFont="1" applyFill="1" applyBorder="1"/>
    <xf numFmtId="168" fontId="12649" fillId="12653" borderId="12600" xfId="0" applyNumberFormat="1" applyFont="1" applyFill="1" applyBorder="1"/>
    <xf numFmtId="165" fontId="12650" fillId="12654" borderId="12601" xfId="0" applyNumberFormat="1" applyFont="1" applyFill="1" applyBorder="1"/>
    <xf numFmtId="0" fontId="12651" fillId="12655" borderId="12602" xfId="0" applyFont="1" applyFill="1" applyBorder="1" applyAlignment="1">
      <alignment horizontal="center"/>
    </xf>
    <xf numFmtId="0" fontId="12652" fillId="12656" borderId="12603" xfId="0" applyFont="1" applyFill="1" applyBorder="1" applyAlignment="1">
      <alignment horizontal="center"/>
    </xf>
    <xf numFmtId="0" fontId="12653" fillId="12657" borderId="12604" xfId="0" applyFont="1" applyFill="1" applyBorder="1" applyAlignment="1">
      <alignment wrapText="1"/>
    </xf>
    <xf numFmtId="165" fontId="12654" fillId="12658" borderId="12605" xfId="0" applyNumberFormat="1" applyFont="1" applyFill="1" applyBorder="1"/>
    <xf numFmtId="0" fontId="12655" fillId="12659" borderId="12606" xfId="0" applyFont="1" applyFill="1" applyBorder="1" applyAlignment="1">
      <alignment wrapText="1"/>
    </xf>
    <xf numFmtId="0" fontId="12656" fillId="12660" borderId="12607" xfId="0" applyFont="1" applyFill="1" applyBorder="1" applyAlignment="1">
      <alignment horizontal="center"/>
    </xf>
    <xf numFmtId="14" fontId="12657" fillId="12661" borderId="12608" xfId="0" applyNumberFormat="1" applyFont="1" applyFill="1" applyBorder="1"/>
    <xf numFmtId="0" fontId="12658" fillId="12662" borderId="12609" xfId="0" applyFont="1" applyFill="1" applyBorder="1" applyAlignment="1">
      <alignment horizontal="center"/>
    </xf>
    <xf numFmtId="0" fontId="12659" fillId="12663" borderId="12610" xfId="0" applyFont="1" applyFill="1" applyBorder="1"/>
    <xf numFmtId="0" fontId="12660" fillId="12664" borderId="12611" xfId="0" applyFont="1" applyFill="1" applyBorder="1"/>
    <xf numFmtId="165" fontId="12661" fillId="12665" borderId="12612" xfId="0" applyNumberFormat="1" applyFont="1" applyFill="1" applyBorder="1"/>
    <xf numFmtId="165" fontId="12662" fillId="12666" borderId="12613" xfId="0" applyNumberFormat="1" applyFont="1" applyFill="1" applyBorder="1"/>
    <xf numFmtId="169" fontId="12663" fillId="12667" borderId="12614" xfId="0" applyNumberFormat="1" applyFont="1" applyFill="1" applyBorder="1"/>
    <xf numFmtId="168" fontId="12664" fillId="12668" borderId="12615" xfId="0" applyNumberFormat="1" applyFont="1" applyFill="1" applyBorder="1"/>
    <xf numFmtId="165" fontId="12665" fillId="12669" borderId="12616" xfId="0" applyNumberFormat="1" applyFont="1" applyFill="1" applyBorder="1"/>
    <xf numFmtId="0" fontId="12666" fillId="12670" borderId="12617" xfId="0" applyFont="1" applyFill="1" applyBorder="1" applyAlignment="1">
      <alignment horizontal="center"/>
    </xf>
    <xf numFmtId="0" fontId="12667" fillId="12671" borderId="12618" xfId="0" applyFont="1" applyFill="1" applyBorder="1" applyAlignment="1">
      <alignment horizontal="center"/>
    </xf>
    <xf numFmtId="0" fontId="12668" fillId="12672" borderId="12619" xfId="0" applyFont="1" applyFill="1" applyBorder="1" applyAlignment="1">
      <alignment wrapText="1"/>
    </xf>
    <xf numFmtId="165" fontId="12669" fillId="12673" borderId="12620" xfId="0" applyNumberFormat="1" applyFont="1" applyFill="1" applyBorder="1"/>
    <xf numFmtId="0" fontId="12670" fillId="12674" borderId="12621" xfId="0" applyFont="1" applyFill="1" applyBorder="1" applyAlignment="1">
      <alignment wrapText="1"/>
    </xf>
    <xf numFmtId="0" fontId="12671" fillId="12675" borderId="12622" xfId="0" applyFont="1" applyFill="1" applyBorder="1" applyAlignment="1">
      <alignment horizontal="center"/>
    </xf>
    <xf numFmtId="14" fontId="12672" fillId="12676" borderId="12623" xfId="0" applyNumberFormat="1" applyFont="1" applyFill="1" applyBorder="1"/>
    <xf numFmtId="0" fontId="12673" fillId="12677" borderId="12624" xfId="0" applyFont="1" applyFill="1" applyBorder="1" applyAlignment="1">
      <alignment horizontal="center"/>
    </xf>
    <xf numFmtId="0" fontId="12674" fillId="12678" borderId="12625" xfId="0" applyFont="1" applyFill="1" applyBorder="1"/>
    <xf numFmtId="0" fontId="12675" fillId="12679" borderId="12626" xfId="0" applyFont="1" applyFill="1" applyBorder="1"/>
    <xf numFmtId="165" fontId="12676" fillId="12680" borderId="12627" xfId="0" applyNumberFormat="1" applyFont="1" applyFill="1" applyBorder="1"/>
    <xf numFmtId="165" fontId="12677" fillId="12681" borderId="12628" xfId="0" applyNumberFormat="1" applyFont="1" applyFill="1" applyBorder="1"/>
    <xf numFmtId="169" fontId="12678" fillId="12682" borderId="12629" xfId="0" applyNumberFormat="1" applyFont="1" applyFill="1" applyBorder="1"/>
    <xf numFmtId="168" fontId="12679" fillId="12683" borderId="12630" xfId="0" applyNumberFormat="1" applyFont="1" applyFill="1" applyBorder="1"/>
    <xf numFmtId="165" fontId="12680" fillId="12684" borderId="12631" xfId="0" applyNumberFormat="1" applyFont="1" applyFill="1" applyBorder="1"/>
    <xf numFmtId="0" fontId="12681" fillId="12685" borderId="12632" xfId="0" applyFont="1" applyFill="1" applyBorder="1" applyAlignment="1">
      <alignment horizontal="center"/>
    </xf>
    <xf numFmtId="0" fontId="12682" fillId="12686" borderId="12633" xfId="0" applyFont="1" applyFill="1" applyBorder="1" applyAlignment="1">
      <alignment horizontal="center"/>
    </xf>
    <xf numFmtId="0" fontId="12683" fillId="12687" borderId="12634" xfId="0" applyFont="1" applyFill="1" applyBorder="1" applyAlignment="1">
      <alignment wrapText="1"/>
    </xf>
    <xf numFmtId="165" fontId="12684" fillId="12688" borderId="12635" xfId="0" applyNumberFormat="1" applyFont="1" applyFill="1" applyBorder="1"/>
    <xf numFmtId="0" fontId="12685" fillId="12689" borderId="12636" xfId="0" applyFont="1" applyFill="1" applyBorder="1" applyAlignment="1">
      <alignment wrapText="1"/>
    </xf>
    <xf numFmtId="0" fontId="12686" fillId="12690" borderId="12637" xfId="0" applyFont="1" applyFill="1" applyBorder="1" applyAlignment="1">
      <alignment horizontal="center"/>
    </xf>
    <xf numFmtId="14" fontId="12687" fillId="12691" borderId="12638" xfId="0" applyNumberFormat="1" applyFont="1" applyFill="1" applyBorder="1"/>
    <xf numFmtId="0" fontId="12688" fillId="12692" borderId="12639" xfId="0" applyFont="1" applyFill="1" applyBorder="1" applyAlignment="1">
      <alignment horizontal="center"/>
    </xf>
    <xf numFmtId="0" fontId="12689" fillId="12693" borderId="12640" xfId="0" applyFont="1" applyFill="1" applyBorder="1"/>
    <xf numFmtId="0" fontId="12690" fillId="12694" borderId="12641" xfId="0" applyFont="1" applyFill="1" applyBorder="1"/>
    <xf numFmtId="165" fontId="12691" fillId="12695" borderId="12642" xfId="0" applyNumberFormat="1" applyFont="1" applyFill="1" applyBorder="1"/>
    <xf numFmtId="165" fontId="12692" fillId="12696" borderId="12643" xfId="0" applyNumberFormat="1" applyFont="1" applyFill="1" applyBorder="1"/>
    <xf numFmtId="169" fontId="12693" fillId="12697" borderId="12644" xfId="0" applyNumberFormat="1" applyFont="1" applyFill="1" applyBorder="1"/>
    <xf numFmtId="168" fontId="12694" fillId="12698" borderId="12645" xfId="0" applyNumberFormat="1" applyFont="1" applyFill="1" applyBorder="1"/>
    <xf numFmtId="165" fontId="12695" fillId="12699" borderId="12646" xfId="0" applyNumberFormat="1" applyFont="1" applyFill="1" applyBorder="1"/>
    <xf numFmtId="0" fontId="12696" fillId="12700" borderId="12647" xfId="0" applyFont="1" applyFill="1" applyBorder="1" applyAlignment="1">
      <alignment horizontal="center"/>
    </xf>
    <xf numFmtId="0" fontId="12697" fillId="12701" borderId="12648" xfId="0" applyFont="1" applyFill="1" applyBorder="1" applyAlignment="1">
      <alignment horizontal="center"/>
    </xf>
    <xf numFmtId="0" fontId="12698" fillId="12702" borderId="12649" xfId="0" applyFont="1" applyFill="1" applyBorder="1"/>
    <xf numFmtId="165" fontId="12699" fillId="12703" borderId="12650" xfId="0" applyNumberFormat="1" applyFont="1" applyFill="1" applyBorder="1"/>
    <xf numFmtId="0" fontId="12700" fillId="12704" borderId="12651" xfId="0" applyFont="1" applyFill="1" applyBorder="1"/>
    <xf numFmtId="0" fontId="12701" fillId="12705" borderId="12652" xfId="0" applyFont="1" applyFill="1" applyBorder="1" applyAlignment="1">
      <alignment horizontal="center"/>
    </xf>
    <xf numFmtId="14" fontId="12702" fillId="12706" borderId="12653" xfId="0" applyNumberFormat="1" applyFont="1" applyFill="1" applyBorder="1"/>
    <xf numFmtId="0" fontId="12703" fillId="12707" borderId="12654" xfId="0" applyFont="1" applyFill="1" applyBorder="1" applyAlignment="1">
      <alignment horizontal="center"/>
    </xf>
    <xf numFmtId="0" fontId="12704" fillId="12708" borderId="12655" xfId="0" applyFont="1" applyFill="1" applyBorder="1"/>
    <xf numFmtId="0" fontId="12705" fillId="12709" borderId="12656" xfId="0" applyFont="1" applyFill="1" applyBorder="1"/>
    <xf numFmtId="165" fontId="12706" fillId="12710" borderId="12657" xfId="0" applyNumberFormat="1" applyFont="1" applyFill="1" applyBorder="1"/>
    <xf numFmtId="165" fontId="12707" fillId="12711" borderId="12658" xfId="0" applyNumberFormat="1" applyFont="1" applyFill="1" applyBorder="1"/>
    <xf numFmtId="169" fontId="12708" fillId="12712" borderId="12659" xfId="0" applyNumberFormat="1" applyFont="1" applyFill="1" applyBorder="1"/>
    <xf numFmtId="168" fontId="12709" fillId="12713" borderId="12660" xfId="0" applyNumberFormat="1" applyFont="1" applyFill="1" applyBorder="1"/>
    <xf numFmtId="165" fontId="12710" fillId="12714" borderId="12661" xfId="0" applyNumberFormat="1" applyFont="1" applyFill="1" applyBorder="1"/>
    <xf numFmtId="0" fontId="12711" fillId="12715" borderId="12662" xfId="0" applyFont="1" applyFill="1" applyBorder="1" applyAlignment="1">
      <alignment horizontal="center"/>
    </xf>
    <xf numFmtId="0" fontId="12712" fillId="12716" borderId="12663" xfId="0" applyFont="1" applyFill="1" applyBorder="1" applyAlignment="1">
      <alignment horizontal="center"/>
    </xf>
    <xf numFmtId="0" fontId="12713" fillId="12717" borderId="12664" xfId="0" applyFont="1" applyFill="1" applyBorder="1"/>
    <xf numFmtId="165" fontId="12714" fillId="12718" borderId="12665" xfId="0" applyNumberFormat="1" applyFont="1" applyFill="1" applyBorder="1"/>
    <xf numFmtId="0" fontId="12715" fillId="12719" borderId="12666" xfId="0" applyFont="1" applyFill="1" applyBorder="1"/>
    <xf numFmtId="0" fontId="12716" fillId="12720" borderId="12667" xfId="0" applyFont="1" applyFill="1" applyBorder="1" applyAlignment="1">
      <alignment horizontal="center"/>
    </xf>
    <xf numFmtId="14" fontId="12717" fillId="12721" borderId="12668" xfId="0" applyNumberFormat="1" applyFont="1" applyFill="1" applyBorder="1"/>
    <xf numFmtId="0" fontId="12718" fillId="12722" borderId="12669" xfId="0" applyFont="1" applyFill="1" applyBorder="1" applyAlignment="1">
      <alignment horizontal="center"/>
    </xf>
    <xf numFmtId="0" fontId="12719" fillId="12723" borderId="12670" xfId="0" applyFont="1" applyFill="1" applyBorder="1"/>
    <xf numFmtId="0" fontId="12720" fillId="12724" borderId="12671" xfId="0" applyFont="1" applyFill="1" applyBorder="1"/>
    <xf numFmtId="165" fontId="12721" fillId="12725" borderId="12672" xfId="0" applyNumberFormat="1" applyFont="1" applyFill="1" applyBorder="1"/>
    <xf numFmtId="165" fontId="12722" fillId="12726" borderId="12673" xfId="0" applyNumberFormat="1" applyFont="1" applyFill="1" applyBorder="1"/>
    <xf numFmtId="169" fontId="12723" fillId="12727" borderId="12674" xfId="0" applyNumberFormat="1" applyFont="1" applyFill="1" applyBorder="1"/>
    <xf numFmtId="168" fontId="12724" fillId="12728" borderId="12675" xfId="0" applyNumberFormat="1" applyFont="1" applyFill="1" applyBorder="1"/>
    <xf numFmtId="165" fontId="12725" fillId="12729" borderId="12676" xfId="0" applyNumberFormat="1" applyFont="1" applyFill="1" applyBorder="1"/>
    <xf numFmtId="0" fontId="12726" fillId="12730" borderId="12677" xfId="0" applyFont="1" applyFill="1" applyBorder="1" applyAlignment="1">
      <alignment horizontal="center"/>
    </xf>
    <xf numFmtId="0" fontId="12727" fillId="12731" borderId="12678" xfId="0" applyFont="1" applyFill="1" applyBorder="1" applyAlignment="1">
      <alignment horizontal="center"/>
    </xf>
    <xf numFmtId="0" fontId="12728" fillId="12732" borderId="12679" xfId="0" applyFont="1" applyFill="1" applyBorder="1"/>
    <xf numFmtId="165" fontId="12729" fillId="12733" borderId="12680" xfId="0" applyNumberFormat="1" applyFont="1" applyFill="1" applyBorder="1"/>
    <xf numFmtId="0" fontId="12730" fillId="12734" borderId="12681" xfId="0" applyFont="1" applyFill="1" applyBorder="1"/>
    <xf numFmtId="0" fontId="12731" fillId="12735" borderId="12682" xfId="0" applyFont="1" applyFill="1" applyBorder="1" applyAlignment="1">
      <alignment horizontal="center"/>
    </xf>
    <xf numFmtId="14" fontId="12732" fillId="12736" borderId="12683" xfId="0" applyNumberFormat="1" applyFont="1" applyFill="1" applyBorder="1"/>
    <xf numFmtId="0" fontId="12733" fillId="12737" borderId="12684" xfId="0" applyFont="1" applyFill="1" applyBorder="1" applyAlignment="1">
      <alignment horizontal="center"/>
    </xf>
    <xf numFmtId="0" fontId="12734" fillId="12738" borderId="12685" xfId="0" applyFont="1" applyFill="1" applyBorder="1"/>
    <xf numFmtId="0" fontId="12735" fillId="12739" borderId="12686" xfId="0" applyFont="1" applyFill="1" applyBorder="1"/>
    <xf numFmtId="165" fontId="12736" fillId="12740" borderId="12687" xfId="0" applyNumberFormat="1" applyFont="1" applyFill="1" applyBorder="1"/>
    <xf numFmtId="165" fontId="12737" fillId="12741" borderId="12688" xfId="0" applyNumberFormat="1" applyFont="1" applyFill="1" applyBorder="1"/>
    <xf numFmtId="169" fontId="12738" fillId="12742" borderId="12689" xfId="0" applyNumberFormat="1" applyFont="1" applyFill="1" applyBorder="1"/>
    <xf numFmtId="168" fontId="12739" fillId="12743" borderId="12690" xfId="0" applyNumberFormat="1" applyFont="1" applyFill="1" applyBorder="1"/>
    <xf numFmtId="165" fontId="12740" fillId="12744" borderId="12691" xfId="0" applyNumberFormat="1" applyFont="1" applyFill="1" applyBorder="1"/>
    <xf numFmtId="0" fontId="12741" fillId="12745" borderId="12692" xfId="0" applyFont="1" applyFill="1" applyBorder="1" applyAlignment="1">
      <alignment horizontal="center"/>
    </xf>
    <xf numFmtId="0" fontId="12742" fillId="12746" borderId="12693" xfId="0" applyFont="1" applyFill="1" applyBorder="1" applyAlignment="1">
      <alignment horizontal="center"/>
    </xf>
    <xf numFmtId="0" fontId="12743" fillId="12747" borderId="12694" xfId="0" applyFont="1" applyFill="1" applyBorder="1"/>
    <xf numFmtId="165" fontId="12744" fillId="12748" borderId="12695" xfId="0" applyNumberFormat="1" applyFont="1" applyFill="1" applyBorder="1"/>
    <xf numFmtId="0" fontId="12745" fillId="12749" borderId="12696" xfId="0" applyFont="1" applyFill="1" applyBorder="1"/>
    <xf numFmtId="0" fontId="12746" fillId="12750" borderId="12697" xfId="0" applyFont="1" applyFill="1" applyBorder="1" applyAlignment="1">
      <alignment horizontal="center"/>
    </xf>
    <xf numFmtId="14" fontId="12747" fillId="12751" borderId="12698" xfId="0" applyNumberFormat="1" applyFont="1" applyFill="1" applyBorder="1"/>
    <xf numFmtId="0" fontId="12748" fillId="12752" borderId="12699" xfId="0" applyFont="1" applyFill="1" applyBorder="1" applyAlignment="1">
      <alignment horizontal="center"/>
    </xf>
    <xf numFmtId="0" fontId="12749" fillId="12753" borderId="12700" xfId="0" applyFont="1" applyFill="1" applyBorder="1"/>
    <xf numFmtId="0" fontId="12750" fillId="12754" borderId="12701" xfId="0" applyFont="1" applyFill="1" applyBorder="1"/>
    <xf numFmtId="165" fontId="12751" fillId="12755" borderId="12702" xfId="0" applyNumberFormat="1" applyFont="1" applyFill="1" applyBorder="1"/>
    <xf numFmtId="165" fontId="12752" fillId="12756" borderId="12703" xfId="0" applyNumberFormat="1" applyFont="1" applyFill="1" applyBorder="1"/>
    <xf numFmtId="169" fontId="12753" fillId="12757" borderId="12704" xfId="0" applyNumberFormat="1" applyFont="1" applyFill="1" applyBorder="1"/>
    <xf numFmtId="168" fontId="12754" fillId="12758" borderId="12705" xfId="0" applyNumberFormat="1" applyFont="1" applyFill="1" applyBorder="1"/>
    <xf numFmtId="165" fontId="12755" fillId="12759" borderId="12706" xfId="0" applyNumberFormat="1" applyFont="1" applyFill="1" applyBorder="1"/>
    <xf numFmtId="0" fontId="12756" fillId="12760" borderId="12707" xfId="0" applyFont="1" applyFill="1" applyBorder="1" applyAlignment="1">
      <alignment horizontal="center"/>
    </xf>
    <xf numFmtId="0" fontId="12757" fillId="12761" borderId="12708" xfId="0" applyFont="1" applyFill="1" applyBorder="1" applyAlignment="1">
      <alignment horizontal="center"/>
    </xf>
    <xf numFmtId="0" fontId="12758" fillId="12762" borderId="12709" xfId="0" applyFont="1" applyFill="1" applyBorder="1"/>
    <xf numFmtId="165" fontId="12759" fillId="12763" borderId="12710" xfId="0" applyNumberFormat="1" applyFont="1" applyFill="1" applyBorder="1"/>
    <xf numFmtId="0" fontId="12760" fillId="12764" borderId="12711" xfId="0" applyFont="1" applyFill="1" applyBorder="1"/>
    <xf numFmtId="0" fontId="12761" fillId="12765" borderId="12712" xfId="0" applyFont="1" applyFill="1" applyBorder="1" applyAlignment="1">
      <alignment horizontal="center"/>
    </xf>
    <xf numFmtId="14" fontId="12762" fillId="12766" borderId="12713" xfId="0" applyNumberFormat="1" applyFont="1" applyFill="1" applyBorder="1"/>
    <xf numFmtId="0" fontId="12763" fillId="12767" borderId="12714" xfId="0" applyFont="1" applyFill="1" applyBorder="1" applyAlignment="1">
      <alignment horizontal="center"/>
    </xf>
    <xf numFmtId="0" fontId="12764" fillId="12768" borderId="12715" xfId="0" applyFont="1" applyFill="1" applyBorder="1"/>
    <xf numFmtId="0" fontId="12765" fillId="12769" borderId="12716" xfId="0" applyFont="1" applyFill="1" applyBorder="1"/>
    <xf numFmtId="165" fontId="12766" fillId="12770" borderId="12717" xfId="0" applyNumberFormat="1" applyFont="1" applyFill="1" applyBorder="1"/>
    <xf numFmtId="165" fontId="12767" fillId="12771" borderId="12718" xfId="0" applyNumberFormat="1" applyFont="1" applyFill="1" applyBorder="1"/>
    <xf numFmtId="169" fontId="12768" fillId="12772" borderId="12719" xfId="0" applyNumberFormat="1" applyFont="1" applyFill="1" applyBorder="1"/>
    <xf numFmtId="168" fontId="12769" fillId="12773" borderId="12720" xfId="0" applyNumberFormat="1" applyFont="1" applyFill="1" applyBorder="1"/>
    <xf numFmtId="165" fontId="12770" fillId="12774" borderId="12721" xfId="0" applyNumberFormat="1" applyFont="1" applyFill="1" applyBorder="1"/>
    <xf numFmtId="0" fontId="12771" fillId="12775" borderId="12722" xfId="0" applyFont="1" applyFill="1" applyBorder="1" applyAlignment="1">
      <alignment horizontal="center"/>
    </xf>
    <xf numFmtId="0" fontId="12772" fillId="12776" borderId="12723" xfId="0" applyFont="1" applyFill="1" applyBorder="1" applyAlignment="1">
      <alignment horizontal="center"/>
    </xf>
    <xf numFmtId="0" fontId="12773" fillId="12777" borderId="12724" xfId="0" applyFont="1" applyFill="1" applyBorder="1"/>
    <xf numFmtId="165" fontId="12774" fillId="12778" borderId="12725" xfId="0" applyNumberFormat="1" applyFont="1" applyFill="1" applyBorder="1"/>
    <xf numFmtId="0" fontId="12775" fillId="12779" borderId="12726" xfId="0" applyFont="1" applyFill="1" applyBorder="1"/>
    <xf numFmtId="0" fontId="12776" fillId="12780" borderId="12727" xfId="0" applyFont="1" applyFill="1" applyBorder="1" applyAlignment="1">
      <alignment horizontal="center"/>
    </xf>
    <xf numFmtId="14" fontId="12777" fillId="12781" borderId="12728" xfId="0" applyNumberFormat="1" applyFont="1" applyFill="1" applyBorder="1"/>
    <xf numFmtId="0" fontId="12778" fillId="12782" borderId="12729" xfId="0" applyFont="1" applyFill="1" applyBorder="1" applyAlignment="1">
      <alignment horizontal="center"/>
    </xf>
    <xf numFmtId="0" fontId="12779" fillId="12783" borderId="12730" xfId="0" applyFont="1" applyFill="1" applyBorder="1"/>
    <xf numFmtId="0" fontId="12780" fillId="12784" borderId="12731" xfId="0" applyFont="1" applyFill="1" applyBorder="1"/>
    <xf numFmtId="165" fontId="12781" fillId="12785" borderId="12732" xfId="0" applyNumberFormat="1" applyFont="1" applyFill="1" applyBorder="1"/>
    <xf numFmtId="165" fontId="12782" fillId="12786" borderId="12733" xfId="0" applyNumberFormat="1" applyFont="1" applyFill="1" applyBorder="1"/>
    <xf numFmtId="169" fontId="12783" fillId="12787" borderId="12734" xfId="0" applyNumberFormat="1" applyFont="1" applyFill="1" applyBorder="1"/>
    <xf numFmtId="168" fontId="12784" fillId="12788" borderId="12735" xfId="0" applyNumberFormat="1" applyFont="1" applyFill="1" applyBorder="1"/>
    <xf numFmtId="165" fontId="12785" fillId="12789" borderId="12736" xfId="0" applyNumberFormat="1" applyFont="1" applyFill="1" applyBorder="1"/>
    <xf numFmtId="0" fontId="12786" fillId="12790" borderId="12737" xfId="0" applyFont="1" applyFill="1" applyBorder="1" applyAlignment="1">
      <alignment horizontal="center"/>
    </xf>
    <xf numFmtId="0" fontId="12787" fillId="12791" borderId="12738" xfId="0" applyFont="1" applyFill="1" applyBorder="1" applyAlignment="1">
      <alignment horizontal="center"/>
    </xf>
    <xf numFmtId="0" fontId="12788" fillId="12792" borderId="12739" xfId="0" applyFont="1" applyFill="1" applyBorder="1"/>
    <xf numFmtId="165" fontId="12789" fillId="12793" borderId="12740" xfId="0" applyNumberFormat="1" applyFont="1" applyFill="1" applyBorder="1"/>
    <xf numFmtId="0" fontId="12790" fillId="12794" borderId="12741" xfId="0" applyFont="1" applyFill="1" applyBorder="1"/>
    <xf numFmtId="0" fontId="12791" fillId="12795" borderId="12742" xfId="0" applyFont="1" applyFill="1" applyBorder="1" applyAlignment="1">
      <alignment horizontal="center"/>
    </xf>
    <xf numFmtId="14" fontId="12792" fillId="12796" borderId="12743" xfId="0" applyNumberFormat="1" applyFont="1" applyFill="1" applyBorder="1"/>
    <xf numFmtId="0" fontId="12793" fillId="12797" borderId="12744" xfId="0" applyFont="1" applyFill="1" applyBorder="1" applyAlignment="1">
      <alignment horizontal="center"/>
    </xf>
    <xf numFmtId="0" fontId="12794" fillId="12798" borderId="12745" xfId="0" applyFont="1" applyFill="1" applyBorder="1"/>
    <xf numFmtId="0" fontId="12795" fillId="12799" borderId="12746" xfId="0" applyFont="1" applyFill="1" applyBorder="1"/>
    <xf numFmtId="165" fontId="12796" fillId="12800" borderId="12747" xfId="0" applyNumberFormat="1" applyFont="1" applyFill="1" applyBorder="1"/>
    <xf numFmtId="165" fontId="12797" fillId="12801" borderId="12748" xfId="0" applyNumberFormat="1" applyFont="1" applyFill="1" applyBorder="1"/>
    <xf numFmtId="169" fontId="12798" fillId="12802" borderId="12749" xfId="0" applyNumberFormat="1" applyFont="1" applyFill="1" applyBorder="1"/>
    <xf numFmtId="168" fontId="12799" fillId="12803" borderId="12750" xfId="0" applyNumberFormat="1" applyFont="1" applyFill="1" applyBorder="1"/>
    <xf numFmtId="165" fontId="12800" fillId="12804" borderId="12751" xfId="0" applyNumberFormat="1" applyFont="1" applyFill="1" applyBorder="1"/>
    <xf numFmtId="0" fontId="12801" fillId="12805" borderId="12752" xfId="0" applyFont="1" applyFill="1" applyBorder="1" applyAlignment="1">
      <alignment horizontal="center"/>
    </xf>
    <xf numFmtId="0" fontId="12802" fillId="12806" borderId="12753" xfId="0" applyFont="1" applyFill="1" applyBorder="1" applyAlignment="1">
      <alignment horizontal="center"/>
    </xf>
    <xf numFmtId="0" fontId="12803" fillId="12807" borderId="12754" xfId="0" applyFont="1" applyFill="1" applyBorder="1"/>
    <xf numFmtId="165" fontId="12804" fillId="12808" borderId="12755" xfId="0" applyNumberFormat="1" applyFont="1" applyFill="1" applyBorder="1"/>
    <xf numFmtId="0" fontId="12805" fillId="12809" borderId="12756" xfId="0" applyFont="1" applyFill="1" applyBorder="1"/>
    <xf numFmtId="0" fontId="12806" fillId="12810" borderId="12757" xfId="0" applyFont="1" applyFill="1" applyBorder="1" applyAlignment="1">
      <alignment horizontal="center"/>
    </xf>
    <xf numFmtId="14" fontId="12807" fillId="12811" borderId="12758" xfId="0" applyNumberFormat="1" applyFont="1" applyFill="1" applyBorder="1"/>
    <xf numFmtId="0" fontId="12808" fillId="12812" borderId="12759" xfId="0" applyFont="1" applyFill="1" applyBorder="1" applyAlignment="1">
      <alignment horizontal="center"/>
    </xf>
    <xf numFmtId="0" fontId="12809" fillId="12813" borderId="12760" xfId="0" applyFont="1" applyFill="1" applyBorder="1"/>
    <xf numFmtId="0" fontId="12810" fillId="12814" borderId="12761" xfId="0" applyFont="1" applyFill="1" applyBorder="1"/>
    <xf numFmtId="165" fontId="12811" fillId="12815" borderId="12762" xfId="0" applyNumberFormat="1" applyFont="1" applyFill="1" applyBorder="1"/>
    <xf numFmtId="165" fontId="12812" fillId="12816" borderId="12763" xfId="0" applyNumberFormat="1" applyFont="1" applyFill="1" applyBorder="1"/>
    <xf numFmtId="169" fontId="12813" fillId="12817" borderId="12764" xfId="0" applyNumberFormat="1" applyFont="1" applyFill="1" applyBorder="1"/>
    <xf numFmtId="168" fontId="12814" fillId="12818" borderId="12765" xfId="0" applyNumberFormat="1" applyFont="1" applyFill="1" applyBorder="1"/>
    <xf numFmtId="165" fontId="12815" fillId="12819" borderId="12766" xfId="0" applyNumberFormat="1" applyFont="1" applyFill="1" applyBorder="1"/>
    <xf numFmtId="0" fontId="12816" fillId="12820" borderId="12767" xfId="0" applyFont="1" applyFill="1" applyBorder="1" applyAlignment="1">
      <alignment horizontal="center"/>
    </xf>
    <xf numFmtId="0" fontId="12817" fillId="12821" borderId="12768" xfId="0" applyFont="1" applyFill="1" applyBorder="1" applyAlignment="1">
      <alignment horizontal="center"/>
    </xf>
    <xf numFmtId="0" fontId="12818" fillId="12822" borderId="12769" xfId="0" applyFont="1" applyFill="1" applyBorder="1"/>
    <xf numFmtId="165" fontId="12819" fillId="12823" borderId="12770" xfId="0" applyNumberFormat="1" applyFont="1" applyFill="1" applyBorder="1"/>
    <xf numFmtId="0" fontId="12820" fillId="12824" borderId="12771" xfId="0" applyFont="1" applyFill="1" applyBorder="1"/>
    <xf numFmtId="0" fontId="12821" fillId="12825" borderId="12772" xfId="0" applyFont="1" applyFill="1" applyBorder="1" applyAlignment="1">
      <alignment horizontal="center"/>
    </xf>
    <xf numFmtId="14" fontId="12822" fillId="12826" borderId="12773" xfId="0" applyNumberFormat="1" applyFont="1" applyFill="1" applyBorder="1"/>
    <xf numFmtId="0" fontId="12823" fillId="12827" borderId="12774" xfId="0" applyFont="1" applyFill="1" applyBorder="1" applyAlignment="1">
      <alignment horizontal="center"/>
    </xf>
    <xf numFmtId="0" fontId="12824" fillId="12828" borderId="12775" xfId="0" applyFont="1" applyFill="1" applyBorder="1"/>
    <xf numFmtId="0" fontId="12825" fillId="12829" borderId="12776" xfId="0" applyFont="1" applyFill="1" applyBorder="1"/>
    <xf numFmtId="165" fontId="12826" fillId="12830" borderId="12777" xfId="0" applyNumberFormat="1" applyFont="1" applyFill="1" applyBorder="1"/>
    <xf numFmtId="165" fontId="12827" fillId="12831" borderId="12778" xfId="0" applyNumberFormat="1" applyFont="1" applyFill="1" applyBorder="1"/>
    <xf numFmtId="169" fontId="12828" fillId="12832" borderId="12779" xfId="0" applyNumberFormat="1" applyFont="1" applyFill="1" applyBorder="1"/>
    <xf numFmtId="168" fontId="12829" fillId="12833" borderId="12780" xfId="0" applyNumberFormat="1" applyFont="1" applyFill="1" applyBorder="1"/>
    <xf numFmtId="165" fontId="12830" fillId="12834" borderId="12781" xfId="0" applyNumberFormat="1" applyFont="1" applyFill="1" applyBorder="1"/>
    <xf numFmtId="0" fontId="12831" fillId="12835" borderId="12782" xfId="0" applyFont="1" applyFill="1" applyBorder="1" applyAlignment="1">
      <alignment horizontal="center"/>
    </xf>
    <xf numFmtId="0" fontId="12832" fillId="12836" borderId="12783" xfId="0" applyFont="1" applyFill="1" applyBorder="1" applyAlignment="1">
      <alignment horizontal="center"/>
    </xf>
    <xf numFmtId="0" fontId="12833" fillId="12837" borderId="12784" xfId="0" applyFont="1" applyFill="1" applyBorder="1"/>
    <xf numFmtId="165" fontId="12834" fillId="12838" borderId="12785" xfId="0" applyNumberFormat="1" applyFont="1" applyFill="1" applyBorder="1"/>
    <xf numFmtId="0" fontId="12835" fillId="12839" borderId="12786" xfId="0" applyFont="1" applyFill="1" applyBorder="1"/>
    <xf numFmtId="0" fontId="12836" fillId="12840" borderId="12787" xfId="0" applyFont="1" applyFill="1" applyBorder="1" applyAlignment="1">
      <alignment horizontal="center"/>
    </xf>
    <xf numFmtId="14" fontId="12837" fillId="12841" borderId="12788" xfId="0" applyNumberFormat="1" applyFont="1" applyFill="1" applyBorder="1"/>
    <xf numFmtId="0" fontId="12838" fillId="12842" borderId="12789" xfId="0" applyFont="1" applyFill="1" applyBorder="1" applyAlignment="1">
      <alignment horizontal="center"/>
    </xf>
    <xf numFmtId="0" fontId="12839" fillId="12843" borderId="12790" xfId="0" applyFont="1" applyFill="1" applyBorder="1"/>
    <xf numFmtId="0" fontId="12840" fillId="12844" borderId="12791" xfId="0" applyFont="1" applyFill="1" applyBorder="1"/>
    <xf numFmtId="165" fontId="12841" fillId="12845" borderId="12792" xfId="0" applyNumberFormat="1" applyFont="1" applyFill="1" applyBorder="1"/>
    <xf numFmtId="165" fontId="12842" fillId="12846" borderId="12793" xfId="0" applyNumberFormat="1" applyFont="1" applyFill="1" applyBorder="1"/>
    <xf numFmtId="169" fontId="12843" fillId="12847" borderId="12794" xfId="0" applyNumberFormat="1" applyFont="1" applyFill="1" applyBorder="1"/>
    <xf numFmtId="168" fontId="12844" fillId="12848" borderId="12795" xfId="0" applyNumberFormat="1" applyFont="1" applyFill="1" applyBorder="1"/>
    <xf numFmtId="165" fontId="12845" fillId="12849" borderId="12796" xfId="0" applyNumberFormat="1" applyFont="1" applyFill="1" applyBorder="1"/>
    <xf numFmtId="0" fontId="12846" fillId="12850" borderId="12797" xfId="0" applyFont="1" applyFill="1" applyBorder="1" applyAlignment="1">
      <alignment horizontal="center"/>
    </xf>
    <xf numFmtId="0" fontId="12847" fillId="12851" borderId="12798" xfId="0" applyFont="1" applyFill="1" applyBorder="1" applyAlignment="1">
      <alignment horizontal="center"/>
    </xf>
    <xf numFmtId="0" fontId="12848" fillId="12852" borderId="12799" xfId="0" applyFont="1" applyFill="1" applyBorder="1"/>
    <xf numFmtId="165" fontId="12849" fillId="12853" borderId="12800" xfId="0" applyNumberFormat="1" applyFont="1" applyFill="1" applyBorder="1"/>
    <xf numFmtId="0" fontId="12850" fillId="12854" borderId="12801" xfId="0" applyFont="1" applyFill="1" applyBorder="1"/>
    <xf numFmtId="0" fontId="12851" fillId="12855" borderId="12802" xfId="0" applyFont="1" applyFill="1" applyBorder="1" applyAlignment="1">
      <alignment horizontal="center"/>
    </xf>
    <xf numFmtId="14" fontId="12852" fillId="12856" borderId="12803" xfId="0" applyNumberFormat="1" applyFont="1" applyFill="1" applyBorder="1"/>
    <xf numFmtId="0" fontId="12853" fillId="12857" borderId="12804" xfId="0" applyFont="1" applyFill="1" applyBorder="1" applyAlignment="1">
      <alignment horizontal="center"/>
    </xf>
    <xf numFmtId="0" fontId="12854" fillId="12858" borderId="12805" xfId="0" applyFont="1" applyFill="1" applyBorder="1"/>
    <xf numFmtId="0" fontId="12855" fillId="12859" borderId="12806" xfId="0" applyFont="1" applyFill="1" applyBorder="1"/>
    <xf numFmtId="165" fontId="12856" fillId="12860" borderId="12807" xfId="0" applyNumberFormat="1" applyFont="1" applyFill="1" applyBorder="1"/>
    <xf numFmtId="165" fontId="12857" fillId="12861" borderId="12808" xfId="0" applyNumberFormat="1" applyFont="1" applyFill="1" applyBorder="1"/>
    <xf numFmtId="169" fontId="12858" fillId="12862" borderId="12809" xfId="0" applyNumberFormat="1" applyFont="1" applyFill="1" applyBorder="1"/>
    <xf numFmtId="168" fontId="12859" fillId="12863" borderId="12810" xfId="0" applyNumberFormat="1" applyFont="1" applyFill="1" applyBorder="1"/>
    <xf numFmtId="165" fontId="12860" fillId="12864" borderId="12811" xfId="0" applyNumberFormat="1" applyFont="1" applyFill="1" applyBorder="1"/>
    <xf numFmtId="0" fontId="12861" fillId="12865" borderId="12812" xfId="0" applyFont="1" applyFill="1" applyBorder="1" applyAlignment="1">
      <alignment horizontal="center"/>
    </xf>
    <xf numFmtId="0" fontId="12862" fillId="12866" borderId="12813" xfId="0" applyFont="1" applyFill="1" applyBorder="1" applyAlignment="1">
      <alignment horizontal="center"/>
    </xf>
    <xf numFmtId="0" fontId="12863" fillId="12867" borderId="12814" xfId="0" applyFont="1" applyFill="1" applyBorder="1"/>
    <xf numFmtId="165" fontId="12864" fillId="12868" borderId="12815" xfId="0" applyNumberFormat="1" applyFont="1" applyFill="1" applyBorder="1"/>
    <xf numFmtId="0" fontId="12865" fillId="12869" borderId="12816" xfId="0" applyFont="1" applyFill="1" applyBorder="1"/>
    <xf numFmtId="0" fontId="12866" fillId="12870" borderId="12817" xfId="0" applyFont="1" applyFill="1" applyBorder="1" applyAlignment="1">
      <alignment horizontal="center"/>
    </xf>
    <xf numFmtId="14" fontId="12867" fillId="12871" borderId="12818" xfId="0" applyNumberFormat="1" applyFont="1" applyFill="1" applyBorder="1"/>
    <xf numFmtId="0" fontId="12868" fillId="12872" borderId="12819" xfId="0" applyFont="1" applyFill="1" applyBorder="1" applyAlignment="1">
      <alignment horizontal="center"/>
    </xf>
    <xf numFmtId="0" fontId="12869" fillId="12873" borderId="12820" xfId="0" applyFont="1" applyFill="1" applyBorder="1"/>
    <xf numFmtId="0" fontId="12870" fillId="12874" borderId="12821" xfId="0" applyFont="1" applyFill="1" applyBorder="1"/>
    <xf numFmtId="165" fontId="12871" fillId="12875" borderId="12822" xfId="0" applyNumberFormat="1" applyFont="1" applyFill="1" applyBorder="1"/>
    <xf numFmtId="165" fontId="12872" fillId="12876" borderId="12823" xfId="0" applyNumberFormat="1" applyFont="1" applyFill="1" applyBorder="1"/>
    <xf numFmtId="169" fontId="12873" fillId="12877" borderId="12824" xfId="0" applyNumberFormat="1" applyFont="1" applyFill="1" applyBorder="1"/>
    <xf numFmtId="168" fontId="12874" fillId="12878" borderId="12825" xfId="0" applyNumberFormat="1" applyFont="1" applyFill="1" applyBorder="1"/>
    <xf numFmtId="165" fontId="12875" fillId="12879" borderId="12826" xfId="0" applyNumberFormat="1" applyFont="1" applyFill="1" applyBorder="1"/>
    <xf numFmtId="0" fontId="12876" fillId="12880" borderId="12827" xfId="0" applyFont="1" applyFill="1" applyBorder="1" applyAlignment="1">
      <alignment horizontal="center"/>
    </xf>
    <xf numFmtId="0" fontId="12877" fillId="12881" borderId="12828" xfId="0" applyFont="1" applyFill="1" applyBorder="1" applyAlignment="1">
      <alignment horizontal="center"/>
    </xf>
    <xf numFmtId="0" fontId="12878" fillId="12882" borderId="12829" xfId="0" applyFont="1" applyFill="1" applyBorder="1"/>
    <xf numFmtId="165" fontId="12879" fillId="12883" borderId="12830" xfId="0" applyNumberFormat="1" applyFont="1" applyFill="1" applyBorder="1"/>
    <xf numFmtId="0" fontId="12880" fillId="12884" borderId="12831" xfId="0" applyFont="1" applyFill="1" applyBorder="1"/>
    <xf numFmtId="0" fontId="12881" fillId="12885" borderId="12832" xfId="0" applyFont="1" applyFill="1" applyBorder="1" applyAlignment="1">
      <alignment horizontal="center"/>
    </xf>
    <xf numFmtId="14" fontId="12882" fillId="12886" borderId="12833" xfId="0" applyNumberFormat="1" applyFont="1" applyFill="1" applyBorder="1"/>
    <xf numFmtId="0" fontId="12883" fillId="12887" borderId="12834" xfId="0" applyFont="1" applyFill="1" applyBorder="1" applyAlignment="1">
      <alignment horizontal="center"/>
    </xf>
    <xf numFmtId="0" fontId="12884" fillId="12888" borderId="12835" xfId="0" applyFont="1" applyFill="1" applyBorder="1"/>
    <xf numFmtId="0" fontId="12885" fillId="12889" borderId="12836" xfId="0" applyFont="1" applyFill="1" applyBorder="1"/>
    <xf numFmtId="165" fontId="12886" fillId="12890" borderId="12837" xfId="0" applyNumberFormat="1" applyFont="1" applyFill="1" applyBorder="1"/>
    <xf numFmtId="165" fontId="12887" fillId="12891" borderId="12838" xfId="0" applyNumberFormat="1" applyFont="1" applyFill="1" applyBorder="1"/>
    <xf numFmtId="169" fontId="12888" fillId="12892" borderId="12839" xfId="0" applyNumberFormat="1" applyFont="1" applyFill="1" applyBorder="1"/>
    <xf numFmtId="168" fontId="12889" fillId="12893" borderId="12840" xfId="0" applyNumberFormat="1" applyFont="1" applyFill="1" applyBorder="1"/>
    <xf numFmtId="165" fontId="12890" fillId="12894" borderId="12841" xfId="0" applyNumberFormat="1" applyFont="1" applyFill="1" applyBorder="1"/>
    <xf numFmtId="0" fontId="12891" fillId="12895" borderId="12842" xfId="0" applyFont="1" applyFill="1" applyBorder="1" applyAlignment="1">
      <alignment horizontal="center"/>
    </xf>
    <xf numFmtId="0" fontId="12892" fillId="12896" borderId="12843" xfId="0" applyFont="1" applyFill="1" applyBorder="1" applyAlignment="1">
      <alignment horizontal="center"/>
    </xf>
    <xf numFmtId="0" fontId="12893" fillId="12897" borderId="12844" xfId="0" applyFont="1" applyFill="1" applyBorder="1"/>
    <xf numFmtId="165" fontId="12894" fillId="12898" borderId="12845" xfId="0" applyNumberFormat="1" applyFont="1" applyFill="1" applyBorder="1"/>
    <xf numFmtId="0" fontId="12895" fillId="12899" borderId="12846" xfId="0" applyFont="1" applyFill="1" applyBorder="1"/>
    <xf numFmtId="0" fontId="12896" fillId="12900" borderId="12847" xfId="0" applyFont="1" applyFill="1" applyBorder="1" applyAlignment="1">
      <alignment horizontal="center"/>
    </xf>
    <xf numFmtId="14" fontId="12897" fillId="12901" borderId="12848" xfId="0" applyNumberFormat="1" applyFont="1" applyFill="1" applyBorder="1"/>
    <xf numFmtId="0" fontId="12898" fillId="12902" borderId="12849" xfId="0" applyFont="1" applyFill="1" applyBorder="1" applyAlignment="1">
      <alignment horizontal="center"/>
    </xf>
    <xf numFmtId="0" fontId="12899" fillId="12903" borderId="12850" xfId="0" applyFont="1" applyFill="1" applyBorder="1"/>
    <xf numFmtId="0" fontId="12900" fillId="12904" borderId="12851" xfId="0" applyFont="1" applyFill="1" applyBorder="1"/>
    <xf numFmtId="165" fontId="12901" fillId="12905" borderId="12852" xfId="0" applyNumberFormat="1" applyFont="1" applyFill="1" applyBorder="1"/>
    <xf numFmtId="165" fontId="12902" fillId="12906" borderId="12853" xfId="0" applyNumberFormat="1" applyFont="1" applyFill="1" applyBorder="1"/>
    <xf numFmtId="169" fontId="12903" fillId="12907" borderId="12854" xfId="0" applyNumberFormat="1" applyFont="1" applyFill="1" applyBorder="1"/>
    <xf numFmtId="168" fontId="12904" fillId="12908" borderId="12855" xfId="0" applyNumberFormat="1" applyFont="1" applyFill="1" applyBorder="1"/>
    <xf numFmtId="165" fontId="12905" fillId="12909" borderId="12856" xfId="0" applyNumberFormat="1" applyFont="1" applyFill="1" applyBorder="1"/>
    <xf numFmtId="0" fontId="12906" fillId="12910" borderId="12857" xfId="0" applyFont="1" applyFill="1" applyBorder="1" applyAlignment="1">
      <alignment horizontal="center"/>
    </xf>
    <xf numFmtId="0" fontId="12907" fillId="12911" borderId="12858" xfId="0" applyFont="1" applyFill="1" applyBorder="1" applyAlignment="1">
      <alignment horizontal="center"/>
    </xf>
    <xf numFmtId="0" fontId="12908" fillId="12912" borderId="12859" xfId="0" applyFont="1" applyFill="1" applyBorder="1"/>
    <xf numFmtId="165" fontId="12909" fillId="12913" borderId="12860" xfId="0" applyNumberFormat="1" applyFont="1" applyFill="1" applyBorder="1"/>
    <xf numFmtId="0" fontId="12910" fillId="12914" borderId="12861" xfId="0" applyFont="1" applyFill="1" applyBorder="1"/>
    <xf numFmtId="0" fontId="12911" fillId="12915" borderId="12862" xfId="0" applyFont="1" applyFill="1" applyBorder="1" applyAlignment="1">
      <alignment horizontal="center"/>
    </xf>
    <xf numFmtId="14" fontId="12912" fillId="12916" borderId="12863" xfId="0" applyNumberFormat="1" applyFont="1" applyFill="1" applyBorder="1"/>
    <xf numFmtId="0" fontId="12913" fillId="12917" borderId="12864" xfId="0" applyFont="1" applyFill="1" applyBorder="1" applyAlignment="1">
      <alignment horizontal="center"/>
    </xf>
    <xf numFmtId="0" fontId="12914" fillId="12918" borderId="12865" xfId="0" applyFont="1" applyFill="1" applyBorder="1"/>
    <xf numFmtId="0" fontId="12915" fillId="12919" borderId="12866" xfId="0" applyFont="1" applyFill="1" applyBorder="1"/>
    <xf numFmtId="165" fontId="12916" fillId="12920" borderId="12867" xfId="0" applyNumberFormat="1" applyFont="1" applyFill="1" applyBorder="1"/>
    <xf numFmtId="165" fontId="12917" fillId="12921" borderId="12868" xfId="0" applyNumberFormat="1" applyFont="1" applyFill="1" applyBorder="1"/>
    <xf numFmtId="169" fontId="12918" fillId="12922" borderId="12869" xfId="0" applyNumberFormat="1" applyFont="1" applyFill="1" applyBorder="1"/>
    <xf numFmtId="168" fontId="12919" fillId="12923" borderId="12870" xfId="0" applyNumberFormat="1" applyFont="1" applyFill="1" applyBorder="1"/>
    <xf numFmtId="165" fontId="12920" fillId="12924" borderId="12871" xfId="0" applyNumberFormat="1" applyFont="1" applyFill="1" applyBorder="1"/>
    <xf numFmtId="0" fontId="12921" fillId="12925" borderId="12872" xfId="0" applyFont="1" applyFill="1" applyBorder="1" applyAlignment="1">
      <alignment horizontal="center"/>
    </xf>
    <xf numFmtId="0" fontId="12922" fillId="12926" borderId="12873" xfId="0" applyFont="1" applyFill="1" applyBorder="1" applyAlignment="1">
      <alignment horizontal="center"/>
    </xf>
    <xf numFmtId="0" fontId="12923" fillId="12927" borderId="12874" xfId="0" applyFont="1" applyFill="1" applyBorder="1"/>
    <xf numFmtId="165" fontId="12924" fillId="12928" borderId="12875" xfId="0" applyNumberFormat="1" applyFont="1" applyFill="1" applyBorder="1"/>
    <xf numFmtId="0" fontId="12925" fillId="12929" borderId="12876" xfId="0" applyFont="1" applyFill="1" applyBorder="1"/>
    <xf numFmtId="0" fontId="12926" fillId="12930" borderId="12877" xfId="0" applyFont="1" applyFill="1" applyBorder="1" applyAlignment="1">
      <alignment horizontal="center"/>
    </xf>
    <xf numFmtId="14" fontId="12927" fillId="12931" borderId="12878" xfId="0" applyNumberFormat="1" applyFont="1" applyFill="1" applyBorder="1"/>
    <xf numFmtId="0" fontId="12928" fillId="12932" borderId="12879" xfId="0" applyFont="1" applyFill="1" applyBorder="1" applyAlignment="1">
      <alignment horizontal="center"/>
    </xf>
    <xf numFmtId="0" fontId="12929" fillId="12933" borderId="12880" xfId="0" applyFont="1" applyFill="1" applyBorder="1"/>
    <xf numFmtId="0" fontId="12930" fillId="12934" borderId="12881" xfId="0" applyFont="1" applyFill="1" applyBorder="1"/>
    <xf numFmtId="165" fontId="12931" fillId="12935" borderId="12882" xfId="0" applyNumberFormat="1" applyFont="1" applyFill="1" applyBorder="1"/>
    <xf numFmtId="165" fontId="12932" fillId="12936" borderId="12883" xfId="0" applyNumberFormat="1" applyFont="1" applyFill="1" applyBorder="1"/>
    <xf numFmtId="169" fontId="12933" fillId="12937" borderId="12884" xfId="0" applyNumberFormat="1" applyFont="1" applyFill="1" applyBorder="1"/>
    <xf numFmtId="168" fontId="12934" fillId="12938" borderId="12885" xfId="0" applyNumberFormat="1" applyFont="1" applyFill="1" applyBorder="1"/>
    <xf numFmtId="165" fontId="12935" fillId="12939" borderId="12886" xfId="0" applyNumberFormat="1" applyFont="1" applyFill="1" applyBorder="1"/>
    <xf numFmtId="0" fontId="12936" fillId="12940" borderId="12887" xfId="0" applyFont="1" applyFill="1" applyBorder="1" applyAlignment="1">
      <alignment horizontal="center"/>
    </xf>
    <xf numFmtId="0" fontId="12937" fillId="12941" borderId="12888" xfId="0" applyFont="1" applyFill="1" applyBorder="1" applyAlignment="1">
      <alignment horizontal="center"/>
    </xf>
    <xf numFmtId="0" fontId="12938" fillId="12942" borderId="12889" xfId="0" applyFont="1" applyFill="1" applyBorder="1"/>
    <xf numFmtId="165" fontId="12939" fillId="12943" borderId="12890" xfId="0" applyNumberFormat="1" applyFont="1" applyFill="1" applyBorder="1"/>
    <xf numFmtId="0" fontId="12940" fillId="12944" borderId="12891" xfId="0" applyFont="1" applyFill="1" applyBorder="1"/>
    <xf numFmtId="0" fontId="12941" fillId="12945" borderId="12892" xfId="0" applyFont="1" applyFill="1" applyBorder="1" applyAlignment="1">
      <alignment horizontal="center"/>
    </xf>
    <xf numFmtId="14" fontId="12942" fillId="12946" borderId="12893" xfId="0" applyNumberFormat="1" applyFont="1" applyFill="1" applyBorder="1"/>
    <xf numFmtId="0" fontId="12943" fillId="12947" borderId="12894" xfId="0" applyFont="1" applyFill="1" applyBorder="1" applyAlignment="1">
      <alignment horizontal="center"/>
    </xf>
    <xf numFmtId="0" fontId="12944" fillId="12948" borderId="12895" xfId="0" applyFont="1" applyFill="1" applyBorder="1"/>
    <xf numFmtId="0" fontId="12945" fillId="12949" borderId="12896" xfId="0" applyFont="1" applyFill="1" applyBorder="1"/>
    <xf numFmtId="165" fontId="12946" fillId="12950" borderId="12897" xfId="0" applyNumberFormat="1" applyFont="1" applyFill="1" applyBorder="1"/>
    <xf numFmtId="165" fontId="12947" fillId="12951" borderId="12898" xfId="0" applyNumberFormat="1" applyFont="1" applyFill="1" applyBorder="1"/>
    <xf numFmtId="169" fontId="12948" fillId="12952" borderId="12899" xfId="0" applyNumberFormat="1" applyFont="1" applyFill="1" applyBorder="1"/>
    <xf numFmtId="168" fontId="12949" fillId="12953" borderId="12900" xfId="0" applyNumberFormat="1" applyFont="1" applyFill="1" applyBorder="1"/>
    <xf numFmtId="165" fontId="12950" fillId="12954" borderId="12901" xfId="0" applyNumberFormat="1" applyFont="1" applyFill="1" applyBorder="1"/>
    <xf numFmtId="0" fontId="12951" fillId="12955" borderId="12902" xfId="0" applyFont="1" applyFill="1" applyBorder="1" applyAlignment="1">
      <alignment horizontal="center"/>
    </xf>
    <xf numFmtId="0" fontId="12952" fillId="12956" borderId="12903" xfId="0" applyFont="1" applyFill="1" applyBorder="1" applyAlignment="1">
      <alignment horizontal="center"/>
    </xf>
    <xf numFmtId="0" fontId="12953" fillId="12957" borderId="12904" xfId="0" applyFont="1" applyFill="1" applyBorder="1"/>
    <xf numFmtId="165" fontId="12954" fillId="12958" borderId="12905" xfId="0" applyNumberFormat="1" applyFont="1" applyFill="1" applyBorder="1"/>
    <xf numFmtId="0" fontId="12955" fillId="12959" borderId="12906" xfId="0" applyFont="1" applyFill="1" applyBorder="1"/>
    <xf numFmtId="0" fontId="12956" fillId="12960" borderId="12907" xfId="0" applyFont="1" applyFill="1" applyBorder="1" applyAlignment="1">
      <alignment horizontal="center"/>
    </xf>
    <xf numFmtId="14" fontId="12957" fillId="12961" borderId="12908" xfId="0" applyNumberFormat="1" applyFont="1" applyFill="1" applyBorder="1"/>
    <xf numFmtId="0" fontId="12958" fillId="12962" borderId="12909" xfId="0" applyFont="1" applyFill="1" applyBorder="1" applyAlignment="1">
      <alignment horizontal="center"/>
    </xf>
    <xf numFmtId="0" fontId="12959" fillId="12963" borderId="12910" xfId="0" applyFont="1" applyFill="1" applyBorder="1"/>
    <xf numFmtId="0" fontId="12960" fillId="12964" borderId="12911" xfId="0" applyFont="1" applyFill="1" applyBorder="1"/>
    <xf numFmtId="165" fontId="12961" fillId="12965" borderId="12912" xfId="0" applyNumberFormat="1" applyFont="1" applyFill="1" applyBorder="1"/>
    <xf numFmtId="165" fontId="12962" fillId="12966" borderId="12913" xfId="0" applyNumberFormat="1" applyFont="1" applyFill="1" applyBorder="1"/>
    <xf numFmtId="169" fontId="12963" fillId="12967" borderId="12914" xfId="0" applyNumberFormat="1" applyFont="1" applyFill="1" applyBorder="1"/>
    <xf numFmtId="168" fontId="12964" fillId="12968" borderId="12915" xfId="0" applyNumberFormat="1" applyFont="1" applyFill="1" applyBorder="1"/>
    <xf numFmtId="165" fontId="12965" fillId="12969" borderId="12916" xfId="0" applyNumberFormat="1" applyFont="1" applyFill="1" applyBorder="1"/>
    <xf numFmtId="0" fontId="12966" fillId="12970" borderId="12917" xfId="0" applyFont="1" applyFill="1" applyBorder="1" applyAlignment="1">
      <alignment horizontal="center"/>
    </xf>
    <xf numFmtId="0" fontId="12967" fillId="12971" borderId="12918" xfId="0" applyFont="1" applyFill="1" applyBorder="1" applyAlignment="1">
      <alignment horizontal="center"/>
    </xf>
    <xf numFmtId="0" fontId="12968" fillId="12972" borderId="12919" xfId="0" applyFont="1" applyFill="1" applyBorder="1"/>
    <xf numFmtId="165" fontId="12969" fillId="12973" borderId="12920" xfId="0" applyNumberFormat="1" applyFont="1" applyFill="1" applyBorder="1"/>
    <xf numFmtId="0" fontId="12970" fillId="12974" borderId="12921" xfId="0" applyFont="1" applyFill="1" applyBorder="1"/>
    <xf numFmtId="0" fontId="12971" fillId="12975" borderId="12922" xfId="0" applyFont="1" applyFill="1" applyBorder="1" applyAlignment="1">
      <alignment horizontal="center"/>
    </xf>
    <xf numFmtId="14" fontId="12972" fillId="12976" borderId="12923" xfId="0" applyNumberFormat="1" applyFont="1" applyFill="1" applyBorder="1"/>
    <xf numFmtId="0" fontId="12973" fillId="12977" borderId="12924" xfId="0" applyFont="1" applyFill="1" applyBorder="1" applyAlignment="1">
      <alignment horizontal="center"/>
    </xf>
    <xf numFmtId="0" fontId="12974" fillId="12978" borderId="12925" xfId="0" applyFont="1" applyFill="1" applyBorder="1"/>
    <xf numFmtId="0" fontId="12975" fillId="12979" borderId="12926" xfId="0" applyFont="1" applyFill="1" applyBorder="1"/>
    <xf numFmtId="165" fontId="12976" fillId="12980" borderId="12927" xfId="0" applyNumberFormat="1" applyFont="1" applyFill="1" applyBorder="1"/>
    <xf numFmtId="165" fontId="12977" fillId="12981" borderId="12928" xfId="0" applyNumberFormat="1" applyFont="1" applyFill="1" applyBorder="1"/>
    <xf numFmtId="169" fontId="12978" fillId="12982" borderId="12929" xfId="0" applyNumberFormat="1" applyFont="1" applyFill="1" applyBorder="1"/>
    <xf numFmtId="168" fontId="12979" fillId="12983" borderId="12930" xfId="0" applyNumberFormat="1" applyFont="1" applyFill="1" applyBorder="1"/>
    <xf numFmtId="165" fontId="12980" fillId="12984" borderId="12931" xfId="0" applyNumberFormat="1" applyFont="1" applyFill="1" applyBorder="1"/>
    <xf numFmtId="0" fontId="12981" fillId="12985" borderId="12932" xfId="0" applyFont="1" applyFill="1" applyBorder="1" applyAlignment="1">
      <alignment horizontal="center"/>
    </xf>
    <xf numFmtId="0" fontId="12982" fillId="12986" borderId="12933" xfId="0" applyFont="1" applyFill="1" applyBorder="1" applyAlignment="1">
      <alignment horizontal="center"/>
    </xf>
    <xf numFmtId="0" fontId="12983" fillId="12987" borderId="12934" xfId="0" applyFont="1" applyFill="1" applyBorder="1"/>
    <xf numFmtId="165" fontId="12984" fillId="12988" borderId="12935" xfId="0" applyNumberFormat="1" applyFont="1" applyFill="1" applyBorder="1"/>
    <xf numFmtId="0" fontId="12985" fillId="12989" borderId="12936" xfId="0" applyFont="1" applyFill="1" applyBorder="1"/>
    <xf numFmtId="0" fontId="12986" fillId="12990" borderId="12937" xfId="0" applyFont="1" applyFill="1" applyBorder="1" applyAlignment="1">
      <alignment horizontal="center"/>
    </xf>
    <xf numFmtId="14" fontId="12987" fillId="12991" borderId="12938" xfId="0" applyNumberFormat="1" applyFont="1" applyFill="1" applyBorder="1"/>
    <xf numFmtId="0" fontId="12988" fillId="12992" borderId="12939" xfId="0" applyFont="1" applyFill="1" applyBorder="1" applyAlignment="1">
      <alignment horizontal="center"/>
    </xf>
    <xf numFmtId="0" fontId="12989" fillId="12993" borderId="12940" xfId="0" applyFont="1" applyFill="1" applyBorder="1"/>
    <xf numFmtId="0" fontId="12990" fillId="12994" borderId="12941" xfId="0" applyFont="1" applyFill="1" applyBorder="1"/>
    <xf numFmtId="165" fontId="12991" fillId="12995" borderId="12942" xfId="0" applyNumberFormat="1" applyFont="1" applyFill="1" applyBorder="1"/>
    <xf numFmtId="165" fontId="12992" fillId="12996" borderId="12943" xfId="0" applyNumberFormat="1" applyFont="1" applyFill="1" applyBorder="1"/>
    <xf numFmtId="169" fontId="12993" fillId="12997" borderId="12944" xfId="0" applyNumberFormat="1" applyFont="1" applyFill="1" applyBorder="1"/>
    <xf numFmtId="168" fontId="12994" fillId="12998" borderId="12945" xfId="0" applyNumberFormat="1" applyFont="1" applyFill="1" applyBorder="1"/>
    <xf numFmtId="165" fontId="12995" fillId="12999" borderId="12946" xfId="0" applyNumberFormat="1" applyFont="1" applyFill="1" applyBorder="1"/>
    <xf numFmtId="0" fontId="12996" fillId="13000" borderId="12947" xfId="0" applyFont="1" applyFill="1" applyBorder="1" applyAlignment="1">
      <alignment horizontal="center"/>
    </xf>
    <xf numFmtId="0" fontId="12997" fillId="13001" borderId="12948" xfId="0" applyFont="1" applyFill="1" applyBorder="1" applyAlignment="1">
      <alignment horizontal="center"/>
    </xf>
    <xf numFmtId="0" fontId="12998" fillId="13002" borderId="12949" xfId="0" applyFont="1" applyFill="1" applyBorder="1"/>
    <xf numFmtId="165" fontId="12999" fillId="13003" borderId="12950" xfId="0" applyNumberFormat="1" applyFont="1" applyFill="1" applyBorder="1"/>
    <xf numFmtId="0" fontId="13000" fillId="13004" borderId="12951" xfId="0" applyFont="1" applyFill="1" applyBorder="1"/>
    <xf numFmtId="0" fontId="13001" fillId="13005" borderId="12952" xfId="0" applyFont="1" applyFill="1" applyBorder="1" applyAlignment="1">
      <alignment horizontal="center"/>
    </xf>
    <xf numFmtId="14" fontId="13002" fillId="13006" borderId="12953" xfId="0" applyNumberFormat="1" applyFont="1" applyFill="1" applyBorder="1"/>
    <xf numFmtId="0" fontId="13003" fillId="13007" borderId="12954" xfId="0" applyFont="1" applyFill="1" applyBorder="1" applyAlignment="1">
      <alignment horizontal="center"/>
    </xf>
    <xf numFmtId="0" fontId="13004" fillId="13008" borderId="12955" xfId="0" applyFont="1" applyFill="1" applyBorder="1"/>
    <xf numFmtId="0" fontId="13005" fillId="13009" borderId="12956" xfId="0" applyFont="1" applyFill="1" applyBorder="1"/>
    <xf numFmtId="165" fontId="13006" fillId="13010" borderId="12957" xfId="0" applyNumberFormat="1" applyFont="1" applyFill="1" applyBorder="1"/>
    <xf numFmtId="165" fontId="13007" fillId="13011" borderId="12958" xfId="0" applyNumberFormat="1" applyFont="1" applyFill="1" applyBorder="1"/>
    <xf numFmtId="169" fontId="13008" fillId="13012" borderId="12959" xfId="0" applyNumberFormat="1" applyFont="1" applyFill="1" applyBorder="1"/>
    <xf numFmtId="168" fontId="13009" fillId="13013" borderId="12960" xfId="0" applyNumberFormat="1" applyFont="1" applyFill="1" applyBorder="1"/>
    <xf numFmtId="165" fontId="13010" fillId="13014" borderId="12961" xfId="0" applyNumberFormat="1" applyFont="1" applyFill="1" applyBorder="1"/>
    <xf numFmtId="0" fontId="13011" fillId="13015" borderId="12962" xfId="0" applyFont="1" applyFill="1" applyBorder="1" applyAlignment="1">
      <alignment horizontal="center"/>
    </xf>
    <xf numFmtId="0" fontId="13012" fillId="13016" borderId="12963" xfId="0" applyFont="1" applyFill="1" applyBorder="1" applyAlignment="1">
      <alignment horizontal="center"/>
    </xf>
    <xf numFmtId="0" fontId="13013" fillId="13017" borderId="12964" xfId="0" applyFont="1" applyFill="1" applyBorder="1"/>
    <xf numFmtId="165" fontId="13014" fillId="13018" borderId="12965" xfId="0" applyNumberFormat="1" applyFont="1" applyFill="1" applyBorder="1"/>
    <xf numFmtId="0" fontId="13015" fillId="13019" borderId="12966" xfId="0" applyFont="1" applyFill="1" applyBorder="1"/>
    <xf numFmtId="0" fontId="13016" fillId="13020" borderId="12967" xfId="0" applyFont="1" applyFill="1" applyBorder="1" applyAlignment="1">
      <alignment horizontal="center"/>
    </xf>
    <xf numFmtId="14" fontId="13017" fillId="13021" borderId="12968" xfId="0" applyNumberFormat="1" applyFont="1" applyFill="1" applyBorder="1"/>
    <xf numFmtId="0" fontId="13018" fillId="13022" borderId="12969" xfId="0" applyFont="1" applyFill="1" applyBorder="1" applyAlignment="1">
      <alignment horizontal="center"/>
    </xf>
    <xf numFmtId="0" fontId="13019" fillId="13023" borderId="12970" xfId="0" applyFont="1" applyFill="1" applyBorder="1"/>
    <xf numFmtId="0" fontId="13020" fillId="13024" borderId="12971" xfId="0" applyFont="1" applyFill="1" applyBorder="1"/>
    <xf numFmtId="165" fontId="13021" fillId="13025" borderId="12972" xfId="0" applyNumberFormat="1" applyFont="1" applyFill="1" applyBorder="1"/>
    <xf numFmtId="165" fontId="13022" fillId="13026" borderId="12973" xfId="0" applyNumberFormat="1" applyFont="1" applyFill="1" applyBorder="1"/>
    <xf numFmtId="169" fontId="13023" fillId="13027" borderId="12974" xfId="0" applyNumberFormat="1" applyFont="1" applyFill="1" applyBorder="1"/>
    <xf numFmtId="168" fontId="13024" fillId="13028" borderId="12975" xfId="0" applyNumberFormat="1" applyFont="1" applyFill="1" applyBorder="1"/>
    <xf numFmtId="165" fontId="13025" fillId="13029" borderId="12976" xfId="0" applyNumberFormat="1" applyFont="1" applyFill="1" applyBorder="1"/>
    <xf numFmtId="0" fontId="13026" fillId="13030" borderId="12977" xfId="0" applyFont="1" applyFill="1" applyBorder="1" applyAlignment="1">
      <alignment horizontal="center"/>
    </xf>
    <xf numFmtId="0" fontId="13027" fillId="13031" borderId="12978" xfId="0" applyFont="1" applyFill="1" applyBorder="1" applyAlignment="1">
      <alignment horizontal="center"/>
    </xf>
    <xf numFmtId="0" fontId="13028" fillId="13032" borderId="12979" xfId="0" applyFont="1" applyFill="1" applyBorder="1"/>
    <xf numFmtId="165" fontId="13029" fillId="13033" borderId="12980" xfId="0" applyNumberFormat="1" applyFont="1" applyFill="1" applyBorder="1"/>
    <xf numFmtId="0" fontId="13030" fillId="13034" borderId="12981" xfId="0" applyFont="1" applyFill="1" applyBorder="1"/>
    <xf numFmtId="0" fontId="13031" fillId="13035" borderId="12982" xfId="0" applyFont="1" applyFill="1" applyBorder="1" applyAlignment="1">
      <alignment horizontal="center"/>
    </xf>
    <xf numFmtId="14" fontId="13032" fillId="13036" borderId="12983" xfId="0" applyNumberFormat="1" applyFont="1" applyFill="1" applyBorder="1"/>
    <xf numFmtId="0" fontId="13033" fillId="13037" borderId="12984" xfId="0" applyFont="1" applyFill="1" applyBorder="1" applyAlignment="1">
      <alignment horizontal="center"/>
    </xf>
    <xf numFmtId="0" fontId="13034" fillId="13038" borderId="12985" xfId="0" applyFont="1" applyFill="1" applyBorder="1"/>
    <xf numFmtId="0" fontId="13035" fillId="13039" borderId="12986" xfId="0" applyFont="1" applyFill="1" applyBorder="1"/>
    <xf numFmtId="165" fontId="13036" fillId="13040" borderId="12987" xfId="0" applyNumberFormat="1" applyFont="1" applyFill="1" applyBorder="1"/>
    <xf numFmtId="165" fontId="13037" fillId="13041" borderId="12988" xfId="0" applyNumberFormat="1" applyFont="1" applyFill="1" applyBorder="1"/>
    <xf numFmtId="169" fontId="13038" fillId="13042" borderId="12989" xfId="0" applyNumberFormat="1" applyFont="1" applyFill="1" applyBorder="1"/>
    <xf numFmtId="168" fontId="13039" fillId="13043" borderId="12990" xfId="0" applyNumberFormat="1" applyFont="1" applyFill="1" applyBorder="1"/>
    <xf numFmtId="165" fontId="13040" fillId="13044" borderId="12991" xfId="0" applyNumberFormat="1" applyFont="1" applyFill="1" applyBorder="1"/>
    <xf numFmtId="0" fontId="13041" fillId="13045" borderId="12992" xfId="0" applyFont="1" applyFill="1" applyBorder="1" applyAlignment="1">
      <alignment horizontal="center"/>
    </xf>
    <xf numFmtId="0" fontId="13042" fillId="13046" borderId="12993" xfId="0" applyFont="1" applyFill="1" applyBorder="1" applyAlignment="1">
      <alignment horizontal="center"/>
    </xf>
    <xf numFmtId="0" fontId="13043" fillId="13047" borderId="12994" xfId="0" applyFont="1" applyFill="1" applyBorder="1"/>
    <xf numFmtId="165" fontId="13044" fillId="13048" borderId="12995" xfId="0" applyNumberFormat="1" applyFont="1" applyFill="1" applyBorder="1"/>
    <xf numFmtId="0" fontId="13045" fillId="13049" borderId="12996" xfId="0" applyFont="1" applyFill="1" applyBorder="1"/>
    <xf numFmtId="0" fontId="13046" fillId="13050" borderId="12997" xfId="0" applyFont="1" applyFill="1" applyBorder="1" applyAlignment="1">
      <alignment horizontal="center"/>
    </xf>
    <xf numFmtId="14" fontId="13047" fillId="13051" borderId="12998" xfId="0" applyNumberFormat="1" applyFont="1" applyFill="1" applyBorder="1"/>
    <xf numFmtId="0" fontId="13048" fillId="13052" borderId="12999" xfId="0" applyFont="1" applyFill="1" applyBorder="1" applyAlignment="1">
      <alignment horizontal="center"/>
    </xf>
    <xf numFmtId="0" fontId="13049" fillId="13053" borderId="13000" xfId="0" applyFont="1" applyFill="1" applyBorder="1"/>
    <xf numFmtId="0" fontId="13050" fillId="13054" borderId="13001" xfId="0" applyFont="1" applyFill="1" applyBorder="1"/>
    <xf numFmtId="165" fontId="13051" fillId="13055" borderId="13002" xfId="0" applyNumberFormat="1" applyFont="1" applyFill="1" applyBorder="1"/>
    <xf numFmtId="165" fontId="13052" fillId="13056" borderId="13003" xfId="0" applyNumberFormat="1" applyFont="1" applyFill="1" applyBorder="1"/>
    <xf numFmtId="169" fontId="13053" fillId="13057" borderId="13004" xfId="0" applyNumberFormat="1" applyFont="1" applyFill="1" applyBorder="1"/>
    <xf numFmtId="168" fontId="13054" fillId="13058" borderId="13005" xfId="0" applyNumberFormat="1" applyFont="1" applyFill="1" applyBorder="1"/>
    <xf numFmtId="165" fontId="13055" fillId="13059" borderId="13006" xfId="0" applyNumberFormat="1" applyFont="1" applyFill="1" applyBorder="1"/>
    <xf numFmtId="0" fontId="13056" fillId="13060" borderId="13007" xfId="0" applyFont="1" applyFill="1" applyBorder="1" applyAlignment="1">
      <alignment horizontal="center"/>
    </xf>
    <xf numFmtId="0" fontId="13057" fillId="13061" borderId="13008" xfId="0" applyFont="1" applyFill="1" applyBorder="1" applyAlignment="1">
      <alignment horizontal="center"/>
    </xf>
    <xf numFmtId="0" fontId="13058" fillId="13062" borderId="13009" xfId="0" applyFont="1" applyFill="1" applyBorder="1"/>
    <xf numFmtId="165" fontId="13059" fillId="13063" borderId="13010" xfId="0" applyNumberFormat="1" applyFont="1" applyFill="1" applyBorder="1"/>
    <xf numFmtId="0" fontId="13060" fillId="13064" borderId="13011" xfId="0" applyFont="1" applyFill="1" applyBorder="1"/>
    <xf numFmtId="0" fontId="13061" fillId="13065" borderId="13012" xfId="0" applyFont="1" applyFill="1" applyBorder="1" applyAlignment="1">
      <alignment horizontal="center"/>
    </xf>
    <xf numFmtId="14" fontId="13062" fillId="13066" borderId="13013" xfId="0" applyNumberFormat="1" applyFont="1" applyFill="1" applyBorder="1"/>
    <xf numFmtId="0" fontId="13063" fillId="13067" borderId="13014" xfId="0" applyFont="1" applyFill="1" applyBorder="1" applyAlignment="1">
      <alignment horizontal="center"/>
    </xf>
    <xf numFmtId="0" fontId="13064" fillId="13068" borderId="13015" xfId="0" applyFont="1" applyFill="1" applyBorder="1"/>
    <xf numFmtId="0" fontId="13065" fillId="13069" borderId="13016" xfId="0" applyFont="1" applyFill="1" applyBorder="1"/>
    <xf numFmtId="165" fontId="13066" fillId="13070" borderId="13017" xfId="0" applyNumberFormat="1" applyFont="1" applyFill="1" applyBorder="1"/>
    <xf numFmtId="165" fontId="13067" fillId="13071" borderId="13018" xfId="0" applyNumberFormat="1" applyFont="1" applyFill="1" applyBorder="1"/>
    <xf numFmtId="169" fontId="13068" fillId="13072" borderId="13019" xfId="0" applyNumberFormat="1" applyFont="1" applyFill="1" applyBorder="1"/>
    <xf numFmtId="168" fontId="13069" fillId="13073" borderId="13020" xfId="0" applyNumberFormat="1" applyFont="1" applyFill="1" applyBorder="1"/>
    <xf numFmtId="165" fontId="13070" fillId="13074" borderId="13021" xfId="0" applyNumberFormat="1" applyFont="1" applyFill="1" applyBorder="1"/>
    <xf numFmtId="0" fontId="13071" fillId="13075" borderId="13022" xfId="0" applyFont="1" applyFill="1" applyBorder="1" applyAlignment="1">
      <alignment horizontal="center"/>
    </xf>
    <xf numFmtId="0" fontId="13072" fillId="13076" borderId="13023" xfId="0" applyFont="1" applyFill="1" applyBorder="1" applyAlignment="1">
      <alignment horizontal="center"/>
    </xf>
    <xf numFmtId="0" fontId="13073" fillId="13077" borderId="13024" xfId="0" applyFont="1" applyFill="1" applyBorder="1"/>
    <xf numFmtId="165" fontId="13074" fillId="13078" borderId="13025" xfId="0" applyNumberFormat="1" applyFont="1" applyFill="1" applyBorder="1"/>
    <xf numFmtId="0" fontId="13075" fillId="13079" borderId="13026" xfId="0" applyFont="1" applyFill="1" applyBorder="1"/>
    <xf numFmtId="0" fontId="13076" fillId="13080" borderId="13027" xfId="0" applyFont="1" applyFill="1" applyBorder="1" applyAlignment="1">
      <alignment horizontal="center"/>
    </xf>
    <xf numFmtId="14" fontId="13077" fillId="13081" borderId="13028" xfId="0" applyNumberFormat="1" applyFont="1" applyFill="1" applyBorder="1"/>
    <xf numFmtId="0" fontId="13078" fillId="13082" borderId="13029" xfId="0" applyFont="1" applyFill="1" applyBorder="1" applyAlignment="1">
      <alignment horizontal="center"/>
    </xf>
    <xf numFmtId="0" fontId="13079" fillId="13083" borderId="13030" xfId="0" applyFont="1" applyFill="1" applyBorder="1"/>
    <xf numFmtId="0" fontId="13080" fillId="13084" borderId="13031" xfId="0" applyFont="1" applyFill="1" applyBorder="1"/>
    <xf numFmtId="165" fontId="13081" fillId="13085" borderId="13032" xfId="0" applyNumberFormat="1" applyFont="1" applyFill="1" applyBorder="1"/>
    <xf numFmtId="165" fontId="13082" fillId="13086" borderId="13033" xfId="0" applyNumberFormat="1" applyFont="1" applyFill="1" applyBorder="1"/>
    <xf numFmtId="169" fontId="13083" fillId="13087" borderId="13034" xfId="0" applyNumberFormat="1" applyFont="1" applyFill="1" applyBorder="1"/>
    <xf numFmtId="168" fontId="13084" fillId="13088" borderId="13035" xfId="0" applyNumberFormat="1" applyFont="1" applyFill="1" applyBorder="1"/>
    <xf numFmtId="165" fontId="13085" fillId="13089" borderId="13036" xfId="0" applyNumberFormat="1" applyFont="1" applyFill="1" applyBorder="1"/>
    <xf numFmtId="0" fontId="13086" fillId="13090" borderId="13037" xfId="0" applyFont="1" applyFill="1" applyBorder="1" applyAlignment="1">
      <alignment horizontal="center"/>
    </xf>
    <xf numFmtId="0" fontId="13087" fillId="13091" borderId="13038" xfId="0" applyFont="1" applyFill="1" applyBorder="1" applyAlignment="1">
      <alignment horizontal="center"/>
    </xf>
    <xf numFmtId="0" fontId="13088" fillId="13092" borderId="13039" xfId="0" applyFont="1" applyFill="1" applyBorder="1"/>
    <xf numFmtId="165" fontId="13089" fillId="13093" borderId="13040" xfId="0" applyNumberFormat="1" applyFont="1" applyFill="1" applyBorder="1"/>
    <xf numFmtId="0" fontId="13090" fillId="13094" borderId="13041" xfId="0" applyFont="1" applyFill="1" applyBorder="1"/>
    <xf numFmtId="0" fontId="13091" fillId="13095" borderId="13042" xfId="0" applyFont="1" applyFill="1" applyBorder="1" applyAlignment="1">
      <alignment horizontal="center"/>
    </xf>
    <xf numFmtId="14" fontId="13092" fillId="13096" borderId="13043" xfId="0" applyNumberFormat="1" applyFont="1" applyFill="1" applyBorder="1"/>
    <xf numFmtId="0" fontId="13093" fillId="13097" borderId="13044" xfId="0" applyFont="1" applyFill="1" applyBorder="1" applyAlignment="1">
      <alignment horizontal="center"/>
    </xf>
    <xf numFmtId="0" fontId="13094" fillId="13098" borderId="13045" xfId="0" applyFont="1" applyFill="1" applyBorder="1"/>
    <xf numFmtId="0" fontId="13095" fillId="13099" borderId="13046" xfId="0" applyFont="1" applyFill="1" applyBorder="1"/>
    <xf numFmtId="165" fontId="13096" fillId="13100" borderId="13047" xfId="0" applyNumberFormat="1" applyFont="1" applyFill="1" applyBorder="1"/>
    <xf numFmtId="165" fontId="13097" fillId="13101" borderId="13048" xfId="0" applyNumberFormat="1" applyFont="1" applyFill="1" applyBorder="1"/>
    <xf numFmtId="169" fontId="13098" fillId="13102" borderId="13049" xfId="0" applyNumberFormat="1" applyFont="1" applyFill="1" applyBorder="1"/>
    <xf numFmtId="168" fontId="13099" fillId="13103" borderId="13050" xfId="0" applyNumberFormat="1" applyFont="1" applyFill="1" applyBorder="1"/>
    <xf numFmtId="165" fontId="13100" fillId="13104" borderId="13051" xfId="0" applyNumberFormat="1" applyFont="1" applyFill="1" applyBorder="1"/>
    <xf numFmtId="0" fontId="13101" fillId="13105" borderId="13052" xfId="0" applyFont="1" applyFill="1" applyBorder="1" applyAlignment="1">
      <alignment horizontal="center"/>
    </xf>
    <xf numFmtId="0" fontId="13102" fillId="13106" borderId="13053" xfId="0" applyFont="1" applyFill="1" applyBorder="1" applyAlignment="1">
      <alignment horizontal="center"/>
    </xf>
    <xf numFmtId="0" fontId="13103" fillId="13107" borderId="13054" xfId="0" applyFont="1" applyFill="1" applyBorder="1"/>
    <xf numFmtId="165" fontId="13104" fillId="13108" borderId="13055" xfId="0" applyNumberFormat="1" applyFont="1" applyFill="1" applyBorder="1"/>
    <xf numFmtId="0" fontId="13105" fillId="13109" borderId="13056" xfId="0" applyFont="1" applyFill="1" applyBorder="1"/>
    <xf numFmtId="0" fontId="13106" fillId="13110" borderId="13057" xfId="0" applyFont="1" applyFill="1" applyBorder="1" applyAlignment="1">
      <alignment horizontal="center"/>
    </xf>
    <xf numFmtId="14" fontId="13107" fillId="13111" borderId="13058" xfId="0" applyNumberFormat="1" applyFont="1" applyFill="1" applyBorder="1"/>
    <xf numFmtId="0" fontId="13108" fillId="13112" borderId="13059" xfId="0" applyFont="1" applyFill="1" applyBorder="1" applyAlignment="1">
      <alignment horizontal="center"/>
    </xf>
    <xf numFmtId="0" fontId="13109" fillId="13113" borderId="13060" xfId="0" applyFont="1" applyFill="1" applyBorder="1"/>
    <xf numFmtId="0" fontId="13110" fillId="13114" borderId="13061" xfId="0" applyFont="1" applyFill="1" applyBorder="1"/>
    <xf numFmtId="165" fontId="13111" fillId="13115" borderId="13062" xfId="0" applyNumberFormat="1" applyFont="1" applyFill="1" applyBorder="1"/>
    <xf numFmtId="165" fontId="13112" fillId="13116" borderId="13063" xfId="0" applyNumberFormat="1" applyFont="1" applyFill="1" applyBorder="1"/>
    <xf numFmtId="169" fontId="13113" fillId="13117" borderId="13064" xfId="0" applyNumberFormat="1" applyFont="1" applyFill="1" applyBorder="1"/>
    <xf numFmtId="168" fontId="13114" fillId="13118" borderId="13065" xfId="0" applyNumberFormat="1" applyFont="1" applyFill="1" applyBorder="1"/>
    <xf numFmtId="165" fontId="13115" fillId="13119" borderId="13066" xfId="0" applyNumberFormat="1" applyFont="1" applyFill="1" applyBorder="1"/>
    <xf numFmtId="0" fontId="13116" fillId="13120" borderId="13067" xfId="0" applyFont="1" applyFill="1" applyBorder="1" applyAlignment="1">
      <alignment horizontal="center"/>
    </xf>
    <xf numFmtId="0" fontId="13117" fillId="13121" borderId="13068" xfId="0" applyFont="1" applyFill="1" applyBorder="1" applyAlignment="1">
      <alignment horizontal="center"/>
    </xf>
    <xf numFmtId="0" fontId="13118" fillId="13122" borderId="13069" xfId="0" applyFont="1" applyFill="1" applyBorder="1"/>
    <xf numFmtId="165" fontId="13119" fillId="13123" borderId="13070" xfId="0" applyNumberFormat="1" applyFont="1" applyFill="1" applyBorder="1"/>
    <xf numFmtId="0" fontId="13120" fillId="13124" borderId="13071" xfId="0" applyFont="1" applyFill="1" applyBorder="1"/>
    <xf numFmtId="0" fontId="13121" fillId="13125" borderId="13072" xfId="0" applyFont="1" applyFill="1" applyBorder="1" applyAlignment="1">
      <alignment horizontal="center"/>
    </xf>
    <xf numFmtId="14" fontId="13122" fillId="13126" borderId="13073" xfId="0" applyNumberFormat="1" applyFont="1" applyFill="1" applyBorder="1"/>
    <xf numFmtId="0" fontId="13123" fillId="13127" borderId="13074" xfId="0" applyFont="1" applyFill="1" applyBorder="1" applyAlignment="1">
      <alignment horizontal="center"/>
    </xf>
    <xf numFmtId="0" fontId="13124" fillId="13128" borderId="13075" xfId="0" applyFont="1" applyFill="1" applyBorder="1"/>
    <xf numFmtId="0" fontId="13125" fillId="13129" borderId="13076" xfId="0" applyFont="1" applyFill="1" applyBorder="1"/>
    <xf numFmtId="165" fontId="13126" fillId="13130" borderId="13077" xfId="0" applyNumberFormat="1" applyFont="1" applyFill="1" applyBorder="1"/>
    <xf numFmtId="165" fontId="13127" fillId="13131" borderId="13078" xfId="0" applyNumberFormat="1" applyFont="1" applyFill="1" applyBorder="1"/>
    <xf numFmtId="169" fontId="13128" fillId="13132" borderId="13079" xfId="0" applyNumberFormat="1" applyFont="1" applyFill="1" applyBorder="1"/>
    <xf numFmtId="168" fontId="13129" fillId="13133" borderId="13080" xfId="0" applyNumberFormat="1" applyFont="1" applyFill="1" applyBorder="1"/>
    <xf numFmtId="165" fontId="13130" fillId="13134" borderId="13081" xfId="0" applyNumberFormat="1" applyFont="1" applyFill="1" applyBorder="1"/>
    <xf numFmtId="0" fontId="13131" fillId="13135" borderId="13082" xfId="0" applyFont="1" applyFill="1" applyBorder="1" applyAlignment="1">
      <alignment horizontal="center"/>
    </xf>
    <xf numFmtId="0" fontId="13132" fillId="13136" borderId="13083" xfId="0" applyFont="1" applyFill="1" applyBorder="1" applyAlignment="1">
      <alignment horizontal="center"/>
    </xf>
    <xf numFmtId="0" fontId="13133" fillId="13137" borderId="13084" xfId="0" applyFont="1" applyFill="1" applyBorder="1"/>
    <xf numFmtId="165" fontId="13134" fillId="13138" borderId="13085" xfId="0" applyNumberFormat="1" applyFont="1" applyFill="1" applyBorder="1"/>
    <xf numFmtId="0" fontId="13135" fillId="13139" borderId="13086" xfId="0" applyFont="1" applyFill="1" applyBorder="1"/>
    <xf numFmtId="0" fontId="13136" fillId="13140" borderId="13087" xfId="0" applyFont="1" applyFill="1" applyBorder="1" applyAlignment="1">
      <alignment horizontal="center"/>
    </xf>
    <xf numFmtId="14" fontId="13137" fillId="13141" borderId="13088" xfId="0" applyNumberFormat="1" applyFont="1" applyFill="1" applyBorder="1"/>
    <xf numFmtId="0" fontId="13138" fillId="13142" borderId="13089" xfId="0" applyFont="1" applyFill="1" applyBorder="1" applyAlignment="1">
      <alignment horizontal="center"/>
    </xf>
    <xf numFmtId="0" fontId="13139" fillId="13143" borderId="13090" xfId="0" applyFont="1" applyFill="1" applyBorder="1"/>
    <xf numFmtId="0" fontId="13140" fillId="13144" borderId="13091" xfId="0" applyFont="1" applyFill="1" applyBorder="1"/>
    <xf numFmtId="165" fontId="13141" fillId="13145" borderId="13092" xfId="0" applyNumberFormat="1" applyFont="1" applyFill="1" applyBorder="1"/>
    <xf numFmtId="165" fontId="13142" fillId="13146" borderId="13093" xfId="0" applyNumberFormat="1" applyFont="1" applyFill="1" applyBorder="1"/>
    <xf numFmtId="169" fontId="13143" fillId="13147" borderId="13094" xfId="0" applyNumberFormat="1" applyFont="1" applyFill="1" applyBorder="1"/>
    <xf numFmtId="168" fontId="13144" fillId="13148" borderId="13095" xfId="0" applyNumberFormat="1" applyFont="1" applyFill="1" applyBorder="1"/>
    <xf numFmtId="165" fontId="13145" fillId="13149" borderId="13096" xfId="0" applyNumberFormat="1" applyFont="1" applyFill="1" applyBorder="1"/>
    <xf numFmtId="0" fontId="13146" fillId="13150" borderId="13097" xfId="0" applyFont="1" applyFill="1" applyBorder="1" applyAlignment="1">
      <alignment horizontal="center"/>
    </xf>
    <xf numFmtId="0" fontId="13147" fillId="13151" borderId="13098" xfId="0" applyFont="1" applyFill="1" applyBorder="1" applyAlignment="1">
      <alignment horizontal="center"/>
    </xf>
    <xf numFmtId="0" fontId="13148" fillId="13152" borderId="13099" xfId="0" applyFont="1" applyFill="1" applyBorder="1"/>
    <xf numFmtId="165" fontId="13149" fillId="13153" borderId="13100" xfId="0" applyNumberFormat="1" applyFont="1" applyFill="1" applyBorder="1"/>
    <xf numFmtId="0" fontId="13150" fillId="13154" borderId="13101" xfId="0" applyFont="1" applyFill="1" applyBorder="1"/>
    <xf numFmtId="0" fontId="13151" fillId="13155" borderId="13102" xfId="0" applyFont="1" applyFill="1" applyBorder="1" applyAlignment="1">
      <alignment horizontal="center"/>
    </xf>
    <xf numFmtId="14" fontId="13152" fillId="13156" borderId="13103" xfId="0" applyNumberFormat="1" applyFont="1" applyFill="1" applyBorder="1"/>
    <xf numFmtId="0" fontId="13153" fillId="13157" borderId="13104" xfId="0" applyFont="1" applyFill="1" applyBorder="1" applyAlignment="1">
      <alignment horizontal="center"/>
    </xf>
    <xf numFmtId="0" fontId="13154" fillId="13158" borderId="13105" xfId="0" applyFont="1" applyFill="1" applyBorder="1"/>
    <xf numFmtId="0" fontId="13155" fillId="13159" borderId="13106" xfId="0" applyFont="1" applyFill="1" applyBorder="1"/>
    <xf numFmtId="165" fontId="13156" fillId="13160" borderId="13107" xfId="0" applyNumberFormat="1" applyFont="1" applyFill="1" applyBorder="1"/>
    <xf numFmtId="165" fontId="13157" fillId="13161" borderId="13108" xfId="0" applyNumberFormat="1" applyFont="1" applyFill="1" applyBorder="1"/>
    <xf numFmtId="169" fontId="13158" fillId="13162" borderId="13109" xfId="0" applyNumberFormat="1" applyFont="1" applyFill="1" applyBorder="1"/>
    <xf numFmtId="168" fontId="13159" fillId="13163" borderId="13110" xfId="0" applyNumberFormat="1" applyFont="1" applyFill="1" applyBorder="1"/>
    <xf numFmtId="165" fontId="13160" fillId="13164" borderId="13111" xfId="0" applyNumberFormat="1" applyFont="1" applyFill="1" applyBorder="1"/>
    <xf numFmtId="0" fontId="13161" fillId="13165" borderId="13112" xfId="0" applyFont="1" applyFill="1" applyBorder="1" applyAlignment="1">
      <alignment horizontal="center"/>
    </xf>
    <xf numFmtId="0" fontId="13162" fillId="13166" borderId="13113" xfId="0" applyFont="1" applyFill="1" applyBorder="1" applyAlignment="1">
      <alignment horizontal="center"/>
    </xf>
    <xf numFmtId="0" fontId="13163" fillId="13167" borderId="13114" xfId="0" applyFont="1" applyFill="1" applyBorder="1"/>
    <xf numFmtId="165" fontId="13164" fillId="13168" borderId="13115" xfId="0" applyNumberFormat="1" applyFont="1" applyFill="1" applyBorder="1"/>
    <xf numFmtId="0" fontId="13165" fillId="13169" borderId="13116" xfId="0" applyFont="1" applyFill="1" applyBorder="1"/>
    <xf numFmtId="0" fontId="13166" fillId="13170" borderId="13117" xfId="0" applyFont="1" applyFill="1" applyBorder="1" applyAlignment="1">
      <alignment horizontal="center"/>
    </xf>
    <xf numFmtId="14" fontId="13167" fillId="13171" borderId="13118" xfId="0" applyNumberFormat="1" applyFont="1" applyFill="1" applyBorder="1"/>
    <xf numFmtId="0" fontId="13168" fillId="13172" borderId="13119" xfId="0" applyFont="1" applyFill="1" applyBorder="1" applyAlignment="1">
      <alignment horizontal="center"/>
    </xf>
    <xf numFmtId="0" fontId="13169" fillId="13173" borderId="13120" xfId="0" applyFont="1" applyFill="1" applyBorder="1"/>
    <xf numFmtId="0" fontId="13170" fillId="13174" borderId="13121" xfId="0" applyFont="1" applyFill="1" applyBorder="1"/>
    <xf numFmtId="165" fontId="13171" fillId="13175" borderId="13122" xfId="0" applyNumberFormat="1" applyFont="1" applyFill="1" applyBorder="1"/>
    <xf numFmtId="165" fontId="13172" fillId="13176" borderId="13123" xfId="0" applyNumberFormat="1" applyFont="1" applyFill="1" applyBorder="1"/>
    <xf numFmtId="169" fontId="13173" fillId="13177" borderId="13124" xfId="0" applyNumberFormat="1" applyFont="1" applyFill="1" applyBorder="1"/>
    <xf numFmtId="168" fontId="13174" fillId="13178" borderId="13125" xfId="0" applyNumberFormat="1" applyFont="1" applyFill="1" applyBorder="1"/>
    <xf numFmtId="165" fontId="13175" fillId="13179" borderId="13126" xfId="0" applyNumberFormat="1" applyFont="1" applyFill="1" applyBorder="1"/>
    <xf numFmtId="0" fontId="13176" fillId="13180" borderId="13127" xfId="0" applyFont="1" applyFill="1" applyBorder="1" applyAlignment="1">
      <alignment horizontal="center"/>
    </xf>
    <xf numFmtId="0" fontId="13177" fillId="13181" borderId="13128" xfId="0" applyFont="1" applyFill="1" applyBorder="1" applyAlignment="1">
      <alignment horizontal="center"/>
    </xf>
    <xf numFmtId="0" fontId="13178" fillId="13182" borderId="13129" xfId="0" applyFont="1" applyFill="1" applyBorder="1"/>
    <xf numFmtId="165" fontId="13179" fillId="13183" borderId="13130" xfId="0" applyNumberFormat="1" applyFont="1" applyFill="1" applyBorder="1"/>
    <xf numFmtId="0" fontId="13180" fillId="13184" borderId="13131" xfId="0" applyFont="1" applyFill="1" applyBorder="1"/>
    <xf numFmtId="0" fontId="13181" fillId="13185" borderId="13132" xfId="0" applyFont="1" applyFill="1" applyBorder="1" applyAlignment="1">
      <alignment horizontal="center"/>
    </xf>
    <xf numFmtId="14" fontId="13182" fillId="13186" borderId="13133" xfId="0" applyNumberFormat="1" applyFont="1" applyFill="1" applyBorder="1"/>
    <xf numFmtId="0" fontId="13183" fillId="13187" borderId="13134" xfId="0" applyFont="1" applyFill="1" applyBorder="1" applyAlignment="1">
      <alignment horizontal="center"/>
    </xf>
    <xf numFmtId="0" fontId="13184" fillId="13188" borderId="13135" xfId="0" applyFont="1" applyFill="1" applyBorder="1"/>
    <xf numFmtId="0" fontId="13185" fillId="13189" borderId="13136" xfId="0" applyFont="1" applyFill="1" applyBorder="1"/>
    <xf numFmtId="165" fontId="13186" fillId="13190" borderId="13137" xfId="0" applyNumberFormat="1" applyFont="1" applyFill="1" applyBorder="1"/>
    <xf numFmtId="165" fontId="13187" fillId="13191" borderId="13138" xfId="0" applyNumberFormat="1" applyFont="1" applyFill="1" applyBorder="1"/>
    <xf numFmtId="169" fontId="13188" fillId="13192" borderId="13139" xfId="0" applyNumberFormat="1" applyFont="1" applyFill="1" applyBorder="1"/>
    <xf numFmtId="168" fontId="13189" fillId="13193" borderId="13140" xfId="0" applyNumberFormat="1" applyFont="1" applyFill="1" applyBorder="1"/>
    <xf numFmtId="165" fontId="13190" fillId="13194" borderId="13141" xfId="0" applyNumberFormat="1" applyFont="1" applyFill="1" applyBorder="1"/>
    <xf numFmtId="0" fontId="13191" fillId="13195" borderId="13142" xfId="0" applyFont="1" applyFill="1" applyBorder="1" applyAlignment="1">
      <alignment horizontal="center"/>
    </xf>
    <xf numFmtId="0" fontId="13192" fillId="13196" borderId="13143" xfId="0" applyFont="1" applyFill="1" applyBorder="1" applyAlignment="1">
      <alignment horizontal="center"/>
    </xf>
    <xf numFmtId="0" fontId="13193" fillId="13197" borderId="13144" xfId="0" applyFont="1" applyFill="1" applyBorder="1"/>
    <xf numFmtId="165" fontId="13194" fillId="13198" borderId="13145" xfId="0" applyNumberFormat="1" applyFont="1" applyFill="1" applyBorder="1"/>
    <xf numFmtId="0" fontId="13195" fillId="13199" borderId="13146" xfId="0" applyFont="1" applyFill="1" applyBorder="1"/>
    <xf numFmtId="0" fontId="13196" fillId="13200" borderId="13147" xfId="0" applyFont="1" applyFill="1" applyBorder="1" applyAlignment="1">
      <alignment horizontal="center"/>
    </xf>
    <xf numFmtId="14" fontId="13197" fillId="13201" borderId="13148" xfId="0" applyNumberFormat="1" applyFont="1" applyFill="1" applyBorder="1"/>
    <xf numFmtId="0" fontId="13198" fillId="13202" borderId="13149" xfId="0" applyFont="1" applyFill="1" applyBorder="1" applyAlignment="1">
      <alignment horizontal="center"/>
    </xf>
    <xf numFmtId="0" fontId="13199" fillId="13203" borderId="13150" xfId="0" applyFont="1" applyFill="1" applyBorder="1"/>
    <xf numFmtId="0" fontId="13200" fillId="13204" borderId="13151" xfId="0" applyFont="1" applyFill="1" applyBorder="1"/>
    <xf numFmtId="165" fontId="13201" fillId="13205" borderId="13152" xfId="0" applyNumberFormat="1" applyFont="1" applyFill="1" applyBorder="1"/>
    <xf numFmtId="165" fontId="13202" fillId="13206" borderId="13153" xfId="0" applyNumberFormat="1" applyFont="1" applyFill="1" applyBorder="1"/>
    <xf numFmtId="169" fontId="13203" fillId="13207" borderId="13154" xfId="0" applyNumberFormat="1" applyFont="1" applyFill="1" applyBorder="1"/>
    <xf numFmtId="168" fontId="13204" fillId="13208" borderId="13155" xfId="0" applyNumberFormat="1" applyFont="1" applyFill="1" applyBorder="1"/>
    <xf numFmtId="165" fontId="13205" fillId="13209" borderId="13156" xfId="0" applyNumberFormat="1" applyFont="1" applyFill="1" applyBorder="1"/>
    <xf numFmtId="0" fontId="13206" fillId="13210" borderId="13157" xfId="0" applyFont="1" applyFill="1" applyBorder="1" applyAlignment="1">
      <alignment horizontal="center"/>
    </xf>
    <xf numFmtId="0" fontId="13207" fillId="13211" borderId="13158" xfId="0" applyFont="1" applyFill="1" applyBorder="1" applyAlignment="1">
      <alignment horizontal="center"/>
    </xf>
    <xf numFmtId="0" fontId="13208" fillId="13212" borderId="13159" xfId="0" applyFont="1" applyFill="1" applyBorder="1"/>
    <xf numFmtId="165" fontId="13209" fillId="13213" borderId="13160" xfId="0" applyNumberFormat="1" applyFont="1" applyFill="1" applyBorder="1"/>
    <xf numFmtId="0" fontId="13210" fillId="13214" borderId="13161" xfId="0" applyFont="1" applyFill="1" applyBorder="1"/>
    <xf numFmtId="0" fontId="13211" fillId="13215" borderId="13162" xfId="0" applyFont="1" applyFill="1" applyBorder="1" applyAlignment="1">
      <alignment horizontal="center"/>
    </xf>
    <xf numFmtId="14" fontId="13212" fillId="13216" borderId="13163" xfId="0" applyNumberFormat="1" applyFont="1" applyFill="1" applyBorder="1"/>
    <xf numFmtId="0" fontId="13213" fillId="13217" borderId="13164" xfId="0" applyFont="1" applyFill="1" applyBorder="1" applyAlignment="1">
      <alignment horizontal="center"/>
    </xf>
    <xf numFmtId="0" fontId="13214" fillId="13218" borderId="13165" xfId="0" applyFont="1" applyFill="1" applyBorder="1"/>
    <xf numFmtId="0" fontId="13215" fillId="13219" borderId="13166" xfId="0" applyFont="1" applyFill="1" applyBorder="1"/>
    <xf numFmtId="165" fontId="13216" fillId="13220" borderId="13167" xfId="0" applyNumberFormat="1" applyFont="1" applyFill="1" applyBorder="1"/>
    <xf numFmtId="165" fontId="13217" fillId="13221" borderId="13168" xfId="0" applyNumberFormat="1" applyFont="1" applyFill="1" applyBorder="1"/>
    <xf numFmtId="169" fontId="13218" fillId="13222" borderId="13169" xfId="0" applyNumberFormat="1" applyFont="1" applyFill="1" applyBorder="1"/>
    <xf numFmtId="168" fontId="13219" fillId="13223" borderId="13170" xfId="0" applyNumberFormat="1" applyFont="1" applyFill="1" applyBorder="1"/>
    <xf numFmtId="165" fontId="13220" fillId="13224" borderId="13171" xfId="0" applyNumberFormat="1" applyFont="1" applyFill="1" applyBorder="1"/>
    <xf numFmtId="0" fontId="13221" fillId="13225" borderId="13172" xfId="0" applyFont="1" applyFill="1" applyBorder="1" applyAlignment="1">
      <alignment horizontal="center"/>
    </xf>
    <xf numFmtId="0" fontId="13222" fillId="13226" borderId="13173" xfId="0" applyFont="1" applyFill="1" applyBorder="1" applyAlignment="1">
      <alignment horizontal="center"/>
    </xf>
    <xf numFmtId="0" fontId="13223" fillId="13227" borderId="13174" xfId="0" applyFont="1" applyFill="1" applyBorder="1"/>
    <xf numFmtId="165" fontId="13224" fillId="13228" borderId="13175" xfId="0" applyNumberFormat="1" applyFont="1" applyFill="1" applyBorder="1"/>
    <xf numFmtId="0" fontId="13225" fillId="13229" borderId="13176" xfId="0" applyFont="1" applyFill="1" applyBorder="1"/>
    <xf numFmtId="0" fontId="13226" fillId="13230" borderId="13177" xfId="0" applyFont="1" applyFill="1" applyBorder="1" applyAlignment="1">
      <alignment horizontal="center"/>
    </xf>
    <xf numFmtId="14" fontId="13227" fillId="13231" borderId="13178" xfId="0" applyNumberFormat="1" applyFont="1" applyFill="1" applyBorder="1"/>
    <xf numFmtId="0" fontId="13228" fillId="13232" borderId="13179" xfId="0" applyFont="1" applyFill="1" applyBorder="1" applyAlignment="1">
      <alignment horizontal="center"/>
    </xf>
    <xf numFmtId="0" fontId="13229" fillId="13233" borderId="13180" xfId="0" applyFont="1" applyFill="1" applyBorder="1"/>
    <xf numFmtId="0" fontId="13230" fillId="13234" borderId="13181" xfId="0" applyFont="1" applyFill="1" applyBorder="1"/>
    <xf numFmtId="165" fontId="13231" fillId="13235" borderId="13182" xfId="0" applyNumberFormat="1" applyFont="1" applyFill="1" applyBorder="1"/>
    <xf numFmtId="165" fontId="13232" fillId="13236" borderId="13183" xfId="0" applyNumberFormat="1" applyFont="1" applyFill="1" applyBorder="1"/>
    <xf numFmtId="169" fontId="13233" fillId="13237" borderId="13184" xfId="0" applyNumberFormat="1" applyFont="1" applyFill="1" applyBorder="1"/>
    <xf numFmtId="168" fontId="13234" fillId="13238" borderId="13185" xfId="0" applyNumberFormat="1" applyFont="1" applyFill="1" applyBorder="1"/>
    <xf numFmtId="165" fontId="13235" fillId="13239" borderId="13186" xfId="0" applyNumberFormat="1" applyFont="1" applyFill="1" applyBorder="1"/>
    <xf numFmtId="0" fontId="13236" fillId="13240" borderId="13187" xfId="0" applyFont="1" applyFill="1" applyBorder="1" applyAlignment="1">
      <alignment horizontal="center"/>
    </xf>
    <xf numFmtId="0" fontId="13237" fillId="13241" borderId="13188" xfId="0" applyFont="1" applyFill="1" applyBorder="1" applyAlignment="1">
      <alignment horizontal="center"/>
    </xf>
    <xf numFmtId="0" fontId="13238" fillId="13242" borderId="13189" xfId="0" applyFont="1" applyFill="1" applyBorder="1"/>
    <xf numFmtId="165" fontId="13239" fillId="13243" borderId="13190" xfId="0" applyNumberFormat="1" applyFont="1" applyFill="1" applyBorder="1"/>
    <xf numFmtId="0" fontId="13240" fillId="13244" borderId="13191" xfId="0" applyFont="1" applyFill="1" applyBorder="1"/>
    <xf numFmtId="0" fontId="13241" fillId="13245" borderId="13192" xfId="0" applyFont="1" applyFill="1" applyBorder="1" applyAlignment="1">
      <alignment horizontal="center"/>
    </xf>
    <xf numFmtId="14" fontId="13242" fillId="13246" borderId="13193" xfId="0" applyNumberFormat="1" applyFont="1" applyFill="1" applyBorder="1"/>
    <xf numFmtId="0" fontId="13243" fillId="13247" borderId="13194" xfId="0" applyFont="1" applyFill="1" applyBorder="1" applyAlignment="1">
      <alignment horizontal="center"/>
    </xf>
    <xf numFmtId="0" fontId="13244" fillId="13248" borderId="13195" xfId="0" applyFont="1" applyFill="1" applyBorder="1"/>
    <xf numFmtId="0" fontId="13245" fillId="13249" borderId="13196" xfId="0" applyFont="1" applyFill="1" applyBorder="1"/>
    <xf numFmtId="165" fontId="13246" fillId="13250" borderId="13197" xfId="0" applyNumberFormat="1" applyFont="1" applyFill="1" applyBorder="1"/>
    <xf numFmtId="165" fontId="13247" fillId="13251" borderId="13198" xfId="0" applyNumberFormat="1" applyFont="1" applyFill="1" applyBorder="1"/>
    <xf numFmtId="169" fontId="13248" fillId="13252" borderId="13199" xfId="0" applyNumberFormat="1" applyFont="1" applyFill="1" applyBorder="1"/>
    <xf numFmtId="168" fontId="13249" fillId="13253" borderId="13200" xfId="0" applyNumberFormat="1" applyFont="1" applyFill="1" applyBorder="1"/>
    <xf numFmtId="165" fontId="13250" fillId="13254" borderId="13201" xfId="0" applyNumberFormat="1" applyFont="1" applyFill="1" applyBorder="1"/>
    <xf numFmtId="0" fontId="13251" fillId="13255" borderId="13202" xfId="0" applyFont="1" applyFill="1" applyBorder="1" applyAlignment="1">
      <alignment horizontal="center"/>
    </xf>
    <xf numFmtId="0" fontId="13252" fillId="13256" borderId="13203" xfId="0" applyFont="1" applyFill="1" applyBorder="1" applyAlignment="1">
      <alignment horizontal="center"/>
    </xf>
    <xf numFmtId="0" fontId="13253" fillId="13257" borderId="13204" xfId="0" applyFont="1" applyFill="1" applyBorder="1"/>
    <xf numFmtId="165" fontId="13254" fillId="13258" borderId="13205" xfId="0" applyNumberFormat="1" applyFont="1" applyFill="1" applyBorder="1"/>
    <xf numFmtId="0" fontId="13255" fillId="13259" borderId="13206" xfId="0" applyFont="1" applyFill="1" applyBorder="1"/>
    <xf numFmtId="0" fontId="13256" fillId="13260" borderId="13207" xfId="0" applyFont="1" applyFill="1" applyBorder="1" applyAlignment="1">
      <alignment horizontal="center"/>
    </xf>
    <xf numFmtId="14" fontId="13257" fillId="13261" borderId="13208" xfId="0" applyNumberFormat="1" applyFont="1" applyFill="1" applyBorder="1"/>
    <xf numFmtId="0" fontId="13258" fillId="13262" borderId="13209" xfId="0" applyFont="1" applyFill="1" applyBorder="1" applyAlignment="1">
      <alignment horizontal="center"/>
    </xf>
    <xf numFmtId="0" fontId="13259" fillId="13263" borderId="13210" xfId="0" applyFont="1" applyFill="1" applyBorder="1"/>
    <xf numFmtId="0" fontId="13260" fillId="13264" borderId="13211" xfId="0" applyFont="1" applyFill="1" applyBorder="1"/>
    <xf numFmtId="165" fontId="13261" fillId="13265" borderId="13212" xfId="0" applyNumberFormat="1" applyFont="1" applyFill="1" applyBorder="1"/>
    <xf numFmtId="165" fontId="13262" fillId="13266" borderId="13213" xfId="0" applyNumberFormat="1" applyFont="1" applyFill="1" applyBorder="1"/>
    <xf numFmtId="169" fontId="13263" fillId="13267" borderId="13214" xfId="0" applyNumberFormat="1" applyFont="1" applyFill="1" applyBorder="1"/>
    <xf numFmtId="168" fontId="13264" fillId="13268" borderId="13215" xfId="0" applyNumberFormat="1" applyFont="1" applyFill="1" applyBorder="1"/>
    <xf numFmtId="165" fontId="13265" fillId="13269" borderId="13216" xfId="0" applyNumberFormat="1" applyFont="1" applyFill="1" applyBorder="1"/>
    <xf numFmtId="0" fontId="13266" fillId="13270" borderId="13217" xfId="0" applyFont="1" applyFill="1" applyBorder="1" applyAlignment="1">
      <alignment horizontal="center"/>
    </xf>
    <xf numFmtId="0" fontId="13267" fillId="13271" borderId="13218" xfId="0" applyFont="1" applyFill="1" applyBorder="1" applyAlignment="1">
      <alignment horizontal="center"/>
    </xf>
    <xf numFmtId="0" fontId="13268" fillId="13272" borderId="13219" xfId="0" applyFont="1" applyFill="1" applyBorder="1"/>
    <xf numFmtId="165" fontId="13269" fillId="13273" borderId="13220" xfId="0" applyNumberFormat="1" applyFont="1" applyFill="1" applyBorder="1"/>
    <xf numFmtId="0" fontId="13270" fillId="13274" borderId="13221" xfId="0" applyFont="1" applyFill="1" applyBorder="1"/>
    <xf numFmtId="0" fontId="13271" fillId="13275" borderId="13222" xfId="0" applyFont="1" applyFill="1" applyBorder="1" applyAlignment="1">
      <alignment horizontal="center"/>
    </xf>
    <xf numFmtId="14" fontId="13272" fillId="13276" borderId="13223" xfId="0" applyNumberFormat="1" applyFont="1" applyFill="1" applyBorder="1"/>
    <xf numFmtId="0" fontId="13273" fillId="13277" borderId="13224" xfId="0" applyFont="1" applyFill="1" applyBorder="1" applyAlignment="1">
      <alignment horizontal="center"/>
    </xf>
    <xf numFmtId="0" fontId="13274" fillId="13278" borderId="13225" xfId="0" applyFont="1" applyFill="1" applyBorder="1"/>
    <xf numFmtId="0" fontId="13275" fillId="13279" borderId="13226" xfId="0" applyFont="1" applyFill="1" applyBorder="1"/>
    <xf numFmtId="165" fontId="13276" fillId="13280" borderId="13227" xfId="0" applyNumberFormat="1" applyFont="1" applyFill="1" applyBorder="1"/>
    <xf numFmtId="165" fontId="13277" fillId="13281" borderId="13228" xfId="0" applyNumberFormat="1" applyFont="1" applyFill="1" applyBorder="1"/>
    <xf numFmtId="169" fontId="13278" fillId="13282" borderId="13229" xfId="0" applyNumberFormat="1" applyFont="1" applyFill="1" applyBorder="1"/>
    <xf numFmtId="168" fontId="13279" fillId="13283" borderId="13230" xfId="0" applyNumberFormat="1" applyFont="1" applyFill="1" applyBorder="1"/>
    <xf numFmtId="165" fontId="13280" fillId="13284" borderId="13231" xfId="0" applyNumberFormat="1" applyFont="1" applyFill="1" applyBorder="1"/>
    <xf numFmtId="0" fontId="13281" fillId="13285" borderId="13232" xfId="0" applyFont="1" applyFill="1" applyBorder="1" applyAlignment="1">
      <alignment horizontal="center"/>
    </xf>
    <xf numFmtId="0" fontId="13282" fillId="13286" borderId="13233" xfId="0" applyFont="1" applyFill="1" applyBorder="1" applyAlignment="1">
      <alignment horizontal="center"/>
    </xf>
    <xf numFmtId="0" fontId="13283" fillId="13287" borderId="13234" xfId="0" applyFont="1" applyFill="1" applyBorder="1"/>
    <xf numFmtId="165" fontId="13284" fillId="13288" borderId="13235" xfId="0" applyNumberFormat="1" applyFont="1" applyFill="1" applyBorder="1"/>
    <xf numFmtId="0" fontId="13285" fillId="13289" borderId="13236" xfId="0" applyFont="1" applyFill="1" applyBorder="1"/>
    <xf numFmtId="0" fontId="13286" fillId="13290" borderId="13237" xfId="0" applyFont="1" applyFill="1" applyBorder="1" applyAlignment="1">
      <alignment horizontal="center"/>
    </xf>
    <xf numFmtId="14" fontId="13287" fillId="13291" borderId="13238" xfId="0" applyNumberFormat="1" applyFont="1" applyFill="1" applyBorder="1"/>
    <xf numFmtId="0" fontId="13288" fillId="13292" borderId="13239" xfId="0" applyFont="1" applyFill="1" applyBorder="1" applyAlignment="1">
      <alignment horizontal="center"/>
    </xf>
    <xf numFmtId="0" fontId="13289" fillId="13293" borderId="13240" xfId="0" applyFont="1" applyFill="1" applyBorder="1"/>
    <xf numFmtId="0" fontId="13290" fillId="13294" borderId="13241" xfId="0" applyFont="1" applyFill="1" applyBorder="1"/>
    <xf numFmtId="165" fontId="13291" fillId="13295" borderId="13242" xfId="0" applyNumberFormat="1" applyFont="1" applyFill="1" applyBorder="1"/>
    <xf numFmtId="165" fontId="13292" fillId="13296" borderId="13243" xfId="0" applyNumberFormat="1" applyFont="1" applyFill="1" applyBorder="1"/>
    <xf numFmtId="169" fontId="13293" fillId="13297" borderId="13244" xfId="0" applyNumberFormat="1" applyFont="1" applyFill="1" applyBorder="1"/>
    <xf numFmtId="168" fontId="13294" fillId="13298" borderId="13245" xfId="0" applyNumberFormat="1" applyFont="1" applyFill="1" applyBorder="1"/>
    <xf numFmtId="165" fontId="13295" fillId="13299" borderId="13246" xfId="0" applyNumberFormat="1" applyFont="1" applyFill="1" applyBorder="1"/>
    <xf numFmtId="0" fontId="13296" fillId="13300" borderId="13247" xfId="0" applyFont="1" applyFill="1" applyBorder="1" applyAlignment="1">
      <alignment horizontal="center"/>
    </xf>
    <xf numFmtId="0" fontId="13297" fillId="13301" borderId="13248" xfId="0" applyFont="1" applyFill="1" applyBorder="1" applyAlignment="1">
      <alignment horizontal="center"/>
    </xf>
    <xf numFmtId="0" fontId="13298" fillId="13302" borderId="13249" xfId="0" applyFont="1" applyFill="1" applyBorder="1"/>
    <xf numFmtId="165" fontId="13299" fillId="13303" borderId="13250" xfId="0" applyNumberFormat="1" applyFont="1" applyFill="1" applyBorder="1"/>
    <xf numFmtId="0" fontId="13300" fillId="13304" borderId="13251" xfId="0" applyFont="1" applyFill="1" applyBorder="1"/>
    <xf numFmtId="0" fontId="13301" fillId="13305" borderId="13252" xfId="0" applyFont="1" applyFill="1" applyBorder="1" applyAlignment="1">
      <alignment horizontal="center"/>
    </xf>
    <xf numFmtId="14" fontId="13302" fillId="13306" borderId="13253" xfId="0" applyNumberFormat="1" applyFont="1" applyFill="1" applyBorder="1"/>
    <xf numFmtId="0" fontId="13303" fillId="13307" borderId="13254" xfId="0" applyFont="1" applyFill="1" applyBorder="1" applyAlignment="1">
      <alignment horizontal="center"/>
    </xf>
    <xf numFmtId="0" fontId="13304" fillId="13308" borderId="13255" xfId="0" applyFont="1" applyFill="1" applyBorder="1"/>
    <xf numFmtId="0" fontId="13305" fillId="13309" borderId="13256" xfId="0" applyFont="1" applyFill="1" applyBorder="1"/>
    <xf numFmtId="165" fontId="13306" fillId="13310" borderId="13257" xfId="0" applyNumberFormat="1" applyFont="1" applyFill="1" applyBorder="1"/>
    <xf numFmtId="165" fontId="13307" fillId="13311" borderId="13258" xfId="0" applyNumberFormat="1" applyFont="1" applyFill="1" applyBorder="1"/>
    <xf numFmtId="169" fontId="13308" fillId="13312" borderId="13259" xfId="0" applyNumberFormat="1" applyFont="1" applyFill="1" applyBorder="1"/>
    <xf numFmtId="168" fontId="13309" fillId="13313" borderId="13260" xfId="0" applyNumberFormat="1" applyFont="1" applyFill="1" applyBorder="1"/>
    <xf numFmtId="165" fontId="13310" fillId="13314" borderId="13261" xfId="0" applyNumberFormat="1" applyFont="1" applyFill="1" applyBorder="1"/>
    <xf numFmtId="0" fontId="13311" fillId="13315" borderId="13262" xfId="0" applyFont="1" applyFill="1" applyBorder="1" applyAlignment="1">
      <alignment horizontal="center"/>
    </xf>
    <xf numFmtId="0" fontId="13312" fillId="13316" borderId="13263" xfId="0" applyFont="1" applyFill="1" applyBorder="1" applyAlignment="1">
      <alignment horizontal="center"/>
    </xf>
    <xf numFmtId="0" fontId="13313" fillId="13317" borderId="13264" xfId="0" applyFont="1" applyFill="1" applyBorder="1"/>
    <xf numFmtId="165" fontId="13314" fillId="13318" borderId="13265" xfId="0" applyNumberFormat="1" applyFont="1" applyFill="1" applyBorder="1"/>
    <xf numFmtId="0" fontId="13315" fillId="13319" borderId="13266" xfId="0" applyFont="1" applyFill="1" applyBorder="1"/>
    <xf numFmtId="0" fontId="13316" fillId="13320" borderId="13267" xfId="0" applyFont="1" applyFill="1" applyBorder="1" applyAlignment="1">
      <alignment horizontal="center"/>
    </xf>
    <xf numFmtId="14" fontId="13317" fillId="13321" borderId="13268" xfId="0" applyNumberFormat="1" applyFont="1" applyFill="1" applyBorder="1"/>
    <xf numFmtId="0" fontId="13318" fillId="13322" borderId="13269" xfId="0" applyFont="1" applyFill="1" applyBorder="1" applyAlignment="1">
      <alignment horizontal="center"/>
    </xf>
    <xf numFmtId="0" fontId="13319" fillId="13323" borderId="13270" xfId="0" applyFont="1" applyFill="1" applyBorder="1"/>
    <xf numFmtId="0" fontId="13320" fillId="13324" borderId="13271" xfId="0" applyFont="1" applyFill="1" applyBorder="1"/>
    <xf numFmtId="165" fontId="13321" fillId="13325" borderId="13272" xfId="0" applyNumberFormat="1" applyFont="1" applyFill="1" applyBorder="1"/>
    <xf numFmtId="165" fontId="13322" fillId="13326" borderId="13273" xfId="0" applyNumberFormat="1" applyFont="1" applyFill="1" applyBorder="1"/>
    <xf numFmtId="169" fontId="13323" fillId="13327" borderId="13274" xfId="0" applyNumberFormat="1" applyFont="1" applyFill="1" applyBorder="1"/>
    <xf numFmtId="168" fontId="13324" fillId="13328" borderId="13275" xfId="0" applyNumberFormat="1" applyFont="1" applyFill="1" applyBorder="1"/>
    <xf numFmtId="165" fontId="13325" fillId="13329" borderId="13276" xfId="0" applyNumberFormat="1" applyFont="1" applyFill="1" applyBorder="1"/>
    <xf numFmtId="0" fontId="13326" fillId="13330" borderId="13277" xfId="0" applyFont="1" applyFill="1" applyBorder="1" applyAlignment="1">
      <alignment horizontal="center"/>
    </xf>
    <xf numFmtId="0" fontId="13327" fillId="13331" borderId="13278" xfId="0" applyFont="1" applyFill="1" applyBorder="1" applyAlignment="1">
      <alignment horizontal="center"/>
    </xf>
    <xf numFmtId="0" fontId="13328" fillId="13332" borderId="13279" xfId="0" applyFont="1" applyFill="1" applyBorder="1"/>
    <xf numFmtId="165" fontId="13329" fillId="13333" borderId="13280" xfId="0" applyNumberFormat="1" applyFont="1" applyFill="1" applyBorder="1"/>
    <xf numFmtId="0" fontId="13330" fillId="13334" borderId="13281" xfId="0" applyFont="1" applyFill="1" applyBorder="1"/>
    <xf numFmtId="0" fontId="13331" fillId="13335" borderId="13282" xfId="0" applyFont="1" applyFill="1" applyBorder="1" applyAlignment="1">
      <alignment horizontal="center"/>
    </xf>
    <xf numFmtId="14" fontId="13332" fillId="13336" borderId="13283" xfId="0" applyNumberFormat="1" applyFont="1" applyFill="1" applyBorder="1"/>
    <xf numFmtId="0" fontId="13333" fillId="13337" borderId="13284" xfId="0" applyFont="1" applyFill="1" applyBorder="1" applyAlignment="1">
      <alignment horizontal="center"/>
    </xf>
    <xf numFmtId="0" fontId="13334" fillId="13338" borderId="13285" xfId="0" applyFont="1" applyFill="1" applyBorder="1"/>
    <xf numFmtId="0" fontId="13335" fillId="13339" borderId="13286" xfId="0" applyFont="1" applyFill="1" applyBorder="1"/>
    <xf numFmtId="165" fontId="13336" fillId="13340" borderId="13287" xfId="0" applyNumberFormat="1" applyFont="1" applyFill="1" applyBorder="1"/>
    <xf numFmtId="165" fontId="13337" fillId="13341" borderId="13288" xfId="0" applyNumberFormat="1" applyFont="1" applyFill="1" applyBorder="1"/>
    <xf numFmtId="169" fontId="13338" fillId="13342" borderId="13289" xfId="0" applyNumberFormat="1" applyFont="1" applyFill="1" applyBorder="1"/>
    <xf numFmtId="168" fontId="13339" fillId="13343" borderId="13290" xfId="0" applyNumberFormat="1" applyFont="1" applyFill="1" applyBorder="1"/>
    <xf numFmtId="165" fontId="13340" fillId="13344" borderId="13291" xfId="0" applyNumberFormat="1" applyFont="1" applyFill="1" applyBorder="1"/>
    <xf numFmtId="0" fontId="13341" fillId="13345" borderId="13292" xfId="0" applyFont="1" applyFill="1" applyBorder="1" applyAlignment="1">
      <alignment horizontal="center"/>
    </xf>
    <xf numFmtId="0" fontId="13342" fillId="13346" borderId="13293" xfId="0" applyFont="1" applyFill="1" applyBorder="1" applyAlignment="1">
      <alignment horizontal="center"/>
    </xf>
    <xf numFmtId="0" fontId="13343" fillId="13347" borderId="13294" xfId="0" applyFont="1" applyFill="1" applyBorder="1"/>
    <xf numFmtId="165" fontId="13344" fillId="13348" borderId="13295" xfId="0" applyNumberFormat="1" applyFont="1" applyFill="1" applyBorder="1"/>
    <xf numFmtId="0" fontId="13345" fillId="13349" borderId="13296" xfId="0" applyFont="1" applyFill="1" applyBorder="1"/>
    <xf numFmtId="0" fontId="13346" fillId="13350" borderId="13297" xfId="0" applyFont="1" applyFill="1" applyBorder="1" applyAlignment="1">
      <alignment horizontal="center"/>
    </xf>
    <xf numFmtId="14" fontId="13347" fillId="13351" borderId="13298" xfId="0" applyNumberFormat="1" applyFont="1" applyFill="1" applyBorder="1"/>
    <xf numFmtId="0" fontId="13348" fillId="13352" borderId="13299" xfId="0" applyFont="1" applyFill="1" applyBorder="1" applyAlignment="1">
      <alignment horizontal="center"/>
    </xf>
    <xf numFmtId="0" fontId="13349" fillId="13353" borderId="13300" xfId="0" applyFont="1" applyFill="1" applyBorder="1"/>
    <xf numFmtId="0" fontId="13350" fillId="13354" borderId="13301" xfId="0" applyFont="1" applyFill="1" applyBorder="1"/>
    <xf numFmtId="165" fontId="13351" fillId="13355" borderId="13302" xfId="0" applyNumberFormat="1" applyFont="1" applyFill="1" applyBorder="1"/>
    <xf numFmtId="165" fontId="13352" fillId="13356" borderId="13303" xfId="0" applyNumberFormat="1" applyFont="1" applyFill="1" applyBorder="1"/>
    <xf numFmtId="169" fontId="13353" fillId="13357" borderId="13304" xfId="0" applyNumberFormat="1" applyFont="1" applyFill="1" applyBorder="1"/>
    <xf numFmtId="168" fontId="13354" fillId="13358" borderId="13305" xfId="0" applyNumberFormat="1" applyFont="1" applyFill="1" applyBorder="1"/>
    <xf numFmtId="165" fontId="13355" fillId="13359" borderId="13306" xfId="0" applyNumberFormat="1" applyFont="1" applyFill="1" applyBorder="1"/>
    <xf numFmtId="0" fontId="13356" fillId="13360" borderId="13307" xfId="0" applyFont="1" applyFill="1" applyBorder="1" applyAlignment="1">
      <alignment horizontal="center"/>
    </xf>
    <xf numFmtId="0" fontId="13357" fillId="13361" borderId="13308" xfId="0" applyFont="1" applyFill="1" applyBorder="1" applyAlignment="1">
      <alignment horizontal="center"/>
    </xf>
    <xf numFmtId="0" fontId="13358" fillId="13362" borderId="13309" xfId="0" applyFont="1" applyFill="1" applyBorder="1"/>
    <xf numFmtId="165" fontId="13359" fillId="13363" borderId="13310" xfId="0" applyNumberFormat="1" applyFont="1" applyFill="1" applyBorder="1"/>
    <xf numFmtId="0" fontId="13360" fillId="13364" borderId="13311" xfId="0" applyFont="1" applyFill="1" applyBorder="1"/>
    <xf numFmtId="0" fontId="13361" fillId="13365" borderId="13312" xfId="0" applyFont="1" applyFill="1" applyBorder="1" applyAlignment="1">
      <alignment horizontal="center"/>
    </xf>
    <xf numFmtId="14" fontId="13362" fillId="13366" borderId="13313" xfId="0" applyNumberFormat="1" applyFont="1" applyFill="1" applyBorder="1"/>
    <xf numFmtId="0" fontId="13363" fillId="13367" borderId="13314" xfId="0" applyFont="1" applyFill="1" applyBorder="1" applyAlignment="1">
      <alignment horizontal="center"/>
    </xf>
    <xf numFmtId="0" fontId="13364" fillId="13368" borderId="13315" xfId="0" applyFont="1" applyFill="1" applyBorder="1"/>
    <xf numFmtId="0" fontId="13365" fillId="13369" borderId="13316" xfId="0" applyFont="1" applyFill="1" applyBorder="1"/>
    <xf numFmtId="165" fontId="13366" fillId="13370" borderId="13317" xfId="0" applyNumberFormat="1" applyFont="1" applyFill="1" applyBorder="1"/>
    <xf numFmtId="165" fontId="13367" fillId="13371" borderId="13318" xfId="0" applyNumberFormat="1" applyFont="1" applyFill="1" applyBorder="1"/>
    <xf numFmtId="169" fontId="13368" fillId="13372" borderId="13319" xfId="0" applyNumberFormat="1" applyFont="1" applyFill="1" applyBorder="1"/>
    <xf numFmtId="168" fontId="13369" fillId="13373" borderId="13320" xfId="0" applyNumberFormat="1" applyFont="1" applyFill="1" applyBorder="1"/>
    <xf numFmtId="165" fontId="13370" fillId="13374" borderId="13321" xfId="0" applyNumberFormat="1" applyFont="1" applyFill="1" applyBorder="1"/>
    <xf numFmtId="0" fontId="13371" fillId="13375" borderId="13322" xfId="0" applyFont="1" applyFill="1" applyBorder="1" applyAlignment="1">
      <alignment horizontal="center"/>
    </xf>
    <xf numFmtId="0" fontId="13372" fillId="13376" borderId="13323" xfId="0" applyFont="1" applyFill="1" applyBorder="1" applyAlignment="1">
      <alignment horizontal="center"/>
    </xf>
    <xf numFmtId="0" fontId="13373" fillId="13377" borderId="13324" xfId="0" applyFont="1" applyFill="1" applyBorder="1"/>
    <xf numFmtId="165" fontId="13374" fillId="13378" borderId="13325" xfId="0" applyNumberFormat="1" applyFont="1" applyFill="1" applyBorder="1"/>
    <xf numFmtId="0" fontId="13375" fillId="13379" borderId="13326" xfId="0" applyFont="1" applyFill="1" applyBorder="1"/>
    <xf numFmtId="0" fontId="13376" fillId="13380" borderId="13327" xfId="0" applyFont="1" applyFill="1" applyBorder="1" applyAlignment="1">
      <alignment horizontal="center"/>
    </xf>
    <xf numFmtId="14" fontId="13377" fillId="13381" borderId="13328" xfId="0" applyNumberFormat="1" applyFont="1" applyFill="1" applyBorder="1"/>
    <xf numFmtId="0" fontId="13378" fillId="13382" borderId="13329" xfId="0" applyFont="1" applyFill="1" applyBorder="1" applyAlignment="1">
      <alignment horizontal="center"/>
    </xf>
    <xf numFmtId="0" fontId="13379" fillId="13383" borderId="13330" xfId="0" applyFont="1" applyFill="1" applyBorder="1"/>
    <xf numFmtId="0" fontId="13380" fillId="13384" borderId="13331" xfId="0" applyFont="1" applyFill="1" applyBorder="1"/>
    <xf numFmtId="165" fontId="13381" fillId="13385" borderId="13332" xfId="0" applyNumberFormat="1" applyFont="1" applyFill="1" applyBorder="1"/>
    <xf numFmtId="165" fontId="13382" fillId="13386" borderId="13333" xfId="0" applyNumberFormat="1" applyFont="1" applyFill="1" applyBorder="1"/>
    <xf numFmtId="169" fontId="13383" fillId="13387" borderId="13334" xfId="0" applyNumberFormat="1" applyFont="1" applyFill="1" applyBorder="1"/>
    <xf numFmtId="168" fontId="13384" fillId="13388" borderId="13335" xfId="0" applyNumberFormat="1" applyFont="1" applyFill="1" applyBorder="1"/>
    <xf numFmtId="165" fontId="13385" fillId="13389" borderId="13336" xfId="0" applyNumberFormat="1" applyFont="1" applyFill="1" applyBorder="1"/>
    <xf numFmtId="0" fontId="13386" fillId="13390" borderId="13337" xfId="0" applyFont="1" applyFill="1" applyBorder="1" applyAlignment="1">
      <alignment horizontal="center"/>
    </xf>
    <xf numFmtId="0" fontId="13387" fillId="13391" borderId="13338" xfId="0" applyFont="1" applyFill="1" applyBorder="1" applyAlignment="1">
      <alignment horizontal="center"/>
    </xf>
    <xf numFmtId="0" fontId="13388" fillId="13392" borderId="13339" xfId="0" applyFont="1" applyFill="1" applyBorder="1"/>
    <xf numFmtId="165" fontId="13389" fillId="13393" borderId="13340" xfId="0" applyNumberFormat="1" applyFont="1" applyFill="1" applyBorder="1"/>
    <xf numFmtId="0" fontId="13390" fillId="13394" borderId="13341" xfId="0" applyFont="1" applyFill="1" applyBorder="1"/>
    <xf numFmtId="0" fontId="13391" fillId="13395" borderId="13342" xfId="0" applyFont="1" applyFill="1" applyBorder="1" applyAlignment="1">
      <alignment horizontal="center"/>
    </xf>
    <xf numFmtId="14" fontId="13392" fillId="13396" borderId="13343" xfId="0" applyNumberFormat="1" applyFont="1" applyFill="1" applyBorder="1"/>
    <xf numFmtId="0" fontId="13393" fillId="13397" borderId="13344" xfId="0" applyFont="1" applyFill="1" applyBorder="1" applyAlignment="1">
      <alignment horizontal="center"/>
    </xf>
    <xf numFmtId="0" fontId="13394" fillId="13398" borderId="13345" xfId="0" applyFont="1" applyFill="1" applyBorder="1"/>
    <xf numFmtId="0" fontId="13395" fillId="13399" borderId="13346" xfId="0" applyFont="1" applyFill="1" applyBorder="1"/>
    <xf numFmtId="165" fontId="13396" fillId="13400" borderId="13347" xfId="0" applyNumberFormat="1" applyFont="1" applyFill="1" applyBorder="1"/>
    <xf numFmtId="165" fontId="13397" fillId="13401" borderId="13348" xfId="0" applyNumberFormat="1" applyFont="1" applyFill="1" applyBorder="1"/>
    <xf numFmtId="169" fontId="13398" fillId="13402" borderId="13349" xfId="0" applyNumberFormat="1" applyFont="1" applyFill="1" applyBorder="1"/>
    <xf numFmtId="168" fontId="13399" fillId="13403" borderId="13350" xfId="0" applyNumberFormat="1" applyFont="1" applyFill="1" applyBorder="1"/>
    <xf numFmtId="165" fontId="13400" fillId="13404" borderId="13351" xfId="0" applyNumberFormat="1" applyFont="1" applyFill="1" applyBorder="1"/>
    <xf numFmtId="0" fontId="13401" fillId="13405" borderId="13352" xfId="0" applyFont="1" applyFill="1" applyBorder="1" applyAlignment="1">
      <alignment horizontal="center"/>
    </xf>
    <xf numFmtId="0" fontId="13402" fillId="13406" borderId="13353" xfId="0" applyFont="1" applyFill="1" applyBorder="1" applyAlignment="1">
      <alignment horizontal="center"/>
    </xf>
    <xf numFmtId="0" fontId="13403" fillId="13407" borderId="13354" xfId="0" applyFont="1" applyFill="1" applyBorder="1"/>
    <xf numFmtId="165" fontId="13404" fillId="13408" borderId="13355" xfId="0" applyNumberFormat="1" applyFont="1" applyFill="1" applyBorder="1"/>
    <xf numFmtId="0" fontId="13405" fillId="13409" borderId="13356" xfId="0" applyFont="1" applyFill="1" applyBorder="1"/>
    <xf numFmtId="0" fontId="13406" fillId="13410" borderId="13357" xfId="0" applyFont="1" applyFill="1" applyBorder="1" applyAlignment="1">
      <alignment horizontal="center"/>
    </xf>
    <xf numFmtId="14" fontId="13407" fillId="13411" borderId="13358" xfId="0" applyNumberFormat="1" applyFont="1" applyFill="1" applyBorder="1"/>
    <xf numFmtId="0" fontId="13408" fillId="13412" borderId="13359" xfId="0" applyFont="1" applyFill="1" applyBorder="1" applyAlignment="1">
      <alignment horizontal="center"/>
    </xf>
    <xf numFmtId="0" fontId="13409" fillId="13413" borderId="13360" xfId="0" applyFont="1" applyFill="1" applyBorder="1"/>
    <xf numFmtId="0" fontId="13410" fillId="13414" borderId="13361" xfId="0" applyFont="1" applyFill="1" applyBorder="1"/>
    <xf numFmtId="165" fontId="13411" fillId="13415" borderId="13362" xfId="0" applyNumberFormat="1" applyFont="1" applyFill="1" applyBorder="1"/>
    <xf numFmtId="165" fontId="13412" fillId="13416" borderId="13363" xfId="0" applyNumberFormat="1" applyFont="1" applyFill="1" applyBorder="1"/>
    <xf numFmtId="169" fontId="13413" fillId="13417" borderId="13364" xfId="0" applyNumberFormat="1" applyFont="1" applyFill="1" applyBorder="1"/>
    <xf numFmtId="168" fontId="13414" fillId="13418" borderId="13365" xfId="0" applyNumberFormat="1" applyFont="1" applyFill="1" applyBorder="1"/>
    <xf numFmtId="165" fontId="13415" fillId="13419" borderId="13366" xfId="0" applyNumberFormat="1" applyFont="1" applyFill="1" applyBorder="1"/>
    <xf numFmtId="0" fontId="13416" fillId="13420" borderId="13367" xfId="0" applyFont="1" applyFill="1" applyBorder="1" applyAlignment="1">
      <alignment horizontal="center"/>
    </xf>
    <xf numFmtId="0" fontId="13417" fillId="13421" borderId="13368" xfId="0" applyFont="1" applyFill="1" applyBorder="1" applyAlignment="1">
      <alignment horizontal="center"/>
    </xf>
    <xf numFmtId="0" fontId="13418" fillId="13422" borderId="13369" xfId="0" applyFont="1" applyFill="1" applyBorder="1"/>
    <xf numFmtId="165" fontId="13419" fillId="13423" borderId="13370" xfId="0" applyNumberFormat="1" applyFont="1" applyFill="1" applyBorder="1"/>
    <xf numFmtId="0" fontId="13420" fillId="13424" borderId="13371" xfId="0" applyFont="1" applyFill="1" applyBorder="1"/>
    <xf numFmtId="0" fontId="13421" fillId="13425" borderId="13372" xfId="0" applyFont="1" applyFill="1" applyBorder="1" applyAlignment="1">
      <alignment horizontal="center"/>
    </xf>
    <xf numFmtId="14" fontId="13422" fillId="13426" borderId="13373" xfId="0" applyNumberFormat="1" applyFont="1" applyFill="1" applyBorder="1"/>
    <xf numFmtId="0" fontId="13423" fillId="13427" borderId="13374" xfId="0" applyFont="1" applyFill="1" applyBorder="1" applyAlignment="1">
      <alignment horizontal="center"/>
    </xf>
    <xf numFmtId="0" fontId="13424" fillId="13428" borderId="13375" xfId="0" applyFont="1" applyFill="1" applyBorder="1"/>
    <xf numFmtId="0" fontId="13425" fillId="13429" borderId="13376" xfId="0" applyFont="1" applyFill="1" applyBorder="1"/>
    <xf numFmtId="165" fontId="13426" fillId="13430" borderId="13377" xfId="0" applyNumberFormat="1" applyFont="1" applyFill="1" applyBorder="1"/>
    <xf numFmtId="165" fontId="13427" fillId="13431" borderId="13378" xfId="0" applyNumberFormat="1" applyFont="1" applyFill="1" applyBorder="1"/>
    <xf numFmtId="169" fontId="13428" fillId="13432" borderId="13379" xfId="0" applyNumberFormat="1" applyFont="1" applyFill="1" applyBorder="1"/>
    <xf numFmtId="168" fontId="13429" fillId="13433" borderId="13380" xfId="0" applyNumberFormat="1" applyFont="1" applyFill="1" applyBorder="1"/>
    <xf numFmtId="165" fontId="13430" fillId="13434" borderId="13381" xfId="0" applyNumberFormat="1" applyFont="1" applyFill="1" applyBorder="1"/>
    <xf numFmtId="0" fontId="13431" fillId="13435" borderId="13382" xfId="0" applyFont="1" applyFill="1" applyBorder="1" applyAlignment="1">
      <alignment horizontal="center"/>
    </xf>
    <xf numFmtId="0" fontId="13432" fillId="13436" borderId="13383" xfId="0" applyFont="1" applyFill="1" applyBorder="1" applyAlignment="1">
      <alignment horizontal="center"/>
    </xf>
    <xf numFmtId="0" fontId="13433" fillId="13437" borderId="13384" xfId="0" applyFont="1" applyFill="1" applyBorder="1"/>
    <xf numFmtId="165" fontId="13434" fillId="13438" borderId="13385" xfId="0" applyNumberFormat="1" applyFont="1" applyFill="1" applyBorder="1"/>
    <xf numFmtId="0" fontId="13435" fillId="13439" borderId="13386" xfId="0" applyFont="1" applyFill="1" applyBorder="1"/>
    <xf numFmtId="0" fontId="13436" fillId="13440" borderId="13387" xfId="0" applyFont="1" applyFill="1" applyBorder="1" applyAlignment="1">
      <alignment horizontal="center"/>
    </xf>
    <xf numFmtId="14" fontId="13437" fillId="13441" borderId="13388" xfId="0" applyNumberFormat="1" applyFont="1" applyFill="1" applyBorder="1"/>
    <xf numFmtId="0" fontId="13438" fillId="13442" borderId="13389" xfId="0" applyFont="1" applyFill="1" applyBorder="1" applyAlignment="1">
      <alignment horizontal="center"/>
    </xf>
    <xf numFmtId="0" fontId="13439" fillId="13443" borderId="13390" xfId="0" applyFont="1" applyFill="1" applyBorder="1"/>
    <xf numFmtId="0" fontId="13440" fillId="13444" borderId="13391" xfId="0" applyFont="1" applyFill="1" applyBorder="1"/>
    <xf numFmtId="165" fontId="13441" fillId="13445" borderId="13392" xfId="0" applyNumberFormat="1" applyFont="1" applyFill="1" applyBorder="1"/>
    <xf numFmtId="165" fontId="13442" fillId="13446" borderId="13393" xfId="0" applyNumberFormat="1" applyFont="1" applyFill="1" applyBorder="1"/>
    <xf numFmtId="169" fontId="13443" fillId="13447" borderId="13394" xfId="0" applyNumberFormat="1" applyFont="1" applyFill="1" applyBorder="1"/>
    <xf numFmtId="168" fontId="13444" fillId="13448" borderId="13395" xfId="0" applyNumberFormat="1" applyFont="1" applyFill="1" applyBorder="1"/>
    <xf numFmtId="165" fontId="13445" fillId="13449" borderId="13396" xfId="0" applyNumberFormat="1" applyFont="1" applyFill="1" applyBorder="1"/>
    <xf numFmtId="0" fontId="13446" fillId="13450" borderId="13397" xfId="0" applyFont="1" applyFill="1" applyBorder="1" applyAlignment="1">
      <alignment horizontal="center"/>
    </xf>
    <xf numFmtId="0" fontId="13447" fillId="13451" borderId="13398" xfId="0" applyFont="1" applyFill="1" applyBorder="1" applyAlignment="1">
      <alignment horizontal="center"/>
    </xf>
    <xf numFmtId="0" fontId="13448" fillId="13452" borderId="13399" xfId="0" applyFont="1" applyFill="1" applyBorder="1"/>
    <xf numFmtId="165" fontId="13449" fillId="13453" borderId="13400" xfId="0" applyNumberFormat="1" applyFont="1" applyFill="1" applyBorder="1"/>
    <xf numFmtId="0" fontId="13450" fillId="13454" borderId="13401" xfId="0" applyFont="1" applyFill="1" applyBorder="1"/>
    <xf numFmtId="0" fontId="13451" fillId="13455" borderId="13402" xfId="0" applyFont="1" applyFill="1" applyBorder="1" applyAlignment="1">
      <alignment horizontal="center"/>
    </xf>
    <xf numFmtId="14" fontId="13452" fillId="13456" borderId="13403" xfId="0" applyNumberFormat="1" applyFont="1" applyFill="1" applyBorder="1"/>
    <xf numFmtId="0" fontId="13453" fillId="13457" borderId="13404" xfId="0" applyFont="1" applyFill="1" applyBorder="1" applyAlignment="1">
      <alignment horizontal="center"/>
    </xf>
    <xf numFmtId="0" fontId="13454" fillId="13458" borderId="13405" xfId="0" applyFont="1" applyFill="1" applyBorder="1"/>
    <xf numFmtId="0" fontId="13455" fillId="13459" borderId="13406" xfId="0" applyFont="1" applyFill="1" applyBorder="1"/>
    <xf numFmtId="165" fontId="13456" fillId="13460" borderId="13407" xfId="0" applyNumberFormat="1" applyFont="1" applyFill="1" applyBorder="1"/>
    <xf numFmtId="165" fontId="13457" fillId="13461" borderId="13408" xfId="0" applyNumberFormat="1" applyFont="1" applyFill="1" applyBorder="1"/>
    <xf numFmtId="169" fontId="13458" fillId="13462" borderId="13409" xfId="0" applyNumberFormat="1" applyFont="1" applyFill="1" applyBorder="1"/>
    <xf numFmtId="168" fontId="13459" fillId="13463" borderId="13410" xfId="0" applyNumberFormat="1" applyFont="1" applyFill="1" applyBorder="1"/>
    <xf numFmtId="165" fontId="13460" fillId="13464" borderId="13411" xfId="0" applyNumberFormat="1" applyFont="1" applyFill="1" applyBorder="1"/>
    <xf numFmtId="0" fontId="13461" fillId="13465" borderId="13412" xfId="0" applyFont="1" applyFill="1" applyBorder="1" applyAlignment="1">
      <alignment horizontal="center"/>
    </xf>
    <xf numFmtId="0" fontId="13462" fillId="13466" borderId="13413" xfId="0" applyFont="1" applyFill="1" applyBorder="1" applyAlignment="1">
      <alignment horizontal="center"/>
    </xf>
    <xf numFmtId="0" fontId="13463" fillId="13467" borderId="13414" xfId="0" applyFont="1" applyFill="1" applyBorder="1"/>
    <xf numFmtId="165" fontId="13464" fillId="13468" borderId="13415" xfId="0" applyNumberFormat="1" applyFont="1" applyFill="1" applyBorder="1"/>
    <xf numFmtId="0" fontId="13465" fillId="13469" borderId="13416" xfId="0" applyFont="1" applyFill="1" applyBorder="1"/>
    <xf numFmtId="0" fontId="13466" fillId="13470" borderId="13417" xfId="0" applyFont="1" applyFill="1" applyBorder="1" applyAlignment="1">
      <alignment horizontal="center"/>
    </xf>
    <xf numFmtId="14" fontId="13467" fillId="13471" borderId="13418" xfId="0" applyNumberFormat="1" applyFont="1" applyFill="1" applyBorder="1"/>
    <xf numFmtId="0" fontId="13468" fillId="13472" borderId="13419" xfId="0" applyFont="1" applyFill="1" applyBorder="1" applyAlignment="1">
      <alignment horizontal="center"/>
    </xf>
    <xf numFmtId="0" fontId="13469" fillId="13473" borderId="13420" xfId="0" applyFont="1" applyFill="1" applyBorder="1"/>
    <xf numFmtId="0" fontId="13470" fillId="13474" borderId="13421" xfId="0" applyFont="1" applyFill="1" applyBorder="1"/>
    <xf numFmtId="165" fontId="13471" fillId="13475" borderId="13422" xfId="0" applyNumberFormat="1" applyFont="1" applyFill="1" applyBorder="1"/>
    <xf numFmtId="165" fontId="13472" fillId="13476" borderId="13423" xfId="0" applyNumberFormat="1" applyFont="1" applyFill="1" applyBorder="1"/>
    <xf numFmtId="169" fontId="13473" fillId="13477" borderId="13424" xfId="0" applyNumberFormat="1" applyFont="1" applyFill="1" applyBorder="1"/>
    <xf numFmtId="168" fontId="13474" fillId="13478" borderId="13425" xfId="0" applyNumberFormat="1" applyFont="1" applyFill="1" applyBorder="1"/>
    <xf numFmtId="165" fontId="13475" fillId="13479" borderId="13426" xfId="0" applyNumberFormat="1" applyFont="1" applyFill="1" applyBorder="1"/>
    <xf numFmtId="0" fontId="13476" fillId="13480" borderId="13427" xfId="0" applyFont="1" applyFill="1" applyBorder="1" applyAlignment="1">
      <alignment horizontal="center"/>
    </xf>
    <xf numFmtId="0" fontId="13477" fillId="13481" borderId="13428" xfId="0" applyFont="1" applyFill="1" applyBorder="1" applyAlignment="1">
      <alignment horizontal="center"/>
    </xf>
    <xf numFmtId="0" fontId="13478" fillId="13482" borderId="13429" xfId="0" applyFont="1" applyFill="1" applyBorder="1"/>
    <xf numFmtId="165" fontId="13479" fillId="13483" borderId="13430" xfId="0" applyNumberFormat="1" applyFont="1" applyFill="1" applyBorder="1"/>
    <xf numFmtId="0" fontId="13480" fillId="13484" borderId="13431" xfId="0" applyFont="1" applyFill="1" applyBorder="1"/>
    <xf numFmtId="0" fontId="13481" fillId="13485" borderId="13432" xfId="0" applyFont="1" applyFill="1" applyBorder="1" applyAlignment="1">
      <alignment horizontal="center"/>
    </xf>
    <xf numFmtId="14" fontId="13482" fillId="13486" borderId="13433" xfId="0" applyNumberFormat="1" applyFont="1" applyFill="1" applyBorder="1"/>
    <xf numFmtId="0" fontId="13483" fillId="13487" borderId="13434" xfId="0" applyFont="1" applyFill="1" applyBorder="1" applyAlignment="1">
      <alignment horizontal="center"/>
    </xf>
    <xf numFmtId="0" fontId="13484" fillId="13488" borderId="13435" xfId="0" applyFont="1" applyFill="1" applyBorder="1"/>
    <xf numFmtId="0" fontId="13485" fillId="13489" borderId="13436" xfId="0" applyFont="1" applyFill="1" applyBorder="1"/>
    <xf numFmtId="165" fontId="13486" fillId="13490" borderId="13437" xfId="0" applyNumberFormat="1" applyFont="1" applyFill="1" applyBorder="1"/>
    <xf numFmtId="165" fontId="13487" fillId="13491" borderId="13438" xfId="0" applyNumberFormat="1" applyFont="1" applyFill="1" applyBorder="1"/>
    <xf numFmtId="169" fontId="13488" fillId="13492" borderId="13439" xfId="0" applyNumberFormat="1" applyFont="1" applyFill="1" applyBorder="1"/>
    <xf numFmtId="168" fontId="13489" fillId="13493" borderId="13440" xfId="0" applyNumberFormat="1" applyFont="1" applyFill="1" applyBorder="1"/>
    <xf numFmtId="165" fontId="13490" fillId="13494" borderId="13441" xfId="0" applyNumberFormat="1" applyFont="1" applyFill="1" applyBorder="1"/>
    <xf numFmtId="0" fontId="13491" fillId="13495" borderId="13442" xfId="0" applyFont="1" applyFill="1" applyBorder="1" applyAlignment="1">
      <alignment horizontal="center"/>
    </xf>
    <xf numFmtId="0" fontId="13492" fillId="13496" borderId="13443" xfId="0" applyFont="1" applyFill="1" applyBorder="1" applyAlignment="1">
      <alignment horizontal="center"/>
    </xf>
    <xf numFmtId="0" fontId="13493" fillId="13497" borderId="13444" xfId="0" applyFont="1" applyFill="1" applyBorder="1"/>
    <xf numFmtId="165" fontId="13494" fillId="13498" borderId="13445" xfId="0" applyNumberFormat="1" applyFont="1" applyFill="1" applyBorder="1"/>
    <xf numFmtId="0" fontId="13495" fillId="13499" borderId="13446" xfId="0" applyFont="1" applyFill="1" applyBorder="1"/>
    <xf numFmtId="0" fontId="13496" fillId="13500" borderId="13447" xfId="0" applyFont="1" applyFill="1" applyBorder="1" applyAlignment="1">
      <alignment horizontal="center"/>
    </xf>
    <xf numFmtId="14" fontId="13497" fillId="13501" borderId="13448" xfId="0" applyNumberFormat="1" applyFont="1" applyFill="1" applyBorder="1"/>
    <xf numFmtId="0" fontId="13498" fillId="13502" borderId="13449" xfId="0" applyFont="1" applyFill="1" applyBorder="1" applyAlignment="1">
      <alignment horizontal="center"/>
    </xf>
    <xf numFmtId="0" fontId="13499" fillId="13503" borderId="13450" xfId="0" applyFont="1" applyFill="1" applyBorder="1"/>
    <xf numFmtId="0" fontId="13500" fillId="13504" borderId="13451" xfId="0" applyFont="1" applyFill="1" applyBorder="1"/>
    <xf numFmtId="165" fontId="13501" fillId="13505" borderId="13452" xfId="0" applyNumberFormat="1" applyFont="1" applyFill="1" applyBorder="1"/>
    <xf numFmtId="165" fontId="13502" fillId="13506" borderId="13453" xfId="0" applyNumberFormat="1" applyFont="1" applyFill="1" applyBorder="1"/>
    <xf numFmtId="169" fontId="13503" fillId="13507" borderId="13454" xfId="0" applyNumberFormat="1" applyFont="1" applyFill="1" applyBorder="1"/>
    <xf numFmtId="168" fontId="13504" fillId="13508" borderId="13455" xfId="0" applyNumberFormat="1" applyFont="1" applyFill="1" applyBorder="1"/>
    <xf numFmtId="165" fontId="13505" fillId="13509" borderId="13456" xfId="0" applyNumberFormat="1" applyFont="1" applyFill="1" applyBorder="1"/>
    <xf numFmtId="0" fontId="13506" fillId="13510" borderId="13457" xfId="0" applyFont="1" applyFill="1" applyBorder="1" applyAlignment="1">
      <alignment horizontal="center"/>
    </xf>
    <xf numFmtId="0" fontId="13507" fillId="13511" borderId="13458" xfId="0" applyFont="1" applyFill="1" applyBorder="1" applyAlignment="1">
      <alignment horizontal="center"/>
    </xf>
    <xf numFmtId="0" fontId="13508" fillId="13512" borderId="13459" xfId="0" applyFont="1" applyFill="1" applyBorder="1"/>
    <xf numFmtId="165" fontId="13509" fillId="13513" borderId="13460" xfId="0" applyNumberFormat="1" applyFont="1" applyFill="1" applyBorder="1"/>
    <xf numFmtId="0" fontId="13510" fillId="13514" borderId="13461" xfId="0" applyFont="1" applyFill="1" applyBorder="1"/>
    <xf numFmtId="0" fontId="13511" fillId="13515" borderId="13462" xfId="0" applyFont="1" applyFill="1" applyBorder="1" applyAlignment="1">
      <alignment horizontal="center"/>
    </xf>
    <xf numFmtId="14" fontId="13512" fillId="13516" borderId="13463" xfId="0" applyNumberFormat="1" applyFont="1" applyFill="1" applyBorder="1"/>
    <xf numFmtId="0" fontId="13513" fillId="13517" borderId="13464" xfId="0" applyFont="1" applyFill="1" applyBorder="1" applyAlignment="1">
      <alignment horizontal="center"/>
    </xf>
    <xf numFmtId="0" fontId="13514" fillId="13518" borderId="13465" xfId="0" applyFont="1" applyFill="1" applyBorder="1"/>
    <xf numFmtId="0" fontId="13515" fillId="13519" borderId="13466" xfId="0" applyFont="1" applyFill="1" applyBorder="1"/>
    <xf numFmtId="165" fontId="13516" fillId="13520" borderId="13467" xfId="0" applyNumberFormat="1" applyFont="1" applyFill="1" applyBorder="1"/>
    <xf numFmtId="165" fontId="13517" fillId="13521" borderId="13468" xfId="0" applyNumberFormat="1" applyFont="1" applyFill="1" applyBorder="1"/>
    <xf numFmtId="169" fontId="13518" fillId="13522" borderId="13469" xfId="0" applyNumberFormat="1" applyFont="1" applyFill="1" applyBorder="1"/>
    <xf numFmtId="168" fontId="13519" fillId="13523" borderId="13470" xfId="0" applyNumberFormat="1" applyFont="1" applyFill="1" applyBorder="1"/>
    <xf numFmtId="165" fontId="13520" fillId="13524" borderId="13471" xfId="0" applyNumberFormat="1" applyFont="1" applyFill="1" applyBorder="1"/>
    <xf numFmtId="0" fontId="13521" fillId="13525" borderId="13472" xfId="0" applyFont="1" applyFill="1" applyBorder="1" applyAlignment="1">
      <alignment horizontal="center"/>
    </xf>
    <xf numFmtId="0" fontId="13522" fillId="13526" borderId="13473" xfId="0" applyFont="1" applyFill="1" applyBorder="1" applyAlignment="1">
      <alignment horizontal="center"/>
    </xf>
    <xf numFmtId="0" fontId="13523" fillId="13527" borderId="13474" xfId="0" applyFont="1" applyFill="1" applyBorder="1"/>
    <xf numFmtId="165" fontId="13524" fillId="13528" borderId="13475" xfId="0" applyNumberFormat="1" applyFont="1" applyFill="1" applyBorder="1"/>
    <xf numFmtId="0" fontId="13525" fillId="13529" borderId="13476" xfId="0" applyFont="1" applyFill="1" applyBorder="1"/>
    <xf numFmtId="0" fontId="13526" fillId="13530" borderId="13477" xfId="0" applyFont="1" applyFill="1" applyBorder="1" applyAlignment="1">
      <alignment horizontal="center"/>
    </xf>
    <xf numFmtId="14" fontId="13527" fillId="13531" borderId="13478" xfId="0" applyNumberFormat="1" applyFont="1" applyFill="1" applyBorder="1"/>
    <xf numFmtId="0" fontId="13528" fillId="13532" borderId="13479" xfId="0" applyFont="1" applyFill="1" applyBorder="1" applyAlignment="1">
      <alignment horizontal="center"/>
    </xf>
    <xf numFmtId="0" fontId="13529" fillId="13533" borderId="13480" xfId="0" applyFont="1" applyFill="1" applyBorder="1"/>
    <xf numFmtId="0" fontId="13530" fillId="13534" borderId="13481" xfId="0" applyFont="1" applyFill="1" applyBorder="1"/>
    <xf numFmtId="165" fontId="13531" fillId="13535" borderId="13482" xfId="0" applyNumberFormat="1" applyFont="1" applyFill="1" applyBorder="1"/>
    <xf numFmtId="165" fontId="13532" fillId="13536" borderId="13483" xfId="0" applyNumberFormat="1" applyFont="1" applyFill="1" applyBorder="1"/>
    <xf numFmtId="169" fontId="13533" fillId="13537" borderId="13484" xfId="0" applyNumberFormat="1" applyFont="1" applyFill="1" applyBorder="1"/>
    <xf numFmtId="168" fontId="13534" fillId="13538" borderId="13485" xfId="0" applyNumberFormat="1" applyFont="1" applyFill="1" applyBorder="1"/>
    <xf numFmtId="165" fontId="13535" fillId="13539" borderId="13486" xfId="0" applyNumberFormat="1" applyFont="1" applyFill="1" applyBorder="1"/>
    <xf numFmtId="0" fontId="13536" fillId="13540" borderId="13487" xfId="0" applyFont="1" applyFill="1" applyBorder="1" applyAlignment="1">
      <alignment horizontal="center"/>
    </xf>
    <xf numFmtId="0" fontId="13537" fillId="13541" borderId="13488" xfId="0" applyFont="1" applyFill="1" applyBorder="1" applyAlignment="1">
      <alignment horizontal="center"/>
    </xf>
    <xf numFmtId="0" fontId="13538" fillId="13542" borderId="13489" xfId="0" applyFont="1" applyFill="1" applyBorder="1"/>
    <xf numFmtId="165" fontId="13539" fillId="13543" borderId="13490" xfId="0" applyNumberFormat="1" applyFont="1" applyFill="1" applyBorder="1"/>
    <xf numFmtId="0" fontId="13540" fillId="13544" borderId="13491" xfId="0" applyFont="1" applyFill="1" applyBorder="1"/>
    <xf numFmtId="0" fontId="13541" fillId="13545" borderId="13492" xfId="0" applyFont="1" applyFill="1" applyBorder="1" applyAlignment="1">
      <alignment horizontal="center"/>
    </xf>
    <xf numFmtId="14" fontId="13542" fillId="13546" borderId="13493" xfId="0" applyNumberFormat="1" applyFont="1" applyFill="1" applyBorder="1"/>
    <xf numFmtId="0" fontId="13543" fillId="13547" borderId="13494" xfId="0" applyFont="1" applyFill="1" applyBorder="1" applyAlignment="1">
      <alignment horizontal="center"/>
    </xf>
    <xf numFmtId="0" fontId="13544" fillId="13548" borderId="13495" xfId="0" applyFont="1" applyFill="1" applyBorder="1"/>
    <xf numFmtId="0" fontId="13545" fillId="13549" borderId="13496" xfId="0" applyFont="1" applyFill="1" applyBorder="1"/>
    <xf numFmtId="165" fontId="13546" fillId="13550" borderId="13497" xfId="0" applyNumberFormat="1" applyFont="1" applyFill="1" applyBorder="1"/>
    <xf numFmtId="165" fontId="13547" fillId="13551" borderId="13498" xfId="0" applyNumberFormat="1" applyFont="1" applyFill="1" applyBorder="1"/>
    <xf numFmtId="169" fontId="13548" fillId="13552" borderId="13499" xfId="0" applyNumberFormat="1" applyFont="1" applyFill="1" applyBorder="1"/>
    <xf numFmtId="168" fontId="13549" fillId="13553" borderId="13500" xfId="0" applyNumberFormat="1" applyFont="1" applyFill="1" applyBorder="1"/>
    <xf numFmtId="165" fontId="13550" fillId="13554" borderId="13501" xfId="0" applyNumberFormat="1" applyFont="1" applyFill="1" applyBorder="1"/>
    <xf numFmtId="0" fontId="13551" fillId="13555" borderId="13502" xfId="0" applyFont="1" applyFill="1" applyBorder="1" applyAlignment="1">
      <alignment horizontal="center"/>
    </xf>
    <xf numFmtId="0" fontId="13552" fillId="13556" borderId="13503" xfId="0" applyFont="1" applyFill="1" applyBorder="1" applyAlignment="1">
      <alignment horizontal="center"/>
    </xf>
    <xf numFmtId="0" fontId="13553" fillId="13557" borderId="13504" xfId="0" applyFont="1" applyFill="1" applyBorder="1"/>
    <xf numFmtId="165" fontId="13554" fillId="13558" borderId="13505" xfId="0" applyNumberFormat="1" applyFont="1" applyFill="1" applyBorder="1"/>
    <xf numFmtId="0" fontId="13555" fillId="13559" borderId="13506" xfId="0" applyFont="1" applyFill="1" applyBorder="1"/>
    <xf numFmtId="0" fontId="13556" fillId="13560" borderId="13507" xfId="0" applyFont="1" applyFill="1" applyBorder="1" applyAlignment="1">
      <alignment horizontal="center"/>
    </xf>
    <xf numFmtId="14" fontId="13557" fillId="13561" borderId="13508" xfId="0" applyNumberFormat="1" applyFont="1" applyFill="1" applyBorder="1"/>
    <xf numFmtId="0" fontId="13558" fillId="13562" borderId="13509" xfId="0" applyFont="1" applyFill="1" applyBorder="1" applyAlignment="1">
      <alignment horizontal="center"/>
    </xf>
    <xf numFmtId="0" fontId="13559" fillId="13563" borderId="13510" xfId="0" applyFont="1" applyFill="1" applyBorder="1"/>
    <xf numFmtId="0" fontId="13560" fillId="13564" borderId="13511" xfId="0" applyFont="1" applyFill="1" applyBorder="1"/>
    <xf numFmtId="165" fontId="13561" fillId="13565" borderId="13512" xfId="0" applyNumberFormat="1" applyFont="1" applyFill="1" applyBorder="1"/>
    <xf numFmtId="165" fontId="13562" fillId="13566" borderId="13513" xfId="0" applyNumberFormat="1" applyFont="1" applyFill="1" applyBorder="1"/>
    <xf numFmtId="169" fontId="13563" fillId="13567" borderId="13514" xfId="0" applyNumberFormat="1" applyFont="1" applyFill="1" applyBorder="1"/>
    <xf numFmtId="168" fontId="13564" fillId="13568" borderId="13515" xfId="0" applyNumberFormat="1" applyFont="1" applyFill="1" applyBorder="1"/>
    <xf numFmtId="165" fontId="13565" fillId="13569" borderId="13516" xfId="0" applyNumberFormat="1" applyFont="1" applyFill="1" applyBorder="1"/>
    <xf numFmtId="0" fontId="13566" fillId="13570" borderId="13517" xfId="0" applyFont="1" applyFill="1" applyBorder="1" applyAlignment="1">
      <alignment horizontal="center"/>
    </xf>
    <xf numFmtId="0" fontId="13567" fillId="13571" borderId="13518" xfId="0" applyFont="1" applyFill="1" applyBorder="1" applyAlignment="1">
      <alignment horizontal="center"/>
    </xf>
    <xf numFmtId="0" fontId="13568" fillId="13572" borderId="13519" xfId="0" applyFont="1" applyFill="1" applyBorder="1"/>
    <xf numFmtId="165" fontId="13569" fillId="13573" borderId="13520" xfId="0" applyNumberFormat="1" applyFont="1" applyFill="1" applyBorder="1"/>
    <xf numFmtId="0" fontId="13570" fillId="13574" borderId="13521" xfId="0" applyFont="1" applyFill="1" applyBorder="1"/>
    <xf numFmtId="0" fontId="13571" fillId="13575" borderId="13522" xfId="0" applyFont="1" applyFill="1" applyBorder="1" applyAlignment="1">
      <alignment horizontal="center"/>
    </xf>
    <xf numFmtId="14" fontId="13572" fillId="13576" borderId="13523" xfId="0" applyNumberFormat="1" applyFont="1" applyFill="1" applyBorder="1"/>
    <xf numFmtId="0" fontId="13573" fillId="13577" borderId="13524" xfId="0" applyFont="1" applyFill="1" applyBorder="1" applyAlignment="1">
      <alignment horizontal="center"/>
    </xf>
    <xf numFmtId="0" fontId="13574" fillId="13578" borderId="13525" xfId="0" applyFont="1" applyFill="1" applyBorder="1"/>
    <xf numFmtId="0" fontId="13575" fillId="13579" borderId="13526" xfId="0" applyFont="1" applyFill="1" applyBorder="1"/>
    <xf numFmtId="165" fontId="13576" fillId="13580" borderId="13527" xfId="0" applyNumberFormat="1" applyFont="1" applyFill="1" applyBorder="1"/>
    <xf numFmtId="165" fontId="13577" fillId="13581" borderId="13528" xfId="0" applyNumberFormat="1" applyFont="1" applyFill="1" applyBorder="1"/>
    <xf numFmtId="169" fontId="13578" fillId="13582" borderId="13529" xfId="0" applyNumberFormat="1" applyFont="1" applyFill="1" applyBorder="1"/>
    <xf numFmtId="168" fontId="13579" fillId="13583" borderId="13530" xfId="0" applyNumberFormat="1" applyFont="1" applyFill="1" applyBorder="1"/>
    <xf numFmtId="165" fontId="13580" fillId="13584" borderId="13531" xfId="0" applyNumberFormat="1" applyFont="1" applyFill="1" applyBorder="1"/>
    <xf numFmtId="0" fontId="13581" fillId="13585" borderId="13532" xfId="0" applyFont="1" applyFill="1" applyBorder="1" applyAlignment="1">
      <alignment horizontal="center"/>
    </xf>
    <xf numFmtId="0" fontId="13582" fillId="13586" borderId="13533" xfId="0" applyFont="1" applyFill="1" applyBorder="1" applyAlignment="1">
      <alignment horizontal="center"/>
    </xf>
    <xf numFmtId="0" fontId="13583" fillId="13587" borderId="13534" xfId="0" applyFont="1" applyFill="1" applyBorder="1"/>
    <xf numFmtId="165" fontId="13584" fillId="13588" borderId="13535" xfId="0" applyNumberFormat="1" applyFont="1" applyFill="1" applyBorder="1"/>
    <xf numFmtId="0" fontId="13585" fillId="13589" borderId="13536" xfId="0" applyFont="1" applyFill="1" applyBorder="1"/>
    <xf numFmtId="0" fontId="13586" fillId="13590" borderId="13537" xfId="0" applyFont="1" applyFill="1" applyBorder="1" applyAlignment="1">
      <alignment horizontal="center"/>
    </xf>
    <xf numFmtId="14" fontId="13587" fillId="13591" borderId="13538" xfId="0" applyNumberFormat="1" applyFont="1" applyFill="1" applyBorder="1"/>
    <xf numFmtId="0" fontId="13588" fillId="13592" borderId="13539" xfId="0" applyFont="1" applyFill="1" applyBorder="1" applyAlignment="1">
      <alignment horizontal="center"/>
    </xf>
    <xf numFmtId="0" fontId="13589" fillId="13593" borderId="13540" xfId="0" applyFont="1" applyFill="1" applyBorder="1"/>
    <xf numFmtId="0" fontId="13590" fillId="13594" borderId="13541" xfId="0" applyFont="1" applyFill="1" applyBorder="1"/>
    <xf numFmtId="165" fontId="13591" fillId="13595" borderId="13542" xfId="0" applyNumberFormat="1" applyFont="1" applyFill="1" applyBorder="1"/>
    <xf numFmtId="165" fontId="13592" fillId="13596" borderId="13543" xfId="0" applyNumberFormat="1" applyFont="1" applyFill="1" applyBorder="1"/>
    <xf numFmtId="169" fontId="13593" fillId="13597" borderId="13544" xfId="0" applyNumberFormat="1" applyFont="1" applyFill="1" applyBorder="1"/>
    <xf numFmtId="168" fontId="13594" fillId="13598" borderId="13545" xfId="0" applyNumberFormat="1" applyFont="1" applyFill="1" applyBorder="1"/>
    <xf numFmtId="165" fontId="13595" fillId="13599" borderId="13546" xfId="0" applyNumberFormat="1" applyFont="1" applyFill="1" applyBorder="1"/>
    <xf numFmtId="0" fontId="13596" fillId="13600" borderId="13547" xfId="0" applyFont="1" applyFill="1" applyBorder="1" applyAlignment="1">
      <alignment horizontal="center"/>
    </xf>
    <xf numFmtId="0" fontId="13597" fillId="13601" borderId="13548" xfId="0" applyFont="1" applyFill="1" applyBorder="1" applyAlignment="1">
      <alignment horizontal="center"/>
    </xf>
    <xf numFmtId="0" fontId="13598" fillId="13602" borderId="13549" xfId="0" applyFont="1" applyFill="1" applyBorder="1"/>
    <xf numFmtId="165" fontId="13599" fillId="13603" borderId="13550" xfId="0" applyNumberFormat="1" applyFont="1" applyFill="1" applyBorder="1"/>
    <xf numFmtId="0" fontId="13600" fillId="13604" borderId="13551" xfId="0" applyFont="1" applyFill="1" applyBorder="1"/>
    <xf numFmtId="0" fontId="13601" fillId="13605" borderId="13552" xfId="0" applyFont="1" applyFill="1" applyBorder="1" applyAlignment="1">
      <alignment horizontal="center"/>
    </xf>
    <xf numFmtId="14" fontId="13602" fillId="13606" borderId="13553" xfId="0" applyNumberFormat="1" applyFont="1" applyFill="1" applyBorder="1"/>
    <xf numFmtId="0" fontId="13603" fillId="13607" borderId="13554" xfId="0" applyFont="1" applyFill="1" applyBorder="1" applyAlignment="1">
      <alignment horizontal="center"/>
    </xf>
    <xf numFmtId="0" fontId="13604" fillId="13608" borderId="13555" xfId="0" applyFont="1" applyFill="1" applyBorder="1"/>
    <xf numFmtId="0" fontId="13605" fillId="13609" borderId="13556" xfId="0" applyFont="1" applyFill="1" applyBorder="1"/>
    <xf numFmtId="165" fontId="13606" fillId="13610" borderId="13557" xfId="0" applyNumberFormat="1" applyFont="1" applyFill="1" applyBorder="1"/>
    <xf numFmtId="165" fontId="13607" fillId="13611" borderId="13558" xfId="0" applyNumberFormat="1" applyFont="1" applyFill="1" applyBorder="1"/>
    <xf numFmtId="169" fontId="13608" fillId="13612" borderId="13559" xfId="0" applyNumberFormat="1" applyFont="1" applyFill="1" applyBorder="1"/>
    <xf numFmtId="168" fontId="13609" fillId="13613" borderId="13560" xfId="0" applyNumberFormat="1" applyFont="1" applyFill="1" applyBorder="1"/>
    <xf numFmtId="165" fontId="13610" fillId="13614" borderId="13561" xfId="0" applyNumberFormat="1" applyFont="1" applyFill="1" applyBorder="1"/>
    <xf numFmtId="0" fontId="13611" fillId="13615" borderId="13562" xfId="0" applyFont="1" applyFill="1" applyBorder="1" applyAlignment="1">
      <alignment horizontal="center"/>
    </xf>
    <xf numFmtId="0" fontId="13612" fillId="13616" borderId="13563" xfId="0" applyFont="1" applyFill="1" applyBorder="1" applyAlignment="1">
      <alignment horizontal="center"/>
    </xf>
    <xf numFmtId="0" fontId="13613" fillId="13617" borderId="13564" xfId="0" applyFont="1" applyFill="1" applyBorder="1"/>
    <xf numFmtId="165" fontId="13614" fillId="13618" borderId="13565" xfId="0" applyNumberFormat="1" applyFont="1" applyFill="1" applyBorder="1"/>
    <xf numFmtId="0" fontId="13615" fillId="13619" borderId="13566" xfId="0" applyFont="1" applyFill="1" applyBorder="1"/>
    <xf numFmtId="0" fontId="13616" fillId="13620" borderId="13567" xfId="0" applyFont="1" applyFill="1" applyBorder="1" applyAlignment="1">
      <alignment horizontal="center"/>
    </xf>
    <xf numFmtId="14" fontId="13617" fillId="13621" borderId="13568" xfId="0" applyNumberFormat="1" applyFont="1" applyFill="1" applyBorder="1"/>
    <xf numFmtId="0" fontId="13618" fillId="13622" borderId="13569" xfId="0" applyFont="1" applyFill="1" applyBorder="1" applyAlignment="1">
      <alignment horizontal="center"/>
    </xf>
    <xf numFmtId="0" fontId="13619" fillId="13623" borderId="13570" xfId="0" applyFont="1" applyFill="1" applyBorder="1"/>
    <xf numFmtId="0" fontId="13620" fillId="13624" borderId="13571" xfId="0" applyFont="1" applyFill="1" applyBorder="1"/>
    <xf numFmtId="165" fontId="13621" fillId="13625" borderId="13572" xfId="0" applyNumberFormat="1" applyFont="1" applyFill="1" applyBorder="1"/>
    <xf numFmtId="165" fontId="13622" fillId="13626" borderId="13573" xfId="0" applyNumberFormat="1" applyFont="1" applyFill="1" applyBorder="1"/>
    <xf numFmtId="169" fontId="13623" fillId="13627" borderId="13574" xfId="0" applyNumberFormat="1" applyFont="1" applyFill="1" applyBorder="1"/>
    <xf numFmtId="168" fontId="13624" fillId="13628" borderId="13575" xfId="0" applyNumberFormat="1" applyFont="1" applyFill="1" applyBorder="1"/>
    <xf numFmtId="165" fontId="13625" fillId="13629" borderId="13576" xfId="0" applyNumberFormat="1" applyFont="1" applyFill="1" applyBorder="1"/>
    <xf numFmtId="0" fontId="13626" fillId="13630" borderId="13577" xfId="0" applyFont="1" applyFill="1" applyBorder="1" applyAlignment="1">
      <alignment horizontal="center"/>
    </xf>
    <xf numFmtId="0" fontId="13627" fillId="13631" borderId="13578" xfId="0" applyFont="1" applyFill="1" applyBorder="1" applyAlignment="1">
      <alignment horizontal="center"/>
    </xf>
    <xf numFmtId="0" fontId="13628" fillId="13632" borderId="13579" xfId="0" applyFont="1" applyFill="1" applyBorder="1"/>
    <xf numFmtId="165" fontId="13629" fillId="13633" borderId="13580" xfId="0" applyNumberFormat="1" applyFont="1" applyFill="1" applyBorder="1"/>
    <xf numFmtId="0" fontId="13630" fillId="13634" borderId="13581" xfId="0" applyFont="1" applyFill="1" applyBorder="1"/>
    <xf numFmtId="0" fontId="13631" fillId="13635" borderId="13582" xfId="0" applyFont="1" applyFill="1" applyBorder="1" applyAlignment="1">
      <alignment horizontal="center"/>
    </xf>
    <xf numFmtId="14" fontId="13632" fillId="13636" borderId="13583" xfId="0" applyNumberFormat="1" applyFont="1" applyFill="1" applyBorder="1"/>
    <xf numFmtId="0" fontId="13633" fillId="13637" borderId="13584" xfId="0" applyFont="1" applyFill="1" applyBorder="1" applyAlignment="1">
      <alignment horizontal="center"/>
    </xf>
    <xf numFmtId="0" fontId="13634" fillId="13638" borderId="13585" xfId="0" applyFont="1" applyFill="1" applyBorder="1"/>
    <xf numFmtId="0" fontId="13635" fillId="13639" borderId="13586" xfId="0" applyFont="1" applyFill="1" applyBorder="1"/>
    <xf numFmtId="165" fontId="13636" fillId="13640" borderId="13587" xfId="0" applyNumberFormat="1" applyFont="1" applyFill="1" applyBorder="1"/>
    <xf numFmtId="165" fontId="13637" fillId="13641" borderId="13588" xfId="0" applyNumberFormat="1" applyFont="1" applyFill="1" applyBorder="1"/>
    <xf numFmtId="169" fontId="13638" fillId="13642" borderId="13589" xfId="0" applyNumberFormat="1" applyFont="1" applyFill="1" applyBorder="1"/>
    <xf numFmtId="168" fontId="13639" fillId="13643" borderId="13590" xfId="0" applyNumberFormat="1" applyFont="1" applyFill="1" applyBorder="1"/>
    <xf numFmtId="165" fontId="13640" fillId="13644" borderId="13591" xfId="0" applyNumberFormat="1" applyFont="1" applyFill="1" applyBorder="1"/>
    <xf numFmtId="0" fontId="13641" fillId="13645" borderId="13592" xfId="0" applyFont="1" applyFill="1" applyBorder="1" applyAlignment="1">
      <alignment horizontal="center"/>
    </xf>
    <xf numFmtId="0" fontId="13642" fillId="13646" borderId="13593" xfId="0" applyFont="1" applyFill="1" applyBorder="1" applyAlignment="1">
      <alignment horizontal="center"/>
    </xf>
    <xf numFmtId="0" fontId="13643" fillId="13647" borderId="13594" xfId="0" applyFont="1" applyFill="1" applyBorder="1"/>
    <xf numFmtId="165" fontId="13644" fillId="13648" borderId="13595" xfId="0" applyNumberFormat="1" applyFont="1" applyFill="1" applyBorder="1"/>
    <xf numFmtId="0" fontId="13645" fillId="13649" borderId="13596" xfId="0" applyFont="1" applyFill="1" applyBorder="1"/>
    <xf numFmtId="0" fontId="13646" fillId="13650" borderId="13597" xfId="0" applyFont="1" applyFill="1" applyBorder="1" applyAlignment="1">
      <alignment horizontal="center"/>
    </xf>
    <xf numFmtId="14" fontId="13647" fillId="13651" borderId="13598" xfId="0" applyNumberFormat="1" applyFont="1" applyFill="1" applyBorder="1"/>
    <xf numFmtId="0" fontId="13648" fillId="13652" borderId="13599" xfId="0" applyFont="1" applyFill="1" applyBorder="1" applyAlignment="1">
      <alignment horizontal="center"/>
    </xf>
    <xf numFmtId="0" fontId="13649" fillId="13653" borderId="13600" xfId="0" applyFont="1" applyFill="1" applyBorder="1"/>
    <xf numFmtId="0" fontId="13650" fillId="13654" borderId="13601" xfId="0" applyFont="1" applyFill="1" applyBorder="1"/>
    <xf numFmtId="165" fontId="13651" fillId="13655" borderId="13602" xfId="0" applyNumberFormat="1" applyFont="1" applyFill="1" applyBorder="1"/>
    <xf numFmtId="165" fontId="13652" fillId="13656" borderId="13603" xfId="0" applyNumberFormat="1" applyFont="1" applyFill="1" applyBorder="1"/>
    <xf numFmtId="169" fontId="13653" fillId="13657" borderId="13604" xfId="0" applyNumberFormat="1" applyFont="1" applyFill="1" applyBorder="1"/>
    <xf numFmtId="168" fontId="13654" fillId="13658" borderId="13605" xfId="0" applyNumberFormat="1" applyFont="1" applyFill="1" applyBorder="1"/>
    <xf numFmtId="165" fontId="13655" fillId="13659" borderId="13606" xfId="0" applyNumberFormat="1" applyFont="1" applyFill="1" applyBorder="1"/>
    <xf numFmtId="0" fontId="13656" fillId="13660" borderId="13607" xfId="0" applyFont="1" applyFill="1" applyBorder="1" applyAlignment="1">
      <alignment horizontal="center"/>
    </xf>
    <xf numFmtId="0" fontId="13657" fillId="13661" borderId="13608" xfId="0" applyFont="1" applyFill="1" applyBorder="1" applyAlignment="1">
      <alignment horizontal="center"/>
    </xf>
    <xf numFmtId="0" fontId="13658" fillId="13662" borderId="13609" xfId="0" applyFont="1" applyFill="1" applyBorder="1"/>
    <xf numFmtId="165" fontId="13659" fillId="13663" borderId="13610" xfId="0" applyNumberFormat="1" applyFont="1" applyFill="1" applyBorder="1"/>
    <xf numFmtId="0" fontId="13660" fillId="13664" borderId="13611" xfId="0" applyFont="1" applyFill="1" applyBorder="1"/>
    <xf numFmtId="0" fontId="13661" fillId="13665" borderId="13612" xfId="0" applyFont="1" applyFill="1" applyBorder="1" applyAlignment="1">
      <alignment horizontal="center"/>
    </xf>
    <xf numFmtId="14" fontId="13662" fillId="13666" borderId="13613" xfId="0" applyNumberFormat="1" applyFont="1" applyFill="1" applyBorder="1"/>
    <xf numFmtId="0" fontId="13663" fillId="13667" borderId="13614" xfId="0" applyFont="1" applyFill="1" applyBorder="1" applyAlignment="1">
      <alignment horizontal="center"/>
    </xf>
    <xf numFmtId="0" fontId="13664" fillId="13668" borderId="13615" xfId="0" applyFont="1" applyFill="1" applyBorder="1"/>
    <xf numFmtId="0" fontId="13665" fillId="13669" borderId="13616" xfId="0" applyFont="1" applyFill="1" applyBorder="1"/>
    <xf numFmtId="165" fontId="13666" fillId="13670" borderId="13617" xfId="0" applyNumberFormat="1" applyFont="1" applyFill="1" applyBorder="1"/>
    <xf numFmtId="165" fontId="13667" fillId="13671" borderId="13618" xfId="0" applyNumberFormat="1" applyFont="1" applyFill="1" applyBorder="1"/>
    <xf numFmtId="169" fontId="13668" fillId="13672" borderId="13619" xfId="0" applyNumberFormat="1" applyFont="1" applyFill="1" applyBorder="1"/>
    <xf numFmtId="168" fontId="13669" fillId="13673" borderId="13620" xfId="0" applyNumberFormat="1" applyFont="1" applyFill="1" applyBorder="1"/>
    <xf numFmtId="165" fontId="13670" fillId="13674" borderId="13621" xfId="0" applyNumberFormat="1" applyFont="1" applyFill="1" applyBorder="1"/>
    <xf numFmtId="0" fontId="13671" fillId="13675" borderId="13622" xfId="0" applyFont="1" applyFill="1" applyBorder="1" applyAlignment="1">
      <alignment horizontal="center"/>
    </xf>
    <xf numFmtId="0" fontId="13672" fillId="13676" borderId="13623" xfId="0" applyFont="1" applyFill="1" applyBorder="1" applyAlignment="1">
      <alignment horizontal="center"/>
    </xf>
    <xf numFmtId="0" fontId="13673" fillId="13677" borderId="13624" xfId="0" applyFont="1" applyFill="1" applyBorder="1"/>
    <xf numFmtId="165" fontId="13674" fillId="13678" borderId="13625" xfId="0" applyNumberFormat="1" applyFont="1" applyFill="1" applyBorder="1"/>
    <xf numFmtId="0" fontId="13675" fillId="13679" borderId="13626" xfId="0" applyFont="1" applyFill="1" applyBorder="1"/>
    <xf numFmtId="0" fontId="13676" fillId="13680" borderId="13627" xfId="0" applyFont="1" applyFill="1" applyBorder="1" applyAlignment="1">
      <alignment horizontal="center"/>
    </xf>
    <xf numFmtId="14" fontId="13677" fillId="13681" borderId="13628" xfId="0" applyNumberFormat="1" applyFont="1" applyFill="1" applyBorder="1"/>
    <xf numFmtId="0" fontId="13678" fillId="13682" borderId="13629" xfId="0" applyFont="1" applyFill="1" applyBorder="1" applyAlignment="1">
      <alignment horizontal="center"/>
    </xf>
    <xf numFmtId="0" fontId="13679" fillId="13683" borderId="13630" xfId="0" applyFont="1" applyFill="1" applyBorder="1"/>
    <xf numFmtId="0" fontId="13680" fillId="13684" borderId="13631" xfId="0" applyFont="1" applyFill="1" applyBorder="1"/>
    <xf numFmtId="165" fontId="13681" fillId="13685" borderId="13632" xfId="0" applyNumberFormat="1" applyFont="1" applyFill="1" applyBorder="1"/>
    <xf numFmtId="165" fontId="13682" fillId="13686" borderId="13633" xfId="0" applyNumberFormat="1" applyFont="1" applyFill="1" applyBorder="1"/>
    <xf numFmtId="169" fontId="13683" fillId="13687" borderId="13634" xfId="0" applyNumberFormat="1" applyFont="1" applyFill="1" applyBorder="1"/>
    <xf numFmtId="168" fontId="13684" fillId="13688" borderId="13635" xfId="0" applyNumberFormat="1" applyFont="1" applyFill="1" applyBorder="1"/>
    <xf numFmtId="165" fontId="13685" fillId="13689" borderId="13636" xfId="0" applyNumberFormat="1" applyFont="1" applyFill="1" applyBorder="1"/>
    <xf numFmtId="0" fontId="13686" fillId="13690" borderId="13637" xfId="0" applyFont="1" applyFill="1" applyBorder="1" applyAlignment="1">
      <alignment horizontal="center"/>
    </xf>
    <xf numFmtId="0" fontId="13687" fillId="13691" borderId="13638" xfId="0" applyFont="1" applyFill="1" applyBorder="1" applyAlignment="1">
      <alignment horizontal="center"/>
    </xf>
    <xf numFmtId="0" fontId="13688" fillId="13692" borderId="13639" xfId="0" applyFont="1" applyFill="1" applyBorder="1"/>
    <xf numFmtId="165" fontId="13689" fillId="13693" borderId="13640" xfId="0" applyNumberFormat="1" applyFont="1" applyFill="1" applyBorder="1"/>
    <xf numFmtId="0" fontId="13690" fillId="13694" borderId="13641" xfId="0" applyFont="1" applyFill="1" applyBorder="1"/>
    <xf numFmtId="0" fontId="13691" fillId="13695" borderId="13642" xfId="0" applyFont="1" applyFill="1" applyBorder="1" applyAlignment="1">
      <alignment horizontal="center"/>
    </xf>
    <xf numFmtId="14" fontId="13692" fillId="13696" borderId="13643" xfId="0" applyNumberFormat="1" applyFont="1" applyFill="1" applyBorder="1"/>
    <xf numFmtId="0" fontId="13693" fillId="13697" borderId="13644" xfId="0" applyFont="1" applyFill="1" applyBorder="1" applyAlignment="1">
      <alignment horizontal="center"/>
    </xf>
    <xf numFmtId="0" fontId="13694" fillId="13698" borderId="13645" xfId="0" applyFont="1" applyFill="1" applyBorder="1"/>
    <xf numFmtId="0" fontId="13695" fillId="13699" borderId="13646" xfId="0" applyFont="1" applyFill="1" applyBorder="1"/>
    <xf numFmtId="165" fontId="13696" fillId="13700" borderId="13647" xfId="0" applyNumberFormat="1" applyFont="1" applyFill="1" applyBorder="1"/>
    <xf numFmtId="165" fontId="13697" fillId="13701" borderId="13648" xfId="0" applyNumberFormat="1" applyFont="1" applyFill="1" applyBorder="1"/>
    <xf numFmtId="169" fontId="13698" fillId="13702" borderId="13649" xfId="0" applyNumberFormat="1" applyFont="1" applyFill="1" applyBorder="1"/>
    <xf numFmtId="168" fontId="13699" fillId="13703" borderId="13650" xfId="0" applyNumberFormat="1" applyFont="1" applyFill="1" applyBorder="1"/>
    <xf numFmtId="165" fontId="13700" fillId="13704" borderId="13651" xfId="0" applyNumberFormat="1" applyFont="1" applyFill="1" applyBorder="1"/>
    <xf numFmtId="0" fontId="13701" fillId="13705" borderId="13652" xfId="0" applyFont="1" applyFill="1" applyBorder="1" applyAlignment="1">
      <alignment horizontal="center"/>
    </xf>
    <xf numFmtId="0" fontId="13702" fillId="13706" borderId="13653" xfId="0" applyFont="1" applyFill="1" applyBorder="1" applyAlignment="1">
      <alignment horizontal="center"/>
    </xf>
    <xf numFmtId="0" fontId="13703" fillId="13707" borderId="13654" xfId="0" applyFont="1" applyFill="1" applyBorder="1"/>
    <xf numFmtId="165" fontId="13704" fillId="13708" borderId="13655" xfId="0" applyNumberFormat="1" applyFont="1" applyFill="1" applyBorder="1"/>
    <xf numFmtId="0" fontId="13705" fillId="13709" borderId="13656" xfId="0" applyFont="1" applyFill="1" applyBorder="1"/>
    <xf numFmtId="0" fontId="13706" fillId="13710" borderId="13657" xfId="0" applyFont="1" applyFill="1" applyBorder="1" applyAlignment="1">
      <alignment horizontal="center"/>
    </xf>
    <xf numFmtId="14" fontId="13707" fillId="13711" borderId="13658" xfId="0" applyNumberFormat="1" applyFont="1" applyFill="1" applyBorder="1"/>
    <xf numFmtId="0" fontId="13708" fillId="13712" borderId="13659" xfId="0" applyFont="1" applyFill="1" applyBorder="1" applyAlignment="1">
      <alignment horizontal="center"/>
    </xf>
    <xf numFmtId="0" fontId="13709" fillId="13713" borderId="13660" xfId="0" applyFont="1" applyFill="1" applyBorder="1"/>
    <xf numFmtId="0" fontId="13710" fillId="13714" borderId="13661" xfId="0" applyFont="1" applyFill="1" applyBorder="1"/>
    <xf numFmtId="165" fontId="13711" fillId="13715" borderId="13662" xfId="0" applyNumberFormat="1" applyFont="1" applyFill="1" applyBorder="1"/>
    <xf numFmtId="165" fontId="13712" fillId="13716" borderId="13663" xfId="0" applyNumberFormat="1" applyFont="1" applyFill="1" applyBorder="1"/>
    <xf numFmtId="169" fontId="13713" fillId="13717" borderId="13664" xfId="0" applyNumberFormat="1" applyFont="1" applyFill="1" applyBorder="1"/>
    <xf numFmtId="168" fontId="13714" fillId="13718" borderId="13665" xfId="0" applyNumberFormat="1" applyFont="1" applyFill="1" applyBorder="1"/>
    <xf numFmtId="165" fontId="13715" fillId="13719" borderId="13666" xfId="0" applyNumberFormat="1" applyFont="1" applyFill="1" applyBorder="1"/>
    <xf numFmtId="0" fontId="13716" fillId="13720" borderId="13667" xfId="0" applyFont="1" applyFill="1" applyBorder="1" applyAlignment="1">
      <alignment horizontal="center"/>
    </xf>
    <xf numFmtId="0" fontId="13717" fillId="13721" borderId="13668" xfId="0" applyFont="1" applyFill="1" applyBorder="1" applyAlignment="1">
      <alignment horizontal="center"/>
    </xf>
    <xf numFmtId="0" fontId="13718" fillId="13722" borderId="13669" xfId="0" applyFont="1" applyFill="1" applyBorder="1"/>
    <xf numFmtId="165" fontId="13719" fillId="13723" borderId="13670" xfId="0" applyNumberFormat="1" applyFont="1" applyFill="1" applyBorder="1"/>
    <xf numFmtId="0" fontId="13720" fillId="13724" borderId="13671" xfId="0" applyFont="1" applyFill="1" applyBorder="1"/>
    <xf numFmtId="0" fontId="13721" fillId="13725" borderId="13672" xfId="0" applyFont="1" applyFill="1" applyBorder="1" applyAlignment="1">
      <alignment horizontal="center"/>
    </xf>
    <xf numFmtId="14" fontId="13722" fillId="13726" borderId="13673" xfId="0" applyNumberFormat="1" applyFont="1" applyFill="1" applyBorder="1"/>
    <xf numFmtId="0" fontId="13723" fillId="13727" borderId="13674" xfId="0" applyFont="1" applyFill="1" applyBorder="1" applyAlignment="1">
      <alignment horizontal="center"/>
    </xf>
    <xf numFmtId="0" fontId="13724" fillId="13728" borderId="13675" xfId="0" applyFont="1" applyFill="1" applyBorder="1"/>
    <xf numFmtId="0" fontId="13725" fillId="13729" borderId="13676" xfId="0" applyFont="1" applyFill="1" applyBorder="1"/>
    <xf numFmtId="165" fontId="13726" fillId="13730" borderId="13677" xfId="0" applyNumberFormat="1" applyFont="1" applyFill="1" applyBorder="1"/>
    <xf numFmtId="165" fontId="13727" fillId="13731" borderId="13678" xfId="0" applyNumberFormat="1" applyFont="1" applyFill="1" applyBorder="1"/>
    <xf numFmtId="169" fontId="13728" fillId="13732" borderId="13679" xfId="0" applyNumberFormat="1" applyFont="1" applyFill="1" applyBorder="1"/>
    <xf numFmtId="168" fontId="13729" fillId="13733" borderId="13680" xfId="0" applyNumberFormat="1" applyFont="1" applyFill="1" applyBorder="1"/>
    <xf numFmtId="165" fontId="13730" fillId="13734" borderId="13681" xfId="0" applyNumberFormat="1" applyFont="1" applyFill="1" applyBorder="1"/>
    <xf numFmtId="0" fontId="13731" fillId="13735" borderId="13682" xfId="0" applyFont="1" applyFill="1" applyBorder="1" applyAlignment="1">
      <alignment horizontal="center"/>
    </xf>
    <xf numFmtId="0" fontId="13732" fillId="13736" borderId="13683" xfId="0" applyFont="1" applyFill="1" applyBorder="1" applyAlignment="1">
      <alignment horizontal="center"/>
    </xf>
    <xf numFmtId="0" fontId="13733" fillId="13737" borderId="13684" xfId="0" applyFont="1" applyFill="1" applyBorder="1"/>
    <xf numFmtId="165" fontId="13734" fillId="13738" borderId="13685" xfId="0" applyNumberFormat="1" applyFont="1" applyFill="1" applyBorder="1"/>
    <xf numFmtId="0" fontId="13735" fillId="13739" borderId="13686" xfId="0" applyFont="1" applyFill="1" applyBorder="1"/>
    <xf numFmtId="0" fontId="13736" fillId="13740" borderId="13687" xfId="0" applyFont="1" applyFill="1" applyBorder="1" applyAlignment="1">
      <alignment horizontal="center"/>
    </xf>
    <xf numFmtId="14" fontId="13737" fillId="13741" borderId="13688" xfId="0" applyNumberFormat="1" applyFont="1" applyFill="1" applyBorder="1"/>
    <xf numFmtId="0" fontId="13738" fillId="13742" borderId="13689" xfId="0" applyFont="1" applyFill="1" applyBorder="1" applyAlignment="1">
      <alignment horizontal="center"/>
    </xf>
    <xf numFmtId="0" fontId="13739" fillId="13743" borderId="13690" xfId="0" applyFont="1" applyFill="1" applyBorder="1"/>
    <xf numFmtId="0" fontId="13740" fillId="13744" borderId="13691" xfId="0" applyFont="1" applyFill="1" applyBorder="1"/>
    <xf numFmtId="165" fontId="13741" fillId="13745" borderId="13692" xfId="0" applyNumberFormat="1" applyFont="1" applyFill="1" applyBorder="1"/>
    <xf numFmtId="165" fontId="13742" fillId="13746" borderId="13693" xfId="0" applyNumberFormat="1" applyFont="1" applyFill="1" applyBorder="1"/>
    <xf numFmtId="169" fontId="13743" fillId="13747" borderId="13694" xfId="0" applyNumberFormat="1" applyFont="1" applyFill="1" applyBorder="1"/>
    <xf numFmtId="168" fontId="13744" fillId="13748" borderId="13695" xfId="0" applyNumberFormat="1" applyFont="1" applyFill="1" applyBorder="1"/>
    <xf numFmtId="165" fontId="13745" fillId="13749" borderId="13696" xfId="0" applyNumberFormat="1" applyFont="1" applyFill="1" applyBorder="1"/>
    <xf numFmtId="0" fontId="13746" fillId="13750" borderId="13697" xfId="0" applyFont="1" applyFill="1" applyBorder="1" applyAlignment="1">
      <alignment horizontal="center"/>
    </xf>
    <xf numFmtId="0" fontId="13747" fillId="13751" borderId="13698" xfId="0" applyFont="1" applyFill="1" applyBorder="1" applyAlignment="1">
      <alignment horizontal="center"/>
    </xf>
    <xf numFmtId="0" fontId="13748" fillId="13752" borderId="13699" xfId="0" applyFont="1" applyFill="1" applyBorder="1"/>
    <xf numFmtId="165" fontId="13749" fillId="13753" borderId="13700" xfId="0" applyNumberFormat="1" applyFont="1" applyFill="1" applyBorder="1"/>
    <xf numFmtId="0" fontId="13750" fillId="13754" borderId="13701" xfId="0" applyFont="1" applyFill="1" applyBorder="1"/>
    <xf numFmtId="0" fontId="13751" fillId="13755" borderId="13702" xfId="0" applyFont="1" applyFill="1" applyBorder="1" applyAlignment="1">
      <alignment horizontal="center"/>
    </xf>
    <xf numFmtId="14" fontId="13752" fillId="13756" borderId="13703" xfId="0" applyNumberFormat="1" applyFont="1" applyFill="1" applyBorder="1"/>
    <xf numFmtId="0" fontId="13753" fillId="13757" borderId="13704" xfId="0" applyFont="1" applyFill="1" applyBorder="1" applyAlignment="1">
      <alignment horizontal="center"/>
    </xf>
    <xf numFmtId="0" fontId="13754" fillId="13758" borderId="13705" xfId="0" applyFont="1" applyFill="1" applyBorder="1"/>
    <xf numFmtId="0" fontId="13755" fillId="13759" borderId="13706" xfId="0" applyFont="1" applyFill="1" applyBorder="1"/>
    <xf numFmtId="165" fontId="13756" fillId="13760" borderId="13707" xfId="0" applyNumberFormat="1" applyFont="1" applyFill="1" applyBorder="1"/>
    <xf numFmtId="165" fontId="13757" fillId="13761" borderId="13708" xfId="0" applyNumberFormat="1" applyFont="1" applyFill="1" applyBorder="1"/>
    <xf numFmtId="169" fontId="13758" fillId="13762" borderId="13709" xfId="0" applyNumberFormat="1" applyFont="1" applyFill="1" applyBorder="1"/>
    <xf numFmtId="168" fontId="13759" fillId="13763" borderId="13710" xfId="0" applyNumberFormat="1" applyFont="1" applyFill="1" applyBorder="1"/>
    <xf numFmtId="165" fontId="13760" fillId="13764" borderId="13711" xfId="0" applyNumberFormat="1" applyFont="1" applyFill="1" applyBorder="1"/>
    <xf numFmtId="0" fontId="13761" fillId="13765" borderId="13712" xfId="0" applyFont="1" applyFill="1" applyBorder="1" applyAlignment="1">
      <alignment horizontal="center"/>
    </xf>
    <xf numFmtId="0" fontId="13762" fillId="13766" borderId="13713" xfId="0" applyFont="1" applyFill="1" applyBorder="1" applyAlignment="1">
      <alignment horizontal="center"/>
    </xf>
    <xf numFmtId="0" fontId="13763" fillId="13767" borderId="13714" xfId="0" applyFont="1" applyFill="1" applyBorder="1"/>
    <xf numFmtId="165" fontId="13764" fillId="13768" borderId="13715" xfId="0" applyNumberFormat="1" applyFont="1" applyFill="1" applyBorder="1"/>
    <xf numFmtId="0" fontId="13765" fillId="13769" borderId="13716" xfId="0" applyFont="1" applyFill="1" applyBorder="1"/>
    <xf numFmtId="0" fontId="13766" fillId="13770" borderId="13717" xfId="0" applyFont="1" applyFill="1" applyBorder="1" applyAlignment="1">
      <alignment horizontal="center"/>
    </xf>
    <xf numFmtId="14" fontId="13767" fillId="13771" borderId="13718" xfId="0" applyNumberFormat="1" applyFont="1" applyFill="1" applyBorder="1"/>
    <xf numFmtId="0" fontId="13768" fillId="13772" borderId="13719" xfId="0" applyFont="1" applyFill="1" applyBorder="1" applyAlignment="1">
      <alignment horizontal="center"/>
    </xf>
    <xf numFmtId="0" fontId="13769" fillId="13773" borderId="13720" xfId="0" applyFont="1" applyFill="1" applyBorder="1"/>
    <xf numFmtId="0" fontId="13770" fillId="13774" borderId="13721" xfId="0" applyFont="1" applyFill="1" applyBorder="1"/>
    <xf numFmtId="165" fontId="13771" fillId="13775" borderId="13722" xfId="0" applyNumberFormat="1" applyFont="1" applyFill="1" applyBorder="1"/>
    <xf numFmtId="165" fontId="13772" fillId="13776" borderId="13723" xfId="0" applyNumberFormat="1" applyFont="1" applyFill="1" applyBorder="1"/>
    <xf numFmtId="169" fontId="13773" fillId="13777" borderId="13724" xfId="0" applyNumberFormat="1" applyFont="1" applyFill="1" applyBorder="1"/>
    <xf numFmtId="168" fontId="13774" fillId="13778" borderId="13725" xfId="0" applyNumberFormat="1" applyFont="1" applyFill="1" applyBorder="1"/>
    <xf numFmtId="165" fontId="13775" fillId="13779" borderId="13726" xfId="0" applyNumberFormat="1" applyFont="1" applyFill="1" applyBorder="1"/>
    <xf numFmtId="0" fontId="13776" fillId="13780" borderId="13727" xfId="0" applyFont="1" applyFill="1" applyBorder="1" applyAlignment="1">
      <alignment horizontal="center"/>
    </xf>
    <xf numFmtId="0" fontId="13777" fillId="13781" borderId="13728" xfId="0" applyFont="1" applyFill="1" applyBorder="1" applyAlignment="1">
      <alignment horizontal="center"/>
    </xf>
    <xf numFmtId="0" fontId="13778" fillId="13782" borderId="13729" xfId="0" applyFont="1" applyFill="1" applyBorder="1"/>
    <xf numFmtId="165" fontId="13779" fillId="13783" borderId="13730" xfId="0" applyNumberFormat="1" applyFont="1" applyFill="1" applyBorder="1"/>
    <xf numFmtId="0" fontId="13780" fillId="13784" borderId="13731" xfId="0" applyFont="1" applyFill="1" applyBorder="1"/>
    <xf numFmtId="0" fontId="13781" fillId="13785" borderId="13732" xfId="0" applyFont="1" applyFill="1" applyBorder="1" applyAlignment="1">
      <alignment horizontal="center"/>
    </xf>
    <xf numFmtId="14" fontId="13782" fillId="13786" borderId="13733" xfId="0" applyNumberFormat="1" applyFont="1" applyFill="1" applyBorder="1"/>
    <xf numFmtId="0" fontId="13783" fillId="13787" borderId="13734" xfId="0" applyFont="1" applyFill="1" applyBorder="1" applyAlignment="1">
      <alignment horizontal="center"/>
    </xf>
    <xf numFmtId="0" fontId="13784" fillId="13788" borderId="13735" xfId="0" applyFont="1" applyFill="1" applyBorder="1"/>
    <xf numFmtId="0" fontId="13785" fillId="13789" borderId="13736" xfId="0" applyFont="1" applyFill="1" applyBorder="1"/>
    <xf numFmtId="165" fontId="13786" fillId="13790" borderId="13737" xfId="0" applyNumberFormat="1" applyFont="1" applyFill="1" applyBorder="1"/>
    <xf numFmtId="165" fontId="13787" fillId="13791" borderId="13738" xfId="0" applyNumberFormat="1" applyFont="1" applyFill="1" applyBorder="1"/>
    <xf numFmtId="169" fontId="13788" fillId="13792" borderId="13739" xfId="0" applyNumberFormat="1" applyFont="1" applyFill="1" applyBorder="1"/>
    <xf numFmtId="168" fontId="13789" fillId="13793" borderId="13740" xfId="0" applyNumberFormat="1" applyFont="1" applyFill="1" applyBorder="1"/>
    <xf numFmtId="165" fontId="13790" fillId="13794" borderId="13741" xfId="0" applyNumberFormat="1" applyFont="1" applyFill="1" applyBorder="1"/>
    <xf numFmtId="0" fontId="13791" fillId="13795" borderId="13742" xfId="0" applyFont="1" applyFill="1" applyBorder="1" applyAlignment="1">
      <alignment horizontal="center"/>
    </xf>
    <xf numFmtId="0" fontId="13792" fillId="13796" borderId="13743" xfId="0" applyFont="1" applyFill="1" applyBorder="1" applyAlignment="1">
      <alignment horizontal="center"/>
    </xf>
    <xf numFmtId="0" fontId="13793" fillId="13797" borderId="13744" xfId="0" applyFont="1" applyFill="1" applyBorder="1"/>
    <xf numFmtId="165" fontId="13794" fillId="13798" borderId="13745" xfId="0" applyNumberFormat="1" applyFont="1" applyFill="1" applyBorder="1"/>
    <xf numFmtId="0" fontId="13795" fillId="13799" borderId="13746" xfId="0" applyFont="1" applyFill="1" applyBorder="1"/>
    <xf numFmtId="0" fontId="13796" fillId="13800" borderId="13747" xfId="0" applyFont="1" applyFill="1" applyBorder="1" applyAlignment="1">
      <alignment horizontal="center"/>
    </xf>
    <xf numFmtId="14" fontId="13797" fillId="13801" borderId="13748" xfId="0" applyNumberFormat="1" applyFont="1" applyFill="1" applyBorder="1"/>
    <xf numFmtId="0" fontId="13798" fillId="13802" borderId="13749" xfId="0" applyFont="1" applyFill="1" applyBorder="1" applyAlignment="1">
      <alignment horizontal="center"/>
    </xf>
    <xf numFmtId="0" fontId="13799" fillId="13803" borderId="13750" xfId="0" applyFont="1" applyFill="1" applyBorder="1"/>
    <xf numFmtId="0" fontId="13800" fillId="13804" borderId="13751" xfId="0" applyFont="1" applyFill="1" applyBorder="1"/>
    <xf numFmtId="165" fontId="13801" fillId="13805" borderId="13752" xfId="0" applyNumberFormat="1" applyFont="1" applyFill="1" applyBorder="1"/>
    <xf numFmtId="165" fontId="13802" fillId="13806" borderId="13753" xfId="0" applyNumberFormat="1" applyFont="1" applyFill="1" applyBorder="1"/>
    <xf numFmtId="169" fontId="13803" fillId="13807" borderId="13754" xfId="0" applyNumberFormat="1" applyFont="1" applyFill="1" applyBorder="1"/>
    <xf numFmtId="168" fontId="13804" fillId="13808" borderId="13755" xfId="0" applyNumberFormat="1" applyFont="1" applyFill="1" applyBorder="1"/>
    <xf numFmtId="165" fontId="13805" fillId="13809" borderId="13756" xfId="0" applyNumberFormat="1" applyFont="1" applyFill="1" applyBorder="1"/>
    <xf numFmtId="0" fontId="13806" fillId="13810" borderId="13757" xfId="0" applyFont="1" applyFill="1" applyBorder="1" applyAlignment="1">
      <alignment horizontal="center"/>
    </xf>
    <xf numFmtId="0" fontId="13807" fillId="13811" borderId="13758" xfId="0" applyFont="1" applyFill="1" applyBorder="1" applyAlignment="1">
      <alignment horizontal="center"/>
    </xf>
    <xf numFmtId="0" fontId="13808" fillId="13812" borderId="13759" xfId="0" applyFont="1" applyFill="1" applyBorder="1"/>
    <xf numFmtId="165" fontId="13809" fillId="13813" borderId="13760" xfId="0" applyNumberFormat="1" applyFont="1" applyFill="1" applyBorder="1"/>
    <xf numFmtId="0" fontId="13810" fillId="13814" borderId="13761" xfId="0" applyFont="1" applyFill="1" applyBorder="1"/>
    <xf numFmtId="0" fontId="13811" fillId="13815" borderId="13762" xfId="0" applyFont="1" applyFill="1" applyBorder="1" applyAlignment="1">
      <alignment horizontal="center"/>
    </xf>
    <xf numFmtId="14" fontId="13812" fillId="13816" borderId="13763" xfId="0" applyNumberFormat="1" applyFont="1" applyFill="1" applyBorder="1"/>
    <xf numFmtId="0" fontId="13813" fillId="13817" borderId="13764" xfId="0" applyFont="1" applyFill="1" applyBorder="1" applyAlignment="1">
      <alignment horizontal="center"/>
    </xf>
    <xf numFmtId="0" fontId="13814" fillId="13818" borderId="13765" xfId="0" applyFont="1" applyFill="1" applyBorder="1"/>
    <xf numFmtId="0" fontId="13815" fillId="13819" borderId="13766" xfId="0" applyFont="1" applyFill="1" applyBorder="1"/>
    <xf numFmtId="165" fontId="13816" fillId="13820" borderId="13767" xfId="0" applyNumberFormat="1" applyFont="1" applyFill="1" applyBorder="1"/>
    <xf numFmtId="165" fontId="13817" fillId="13821" borderId="13768" xfId="0" applyNumberFormat="1" applyFont="1" applyFill="1" applyBorder="1"/>
    <xf numFmtId="169" fontId="13818" fillId="13822" borderId="13769" xfId="0" applyNumberFormat="1" applyFont="1" applyFill="1" applyBorder="1"/>
    <xf numFmtId="168" fontId="13819" fillId="13823" borderId="13770" xfId="0" applyNumberFormat="1" applyFont="1" applyFill="1" applyBorder="1"/>
    <xf numFmtId="165" fontId="13820" fillId="13824" borderId="13771" xfId="0" applyNumberFormat="1" applyFont="1" applyFill="1" applyBorder="1"/>
    <xf numFmtId="0" fontId="13821" fillId="13825" borderId="13772" xfId="0" applyFont="1" applyFill="1" applyBorder="1" applyAlignment="1">
      <alignment horizontal="center"/>
    </xf>
    <xf numFmtId="0" fontId="13822" fillId="13826" borderId="13773" xfId="0" applyFont="1" applyFill="1" applyBorder="1" applyAlignment="1">
      <alignment horizontal="center"/>
    </xf>
    <xf numFmtId="0" fontId="13823" fillId="13827" borderId="13774" xfId="0" applyFont="1" applyFill="1" applyBorder="1"/>
    <xf numFmtId="165" fontId="13824" fillId="13828" borderId="13775" xfId="0" applyNumberFormat="1" applyFont="1" applyFill="1" applyBorder="1"/>
    <xf numFmtId="0" fontId="13825" fillId="13829" borderId="13776" xfId="0" applyFont="1" applyFill="1" applyBorder="1"/>
    <xf numFmtId="0" fontId="13826" fillId="13830" borderId="13777" xfId="0" applyFont="1" applyFill="1" applyBorder="1" applyAlignment="1">
      <alignment horizontal="center"/>
    </xf>
    <xf numFmtId="14" fontId="13827" fillId="13831" borderId="13778" xfId="0" applyNumberFormat="1" applyFont="1" applyFill="1" applyBorder="1"/>
    <xf numFmtId="0" fontId="13828" fillId="13832" borderId="13779" xfId="0" applyFont="1" applyFill="1" applyBorder="1" applyAlignment="1">
      <alignment horizontal="center"/>
    </xf>
    <xf numFmtId="0" fontId="13829" fillId="13833" borderId="13780" xfId="0" applyFont="1" applyFill="1" applyBorder="1"/>
    <xf numFmtId="0" fontId="13830" fillId="13834" borderId="13781" xfId="0" applyFont="1" applyFill="1" applyBorder="1"/>
    <xf numFmtId="165" fontId="13831" fillId="13835" borderId="13782" xfId="0" applyNumberFormat="1" applyFont="1" applyFill="1" applyBorder="1"/>
    <xf numFmtId="165" fontId="13832" fillId="13836" borderId="13783" xfId="0" applyNumberFormat="1" applyFont="1" applyFill="1" applyBorder="1"/>
    <xf numFmtId="169" fontId="13833" fillId="13837" borderId="13784" xfId="0" applyNumberFormat="1" applyFont="1" applyFill="1" applyBorder="1"/>
    <xf numFmtId="168" fontId="13834" fillId="13838" borderId="13785" xfId="0" applyNumberFormat="1" applyFont="1" applyFill="1" applyBorder="1"/>
    <xf numFmtId="165" fontId="13835" fillId="13839" borderId="13786" xfId="0" applyNumberFormat="1" applyFont="1" applyFill="1" applyBorder="1"/>
    <xf numFmtId="0" fontId="13836" fillId="13840" borderId="13787" xfId="0" applyFont="1" applyFill="1" applyBorder="1" applyAlignment="1">
      <alignment horizontal="center"/>
    </xf>
    <xf numFmtId="0" fontId="13837" fillId="13841" borderId="13788" xfId="0" applyFont="1" applyFill="1" applyBorder="1" applyAlignment="1">
      <alignment horizontal="center"/>
    </xf>
    <xf numFmtId="0" fontId="13838" fillId="13842" borderId="13789" xfId="0" applyFont="1" applyFill="1" applyBorder="1"/>
    <xf numFmtId="165" fontId="13839" fillId="13843" borderId="13790" xfId="0" applyNumberFormat="1" applyFont="1" applyFill="1" applyBorder="1"/>
    <xf numFmtId="0" fontId="13840" fillId="13844" borderId="13791" xfId="0" applyFont="1" applyFill="1" applyBorder="1"/>
    <xf numFmtId="0" fontId="13841" fillId="13845" borderId="13792" xfId="0" applyFont="1" applyFill="1" applyBorder="1" applyAlignment="1">
      <alignment horizontal="center"/>
    </xf>
    <xf numFmtId="14" fontId="13842" fillId="13846" borderId="13793" xfId="0" applyNumberFormat="1" applyFont="1" applyFill="1" applyBorder="1"/>
    <xf numFmtId="0" fontId="13843" fillId="13847" borderId="13794" xfId="0" applyFont="1" applyFill="1" applyBorder="1" applyAlignment="1">
      <alignment horizontal="center"/>
    </xf>
    <xf numFmtId="0" fontId="13844" fillId="13848" borderId="13795" xfId="0" applyFont="1" applyFill="1" applyBorder="1"/>
    <xf numFmtId="0" fontId="13845" fillId="13849" borderId="13796" xfId="0" applyFont="1" applyFill="1" applyBorder="1"/>
    <xf numFmtId="165" fontId="13846" fillId="13850" borderId="13797" xfId="0" applyNumberFormat="1" applyFont="1" applyFill="1" applyBorder="1"/>
    <xf numFmtId="165" fontId="13847" fillId="13851" borderId="13798" xfId="0" applyNumberFormat="1" applyFont="1" applyFill="1" applyBorder="1"/>
    <xf numFmtId="169" fontId="13848" fillId="13852" borderId="13799" xfId="0" applyNumberFormat="1" applyFont="1" applyFill="1" applyBorder="1"/>
    <xf numFmtId="168" fontId="13849" fillId="13853" borderId="13800" xfId="0" applyNumberFormat="1" applyFont="1" applyFill="1" applyBorder="1"/>
    <xf numFmtId="165" fontId="13850" fillId="13854" borderId="13801" xfId="0" applyNumberFormat="1" applyFont="1" applyFill="1" applyBorder="1"/>
    <xf numFmtId="0" fontId="13851" fillId="13855" borderId="13802" xfId="0" applyFont="1" applyFill="1" applyBorder="1" applyAlignment="1">
      <alignment horizontal="center"/>
    </xf>
    <xf numFmtId="0" fontId="13852" fillId="13856" borderId="13803" xfId="0" applyFont="1" applyFill="1" applyBorder="1" applyAlignment="1">
      <alignment horizontal="center"/>
    </xf>
    <xf numFmtId="0" fontId="13853" fillId="13857" borderId="13804" xfId="0" applyFont="1" applyFill="1" applyBorder="1"/>
    <xf numFmtId="165" fontId="13854" fillId="13858" borderId="13805" xfId="0" applyNumberFormat="1" applyFont="1" applyFill="1" applyBorder="1"/>
    <xf numFmtId="0" fontId="13855" fillId="13859" borderId="13806" xfId="0" applyFont="1" applyFill="1" applyBorder="1"/>
    <xf numFmtId="0" fontId="13856" fillId="13860" borderId="13807" xfId="0" applyFont="1" applyFill="1" applyBorder="1" applyAlignment="1">
      <alignment horizontal="center"/>
    </xf>
    <xf numFmtId="14" fontId="13857" fillId="13861" borderId="13808" xfId="0" applyNumberFormat="1" applyFont="1" applyFill="1" applyBorder="1"/>
    <xf numFmtId="0" fontId="13858" fillId="13862" borderId="13809" xfId="0" applyFont="1" applyFill="1" applyBorder="1" applyAlignment="1">
      <alignment horizontal="center"/>
    </xf>
    <xf numFmtId="0" fontId="13859" fillId="13863" borderId="13810" xfId="0" applyFont="1" applyFill="1" applyBorder="1"/>
    <xf numFmtId="0" fontId="13860" fillId="13864" borderId="13811" xfId="0" applyFont="1" applyFill="1" applyBorder="1"/>
    <xf numFmtId="165" fontId="13861" fillId="13865" borderId="13812" xfId="0" applyNumberFormat="1" applyFont="1" applyFill="1" applyBorder="1"/>
    <xf numFmtId="165" fontId="13862" fillId="13866" borderId="13813" xfId="0" applyNumberFormat="1" applyFont="1" applyFill="1" applyBorder="1"/>
    <xf numFmtId="169" fontId="13863" fillId="13867" borderId="13814" xfId="0" applyNumberFormat="1" applyFont="1" applyFill="1" applyBorder="1"/>
    <xf numFmtId="168" fontId="13864" fillId="13868" borderId="13815" xfId="0" applyNumberFormat="1" applyFont="1" applyFill="1" applyBorder="1"/>
    <xf numFmtId="165" fontId="13865" fillId="13869" borderId="13816" xfId="0" applyNumberFormat="1" applyFont="1" applyFill="1" applyBorder="1"/>
    <xf numFmtId="0" fontId="13866" fillId="13870" borderId="13817" xfId="0" applyFont="1" applyFill="1" applyBorder="1" applyAlignment="1">
      <alignment horizontal="center"/>
    </xf>
    <xf numFmtId="0" fontId="13867" fillId="13871" borderId="13818" xfId="0" applyFont="1" applyFill="1" applyBorder="1" applyAlignment="1">
      <alignment horizontal="center"/>
    </xf>
    <xf numFmtId="0" fontId="13868" fillId="13872" borderId="13819" xfId="0" applyFont="1" applyFill="1" applyBorder="1"/>
    <xf numFmtId="165" fontId="13869" fillId="13873" borderId="13820" xfId="0" applyNumberFormat="1" applyFont="1" applyFill="1" applyBorder="1"/>
    <xf numFmtId="0" fontId="13870" fillId="13874" borderId="13821" xfId="0" applyFont="1" applyFill="1" applyBorder="1"/>
    <xf numFmtId="0" fontId="13871" fillId="13875" borderId="13822" xfId="0" applyFont="1" applyFill="1" applyBorder="1" applyAlignment="1">
      <alignment horizontal="center"/>
    </xf>
    <xf numFmtId="14" fontId="13872" fillId="13876" borderId="13823" xfId="0" applyNumberFormat="1" applyFont="1" applyFill="1" applyBorder="1"/>
    <xf numFmtId="0" fontId="13873" fillId="13877" borderId="13824" xfId="0" applyFont="1" applyFill="1" applyBorder="1" applyAlignment="1">
      <alignment horizontal="center"/>
    </xf>
    <xf numFmtId="0" fontId="13874" fillId="13878" borderId="13825" xfId="0" applyFont="1" applyFill="1" applyBorder="1"/>
    <xf numFmtId="0" fontId="13875" fillId="13879" borderId="13826" xfId="0" applyFont="1" applyFill="1" applyBorder="1"/>
    <xf numFmtId="165" fontId="13876" fillId="13880" borderId="13827" xfId="0" applyNumberFormat="1" applyFont="1" applyFill="1" applyBorder="1"/>
    <xf numFmtId="165" fontId="13877" fillId="13881" borderId="13828" xfId="0" applyNumberFormat="1" applyFont="1" applyFill="1" applyBorder="1"/>
    <xf numFmtId="169" fontId="13878" fillId="13882" borderId="13829" xfId="0" applyNumberFormat="1" applyFont="1" applyFill="1" applyBorder="1"/>
    <xf numFmtId="168" fontId="13879" fillId="13883" borderId="13830" xfId="0" applyNumberFormat="1" applyFont="1" applyFill="1" applyBorder="1"/>
    <xf numFmtId="165" fontId="13880" fillId="13884" borderId="13831" xfId="0" applyNumberFormat="1" applyFont="1" applyFill="1" applyBorder="1"/>
    <xf numFmtId="0" fontId="13881" fillId="13885" borderId="13832" xfId="0" applyFont="1" applyFill="1" applyBorder="1" applyAlignment="1">
      <alignment horizontal="center"/>
    </xf>
    <xf numFmtId="0" fontId="13882" fillId="13886" borderId="13833" xfId="0" applyFont="1" applyFill="1" applyBorder="1" applyAlignment="1">
      <alignment horizontal="center"/>
    </xf>
    <xf numFmtId="0" fontId="13883" fillId="13887" borderId="13834" xfId="0" applyFont="1" applyFill="1" applyBorder="1"/>
    <xf numFmtId="165" fontId="13884" fillId="13888" borderId="13835" xfId="0" applyNumberFormat="1" applyFont="1" applyFill="1" applyBorder="1"/>
    <xf numFmtId="0" fontId="13885" fillId="13889" borderId="13836" xfId="0" applyFont="1" applyFill="1" applyBorder="1"/>
    <xf numFmtId="0" fontId="13886" fillId="13890" borderId="13837" xfId="0" applyFont="1" applyFill="1" applyBorder="1" applyAlignment="1">
      <alignment horizontal="center"/>
    </xf>
    <xf numFmtId="14" fontId="13887" fillId="13891" borderId="13838" xfId="0" applyNumberFormat="1" applyFont="1" applyFill="1" applyBorder="1"/>
    <xf numFmtId="0" fontId="13888" fillId="13892" borderId="13839" xfId="0" applyFont="1" applyFill="1" applyBorder="1" applyAlignment="1">
      <alignment horizontal="center"/>
    </xf>
    <xf numFmtId="0" fontId="13889" fillId="13893" borderId="13840" xfId="0" applyFont="1" applyFill="1" applyBorder="1"/>
    <xf numFmtId="0" fontId="13890" fillId="13894" borderId="13841" xfId="0" applyFont="1" applyFill="1" applyBorder="1"/>
    <xf numFmtId="165" fontId="13891" fillId="13895" borderId="13842" xfId="0" applyNumberFormat="1" applyFont="1" applyFill="1" applyBorder="1"/>
    <xf numFmtId="165" fontId="13892" fillId="13896" borderId="13843" xfId="0" applyNumberFormat="1" applyFont="1" applyFill="1" applyBorder="1"/>
    <xf numFmtId="169" fontId="13893" fillId="13897" borderId="13844" xfId="0" applyNumberFormat="1" applyFont="1" applyFill="1" applyBorder="1"/>
    <xf numFmtId="168" fontId="13894" fillId="13898" borderId="13845" xfId="0" applyNumberFormat="1" applyFont="1" applyFill="1" applyBorder="1"/>
    <xf numFmtId="165" fontId="13895" fillId="13899" borderId="13846" xfId="0" applyNumberFormat="1" applyFont="1" applyFill="1" applyBorder="1"/>
    <xf numFmtId="0" fontId="13896" fillId="13900" borderId="13847" xfId="0" applyFont="1" applyFill="1" applyBorder="1" applyAlignment="1">
      <alignment horizontal="center"/>
    </xf>
    <xf numFmtId="0" fontId="13897" fillId="13901" borderId="13848" xfId="0" applyFont="1" applyFill="1" applyBorder="1" applyAlignment="1">
      <alignment horizontal="center"/>
    </xf>
    <xf numFmtId="0" fontId="13898" fillId="13902" borderId="13849" xfId="0" applyFont="1" applyFill="1" applyBorder="1"/>
    <xf numFmtId="165" fontId="13899" fillId="13903" borderId="13850" xfId="0" applyNumberFormat="1" applyFont="1" applyFill="1" applyBorder="1"/>
    <xf numFmtId="0" fontId="13900" fillId="13904" borderId="13851" xfId="0" applyFont="1" applyFill="1" applyBorder="1"/>
    <xf numFmtId="0" fontId="13901" fillId="13905" borderId="13852" xfId="0" applyFont="1" applyFill="1" applyBorder="1" applyAlignment="1">
      <alignment horizontal="center"/>
    </xf>
    <xf numFmtId="14" fontId="13902" fillId="13906" borderId="13853" xfId="0" applyNumberFormat="1" applyFont="1" applyFill="1" applyBorder="1"/>
    <xf numFmtId="0" fontId="13903" fillId="13907" borderId="13854" xfId="0" applyFont="1" applyFill="1" applyBorder="1" applyAlignment="1">
      <alignment horizontal="center"/>
    </xf>
    <xf numFmtId="0" fontId="13904" fillId="13908" borderId="13855" xfId="0" applyFont="1" applyFill="1" applyBorder="1"/>
    <xf numFmtId="0" fontId="13905" fillId="13909" borderId="13856" xfId="0" applyFont="1" applyFill="1" applyBorder="1"/>
    <xf numFmtId="165" fontId="13906" fillId="13910" borderId="13857" xfId="0" applyNumberFormat="1" applyFont="1" applyFill="1" applyBorder="1"/>
    <xf numFmtId="165" fontId="13907" fillId="13911" borderId="13858" xfId="0" applyNumberFormat="1" applyFont="1" applyFill="1" applyBorder="1"/>
    <xf numFmtId="169" fontId="13908" fillId="13912" borderId="13859" xfId="0" applyNumberFormat="1" applyFont="1" applyFill="1" applyBorder="1"/>
    <xf numFmtId="168" fontId="13909" fillId="13913" borderId="13860" xfId="0" applyNumberFormat="1" applyFont="1" applyFill="1" applyBorder="1"/>
    <xf numFmtId="165" fontId="13910" fillId="13914" borderId="13861" xfId="0" applyNumberFormat="1" applyFont="1" applyFill="1" applyBorder="1"/>
    <xf numFmtId="0" fontId="13911" fillId="13915" borderId="13862" xfId="0" applyFont="1" applyFill="1" applyBorder="1" applyAlignment="1">
      <alignment horizontal="center"/>
    </xf>
    <xf numFmtId="0" fontId="13912" fillId="13916" borderId="13863" xfId="0" applyFont="1" applyFill="1" applyBorder="1" applyAlignment="1">
      <alignment horizontal="center"/>
    </xf>
    <xf numFmtId="0" fontId="13913" fillId="13917" borderId="13864" xfId="0" applyFont="1" applyFill="1" applyBorder="1"/>
    <xf numFmtId="165" fontId="13914" fillId="13918" borderId="13865" xfId="0" applyNumberFormat="1" applyFont="1" applyFill="1" applyBorder="1"/>
    <xf numFmtId="0" fontId="13915" fillId="13919" borderId="13866" xfId="0" applyFont="1" applyFill="1" applyBorder="1"/>
    <xf numFmtId="0" fontId="13916" fillId="13920" borderId="13867" xfId="0" applyFont="1" applyFill="1" applyBorder="1" applyAlignment="1">
      <alignment horizontal="center"/>
    </xf>
    <xf numFmtId="14" fontId="13917" fillId="13921" borderId="13868" xfId="0" applyNumberFormat="1" applyFont="1" applyFill="1" applyBorder="1"/>
    <xf numFmtId="0" fontId="13918" fillId="13922" borderId="13869" xfId="0" applyFont="1" applyFill="1" applyBorder="1" applyAlignment="1">
      <alignment horizontal="center"/>
    </xf>
    <xf numFmtId="0" fontId="13919" fillId="13923" borderId="13870" xfId="0" applyFont="1" applyFill="1" applyBorder="1"/>
    <xf numFmtId="0" fontId="13920" fillId="13924" borderId="13871" xfId="0" applyFont="1" applyFill="1" applyBorder="1"/>
    <xf numFmtId="165" fontId="13921" fillId="13925" borderId="13872" xfId="0" applyNumberFormat="1" applyFont="1" applyFill="1" applyBorder="1"/>
    <xf numFmtId="165" fontId="13922" fillId="13926" borderId="13873" xfId="0" applyNumberFormat="1" applyFont="1" applyFill="1" applyBorder="1"/>
    <xf numFmtId="169" fontId="13923" fillId="13927" borderId="13874" xfId="0" applyNumberFormat="1" applyFont="1" applyFill="1" applyBorder="1"/>
    <xf numFmtId="168" fontId="13924" fillId="13928" borderId="13875" xfId="0" applyNumberFormat="1" applyFont="1" applyFill="1" applyBorder="1"/>
    <xf numFmtId="165" fontId="13925" fillId="13929" borderId="13876" xfId="0" applyNumberFormat="1" applyFont="1" applyFill="1" applyBorder="1"/>
    <xf numFmtId="0" fontId="13926" fillId="13930" borderId="13877" xfId="0" applyFont="1" applyFill="1" applyBorder="1" applyAlignment="1">
      <alignment horizontal="center"/>
    </xf>
    <xf numFmtId="0" fontId="13927" fillId="13931" borderId="13878" xfId="0" applyFont="1" applyFill="1" applyBorder="1" applyAlignment="1">
      <alignment horizontal="center"/>
    </xf>
    <xf numFmtId="0" fontId="13928" fillId="13932" borderId="13879" xfId="0" applyFont="1" applyFill="1" applyBorder="1"/>
    <xf numFmtId="165" fontId="13929" fillId="13933" borderId="13880" xfId="0" applyNumberFormat="1" applyFont="1" applyFill="1" applyBorder="1"/>
    <xf numFmtId="0" fontId="13930" fillId="13934" borderId="13881" xfId="0" applyFont="1" applyFill="1" applyBorder="1"/>
    <xf numFmtId="0" fontId="13931" fillId="13935" borderId="13882" xfId="0" applyFont="1" applyFill="1" applyBorder="1" applyAlignment="1">
      <alignment horizontal="center"/>
    </xf>
    <xf numFmtId="14" fontId="13932" fillId="13936" borderId="13883" xfId="0" applyNumberFormat="1" applyFont="1" applyFill="1" applyBorder="1"/>
    <xf numFmtId="0" fontId="13933" fillId="13937" borderId="13884" xfId="0" applyFont="1" applyFill="1" applyBorder="1" applyAlignment="1">
      <alignment horizontal="center"/>
    </xf>
    <xf numFmtId="0" fontId="13934" fillId="13938" borderId="13885" xfId="0" applyFont="1" applyFill="1" applyBorder="1"/>
    <xf numFmtId="0" fontId="13935" fillId="13939" borderId="13886" xfId="0" applyFont="1" applyFill="1" applyBorder="1"/>
    <xf numFmtId="165" fontId="13936" fillId="13940" borderId="13887" xfId="0" applyNumberFormat="1" applyFont="1" applyFill="1" applyBorder="1"/>
    <xf numFmtId="165" fontId="13937" fillId="13941" borderId="13888" xfId="0" applyNumberFormat="1" applyFont="1" applyFill="1" applyBorder="1"/>
    <xf numFmtId="169" fontId="13938" fillId="13942" borderId="13889" xfId="0" applyNumberFormat="1" applyFont="1" applyFill="1" applyBorder="1"/>
    <xf numFmtId="168" fontId="13939" fillId="13943" borderId="13890" xfId="0" applyNumberFormat="1" applyFont="1" applyFill="1" applyBorder="1"/>
    <xf numFmtId="165" fontId="13940" fillId="13944" borderId="13891" xfId="0" applyNumberFormat="1" applyFont="1" applyFill="1" applyBorder="1"/>
    <xf numFmtId="0" fontId="13941" fillId="13945" borderId="13892" xfId="0" applyFont="1" applyFill="1" applyBorder="1" applyAlignment="1">
      <alignment horizontal="center"/>
    </xf>
    <xf numFmtId="0" fontId="13942" fillId="13946" borderId="13893" xfId="0" applyFont="1" applyFill="1" applyBorder="1" applyAlignment="1">
      <alignment horizontal="center"/>
    </xf>
    <xf numFmtId="0" fontId="13943" fillId="13947" borderId="13894" xfId="0" applyFont="1" applyFill="1" applyBorder="1"/>
    <xf numFmtId="165" fontId="13944" fillId="13948" borderId="13895" xfId="0" applyNumberFormat="1" applyFont="1" applyFill="1" applyBorder="1"/>
    <xf numFmtId="0" fontId="13945" fillId="13949" borderId="13896" xfId="0" applyFont="1" applyFill="1" applyBorder="1"/>
    <xf numFmtId="0" fontId="13946" fillId="13950" borderId="13897" xfId="0" applyFont="1" applyFill="1" applyBorder="1" applyAlignment="1">
      <alignment horizontal="center"/>
    </xf>
    <xf numFmtId="14" fontId="13947" fillId="13951" borderId="13898" xfId="0" applyNumberFormat="1" applyFont="1" applyFill="1" applyBorder="1"/>
    <xf numFmtId="0" fontId="13948" fillId="13952" borderId="13899" xfId="0" applyFont="1" applyFill="1" applyBorder="1" applyAlignment="1">
      <alignment horizontal="center"/>
    </xf>
    <xf numFmtId="0" fontId="13949" fillId="13953" borderId="13900" xfId="0" applyFont="1" applyFill="1" applyBorder="1"/>
    <xf numFmtId="0" fontId="13950" fillId="13954" borderId="13901" xfId="0" applyFont="1" applyFill="1" applyBorder="1"/>
    <xf numFmtId="165" fontId="13951" fillId="13955" borderId="13902" xfId="0" applyNumberFormat="1" applyFont="1" applyFill="1" applyBorder="1"/>
    <xf numFmtId="165" fontId="13952" fillId="13956" borderId="13903" xfId="0" applyNumberFormat="1" applyFont="1" applyFill="1" applyBorder="1"/>
    <xf numFmtId="169" fontId="13953" fillId="13957" borderId="13904" xfId="0" applyNumberFormat="1" applyFont="1" applyFill="1" applyBorder="1"/>
    <xf numFmtId="168" fontId="13954" fillId="13958" borderId="13905" xfId="0" applyNumberFormat="1" applyFont="1" applyFill="1" applyBorder="1"/>
    <xf numFmtId="165" fontId="13955" fillId="13959" borderId="13906" xfId="0" applyNumberFormat="1" applyFont="1" applyFill="1" applyBorder="1"/>
    <xf numFmtId="0" fontId="13956" fillId="13960" borderId="13907" xfId="0" applyFont="1" applyFill="1" applyBorder="1" applyAlignment="1">
      <alignment horizontal="center"/>
    </xf>
    <xf numFmtId="0" fontId="13957" fillId="13961" borderId="13908" xfId="0" applyFont="1" applyFill="1" applyBorder="1" applyAlignment="1">
      <alignment horizontal="center"/>
    </xf>
    <xf numFmtId="0" fontId="13958" fillId="13962" borderId="13909" xfId="0" applyFont="1" applyFill="1" applyBorder="1"/>
    <xf numFmtId="165" fontId="13959" fillId="13963" borderId="13910" xfId="0" applyNumberFormat="1" applyFont="1" applyFill="1" applyBorder="1"/>
    <xf numFmtId="0" fontId="13960" fillId="13964" borderId="13911" xfId="0" applyFont="1" applyFill="1" applyBorder="1"/>
    <xf numFmtId="0" fontId="13961" fillId="13965" borderId="13912" xfId="0" applyFont="1" applyFill="1" applyBorder="1" applyAlignment="1">
      <alignment horizontal="center"/>
    </xf>
    <xf numFmtId="14" fontId="13962" fillId="13966" borderId="13913" xfId="0" applyNumberFormat="1" applyFont="1" applyFill="1" applyBorder="1"/>
    <xf numFmtId="0" fontId="13963" fillId="13967" borderId="13914" xfId="0" applyFont="1" applyFill="1" applyBorder="1" applyAlignment="1">
      <alignment horizontal="center"/>
    </xf>
    <xf numFmtId="0" fontId="13964" fillId="13968" borderId="13915" xfId="0" applyFont="1" applyFill="1" applyBorder="1"/>
    <xf numFmtId="0" fontId="13965" fillId="13969" borderId="13916" xfId="0" applyFont="1" applyFill="1" applyBorder="1"/>
    <xf numFmtId="165" fontId="13966" fillId="13970" borderId="13917" xfId="0" applyNumberFormat="1" applyFont="1" applyFill="1" applyBorder="1"/>
    <xf numFmtId="165" fontId="13967" fillId="13971" borderId="13918" xfId="0" applyNumberFormat="1" applyFont="1" applyFill="1" applyBorder="1"/>
    <xf numFmtId="169" fontId="13968" fillId="13972" borderId="13919" xfId="0" applyNumberFormat="1" applyFont="1" applyFill="1" applyBorder="1"/>
    <xf numFmtId="168" fontId="13969" fillId="13973" borderId="13920" xfId="0" applyNumberFormat="1" applyFont="1" applyFill="1" applyBorder="1"/>
    <xf numFmtId="165" fontId="13970" fillId="13974" borderId="13921" xfId="0" applyNumberFormat="1" applyFont="1" applyFill="1" applyBorder="1"/>
    <xf numFmtId="0" fontId="13971" fillId="13975" borderId="13922" xfId="0" applyFont="1" applyFill="1" applyBorder="1" applyAlignment="1">
      <alignment horizontal="center"/>
    </xf>
    <xf numFmtId="0" fontId="13972" fillId="13976" borderId="13923" xfId="0" applyFont="1" applyFill="1" applyBorder="1" applyAlignment="1">
      <alignment horizontal="center"/>
    </xf>
    <xf numFmtId="0" fontId="13973" fillId="13977" borderId="13924" xfId="0" applyFont="1" applyFill="1" applyBorder="1"/>
    <xf numFmtId="165" fontId="13974" fillId="13978" borderId="13925" xfId="0" applyNumberFormat="1" applyFont="1" applyFill="1" applyBorder="1"/>
    <xf numFmtId="0" fontId="13975" fillId="13979" borderId="13926" xfId="0" applyFont="1" applyFill="1" applyBorder="1"/>
    <xf numFmtId="0" fontId="13976" fillId="13980" borderId="13927" xfId="0" applyFont="1" applyFill="1" applyBorder="1" applyAlignment="1">
      <alignment horizontal="center"/>
    </xf>
    <xf numFmtId="14" fontId="13977" fillId="13981" borderId="13928" xfId="0" applyNumberFormat="1" applyFont="1" applyFill="1" applyBorder="1"/>
    <xf numFmtId="0" fontId="13978" fillId="13982" borderId="13929" xfId="0" applyFont="1" applyFill="1" applyBorder="1" applyAlignment="1">
      <alignment horizontal="center"/>
    </xf>
    <xf numFmtId="0" fontId="13979" fillId="13983" borderId="13930" xfId="0" applyFont="1" applyFill="1" applyBorder="1"/>
    <xf numFmtId="0" fontId="13980" fillId="13984" borderId="13931" xfId="0" applyFont="1" applyFill="1" applyBorder="1"/>
    <xf numFmtId="165" fontId="13981" fillId="13985" borderId="13932" xfId="0" applyNumberFormat="1" applyFont="1" applyFill="1" applyBorder="1"/>
    <xf numFmtId="165" fontId="13982" fillId="13986" borderId="13933" xfId="0" applyNumberFormat="1" applyFont="1" applyFill="1" applyBorder="1"/>
    <xf numFmtId="169" fontId="13983" fillId="13987" borderId="13934" xfId="0" applyNumberFormat="1" applyFont="1" applyFill="1" applyBorder="1"/>
    <xf numFmtId="168" fontId="13984" fillId="13988" borderId="13935" xfId="0" applyNumberFormat="1" applyFont="1" applyFill="1" applyBorder="1"/>
    <xf numFmtId="165" fontId="13985" fillId="13989" borderId="13936" xfId="0" applyNumberFormat="1" applyFont="1" applyFill="1" applyBorder="1"/>
    <xf numFmtId="0" fontId="13986" fillId="13990" borderId="13937" xfId="0" applyFont="1" applyFill="1" applyBorder="1" applyAlignment="1">
      <alignment horizontal="center"/>
    </xf>
    <xf numFmtId="0" fontId="13987" fillId="13991" borderId="13938" xfId="0" applyFont="1" applyFill="1" applyBorder="1" applyAlignment="1">
      <alignment horizontal="center"/>
    </xf>
    <xf numFmtId="0" fontId="13988" fillId="13992" borderId="13939" xfId="0" applyFont="1" applyFill="1" applyBorder="1"/>
    <xf numFmtId="165" fontId="13989" fillId="13993" borderId="13940" xfId="0" applyNumberFormat="1" applyFont="1" applyFill="1" applyBorder="1"/>
    <xf numFmtId="0" fontId="13990" fillId="13994" borderId="13941" xfId="0" applyFont="1" applyFill="1" applyBorder="1"/>
    <xf numFmtId="0" fontId="13991" fillId="13995" borderId="13942" xfId="0" applyFont="1" applyFill="1" applyBorder="1" applyAlignment="1">
      <alignment horizontal="center"/>
    </xf>
    <xf numFmtId="14" fontId="13992" fillId="13996" borderId="13943" xfId="0" applyNumberFormat="1" applyFont="1" applyFill="1" applyBorder="1"/>
    <xf numFmtId="0" fontId="13993" fillId="13997" borderId="13944" xfId="0" applyFont="1" applyFill="1" applyBorder="1" applyAlignment="1">
      <alignment horizontal="center"/>
    </xf>
    <xf numFmtId="0" fontId="13994" fillId="13998" borderId="13945" xfId="0" applyFont="1" applyFill="1" applyBorder="1"/>
    <xf numFmtId="0" fontId="13995" fillId="13999" borderId="13946" xfId="0" applyFont="1" applyFill="1" applyBorder="1"/>
    <xf numFmtId="165" fontId="13996" fillId="14000" borderId="13947" xfId="0" applyNumberFormat="1" applyFont="1" applyFill="1" applyBorder="1"/>
    <xf numFmtId="165" fontId="13997" fillId="14001" borderId="13948" xfId="0" applyNumberFormat="1" applyFont="1" applyFill="1" applyBorder="1"/>
    <xf numFmtId="169" fontId="13998" fillId="14002" borderId="13949" xfId="0" applyNumberFormat="1" applyFont="1" applyFill="1" applyBorder="1"/>
    <xf numFmtId="168" fontId="13999" fillId="14003" borderId="13950" xfId="0" applyNumberFormat="1" applyFont="1" applyFill="1" applyBorder="1"/>
    <xf numFmtId="165" fontId="14000" fillId="14004" borderId="13951" xfId="0" applyNumberFormat="1" applyFont="1" applyFill="1" applyBorder="1"/>
    <xf numFmtId="0" fontId="14001" fillId="14005" borderId="13952" xfId="0" applyFont="1" applyFill="1" applyBorder="1" applyAlignment="1">
      <alignment horizontal="center"/>
    </xf>
    <xf numFmtId="0" fontId="14002" fillId="14006" borderId="13953" xfId="0" applyFont="1" applyFill="1" applyBorder="1" applyAlignment="1">
      <alignment horizontal="center"/>
    </xf>
    <xf numFmtId="0" fontId="14003" fillId="14007" borderId="13954" xfId="0" applyFont="1" applyFill="1" applyBorder="1"/>
    <xf numFmtId="165" fontId="14004" fillId="14008" borderId="13955" xfId="0" applyNumberFormat="1" applyFont="1" applyFill="1" applyBorder="1"/>
    <xf numFmtId="0" fontId="14005" fillId="14009" borderId="13956" xfId="0" applyFont="1" applyFill="1" applyBorder="1"/>
    <xf numFmtId="0" fontId="14006" fillId="14010" borderId="13957" xfId="0" applyFont="1" applyFill="1" applyBorder="1" applyAlignment="1">
      <alignment horizontal="center"/>
    </xf>
    <xf numFmtId="14" fontId="14007" fillId="14011" borderId="13958" xfId="0" applyNumberFormat="1" applyFont="1" applyFill="1" applyBorder="1"/>
    <xf numFmtId="0" fontId="14008" fillId="14012" borderId="13959" xfId="0" applyFont="1" applyFill="1" applyBorder="1" applyAlignment="1">
      <alignment horizontal="center"/>
    </xf>
    <xf numFmtId="0" fontId="14009" fillId="14013" borderId="13960" xfId="0" applyFont="1" applyFill="1" applyBorder="1"/>
    <xf numFmtId="0" fontId="14010" fillId="14014" borderId="13961" xfId="0" applyFont="1" applyFill="1" applyBorder="1"/>
    <xf numFmtId="165" fontId="14011" fillId="14015" borderId="13962" xfId="0" applyNumberFormat="1" applyFont="1" applyFill="1" applyBorder="1"/>
    <xf numFmtId="165" fontId="14012" fillId="14016" borderId="13963" xfId="0" applyNumberFormat="1" applyFont="1" applyFill="1" applyBorder="1"/>
    <xf numFmtId="169" fontId="14013" fillId="14017" borderId="13964" xfId="0" applyNumberFormat="1" applyFont="1" applyFill="1" applyBorder="1"/>
    <xf numFmtId="168" fontId="14014" fillId="14018" borderId="13965" xfId="0" applyNumberFormat="1" applyFont="1" applyFill="1" applyBorder="1"/>
    <xf numFmtId="165" fontId="14015" fillId="14019" borderId="13966" xfId="0" applyNumberFormat="1" applyFont="1" applyFill="1" applyBorder="1"/>
    <xf numFmtId="0" fontId="14016" fillId="14020" borderId="13967" xfId="0" applyFont="1" applyFill="1" applyBorder="1" applyAlignment="1">
      <alignment horizontal="center"/>
    </xf>
    <xf numFmtId="0" fontId="14017" fillId="14021" borderId="13968" xfId="0" applyFont="1" applyFill="1" applyBorder="1" applyAlignment="1">
      <alignment horizontal="center"/>
    </xf>
    <xf numFmtId="0" fontId="14018" fillId="14022" borderId="13969" xfId="0" applyFont="1" applyFill="1" applyBorder="1"/>
    <xf numFmtId="165" fontId="14019" fillId="14023" borderId="13970" xfId="0" applyNumberFormat="1" applyFont="1" applyFill="1" applyBorder="1"/>
    <xf numFmtId="0" fontId="14020" fillId="14024" borderId="13971" xfId="0" applyFont="1" applyFill="1" applyBorder="1"/>
    <xf numFmtId="0" fontId="14021" fillId="14025" borderId="13972" xfId="0" applyFont="1" applyFill="1" applyBorder="1" applyAlignment="1">
      <alignment horizontal="center"/>
    </xf>
    <xf numFmtId="14" fontId="14022" fillId="14026" borderId="13973" xfId="0" applyNumberFormat="1" applyFont="1" applyFill="1" applyBorder="1"/>
    <xf numFmtId="0" fontId="14023" fillId="14027" borderId="13974" xfId="0" applyFont="1" applyFill="1" applyBorder="1" applyAlignment="1">
      <alignment horizontal="center"/>
    </xf>
    <xf numFmtId="0" fontId="14024" fillId="14028" borderId="13975" xfId="0" applyFont="1" applyFill="1" applyBorder="1"/>
    <xf numFmtId="0" fontId="14025" fillId="14029" borderId="13976" xfId="0" applyFont="1" applyFill="1" applyBorder="1"/>
    <xf numFmtId="165" fontId="14026" fillId="14030" borderId="13977" xfId="0" applyNumberFormat="1" applyFont="1" applyFill="1" applyBorder="1"/>
    <xf numFmtId="165" fontId="14027" fillId="14031" borderId="13978" xfId="0" applyNumberFormat="1" applyFont="1" applyFill="1" applyBorder="1"/>
    <xf numFmtId="169" fontId="14028" fillId="14032" borderId="13979" xfId="0" applyNumberFormat="1" applyFont="1" applyFill="1" applyBorder="1"/>
    <xf numFmtId="168" fontId="14029" fillId="14033" borderId="13980" xfId="0" applyNumberFormat="1" applyFont="1" applyFill="1" applyBorder="1"/>
    <xf numFmtId="165" fontId="14030" fillId="14034" borderId="13981" xfId="0" applyNumberFormat="1" applyFont="1" applyFill="1" applyBorder="1"/>
    <xf numFmtId="0" fontId="14031" fillId="14035" borderId="13982" xfId="0" applyFont="1" applyFill="1" applyBorder="1" applyAlignment="1">
      <alignment horizontal="center"/>
    </xf>
    <xf numFmtId="0" fontId="14032" fillId="14036" borderId="13983" xfId="0" applyFont="1" applyFill="1" applyBorder="1" applyAlignment="1">
      <alignment horizontal="center"/>
    </xf>
    <xf numFmtId="0" fontId="14033" fillId="14037" borderId="13984" xfId="0" applyFont="1" applyFill="1" applyBorder="1"/>
    <xf numFmtId="165" fontId="14034" fillId="14038" borderId="13985" xfId="0" applyNumberFormat="1" applyFont="1" applyFill="1" applyBorder="1"/>
    <xf numFmtId="0" fontId="14035" fillId="14039" borderId="13986" xfId="0" applyFont="1" applyFill="1" applyBorder="1"/>
    <xf numFmtId="0" fontId="14036" fillId="14040" borderId="13987" xfId="0" applyFont="1" applyFill="1" applyBorder="1" applyAlignment="1">
      <alignment horizontal="center"/>
    </xf>
    <xf numFmtId="14" fontId="14037" fillId="14041" borderId="13988" xfId="0" applyNumberFormat="1" applyFont="1" applyFill="1" applyBorder="1"/>
    <xf numFmtId="0" fontId="14038" fillId="14042" borderId="13989" xfId="0" applyFont="1" applyFill="1" applyBorder="1" applyAlignment="1">
      <alignment horizontal="center"/>
    </xf>
    <xf numFmtId="0" fontId="14039" fillId="14043" borderId="13990" xfId="0" applyFont="1" applyFill="1" applyBorder="1"/>
    <xf numFmtId="0" fontId="14040" fillId="14044" borderId="13991" xfId="0" applyFont="1" applyFill="1" applyBorder="1"/>
    <xf numFmtId="165" fontId="14041" fillId="14045" borderId="13992" xfId="0" applyNumberFormat="1" applyFont="1" applyFill="1" applyBorder="1"/>
    <xf numFmtId="165" fontId="14042" fillId="14046" borderId="13993" xfId="0" applyNumberFormat="1" applyFont="1" applyFill="1" applyBorder="1"/>
    <xf numFmtId="169" fontId="14043" fillId="14047" borderId="13994" xfId="0" applyNumberFormat="1" applyFont="1" applyFill="1" applyBorder="1"/>
    <xf numFmtId="168" fontId="14044" fillId="14048" borderId="13995" xfId="0" applyNumberFormat="1" applyFont="1" applyFill="1" applyBorder="1"/>
    <xf numFmtId="165" fontId="14045" fillId="14049" borderId="13996" xfId="0" applyNumberFormat="1" applyFont="1" applyFill="1" applyBorder="1"/>
    <xf numFmtId="0" fontId="14046" fillId="14050" borderId="13997" xfId="0" applyFont="1" applyFill="1" applyBorder="1" applyAlignment="1">
      <alignment horizontal="center"/>
    </xf>
    <xf numFmtId="0" fontId="14047" fillId="14051" borderId="13998" xfId="0" applyFont="1" applyFill="1" applyBorder="1" applyAlignment="1">
      <alignment horizontal="center"/>
    </xf>
    <xf numFmtId="0" fontId="14048" fillId="14052" borderId="13999" xfId="0" applyFont="1" applyFill="1" applyBorder="1"/>
    <xf numFmtId="165" fontId="14049" fillId="14053" borderId="14000" xfId="0" applyNumberFormat="1" applyFont="1" applyFill="1" applyBorder="1"/>
    <xf numFmtId="0" fontId="14050" fillId="14054" borderId="14001" xfId="0" applyFont="1" applyFill="1" applyBorder="1"/>
    <xf numFmtId="0" fontId="14051" fillId="14055" borderId="14002" xfId="0" applyFont="1" applyFill="1" applyBorder="1" applyAlignment="1">
      <alignment horizontal="center"/>
    </xf>
    <xf numFmtId="14" fontId="14052" fillId="14056" borderId="14003" xfId="0" applyNumberFormat="1" applyFont="1" applyFill="1" applyBorder="1"/>
    <xf numFmtId="0" fontId="14053" fillId="14057" borderId="14004" xfId="0" applyFont="1" applyFill="1" applyBorder="1" applyAlignment="1">
      <alignment horizontal="center"/>
    </xf>
    <xf numFmtId="0" fontId="14054" fillId="14058" borderId="14005" xfId="0" applyFont="1" applyFill="1" applyBorder="1"/>
    <xf numFmtId="0" fontId="14055" fillId="14059" borderId="14006" xfId="0" applyFont="1" applyFill="1" applyBorder="1"/>
    <xf numFmtId="165" fontId="14056" fillId="14060" borderId="14007" xfId="0" applyNumberFormat="1" applyFont="1" applyFill="1" applyBorder="1"/>
    <xf numFmtId="165" fontId="14057" fillId="14061" borderId="14008" xfId="0" applyNumberFormat="1" applyFont="1" applyFill="1" applyBorder="1"/>
    <xf numFmtId="169" fontId="14058" fillId="14062" borderId="14009" xfId="0" applyNumberFormat="1" applyFont="1" applyFill="1" applyBorder="1"/>
    <xf numFmtId="168" fontId="14059" fillId="14063" borderId="14010" xfId="0" applyNumberFormat="1" applyFont="1" applyFill="1" applyBorder="1"/>
    <xf numFmtId="165" fontId="14060" fillId="14064" borderId="14011" xfId="0" applyNumberFormat="1" applyFont="1" applyFill="1" applyBorder="1"/>
    <xf numFmtId="0" fontId="14061" fillId="14065" borderId="14012" xfId="0" applyFont="1" applyFill="1" applyBorder="1" applyAlignment="1">
      <alignment horizontal="center"/>
    </xf>
    <xf numFmtId="0" fontId="14062" fillId="14066" borderId="14013" xfId="0" applyFont="1" applyFill="1" applyBorder="1" applyAlignment="1">
      <alignment horizontal="center"/>
    </xf>
    <xf numFmtId="0" fontId="14063" fillId="14067" borderId="14014" xfId="0" applyFont="1" applyFill="1" applyBorder="1"/>
    <xf numFmtId="165" fontId="14064" fillId="14068" borderId="14015" xfId="0" applyNumberFormat="1" applyFont="1" applyFill="1" applyBorder="1"/>
    <xf numFmtId="0" fontId="14065" fillId="14069" borderId="14016" xfId="0" applyFont="1" applyFill="1" applyBorder="1"/>
    <xf numFmtId="0" fontId="14066" fillId="14070" borderId="14017" xfId="0" applyFont="1" applyFill="1" applyBorder="1" applyAlignment="1">
      <alignment horizontal="center"/>
    </xf>
    <xf numFmtId="14" fontId="14067" fillId="14071" borderId="14018" xfId="0" applyNumberFormat="1" applyFont="1" applyFill="1" applyBorder="1"/>
    <xf numFmtId="0" fontId="14068" fillId="14072" borderId="14019" xfId="0" applyFont="1" applyFill="1" applyBorder="1" applyAlignment="1">
      <alignment horizontal="center"/>
    </xf>
    <xf numFmtId="0" fontId="14069" fillId="14073" borderId="14020" xfId="0" applyFont="1" applyFill="1" applyBorder="1"/>
    <xf numFmtId="0" fontId="14070" fillId="14074" borderId="14021" xfId="0" applyFont="1" applyFill="1" applyBorder="1"/>
    <xf numFmtId="165" fontId="14071" fillId="14075" borderId="14022" xfId="0" applyNumberFormat="1" applyFont="1" applyFill="1" applyBorder="1"/>
    <xf numFmtId="165" fontId="14072" fillId="14076" borderId="14023" xfId="0" applyNumberFormat="1" applyFont="1" applyFill="1" applyBorder="1"/>
    <xf numFmtId="169" fontId="14073" fillId="14077" borderId="14024" xfId="0" applyNumberFormat="1" applyFont="1" applyFill="1" applyBorder="1"/>
    <xf numFmtId="168" fontId="14074" fillId="14078" borderId="14025" xfId="0" applyNumberFormat="1" applyFont="1" applyFill="1" applyBorder="1"/>
    <xf numFmtId="165" fontId="14075" fillId="14079" borderId="14026" xfId="0" applyNumberFormat="1" applyFont="1" applyFill="1" applyBorder="1"/>
    <xf numFmtId="0" fontId="14076" fillId="14080" borderId="14027" xfId="0" applyFont="1" applyFill="1" applyBorder="1" applyAlignment="1">
      <alignment horizontal="center"/>
    </xf>
    <xf numFmtId="0" fontId="14077" fillId="14081" borderId="14028" xfId="0" applyFont="1" applyFill="1" applyBorder="1" applyAlignment="1">
      <alignment horizontal="center"/>
    </xf>
    <xf numFmtId="0" fontId="14078" fillId="14082" borderId="14029" xfId="0" applyFont="1" applyFill="1" applyBorder="1"/>
    <xf numFmtId="165" fontId="14079" fillId="14083" borderId="14030" xfId="0" applyNumberFormat="1" applyFont="1" applyFill="1" applyBorder="1"/>
    <xf numFmtId="0" fontId="14080" fillId="14084" borderId="14031" xfId="0" applyFont="1" applyFill="1" applyBorder="1"/>
    <xf numFmtId="0" fontId="14081" fillId="14085" borderId="14032" xfId="0" applyFont="1" applyFill="1" applyBorder="1" applyAlignment="1">
      <alignment horizontal="center"/>
    </xf>
    <xf numFmtId="14" fontId="14082" fillId="14086" borderId="14033" xfId="0" applyNumberFormat="1" applyFont="1" applyFill="1" applyBorder="1"/>
    <xf numFmtId="0" fontId="14083" fillId="14087" borderId="14034" xfId="0" applyFont="1" applyFill="1" applyBorder="1" applyAlignment="1">
      <alignment horizontal="center"/>
    </xf>
    <xf numFmtId="0" fontId="14084" fillId="14088" borderId="14035" xfId="0" applyFont="1" applyFill="1" applyBorder="1"/>
    <xf numFmtId="0" fontId="14085" fillId="14089" borderId="14036" xfId="0" applyFont="1" applyFill="1" applyBorder="1"/>
    <xf numFmtId="165" fontId="14086" fillId="14090" borderId="14037" xfId="0" applyNumberFormat="1" applyFont="1" applyFill="1" applyBorder="1"/>
    <xf numFmtId="165" fontId="14087" fillId="14091" borderId="14038" xfId="0" applyNumberFormat="1" applyFont="1" applyFill="1" applyBorder="1"/>
    <xf numFmtId="169" fontId="14088" fillId="14092" borderId="14039" xfId="0" applyNumberFormat="1" applyFont="1" applyFill="1" applyBorder="1"/>
    <xf numFmtId="168" fontId="14089" fillId="14093" borderId="14040" xfId="0" applyNumberFormat="1" applyFont="1" applyFill="1" applyBorder="1"/>
    <xf numFmtId="165" fontId="14090" fillId="14094" borderId="14041" xfId="0" applyNumberFormat="1" applyFont="1" applyFill="1" applyBorder="1"/>
    <xf numFmtId="0" fontId="14091" fillId="14095" borderId="14042" xfId="0" applyFont="1" applyFill="1" applyBorder="1" applyAlignment="1">
      <alignment horizontal="center"/>
    </xf>
    <xf numFmtId="0" fontId="14092" fillId="14096" borderId="14043" xfId="0" applyFont="1" applyFill="1" applyBorder="1" applyAlignment="1">
      <alignment horizontal="center"/>
    </xf>
    <xf numFmtId="0" fontId="14093" fillId="14097" borderId="14044" xfId="0" applyFont="1" applyFill="1" applyBorder="1"/>
    <xf numFmtId="165" fontId="14094" fillId="14098" borderId="14045" xfId="0" applyNumberFormat="1" applyFont="1" applyFill="1" applyBorder="1"/>
    <xf numFmtId="0" fontId="14095" fillId="14099" borderId="14046" xfId="0" applyFont="1" applyFill="1" applyBorder="1"/>
    <xf numFmtId="0" fontId="14096" fillId="14100" borderId="14047" xfId="0" applyFont="1" applyFill="1" applyBorder="1" applyAlignment="1">
      <alignment horizontal="center"/>
    </xf>
    <xf numFmtId="14" fontId="14097" fillId="14101" borderId="14048" xfId="0" applyNumberFormat="1" applyFont="1" applyFill="1" applyBorder="1"/>
    <xf numFmtId="0" fontId="14098" fillId="14102" borderId="14049" xfId="0" applyFont="1" applyFill="1" applyBorder="1" applyAlignment="1">
      <alignment horizontal="center"/>
    </xf>
    <xf numFmtId="0" fontId="14099" fillId="14103" borderId="14050" xfId="0" applyFont="1" applyFill="1" applyBorder="1"/>
    <xf numFmtId="0" fontId="14100" fillId="14104" borderId="14051" xfId="0" applyFont="1" applyFill="1" applyBorder="1"/>
    <xf numFmtId="165" fontId="14101" fillId="14105" borderId="14052" xfId="0" applyNumberFormat="1" applyFont="1" applyFill="1" applyBorder="1"/>
    <xf numFmtId="165" fontId="14102" fillId="14106" borderId="14053" xfId="0" applyNumberFormat="1" applyFont="1" applyFill="1" applyBorder="1"/>
    <xf numFmtId="169" fontId="14103" fillId="14107" borderId="14054" xfId="0" applyNumberFormat="1" applyFont="1" applyFill="1" applyBorder="1"/>
    <xf numFmtId="168" fontId="14104" fillId="14108" borderId="14055" xfId="0" applyNumberFormat="1" applyFont="1" applyFill="1" applyBorder="1"/>
    <xf numFmtId="165" fontId="14105" fillId="14109" borderId="14056" xfId="0" applyNumberFormat="1" applyFont="1" applyFill="1" applyBorder="1"/>
    <xf numFmtId="0" fontId="14106" fillId="14110" borderId="14057" xfId="0" applyFont="1" applyFill="1" applyBorder="1" applyAlignment="1">
      <alignment horizontal="center"/>
    </xf>
    <xf numFmtId="0" fontId="14107" fillId="14111" borderId="14058" xfId="0" applyFont="1" applyFill="1" applyBorder="1" applyAlignment="1">
      <alignment horizontal="center"/>
    </xf>
    <xf numFmtId="0" fontId="14108" fillId="14112" borderId="14059" xfId="0" applyFont="1" applyFill="1" applyBorder="1"/>
    <xf numFmtId="165" fontId="14109" fillId="14113" borderId="14060" xfId="0" applyNumberFormat="1" applyFont="1" applyFill="1" applyBorder="1"/>
    <xf numFmtId="0" fontId="14110" fillId="14114" borderId="14061" xfId="0" applyFont="1" applyFill="1" applyBorder="1"/>
    <xf numFmtId="0" fontId="14111" fillId="14115" borderId="14062" xfId="0" applyFont="1" applyFill="1" applyBorder="1" applyAlignment="1">
      <alignment horizontal="center"/>
    </xf>
    <xf numFmtId="14" fontId="14112" fillId="14116" borderId="14063" xfId="0" applyNumberFormat="1" applyFont="1" applyFill="1" applyBorder="1"/>
    <xf numFmtId="0" fontId="14113" fillId="14117" borderId="14064" xfId="0" applyFont="1" applyFill="1" applyBorder="1" applyAlignment="1">
      <alignment horizontal="center"/>
    </xf>
    <xf numFmtId="0" fontId="14114" fillId="14118" borderId="14065" xfId="0" applyFont="1" applyFill="1" applyBorder="1"/>
    <xf numFmtId="0" fontId="14115" fillId="14119" borderId="14066" xfId="0" applyFont="1" applyFill="1" applyBorder="1"/>
    <xf numFmtId="165" fontId="14116" fillId="14120" borderId="14067" xfId="0" applyNumberFormat="1" applyFont="1" applyFill="1" applyBorder="1"/>
    <xf numFmtId="165" fontId="14117" fillId="14121" borderId="14068" xfId="0" applyNumberFormat="1" applyFont="1" applyFill="1" applyBorder="1"/>
    <xf numFmtId="169" fontId="14118" fillId="14122" borderId="14069" xfId="0" applyNumberFormat="1" applyFont="1" applyFill="1" applyBorder="1"/>
    <xf numFmtId="168" fontId="14119" fillId="14123" borderId="14070" xfId="0" applyNumberFormat="1" applyFont="1" applyFill="1" applyBorder="1"/>
    <xf numFmtId="165" fontId="14120" fillId="14124" borderId="14071" xfId="0" applyNumberFormat="1" applyFont="1" applyFill="1" applyBorder="1"/>
    <xf numFmtId="0" fontId="14121" fillId="14125" borderId="14072" xfId="0" applyFont="1" applyFill="1" applyBorder="1" applyAlignment="1">
      <alignment horizontal="center"/>
    </xf>
    <xf numFmtId="0" fontId="14122" fillId="14126" borderId="14073" xfId="0" applyFont="1" applyFill="1" applyBorder="1" applyAlignment="1">
      <alignment horizontal="center"/>
    </xf>
    <xf numFmtId="0" fontId="14123" fillId="14127" borderId="14074" xfId="0" applyFont="1" applyFill="1" applyBorder="1"/>
    <xf numFmtId="165" fontId="14124" fillId="14128" borderId="14075" xfId="0" applyNumberFormat="1" applyFont="1" applyFill="1" applyBorder="1"/>
    <xf numFmtId="0" fontId="14125" fillId="14129" borderId="14076" xfId="0" applyFont="1" applyFill="1" applyBorder="1"/>
    <xf numFmtId="0" fontId="14126" fillId="14130" borderId="14077" xfId="0" applyFont="1" applyFill="1" applyBorder="1" applyAlignment="1">
      <alignment horizontal="center"/>
    </xf>
    <xf numFmtId="14" fontId="14127" fillId="14131" borderId="14078" xfId="0" applyNumberFormat="1" applyFont="1" applyFill="1" applyBorder="1"/>
    <xf numFmtId="0" fontId="14128" fillId="14132" borderId="14079" xfId="0" applyFont="1" applyFill="1" applyBorder="1" applyAlignment="1">
      <alignment horizontal="center"/>
    </xf>
    <xf numFmtId="0" fontId="14129" fillId="14133" borderId="14080" xfId="0" applyFont="1" applyFill="1" applyBorder="1"/>
    <xf numFmtId="0" fontId="14130" fillId="14134" borderId="14081" xfId="0" applyFont="1" applyFill="1" applyBorder="1"/>
    <xf numFmtId="165" fontId="14131" fillId="14135" borderId="14082" xfId="0" applyNumberFormat="1" applyFont="1" applyFill="1" applyBorder="1"/>
    <xf numFmtId="165" fontId="14132" fillId="14136" borderId="14083" xfId="0" applyNumberFormat="1" applyFont="1" applyFill="1" applyBorder="1"/>
    <xf numFmtId="169" fontId="14133" fillId="14137" borderId="14084" xfId="0" applyNumberFormat="1" applyFont="1" applyFill="1" applyBorder="1"/>
    <xf numFmtId="168" fontId="14134" fillId="14138" borderId="14085" xfId="0" applyNumberFormat="1" applyFont="1" applyFill="1" applyBorder="1"/>
    <xf numFmtId="165" fontId="14135" fillId="14139" borderId="14086" xfId="0" applyNumberFormat="1" applyFont="1" applyFill="1" applyBorder="1"/>
    <xf numFmtId="0" fontId="14136" fillId="14140" borderId="14087" xfId="0" applyFont="1" applyFill="1" applyBorder="1" applyAlignment="1">
      <alignment horizontal="center"/>
    </xf>
    <xf numFmtId="0" fontId="14137" fillId="14141" borderId="14088" xfId="0" applyFont="1" applyFill="1" applyBorder="1" applyAlignment="1">
      <alignment horizontal="center"/>
    </xf>
    <xf numFmtId="0" fontId="14138" fillId="14142" borderId="14089" xfId="0" applyFont="1" applyFill="1" applyBorder="1"/>
    <xf numFmtId="165" fontId="14139" fillId="14143" borderId="14090" xfId="0" applyNumberFormat="1" applyFont="1" applyFill="1" applyBorder="1"/>
    <xf numFmtId="0" fontId="14140" fillId="14144" borderId="14091" xfId="0" applyFont="1" applyFill="1" applyBorder="1"/>
    <xf numFmtId="0" fontId="14141" fillId="14145" borderId="14092" xfId="0" applyFont="1" applyFill="1" applyBorder="1" applyAlignment="1">
      <alignment horizontal="center"/>
    </xf>
    <xf numFmtId="14" fontId="14142" fillId="14146" borderId="14093" xfId="0" applyNumberFormat="1" applyFont="1" applyFill="1" applyBorder="1"/>
    <xf numFmtId="0" fontId="14143" fillId="14147" borderId="14094" xfId="0" applyFont="1" applyFill="1" applyBorder="1" applyAlignment="1">
      <alignment horizontal="center"/>
    </xf>
    <xf numFmtId="0" fontId="14144" fillId="14148" borderId="14095" xfId="0" applyFont="1" applyFill="1" applyBorder="1"/>
    <xf numFmtId="0" fontId="14145" fillId="14149" borderId="14096" xfId="0" applyFont="1" applyFill="1" applyBorder="1"/>
    <xf numFmtId="165" fontId="14146" fillId="14150" borderId="14097" xfId="0" applyNumberFormat="1" applyFont="1" applyFill="1" applyBorder="1"/>
    <xf numFmtId="165" fontId="14147" fillId="14151" borderId="14098" xfId="0" applyNumberFormat="1" applyFont="1" applyFill="1" applyBorder="1"/>
    <xf numFmtId="169" fontId="14148" fillId="14152" borderId="14099" xfId="0" applyNumberFormat="1" applyFont="1" applyFill="1" applyBorder="1"/>
    <xf numFmtId="168" fontId="14149" fillId="14153" borderId="14100" xfId="0" applyNumberFormat="1" applyFont="1" applyFill="1" applyBorder="1"/>
    <xf numFmtId="165" fontId="14150" fillId="14154" borderId="14101" xfId="0" applyNumberFormat="1" applyFont="1" applyFill="1" applyBorder="1"/>
    <xf numFmtId="0" fontId="14151" fillId="14155" borderId="14102" xfId="0" applyFont="1" applyFill="1" applyBorder="1" applyAlignment="1">
      <alignment horizontal="center"/>
    </xf>
    <xf numFmtId="0" fontId="14152" fillId="14156" borderId="14103" xfId="0" applyFont="1" applyFill="1" applyBorder="1" applyAlignment="1">
      <alignment horizontal="center"/>
    </xf>
    <xf numFmtId="0" fontId="14153" fillId="14157" borderId="14104" xfId="0" applyFont="1" applyFill="1" applyBorder="1"/>
    <xf numFmtId="165" fontId="14154" fillId="14158" borderId="14105" xfId="0" applyNumberFormat="1" applyFont="1" applyFill="1" applyBorder="1"/>
    <xf numFmtId="0" fontId="14155" fillId="14159" borderId="14106" xfId="0" applyFont="1" applyFill="1" applyBorder="1"/>
    <xf numFmtId="0" fontId="14156" fillId="14160" borderId="14107" xfId="0" applyFont="1" applyFill="1" applyBorder="1" applyAlignment="1">
      <alignment horizontal="center"/>
    </xf>
    <xf numFmtId="14" fontId="14157" fillId="14161" borderId="14108" xfId="0" applyNumberFormat="1" applyFont="1" applyFill="1" applyBorder="1"/>
    <xf numFmtId="0" fontId="14158" fillId="14162" borderId="14109" xfId="0" applyFont="1" applyFill="1" applyBorder="1" applyAlignment="1">
      <alignment horizontal="center"/>
    </xf>
    <xf numFmtId="0" fontId="14159" fillId="14163" borderId="14110" xfId="0" applyFont="1" applyFill="1" applyBorder="1"/>
    <xf numFmtId="0" fontId="14160" fillId="14164" borderId="14111" xfId="0" applyFont="1" applyFill="1" applyBorder="1"/>
    <xf numFmtId="165" fontId="14161" fillId="14165" borderId="14112" xfId="0" applyNumberFormat="1" applyFont="1" applyFill="1" applyBorder="1"/>
    <xf numFmtId="165" fontId="14162" fillId="14166" borderId="14113" xfId="0" applyNumberFormat="1" applyFont="1" applyFill="1" applyBorder="1"/>
    <xf numFmtId="169" fontId="14163" fillId="14167" borderId="14114" xfId="0" applyNumberFormat="1" applyFont="1" applyFill="1" applyBorder="1"/>
    <xf numFmtId="168" fontId="14164" fillId="14168" borderId="14115" xfId="0" applyNumberFormat="1" applyFont="1" applyFill="1" applyBorder="1"/>
    <xf numFmtId="165" fontId="14165" fillId="14169" borderId="14116" xfId="0" applyNumberFormat="1" applyFont="1" applyFill="1" applyBorder="1"/>
    <xf numFmtId="0" fontId="14166" fillId="14170" borderId="14117" xfId="0" applyFont="1" applyFill="1" applyBorder="1" applyAlignment="1">
      <alignment horizontal="center"/>
    </xf>
    <xf numFmtId="0" fontId="14167" fillId="14171" borderId="14118" xfId="0" applyFont="1" applyFill="1" applyBorder="1" applyAlignment="1">
      <alignment horizontal="center"/>
    </xf>
    <xf numFmtId="0" fontId="14168" fillId="14172" borderId="14119" xfId="0" applyFont="1" applyFill="1" applyBorder="1"/>
    <xf numFmtId="165" fontId="14169" fillId="14173" borderId="14120" xfId="0" applyNumberFormat="1" applyFont="1" applyFill="1" applyBorder="1"/>
    <xf numFmtId="0" fontId="14170" fillId="14174" borderId="14121" xfId="0" applyFont="1" applyFill="1" applyBorder="1"/>
    <xf numFmtId="0" fontId="14171" fillId="14175" borderId="14122" xfId="0" applyFont="1" applyFill="1" applyBorder="1" applyAlignment="1">
      <alignment horizontal="center"/>
    </xf>
    <xf numFmtId="14" fontId="14172" fillId="14176" borderId="14123" xfId="0" applyNumberFormat="1" applyFont="1" applyFill="1" applyBorder="1"/>
    <xf numFmtId="0" fontId="14173" fillId="14177" borderId="14124" xfId="0" applyFont="1" applyFill="1" applyBorder="1" applyAlignment="1">
      <alignment horizontal="center"/>
    </xf>
    <xf numFmtId="0" fontId="14174" fillId="14178" borderId="14125" xfId="0" applyFont="1" applyFill="1" applyBorder="1"/>
    <xf numFmtId="0" fontId="14175" fillId="14179" borderId="14126" xfId="0" applyFont="1" applyFill="1" applyBorder="1"/>
    <xf numFmtId="165" fontId="14176" fillId="14180" borderId="14127" xfId="0" applyNumberFormat="1" applyFont="1" applyFill="1" applyBorder="1"/>
    <xf numFmtId="165" fontId="14177" fillId="14181" borderId="14128" xfId="0" applyNumberFormat="1" applyFont="1" applyFill="1" applyBorder="1"/>
    <xf numFmtId="169" fontId="14178" fillId="14182" borderId="14129" xfId="0" applyNumberFormat="1" applyFont="1" applyFill="1" applyBorder="1"/>
    <xf numFmtId="168" fontId="14179" fillId="14183" borderId="14130" xfId="0" applyNumberFormat="1" applyFont="1" applyFill="1" applyBorder="1"/>
    <xf numFmtId="165" fontId="14180" fillId="14184" borderId="14131" xfId="0" applyNumberFormat="1" applyFont="1" applyFill="1" applyBorder="1"/>
    <xf numFmtId="0" fontId="14181" fillId="14185" borderId="14132" xfId="0" applyFont="1" applyFill="1" applyBorder="1" applyAlignment="1">
      <alignment horizontal="center"/>
    </xf>
    <xf numFmtId="0" fontId="14182" fillId="14186" borderId="14133" xfId="0" applyFont="1" applyFill="1" applyBorder="1" applyAlignment="1">
      <alignment horizontal="center"/>
    </xf>
    <xf numFmtId="0" fontId="14183" fillId="14187" borderId="14134" xfId="0" applyFont="1" applyFill="1" applyBorder="1"/>
    <xf numFmtId="165" fontId="14184" fillId="14188" borderId="14135" xfId="0" applyNumberFormat="1" applyFont="1" applyFill="1" applyBorder="1"/>
    <xf numFmtId="0" fontId="14185" fillId="14189" borderId="14136" xfId="0" applyFont="1" applyFill="1" applyBorder="1"/>
    <xf numFmtId="0" fontId="14186" fillId="14190" borderId="14137" xfId="0" applyFont="1" applyFill="1" applyBorder="1" applyAlignment="1">
      <alignment horizontal="center"/>
    </xf>
    <xf numFmtId="14" fontId="14187" fillId="14191" borderId="14138" xfId="0" applyNumberFormat="1" applyFont="1" applyFill="1" applyBorder="1"/>
    <xf numFmtId="0" fontId="14188" fillId="14192" borderId="14139" xfId="0" applyFont="1" applyFill="1" applyBorder="1" applyAlignment="1">
      <alignment horizontal="center"/>
    </xf>
    <xf numFmtId="0" fontId="14189" fillId="14193" borderId="14140" xfId="0" applyFont="1" applyFill="1" applyBorder="1"/>
    <xf numFmtId="0" fontId="14190" fillId="14194" borderId="14141" xfId="0" applyFont="1" applyFill="1" applyBorder="1"/>
    <xf numFmtId="165" fontId="14191" fillId="14195" borderId="14142" xfId="0" applyNumberFormat="1" applyFont="1" applyFill="1" applyBorder="1"/>
    <xf numFmtId="165" fontId="14192" fillId="14196" borderId="14143" xfId="0" applyNumberFormat="1" applyFont="1" applyFill="1" applyBorder="1"/>
    <xf numFmtId="169" fontId="14193" fillId="14197" borderId="14144" xfId="0" applyNumberFormat="1" applyFont="1" applyFill="1" applyBorder="1"/>
    <xf numFmtId="168" fontId="14194" fillId="14198" borderId="14145" xfId="0" applyNumberFormat="1" applyFont="1" applyFill="1" applyBorder="1"/>
    <xf numFmtId="165" fontId="14195" fillId="14199" borderId="14146" xfId="0" applyNumberFormat="1" applyFont="1" applyFill="1" applyBorder="1"/>
    <xf numFmtId="0" fontId="14196" fillId="14200" borderId="14147" xfId="0" applyFont="1" applyFill="1" applyBorder="1" applyAlignment="1">
      <alignment horizontal="center"/>
    </xf>
    <xf numFmtId="0" fontId="14197" fillId="14201" borderId="14148" xfId="0" applyFont="1" applyFill="1" applyBorder="1" applyAlignment="1">
      <alignment horizontal="center"/>
    </xf>
    <xf numFmtId="0" fontId="14198" fillId="14202" borderId="14149" xfId="0" applyFont="1" applyFill="1" applyBorder="1"/>
    <xf numFmtId="165" fontId="14199" fillId="14203" borderId="14150" xfId="0" applyNumberFormat="1" applyFont="1" applyFill="1" applyBorder="1"/>
    <xf numFmtId="0" fontId="14200" fillId="14204" borderId="14151" xfId="0" applyFont="1" applyFill="1" applyBorder="1"/>
    <xf numFmtId="0" fontId="14201" fillId="14205" borderId="14152" xfId="0" applyFont="1" applyFill="1" applyBorder="1" applyAlignment="1">
      <alignment horizontal="center"/>
    </xf>
    <xf numFmtId="14" fontId="14202" fillId="14206" borderId="14153" xfId="0" applyNumberFormat="1" applyFont="1" applyFill="1" applyBorder="1"/>
    <xf numFmtId="0" fontId="14203" fillId="14207" borderId="14154" xfId="0" applyFont="1" applyFill="1" applyBorder="1" applyAlignment="1">
      <alignment horizontal="center"/>
    </xf>
    <xf numFmtId="0" fontId="14204" fillId="14208" borderId="14155" xfId="0" applyFont="1" applyFill="1" applyBorder="1"/>
    <xf numFmtId="0" fontId="14205" fillId="14209" borderId="14156" xfId="0" applyFont="1" applyFill="1" applyBorder="1"/>
    <xf numFmtId="165" fontId="14206" fillId="14210" borderId="14157" xfId="0" applyNumberFormat="1" applyFont="1" applyFill="1" applyBorder="1"/>
    <xf numFmtId="165" fontId="14207" fillId="14211" borderId="14158" xfId="0" applyNumberFormat="1" applyFont="1" applyFill="1" applyBorder="1"/>
    <xf numFmtId="169" fontId="14208" fillId="14212" borderId="14159" xfId="0" applyNumberFormat="1" applyFont="1" applyFill="1" applyBorder="1"/>
    <xf numFmtId="168" fontId="14209" fillId="14213" borderId="14160" xfId="0" applyNumberFormat="1" applyFont="1" applyFill="1" applyBorder="1"/>
    <xf numFmtId="165" fontId="14210" fillId="14214" borderId="14161" xfId="0" applyNumberFormat="1" applyFont="1" applyFill="1" applyBorder="1"/>
    <xf numFmtId="0" fontId="14211" fillId="14215" borderId="14162" xfId="0" applyFont="1" applyFill="1" applyBorder="1" applyAlignment="1">
      <alignment horizontal="center"/>
    </xf>
    <xf numFmtId="0" fontId="14212" fillId="14216" borderId="14163" xfId="0" applyFont="1" applyFill="1" applyBorder="1" applyAlignment="1">
      <alignment horizontal="center"/>
    </xf>
    <xf numFmtId="0" fontId="14213" fillId="14217" borderId="14164" xfId="0" applyFont="1" applyFill="1" applyBorder="1"/>
    <xf numFmtId="165" fontId="14214" fillId="14218" borderId="14165" xfId="0" applyNumberFormat="1" applyFont="1" applyFill="1" applyBorder="1"/>
    <xf numFmtId="0" fontId="14215" fillId="14219" borderId="14166" xfId="0" applyFont="1" applyFill="1" applyBorder="1"/>
    <xf numFmtId="0" fontId="14216" fillId="14220" borderId="14167" xfId="0" applyFont="1" applyFill="1" applyBorder="1" applyAlignment="1">
      <alignment horizontal="center"/>
    </xf>
    <xf numFmtId="14" fontId="14217" fillId="14221" borderId="14168" xfId="0" applyNumberFormat="1" applyFont="1" applyFill="1" applyBorder="1"/>
    <xf numFmtId="0" fontId="14218" fillId="14222" borderId="14169" xfId="0" applyFont="1" applyFill="1" applyBorder="1" applyAlignment="1">
      <alignment horizontal="center"/>
    </xf>
    <xf numFmtId="0" fontId="14219" fillId="14223" borderId="14170" xfId="0" applyFont="1" applyFill="1" applyBorder="1"/>
    <xf numFmtId="0" fontId="14220" fillId="14224" borderId="14171" xfId="0" applyFont="1" applyFill="1" applyBorder="1"/>
    <xf numFmtId="165" fontId="14221" fillId="14225" borderId="14172" xfId="0" applyNumberFormat="1" applyFont="1" applyFill="1" applyBorder="1"/>
    <xf numFmtId="165" fontId="14222" fillId="14226" borderId="14173" xfId="0" applyNumberFormat="1" applyFont="1" applyFill="1" applyBorder="1"/>
    <xf numFmtId="169" fontId="14223" fillId="14227" borderId="14174" xfId="0" applyNumberFormat="1" applyFont="1" applyFill="1" applyBorder="1"/>
    <xf numFmtId="168" fontId="14224" fillId="14228" borderId="14175" xfId="0" applyNumberFormat="1" applyFont="1" applyFill="1" applyBorder="1"/>
    <xf numFmtId="165" fontId="14225" fillId="14229" borderId="14176" xfId="0" applyNumberFormat="1" applyFont="1" applyFill="1" applyBorder="1"/>
    <xf numFmtId="0" fontId="14226" fillId="14230" borderId="14177" xfId="0" applyFont="1" applyFill="1" applyBorder="1" applyAlignment="1">
      <alignment horizontal="center"/>
    </xf>
    <xf numFmtId="0" fontId="14227" fillId="14231" borderId="14178" xfId="0" applyFont="1" applyFill="1" applyBorder="1" applyAlignment="1">
      <alignment horizontal="center"/>
    </xf>
    <xf numFmtId="0" fontId="14228" fillId="14232" borderId="14179" xfId="0" applyFont="1" applyFill="1" applyBorder="1"/>
    <xf numFmtId="165" fontId="14229" fillId="14233" borderId="14180" xfId="0" applyNumberFormat="1" applyFont="1" applyFill="1" applyBorder="1"/>
    <xf numFmtId="0" fontId="14230" fillId="14234" borderId="14181" xfId="0" applyFont="1" applyFill="1" applyBorder="1"/>
    <xf numFmtId="0" fontId="14231" fillId="14235" borderId="14182" xfId="0" applyFont="1" applyFill="1" applyBorder="1" applyAlignment="1">
      <alignment horizontal="center"/>
    </xf>
    <xf numFmtId="14" fontId="14232" fillId="14236" borderId="14183" xfId="0" applyNumberFormat="1" applyFont="1" applyFill="1" applyBorder="1"/>
    <xf numFmtId="0" fontId="14233" fillId="14237" borderId="14184" xfId="0" applyFont="1" applyFill="1" applyBorder="1" applyAlignment="1">
      <alignment horizontal="center"/>
    </xf>
    <xf numFmtId="0" fontId="14234" fillId="14238" borderId="14185" xfId="0" applyFont="1" applyFill="1" applyBorder="1"/>
    <xf numFmtId="0" fontId="14235" fillId="14239" borderId="14186" xfId="0" applyFont="1" applyFill="1" applyBorder="1"/>
    <xf numFmtId="165" fontId="14236" fillId="14240" borderId="14187" xfId="0" applyNumberFormat="1" applyFont="1" applyFill="1" applyBorder="1"/>
    <xf numFmtId="165" fontId="14237" fillId="14241" borderId="14188" xfId="0" applyNumberFormat="1" applyFont="1" applyFill="1" applyBorder="1"/>
    <xf numFmtId="169" fontId="14238" fillId="14242" borderId="14189" xfId="0" applyNumberFormat="1" applyFont="1" applyFill="1" applyBorder="1"/>
    <xf numFmtId="168" fontId="14239" fillId="14243" borderId="14190" xfId="0" applyNumberFormat="1" applyFont="1" applyFill="1" applyBorder="1"/>
    <xf numFmtId="165" fontId="14240" fillId="14244" borderId="14191" xfId="0" applyNumberFormat="1" applyFont="1" applyFill="1" applyBorder="1"/>
    <xf numFmtId="0" fontId="14241" fillId="14245" borderId="14192" xfId="0" applyFont="1" applyFill="1" applyBorder="1" applyAlignment="1">
      <alignment horizontal="center"/>
    </xf>
    <xf numFmtId="0" fontId="14242" fillId="14246" borderId="14193" xfId="0" applyFont="1" applyFill="1" applyBorder="1" applyAlignment="1">
      <alignment horizontal="center"/>
    </xf>
    <xf numFmtId="0" fontId="14243" fillId="14247" borderId="14194" xfId="0" applyFont="1" applyFill="1" applyBorder="1"/>
    <xf numFmtId="165" fontId="14244" fillId="14248" borderId="14195" xfId="0" applyNumberFormat="1" applyFont="1" applyFill="1" applyBorder="1"/>
    <xf numFmtId="0" fontId="14245" fillId="14249" borderId="14196" xfId="0" applyFont="1" applyFill="1" applyBorder="1"/>
    <xf numFmtId="0" fontId="14246" fillId="14250" borderId="14197" xfId="0" applyFont="1" applyFill="1" applyBorder="1" applyAlignment="1">
      <alignment horizontal="center"/>
    </xf>
    <xf numFmtId="14" fontId="14247" fillId="14251" borderId="14198" xfId="0" applyNumberFormat="1" applyFont="1" applyFill="1" applyBorder="1"/>
    <xf numFmtId="0" fontId="14248" fillId="14252" borderId="14199" xfId="0" applyFont="1" applyFill="1" applyBorder="1" applyAlignment="1">
      <alignment horizontal="center"/>
    </xf>
    <xf numFmtId="0" fontId="14249" fillId="14253" borderId="14200" xfId="0" applyFont="1" applyFill="1" applyBorder="1"/>
    <xf numFmtId="0" fontId="14250" fillId="14254" borderId="14201" xfId="0" applyFont="1" applyFill="1" applyBorder="1"/>
    <xf numFmtId="165" fontId="14251" fillId="14255" borderId="14202" xfId="0" applyNumberFormat="1" applyFont="1" applyFill="1" applyBorder="1"/>
    <xf numFmtId="165" fontId="14252" fillId="14256" borderId="14203" xfId="0" applyNumberFormat="1" applyFont="1" applyFill="1" applyBorder="1"/>
    <xf numFmtId="169" fontId="14253" fillId="14257" borderId="14204" xfId="0" applyNumberFormat="1" applyFont="1" applyFill="1" applyBorder="1"/>
    <xf numFmtId="168" fontId="14254" fillId="14258" borderId="14205" xfId="0" applyNumberFormat="1" applyFont="1" applyFill="1" applyBorder="1"/>
    <xf numFmtId="165" fontId="14255" fillId="14259" borderId="14206" xfId="0" applyNumberFormat="1" applyFont="1" applyFill="1" applyBorder="1"/>
    <xf numFmtId="0" fontId="14256" fillId="14260" borderId="14207" xfId="0" applyFont="1" applyFill="1" applyBorder="1" applyAlignment="1">
      <alignment horizontal="center"/>
    </xf>
    <xf numFmtId="0" fontId="14257" fillId="14261" borderId="14208" xfId="0" applyFont="1" applyFill="1" applyBorder="1" applyAlignment="1">
      <alignment horizontal="center"/>
    </xf>
    <xf numFmtId="0" fontId="14258" fillId="14262" borderId="14209" xfId="0" applyFont="1" applyFill="1" applyBorder="1"/>
    <xf numFmtId="165" fontId="14259" fillId="14263" borderId="14210" xfId="0" applyNumberFormat="1" applyFont="1" applyFill="1" applyBorder="1"/>
    <xf numFmtId="0" fontId="14260" fillId="14264" borderId="14211" xfId="0" applyFont="1" applyFill="1" applyBorder="1"/>
    <xf numFmtId="0" fontId="14261" fillId="14265" borderId="14212" xfId="0" applyFont="1" applyFill="1" applyBorder="1" applyAlignment="1">
      <alignment horizontal="center"/>
    </xf>
    <xf numFmtId="14" fontId="14262" fillId="14266" borderId="14213" xfId="0" applyNumberFormat="1" applyFont="1" applyFill="1" applyBorder="1"/>
    <xf numFmtId="0" fontId="14263" fillId="14267" borderId="14214" xfId="0" applyFont="1" applyFill="1" applyBorder="1" applyAlignment="1">
      <alignment horizontal="center"/>
    </xf>
    <xf numFmtId="0" fontId="14264" fillId="14268" borderId="14215" xfId="0" applyFont="1" applyFill="1" applyBorder="1"/>
    <xf numFmtId="0" fontId="14265" fillId="14269" borderId="14216" xfId="0" applyFont="1" applyFill="1" applyBorder="1"/>
    <xf numFmtId="165" fontId="14266" fillId="14270" borderId="14217" xfId="0" applyNumberFormat="1" applyFont="1" applyFill="1" applyBorder="1"/>
    <xf numFmtId="165" fontId="14267" fillId="14271" borderId="14218" xfId="0" applyNumberFormat="1" applyFont="1" applyFill="1" applyBorder="1"/>
    <xf numFmtId="169" fontId="14268" fillId="14272" borderId="14219" xfId="0" applyNumberFormat="1" applyFont="1" applyFill="1" applyBorder="1"/>
    <xf numFmtId="168" fontId="14269" fillId="14273" borderId="14220" xfId="0" applyNumberFormat="1" applyFont="1" applyFill="1" applyBorder="1"/>
    <xf numFmtId="165" fontId="14270" fillId="14274" borderId="14221" xfId="0" applyNumberFormat="1" applyFont="1" applyFill="1" applyBorder="1"/>
    <xf numFmtId="0" fontId="14271" fillId="14275" borderId="14222" xfId="0" applyFont="1" applyFill="1" applyBorder="1" applyAlignment="1">
      <alignment horizontal="center"/>
    </xf>
    <xf numFmtId="0" fontId="14272" fillId="14276" borderId="14223" xfId="0" applyFont="1" applyFill="1" applyBorder="1" applyAlignment="1">
      <alignment horizontal="center"/>
    </xf>
    <xf numFmtId="0" fontId="14273" fillId="14277" borderId="14224" xfId="0" applyFont="1" applyFill="1" applyBorder="1"/>
    <xf numFmtId="165" fontId="14274" fillId="14278" borderId="14225" xfId="0" applyNumberFormat="1" applyFont="1" applyFill="1" applyBorder="1"/>
    <xf numFmtId="0" fontId="14275" fillId="14279" borderId="14226" xfId="0" applyFont="1" applyFill="1" applyBorder="1"/>
    <xf numFmtId="0" fontId="14276" fillId="14280" borderId="14227" xfId="0" applyFont="1" applyFill="1" applyBorder="1" applyAlignment="1">
      <alignment horizontal="center"/>
    </xf>
    <xf numFmtId="14" fontId="14277" fillId="14281" borderId="14228" xfId="0" applyNumberFormat="1" applyFont="1" applyFill="1" applyBorder="1"/>
    <xf numFmtId="0" fontId="14278" fillId="14282" borderId="14229" xfId="0" applyFont="1" applyFill="1" applyBorder="1" applyAlignment="1">
      <alignment horizontal="center"/>
    </xf>
    <xf numFmtId="0" fontId="14279" fillId="14283" borderId="14230" xfId="0" applyFont="1" applyFill="1" applyBorder="1"/>
    <xf numFmtId="0" fontId="14280" fillId="14284" borderId="14231" xfId="0" applyFont="1" applyFill="1" applyBorder="1"/>
    <xf numFmtId="165" fontId="14281" fillId="14285" borderId="14232" xfId="0" applyNumberFormat="1" applyFont="1" applyFill="1" applyBorder="1"/>
    <xf numFmtId="165" fontId="14282" fillId="14286" borderId="14233" xfId="0" applyNumberFormat="1" applyFont="1" applyFill="1" applyBorder="1"/>
    <xf numFmtId="169" fontId="14283" fillId="14287" borderId="14234" xfId="0" applyNumberFormat="1" applyFont="1" applyFill="1" applyBorder="1"/>
    <xf numFmtId="168" fontId="14284" fillId="14288" borderId="14235" xfId="0" applyNumberFormat="1" applyFont="1" applyFill="1" applyBorder="1"/>
    <xf numFmtId="165" fontId="14285" fillId="14289" borderId="14236" xfId="0" applyNumberFormat="1" applyFont="1" applyFill="1" applyBorder="1"/>
    <xf numFmtId="0" fontId="14286" fillId="14290" borderId="14237" xfId="0" applyFont="1" applyFill="1" applyBorder="1" applyAlignment="1">
      <alignment horizontal="center"/>
    </xf>
    <xf numFmtId="0" fontId="14287" fillId="14291" borderId="14238" xfId="0" applyFont="1" applyFill="1" applyBorder="1" applyAlignment="1">
      <alignment horizontal="center"/>
    </xf>
    <xf numFmtId="0" fontId="14288" fillId="14292" borderId="14239" xfId="0" applyFont="1" applyFill="1" applyBorder="1"/>
    <xf numFmtId="165" fontId="14289" fillId="14293" borderId="14240" xfId="0" applyNumberFormat="1" applyFont="1" applyFill="1" applyBorder="1"/>
    <xf numFmtId="0" fontId="14290" fillId="14294" borderId="14241" xfId="0" applyFont="1" applyFill="1" applyBorder="1"/>
    <xf numFmtId="0" fontId="14291" fillId="14295" borderId="14242" xfId="0" applyFont="1" applyFill="1" applyBorder="1" applyAlignment="1">
      <alignment horizontal="center"/>
    </xf>
    <xf numFmtId="14" fontId="14292" fillId="14296" borderId="14243" xfId="0" applyNumberFormat="1" applyFont="1" applyFill="1" applyBorder="1"/>
    <xf numFmtId="0" fontId="14293" fillId="14297" borderId="14244" xfId="0" applyFont="1" applyFill="1" applyBorder="1" applyAlignment="1">
      <alignment horizontal="center"/>
    </xf>
    <xf numFmtId="0" fontId="14294" fillId="14298" borderId="14245" xfId="0" applyFont="1" applyFill="1" applyBorder="1"/>
    <xf numFmtId="0" fontId="14295" fillId="14299" borderId="14246" xfId="0" applyFont="1" applyFill="1" applyBorder="1"/>
    <xf numFmtId="165" fontId="14296" fillId="14300" borderId="14247" xfId="0" applyNumberFormat="1" applyFont="1" applyFill="1" applyBorder="1"/>
    <xf numFmtId="165" fontId="14297" fillId="14301" borderId="14248" xfId="0" applyNumberFormat="1" applyFont="1" applyFill="1" applyBorder="1"/>
    <xf numFmtId="169" fontId="14298" fillId="14302" borderId="14249" xfId="0" applyNumberFormat="1" applyFont="1" applyFill="1" applyBorder="1"/>
    <xf numFmtId="168" fontId="14299" fillId="14303" borderId="14250" xfId="0" applyNumberFormat="1" applyFont="1" applyFill="1" applyBorder="1"/>
    <xf numFmtId="165" fontId="14300" fillId="14304" borderId="14251" xfId="0" applyNumberFormat="1" applyFont="1" applyFill="1" applyBorder="1"/>
    <xf numFmtId="0" fontId="14301" fillId="14305" borderId="14252" xfId="0" applyFont="1" applyFill="1" applyBorder="1" applyAlignment="1">
      <alignment horizontal="center"/>
    </xf>
    <xf numFmtId="0" fontId="14302" fillId="14306" borderId="14253" xfId="0" applyFont="1" applyFill="1" applyBorder="1" applyAlignment="1">
      <alignment horizontal="center"/>
    </xf>
    <xf numFmtId="0" fontId="14303" fillId="14307" borderId="14254" xfId="0" applyFont="1" applyFill="1" applyBorder="1"/>
    <xf numFmtId="165" fontId="14304" fillId="14308" borderId="14255" xfId="0" applyNumberFormat="1" applyFont="1" applyFill="1" applyBorder="1"/>
    <xf numFmtId="0" fontId="14305" fillId="14309" borderId="14256" xfId="0" applyFont="1" applyFill="1" applyBorder="1"/>
    <xf numFmtId="0" fontId="14306" fillId="14310" borderId="14257" xfId="0" applyFont="1" applyFill="1" applyBorder="1" applyAlignment="1">
      <alignment horizontal="center"/>
    </xf>
    <xf numFmtId="14" fontId="14307" fillId="14311" borderId="14258" xfId="0" applyNumberFormat="1" applyFont="1" applyFill="1" applyBorder="1"/>
    <xf numFmtId="0" fontId="14308" fillId="14312" borderId="14259" xfId="0" applyFont="1" applyFill="1" applyBorder="1" applyAlignment="1">
      <alignment horizontal="center"/>
    </xf>
    <xf numFmtId="0" fontId="14309" fillId="14313" borderId="14260" xfId="0" applyFont="1" applyFill="1" applyBorder="1"/>
    <xf numFmtId="0" fontId="14310" fillId="14314" borderId="14261" xfId="0" applyFont="1" applyFill="1" applyBorder="1"/>
    <xf numFmtId="165" fontId="14311" fillId="14315" borderId="14262" xfId="0" applyNumberFormat="1" applyFont="1" applyFill="1" applyBorder="1"/>
    <xf numFmtId="165" fontId="14312" fillId="14316" borderId="14263" xfId="0" applyNumberFormat="1" applyFont="1" applyFill="1" applyBorder="1"/>
    <xf numFmtId="169" fontId="14313" fillId="14317" borderId="14264" xfId="0" applyNumberFormat="1" applyFont="1" applyFill="1" applyBorder="1"/>
    <xf numFmtId="168" fontId="14314" fillId="14318" borderId="14265" xfId="0" applyNumberFormat="1" applyFont="1" applyFill="1" applyBorder="1"/>
    <xf numFmtId="165" fontId="14315" fillId="14319" borderId="14266" xfId="0" applyNumberFormat="1" applyFont="1" applyFill="1" applyBorder="1"/>
    <xf numFmtId="0" fontId="14316" fillId="14320" borderId="14267" xfId="0" applyFont="1" applyFill="1" applyBorder="1" applyAlignment="1">
      <alignment horizontal="center"/>
    </xf>
    <xf numFmtId="0" fontId="14317" fillId="14321" borderId="14268" xfId="0" applyFont="1" applyFill="1" applyBorder="1" applyAlignment="1">
      <alignment horizontal="center"/>
    </xf>
    <xf numFmtId="0" fontId="14318" fillId="14322" borderId="14269" xfId="0" applyFont="1" applyFill="1" applyBorder="1"/>
    <xf numFmtId="165" fontId="14319" fillId="14323" borderId="14270" xfId="0" applyNumberFormat="1" applyFont="1" applyFill="1" applyBorder="1"/>
    <xf numFmtId="0" fontId="14320" fillId="14324" borderId="14271" xfId="0" applyFont="1" applyFill="1" applyBorder="1"/>
    <xf numFmtId="0" fontId="14321" fillId="14325" borderId="14272" xfId="0" applyFont="1" applyFill="1" applyBorder="1" applyAlignment="1">
      <alignment horizontal="center"/>
    </xf>
    <xf numFmtId="14" fontId="14322" fillId="14326" borderId="14273" xfId="0" applyNumberFormat="1" applyFont="1" applyFill="1" applyBorder="1"/>
    <xf numFmtId="0" fontId="14323" fillId="14327" borderId="14274" xfId="0" applyFont="1" applyFill="1" applyBorder="1" applyAlignment="1">
      <alignment horizontal="center"/>
    </xf>
    <xf numFmtId="0" fontId="14324" fillId="14328" borderId="14275" xfId="0" applyFont="1" applyFill="1" applyBorder="1"/>
    <xf numFmtId="0" fontId="14325" fillId="14329" borderId="14276" xfId="0" applyFont="1" applyFill="1" applyBorder="1"/>
    <xf numFmtId="165" fontId="14326" fillId="14330" borderId="14277" xfId="0" applyNumberFormat="1" applyFont="1" applyFill="1" applyBorder="1"/>
    <xf numFmtId="165" fontId="14327" fillId="14331" borderId="14278" xfId="0" applyNumberFormat="1" applyFont="1" applyFill="1" applyBorder="1"/>
    <xf numFmtId="169" fontId="14328" fillId="14332" borderId="14279" xfId="0" applyNumberFormat="1" applyFont="1" applyFill="1" applyBorder="1"/>
    <xf numFmtId="168" fontId="14329" fillId="14333" borderId="14280" xfId="0" applyNumberFormat="1" applyFont="1" applyFill="1" applyBorder="1"/>
    <xf numFmtId="165" fontId="14330" fillId="14334" borderId="14281" xfId="0" applyNumberFormat="1" applyFont="1" applyFill="1" applyBorder="1"/>
    <xf numFmtId="0" fontId="14331" fillId="14335" borderId="14282" xfId="0" applyFont="1" applyFill="1" applyBorder="1" applyAlignment="1">
      <alignment horizontal="center"/>
    </xf>
    <xf numFmtId="0" fontId="14332" fillId="14336" borderId="14283" xfId="0" applyFont="1" applyFill="1" applyBorder="1" applyAlignment="1">
      <alignment horizontal="center"/>
    </xf>
    <xf numFmtId="0" fontId="14333" fillId="14337" borderId="14284" xfId="0" applyFont="1" applyFill="1" applyBorder="1"/>
    <xf numFmtId="165" fontId="14334" fillId="14338" borderId="14285" xfId="0" applyNumberFormat="1" applyFont="1" applyFill="1" applyBorder="1"/>
    <xf numFmtId="0" fontId="14335" fillId="14339" borderId="14286" xfId="0" applyFont="1" applyFill="1" applyBorder="1"/>
    <xf numFmtId="0" fontId="14336" fillId="14340" borderId="14287" xfId="0" applyFont="1" applyFill="1" applyBorder="1" applyAlignment="1">
      <alignment horizontal="center"/>
    </xf>
    <xf numFmtId="14" fontId="14337" fillId="14341" borderId="14288" xfId="0" applyNumberFormat="1" applyFont="1" applyFill="1" applyBorder="1"/>
    <xf numFmtId="0" fontId="14338" fillId="14342" borderId="14289" xfId="0" applyFont="1" applyFill="1" applyBorder="1" applyAlignment="1">
      <alignment horizontal="center"/>
    </xf>
    <xf numFmtId="0" fontId="14339" fillId="14343" borderId="14290" xfId="0" applyFont="1" applyFill="1" applyBorder="1"/>
    <xf numFmtId="0" fontId="14340" fillId="14344" borderId="14291" xfId="0" applyFont="1" applyFill="1" applyBorder="1"/>
    <xf numFmtId="165" fontId="14341" fillId="14345" borderId="14292" xfId="0" applyNumberFormat="1" applyFont="1" applyFill="1" applyBorder="1"/>
    <xf numFmtId="165" fontId="14342" fillId="14346" borderId="14293" xfId="0" applyNumberFormat="1" applyFont="1" applyFill="1" applyBorder="1"/>
    <xf numFmtId="169" fontId="14343" fillId="14347" borderId="14294" xfId="0" applyNumberFormat="1" applyFont="1" applyFill="1" applyBorder="1"/>
    <xf numFmtId="168" fontId="14344" fillId="14348" borderId="14295" xfId="0" applyNumberFormat="1" applyFont="1" applyFill="1" applyBorder="1"/>
    <xf numFmtId="165" fontId="14345" fillId="14349" borderId="14296" xfId="0" applyNumberFormat="1" applyFont="1" applyFill="1" applyBorder="1"/>
    <xf numFmtId="0" fontId="14346" fillId="14350" borderId="14297" xfId="0" applyFont="1" applyFill="1" applyBorder="1" applyAlignment="1">
      <alignment horizontal="center"/>
    </xf>
    <xf numFmtId="0" fontId="14347" fillId="14351" borderId="14298" xfId="0" applyFont="1" applyFill="1" applyBorder="1" applyAlignment="1">
      <alignment horizontal="center"/>
    </xf>
    <xf numFmtId="0" fontId="14348" fillId="14352" borderId="14299" xfId="0" applyFont="1" applyFill="1" applyBorder="1"/>
    <xf numFmtId="165" fontId="14349" fillId="14353" borderId="14300" xfId="0" applyNumberFormat="1" applyFont="1" applyFill="1" applyBorder="1"/>
    <xf numFmtId="0" fontId="14350" fillId="14354" borderId="14301" xfId="0" applyFont="1" applyFill="1" applyBorder="1"/>
    <xf numFmtId="0" fontId="14351" fillId="14355" borderId="14302" xfId="0" applyFont="1" applyFill="1" applyBorder="1" applyAlignment="1">
      <alignment horizontal="center"/>
    </xf>
    <xf numFmtId="14" fontId="14352" fillId="14356" borderId="14303" xfId="0" applyNumberFormat="1" applyFont="1" applyFill="1" applyBorder="1"/>
    <xf numFmtId="0" fontId="14353" fillId="14357" borderId="14304" xfId="0" applyFont="1" applyFill="1" applyBorder="1" applyAlignment="1">
      <alignment horizontal="center"/>
    </xf>
    <xf numFmtId="0" fontId="14354" fillId="14358" borderId="14305" xfId="0" applyFont="1" applyFill="1" applyBorder="1"/>
    <xf numFmtId="0" fontId="14355" fillId="14359" borderId="14306" xfId="0" applyFont="1" applyFill="1" applyBorder="1"/>
    <xf numFmtId="165" fontId="14356" fillId="14360" borderId="14307" xfId="0" applyNumberFormat="1" applyFont="1" applyFill="1" applyBorder="1"/>
    <xf numFmtId="165" fontId="14357" fillId="14361" borderId="14308" xfId="0" applyNumberFormat="1" applyFont="1" applyFill="1" applyBorder="1"/>
    <xf numFmtId="169" fontId="14358" fillId="14362" borderId="14309" xfId="0" applyNumberFormat="1" applyFont="1" applyFill="1" applyBorder="1"/>
    <xf numFmtId="168" fontId="14359" fillId="14363" borderId="14310" xfId="0" applyNumberFormat="1" applyFont="1" applyFill="1" applyBorder="1"/>
    <xf numFmtId="165" fontId="14360" fillId="14364" borderId="14311" xfId="0" applyNumberFormat="1" applyFont="1" applyFill="1" applyBorder="1"/>
    <xf numFmtId="0" fontId="14361" fillId="14365" borderId="14312" xfId="0" applyFont="1" applyFill="1" applyBorder="1" applyAlignment="1">
      <alignment horizontal="center"/>
    </xf>
    <xf numFmtId="0" fontId="14362" fillId="14366" borderId="14313" xfId="0" applyFont="1" applyFill="1" applyBorder="1" applyAlignment="1">
      <alignment horizontal="center"/>
    </xf>
    <xf numFmtId="0" fontId="14363" fillId="14367" borderId="14314" xfId="0" applyFont="1" applyFill="1" applyBorder="1"/>
    <xf numFmtId="165" fontId="14364" fillId="14368" borderId="14315" xfId="0" applyNumberFormat="1" applyFont="1" applyFill="1" applyBorder="1"/>
    <xf numFmtId="0" fontId="14365" fillId="14369" borderId="14316" xfId="0" applyFont="1" applyFill="1" applyBorder="1"/>
    <xf numFmtId="0" fontId="14366" fillId="14370" borderId="14317" xfId="0" applyFont="1" applyFill="1" applyBorder="1" applyAlignment="1">
      <alignment horizontal="center"/>
    </xf>
    <xf numFmtId="14" fontId="14367" fillId="14371" borderId="14318" xfId="0" applyNumberFormat="1" applyFont="1" applyFill="1" applyBorder="1"/>
    <xf numFmtId="0" fontId="14368" fillId="14372" borderId="14319" xfId="0" applyFont="1" applyFill="1" applyBorder="1" applyAlignment="1">
      <alignment horizontal="center"/>
    </xf>
    <xf numFmtId="0" fontId="14369" fillId="14373" borderId="14320" xfId="0" applyFont="1" applyFill="1" applyBorder="1"/>
    <xf numFmtId="0" fontId="14370" fillId="14374" borderId="14321" xfId="0" applyFont="1" applyFill="1" applyBorder="1"/>
    <xf numFmtId="165" fontId="14371" fillId="14375" borderId="14322" xfId="0" applyNumberFormat="1" applyFont="1" applyFill="1" applyBorder="1"/>
    <xf numFmtId="165" fontId="14372" fillId="14376" borderId="14323" xfId="0" applyNumberFormat="1" applyFont="1" applyFill="1" applyBorder="1"/>
    <xf numFmtId="169" fontId="14373" fillId="14377" borderId="14324" xfId="0" applyNumberFormat="1" applyFont="1" applyFill="1" applyBorder="1"/>
    <xf numFmtId="168" fontId="14374" fillId="14378" borderId="14325" xfId="0" applyNumberFormat="1" applyFont="1" applyFill="1" applyBorder="1"/>
    <xf numFmtId="165" fontId="14375" fillId="14379" borderId="14326" xfId="0" applyNumberFormat="1" applyFont="1" applyFill="1" applyBorder="1"/>
    <xf numFmtId="0" fontId="14376" fillId="14380" borderId="14327" xfId="0" applyFont="1" applyFill="1" applyBorder="1" applyAlignment="1">
      <alignment horizontal="center"/>
    </xf>
    <xf numFmtId="0" fontId="14377" fillId="14381" borderId="14328" xfId="0" applyFont="1" applyFill="1" applyBorder="1" applyAlignment="1">
      <alignment horizontal="center"/>
    </xf>
    <xf numFmtId="0" fontId="14378" fillId="14382" borderId="14329" xfId="0" applyFont="1" applyFill="1" applyBorder="1"/>
    <xf numFmtId="165" fontId="14379" fillId="14383" borderId="14330" xfId="0" applyNumberFormat="1" applyFont="1" applyFill="1" applyBorder="1"/>
    <xf numFmtId="0" fontId="14380" fillId="14384" borderId="14331" xfId="0" applyFont="1" applyFill="1" applyBorder="1"/>
    <xf numFmtId="0" fontId="14381" fillId="14385" borderId="14332" xfId="0" applyFont="1" applyFill="1" applyBorder="1" applyAlignment="1">
      <alignment horizontal="center"/>
    </xf>
    <xf numFmtId="14" fontId="14382" fillId="14386" borderId="14333" xfId="0" applyNumberFormat="1" applyFont="1" applyFill="1" applyBorder="1"/>
    <xf numFmtId="0" fontId="14383" fillId="14387" borderId="14334" xfId="0" applyFont="1" applyFill="1" applyBorder="1" applyAlignment="1">
      <alignment horizontal="center"/>
    </xf>
    <xf numFmtId="0" fontId="14384" fillId="14388" borderId="14335" xfId="0" applyFont="1" applyFill="1" applyBorder="1"/>
    <xf numFmtId="0" fontId="14385" fillId="14389" borderId="14336" xfId="0" applyFont="1" applyFill="1" applyBorder="1"/>
    <xf numFmtId="165" fontId="14386" fillId="14390" borderId="14337" xfId="0" applyNumberFormat="1" applyFont="1" applyFill="1" applyBorder="1"/>
    <xf numFmtId="165" fontId="14387" fillId="14391" borderId="14338" xfId="0" applyNumberFormat="1" applyFont="1" applyFill="1" applyBorder="1"/>
    <xf numFmtId="169" fontId="14388" fillId="14392" borderId="14339" xfId="0" applyNumberFormat="1" applyFont="1" applyFill="1" applyBorder="1"/>
    <xf numFmtId="168" fontId="14389" fillId="14393" borderId="14340" xfId="0" applyNumberFormat="1" applyFont="1" applyFill="1" applyBorder="1"/>
    <xf numFmtId="165" fontId="14390" fillId="14394" borderId="14341" xfId="0" applyNumberFormat="1" applyFont="1" applyFill="1" applyBorder="1"/>
    <xf numFmtId="0" fontId="14391" fillId="14395" borderId="14342" xfId="0" applyFont="1" applyFill="1" applyBorder="1" applyAlignment="1">
      <alignment horizontal="center"/>
    </xf>
    <xf numFmtId="0" fontId="14392" fillId="14396" borderId="14343" xfId="0" applyFont="1" applyFill="1" applyBorder="1" applyAlignment="1">
      <alignment horizontal="center"/>
    </xf>
    <xf numFmtId="0" fontId="14393" fillId="14397" borderId="14344" xfId="0" applyFont="1" applyFill="1" applyBorder="1"/>
    <xf numFmtId="165" fontId="14394" fillId="14398" borderId="14345" xfId="0" applyNumberFormat="1" applyFont="1" applyFill="1" applyBorder="1"/>
    <xf numFmtId="0" fontId="14395" fillId="14399" borderId="14346" xfId="0" applyFont="1" applyFill="1" applyBorder="1"/>
    <xf numFmtId="0" fontId="14396" fillId="14400" borderId="14347" xfId="0" applyFont="1" applyFill="1" applyBorder="1" applyAlignment="1">
      <alignment horizontal="center"/>
    </xf>
    <xf numFmtId="14" fontId="14397" fillId="14401" borderId="14348" xfId="0" applyNumberFormat="1" applyFont="1" applyFill="1" applyBorder="1"/>
    <xf numFmtId="0" fontId="14398" fillId="14402" borderId="14349" xfId="0" applyFont="1" applyFill="1" applyBorder="1" applyAlignment="1">
      <alignment horizontal="center"/>
    </xf>
    <xf numFmtId="0" fontId="14399" fillId="14403" borderId="14350" xfId="0" applyFont="1" applyFill="1" applyBorder="1"/>
    <xf numFmtId="0" fontId="14400" fillId="14404" borderId="14351" xfId="0" applyFont="1" applyFill="1" applyBorder="1"/>
    <xf numFmtId="165" fontId="14401" fillId="14405" borderId="14352" xfId="0" applyNumberFormat="1" applyFont="1" applyFill="1" applyBorder="1"/>
    <xf numFmtId="165" fontId="14402" fillId="14406" borderId="14353" xfId="0" applyNumberFormat="1" applyFont="1" applyFill="1" applyBorder="1"/>
    <xf numFmtId="169" fontId="14403" fillId="14407" borderId="14354" xfId="0" applyNumberFormat="1" applyFont="1" applyFill="1" applyBorder="1"/>
    <xf numFmtId="168" fontId="14404" fillId="14408" borderId="14355" xfId="0" applyNumberFormat="1" applyFont="1" applyFill="1" applyBorder="1"/>
    <xf numFmtId="165" fontId="14405" fillId="14409" borderId="14356" xfId="0" applyNumberFormat="1" applyFont="1" applyFill="1" applyBorder="1"/>
    <xf numFmtId="0" fontId="14406" fillId="14410" borderId="14357" xfId="0" applyFont="1" applyFill="1" applyBorder="1" applyAlignment="1">
      <alignment horizontal="center"/>
    </xf>
    <xf numFmtId="0" fontId="14407" fillId="14411" borderId="14358" xfId="0" applyFont="1" applyFill="1" applyBorder="1" applyAlignment="1">
      <alignment horizontal="center"/>
    </xf>
    <xf numFmtId="0" fontId="14408" fillId="14412" borderId="14359" xfId="0" applyFont="1" applyFill="1" applyBorder="1"/>
    <xf numFmtId="165" fontId="14409" fillId="14413" borderId="14360" xfId="0" applyNumberFormat="1" applyFont="1" applyFill="1" applyBorder="1"/>
    <xf numFmtId="0" fontId="14410" fillId="14414" borderId="14361" xfId="0" applyFont="1" applyFill="1" applyBorder="1"/>
    <xf numFmtId="0" fontId="14411" fillId="14415" borderId="14362" xfId="0" applyFont="1" applyFill="1" applyBorder="1" applyAlignment="1">
      <alignment horizontal="center"/>
    </xf>
    <xf numFmtId="14" fontId="14412" fillId="14416" borderId="14363" xfId="0" applyNumberFormat="1" applyFont="1" applyFill="1" applyBorder="1"/>
    <xf numFmtId="0" fontId="14413" fillId="14417" borderId="14364" xfId="0" applyFont="1" applyFill="1" applyBorder="1" applyAlignment="1">
      <alignment horizontal="center"/>
    </xf>
    <xf numFmtId="0" fontId="14414" fillId="14418" borderId="14365" xfId="0" applyFont="1" applyFill="1" applyBorder="1"/>
    <xf numFmtId="0" fontId="14415" fillId="14419" borderId="14366" xfId="0" applyFont="1" applyFill="1" applyBorder="1"/>
    <xf numFmtId="165" fontId="14416" fillId="14420" borderId="14367" xfId="0" applyNumberFormat="1" applyFont="1" applyFill="1" applyBorder="1"/>
    <xf numFmtId="165" fontId="14417" fillId="14421" borderId="14368" xfId="0" applyNumberFormat="1" applyFont="1" applyFill="1" applyBorder="1"/>
    <xf numFmtId="169" fontId="14418" fillId="14422" borderId="14369" xfId="0" applyNumberFormat="1" applyFont="1" applyFill="1" applyBorder="1"/>
    <xf numFmtId="168" fontId="14419" fillId="14423" borderId="14370" xfId="0" applyNumberFormat="1" applyFont="1" applyFill="1" applyBorder="1"/>
    <xf numFmtId="165" fontId="14420" fillId="14424" borderId="14371" xfId="0" applyNumberFormat="1" applyFont="1" applyFill="1" applyBorder="1"/>
    <xf numFmtId="0" fontId="14421" fillId="14425" borderId="14372" xfId="0" applyFont="1" applyFill="1" applyBorder="1" applyAlignment="1">
      <alignment horizontal="center"/>
    </xf>
    <xf numFmtId="0" fontId="14422" fillId="14426" borderId="14373" xfId="0" applyFont="1" applyFill="1" applyBorder="1" applyAlignment="1">
      <alignment horizontal="center"/>
    </xf>
    <xf numFmtId="0" fontId="14423" fillId="14427" borderId="14374" xfId="0" applyFont="1" applyFill="1" applyBorder="1"/>
    <xf numFmtId="165" fontId="14424" fillId="14428" borderId="14375" xfId="0" applyNumberFormat="1" applyFont="1" applyFill="1" applyBorder="1"/>
    <xf numFmtId="0" fontId="14425" fillId="14429" borderId="14376" xfId="0" applyFont="1" applyFill="1" applyBorder="1"/>
    <xf numFmtId="0" fontId="14426" fillId="14430" borderId="14377" xfId="0" applyFont="1" applyFill="1" applyBorder="1" applyAlignment="1">
      <alignment horizontal="center"/>
    </xf>
    <xf numFmtId="14" fontId="14427" fillId="14431" borderId="14378" xfId="0" applyNumberFormat="1" applyFont="1" applyFill="1" applyBorder="1"/>
    <xf numFmtId="0" fontId="14428" fillId="14432" borderId="14379" xfId="0" applyFont="1" applyFill="1" applyBorder="1" applyAlignment="1">
      <alignment horizontal="center"/>
    </xf>
    <xf numFmtId="0" fontId="14429" fillId="14433" borderId="14380" xfId="0" applyFont="1" applyFill="1" applyBorder="1"/>
    <xf numFmtId="0" fontId="14430" fillId="14434" borderId="14381" xfId="0" applyFont="1" applyFill="1" applyBorder="1"/>
    <xf numFmtId="165" fontId="14431" fillId="14435" borderId="14382" xfId="0" applyNumberFormat="1" applyFont="1" applyFill="1" applyBorder="1"/>
    <xf numFmtId="165" fontId="14432" fillId="14436" borderId="14383" xfId="0" applyNumberFormat="1" applyFont="1" applyFill="1" applyBorder="1"/>
    <xf numFmtId="169" fontId="14433" fillId="14437" borderId="14384" xfId="0" applyNumberFormat="1" applyFont="1" applyFill="1" applyBorder="1"/>
    <xf numFmtId="168" fontId="14434" fillId="14438" borderId="14385" xfId="0" applyNumberFormat="1" applyFont="1" applyFill="1" applyBorder="1"/>
    <xf numFmtId="165" fontId="14435" fillId="14439" borderId="14386" xfId="0" applyNumberFormat="1" applyFont="1" applyFill="1" applyBorder="1"/>
    <xf numFmtId="0" fontId="14436" fillId="14440" borderId="14387" xfId="0" applyFont="1" applyFill="1" applyBorder="1" applyAlignment="1">
      <alignment horizontal="center"/>
    </xf>
    <xf numFmtId="0" fontId="14437" fillId="14441" borderId="14388" xfId="0" applyFont="1" applyFill="1" applyBorder="1" applyAlignment="1">
      <alignment horizontal="center"/>
    </xf>
    <xf numFmtId="0" fontId="14438" fillId="14442" borderId="14389" xfId="0" applyFont="1" applyFill="1" applyBorder="1"/>
    <xf numFmtId="165" fontId="14439" fillId="14443" borderId="14390" xfId="0" applyNumberFormat="1" applyFont="1" applyFill="1" applyBorder="1"/>
    <xf numFmtId="0" fontId="14440" fillId="14444" borderId="14391" xfId="0" applyFont="1" applyFill="1" applyBorder="1"/>
    <xf numFmtId="0" fontId="14441" fillId="14445" borderId="14392" xfId="0" applyFont="1" applyFill="1" applyBorder="1" applyAlignment="1">
      <alignment horizontal="center"/>
    </xf>
    <xf numFmtId="14" fontId="14442" fillId="14446" borderId="14393" xfId="0" applyNumberFormat="1" applyFont="1" applyFill="1" applyBorder="1"/>
    <xf numFmtId="0" fontId="14443" fillId="14447" borderId="14394" xfId="0" applyFont="1" applyFill="1" applyBorder="1" applyAlignment="1">
      <alignment horizontal="center"/>
    </xf>
    <xf numFmtId="0" fontId="14444" fillId="14448" borderId="14395" xfId="0" applyFont="1" applyFill="1" applyBorder="1"/>
    <xf numFmtId="0" fontId="14445" fillId="14449" borderId="14396" xfId="0" applyFont="1" applyFill="1" applyBorder="1"/>
    <xf numFmtId="165" fontId="14446" fillId="14450" borderId="14397" xfId="0" applyNumberFormat="1" applyFont="1" applyFill="1" applyBorder="1"/>
    <xf numFmtId="165" fontId="14447" fillId="14451" borderId="14398" xfId="0" applyNumberFormat="1" applyFont="1" applyFill="1" applyBorder="1"/>
    <xf numFmtId="169" fontId="14448" fillId="14452" borderId="14399" xfId="0" applyNumberFormat="1" applyFont="1" applyFill="1" applyBorder="1"/>
    <xf numFmtId="168" fontId="14449" fillId="14453" borderId="14400" xfId="0" applyNumberFormat="1" applyFont="1" applyFill="1" applyBorder="1"/>
    <xf numFmtId="165" fontId="14450" fillId="14454" borderId="14401" xfId="0" applyNumberFormat="1" applyFont="1" applyFill="1" applyBorder="1"/>
    <xf numFmtId="0" fontId="14451" fillId="14455" borderId="14402" xfId="0" applyFont="1" applyFill="1" applyBorder="1" applyAlignment="1">
      <alignment horizontal="center"/>
    </xf>
    <xf numFmtId="0" fontId="14452" fillId="14456" borderId="14403" xfId="0" applyFont="1" applyFill="1" applyBorder="1" applyAlignment="1">
      <alignment horizontal="center"/>
    </xf>
    <xf numFmtId="0" fontId="14453" fillId="14457" borderId="14404" xfId="0" applyFont="1" applyFill="1" applyBorder="1"/>
    <xf numFmtId="165" fontId="14454" fillId="14458" borderId="14405" xfId="0" applyNumberFormat="1" applyFont="1" applyFill="1" applyBorder="1"/>
    <xf numFmtId="0" fontId="14455" fillId="14459" borderId="14406" xfId="0" applyFont="1" applyFill="1" applyBorder="1"/>
    <xf numFmtId="0" fontId="14456" fillId="14460" borderId="14407" xfId="0" applyFont="1" applyFill="1" applyBorder="1" applyAlignment="1">
      <alignment horizontal="center"/>
    </xf>
    <xf numFmtId="14" fontId="14457" fillId="14461" borderId="14408" xfId="0" applyNumberFormat="1" applyFont="1" applyFill="1" applyBorder="1"/>
    <xf numFmtId="0" fontId="14458" fillId="14462" borderId="14409" xfId="0" applyFont="1" applyFill="1" applyBorder="1" applyAlignment="1">
      <alignment horizontal="center"/>
    </xf>
    <xf numFmtId="0" fontId="14459" fillId="14463" borderId="14410" xfId="0" applyFont="1" applyFill="1" applyBorder="1"/>
    <xf numFmtId="0" fontId="14460" fillId="14464" borderId="14411" xfId="0" applyFont="1" applyFill="1" applyBorder="1"/>
    <xf numFmtId="165" fontId="14461" fillId="14465" borderId="14412" xfId="0" applyNumberFormat="1" applyFont="1" applyFill="1" applyBorder="1"/>
    <xf numFmtId="165" fontId="14462" fillId="14466" borderId="14413" xfId="0" applyNumberFormat="1" applyFont="1" applyFill="1" applyBorder="1"/>
    <xf numFmtId="169" fontId="14463" fillId="14467" borderId="14414" xfId="0" applyNumberFormat="1" applyFont="1" applyFill="1" applyBorder="1"/>
    <xf numFmtId="168" fontId="14464" fillId="14468" borderId="14415" xfId="0" applyNumberFormat="1" applyFont="1" applyFill="1" applyBorder="1"/>
    <xf numFmtId="165" fontId="14465" fillId="14469" borderId="14416" xfId="0" applyNumberFormat="1" applyFont="1" applyFill="1" applyBorder="1"/>
    <xf numFmtId="0" fontId="14466" fillId="14470" borderId="14417" xfId="0" applyFont="1" applyFill="1" applyBorder="1" applyAlignment="1">
      <alignment horizontal="center"/>
    </xf>
    <xf numFmtId="0" fontId="14467" fillId="14471" borderId="14418" xfId="0" applyFont="1" applyFill="1" applyBorder="1" applyAlignment="1">
      <alignment horizontal="center"/>
    </xf>
    <xf numFmtId="0" fontId="14468" fillId="14472" borderId="14419" xfId="0" applyFont="1" applyFill="1" applyBorder="1"/>
    <xf numFmtId="165" fontId="14469" fillId="14473" borderId="14420" xfId="0" applyNumberFormat="1" applyFont="1" applyFill="1" applyBorder="1"/>
    <xf numFmtId="0" fontId="14470" fillId="14474" borderId="14421" xfId="0" applyFont="1" applyFill="1" applyBorder="1"/>
    <xf numFmtId="0" fontId="14471" fillId="14475" borderId="14422" xfId="0" applyFont="1" applyFill="1" applyBorder="1" applyAlignment="1">
      <alignment horizontal="center"/>
    </xf>
    <xf numFmtId="14" fontId="14472" fillId="14476" borderId="14423" xfId="0" applyNumberFormat="1" applyFont="1" applyFill="1" applyBorder="1"/>
    <xf numFmtId="0" fontId="14473" fillId="14477" borderId="14424" xfId="0" applyFont="1" applyFill="1" applyBorder="1" applyAlignment="1">
      <alignment horizontal="center"/>
    </xf>
    <xf numFmtId="0" fontId="14474" fillId="14478" borderId="14425" xfId="0" applyFont="1" applyFill="1" applyBorder="1"/>
    <xf numFmtId="0" fontId="14475" fillId="14479" borderId="14426" xfId="0" applyFont="1" applyFill="1" applyBorder="1"/>
    <xf numFmtId="165" fontId="14476" fillId="14480" borderId="14427" xfId="0" applyNumberFormat="1" applyFont="1" applyFill="1" applyBorder="1"/>
    <xf numFmtId="165" fontId="14477" fillId="14481" borderId="14428" xfId="0" applyNumberFormat="1" applyFont="1" applyFill="1" applyBorder="1"/>
    <xf numFmtId="169" fontId="14478" fillId="14482" borderId="14429" xfId="0" applyNumberFormat="1" applyFont="1" applyFill="1" applyBorder="1"/>
    <xf numFmtId="168" fontId="14479" fillId="14483" borderId="14430" xfId="0" applyNumberFormat="1" applyFont="1" applyFill="1" applyBorder="1"/>
    <xf numFmtId="165" fontId="14480" fillId="14484" borderId="14431" xfId="0" applyNumberFormat="1" applyFont="1" applyFill="1" applyBorder="1"/>
    <xf numFmtId="0" fontId="14481" fillId="14485" borderId="14432" xfId="0" applyFont="1" applyFill="1" applyBorder="1" applyAlignment="1">
      <alignment horizontal="center"/>
    </xf>
    <xf numFmtId="0" fontId="14482" fillId="14486" borderId="14433" xfId="0" applyFont="1" applyFill="1" applyBorder="1" applyAlignment="1">
      <alignment horizontal="center"/>
    </xf>
    <xf numFmtId="0" fontId="14483" fillId="14487" borderId="14434" xfId="0" applyFont="1" applyFill="1" applyBorder="1"/>
    <xf numFmtId="165" fontId="14484" fillId="14488" borderId="14435" xfId="0" applyNumberFormat="1" applyFont="1" applyFill="1" applyBorder="1"/>
    <xf numFmtId="0" fontId="14485" fillId="14489" borderId="14436" xfId="0" applyFont="1" applyFill="1" applyBorder="1"/>
    <xf numFmtId="0" fontId="14486" fillId="14490" borderId="14437" xfId="0" applyFont="1" applyFill="1" applyBorder="1" applyAlignment="1">
      <alignment horizontal="center"/>
    </xf>
    <xf numFmtId="14" fontId="14487" fillId="14491" borderId="14438" xfId="0" applyNumberFormat="1" applyFont="1" applyFill="1" applyBorder="1"/>
    <xf numFmtId="0" fontId="14488" fillId="14492" borderId="14439" xfId="0" applyFont="1" applyFill="1" applyBorder="1" applyAlignment="1">
      <alignment horizontal="center"/>
    </xf>
    <xf numFmtId="0" fontId="14489" fillId="14493" borderId="14440" xfId="0" applyFont="1" applyFill="1" applyBorder="1"/>
    <xf numFmtId="0" fontId="14490" fillId="14494" borderId="14441" xfId="0" applyFont="1" applyFill="1" applyBorder="1"/>
    <xf numFmtId="165" fontId="14491" fillId="14495" borderId="14442" xfId="0" applyNumberFormat="1" applyFont="1" applyFill="1" applyBorder="1"/>
    <xf numFmtId="165" fontId="14492" fillId="14496" borderId="14443" xfId="0" applyNumberFormat="1" applyFont="1" applyFill="1" applyBorder="1"/>
    <xf numFmtId="169" fontId="14493" fillId="14497" borderId="14444" xfId="0" applyNumberFormat="1" applyFont="1" applyFill="1" applyBorder="1"/>
    <xf numFmtId="168" fontId="14494" fillId="14498" borderId="14445" xfId="0" applyNumberFormat="1" applyFont="1" applyFill="1" applyBorder="1"/>
    <xf numFmtId="165" fontId="14495" fillId="14499" borderId="14446" xfId="0" applyNumberFormat="1" applyFont="1" applyFill="1" applyBorder="1"/>
    <xf numFmtId="0" fontId="14496" fillId="14500" borderId="14447" xfId="0" applyFont="1" applyFill="1" applyBorder="1" applyAlignment="1">
      <alignment horizontal="center"/>
    </xf>
    <xf numFmtId="0" fontId="14497" fillId="14501" borderId="14448" xfId="0" applyFont="1" applyFill="1" applyBorder="1" applyAlignment="1">
      <alignment horizontal="center"/>
    </xf>
    <xf numFmtId="0" fontId="14498" fillId="14502" borderId="14449" xfId="0" applyFont="1" applyFill="1" applyBorder="1"/>
    <xf numFmtId="165" fontId="14499" fillId="14503" borderId="14450" xfId="0" applyNumberFormat="1" applyFont="1" applyFill="1" applyBorder="1"/>
    <xf numFmtId="0" fontId="14500" fillId="14504" borderId="14451" xfId="0" applyFont="1" applyFill="1" applyBorder="1"/>
    <xf numFmtId="0" fontId="14501" fillId="14505" borderId="14452" xfId="0" applyFont="1" applyFill="1" applyBorder="1" applyAlignment="1">
      <alignment horizontal="center"/>
    </xf>
    <xf numFmtId="14" fontId="14502" fillId="14506" borderId="14453" xfId="0" applyNumberFormat="1" applyFont="1" applyFill="1" applyBorder="1"/>
    <xf numFmtId="0" fontId="14503" fillId="14507" borderId="14454" xfId="0" applyFont="1" applyFill="1" applyBorder="1" applyAlignment="1">
      <alignment horizontal="center"/>
    </xf>
    <xf numFmtId="0" fontId="14504" fillId="14508" borderId="14455" xfId="0" applyFont="1" applyFill="1" applyBorder="1"/>
    <xf numFmtId="0" fontId="14505" fillId="14509" borderId="14456" xfId="0" applyFont="1" applyFill="1" applyBorder="1"/>
    <xf numFmtId="165" fontId="14506" fillId="14510" borderId="14457" xfId="0" applyNumberFormat="1" applyFont="1" applyFill="1" applyBorder="1"/>
    <xf numFmtId="165" fontId="14507" fillId="14511" borderId="14458" xfId="0" applyNumberFormat="1" applyFont="1" applyFill="1" applyBorder="1"/>
    <xf numFmtId="169" fontId="14508" fillId="14512" borderId="14459" xfId="0" applyNumberFormat="1" applyFont="1" applyFill="1" applyBorder="1"/>
    <xf numFmtId="168" fontId="14509" fillId="14513" borderId="14460" xfId="0" applyNumberFormat="1" applyFont="1" applyFill="1" applyBorder="1"/>
    <xf numFmtId="165" fontId="14510" fillId="14514" borderId="14461" xfId="0" applyNumberFormat="1" applyFont="1" applyFill="1" applyBorder="1"/>
    <xf numFmtId="0" fontId="14511" fillId="14515" borderId="14462" xfId="0" applyFont="1" applyFill="1" applyBorder="1" applyAlignment="1">
      <alignment horizontal="center"/>
    </xf>
    <xf numFmtId="0" fontId="14512" fillId="14516" borderId="14463" xfId="0" applyFont="1" applyFill="1" applyBorder="1" applyAlignment="1">
      <alignment horizontal="center"/>
    </xf>
    <xf numFmtId="0" fontId="14513" fillId="14517" borderId="14464" xfId="0" applyFont="1" applyFill="1" applyBorder="1"/>
    <xf numFmtId="165" fontId="14514" fillId="14518" borderId="14465" xfId="0" applyNumberFormat="1" applyFont="1" applyFill="1" applyBorder="1"/>
    <xf numFmtId="0" fontId="14515" fillId="14519" borderId="14466" xfId="0" applyFont="1" applyFill="1" applyBorder="1"/>
    <xf numFmtId="0" fontId="14516" fillId="14520" borderId="14467" xfId="0" applyFont="1" applyFill="1" applyBorder="1" applyAlignment="1">
      <alignment horizontal="center"/>
    </xf>
    <xf numFmtId="14" fontId="14517" fillId="14521" borderId="14468" xfId="0" applyNumberFormat="1" applyFont="1" applyFill="1" applyBorder="1"/>
    <xf numFmtId="0" fontId="14518" fillId="14522" borderId="14469" xfId="0" applyFont="1" applyFill="1" applyBorder="1" applyAlignment="1">
      <alignment horizontal="center"/>
    </xf>
    <xf numFmtId="0" fontId="14519" fillId="14523" borderId="14470" xfId="0" applyFont="1" applyFill="1" applyBorder="1"/>
    <xf numFmtId="0" fontId="14520" fillId="14524" borderId="14471" xfId="0" applyFont="1" applyFill="1" applyBorder="1"/>
    <xf numFmtId="165" fontId="14521" fillId="14525" borderId="14472" xfId="0" applyNumberFormat="1" applyFont="1" applyFill="1" applyBorder="1"/>
    <xf numFmtId="165" fontId="14522" fillId="14526" borderId="14473" xfId="0" applyNumberFormat="1" applyFont="1" applyFill="1" applyBorder="1"/>
    <xf numFmtId="169" fontId="14523" fillId="14527" borderId="14474" xfId="0" applyNumberFormat="1" applyFont="1" applyFill="1" applyBorder="1"/>
    <xf numFmtId="168" fontId="14524" fillId="14528" borderId="14475" xfId="0" applyNumberFormat="1" applyFont="1" applyFill="1" applyBorder="1"/>
    <xf numFmtId="165" fontId="14525" fillId="14529" borderId="14476" xfId="0" applyNumberFormat="1" applyFont="1" applyFill="1" applyBorder="1"/>
    <xf numFmtId="0" fontId="14526" fillId="14530" borderId="14477" xfId="0" applyFont="1" applyFill="1" applyBorder="1" applyAlignment="1">
      <alignment horizontal="center"/>
    </xf>
    <xf numFmtId="0" fontId="14527" fillId="14531" borderId="14478" xfId="0" applyFont="1" applyFill="1" applyBorder="1" applyAlignment="1">
      <alignment horizontal="center"/>
    </xf>
    <xf numFmtId="0" fontId="14528" fillId="14532" borderId="14479" xfId="0" applyFont="1" applyFill="1" applyBorder="1"/>
    <xf numFmtId="165" fontId="14529" fillId="14533" borderId="14480" xfId="0" applyNumberFormat="1" applyFont="1" applyFill="1" applyBorder="1"/>
    <xf numFmtId="0" fontId="14530" fillId="14534" borderId="14481" xfId="0" applyFont="1" applyFill="1" applyBorder="1"/>
    <xf numFmtId="0" fontId="14531" fillId="14535" borderId="14482" xfId="0" applyFont="1" applyFill="1" applyBorder="1" applyAlignment="1">
      <alignment horizontal="center"/>
    </xf>
    <xf numFmtId="14" fontId="14532" fillId="14536" borderId="14483" xfId="0" applyNumberFormat="1" applyFont="1" applyFill="1" applyBorder="1"/>
    <xf numFmtId="0" fontId="14533" fillId="14537" borderId="14484" xfId="0" applyFont="1" applyFill="1" applyBorder="1" applyAlignment="1">
      <alignment horizontal="center"/>
    </xf>
    <xf numFmtId="0" fontId="14534" fillId="14538" borderId="14485" xfId="0" applyFont="1" applyFill="1" applyBorder="1"/>
    <xf numFmtId="0" fontId="14535" fillId="14539" borderId="14486" xfId="0" applyFont="1" applyFill="1" applyBorder="1"/>
    <xf numFmtId="165" fontId="14536" fillId="14540" borderId="14487" xfId="0" applyNumberFormat="1" applyFont="1" applyFill="1" applyBorder="1"/>
    <xf numFmtId="165" fontId="14537" fillId="14541" borderId="14488" xfId="0" applyNumberFormat="1" applyFont="1" applyFill="1" applyBorder="1"/>
    <xf numFmtId="169" fontId="14538" fillId="14542" borderId="14489" xfId="0" applyNumberFormat="1" applyFont="1" applyFill="1" applyBorder="1"/>
    <xf numFmtId="168" fontId="14539" fillId="14543" borderId="14490" xfId="0" applyNumberFormat="1" applyFont="1" applyFill="1" applyBorder="1"/>
    <xf numFmtId="165" fontId="14540" fillId="14544" borderId="14491" xfId="0" applyNumberFormat="1" applyFont="1" applyFill="1" applyBorder="1"/>
    <xf numFmtId="0" fontId="14541" fillId="14545" borderId="14492" xfId="0" applyFont="1" applyFill="1" applyBorder="1" applyAlignment="1">
      <alignment horizontal="center"/>
    </xf>
    <xf numFmtId="0" fontId="14542" fillId="14546" borderId="14493" xfId="0" applyFont="1" applyFill="1" applyBorder="1" applyAlignment="1">
      <alignment horizontal="center"/>
    </xf>
    <xf numFmtId="0" fontId="14543" fillId="14547" borderId="14494" xfId="0" applyFont="1" applyFill="1" applyBorder="1"/>
    <xf numFmtId="165" fontId="14544" fillId="14548" borderId="14495" xfId="0" applyNumberFormat="1" applyFont="1" applyFill="1" applyBorder="1"/>
    <xf numFmtId="0" fontId="14545" fillId="14549" borderId="14496" xfId="0" applyFont="1" applyFill="1" applyBorder="1"/>
    <xf numFmtId="0" fontId="14546" fillId="14550" borderId="14497" xfId="0" applyFont="1" applyFill="1" applyBorder="1" applyAlignment="1">
      <alignment horizontal="center"/>
    </xf>
    <xf numFmtId="14" fontId="14547" fillId="14551" borderId="14498" xfId="0" applyNumberFormat="1" applyFont="1" applyFill="1" applyBorder="1"/>
    <xf numFmtId="0" fontId="14548" fillId="14552" borderId="14499" xfId="0" applyFont="1" applyFill="1" applyBorder="1" applyAlignment="1">
      <alignment horizontal="center"/>
    </xf>
    <xf numFmtId="0" fontId="14549" fillId="14553" borderId="14500" xfId="0" applyFont="1" applyFill="1" applyBorder="1"/>
    <xf numFmtId="0" fontId="14550" fillId="14554" borderId="14501" xfId="0" applyFont="1" applyFill="1" applyBorder="1"/>
    <xf numFmtId="165" fontId="14551" fillId="14555" borderId="14502" xfId="0" applyNumberFormat="1" applyFont="1" applyFill="1" applyBorder="1"/>
    <xf numFmtId="165" fontId="14552" fillId="14556" borderId="14503" xfId="0" applyNumberFormat="1" applyFont="1" applyFill="1" applyBorder="1"/>
    <xf numFmtId="169" fontId="14553" fillId="14557" borderId="14504" xfId="0" applyNumberFormat="1" applyFont="1" applyFill="1" applyBorder="1"/>
    <xf numFmtId="168" fontId="14554" fillId="14558" borderId="14505" xfId="0" applyNumberFormat="1" applyFont="1" applyFill="1" applyBorder="1"/>
    <xf numFmtId="165" fontId="14555" fillId="14559" borderId="14506" xfId="0" applyNumberFormat="1" applyFont="1" applyFill="1" applyBorder="1"/>
    <xf numFmtId="0" fontId="14556" fillId="14560" borderId="14507" xfId="0" applyFont="1" applyFill="1" applyBorder="1" applyAlignment="1">
      <alignment horizontal="center"/>
    </xf>
    <xf numFmtId="0" fontId="14557" fillId="14561" borderId="14508" xfId="0" applyFont="1" applyFill="1" applyBorder="1" applyAlignment="1">
      <alignment horizontal="center"/>
    </xf>
    <xf numFmtId="0" fontId="14558" fillId="14562" borderId="14509" xfId="0" applyFont="1" applyFill="1" applyBorder="1"/>
    <xf numFmtId="165" fontId="14559" fillId="14563" borderId="14510" xfId="0" applyNumberFormat="1" applyFont="1" applyFill="1" applyBorder="1"/>
    <xf numFmtId="0" fontId="14560" fillId="14564" borderId="14511" xfId="0" applyFont="1" applyFill="1" applyBorder="1"/>
    <xf numFmtId="0" fontId="14561" fillId="14565" borderId="14512" xfId="0" applyFont="1" applyFill="1" applyBorder="1" applyAlignment="1">
      <alignment horizontal="center"/>
    </xf>
    <xf numFmtId="14" fontId="14562" fillId="14566" borderId="14513" xfId="0" applyNumberFormat="1" applyFont="1" applyFill="1" applyBorder="1"/>
    <xf numFmtId="0" fontId="14563" fillId="14567" borderId="14514" xfId="0" applyFont="1" applyFill="1" applyBorder="1" applyAlignment="1">
      <alignment horizontal="center"/>
    </xf>
    <xf numFmtId="0" fontId="14564" fillId="14568" borderId="14515" xfId="0" applyFont="1" applyFill="1" applyBorder="1"/>
    <xf numFmtId="0" fontId="14565" fillId="14569" borderId="14516" xfId="0" applyFont="1" applyFill="1" applyBorder="1"/>
    <xf numFmtId="165" fontId="14566" fillId="14570" borderId="14517" xfId="0" applyNumberFormat="1" applyFont="1" applyFill="1" applyBorder="1"/>
    <xf numFmtId="165" fontId="14567" fillId="14571" borderId="14518" xfId="0" applyNumberFormat="1" applyFont="1" applyFill="1" applyBorder="1"/>
    <xf numFmtId="169" fontId="14568" fillId="14572" borderId="14519" xfId="0" applyNumberFormat="1" applyFont="1" applyFill="1" applyBorder="1"/>
    <xf numFmtId="168" fontId="14569" fillId="14573" borderId="14520" xfId="0" applyNumberFormat="1" applyFont="1" applyFill="1" applyBorder="1"/>
    <xf numFmtId="165" fontId="14570" fillId="14574" borderId="14521" xfId="0" applyNumberFormat="1" applyFont="1" applyFill="1" applyBorder="1"/>
    <xf numFmtId="0" fontId="14571" fillId="14575" borderId="14522" xfId="0" applyFont="1" applyFill="1" applyBorder="1" applyAlignment="1">
      <alignment horizontal="center"/>
    </xf>
    <xf numFmtId="0" fontId="14572" fillId="14576" borderId="14523" xfId="0" applyFont="1" applyFill="1" applyBorder="1" applyAlignment="1">
      <alignment horizontal="center"/>
    </xf>
    <xf numFmtId="0" fontId="14573" fillId="14577" borderId="14524" xfId="0" applyFont="1" applyFill="1" applyBorder="1"/>
    <xf numFmtId="165" fontId="14574" fillId="14578" borderId="14525" xfId="0" applyNumberFormat="1" applyFont="1" applyFill="1" applyBorder="1"/>
    <xf numFmtId="0" fontId="14575" fillId="14579" borderId="14526" xfId="0" applyFont="1" applyFill="1" applyBorder="1"/>
    <xf numFmtId="0" fontId="14576" fillId="14580" borderId="14527" xfId="0" applyFont="1" applyFill="1" applyBorder="1" applyAlignment="1">
      <alignment horizontal="center"/>
    </xf>
    <xf numFmtId="14" fontId="14577" fillId="14581" borderId="14528" xfId="0" applyNumberFormat="1" applyFont="1" applyFill="1" applyBorder="1"/>
    <xf numFmtId="0" fontId="14578" fillId="14582" borderId="14529" xfId="0" applyFont="1" applyFill="1" applyBorder="1" applyAlignment="1">
      <alignment horizontal="center"/>
    </xf>
    <xf numFmtId="0" fontId="14579" fillId="14583" borderId="14530" xfId="0" applyFont="1" applyFill="1" applyBorder="1"/>
    <xf numFmtId="0" fontId="14580" fillId="14584" borderId="14531" xfId="0" applyFont="1" applyFill="1" applyBorder="1"/>
    <xf numFmtId="165" fontId="14581" fillId="14585" borderId="14532" xfId="0" applyNumberFormat="1" applyFont="1" applyFill="1" applyBorder="1"/>
    <xf numFmtId="165" fontId="14582" fillId="14586" borderId="14533" xfId="0" applyNumberFormat="1" applyFont="1" applyFill="1" applyBorder="1"/>
    <xf numFmtId="169" fontId="14583" fillId="14587" borderId="14534" xfId="0" applyNumberFormat="1" applyFont="1" applyFill="1" applyBorder="1"/>
    <xf numFmtId="168" fontId="14584" fillId="14588" borderId="14535" xfId="0" applyNumberFormat="1" applyFont="1" applyFill="1" applyBorder="1"/>
    <xf numFmtId="165" fontId="14585" fillId="14589" borderId="14536" xfId="0" applyNumberFormat="1" applyFont="1" applyFill="1" applyBorder="1"/>
    <xf numFmtId="0" fontId="14586" fillId="14590" borderId="14537" xfId="0" applyFont="1" applyFill="1" applyBorder="1" applyAlignment="1">
      <alignment horizontal="center"/>
    </xf>
    <xf numFmtId="0" fontId="14587" fillId="14591" borderId="14538" xfId="0" applyFont="1" applyFill="1" applyBorder="1" applyAlignment="1">
      <alignment horizontal="center"/>
    </xf>
    <xf numFmtId="0" fontId="14588" fillId="14592" borderId="14539" xfId="0" applyFont="1" applyFill="1" applyBorder="1"/>
    <xf numFmtId="165" fontId="14589" fillId="14593" borderId="14540" xfId="0" applyNumberFormat="1" applyFont="1" applyFill="1" applyBorder="1"/>
    <xf numFmtId="0" fontId="14590" fillId="14594" borderId="14541" xfId="0" applyFont="1" applyFill="1" applyBorder="1"/>
    <xf numFmtId="0" fontId="14591" fillId="14595" borderId="14542" xfId="0" applyFont="1" applyFill="1" applyBorder="1" applyAlignment="1">
      <alignment horizontal="center"/>
    </xf>
    <xf numFmtId="14" fontId="14592" fillId="14596" borderId="14543" xfId="0" applyNumberFormat="1" applyFont="1" applyFill="1" applyBorder="1"/>
    <xf numFmtId="0" fontId="14593" fillId="14597" borderId="14544" xfId="0" applyFont="1" applyFill="1" applyBorder="1" applyAlignment="1">
      <alignment horizontal="center"/>
    </xf>
    <xf numFmtId="0" fontId="14594" fillId="14598" borderId="14545" xfId="0" applyFont="1" applyFill="1" applyBorder="1"/>
    <xf numFmtId="0" fontId="14595" fillId="14599" borderId="14546" xfId="0" applyFont="1" applyFill="1" applyBorder="1"/>
    <xf numFmtId="165" fontId="14596" fillId="14600" borderId="14547" xfId="0" applyNumberFormat="1" applyFont="1" applyFill="1" applyBorder="1"/>
    <xf numFmtId="165" fontId="14597" fillId="14601" borderId="14548" xfId="0" applyNumberFormat="1" applyFont="1" applyFill="1" applyBorder="1"/>
    <xf numFmtId="169" fontId="14598" fillId="14602" borderId="14549" xfId="0" applyNumberFormat="1" applyFont="1" applyFill="1" applyBorder="1"/>
    <xf numFmtId="168" fontId="14599" fillId="14603" borderId="14550" xfId="0" applyNumberFormat="1" applyFont="1" applyFill="1" applyBorder="1"/>
    <xf numFmtId="165" fontId="14600" fillId="14604" borderId="14551" xfId="0" applyNumberFormat="1" applyFont="1" applyFill="1" applyBorder="1"/>
    <xf numFmtId="0" fontId="14601" fillId="14605" borderId="14552" xfId="0" applyFont="1" applyFill="1" applyBorder="1" applyAlignment="1">
      <alignment horizontal="center"/>
    </xf>
    <xf numFmtId="0" fontId="14602" fillId="14606" borderId="14553" xfId="0" applyFont="1" applyFill="1" applyBorder="1" applyAlignment="1">
      <alignment horizontal="center"/>
    </xf>
    <xf numFmtId="0" fontId="14603" fillId="14607" borderId="14554" xfId="0" applyFont="1" applyFill="1" applyBorder="1"/>
    <xf numFmtId="165" fontId="14604" fillId="14608" borderId="14555" xfId="0" applyNumberFormat="1" applyFont="1" applyFill="1" applyBorder="1"/>
    <xf numFmtId="0" fontId="14605" fillId="14609" borderId="14556" xfId="0" applyFont="1" applyFill="1" applyBorder="1"/>
    <xf numFmtId="0" fontId="14606" fillId="14610" borderId="14557" xfId="0" applyFont="1" applyFill="1" applyBorder="1" applyAlignment="1">
      <alignment horizontal="center"/>
    </xf>
    <xf numFmtId="14" fontId="14607" fillId="14611" borderId="14558" xfId="0" applyNumberFormat="1" applyFont="1" applyFill="1" applyBorder="1"/>
    <xf numFmtId="0" fontId="14608" fillId="14612" borderId="14559" xfId="0" applyFont="1" applyFill="1" applyBorder="1" applyAlignment="1">
      <alignment horizontal="center"/>
    </xf>
    <xf numFmtId="0" fontId="14609" fillId="14613" borderId="14560" xfId="0" applyFont="1" applyFill="1" applyBorder="1"/>
    <xf numFmtId="0" fontId="14610" fillId="14614" borderId="14561" xfId="0" applyFont="1" applyFill="1" applyBorder="1"/>
    <xf numFmtId="165" fontId="14611" fillId="14615" borderId="14562" xfId="0" applyNumberFormat="1" applyFont="1" applyFill="1" applyBorder="1"/>
    <xf numFmtId="165" fontId="14612" fillId="14616" borderId="14563" xfId="0" applyNumberFormat="1" applyFont="1" applyFill="1" applyBorder="1"/>
    <xf numFmtId="169" fontId="14613" fillId="14617" borderId="14564" xfId="0" applyNumberFormat="1" applyFont="1" applyFill="1" applyBorder="1"/>
    <xf numFmtId="168" fontId="14614" fillId="14618" borderId="14565" xfId="0" applyNumberFormat="1" applyFont="1" applyFill="1" applyBorder="1"/>
    <xf numFmtId="165" fontId="14615" fillId="14619" borderId="14566" xfId="0" applyNumberFormat="1" applyFont="1" applyFill="1" applyBorder="1"/>
    <xf numFmtId="0" fontId="14616" fillId="14620" borderId="14567" xfId="0" applyFont="1" applyFill="1" applyBorder="1" applyAlignment="1">
      <alignment horizontal="center"/>
    </xf>
    <xf numFmtId="0" fontId="14617" fillId="14621" borderId="14568" xfId="0" applyFont="1" applyFill="1" applyBorder="1" applyAlignment="1">
      <alignment horizontal="center"/>
    </xf>
    <xf numFmtId="0" fontId="14618" fillId="14622" borderId="14569" xfId="0" applyFont="1" applyFill="1" applyBorder="1"/>
    <xf numFmtId="165" fontId="14619" fillId="14623" borderId="14570" xfId="0" applyNumberFormat="1" applyFont="1" applyFill="1" applyBorder="1"/>
    <xf numFmtId="0" fontId="14620" fillId="14624" borderId="14571" xfId="0" applyFont="1" applyFill="1" applyBorder="1"/>
    <xf numFmtId="0" fontId="14621" fillId="14625" borderId="14572" xfId="0" applyFont="1" applyFill="1" applyBorder="1" applyAlignment="1">
      <alignment horizontal="center"/>
    </xf>
    <xf numFmtId="14" fontId="14622" fillId="14626" borderId="14573" xfId="0" applyNumberFormat="1" applyFont="1" applyFill="1" applyBorder="1"/>
    <xf numFmtId="0" fontId="14623" fillId="14627" borderId="14574" xfId="0" applyFont="1" applyFill="1" applyBorder="1" applyAlignment="1">
      <alignment horizontal="center"/>
    </xf>
    <xf numFmtId="0" fontId="14624" fillId="14628" borderId="14575" xfId="0" applyFont="1" applyFill="1" applyBorder="1"/>
    <xf numFmtId="0" fontId="14625" fillId="14629" borderId="14576" xfId="0" applyFont="1" applyFill="1" applyBorder="1"/>
    <xf numFmtId="165" fontId="14626" fillId="14630" borderId="14577" xfId="0" applyNumberFormat="1" applyFont="1" applyFill="1" applyBorder="1"/>
    <xf numFmtId="165" fontId="14627" fillId="14631" borderId="14578" xfId="0" applyNumberFormat="1" applyFont="1" applyFill="1" applyBorder="1"/>
    <xf numFmtId="169" fontId="14628" fillId="14632" borderId="14579" xfId="0" applyNumberFormat="1" applyFont="1" applyFill="1" applyBorder="1"/>
    <xf numFmtId="168" fontId="14629" fillId="14633" borderId="14580" xfId="0" applyNumberFormat="1" applyFont="1" applyFill="1" applyBorder="1"/>
    <xf numFmtId="165" fontId="14630" fillId="14634" borderId="14581" xfId="0" applyNumberFormat="1" applyFont="1" applyFill="1" applyBorder="1"/>
    <xf numFmtId="0" fontId="14631" fillId="14635" borderId="14582" xfId="0" applyFont="1" applyFill="1" applyBorder="1" applyAlignment="1">
      <alignment horizontal="center"/>
    </xf>
    <xf numFmtId="0" fontId="14632" fillId="14636" borderId="14583" xfId="0" applyFont="1" applyFill="1" applyBorder="1" applyAlignment="1">
      <alignment horizontal="center"/>
    </xf>
    <xf numFmtId="0" fontId="14633" fillId="14637" borderId="14584" xfId="0" applyFont="1" applyFill="1" applyBorder="1"/>
    <xf numFmtId="165" fontId="14634" fillId="14638" borderId="14585" xfId="0" applyNumberFormat="1" applyFont="1" applyFill="1" applyBorder="1"/>
    <xf numFmtId="0" fontId="14635" fillId="14639" borderId="14586" xfId="0" applyFont="1" applyFill="1" applyBorder="1"/>
    <xf numFmtId="0" fontId="14636" fillId="14640" borderId="14587" xfId="0" applyFont="1" applyFill="1" applyBorder="1" applyAlignment="1">
      <alignment horizontal="center"/>
    </xf>
    <xf numFmtId="14" fontId="14637" fillId="14641" borderId="14588" xfId="0" applyNumberFormat="1" applyFont="1" applyFill="1" applyBorder="1"/>
    <xf numFmtId="0" fontId="14638" fillId="14642" borderId="14589" xfId="0" applyFont="1" applyFill="1" applyBorder="1" applyAlignment="1">
      <alignment horizontal="center"/>
    </xf>
    <xf numFmtId="0" fontId="14639" fillId="14643" borderId="14590" xfId="0" applyFont="1" applyFill="1" applyBorder="1"/>
    <xf numFmtId="0" fontId="14640" fillId="14644" borderId="14591" xfId="0" applyFont="1" applyFill="1" applyBorder="1"/>
    <xf numFmtId="165" fontId="14641" fillId="14645" borderId="14592" xfId="0" applyNumberFormat="1" applyFont="1" applyFill="1" applyBorder="1"/>
    <xf numFmtId="165" fontId="14642" fillId="14646" borderId="14593" xfId="0" applyNumberFormat="1" applyFont="1" applyFill="1" applyBorder="1"/>
    <xf numFmtId="169" fontId="14643" fillId="14647" borderId="14594" xfId="0" applyNumberFormat="1" applyFont="1" applyFill="1" applyBorder="1"/>
    <xf numFmtId="168" fontId="14644" fillId="14648" borderId="14595" xfId="0" applyNumberFormat="1" applyFont="1" applyFill="1" applyBorder="1"/>
    <xf numFmtId="165" fontId="14645" fillId="14649" borderId="14596" xfId="0" applyNumberFormat="1" applyFont="1" applyFill="1" applyBorder="1"/>
    <xf numFmtId="0" fontId="14646" fillId="14650" borderId="14597" xfId="0" applyFont="1" applyFill="1" applyBorder="1" applyAlignment="1">
      <alignment horizontal="center"/>
    </xf>
    <xf numFmtId="0" fontId="14647" fillId="14651" borderId="14598" xfId="0" applyFont="1" applyFill="1" applyBorder="1" applyAlignment="1">
      <alignment horizontal="center"/>
    </xf>
    <xf numFmtId="0" fontId="14648" fillId="14652" borderId="14599" xfId="0" applyFont="1" applyFill="1" applyBorder="1"/>
    <xf numFmtId="165" fontId="14649" fillId="14653" borderId="14600" xfId="0" applyNumberFormat="1" applyFont="1" applyFill="1" applyBorder="1"/>
    <xf numFmtId="0" fontId="14650" fillId="14654" borderId="14601" xfId="0" applyFont="1" applyFill="1" applyBorder="1"/>
    <xf numFmtId="0" fontId="14651" fillId="14655" borderId="14602" xfId="0" applyFont="1" applyFill="1" applyBorder="1" applyAlignment="1">
      <alignment horizontal="center"/>
    </xf>
    <xf numFmtId="14" fontId="14652" fillId="14656" borderId="14603" xfId="0" applyNumberFormat="1" applyFont="1" applyFill="1" applyBorder="1"/>
    <xf numFmtId="0" fontId="14653" fillId="14657" borderId="14604" xfId="0" applyFont="1" applyFill="1" applyBorder="1" applyAlignment="1">
      <alignment horizontal="center"/>
    </xf>
    <xf numFmtId="0" fontId="14654" fillId="14658" borderId="14605" xfId="0" applyFont="1" applyFill="1" applyBorder="1"/>
    <xf numFmtId="0" fontId="14655" fillId="14659" borderId="14606" xfId="0" applyFont="1" applyFill="1" applyBorder="1"/>
    <xf numFmtId="165" fontId="14656" fillId="14660" borderId="14607" xfId="0" applyNumberFormat="1" applyFont="1" applyFill="1" applyBorder="1"/>
    <xf numFmtId="165" fontId="14657" fillId="14661" borderId="14608" xfId="0" applyNumberFormat="1" applyFont="1" applyFill="1" applyBorder="1"/>
    <xf numFmtId="169" fontId="14658" fillId="14662" borderId="14609" xfId="0" applyNumberFormat="1" applyFont="1" applyFill="1" applyBorder="1"/>
    <xf numFmtId="168" fontId="14659" fillId="14663" borderId="14610" xfId="0" applyNumberFormat="1" applyFont="1" applyFill="1" applyBorder="1"/>
    <xf numFmtId="165" fontId="14660" fillId="14664" borderId="14611" xfId="0" applyNumberFormat="1" applyFont="1" applyFill="1" applyBorder="1"/>
    <xf numFmtId="0" fontId="14661" fillId="14665" borderId="14612" xfId="0" applyFont="1" applyFill="1" applyBorder="1" applyAlignment="1">
      <alignment horizontal="center"/>
    </xf>
    <xf numFmtId="0" fontId="14662" fillId="14666" borderId="14613" xfId="0" applyFont="1" applyFill="1" applyBorder="1" applyAlignment="1">
      <alignment horizontal="center"/>
    </xf>
    <xf numFmtId="0" fontId="14663" fillId="14667" borderId="14614" xfId="0" applyFont="1" applyFill="1" applyBorder="1"/>
    <xf numFmtId="165" fontId="14664" fillId="14668" borderId="14615" xfId="0" applyNumberFormat="1" applyFont="1" applyFill="1" applyBorder="1"/>
    <xf numFmtId="0" fontId="14665" fillId="14669" borderId="14616" xfId="0" applyFont="1" applyFill="1" applyBorder="1"/>
    <xf numFmtId="0" fontId="14666" fillId="14670" borderId="14617" xfId="0" applyFont="1" applyFill="1" applyBorder="1" applyAlignment="1">
      <alignment horizontal="center"/>
    </xf>
    <xf numFmtId="14" fontId="14667" fillId="14671" borderId="14618" xfId="0" applyNumberFormat="1" applyFont="1" applyFill="1" applyBorder="1"/>
    <xf numFmtId="0" fontId="14668" fillId="14672" borderId="14619" xfId="0" applyFont="1" applyFill="1" applyBorder="1" applyAlignment="1">
      <alignment horizontal="center"/>
    </xf>
    <xf numFmtId="0" fontId="14669" fillId="14673" borderId="14620" xfId="0" applyFont="1" applyFill="1" applyBorder="1"/>
    <xf numFmtId="0" fontId="14670" fillId="14674" borderId="14621" xfId="0" applyFont="1" applyFill="1" applyBorder="1"/>
    <xf numFmtId="165" fontId="14671" fillId="14675" borderId="14622" xfId="0" applyNumberFormat="1" applyFont="1" applyFill="1" applyBorder="1"/>
    <xf numFmtId="165" fontId="14672" fillId="14676" borderId="14623" xfId="0" applyNumberFormat="1" applyFont="1" applyFill="1" applyBorder="1"/>
    <xf numFmtId="169" fontId="14673" fillId="14677" borderId="14624" xfId="0" applyNumberFormat="1" applyFont="1" applyFill="1" applyBorder="1"/>
    <xf numFmtId="168" fontId="14674" fillId="14678" borderId="14625" xfId="0" applyNumberFormat="1" applyFont="1" applyFill="1" applyBorder="1"/>
    <xf numFmtId="165" fontId="14675" fillId="14679" borderId="14626" xfId="0" applyNumberFormat="1" applyFont="1" applyFill="1" applyBorder="1"/>
    <xf numFmtId="0" fontId="14676" fillId="14680" borderId="14627" xfId="0" applyFont="1" applyFill="1" applyBorder="1" applyAlignment="1">
      <alignment horizontal="center"/>
    </xf>
    <xf numFmtId="0" fontId="14677" fillId="14681" borderId="14628" xfId="0" applyFont="1" applyFill="1" applyBorder="1" applyAlignment="1">
      <alignment horizontal="center"/>
    </xf>
    <xf numFmtId="0" fontId="14678" fillId="14682" borderId="14629" xfId="0" applyFont="1" applyFill="1" applyBorder="1"/>
    <xf numFmtId="165" fontId="14679" fillId="14683" borderId="14630" xfId="0" applyNumberFormat="1" applyFont="1" applyFill="1" applyBorder="1"/>
    <xf numFmtId="0" fontId="14680" fillId="14684" borderId="14631" xfId="0" applyFont="1" applyFill="1" applyBorder="1"/>
    <xf numFmtId="0" fontId="14681" fillId="14685" borderId="14632" xfId="0" applyFont="1" applyFill="1" applyBorder="1" applyAlignment="1">
      <alignment horizontal="center"/>
    </xf>
    <xf numFmtId="14" fontId="14682" fillId="14686" borderId="14633" xfId="0" applyNumberFormat="1" applyFont="1" applyFill="1" applyBorder="1"/>
    <xf numFmtId="0" fontId="14683" fillId="14687" borderId="14634" xfId="0" applyFont="1" applyFill="1" applyBorder="1" applyAlignment="1">
      <alignment horizontal="center"/>
    </xf>
    <xf numFmtId="0" fontId="14684" fillId="14688" borderId="14635" xfId="0" applyFont="1" applyFill="1" applyBorder="1"/>
    <xf numFmtId="0" fontId="14685" fillId="14689" borderId="14636" xfId="0" applyFont="1" applyFill="1" applyBorder="1"/>
    <xf numFmtId="165" fontId="14686" fillId="14690" borderId="14637" xfId="0" applyNumberFormat="1" applyFont="1" applyFill="1" applyBorder="1"/>
    <xf numFmtId="165" fontId="14687" fillId="14691" borderId="14638" xfId="0" applyNumberFormat="1" applyFont="1" applyFill="1" applyBorder="1"/>
    <xf numFmtId="169" fontId="14688" fillId="14692" borderId="14639" xfId="0" applyNumberFormat="1" applyFont="1" applyFill="1" applyBorder="1"/>
    <xf numFmtId="168" fontId="14689" fillId="14693" borderId="14640" xfId="0" applyNumberFormat="1" applyFont="1" applyFill="1" applyBorder="1"/>
    <xf numFmtId="165" fontId="14690" fillId="14694" borderId="14641" xfId="0" applyNumberFormat="1" applyFont="1" applyFill="1" applyBorder="1"/>
    <xf numFmtId="0" fontId="14691" fillId="14695" borderId="14642" xfId="0" applyFont="1" applyFill="1" applyBorder="1" applyAlignment="1">
      <alignment horizontal="center"/>
    </xf>
    <xf numFmtId="0" fontId="14692" fillId="14696" borderId="14643" xfId="0" applyFont="1" applyFill="1" applyBorder="1" applyAlignment="1">
      <alignment horizontal="center"/>
    </xf>
    <xf numFmtId="0" fontId="14693" fillId="14697" borderId="14644" xfId="0" applyFont="1" applyFill="1" applyBorder="1"/>
    <xf numFmtId="165" fontId="14694" fillId="14698" borderId="14645" xfId="0" applyNumberFormat="1" applyFont="1" applyFill="1" applyBorder="1"/>
    <xf numFmtId="0" fontId="14695" fillId="14699" borderId="14646" xfId="0" applyFont="1" applyFill="1" applyBorder="1"/>
    <xf numFmtId="0" fontId="14696" fillId="14700" borderId="14647" xfId="0" applyFont="1" applyFill="1" applyBorder="1" applyAlignment="1">
      <alignment horizontal="center"/>
    </xf>
    <xf numFmtId="14" fontId="14697" fillId="14701" borderId="14648" xfId="0" applyNumberFormat="1" applyFont="1" applyFill="1" applyBorder="1"/>
    <xf numFmtId="0" fontId="14698" fillId="14702" borderId="14649" xfId="0" applyFont="1" applyFill="1" applyBorder="1" applyAlignment="1">
      <alignment horizontal="center"/>
    </xf>
    <xf numFmtId="0" fontId="14699" fillId="14703" borderId="14650" xfId="0" applyFont="1" applyFill="1" applyBorder="1"/>
    <xf numFmtId="0" fontId="14700" fillId="14704" borderId="14651" xfId="0" applyFont="1" applyFill="1" applyBorder="1"/>
    <xf numFmtId="165" fontId="14701" fillId="14705" borderId="14652" xfId="0" applyNumberFormat="1" applyFont="1" applyFill="1" applyBorder="1"/>
    <xf numFmtId="165" fontId="14702" fillId="14706" borderId="14653" xfId="0" applyNumberFormat="1" applyFont="1" applyFill="1" applyBorder="1"/>
    <xf numFmtId="169" fontId="14703" fillId="14707" borderId="14654" xfId="0" applyNumberFormat="1" applyFont="1" applyFill="1" applyBorder="1"/>
    <xf numFmtId="168" fontId="14704" fillId="14708" borderId="14655" xfId="0" applyNumberFormat="1" applyFont="1" applyFill="1" applyBorder="1"/>
    <xf numFmtId="165" fontId="14705" fillId="14709" borderId="14656" xfId="0" applyNumberFormat="1" applyFont="1" applyFill="1" applyBorder="1"/>
    <xf numFmtId="0" fontId="14706" fillId="14710" borderId="14657" xfId="0" applyFont="1" applyFill="1" applyBorder="1" applyAlignment="1">
      <alignment horizontal="center"/>
    </xf>
    <xf numFmtId="0" fontId="14707" fillId="14711" borderId="14658" xfId="0" applyFont="1" applyFill="1" applyBorder="1" applyAlignment="1">
      <alignment horizontal="center"/>
    </xf>
    <xf numFmtId="0" fontId="14708" fillId="14712" borderId="14659" xfId="0" applyFont="1" applyFill="1" applyBorder="1"/>
    <xf numFmtId="165" fontId="14709" fillId="14713" borderId="14660" xfId="0" applyNumberFormat="1" applyFont="1" applyFill="1" applyBorder="1"/>
    <xf numFmtId="0" fontId="14710" fillId="14714" borderId="14661" xfId="0" applyFont="1" applyFill="1" applyBorder="1"/>
    <xf numFmtId="0" fontId="14711" fillId="14715" borderId="14662" xfId="0" applyFont="1" applyFill="1" applyBorder="1" applyAlignment="1">
      <alignment horizontal="center"/>
    </xf>
    <xf numFmtId="14" fontId="14712" fillId="14716" borderId="14663" xfId="0" applyNumberFormat="1" applyFont="1" applyFill="1" applyBorder="1"/>
    <xf numFmtId="0" fontId="14713" fillId="14717" borderId="14664" xfId="0" applyFont="1" applyFill="1" applyBorder="1" applyAlignment="1">
      <alignment horizontal="center"/>
    </xf>
    <xf numFmtId="0" fontId="14714" fillId="14718" borderId="14665" xfId="0" applyFont="1" applyFill="1" applyBorder="1"/>
    <xf numFmtId="0" fontId="14715" fillId="14719" borderId="14666" xfId="0" applyFont="1" applyFill="1" applyBorder="1"/>
    <xf numFmtId="165" fontId="14716" fillId="14720" borderId="14667" xfId="0" applyNumberFormat="1" applyFont="1" applyFill="1" applyBorder="1"/>
    <xf numFmtId="165" fontId="14717" fillId="14721" borderId="14668" xfId="0" applyNumberFormat="1" applyFont="1" applyFill="1" applyBorder="1"/>
    <xf numFmtId="169" fontId="14718" fillId="14722" borderId="14669" xfId="0" applyNumberFormat="1" applyFont="1" applyFill="1" applyBorder="1"/>
    <xf numFmtId="168" fontId="14719" fillId="14723" borderId="14670" xfId="0" applyNumberFormat="1" applyFont="1" applyFill="1" applyBorder="1"/>
    <xf numFmtId="165" fontId="14720" fillId="14724" borderId="14671" xfId="0" applyNumberFormat="1" applyFont="1" applyFill="1" applyBorder="1"/>
    <xf numFmtId="0" fontId="14721" fillId="14725" borderId="14672" xfId="0" applyFont="1" applyFill="1" applyBorder="1" applyAlignment="1">
      <alignment horizontal="center"/>
    </xf>
    <xf numFmtId="0" fontId="14722" fillId="14726" borderId="14673" xfId="0" applyFont="1" applyFill="1" applyBorder="1" applyAlignment="1">
      <alignment horizontal="center"/>
    </xf>
    <xf numFmtId="0" fontId="14723" fillId="14727" borderId="14674" xfId="0" applyFont="1" applyFill="1" applyBorder="1"/>
    <xf numFmtId="165" fontId="14724" fillId="14728" borderId="14675" xfId="0" applyNumberFormat="1" applyFont="1" applyFill="1" applyBorder="1"/>
    <xf numFmtId="0" fontId="14725" fillId="14729" borderId="14676" xfId="0" applyFont="1" applyFill="1" applyBorder="1"/>
    <xf numFmtId="0" fontId="14726" fillId="14730" borderId="14677" xfId="0" applyFont="1" applyFill="1" applyBorder="1" applyAlignment="1">
      <alignment horizontal="center"/>
    </xf>
    <xf numFmtId="14" fontId="14727" fillId="14731" borderId="14678" xfId="0" applyNumberFormat="1" applyFont="1" applyFill="1" applyBorder="1"/>
    <xf numFmtId="0" fontId="14728" fillId="14732" borderId="14679" xfId="0" applyFont="1" applyFill="1" applyBorder="1" applyAlignment="1">
      <alignment horizontal="center"/>
    </xf>
    <xf numFmtId="0" fontId="14729" fillId="14733" borderId="14680" xfId="0" applyFont="1" applyFill="1" applyBorder="1"/>
    <xf numFmtId="0" fontId="14730" fillId="14734" borderId="14681" xfId="0" applyFont="1" applyFill="1" applyBorder="1"/>
    <xf numFmtId="165" fontId="14731" fillId="14735" borderId="14682" xfId="0" applyNumberFormat="1" applyFont="1" applyFill="1" applyBorder="1"/>
    <xf numFmtId="165" fontId="14732" fillId="14736" borderId="14683" xfId="0" applyNumberFormat="1" applyFont="1" applyFill="1" applyBorder="1"/>
    <xf numFmtId="169" fontId="14733" fillId="14737" borderId="14684" xfId="0" applyNumberFormat="1" applyFont="1" applyFill="1" applyBorder="1"/>
    <xf numFmtId="168" fontId="14734" fillId="14738" borderId="14685" xfId="0" applyNumberFormat="1" applyFont="1" applyFill="1" applyBorder="1"/>
    <xf numFmtId="165" fontId="14735" fillId="14739" borderId="14686" xfId="0" applyNumberFormat="1" applyFont="1" applyFill="1" applyBorder="1"/>
    <xf numFmtId="0" fontId="14736" fillId="14740" borderId="14687" xfId="0" applyFont="1" applyFill="1" applyBorder="1" applyAlignment="1">
      <alignment horizontal="center"/>
    </xf>
    <xf numFmtId="0" fontId="14737" fillId="14741" borderId="14688" xfId="0" applyFont="1" applyFill="1" applyBorder="1" applyAlignment="1">
      <alignment horizontal="center"/>
    </xf>
    <xf numFmtId="0" fontId="14738" fillId="14742" borderId="14689" xfId="0" applyFont="1" applyFill="1" applyBorder="1"/>
    <xf numFmtId="165" fontId="14739" fillId="14743" borderId="14690" xfId="0" applyNumberFormat="1" applyFont="1" applyFill="1" applyBorder="1"/>
    <xf numFmtId="0" fontId="14740" fillId="14744" borderId="14691" xfId="0" applyFont="1" applyFill="1" applyBorder="1"/>
    <xf numFmtId="0" fontId="14741" fillId="14745" borderId="14692" xfId="0" applyFont="1" applyFill="1" applyBorder="1" applyAlignment="1">
      <alignment horizontal="center"/>
    </xf>
    <xf numFmtId="14" fontId="14742" fillId="14746" borderId="14693" xfId="0" applyNumberFormat="1" applyFont="1" applyFill="1" applyBorder="1"/>
    <xf numFmtId="0" fontId="14743" fillId="14747" borderId="14694" xfId="0" applyFont="1" applyFill="1" applyBorder="1" applyAlignment="1">
      <alignment horizontal="center"/>
    </xf>
    <xf numFmtId="0" fontId="14744" fillId="14748" borderId="14695" xfId="0" applyFont="1" applyFill="1" applyBorder="1"/>
    <xf numFmtId="0" fontId="14745" fillId="14749" borderId="14696" xfId="0" applyFont="1" applyFill="1" applyBorder="1"/>
    <xf numFmtId="165" fontId="14746" fillId="14750" borderId="14697" xfId="0" applyNumberFormat="1" applyFont="1" applyFill="1" applyBorder="1"/>
    <xf numFmtId="165" fontId="14747" fillId="14751" borderId="14698" xfId="0" applyNumberFormat="1" applyFont="1" applyFill="1" applyBorder="1"/>
    <xf numFmtId="169" fontId="14748" fillId="14752" borderId="14699" xfId="0" applyNumberFormat="1" applyFont="1" applyFill="1" applyBorder="1"/>
    <xf numFmtId="168" fontId="14749" fillId="14753" borderId="14700" xfId="0" applyNumberFormat="1" applyFont="1" applyFill="1" applyBorder="1"/>
    <xf numFmtId="165" fontId="14750" fillId="14754" borderId="14701" xfId="0" applyNumberFormat="1" applyFont="1" applyFill="1" applyBorder="1"/>
    <xf numFmtId="0" fontId="14751" fillId="14755" borderId="14702" xfId="0" applyFont="1" applyFill="1" applyBorder="1" applyAlignment="1">
      <alignment horizontal="center"/>
    </xf>
    <xf numFmtId="0" fontId="14752" fillId="14756" borderId="14703" xfId="0" applyFont="1" applyFill="1" applyBorder="1" applyAlignment="1">
      <alignment horizontal="center"/>
    </xf>
    <xf numFmtId="0" fontId="14753" fillId="14757" borderId="14704" xfId="0" applyFont="1" applyFill="1" applyBorder="1"/>
    <xf numFmtId="165" fontId="14754" fillId="14758" borderId="14705" xfId="0" applyNumberFormat="1" applyFont="1" applyFill="1" applyBorder="1"/>
    <xf numFmtId="0" fontId="14755" fillId="14759" borderId="14706" xfId="0" applyFont="1" applyFill="1" applyBorder="1"/>
    <xf numFmtId="0" fontId="14756" fillId="14760" borderId="14707" xfId="0" applyFont="1" applyFill="1" applyBorder="1" applyAlignment="1">
      <alignment horizontal="center"/>
    </xf>
    <xf numFmtId="14" fontId="14757" fillId="14761" borderId="14708" xfId="0" applyNumberFormat="1" applyFont="1" applyFill="1" applyBorder="1"/>
    <xf numFmtId="0" fontId="14758" fillId="14762" borderId="14709" xfId="0" applyFont="1" applyFill="1" applyBorder="1" applyAlignment="1">
      <alignment horizontal="center"/>
    </xf>
    <xf numFmtId="0" fontId="14759" fillId="14763" borderId="14710" xfId="0" applyFont="1" applyFill="1" applyBorder="1"/>
    <xf numFmtId="0" fontId="14760" fillId="14764" borderId="14711" xfId="0" applyFont="1" applyFill="1" applyBorder="1"/>
    <xf numFmtId="165" fontId="14761" fillId="14765" borderId="14712" xfId="0" applyNumberFormat="1" applyFont="1" applyFill="1" applyBorder="1"/>
    <xf numFmtId="165" fontId="14762" fillId="14766" borderId="14713" xfId="0" applyNumberFormat="1" applyFont="1" applyFill="1" applyBorder="1"/>
    <xf numFmtId="169" fontId="14763" fillId="14767" borderId="14714" xfId="0" applyNumberFormat="1" applyFont="1" applyFill="1" applyBorder="1"/>
    <xf numFmtId="168" fontId="14764" fillId="14768" borderId="14715" xfId="0" applyNumberFormat="1" applyFont="1" applyFill="1" applyBorder="1"/>
    <xf numFmtId="165" fontId="14765" fillId="14769" borderId="14716" xfId="0" applyNumberFormat="1" applyFont="1" applyFill="1" applyBorder="1"/>
    <xf numFmtId="0" fontId="14766" fillId="14770" borderId="14717" xfId="0" applyFont="1" applyFill="1" applyBorder="1" applyAlignment="1">
      <alignment horizontal="center"/>
    </xf>
    <xf numFmtId="0" fontId="14767" fillId="14771" borderId="14718" xfId="0" applyFont="1" applyFill="1" applyBorder="1" applyAlignment="1">
      <alignment horizontal="center"/>
    </xf>
    <xf numFmtId="0" fontId="14768" fillId="14772" borderId="14719" xfId="0" applyFont="1" applyFill="1" applyBorder="1"/>
    <xf numFmtId="165" fontId="14769" fillId="14773" borderId="14720" xfId="0" applyNumberFormat="1" applyFont="1" applyFill="1" applyBorder="1"/>
    <xf numFmtId="0" fontId="14770" fillId="14774" borderId="14721" xfId="0" applyFont="1" applyFill="1" applyBorder="1"/>
    <xf numFmtId="0" fontId="14771" fillId="14775" borderId="14722" xfId="0" applyFont="1" applyFill="1" applyBorder="1" applyAlignment="1">
      <alignment horizontal="center"/>
    </xf>
    <xf numFmtId="14" fontId="14772" fillId="14776" borderId="14723" xfId="0" applyNumberFormat="1" applyFont="1" applyFill="1" applyBorder="1"/>
    <xf numFmtId="0" fontId="14773" fillId="14777" borderId="14724" xfId="0" applyFont="1" applyFill="1" applyBorder="1" applyAlignment="1">
      <alignment horizontal="center"/>
    </xf>
    <xf numFmtId="0" fontId="14774" fillId="14778" borderId="14725" xfId="0" applyFont="1" applyFill="1" applyBorder="1"/>
    <xf numFmtId="0" fontId="14775" fillId="14779" borderId="14726" xfId="0" applyFont="1" applyFill="1" applyBorder="1"/>
    <xf numFmtId="165" fontId="14776" fillId="14780" borderId="14727" xfId="0" applyNumberFormat="1" applyFont="1" applyFill="1" applyBorder="1"/>
    <xf numFmtId="165" fontId="14777" fillId="14781" borderId="14728" xfId="0" applyNumberFormat="1" applyFont="1" applyFill="1" applyBorder="1"/>
    <xf numFmtId="169" fontId="14778" fillId="14782" borderId="14729" xfId="0" applyNumberFormat="1" applyFont="1" applyFill="1" applyBorder="1"/>
    <xf numFmtId="168" fontId="14779" fillId="14783" borderId="14730" xfId="0" applyNumberFormat="1" applyFont="1" applyFill="1" applyBorder="1"/>
    <xf numFmtId="165" fontId="14780" fillId="14784" borderId="14731" xfId="0" applyNumberFormat="1" applyFont="1" applyFill="1" applyBorder="1"/>
    <xf numFmtId="0" fontId="14781" fillId="14785" borderId="14732" xfId="0" applyFont="1" applyFill="1" applyBorder="1" applyAlignment="1">
      <alignment horizontal="center"/>
    </xf>
    <xf numFmtId="0" fontId="14782" fillId="14786" borderId="14733" xfId="0" applyFont="1" applyFill="1" applyBorder="1" applyAlignment="1">
      <alignment horizontal="center"/>
    </xf>
    <xf numFmtId="0" fontId="14783" fillId="14787" borderId="14734" xfId="0" applyFont="1" applyFill="1" applyBorder="1"/>
    <xf numFmtId="165" fontId="14784" fillId="14788" borderId="14735" xfId="0" applyNumberFormat="1" applyFont="1" applyFill="1" applyBorder="1"/>
    <xf numFmtId="0" fontId="14785" fillId="14789" borderId="14736" xfId="0" applyFont="1" applyFill="1" applyBorder="1"/>
    <xf numFmtId="0" fontId="14786" fillId="14790" borderId="14737" xfId="0" applyFont="1" applyFill="1" applyBorder="1" applyAlignment="1">
      <alignment horizontal="center"/>
    </xf>
    <xf numFmtId="14" fontId="14787" fillId="14791" borderId="14738" xfId="0" applyNumberFormat="1" applyFont="1" applyFill="1" applyBorder="1"/>
    <xf numFmtId="0" fontId="14788" fillId="14792" borderId="14739" xfId="0" applyFont="1" applyFill="1" applyBorder="1" applyAlignment="1">
      <alignment horizontal="center"/>
    </xf>
    <xf numFmtId="0" fontId="14789" fillId="14793" borderId="14740" xfId="0" applyFont="1" applyFill="1" applyBorder="1"/>
    <xf numFmtId="0" fontId="14790" fillId="14794" borderId="14741" xfId="0" applyFont="1" applyFill="1" applyBorder="1"/>
    <xf numFmtId="165" fontId="14791" fillId="14795" borderId="14742" xfId="0" applyNumberFormat="1" applyFont="1" applyFill="1" applyBorder="1"/>
    <xf numFmtId="165" fontId="14792" fillId="14796" borderId="14743" xfId="0" applyNumberFormat="1" applyFont="1" applyFill="1" applyBorder="1"/>
    <xf numFmtId="169" fontId="14793" fillId="14797" borderId="14744" xfId="0" applyNumberFormat="1" applyFont="1" applyFill="1" applyBorder="1"/>
    <xf numFmtId="168" fontId="14794" fillId="14798" borderId="14745" xfId="0" applyNumberFormat="1" applyFont="1" applyFill="1" applyBorder="1"/>
    <xf numFmtId="165" fontId="14795" fillId="14799" borderId="14746" xfId="0" applyNumberFormat="1" applyFont="1" applyFill="1" applyBorder="1"/>
    <xf numFmtId="0" fontId="14796" fillId="14800" borderId="14747" xfId="0" applyFont="1" applyFill="1" applyBorder="1" applyAlignment="1">
      <alignment horizontal="center"/>
    </xf>
    <xf numFmtId="0" fontId="14797" fillId="14801" borderId="14748" xfId="0" applyFont="1" applyFill="1" applyBorder="1" applyAlignment="1">
      <alignment horizontal="center"/>
    </xf>
    <xf numFmtId="0" fontId="14798" fillId="14802" borderId="14749" xfId="0" applyFont="1" applyFill="1" applyBorder="1"/>
    <xf numFmtId="165" fontId="14799" fillId="14803" borderId="14750" xfId="0" applyNumberFormat="1" applyFont="1" applyFill="1" applyBorder="1"/>
    <xf numFmtId="0" fontId="14800" fillId="14804" borderId="14751" xfId="0" applyFont="1" applyFill="1" applyBorder="1"/>
    <xf numFmtId="0" fontId="14801" fillId="14805" borderId="14752" xfId="0" applyFont="1" applyFill="1" applyBorder="1" applyAlignment="1">
      <alignment horizontal="center"/>
    </xf>
    <xf numFmtId="14" fontId="14802" fillId="14806" borderId="14753" xfId="0" applyNumberFormat="1" applyFont="1" applyFill="1" applyBorder="1"/>
    <xf numFmtId="0" fontId="14803" fillId="14807" borderId="14754" xfId="0" applyFont="1" applyFill="1" applyBorder="1" applyAlignment="1">
      <alignment horizontal="center"/>
    </xf>
    <xf numFmtId="0" fontId="14804" fillId="14808" borderId="14755" xfId="0" applyFont="1" applyFill="1" applyBorder="1"/>
    <xf numFmtId="0" fontId="14805" fillId="14809" borderId="14756" xfId="0" applyFont="1" applyFill="1" applyBorder="1"/>
    <xf numFmtId="165" fontId="14806" fillId="14810" borderId="14757" xfId="0" applyNumberFormat="1" applyFont="1" applyFill="1" applyBorder="1"/>
    <xf numFmtId="165" fontId="14807" fillId="14811" borderId="14758" xfId="0" applyNumberFormat="1" applyFont="1" applyFill="1" applyBorder="1"/>
    <xf numFmtId="169" fontId="14808" fillId="14812" borderId="14759" xfId="0" applyNumberFormat="1" applyFont="1" applyFill="1" applyBorder="1"/>
    <xf numFmtId="168" fontId="14809" fillId="14813" borderId="14760" xfId="0" applyNumberFormat="1" applyFont="1" applyFill="1" applyBorder="1"/>
    <xf numFmtId="165" fontId="14810" fillId="14814" borderId="14761" xfId="0" applyNumberFormat="1" applyFont="1" applyFill="1" applyBorder="1"/>
    <xf numFmtId="0" fontId="14811" fillId="14815" borderId="14762" xfId="0" applyFont="1" applyFill="1" applyBorder="1" applyAlignment="1">
      <alignment horizontal="center"/>
    </xf>
    <xf numFmtId="0" fontId="14812" fillId="14816" borderId="14763" xfId="0" applyFont="1" applyFill="1" applyBorder="1" applyAlignment="1">
      <alignment horizontal="center"/>
    </xf>
    <xf numFmtId="0" fontId="14813" fillId="14817" borderId="14764" xfId="0" applyFont="1" applyFill="1" applyBorder="1"/>
    <xf numFmtId="165" fontId="14814" fillId="14818" borderId="14765" xfId="0" applyNumberFormat="1" applyFont="1" applyFill="1" applyBorder="1"/>
    <xf numFmtId="0" fontId="14815" fillId="14819" borderId="14766" xfId="0" applyFont="1" applyFill="1" applyBorder="1"/>
    <xf numFmtId="0" fontId="14816" fillId="14820" borderId="14767" xfId="0" applyFont="1" applyFill="1" applyBorder="1" applyAlignment="1">
      <alignment horizontal="center"/>
    </xf>
    <xf numFmtId="14" fontId="14817" fillId="14821" borderId="14768" xfId="0" applyNumberFormat="1" applyFont="1" applyFill="1" applyBorder="1"/>
    <xf numFmtId="0" fontId="14818" fillId="14822" borderId="14769" xfId="0" applyFont="1" applyFill="1" applyBorder="1" applyAlignment="1">
      <alignment horizontal="center"/>
    </xf>
    <xf numFmtId="0" fontId="14819" fillId="14823" borderId="14770" xfId="0" applyFont="1" applyFill="1" applyBorder="1"/>
    <xf numFmtId="0" fontId="14820" fillId="14824" borderId="14771" xfId="0" applyFont="1" applyFill="1" applyBorder="1"/>
    <xf numFmtId="165" fontId="14821" fillId="14825" borderId="14772" xfId="0" applyNumberFormat="1" applyFont="1" applyFill="1" applyBorder="1"/>
    <xf numFmtId="165" fontId="14822" fillId="14826" borderId="14773" xfId="0" applyNumberFormat="1" applyFont="1" applyFill="1" applyBorder="1"/>
    <xf numFmtId="169" fontId="14823" fillId="14827" borderId="14774" xfId="0" applyNumberFormat="1" applyFont="1" applyFill="1" applyBorder="1"/>
    <xf numFmtId="168" fontId="14824" fillId="14828" borderId="14775" xfId="0" applyNumberFormat="1" applyFont="1" applyFill="1" applyBorder="1"/>
    <xf numFmtId="165" fontId="14825" fillId="14829" borderId="14776" xfId="0" applyNumberFormat="1" applyFont="1" applyFill="1" applyBorder="1"/>
    <xf numFmtId="0" fontId="14826" fillId="14830" borderId="14777" xfId="0" applyFont="1" applyFill="1" applyBorder="1" applyAlignment="1">
      <alignment horizontal="center"/>
    </xf>
    <xf numFmtId="0" fontId="14827" fillId="14831" borderId="14778" xfId="0" applyFont="1" applyFill="1" applyBorder="1" applyAlignment="1">
      <alignment horizontal="center"/>
    </xf>
    <xf numFmtId="0" fontId="14828" fillId="14832" borderId="14779" xfId="0" applyFont="1" applyFill="1" applyBorder="1"/>
    <xf numFmtId="165" fontId="14829" fillId="14833" borderId="14780" xfId="0" applyNumberFormat="1" applyFont="1" applyFill="1" applyBorder="1"/>
    <xf numFmtId="0" fontId="14830" fillId="14834" borderId="14781" xfId="0" applyFont="1" applyFill="1" applyBorder="1"/>
    <xf numFmtId="0" fontId="14831" fillId="14835" borderId="14782" xfId="0" applyFont="1" applyFill="1" applyBorder="1" applyAlignment="1">
      <alignment horizontal="center"/>
    </xf>
    <xf numFmtId="14" fontId="14832" fillId="14836" borderId="14783" xfId="0" applyNumberFormat="1" applyFont="1" applyFill="1" applyBorder="1"/>
    <xf numFmtId="0" fontId="14833" fillId="14837" borderId="14784" xfId="0" applyFont="1" applyFill="1" applyBorder="1" applyAlignment="1">
      <alignment horizontal="center"/>
    </xf>
    <xf numFmtId="0" fontId="14834" fillId="14838" borderId="14785" xfId="0" applyFont="1" applyFill="1" applyBorder="1"/>
    <xf numFmtId="0" fontId="14835" fillId="14839" borderId="14786" xfId="0" applyFont="1" applyFill="1" applyBorder="1"/>
    <xf numFmtId="165" fontId="14836" fillId="14840" borderId="14787" xfId="0" applyNumberFormat="1" applyFont="1" applyFill="1" applyBorder="1"/>
    <xf numFmtId="165" fontId="14837" fillId="14841" borderId="14788" xfId="0" applyNumberFormat="1" applyFont="1" applyFill="1" applyBorder="1"/>
    <xf numFmtId="169" fontId="14838" fillId="14842" borderId="14789" xfId="0" applyNumberFormat="1" applyFont="1" applyFill="1" applyBorder="1"/>
    <xf numFmtId="168" fontId="14839" fillId="14843" borderId="14790" xfId="0" applyNumberFormat="1" applyFont="1" applyFill="1" applyBorder="1"/>
    <xf numFmtId="165" fontId="14840" fillId="14844" borderId="14791" xfId="0" applyNumberFormat="1" applyFont="1" applyFill="1" applyBorder="1"/>
    <xf numFmtId="0" fontId="14841" fillId="14845" borderId="14792" xfId="0" applyFont="1" applyFill="1" applyBorder="1" applyAlignment="1">
      <alignment horizontal="center"/>
    </xf>
    <xf numFmtId="0" fontId="14842" fillId="14846" borderId="14793" xfId="0" applyFont="1" applyFill="1" applyBorder="1" applyAlignment="1">
      <alignment horizontal="center"/>
    </xf>
    <xf numFmtId="0" fontId="14843" fillId="14847" borderId="14794" xfId="0" applyFont="1" applyFill="1" applyBorder="1"/>
    <xf numFmtId="165" fontId="14844" fillId="14848" borderId="14795" xfId="0" applyNumberFormat="1" applyFont="1" applyFill="1" applyBorder="1"/>
    <xf numFmtId="0" fontId="14845" fillId="14849" borderId="14796" xfId="0" applyFont="1" applyFill="1" applyBorder="1"/>
    <xf numFmtId="0" fontId="14846" fillId="14850" borderId="14797" xfId="0" applyFont="1" applyFill="1" applyBorder="1" applyAlignment="1">
      <alignment horizontal="center"/>
    </xf>
    <xf numFmtId="14" fontId="14847" fillId="14851" borderId="14798" xfId="0" applyNumberFormat="1" applyFont="1" applyFill="1" applyBorder="1"/>
    <xf numFmtId="0" fontId="14848" fillId="14852" borderId="14799" xfId="0" applyFont="1" applyFill="1" applyBorder="1" applyAlignment="1">
      <alignment horizontal="center"/>
    </xf>
    <xf numFmtId="0" fontId="14849" fillId="14853" borderId="14800" xfId="0" applyFont="1" applyFill="1" applyBorder="1"/>
    <xf numFmtId="0" fontId="14850" fillId="14854" borderId="14801" xfId="0" applyFont="1" applyFill="1" applyBorder="1"/>
    <xf numFmtId="165" fontId="14851" fillId="14855" borderId="14802" xfId="0" applyNumberFormat="1" applyFont="1" applyFill="1" applyBorder="1"/>
    <xf numFmtId="165" fontId="14852" fillId="14856" borderId="14803" xfId="0" applyNumberFormat="1" applyFont="1" applyFill="1" applyBorder="1"/>
    <xf numFmtId="169" fontId="14853" fillId="14857" borderId="14804" xfId="0" applyNumberFormat="1" applyFont="1" applyFill="1" applyBorder="1"/>
    <xf numFmtId="168" fontId="14854" fillId="14858" borderId="14805" xfId="0" applyNumberFormat="1" applyFont="1" applyFill="1" applyBorder="1"/>
    <xf numFmtId="165" fontId="14855" fillId="14859" borderId="14806" xfId="0" applyNumberFormat="1" applyFont="1" applyFill="1" applyBorder="1"/>
    <xf numFmtId="0" fontId="14856" fillId="14860" borderId="14807" xfId="0" applyFont="1" applyFill="1" applyBorder="1" applyAlignment="1">
      <alignment horizontal="center"/>
    </xf>
    <xf numFmtId="0" fontId="14857" fillId="14861" borderId="14808" xfId="0" applyFont="1" applyFill="1" applyBorder="1" applyAlignment="1">
      <alignment horizontal="center"/>
    </xf>
    <xf numFmtId="0" fontId="14858" fillId="14862" borderId="14809" xfId="0" applyFont="1" applyFill="1" applyBorder="1"/>
    <xf numFmtId="165" fontId="14859" fillId="14863" borderId="14810" xfId="0" applyNumberFormat="1" applyFont="1" applyFill="1" applyBorder="1"/>
    <xf numFmtId="0" fontId="14860" fillId="14864" borderId="14811" xfId="0" applyFont="1" applyFill="1" applyBorder="1"/>
    <xf numFmtId="0" fontId="14861" fillId="14865" borderId="14812" xfId="0" applyFont="1" applyFill="1" applyBorder="1" applyAlignment="1">
      <alignment horizontal="center"/>
    </xf>
    <xf numFmtId="14" fontId="14862" fillId="14866" borderId="14813" xfId="0" applyNumberFormat="1" applyFont="1" applyFill="1" applyBorder="1"/>
    <xf numFmtId="0" fontId="14863" fillId="14867" borderId="14814" xfId="0" applyFont="1" applyFill="1" applyBorder="1" applyAlignment="1">
      <alignment horizontal="center"/>
    </xf>
    <xf numFmtId="0" fontId="14864" fillId="14868" borderId="14815" xfId="0" applyFont="1" applyFill="1" applyBorder="1"/>
    <xf numFmtId="0" fontId="14865" fillId="14869" borderId="14816" xfId="0" applyFont="1" applyFill="1" applyBorder="1"/>
    <xf numFmtId="165" fontId="14866" fillId="14870" borderId="14817" xfId="0" applyNumberFormat="1" applyFont="1" applyFill="1" applyBorder="1"/>
    <xf numFmtId="165" fontId="14867" fillId="14871" borderId="14818" xfId="0" applyNumberFormat="1" applyFont="1" applyFill="1" applyBorder="1"/>
    <xf numFmtId="169" fontId="14868" fillId="14872" borderId="14819" xfId="0" applyNumberFormat="1" applyFont="1" applyFill="1" applyBorder="1"/>
    <xf numFmtId="168" fontId="14869" fillId="14873" borderId="14820" xfId="0" applyNumberFormat="1" applyFont="1" applyFill="1" applyBorder="1"/>
    <xf numFmtId="165" fontId="14870" fillId="14874" borderId="14821" xfId="0" applyNumberFormat="1" applyFont="1" applyFill="1" applyBorder="1"/>
    <xf numFmtId="0" fontId="14871" fillId="14875" borderId="14822" xfId="0" applyFont="1" applyFill="1" applyBorder="1" applyAlignment="1">
      <alignment horizontal="center"/>
    </xf>
    <xf numFmtId="0" fontId="14872" fillId="14876" borderId="14823" xfId="0" applyFont="1" applyFill="1" applyBorder="1" applyAlignment="1">
      <alignment horizontal="center"/>
    </xf>
    <xf numFmtId="0" fontId="14873" fillId="14877" borderId="14824" xfId="0" applyFont="1" applyFill="1" applyBorder="1"/>
    <xf numFmtId="165" fontId="14874" fillId="14878" borderId="14825" xfId="0" applyNumberFormat="1" applyFont="1" applyFill="1" applyBorder="1"/>
    <xf numFmtId="0" fontId="14875" fillId="14879" borderId="14826" xfId="0" applyFont="1" applyFill="1" applyBorder="1"/>
    <xf numFmtId="0" fontId="14876" fillId="14880" borderId="14827" xfId="0" applyFont="1" applyFill="1" applyBorder="1" applyAlignment="1">
      <alignment horizontal="center"/>
    </xf>
    <xf numFmtId="14" fontId="14877" fillId="14881" borderId="14828" xfId="0" applyNumberFormat="1" applyFont="1" applyFill="1" applyBorder="1"/>
    <xf numFmtId="0" fontId="14878" fillId="14882" borderId="14829" xfId="0" applyFont="1" applyFill="1" applyBorder="1" applyAlignment="1">
      <alignment horizontal="center"/>
    </xf>
    <xf numFmtId="0" fontId="14879" fillId="14883" borderId="14830" xfId="0" applyFont="1" applyFill="1" applyBorder="1"/>
    <xf numFmtId="0" fontId="14880" fillId="14884" borderId="14831" xfId="0" applyFont="1" applyFill="1" applyBorder="1"/>
    <xf numFmtId="165" fontId="14881" fillId="14885" borderId="14832" xfId="0" applyNumberFormat="1" applyFont="1" applyFill="1" applyBorder="1"/>
    <xf numFmtId="165" fontId="14882" fillId="14886" borderId="14833" xfId="0" applyNumberFormat="1" applyFont="1" applyFill="1" applyBorder="1"/>
    <xf numFmtId="169" fontId="14883" fillId="14887" borderId="14834" xfId="0" applyNumberFormat="1" applyFont="1" applyFill="1" applyBorder="1"/>
    <xf numFmtId="168" fontId="14884" fillId="14888" borderId="14835" xfId="0" applyNumberFormat="1" applyFont="1" applyFill="1" applyBorder="1"/>
    <xf numFmtId="165" fontId="14885" fillId="14889" borderId="14836" xfId="0" applyNumberFormat="1" applyFont="1" applyFill="1" applyBorder="1"/>
    <xf numFmtId="0" fontId="14886" fillId="14890" borderId="14837" xfId="0" applyFont="1" applyFill="1" applyBorder="1" applyAlignment="1">
      <alignment horizontal="center"/>
    </xf>
    <xf numFmtId="0" fontId="14887" fillId="14891" borderId="14838" xfId="0" applyFont="1" applyFill="1" applyBorder="1" applyAlignment="1">
      <alignment horizontal="center"/>
    </xf>
    <xf numFmtId="0" fontId="14888" fillId="14892" borderId="14839" xfId="0" applyFont="1" applyFill="1" applyBorder="1"/>
    <xf numFmtId="165" fontId="14889" fillId="14893" borderId="14840" xfId="0" applyNumberFormat="1" applyFont="1" applyFill="1" applyBorder="1"/>
    <xf numFmtId="0" fontId="14890" fillId="14894" borderId="14841" xfId="0" applyFont="1" applyFill="1" applyBorder="1"/>
    <xf numFmtId="0" fontId="14891" fillId="14895" borderId="14842" xfId="0" applyFont="1" applyFill="1" applyBorder="1" applyAlignment="1">
      <alignment horizontal="center"/>
    </xf>
    <xf numFmtId="14" fontId="14892" fillId="14896" borderId="14843" xfId="0" applyNumberFormat="1" applyFont="1" applyFill="1" applyBorder="1"/>
    <xf numFmtId="0" fontId="14893" fillId="14897" borderId="14844" xfId="0" applyFont="1" applyFill="1" applyBorder="1" applyAlignment="1">
      <alignment horizontal="center"/>
    </xf>
    <xf numFmtId="0" fontId="14894" fillId="14898" borderId="14845" xfId="0" applyFont="1" applyFill="1" applyBorder="1"/>
    <xf numFmtId="0" fontId="14895" fillId="14899" borderId="14846" xfId="0" applyFont="1" applyFill="1" applyBorder="1"/>
    <xf numFmtId="165" fontId="14896" fillId="14900" borderId="14847" xfId="0" applyNumberFormat="1" applyFont="1" applyFill="1" applyBorder="1"/>
    <xf numFmtId="165" fontId="14897" fillId="14901" borderId="14848" xfId="0" applyNumberFormat="1" applyFont="1" applyFill="1" applyBorder="1"/>
    <xf numFmtId="169" fontId="14898" fillId="14902" borderId="14849" xfId="0" applyNumberFormat="1" applyFont="1" applyFill="1" applyBorder="1"/>
    <xf numFmtId="168" fontId="14899" fillId="14903" borderId="14850" xfId="0" applyNumberFormat="1" applyFont="1" applyFill="1" applyBorder="1"/>
    <xf numFmtId="165" fontId="14900" fillId="14904" borderId="14851" xfId="0" applyNumberFormat="1" applyFont="1" applyFill="1" applyBorder="1"/>
    <xf numFmtId="0" fontId="14901" fillId="14905" borderId="14852" xfId="0" applyFont="1" applyFill="1" applyBorder="1" applyAlignment="1">
      <alignment horizontal="center"/>
    </xf>
    <xf numFmtId="0" fontId="14902" fillId="14906" borderId="14853" xfId="0" applyFont="1" applyFill="1" applyBorder="1" applyAlignment="1">
      <alignment horizontal="center"/>
    </xf>
    <xf numFmtId="0" fontId="14903" fillId="14907" borderId="14854" xfId="0" applyFont="1" applyFill="1" applyBorder="1"/>
    <xf numFmtId="165" fontId="14904" fillId="14908" borderId="14855" xfId="0" applyNumberFormat="1" applyFont="1" applyFill="1" applyBorder="1"/>
    <xf numFmtId="0" fontId="14905" fillId="14909" borderId="14856" xfId="0" applyFont="1" applyFill="1" applyBorder="1"/>
    <xf numFmtId="0" fontId="14906" fillId="14910" borderId="14857" xfId="0" applyFont="1" applyFill="1" applyBorder="1" applyAlignment="1">
      <alignment horizontal="center"/>
    </xf>
    <xf numFmtId="14" fontId="14907" fillId="14911" borderId="14858" xfId="0" applyNumberFormat="1" applyFont="1" applyFill="1" applyBorder="1"/>
    <xf numFmtId="0" fontId="14908" fillId="14912" borderId="14859" xfId="0" applyFont="1" applyFill="1" applyBorder="1" applyAlignment="1">
      <alignment horizontal="center"/>
    </xf>
    <xf numFmtId="0" fontId="14909" fillId="14913" borderId="14860" xfId="0" applyFont="1" applyFill="1" applyBorder="1"/>
    <xf numFmtId="0" fontId="14910" fillId="14914" borderId="14861" xfId="0" applyFont="1" applyFill="1" applyBorder="1"/>
    <xf numFmtId="165" fontId="14911" fillId="14915" borderId="14862" xfId="0" applyNumberFormat="1" applyFont="1" applyFill="1" applyBorder="1"/>
    <xf numFmtId="165" fontId="14912" fillId="14916" borderId="14863" xfId="0" applyNumberFormat="1" applyFont="1" applyFill="1" applyBorder="1"/>
    <xf numFmtId="169" fontId="14913" fillId="14917" borderId="14864" xfId="0" applyNumberFormat="1" applyFont="1" applyFill="1" applyBorder="1"/>
    <xf numFmtId="168" fontId="14914" fillId="14918" borderId="14865" xfId="0" applyNumberFormat="1" applyFont="1" applyFill="1" applyBorder="1"/>
    <xf numFmtId="165" fontId="14915" fillId="14919" borderId="14866" xfId="0" applyNumberFormat="1" applyFont="1" applyFill="1" applyBorder="1"/>
    <xf numFmtId="0" fontId="14916" fillId="14920" borderId="14867" xfId="0" applyFont="1" applyFill="1" applyBorder="1" applyAlignment="1">
      <alignment horizontal="center"/>
    </xf>
    <xf numFmtId="0" fontId="14917" fillId="14921" borderId="14868" xfId="0" applyFont="1" applyFill="1" applyBorder="1" applyAlignment="1">
      <alignment horizontal="center"/>
    </xf>
    <xf numFmtId="0" fontId="14918" fillId="14922" borderId="14869" xfId="0" applyFont="1" applyFill="1" applyBorder="1"/>
    <xf numFmtId="165" fontId="14919" fillId="14923" borderId="14870" xfId="0" applyNumberFormat="1" applyFont="1" applyFill="1" applyBorder="1"/>
    <xf numFmtId="0" fontId="14920" fillId="14924" borderId="14871" xfId="0" applyFont="1" applyFill="1" applyBorder="1"/>
    <xf numFmtId="0" fontId="14921" fillId="14925" borderId="14872" xfId="0" applyFont="1" applyFill="1" applyBorder="1" applyAlignment="1">
      <alignment horizontal="center"/>
    </xf>
    <xf numFmtId="14" fontId="14922" fillId="14926" borderId="14873" xfId="0" applyNumberFormat="1" applyFont="1" applyFill="1" applyBorder="1"/>
    <xf numFmtId="0" fontId="14923" fillId="14927" borderId="14874" xfId="0" applyFont="1" applyFill="1" applyBorder="1" applyAlignment="1">
      <alignment horizontal="center"/>
    </xf>
    <xf numFmtId="0" fontId="14924" fillId="14928" borderId="14875" xfId="0" applyFont="1" applyFill="1" applyBorder="1"/>
    <xf numFmtId="0" fontId="14925" fillId="14929" borderId="14876" xfId="0" applyFont="1" applyFill="1" applyBorder="1"/>
    <xf numFmtId="165" fontId="14926" fillId="14930" borderId="14877" xfId="0" applyNumberFormat="1" applyFont="1" applyFill="1" applyBorder="1"/>
    <xf numFmtId="165" fontId="14927" fillId="14931" borderId="14878" xfId="0" applyNumberFormat="1" applyFont="1" applyFill="1" applyBorder="1"/>
    <xf numFmtId="169" fontId="14928" fillId="14932" borderId="14879" xfId="0" applyNumberFormat="1" applyFont="1" applyFill="1" applyBorder="1"/>
    <xf numFmtId="168" fontId="14929" fillId="14933" borderId="14880" xfId="0" applyNumberFormat="1" applyFont="1" applyFill="1" applyBorder="1"/>
    <xf numFmtId="165" fontId="14930" fillId="14934" borderId="14881" xfId="0" applyNumberFormat="1" applyFont="1" applyFill="1" applyBorder="1"/>
    <xf numFmtId="0" fontId="14931" fillId="14935" borderId="14882" xfId="0" applyFont="1" applyFill="1" applyBorder="1" applyAlignment="1">
      <alignment horizontal="center"/>
    </xf>
    <xf numFmtId="0" fontId="14932" fillId="14936" borderId="14883" xfId="0" applyFont="1" applyFill="1" applyBorder="1" applyAlignment="1">
      <alignment horizontal="center"/>
    </xf>
    <xf numFmtId="0" fontId="14933" fillId="14937" borderId="14884" xfId="0" applyFont="1" applyFill="1" applyBorder="1"/>
    <xf numFmtId="165" fontId="14934" fillId="14938" borderId="14885" xfId="0" applyNumberFormat="1" applyFont="1" applyFill="1" applyBorder="1"/>
    <xf numFmtId="0" fontId="14935" fillId="14939" borderId="14886" xfId="0" applyFont="1" applyFill="1" applyBorder="1"/>
    <xf numFmtId="0" fontId="14937" fillId="14941" borderId="14888" xfId="0" applyFont="1" applyFill="1" applyBorder="1" applyAlignment="1">
      <alignment wrapText="1"/>
    </xf>
    <xf numFmtId="0" fontId="14938" fillId="14942" borderId="14889" xfId="0" applyFont="1" applyFill="1" applyBorder="1" applyAlignment="1">
      <alignment wrapText="1"/>
    </xf>
    <xf numFmtId="0" fontId="14939" fillId="14943" borderId="14890" xfId="0" applyFont="1" applyFill="1" applyBorder="1" applyAlignment="1">
      <alignment wrapText="1"/>
    </xf>
    <xf numFmtId="0" fontId="14940" fillId="14944" borderId="14891" xfId="0" applyFont="1" applyFill="1" applyBorder="1" applyAlignment="1">
      <alignment wrapText="1"/>
    </xf>
    <xf numFmtId="0" fontId="14941" fillId="14945" borderId="14892" xfId="0" applyFont="1" applyFill="1" applyBorder="1" applyAlignment="1">
      <alignment wrapText="1"/>
    </xf>
    <xf numFmtId="0" fontId="14942" fillId="14946" borderId="14893" xfId="0" applyFont="1" applyFill="1" applyBorder="1" applyAlignment="1">
      <alignment wrapText="1"/>
    </xf>
    <xf numFmtId="0" fontId="14943" fillId="14947" borderId="14894" xfId="0" applyFont="1" applyFill="1" applyBorder="1" applyAlignment="1">
      <alignment wrapText="1"/>
    </xf>
    <xf numFmtId="0" fontId="14944" fillId="14948" borderId="14895" xfId="0" applyFont="1" applyFill="1" applyBorder="1" applyAlignment="1">
      <alignment wrapText="1"/>
    </xf>
    <xf numFmtId="0" fontId="14945" fillId="14949" borderId="14896" xfId="0" applyFont="1" applyFill="1" applyBorder="1" applyAlignment="1">
      <alignment wrapText="1"/>
    </xf>
    <xf numFmtId="0" fontId="14946" fillId="14950" borderId="14897" xfId="0" applyFont="1" applyFill="1" applyBorder="1" applyAlignment="1">
      <alignment wrapText="1"/>
    </xf>
    <xf numFmtId="0" fontId="14947" fillId="14951" borderId="14898" xfId="0" applyFont="1" applyFill="1" applyBorder="1" applyAlignment="1">
      <alignment horizontal="center"/>
    </xf>
    <xf numFmtId="0" fontId="14948" fillId="14952" borderId="14899" xfId="0" applyFont="1" applyFill="1" applyBorder="1"/>
    <xf numFmtId="0" fontId="14949" fillId="14953" borderId="14900" xfId="0" applyFont="1" applyFill="1" applyBorder="1"/>
    <xf numFmtId="0" fontId="14950" fillId="14954" borderId="14901" xfId="0" applyFont="1" applyFill="1" applyBorder="1"/>
    <xf numFmtId="3" fontId="14951" fillId="14955" borderId="14902" xfId="0" applyNumberFormat="1" applyFont="1" applyFill="1" applyBorder="1"/>
    <xf numFmtId="3" fontId="14952" fillId="14956" borderId="14903" xfId="0" applyNumberFormat="1" applyFont="1" applyFill="1" applyBorder="1"/>
    <xf numFmtId="14" fontId="14953" fillId="14957" borderId="14904" xfId="0" applyNumberFormat="1" applyFont="1" applyFill="1" applyBorder="1"/>
    <xf numFmtId="4" fontId="14954" fillId="14958" borderId="14905" xfId="0" applyNumberFormat="1" applyFont="1" applyFill="1" applyBorder="1"/>
    <xf numFmtId="4" fontId="14955" fillId="14959" borderId="14906" xfId="0" applyNumberFormat="1" applyFont="1" applyFill="1" applyBorder="1"/>
    <xf numFmtId="0" fontId="14956" fillId="14960" borderId="14907" xfId="0" applyFont="1" applyFill="1" applyBorder="1"/>
    <xf numFmtId="0" fontId="14957" fillId="14961" borderId="14908" xfId="0" applyFont="1" applyFill="1" applyBorder="1" applyAlignment="1">
      <alignment horizontal="center"/>
    </xf>
    <xf numFmtId="0" fontId="14958" fillId="14962" borderId="14909" xfId="0" applyFont="1" applyFill="1" applyBorder="1"/>
    <xf numFmtId="0" fontId="14959" fillId="14963" borderId="14910" xfId="0" applyFont="1" applyFill="1" applyBorder="1"/>
    <xf numFmtId="0" fontId="14960" fillId="14964" borderId="14911" xfId="0" applyFont="1" applyFill="1" applyBorder="1"/>
    <xf numFmtId="3" fontId="14961" fillId="14965" borderId="14912" xfId="0" applyNumberFormat="1" applyFont="1" applyFill="1" applyBorder="1"/>
    <xf numFmtId="3" fontId="14962" fillId="14966" borderId="14913" xfId="0" applyNumberFormat="1" applyFont="1" applyFill="1" applyBorder="1"/>
    <xf numFmtId="14" fontId="14963" fillId="14967" borderId="14914" xfId="0" applyNumberFormat="1" applyFont="1" applyFill="1" applyBorder="1"/>
    <xf numFmtId="4" fontId="14964" fillId="14968" borderId="14915" xfId="0" applyNumberFormat="1" applyFont="1" applyFill="1" applyBorder="1"/>
    <xf numFmtId="4" fontId="14965" fillId="14969" borderId="14916" xfId="0" applyNumberFormat="1" applyFont="1" applyFill="1" applyBorder="1"/>
    <xf numFmtId="0" fontId="14966" fillId="14970" borderId="14917" xfId="0" applyFont="1" applyFill="1" applyBorder="1"/>
    <xf numFmtId="0" fontId="14967" fillId="14971" borderId="14918" xfId="0" applyFont="1" applyFill="1" applyBorder="1" applyAlignment="1">
      <alignment horizontal="center"/>
    </xf>
    <xf numFmtId="0" fontId="14968" fillId="14972" borderId="14919" xfId="0" applyFont="1" applyFill="1" applyBorder="1"/>
    <xf numFmtId="0" fontId="14969" fillId="14973" borderId="14920" xfId="0" applyFont="1" applyFill="1" applyBorder="1"/>
    <xf numFmtId="0" fontId="14970" fillId="14974" borderId="14921" xfId="0" applyFont="1" applyFill="1" applyBorder="1"/>
    <xf numFmtId="3" fontId="14971" fillId="14975" borderId="14922" xfId="0" applyNumberFormat="1" applyFont="1" applyFill="1" applyBorder="1"/>
    <xf numFmtId="3" fontId="14972" fillId="14976" borderId="14923" xfId="0" applyNumberFormat="1" applyFont="1" applyFill="1" applyBorder="1"/>
    <xf numFmtId="14" fontId="14973" fillId="14977" borderId="14924" xfId="0" applyNumberFormat="1" applyFont="1" applyFill="1" applyBorder="1"/>
    <xf numFmtId="4" fontId="14974" fillId="14978" borderId="14925" xfId="0" applyNumberFormat="1" applyFont="1" applyFill="1" applyBorder="1"/>
    <xf numFmtId="4" fontId="14975" fillId="14979" borderId="14926" xfId="0" applyNumberFormat="1" applyFont="1" applyFill="1" applyBorder="1"/>
    <xf numFmtId="0" fontId="14976" fillId="14980" borderId="14927" xfId="0" applyFont="1" applyFill="1" applyBorder="1"/>
    <xf numFmtId="0" fontId="14977" fillId="14981" borderId="14928" xfId="0" applyFont="1" applyFill="1" applyBorder="1" applyAlignment="1">
      <alignment horizontal="center"/>
    </xf>
    <xf numFmtId="0" fontId="14978" fillId="14982" borderId="14929" xfId="0" applyFont="1" applyFill="1" applyBorder="1"/>
    <xf numFmtId="0" fontId="14979" fillId="14983" borderId="14930" xfId="0" applyFont="1" applyFill="1" applyBorder="1"/>
    <xf numFmtId="0" fontId="14980" fillId="14984" borderId="14931" xfId="0" applyFont="1" applyFill="1" applyBorder="1"/>
    <xf numFmtId="3" fontId="14981" fillId="14985" borderId="14932" xfId="0" applyNumberFormat="1" applyFont="1" applyFill="1" applyBorder="1"/>
    <xf numFmtId="3" fontId="14982" fillId="14986" borderId="14933" xfId="0" applyNumberFormat="1" applyFont="1" applyFill="1" applyBorder="1"/>
    <xf numFmtId="14" fontId="14983" fillId="14987" borderId="14934" xfId="0" applyNumberFormat="1" applyFont="1" applyFill="1" applyBorder="1"/>
    <xf numFmtId="4" fontId="14984" fillId="14988" borderId="14935" xfId="0" applyNumberFormat="1" applyFont="1" applyFill="1" applyBorder="1"/>
    <xf numFmtId="4" fontId="14985" fillId="14989" borderId="14936" xfId="0" applyNumberFormat="1" applyFont="1" applyFill="1" applyBorder="1"/>
    <xf numFmtId="0" fontId="14986" fillId="14990" borderId="14937" xfId="0" applyFont="1" applyFill="1" applyBorder="1"/>
    <xf numFmtId="0" fontId="14987" fillId="14991" borderId="14938" xfId="0" applyFont="1" applyFill="1" applyBorder="1" applyAlignment="1">
      <alignment horizontal="center"/>
    </xf>
    <xf numFmtId="0" fontId="14988" fillId="14992" borderId="14939" xfId="0" applyFont="1" applyFill="1" applyBorder="1"/>
    <xf numFmtId="0" fontId="14989" fillId="14993" borderId="14940" xfId="0" applyFont="1" applyFill="1" applyBorder="1"/>
    <xf numFmtId="0" fontId="14990" fillId="14994" borderId="14941" xfId="0" applyFont="1" applyFill="1" applyBorder="1"/>
    <xf numFmtId="3" fontId="14991" fillId="14995" borderId="14942" xfId="0" applyNumberFormat="1" applyFont="1" applyFill="1" applyBorder="1"/>
    <xf numFmtId="3" fontId="14992" fillId="14996" borderId="14943" xfId="0" applyNumberFormat="1" applyFont="1" applyFill="1" applyBorder="1"/>
    <xf numFmtId="14" fontId="14993" fillId="14997" borderId="14944" xfId="0" applyNumberFormat="1" applyFont="1" applyFill="1" applyBorder="1"/>
    <xf numFmtId="4" fontId="14994" fillId="14998" borderId="14945" xfId="0" applyNumberFormat="1" applyFont="1" applyFill="1" applyBorder="1"/>
    <xf numFmtId="4" fontId="14995" fillId="14999" borderId="14946" xfId="0" applyNumberFormat="1" applyFont="1" applyFill="1" applyBorder="1"/>
    <xf numFmtId="0" fontId="14996" fillId="15000" borderId="14947" xfId="0" applyFont="1" applyFill="1" applyBorder="1"/>
    <xf numFmtId="0" fontId="14997" fillId="15001" borderId="14948" xfId="0" applyFont="1" applyFill="1" applyBorder="1"/>
    <xf numFmtId="3" fontId="14998" fillId="15002" borderId="14949" xfId="0" applyNumberFormat="1" applyFont="1" applyFill="1" applyBorder="1"/>
    <xf numFmtId="0" fontId="14999" fillId="15003" borderId="14950" xfId="0" applyFont="1" applyFill="1" applyBorder="1" applyAlignment="1">
      <alignment horizontal="center"/>
    </xf>
    <xf numFmtId="14" fontId="15000" fillId="15004" borderId="14951" xfId="0" applyNumberFormat="1" applyFont="1" applyFill="1" applyBorder="1"/>
    <xf numFmtId="0" fontId="15001" fillId="15005" borderId="14952" xfId="0" applyFont="1" applyFill="1" applyBorder="1" applyAlignment="1">
      <alignment horizontal="center"/>
    </xf>
    <xf numFmtId="0" fontId="15002" fillId="15006" borderId="14953" xfId="0" applyFont="1" applyFill="1" applyBorder="1"/>
    <xf numFmtId="4" fontId="15003" fillId="15007" borderId="14954" xfId="0" applyNumberFormat="1" applyFont="1" applyFill="1" applyBorder="1"/>
    <xf numFmtId="168" fontId="15004" fillId="15008" borderId="14955" xfId="0" applyNumberFormat="1" applyFont="1" applyFill="1" applyBorder="1"/>
    <xf numFmtId="165" fontId="15005" fillId="15009" borderId="14956" xfId="0" applyNumberFormat="1" applyFont="1" applyFill="1" applyBorder="1"/>
    <xf numFmtId="4" fontId="15006" fillId="15010" borderId="14957" xfId="0" applyNumberFormat="1" applyFont="1" applyFill="1" applyBorder="1"/>
    <xf numFmtId="4" fontId="15007" fillId="15011" borderId="14958" xfId="0" applyNumberFormat="1" applyFont="1" applyFill="1" applyBorder="1"/>
    <xf numFmtId="167" fontId="15008" fillId="15012" borderId="14959" xfId="0" applyNumberFormat="1" applyFont="1" applyFill="1" applyBorder="1"/>
    <xf numFmtId="168" fontId="15009" fillId="15013" borderId="14960" xfId="0" applyNumberFormat="1" applyFont="1" applyFill="1" applyBorder="1"/>
    <xf numFmtId="0" fontId="15010" fillId="15014" borderId="14961" xfId="0" applyFont="1" applyFill="1" applyBorder="1"/>
    <xf numFmtId="0" fontId="15011" fillId="15015" borderId="14962" xfId="0" applyFont="1" applyFill="1" applyBorder="1" applyAlignment="1">
      <alignment wrapText="1"/>
    </xf>
    <xf numFmtId="0" fontId="15012" fillId="15016" borderId="14963" xfId="0" applyFont="1" applyFill="1" applyBorder="1" applyAlignment="1">
      <alignment horizontal="center"/>
    </xf>
    <xf numFmtId="0" fontId="15041" fillId="15045" borderId="14992" xfId="0" applyFont="1" applyFill="1" applyBorder="1" applyAlignment="1">
      <alignment horizontal="center"/>
    </xf>
    <xf numFmtId="14" fontId="15042" fillId="15046" borderId="14993" xfId="0" applyNumberFormat="1" applyFont="1" applyFill="1" applyBorder="1"/>
    <xf numFmtId="0" fontId="15043" fillId="15047" borderId="14994" xfId="0" applyFont="1" applyFill="1" applyBorder="1" applyAlignment="1">
      <alignment horizontal="center"/>
    </xf>
    <xf numFmtId="0" fontId="15044" fillId="15048" borderId="14995" xfId="0" applyFont="1" applyFill="1" applyBorder="1"/>
    <xf numFmtId="4" fontId="15045" fillId="15049" borderId="14996" xfId="0" applyNumberFormat="1" applyFont="1" applyFill="1" applyBorder="1"/>
    <xf numFmtId="168" fontId="15046" fillId="15050" borderId="14997" xfId="0" applyNumberFormat="1" applyFont="1" applyFill="1" applyBorder="1"/>
    <xf numFmtId="165" fontId="15047" fillId="15051" borderId="14998" xfId="0" applyNumberFormat="1" applyFont="1" applyFill="1" applyBorder="1"/>
    <xf numFmtId="4" fontId="15048" fillId="15052" borderId="14999" xfId="0" applyNumberFormat="1" applyFont="1" applyFill="1" applyBorder="1"/>
    <xf numFmtId="4" fontId="15049" fillId="15053" borderId="15000" xfId="0" applyNumberFormat="1" applyFont="1" applyFill="1" applyBorder="1"/>
    <xf numFmtId="167" fontId="15050" fillId="15054" borderId="15001" xfId="0" applyNumberFormat="1" applyFont="1" applyFill="1" applyBorder="1"/>
    <xf numFmtId="168" fontId="15051" fillId="15055" borderId="15002" xfId="0" applyNumberFormat="1" applyFont="1" applyFill="1" applyBorder="1"/>
    <xf numFmtId="0" fontId="15052" fillId="15056" borderId="15003" xfId="0" applyFont="1" applyFill="1" applyBorder="1"/>
    <xf numFmtId="0" fontId="15053" fillId="15057" borderId="15004" xfId="0" applyFont="1" applyFill="1" applyBorder="1" applyAlignment="1">
      <alignment wrapText="1"/>
    </xf>
    <xf numFmtId="0" fontId="15054" fillId="15058" borderId="15005" xfId="0" applyFont="1" applyFill="1" applyBorder="1" applyAlignment="1">
      <alignment horizontal="center"/>
    </xf>
    <xf numFmtId="0" fontId="15055" fillId="15059" borderId="15006" xfId="0" applyFont="1" applyFill="1" applyBorder="1" applyAlignment="1">
      <alignment horizontal="center"/>
    </xf>
    <xf numFmtId="14" fontId="15056" fillId="15060" borderId="15007" xfId="0" applyNumberFormat="1" applyFont="1" applyFill="1" applyBorder="1"/>
    <xf numFmtId="0" fontId="15057" fillId="15061" borderId="15008" xfId="0" applyFont="1" applyFill="1" applyBorder="1" applyAlignment="1">
      <alignment horizontal="center"/>
    </xf>
    <xf numFmtId="0" fontId="15058" fillId="15062" borderId="15009" xfId="0" applyFont="1" applyFill="1" applyBorder="1"/>
    <xf numFmtId="4" fontId="15059" fillId="15063" borderId="15010" xfId="0" applyNumberFormat="1" applyFont="1" applyFill="1" applyBorder="1"/>
    <xf numFmtId="168" fontId="15060" fillId="15064" borderId="15011" xfId="0" applyNumberFormat="1" applyFont="1" applyFill="1" applyBorder="1"/>
    <xf numFmtId="165" fontId="15061" fillId="15065" borderId="15012" xfId="0" applyNumberFormat="1" applyFont="1" applyFill="1" applyBorder="1"/>
    <xf numFmtId="4" fontId="15062" fillId="15066" borderId="15013" xfId="0" applyNumberFormat="1" applyFont="1" applyFill="1" applyBorder="1"/>
    <xf numFmtId="4" fontId="15063" fillId="15067" borderId="15014" xfId="0" applyNumberFormat="1" applyFont="1" applyFill="1" applyBorder="1"/>
    <xf numFmtId="167" fontId="15064" fillId="15068" borderId="15015" xfId="0" applyNumberFormat="1" applyFont="1" applyFill="1" applyBorder="1"/>
    <xf numFmtId="168" fontId="15065" fillId="15069" borderId="15016" xfId="0" applyNumberFormat="1" applyFont="1" applyFill="1" applyBorder="1"/>
    <xf numFmtId="0" fontId="15066" fillId="15070" borderId="15017" xfId="0" applyFont="1" applyFill="1" applyBorder="1"/>
    <xf numFmtId="0" fontId="15067" fillId="15071" borderId="15018" xfId="0" applyFont="1" applyFill="1" applyBorder="1" applyAlignment="1">
      <alignment wrapText="1"/>
    </xf>
    <xf numFmtId="0" fontId="15068" fillId="15072" borderId="15019" xfId="0" applyFont="1" applyFill="1" applyBorder="1" applyAlignment="1">
      <alignment horizontal="center"/>
    </xf>
    <xf numFmtId="0" fontId="15069" fillId="15073" borderId="15020" xfId="0" applyFont="1" applyFill="1" applyBorder="1" applyAlignment="1">
      <alignment horizontal="center"/>
    </xf>
    <xf numFmtId="14" fontId="15070" fillId="15074" borderId="15021" xfId="0" applyNumberFormat="1" applyFont="1" applyFill="1" applyBorder="1"/>
    <xf numFmtId="0" fontId="15071" fillId="15075" borderId="15022" xfId="0" applyFont="1" applyFill="1" applyBorder="1" applyAlignment="1">
      <alignment horizontal="center"/>
    </xf>
    <xf numFmtId="0" fontId="15072" fillId="15076" borderId="15023" xfId="0" applyFont="1" applyFill="1" applyBorder="1"/>
    <xf numFmtId="4" fontId="15073" fillId="15077" borderId="15024" xfId="0" applyNumberFormat="1" applyFont="1" applyFill="1" applyBorder="1"/>
    <xf numFmtId="168" fontId="15074" fillId="15078" borderId="15025" xfId="0" applyNumberFormat="1" applyFont="1" applyFill="1" applyBorder="1"/>
    <xf numFmtId="165" fontId="15075" fillId="15079" borderId="15026" xfId="0" applyNumberFormat="1" applyFont="1" applyFill="1" applyBorder="1"/>
    <xf numFmtId="4" fontId="15076" fillId="15080" borderId="15027" xfId="0" applyNumberFormat="1" applyFont="1" applyFill="1" applyBorder="1"/>
    <xf numFmtId="4" fontId="15077" fillId="15081" borderId="15028" xfId="0" applyNumberFormat="1" applyFont="1" applyFill="1" applyBorder="1"/>
    <xf numFmtId="167" fontId="15078" fillId="15082" borderId="15029" xfId="0" applyNumberFormat="1" applyFont="1" applyFill="1" applyBorder="1"/>
    <xf numFmtId="168" fontId="15079" fillId="15083" borderId="15030" xfId="0" applyNumberFormat="1" applyFont="1" applyFill="1" applyBorder="1"/>
    <xf numFmtId="0" fontId="15080" fillId="15084" borderId="15031" xfId="0" applyFont="1" applyFill="1" applyBorder="1"/>
    <xf numFmtId="0" fontId="15081" fillId="15085" borderId="15032" xfId="0" applyFont="1" applyFill="1" applyBorder="1" applyAlignment="1">
      <alignment wrapText="1"/>
    </xf>
    <xf numFmtId="0" fontId="15082" fillId="15086" borderId="15033" xfId="0" applyFont="1" applyFill="1" applyBorder="1" applyAlignment="1">
      <alignment horizontal="center"/>
    </xf>
    <xf numFmtId="0" fontId="15083" fillId="15087" borderId="15034" xfId="0" applyFont="1" applyFill="1" applyBorder="1" applyAlignment="1">
      <alignment horizontal="center"/>
    </xf>
    <xf numFmtId="14" fontId="15084" fillId="15088" borderId="15035" xfId="0" applyNumberFormat="1" applyFont="1" applyFill="1" applyBorder="1"/>
    <xf numFmtId="0" fontId="15085" fillId="15089" borderId="15036" xfId="0" applyFont="1" applyFill="1" applyBorder="1" applyAlignment="1">
      <alignment horizontal="center"/>
    </xf>
    <xf numFmtId="0" fontId="15086" fillId="15090" borderId="15037" xfId="0" applyFont="1" applyFill="1" applyBorder="1"/>
    <xf numFmtId="4" fontId="15087" fillId="15091" borderId="15038" xfId="0" applyNumberFormat="1" applyFont="1" applyFill="1" applyBorder="1"/>
    <xf numFmtId="168" fontId="15088" fillId="15092" borderId="15039" xfId="0" applyNumberFormat="1" applyFont="1" applyFill="1" applyBorder="1"/>
    <xf numFmtId="165" fontId="15089" fillId="15093" borderId="15040" xfId="0" applyNumberFormat="1" applyFont="1" applyFill="1" applyBorder="1"/>
    <xf numFmtId="4" fontId="15090" fillId="15094" borderId="15041" xfId="0" applyNumberFormat="1" applyFont="1" applyFill="1" applyBorder="1"/>
    <xf numFmtId="4" fontId="15091" fillId="15095" borderId="15042" xfId="0" applyNumberFormat="1" applyFont="1" applyFill="1" applyBorder="1"/>
    <xf numFmtId="167" fontId="15092" fillId="15096" borderId="15043" xfId="0" applyNumberFormat="1" applyFont="1" applyFill="1" applyBorder="1"/>
    <xf numFmtId="168" fontId="15093" fillId="15097" borderId="15044" xfId="0" applyNumberFormat="1" applyFont="1" applyFill="1" applyBorder="1"/>
    <xf numFmtId="0" fontId="15094" fillId="15098" borderId="15045" xfId="0" applyFont="1" applyFill="1" applyBorder="1"/>
    <xf numFmtId="0" fontId="15095" fillId="15099" borderId="15046" xfId="0" applyFont="1" applyFill="1" applyBorder="1" applyAlignment="1">
      <alignment wrapText="1"/>
    </xf>
    <xf numFmtId="0" fontId="15096" fillId="15100" borderId="15047" xfId="0" applyFont="1" applyFill="1" applyBorder="1" applyAlignment="1">
      <alignment horizontal="center"/>
    </xf>
    <xf numFmtId="0" fontId="15097" fillId="15101" borderId="15048" xfId="0" applyFont="1" applyFill="1" applyBorder="1" applyAlignment="1">
      <alignment horizontal="center"/>
    </xf>
    <xf numFmtId="14" fontId="15098" fillId="15102" borderId="15049" xfId="0" applyNumberFormat="1" applyFont="1" applyFill="1" applyBorder="1"/>
    <xf numFmtId="0" fontId="15099" fillId="15103" borderId="15050" xfId="0" applyFont="1" applyFill="1" applyBorder="1" applyAlignment="1">
      <alignment horizontal="center"/>
    </xf>
    <xf numFmtId="0" fontId="15100" fillId="15104" borderId="15051" xfId="0" applyFont="1" applyFill="1" applyBorder="1"/>
    <xf numFmtId="4" fontId="15101" fillId="15105" borderId="15052" xfId="0" applyNumberFormat="1" applyFont="1" applyFill="1" applyBorder="1"/>
    <xf numFmtId="168" fontId="15102" fillId="15106" borderId="15053" xfId="0" applyNumberFormat="1" applyFont="1" applyFill="1" applyBorder="1"/>
    <xf numFmtId="165" fontId="15103" fillId="15107" borderId="15054" xfId="0" applyNumberFormat="1" applyFont="1" applyFill="1" applyBorder="1"/>
    <xf numFmtId="4" fontId="15104" fillId="15108" borderId="15055" xfId="0" applyNumberFormat="1" applyFont="1" applyFill="1" applyBorder="1"/>
    <xf numFmtId="4" fontId="15105" fillId="15109" borderId="15056" xfId="0" applyNumberFormat="1" applyFont="1" applyFill="1" applyBorder="1"/>
    <xf numFmtId="167" fontId="15106" fillId="15110" borderId="15057" xfId="0" applyNumberFormat="1" applyFont="1" applyFill="1" applyBorder="1"/>
    <xf numFmtId="168" fontId="15107" fillId="15111" borderId="15058" xfId="0" applyNumberFormat="1" applyFont="1" applyFill="1" applyBorder="1"/>
    <xf numFmtId="0" fontId="15108" fillId="15112" borderId="15059" xfId="0" applyFont="1" applyFill="1" applyBorder="1"/>
    <xf numFmtId="0" fontId="15109" fillId="15113" borderId="15060" xfId="0" applyFont="1" applyFill="1" applyBorder="1" applyAlignment="1">
      <alignment wrapText="1"/>
    </xf>
    <xf numFmtId="0" fontId="15110" fillId="15114" borderId="15061" xfId="0" applyFont="1" applyFill="1" applyBorder="1" applyAlignment="1">
      <alignment horizontal="center"/>
    </xf>
    <xf numFmtId="0" fontId="15111" fillId="15115" borderId="15062" xfId="0" applyFont="1" applyFill="1" applyBorder="1" applyAlignment="1">
      <alignment horizontal="center"/>
    </xf>
    <xf numFmtId="14" fontId="15112" fillId="15116" borderId="15063" xfId="0" applyNumberFormat="1" applyFont="1" applyFill="1" applyBorder="1"/>
    <xf numFmtId="0" fontId="15113" fillId="15117" borderId="15064" xfId="0" applyFont="1" applyFill="1" applyBorder="1" applyAlignment="1">
      <alignment horizontal="center"/>
    </xf>
    <xf numFmtId="0" fontId="15114" fillId="15118" borderId="15065" xfId="0" applyFont="1" applyFill="1" applyBorder="1"/>
    <xf numFmtId="4" fontId="15115" fillId="15119" borderId="15066" xfId="0" applyNumberFormat="1" applyFont="1" applyFill="1" applyBorder="1"/>
    <xf numFmtId="168" fontId="15116" fillId="15120" borderId="15067" xfId="0" applyNumberFormat="1" applyFont="1" applyFill="1" applyBorder="1"/>
    <xf numFmtId="165" fontId="15117" fillId="15121" borderId="15068" xfId="0" applyNumberFormat="1" applyFont="1" applyFill="1" applyBorder="1"/>
    <xf numFmtId="4" fontId="15118" fillId="15122" borderId="15069" xfId="0" applyNumberFormat="1" applyFont="1" applyFill="1" applyBorder="1"/>
    <xf numFmtId="4" fontId="15119" fillId="15123" borderId="15070" xfId="0" applyNumberFormat="1" applyFont="1" applyFill="1" applyBorder="1"/>
    <xf numFmtId="167" fontId="15120" fillId="15124" borderId="15071" xfId="0" applyNumberFormat="1" applyFont="1" applyFill="1" applyBorder="1"/>
    <xf numFmtId="168" fontId="15121" fillId="15125" borderId="15072" xfId="0" applyNumberFormat="1" applyFont="1" applyFill="1" applyBorder="1"/>
    <xf numFmtId="0" fontId="15122" fillId="15126" borderId="15073" xfId="0" applyFont="1" applyFill="1" applyBorder="1"/>
    <xf numFmtId="0" fontId="15123" fillId="15127" borderId="15074" xfId="0" applyFont="1" applyFill="1" applyBorder="1" applyAlignment="1">
      <alignment wrapText="1"/>
    </xf>
    <xf numFmtId="0" fontId="15124" fillId="15128" borderId="15075" xfId="0" applyFont="1" applyFill="1" applyBorder="1" applyAlignment="1">
      <alignment horizontal="center"/>
    </xf>
    <xf numFmtId="0" fontId="15125" fillId="15129" borderId="15076" xfId="0" applyFont="1" applyFill="1" applyBorder="1" applyAlignment="1">
      <alignment horizontal="center"/>
    </xf>
    <xf numFmtId="14" fontId="15126" fillId="15130" borderId="15077" xfId="0" applyNumberFormat="1" applyFont="1" applyFill="1" applyBorder="1"/>
    <xf numFmtId="0" fontId="15127" fillId="15131" borderId="15078" xfId="0" applyFont="1" applyFill="1" applyBorder="1" applyAlignment="1">
      <alignment horizontal="center"/>
    </xf>
    <xf numFmtId="0" fontId="15128" fillId="15132" borderId="15079" xfId="0" applyFont="1" applyFill="1" applyBorder="1"/>
    <xf numFmtId="4" fontId="15129" fillId="15133" borderId="15080" xfId="0" applyNumberFormat="1" applyFont="1" applyFill="1" applyBorder="1"/>
    <xf numFmtId="168" fontId="15130" fillId="15134" borderId="15081" xfId="0" applyNumberFormat="1" applyFont="1" applyFill="1" applyBorder="1"/>
    <xf numFmtId="165" fontId="15131" fillId="15135" borderId="15082" xfId="0" applyNumberFormat="1" applyFont="1" applyFill="1" applyBorder="1"/>
    <xf numFmtId="4" fontId="15132" fillId="15136" borderId="15083" xfId="0" applyNumberFormat="1" applyFont="1" applyFill="1" applyBorder="1"/>
    <xf numFmtId="4" fontId="15133" fillId="15137" borderId="15084" xfId="0" applyNumberFormat="1" applyFont="1" applyFill="1" applyBorder="1"/>
    <xf numFmtId="167" fontId="15134" fillId="15138" borderId="15085" xfId="0" applyNumberFormat="1" applyFont="1" applyFill="1" applyBorder="1"/>
    <xf numFmtId="168" fontId="15135" fillId="15139" borderId="15086" xfId="0" applyNumberFormat="1" applyFont="1" applyFill="1" applyBorder="1"/>
    <xf numFmtId="0" fontId="15136" fillId="15140" borderId="15087" xfId="0" applyFont="1" applyFill="1" applyBorder="1"/>
    <xf numFmtId="0" fontId="15137" fillId="15141" borderId="15088" xfId="0" applyFont="1" applyFill="1" applyBorder="1" applyAlignment="1">
      <alignment wrapText="1"/>
    </xf>
    <xf numFmtId="0" fontId="15138" fillId="15142" borderId="15089" xfId="0" applyFont="1" applyFill="1" applyBorder="1" applyAlignment="1">
      <alignment horizontal="center"/>
    </xf>
    <xf numFmtId="0" fontId="15139" fillId="15143" borderId="15090" xfId="0" applyFont="1" applyFill="1" applyBorder="1" applyAlignment="1">
      <alignment horizontal="center"/>
    </xf>
    <xf numFmtId="14" fontId="15140" fillId="15144" borderId="15091" xfId="0" applyNumberFormat="1" applyFont="1" applyFill="1" applyBorder="1"/>
    <xf numFmtId="0" fontId="15141" fillId="15145" borderId="15092" xfId="0" applyFont="1" applyFill="1" applyBorder="1" applyAlignment="1">
      <alignment horizontal="center"/>
    </xf>
    <xf numFmtId="0" fontId="15142" fillId="15146" borderId="15093" xfId="0" applyFont="1" applyFill="1" applyBorder="1"/>
    <xf numFmtId="4" fontId="15143" fillId="15147" borderId="15094" xfId="0" applyNumberFormat="1" applyFont="1" applyFill="1" applyBorder="1"/>
    <xf numFmtId="168" fontId="15144" fillId="15148" borderId="15095" xfId="0" applyNumberFormat="1" applyFont="1" applyFill="1" applyBorder="1"/>
    <xf numFmtId="165" fontId="15145" fillId="15149" borderId="15096" xfId="0" applyNumberFormat="1" applyFont="1" applyFill="1" applyBorder="1"/>
    <xf numFmtId="4" fontId="15146" fillId="15150" borderId="15097" xfId="0" applyNumberFormat="1" applyFont="1" applyFill="1" applyBorder="1"/>
    <xf numFmtId="4" fontId="15147" fillId="15151" borderId="15098" xfId="0" applyNumberFormat="1" applyFont="1" applyFill="1" applyBorder="1"/>
    <xf numFmtId="167" fontId="15148" fillId="15152" borderId="15099" xfId="0" applyNumberFormat="1" applyFont="1" applyFill="1" applyBorder="1"/>
    <xf numFmtId="168" fontId="15149" fillId="15153" borderId="15100" xfId="0" applyNumberFormat="1" applyFont="1" applyFill="1" applyBorder="1"/>
    <xf numFmtId="0" fontId="15150" fillId="15154" borderId="15101" xfId="0" applyFont="1" applyFill="1" applyBorder="1"/>
    <xf numFmtId="0" fontId="15151" fillId="15155" borderId="15102" xfId="0" applyFont="1" applyFill="1" applyBorder="1" applyAlignment="1">
      <alignment wrapText="1"/>
    </xf>
    <xf numFmtId="0" fontId="15152" fillId="15156" borderId="15103" xfId="0" applyFont="1" applyFill="1" applyBorder="1" applyAlignment="1">
      <alignment horizontal="center"/>
    </xf>
    <xf numFmtId="0" fontId="15153" fillId="15157" borderId="15104" xfId="0" applyFont="1" applyFill="1" applyBorder="1" applyAlignment="1">
      <alignment horizontal="center"/>
    </xf>
    <xf numFmtId="14" fontId="15154" fillId="15158" borderId="15105" xfId="0" applyNumberFormat="1" applyFont="1" applyFill="1" applyBorder="1"/>
    <xf numFmtId="0" fontId="15155" fillId="15159" borderId="15106" xfId="0" applyFont="1" applyFill="1" applyBorder="1" applyAlignment="1">
      <alignment horizontal="center"/>
    </xf>
    <xf numFmtId="0" fontId="15156" fillId="15160" borderId="15107" xfId="0" applyFont="1" applyFill="1" applyBorder="1"/>
    <xf numFmtId="4" fontId="15157" fillId="15161" borderId="15108" xfId="0" applyNumberFormat="1" applyFont="1" applyFill="1" applyBorder="1"/>
    <xf numFmtId="168" fontId="15158" fillId="15162" borderId="15109" xfId="0" applyNumberFormat="1" applyFont="1" applyFill="1" applyBorder="1"/>
    <xf numFmtId="165" fontId="15159" fillId="15163" borderId="15110" xfId="0" applyNumberFormat="1" applyFont="1" applyFill="1" applyBorder="1"/>
    <xf numFmtId="4" fontId="15160" fillId="15164" borderId="15111" xfId="0" applyNumberFormat="1" applyFont="1" applyFill="1" applyBorder="1"/>
    <xf numFmtId="4" fontId="15161" fillId="15165" borderId="15112" xfId="0" applyNumberFormat="1" applyFont="1" applyFill="1" applyBorder="1"/>
    <xf numFmtId="167" fontId="15162" fillId="15166" borderId="15113" xfId="0" applyNumberFormat="1" applyFont="1" applyFill="1" applyBorder="1"/>
    <xf numFmtId="168" fontId="15163" fillId="15167" borderId="15114" xfId="0" applyNumberFormat="1" applyFont="1" applyFill="1" applyBorder="1"/>
    <xf numFmtId="0" fontId="15164" fillId="15168" borderId="15115" xfId="0" applyFont="1" applyFill="1" applyBorder="1"/>
    <xf numFmtId="0" fontId="15165" fillId="15169" borderId="15116" xfId="0" applyFont="1" applyFill="1" applyBorder="1" applyAlignment="1">
      <alignment wrapText="1"/>
    </xf>
    <xf numFmtId="0" fontId="15166" fillId="15170" borderId="15117" xfId="0" applyFont="1" applyFill="1" applyBorder="1" applyAlignment="1">
      <alignment horizontal="center"/>
    </xf>
    <xf numFmtId="0" fontId="15167" fillId="15171" borderId="15118" xfId="0" applyFont="1" applyFill="1" applyBorder="1" applyAlignment="1">
      <alignment horizontal="center"/>
    </xf>
    <xf numFmtId="14" fontId="15168" fillId="15172" borderId="15119" xfId="0" applyNumberFormat="1" applyFont="1" applyFill="1" applyBorder="1"/>
    <xf numFmtId="0" fontId="15169" fillId="15173" borderId="15120" xfId="0" applyFont="1" applyFill="1" applyBorder="1" applyAlignment="1">
      <alignment horizontal="center"/>
    </xf>
    <xf numFmtId="0" fontId="15170" fillId="15174" borderId="15121" xfId="0" applyFont="1" applyFill="1" applyBorder="1"/>
    <xf numFmtId="4" fontId="15171" fillId="15175" borderId="15122" xfId="0" applyNumberFormat="1" applyFont="1" applyFill="1" applyBorder="1"/>
    <xf numFmtId="168" fontId="15172" fillId="15176" borderId="15123" xfId="0" applyNumberFormat="1" applyFont="1" applyFill="1" applyBorder="1"/>
    <xf numFmtId="165" fontId="15173" fillId="15177" borderId="15124" xfId="0" applyNumberFormat="1" applyFont="1" applyFill="1" applyBorder="1"/>
    <xf numFmtId="4" fontId="15174" fillId="15178" borderId="15125" xfId="0" applyNumberFormat="1" applyFont="1" applyFill="1" applyBorder="1"/>
    <xf numFmtId="4" fontId="15175" fillId="15179" borderId="15126" xfId="0" applyNumberFormat="1" applyFont="1" applyFill="1" applyBorder="1"/>
    <xf numFmtId="167" fontId="15176" fillId="15180" borderId="15127" xfId="0" applyNumberFormat="1" applyFont="1" applyFill="1" applyBorder="1"/>
    <xf numFmtId="168" fontId="15177" fillId="15181" borderId="15128" xfId="0" applyNumberFormat="1" applyFont="1" applyFill="1" applyBorder="1"/>
    <xf numFmtId="0" fontId="15178" fillId="15182" borderId="15129" xfId="0" applyFont="1" applyFill="1" applyBorder="1"/>
    <xf numFmtId="0" fontId="15179" fillId="15183" borderId="15130" xfId="0" applyFont="1" applyFill="1" applyBorder="1" applyAlignment="1">
      <alignment wrapText="1"/>
    </xf>
    <xf numFmtId="0" fontId="15180" fillId="15184" borderId="15131" xfId="0" applyFont="1" applyFill="1" applyBorder="1" applyAlignment="1">
      <alignment horizontal="center"/>
    </xf>
    <xf numFmtId="0" fontId="15181" fillId="15185" borderId="15132" xfId="0" applyFont="1" applyFill="1" applyBorder="1" applyAlignment="1">
      <alignment horizontal="center"/>
    </xf>
    <xf numFmtId="14" fontId="15182" fillId="15186" borderId="15133" xfId="0" applyNumberFormat="1" applyFont="1" applyFill="1" applyBorder="1"/>
    <xf numFmtId="0" fontId="15183" fillId="15187" borderId="15134" xfId="0" applyFont="1" applyFill="1" applyBorder="1" applyAlignment="1">
      <alignment horizontal="center"/>
    </xf>
    <xf numFmtId="0" fontId="15184" fillId="15188" borderId="15135" xfId="0" applyFont="1" applyFill="1" applyBorder="1"/>
    <xf numFmtId="4" fontId="15185" fillId="15189" borderId="15136" xfId="0" applyNumberFormat="1" applyFont="1" applyFill="1" applyBorder="1"/>
    <xf numFmtId="168" fontId="15186" fillId="15190" borderId="15137" xfId="0" applyNumberFormat="1" applyFont="1" applyFill="1" applyBorder="1"/>
    <xf numFmtId="165" fontId="15187" fillId="15191" borderId="15138" xfId="0" applyNumberFormat="1" applyFont="1" applyFill="1" applyBorder="1"/>
    <xf numFmtId="4" fontId="15188" fillId="15192" borderId="15139" xfId="0" applyNumberFormat="1" applyFont="1" applyFill="1" applyBorder="1"/>
    <xf numFmtId="4" fontId="15189" fillId="15193" borderId="15140" xfId="0" applyNumberFormat="1" applyFont="1" applyFill="1" applyBorder="1"/>
    <xf numFmtId="167" fontId="15190" fillId="15194" borderId="15141" xfId="0" applyNumberFormat="1" applyFont="1" applyFill="1" applyBorder="1"/>
    <xf numFmtId="168" fontId="15191" fillId="15195" borderId="15142" xfId="0" applyNumberFormat="1" applyFont="1" applyFill="1" applyBorder="1"/>
    <xf numFmtId="0" fontId="15192" fillId="15196" borderId="15143" xfId="0" applyFont="1" applyFill="1" applyBorder="1" applyAlignment="1">
      <alignment wrapText="1"/>
    </xf>
    <xf numFmtId="0" fontId="15193" fillId="15197" borderId="15144" xfId="0" applyFont="1" applyFill="1" applyBorder="1" applyAlignment="1">
      <alignment horizontal="center"/>
    </xf>
    <xf numFmtId="0" fontId="15194" fillId="15198" borderId="15145" xfId="0" applyFont="1" applyFill="1" applyBorder="1" applyAlignment="1">
      <alignment horizontal="center"/>
    </xf>
    <xf numFmtId="14" fontId="15195" fillId="15199" borderId="15146" xfId="0" applyNumberFormat="1" applyFont="1" applyFill="1" applyBorder="1"/>
    <xf numFmtId="0" fontId="15196" fillId="15200" borderId="15147" xfId="0" applyFont="1" applyFill="1" applyBorder="1" applyAlignment="1">
      <alignment horizontal="center"/>
    </xf>
    <xf numFmtId="0" fontId="15197" fillId="15201" borderId="15148" xfId="0" applyFont="1" applyFill="1" applyBorder="1"/>
    <xf numFmtId="4" fontId="15198" fillId="15202" borderId="15149" xfId="0" applyNumberFormat="1" applyFont="1" applyFill="1" applyBorder="1"/>
    <xf numFmtId="168" fontId="15199" fillId="15203" borderId="15150" xfId="0" applyNumberFormat="1" applyFont="1" applyFill="1" applyBorder="1"/>
    <xf numFmtId="165" fontId="15200" fillId="15204" borderId="15151" xfId="0" applyNumberFormat="1" applyFont="1" applyFill="1" applyBorder="1"/>
    <xf numFmtId="4" fontId="15201" fillId="15205" borderId="15152" xfId="0" applyNumberFormat="1" applyFont="1" applyFill="1" applyBorder="1"/>
    <xf numFmtId="4" fontId="15202" fillId="15206" borderId="15153" xfId="0" applyNumberFormat="1" applyFont="1" applyFill="1" applyBorder="1"/>
    <xf numFmtId="167" fontId="15203" fillId="15207" borderId="15154" xfId="0" applyNumberFormat="1" applyFont="1" applyFill="1" applyBorder="1"/>
    <xf numFmtId="168" fontId="15204" fillId="15208" borderId="15155" xfId="0" applyNumberFormat="1" applyFont="1" applyFill="1" applyBorder="1"/>
    <xf numFmtId="0" fontId="15205" fillId="15209" borderId="15156" xfId="0" applyFont="1" applyFill="1" applyBorder="1"/>
    <xf numFmtId="0" fontId="15206" fillId="15210" borderId="15157" xfId="0" applyFont="1" applyFill="1" applyBorder="1" applyAlignment="1">
      <alignment wrapText="1"/>
    </xf>
    <xf numFmtId="0" fontId="15207" fillId="15211" borderId="15158" xfId="0" applyFont="1" applyFill="1" applyBorder="1" applyAlignment="1">
      <alignment horizontal="center"/>
    </xf>
    <xf numFmtId="0" fontId="15208" fillId="15212" borderId="15159" xfId="0" applyFont="1" applyFill="1" applyBorder="1" applyAlignment="1">
      <alignment horizontal="center"/>
    </xf>
    <xf numFmtId="14" fontId="15209" fillId="15213" borderId="15160" xfId="0" applyNumberFormat="1" applyFont="1" applyFill="1" applyBorder="1"/>
    <xf numFmtId="0" fontId="15210" fillId="15214" borderId="15161" xfId="0" applyFont="1" applyFill="1" applyBorder="1" applyAlignment="1">
      <alignment horizontal="center"/>
    </xf>
    <xf numFmtId="0" fontId="15211" fillId="15215" borderId="15162" xfId="0" applyFont="1" applyFill="1" applyBorder="1"/>
    <xf numFmtId="4" fontId="15212" fillId="15216" borderId="15163" xfId="0" applyNumberFormat="1" applyFont="1" applyFill="1" applyBorder="1"/>
    <xf numFmtId="168" fontId="15213" fillId="15217" borderId="15164" xfId="0" applyNumberFormat="1" applyFont="1" applyFill="1" applyBorder="1"/>
    <xf numFmtId="165" fontId="15214" fillId="15218" borderId="15165" xfId="0" applyNumberFormat="1" applyFont="1" applyFill="1" applyBorder="1"/>
    <xf numFmtId="4" fontId="15215" fillId="15219" borderId="15166" xfId="0" applyNumberFormat="1" applyFont="1" applyFill="1" applyBorder="1"/>
    <xf numFmtId="4" fontId="15216" fillId="15220" borderId="15167" xfId="0" applyNumberFormat="1" applyFont="1" applyFill="1" applyBorder="1"/>
    <xf numFmtId="167" fontId="15217" fillId="15221" borderId="15168" xfId="0" applyNumberFormat="1" applyFont="1" applyFill="1" applyBorder="1"/>
    <xf numFmtId="168" fontId="15218" fillId="15222" borderId="15169" xfId="0" applyNumberFormat="1" applyFont="1" applyFill="1" applyBorder="1"/>
    <xf numFmtId="0" fontId="15219" fillId="15223" borderId="15170" xfId="0" applyFont="1" applyFill="1" applyBorder="1"/>
    <xf numFmtId="0" fontId="15220" fillId="15224" borderId="15171" xfId="0" applyFont="1" applyFill="1" applyBorder="1" applyAlignment="1">
      <alignment wrapText="1"/>
    </xf>
    <xf numFmtId="0" fontId="15221" fillId="15225" borderId="15172" xfId="0" applyFont="1" applyFill="1" applyBorder="1" applyAlignment="1">
      <alignment horizontal="center"/>
    </xf>
    <xf numFmtId="0" fontId="15264" fillId="15268" borderId="15215" xfId="0" applyFont="1" applyFill="1" applyBorder="1" applyAlignment="1">
      <alignment horizontal="center"/>
    </xf>
    <xf numFmtId="14" fontId="15265" fillId="15269" borderId="15216" xfId="0" applyNumberFormat="1" applyFont="1" applyFill="1" applyBorder="1"/>
    <xf numFmtId="0" fontId="15266" fillId="15270" borderId="15217" xfId="0" applyFont="1" applyFill="1" applyBorder="1" applyAlignment="1">
      <alignment horizontal="center"/>
    </xf>
    <xf numFmtId="0" fontId="15267" fillId="15271" borderId="15218" xfId="0" applyFont="1" applyFill="1" applyBorder="1"/>
    <xf numFmtId="4" fontId="15268" fillId="15272" borderId="15219" xfId="0" applyNumberFormat="1" applyFont="1" applyFill="1" applyBorder="1"/>
    <xf numFmtId="168" fontId="15269" fillId="15273" borderId="15220" xfId="0" applyNumberFormat="1" applyFont="1" applyFill="1" applyBorder="1"/>
    <xf numFmtId="165" fontId="15270" fillId="15274" borderId="15221" xfId="0" applyNumberFormat="1" applyFont="1" applyFill="1" applyBorder="1"/>
    <xf numFmtId="0" fontId="15271" fillId="15275" borderId="15222" xfId="0" applyFont="1" applyFill="1" applyBorder="1"/>
    <xf numFmtId="0" fontId="15272" fillId="15276" borderId="15223" xfId="0" applyFont="1" applyFill="1" applyBorder="1"/>
    <xf numFmtId="0" fontId="15273" fillId="15277" borderId="15224" xfId="0" applyFont="1" applyFill="1" applyBorder="1"/>
    <xf numFmtId="0" fontId="15274" fillId="15278" borderId="15225" xfId="0" applyFont="1" applyFill="1" applyBorder="1"/>
    <xf numFmtId="0" fontId="15275" fillId="15279" borderId="15226" xfId="0" applyFont="1" applyFill="1" applyBorder="1"/>
    <xf numFmtId="0" fontId="15276" fillId="15280" borderId="15227" xfId="0" applyFont="1" applyFill="1" applyBorder="1"/>
    <xf numFmtId="0" fontId="15277" fillId="15281" borderId="15228" xfId="0" applyFont="1" applyFill="1" applyBorder="1" applyAlignment="1">
      <alignment horizontal="center"/>
    </xf>
    <xf numFmtId="0" fontId="15306" fillId="15310" borderId="15257" xfId="0" applyFont="1" applyFill="1" applyBorder="1" applyAlignment="1">
      <alignment horizontal="center"/>
    </xf>
    <xf numFmtId="14" fontId="15307" fillId="15311" borderId="15258" xfId="0" applyNumberFormat="1" applyFont="1" applyFill="1" applyBorder="1"/>
    <xf numFmtId="0" fontId="15308" fillId="15312" borderId="15259" xfId="0" applyFont="1" applyFill="1" applyBorder="1" applyAlignment="1">
      <alignment horizontal="center"/>
    </xf>
    <xf numFmtId="0" fontId="15309" fillId="15313" borderId="15260" xfId="0" applyFont="1" applyFill="1" applyBorder="1"/>
    <xf numFmtId="4" fontId="15310" fillId="15314" borderId="15261" xfId="0" applyNumberFormat="1" applyFont="1" applyFill="1" applyBorder="1"/>
    <xf numFmtId="168" fontId="15311" fillId="15315" borderId="15262" xfId="0" applyNumberFormat="1" applyFont="1" applyFill="1" applyBorder="1"/>
    <xf numFmtId="165" fontId="15312" fillId="15316" borderId="15263" xfId="0" applyNumberFormat="1" applyFont="1" applyFill="1" applyBorder="1"/>
    <xf numFmtId="0" fontId="15313" fillId="15317" borderId="15264" xfId="0" applyFont="1" applyFill="1" applyBorder="1"/>
    <xf numFmtId="0" fontId="15314" fillId="15318" borderId="15265" xfId="0" applyFont="1" applyFill="1" applyBorder="1"/>
    <xf numFmtId="0" fontId="15315" fillId="15319" borderId="15266" xfId="0" applyFont="1" applyFill="1" applyBorder="1"/>
    <xf numFmtId="0" fontId="15316" fillId="15320" borderId="15267" xfId="0" applyFont="1" applyFill="1" applyBorder="1"/>
    <xf numFmtId="0" fontId="15317" fillId="15321" borderId="15268" xfId="0" applyFont="1" applyFill="1" applyBorder="1"/>
    <xf numFmtId="0" fontId="15318" fillId="15322" borderId="15269" xfId="0" applyFont="1" applyFill="1" applyBorder="1"/>
    <xf numFmtId="0" fontId="15319" fillId="15323" borderId="15270" xfId="0" applyFont="1" applyFill="1" applyBorder="1" applyAlignment="1">
      <alignment horizontal="center"/>
    </xf>
    <xf numFmtId="0" fontId="15320" fillId="15324" borderId="15271" xfId="0" applyFont="1" applyFill="1" applyBorder="1" applyAlignment="1">
      <alignment horizontal="center"/>
    </xf>
    <xf numFmtId="14" fontId="15321" fillId="15325" borderId="15272" xfId="0" applyNumberFormat="1" applyFont="1" applyFill="1" applyBorder="1"/>
    <xf numFmtId="0" fontId="15322" fillId="15326" borderId="15273" xfId="0" applyFont="1" applyFill="1" applyBorder="1" applyAlignment="1">
      <alignment horizontal="center"/>
    </xf>
    <xf numFmtId="0" fontId="15323" fillId="15327" borderId="15274" xfId="0" applyFont="1" applyFill="1" applyBorder="1"/>
    <xf numFmtId="4" fontId="15324" fillId="15328" borderId="15275" xfId="0" applyNumberFormat="1" applyFont="1" applyFill="1" applyBorder="1"/>
    <xf numFmtId="168" fontId="15325" fillId="15329" borderId="15276" xfId="0" applyNumberFormat="1" applyFont="1" applyFill="1" applyBorder="1"/>
    <xf numFmtId="165" fontId="15326" fillId="15330" borderId="15277" xfId="0" applyNumberFormat="1" applyFont="1" applyFill="1" applyBorder="1"/>
    <xf numFmtId="0" fontId="15327" fillId="15331" borderId="15278" xfId="0" applyFont="1" applyFill="1" applyBorder="1"/>
    <xf numFmtId="0" fontId="15328" fillId="15332" borderId="15279" xfId="0" applyFont="1" applyFill="1" applyBorder="1"/>
    <xf numFmtId="0" fontId="15329" fillId="15333" borderId="15280" xfId="0" applyFont="1" applyFill="1" applyBorder="1"/>
    <xf numFmtId="0" fontId="15330" fillId="15334" borderId="15281" xfId="0" applyFont="1" applyFill="1" applyBorder="1"/>
    <xf numFmtId="0" fontId="15331" fillId="15335" borderId="15282" xfId="0" applyFont="1" applyFill="1" applyBorder="1"/>
    <xf numFmtId="0" fontId="15332" fillId="15336" borderId="15283" xfId="0" applyFont="1" applyFill="1" applyBorder="1"/>
    <xf numFmtId="0" fontId="15333" fillId="15337" borderId="15284" xfId="0" applyFont="1" applyFill="1" applyBorder="1" applyAlignment="1">
      <alignment horizontal="center"/>
    </xf>
    <xf numFmtId="0" fontId="15334" fillId="15338" borderId="15285" xfId="0" applyFont="1" applyFill="1" applyBorder="1" applyAlignment="1">
      <alignment horizontal="center"/>
    </xf>
    <xf numFmtId="14" fontId="15335" fillId="15339" borderId="15286" xfId="0" applyNumberFormat="1" applyFont="1" applyFill="1" applyBorder="1"/>
    <xf numFmtId="0" fontId="15336" fillId="15340" borderId="15287" xfId="0" applyFont="1" applyFill="1" applyBorder="1" applyAlignment="1">
      <alignment horizontal="center"/>
    </xf>
    <xf numFmtId="0" fontId="15337" fillId="15341" borderId="15288" xfId="0" applyFont="1" applyFill="1" applyBorder="1"/>
    <xf numFmtId="4" fontId="15338" fillId="15342" borderId="15289" xfId="0" applyNumberFormat="1" applyFont="1" applyFill="1" applyBorder="1"/>
    <xf numFmtId="168" fontId="15339" fillId="15343" borderId="15290" xfId="0" applyNumberFormat="1" applyFont="1" applyFill="1" applyBorder="1"/>
    <xf numFmtId="165" fontId="15340" fillId="15344" borderId="15291" xfId="0" applyNumberFormat="1" applyFont="1" applyFill="1" applyBorder="1"/>
    <xf numFmtId="0" fontId="15341" fillId="15345" borderId="15292" xfId="0" applyFont="1" applyFill="1" applyBorder="1"/>
    <xf numFmtId="0" fontId="15342" fillId="15346" borderId="15293" xfId="0" applyFont="1" applyFill="1" applyBorder="1"/>
    <xf numFmtId="0" fontId="15343" fillId="15347" borderId="15294" xfId="0" applyFont="1" applyFill="1" applyBorder="1"/>
    <xf numFmtId="0" fontId="15344" fillId="15348" borderId="15295" xfId="0" applyFont="1" applyFill="1" applyBorder="1"/>
    <xf numFmtId="0" fontId="15345" fillId="15349" borderId="15296" xfId="0" applyFont="1" applyFill="1" applyBorder="1"/>
    <xf numFmtId="0" fontId="15346" fillId="15350" borderId="15297" xfId="0" applyFont="1" applyFill="1" applyBorder="1"/>
    <xf numFmtId="0" fontId="15347" fillId="15351" borderId="15298" xfId="0" applyFont="1" applyFill="1" applyBorder="1" applyAlignment="1">
      <alignment horizontal="center"/>
    </xf>
    <xf numFmtId="0" fontId="15348" fillId="15352" borderId="15299" xfId="0" applyFont="1" applyFill="1" applyBorder="1" applyAlignment="1">
      <alignment horizontal="center"/>
    </xf>
    <xf numFmtId="14" fontId="15349" fillId="15353" borderId="15300" xfId="0" applyNumberFormat="1" applyFont="1" applyFill="1" applyBorder="1"/>
    <xf numFmtId="0" fontId="15350" fillId="15354" borderId="15301" xfId="0" applyFont="1" applyFill="1" applyBorder="1" applyAlignment="1">
      <alignment horizontal="center"/>
    </xf>
    <xf numFmtId="0" fontId="15351" fillId="15355" borderId="15302" xfId="0" applyFont="1" applyFill="1" applyBorder="1"/>
    <xf numFmtId="4" fontId="15352" fillId="15356" borderId="15303" xfId="0" applyNumberFormat="1" applyFont="1" applyFill="1" applyBorder="1"/>
    <xf numFmtId="168" fontId="15353" fillId="15357" borderId="15304" xfId="0" applyNumberFormat="1" applyFont="1" applyFill="1" applyBorder="1"/>
    <xf numFmtId="165" fontId="15354" fillId="15358" borderId="15305" xfId="0" applyNumberFormat="1" applyFont="1" applyFill="1" applyBorder="1"/>
    <xf numFmtId="0" fontId="15355" fillId="15359" borderId="15306" xfId="0" applyFont="1" applyFill="1" applyBorder="1"/>
    <xf numFmtId="0" fontId="15356" fillId="15360" borderId="15307" xfId="0" applyFont="1" applyFill="1" applyBorder="1"/>
    <xf numFmtId="0" fontId="15357" fillId="15361" borderId="15308" xfId="0" applyFont="1" applyFill="1" applyBorder="1"/>
    <xf numFmtId="0" fontId="15358" fillId="15362" borderId="15309" xfId="0" applyFont="1" applyFill="1" applyBorder="1"/>
    <xf numFmtId="0" fontId="15359" fillId="15363" borderId="15310" xfId="0" applyFont="1" applyFill="1" applyBorder="1"/>
    <xf numFmtId="0" fontId="15360" fillId="15364" borderId="15311" xfId="0" applyFont="1" applyFill="1" applyBorder="1"/>
    <xf numFmtId="0" fontId="15361" fillId="15365" borderId="15312" xfId="0" applyFont="1" applyFill="1" applyBorder="1" applyAlignment="1">
      <alignment horizontal="center"/>
    </xf>
    <xf numFmtId="0" fontId="15362" fillId="15366" borderId="15313" xfId="0" applyFont="1" applyFill="1" applyBorder="1" applyAlignment="1">
      <alignment horizontal="center"/>
    </xf>
    <xf numFmtId="14" fontId="15363" fillId="15367" borderId="15314" xfId="0" applyNumberFormat="1" applyFont="1" applyFill="1" applyBorder="1"/>
    <xf numFmtId="0" fontId="15364" fillId="15368" borderId="15315" xfId="0" applyFont="1" applyFill="1" applyBorder="1" applyAlignment="1">
      <alignment horizontal="center"/>
    </xf>
    <xf numFmtId="0" fontId="15365" fillId="15369" borderId="15316" xfId="0" applyFont="1" applyFill="1" applyBorder="1"/>
    <xf numFmtId="4" fontId="15366" fillId="15370" borderId="15317" xfId="0" applyNumberFormat="1" applyFont="1" applyFill="1" applyBorder="1"/>
    <xf numFmtId="168" fontId="15367" fillId="15371" borderId="15318" xfId="0" applyNumberFormat="1" applyFont="1" applyFill="1" applyBorder="1"/>
    <xf numFmtId="165" fontId="15368" fillId="15372" borderId="15319" xfId="0" applyNumberFormat="1" applyFont="1" applyFill="1" applyBorder="1"/>
    <xf numFmtId="0" fontId="15369" fillId="15373" borderId="15320" xfId="0" applyFont="1" applyFill="1" applyBorder="1"/>
    <xf numFmtId="0" fontId="15370" fillId="15374" borderId="15321" xfId="0" applyFont="1" applyFill="1" applyBorder="1"/>
    <xf numFmtId="0" fontId="15371" fillId="15375" borderId="15322" xfId="0" applyFont="1" applyFill="1" applyBorder="1"/>
    <xf numFmtId="0" fontId="15372" fillId="15376" borderId="15323" xfId="0" applyFont="1" applyFill="1" applyBorder="1"/>
    <xf numFmtId="0" fontId="15373" fillId="15377" borderId="15324" xfId="0" applyFont="1" applyFill="1" applyBorder="1"/>
    <xf numFmtId="0" fontId="15374" fillId="15378" borderId="15325" xfId="0" applyFont="1" applyFill="1" applyBorder="1"/>
    <xf numFmtId="0" fontId="15375" fillId="15379" borderId="15326" xfId="0" applyFont="1" applyFill="1" applyBorder="1" applyAlignment="1">
      <alignment horizontal="center"/>
    </xf>
    <xf numFmtId="0" fontId="15390" fillId="15394" borderId="15341" xfId="0" applyFont="1" applyFill="1" applyBorder="1" applyAlignment="1">
      <alignment horizontal="center"/>
    </xf>
    <xf numFmtId="14" fontId="15391" fillId="15395" borderId="15342" xfId="0" applyNumberFormat="1" applyFont="1" applyFill="1" applyBorder="1"/>
    <xf numFmtId="0" fontId="15392" fillId="15396" borderId="15343" xfId="0" applyFont="1" applyFill="1" applyBorder="1" applyAlignment="1">
      <alignment horizontal="center"/>
    </xf>
    <xf numFmtId="0" fontId="15393" fillId="15397" borderId="15344" xfId="0" applyFont="1" applyFill="1" applyBorder="1"/>
    <xf numFmtId="4" fontId="15394" fillId="15398" borderId="15345" xfId="0" applyNumberFormat="1" applyFont="1" applyFill="1" applyBorder="1"/>
    <xf numFmtId="168" fontId="15395" fillId="15399" borderId="15346" xfId="0" applyNumberFormat="1" applyFont="1" applyFill="1" applyBorder="1"/>
    <xf numFmtId="165" fontId="15396" fillId="15400" borderId="15347" xfId="0" applyNumberFormat="1" applyFont="1" applyFill="1" applyBorder="1"/>
    <xf numFmtId="0" fontId="15397" fillId="15401" borderId="15348" xfId="0" applyFont="1" applyFill="1" applyBorder="1"/>
    <xf numFmtId="0" fontId="15398" fillId="15402" borderId="15349" xfId="0" applyFont="1" applyFill="1" applyBorder="1"/>
    <xf numFmtId="0" fontId="15399" fillId="15403" borderId="15350" xfId="0" applyFont="1" applyFill="1" applyBorder="1"/>
    <xf numFmtId="0" fontId="15400" fillId="15404" borderId="15351" xfId="0" applyFont="1" applyFill="1" applyBorder="1"/>
    <xf numFmtId="0" fontId="15401" fillId="15405" borderId="15352" xfId="0" applyFont="1" applyFill="1" applyBorder="1"/>
    <xf numFmtId="0" fontId="15402" fillId="15406" borderId="15353" xfId="0" applyFont="1" applyFill="1" applyBorder="1"/>
    <xf numFmtId="0" fontId="15403" fillId="15407" borderId="15354" xfId="0" applyFont="1" applyFill="1" applyBorder="1" applyAlignment="1">
      <alignment horizontal="center"/>
    </xf>
    <xf numFmtId="0" fontId="15404" fillId="15408" borderId="15355" xfId="0" applyFont="1" applyFill="1" applyBorder="1" applyAlignment="1">
      <alignment horizontal="center"/>
    </xf>
    <xf numFmtId="14" fontId="15405" fillId="15409" borderId="15356" xfId="0" applyNumberFormat="1" applyFont="1" applyFill="1" applyBorder="1"/>
    <xf numFmtId="0" fontId="15406" fillId="15410" borderId="15357" xfId="0" applyFont="1" applyFill="1" applyBorder="1" applyAlignment="1">
      <alignment horizontal="center"/>
    </xf>
    <xf numFmtId="0" fontId="15407" fillId="15411" borderId="15358" xfId="0" applyFont="1" applyFill="1" applyBorder="1"/>
    <xf numFmtId="4" fontId="15408" fillId="15412" borderId="15359" xfId="0" applyNumberFormat="1" applyFont="1" applyFill="1" applyBorder="1"/>
    <xf numFmtId="168" fontId="15409" fillId="15413" borderId="15360" xfId="0" applyNumberFormat="1" applyFont="1" applyFill="1" applyBorder="1"/>
    <xf numFmtId="165" fontId="15410" fillId="15414" borderId="15361" xfId="0" applyNumberFormat="1" applyFont="1" applyFill="1" applyBorder="1"/>
    <xf numFmtId="0" fontId="15411" fillId="15415" borderId="15362" xfId="0" applyFont="1" applyFill="1" applyBorder="1"/>
    <xf numFmtId="0" fontId="15412" fillId="15416" borderId="15363" xfId="0" applyFont="1" applyFill="1" applyBorder="1"/>
    <xf numFmtId="0" fontId="15413" fillId="15417" borderId="15364" xfId="0" applyFont="1" applyFill="1" applyBorder="1"/>
    <xf numFmtId="0" fontId="15414" fillId="15418" borderId="15365" xfId="0" applyFont="1" applyFill="1" applyBorder="1"/>
    <xf numFmtId="0" fontId="15415" fillId="15419" borderId="15366" xfId="0" applyFont="1" applyFill="1" applyBorder="1"/>
    <xf numFmtId="0" fontId="15416" fillId="15420" borderId="15367" xfId="0" applyFont="1" applyFill="1" applyBorder="1"/>
    <xf numFmtId="0" fontId="15417" fillId="15421" borderId="15368" xfId="0" applyFont="1" applyFill="1" applyBorder="1" applyAlignment="1">
      <alignment horizontal="center"/>
    </xf>
    <xf numFmtId="0" fontId="15418" fillId="15422" borderId="15369" xfId="0" applyFont="1" applyFill="1" applyBorder="1" applyAlignment="1">
      <alignment horizontal="center"/>
    </xf>
    <xf numFmtId="14" fontId="15419" fillId="15423" borderId="15370" xfId="0" applyNumberFormat="1" applyFont="1" applyFill="1" applyBorder="1"/>
    <xf numFmtId="0" fontId="15420" fillId="15424" borderId="15371" xfId="0" applyFont="1" applyFill="1" applyBorder="1" applyAlignment="1">
      <alignment horizontal="center"/>
    </xf>
    <xf numFmtId="0" fontId="15421" fillId="15425" borderId="15372" xfId="0" applyFont="1" applyFill="1" applyBorder="1"/>
    <xf numFmtId="4" fontId="15422" fillId="15426" borderId="15373" xfId="0" applyNumberFormat="1" applyFont="1" applyFill="1" applyBorder="1"/>
    <xf numFmtId="168" fontId="15423" fillId="15427" borderId="15374" xfId="0" applyNumberFormat="1" applyFont="1" applyFill="1" applyBorder="1"/>
    <xf numFmtId="165" fontId="15424" fillId="15428" borderId="15375" xfId="0" applyNumberFormat="1" applyFont="1" applyFill="1" applyBorder="1"/>
    <xf numFmtId="0" fontId="15425" fillId="15429" borderId="15376" xfId="0" applyFont="1" applyFill="1" applyBorder="1"/>
    <xf numFmtId="0" fontId="15426" fillId="15430" borderId="15377" xfId="0" applyFont="1" applyFill="1" applyBorder="1"/>
    <xf numFmtId="0" fontId="15427" fillId="15431" borderId="15378" xfId="0" applyFont="1" applyFill="1" applyBorder="1"/>
    <xf numFmtId="0" fontId="15428" fillId="15432" borderId="15379" xfId="0" applyFont="1" applyFill="1" applyBorder="1"/>
    <xf numFmtId="0" fontId="15429" fillId="15433" borderId="15380" xfId="0" applyFont="1" applyFill="1" applyBorder="1"/>
    <xf numFmtId="0" fontId="15430" fillId="15434" borderId="15381" xfId="0" applyFont="1" applyFill="1" applyBorder="1"/>
    <xf numFmtId="0" fontId="15431" fillId="15435" borderId="15382" xfId="0" applyFont="1" applyFill="1" applyBorder="1" applyAlignment="1">
      <alignment horizontal="center"/>
    </xf>
    <xf numFmtId="0" fontId="15432" fillId="15436" borderId="15383" xfId="0" applyFont="1" applyFill="1" applyBorder="1" applyAlignment="1">
      <alignment horizontal="center"/>
    </xf>
    <xf numFmtId="14" fontId="15433" fillId="15437" borderId="15384" xfId="0" applyNumberFormat="1" applyFont="1" applyFill="1" applyBorder="1"/>
    <xf numFmtId="0" fontId="15434" fillId="15438" borderId="15385" xfId="0" applyFont="1" applyFill="1" applyBorder="1" applyAlignment="1">
      <alignment horizontal="center"/>
    </xf>
    <xf numFmtId="0" fontId="15435" fillId="15439" borderId="15386" xfId="0" applyFont="1" applyFill="1" applyBorder="1"/>
    <xf numFmtId="4" fontId="15436" fillId="15440" borderId="15387" xfId="0" applyNumberFormat="1" applyFont="1" applyFill="1" applyBorder="1"/>
    <xf numFmtId="168" fontId="15437" fillId="15441" borderId="15388" xfId="0" applyNumberFormat="1" applyFont="1" applyFill="1" applyBorder="1"/>
    <xf numFmtId="165" fontId="15438" fillId="15442" borderId="15389" xfId="0" applyNumberFormat="1" applyFont="1" applyFill="1" applyBorder="1"/>
    <xf numFmtId="0" fontId="15439" fillId="15443" borderId="15390" xfId="0" applyFont="1" applyFill="1" applyBorder="1"/>
    <xf numFmtId="0" fontId="15440" fillId="15444" borderId="15391" xfId="0" applyFont="1" applyFill="1" applyBorder="1"/>
    <xf numFmtId="0" fontId="15441" fillId="15445" borderId="15392" xfId="0" applyFont="1" applyFill="1" applyBorder="1"/>
    <xf numFmtId="0" fontId="15442" fillId="15446" borderId="15393" xfId="0" applyFont="1" applyFill="1" applyBorder="1"/>
    <xf numFmtId="0" fontId="15443" fillId="15447" borderId="15394" xfId="0" applyFont="1" applyFill="1" applyBorder="1"/>
    <xf numFmtId="0" fontId="15444" fillId="15448" borderId="15395" xfId="0" applyFont="1" applyFill="1" applyBorder="1"/>
    <xf numFmtId="0" fontId="15445" fillId="15449" borderId="15396" xfId="0" applyFont="1" applyFill="1" applyBorder="1" applyAlignment="1">
      <alignment horizontal="center"/>
    </xf>
    <xf numFmtId="0" fontId="15446" fillId="15450" borderId="15397" xfId="0" applyFont="1" applyFill="1" applyBorder="1" applyAlignment="1">
      <alignment horizontal="center"/>
    </xf>
    <xf numFmtId="14" fontId="15447" fillId="15451" borderId="15398" xfId="0" applyNumberFormat="1" applyFont="1" applyFill="1" applyBorder="1"/>
    <xf numFmtId="0" fontId="15448" fillId="15452" borderId="15399" xfId="0" applyFont="1" applyFill="1" applyBorder="1" applyAlignment="1">
      <alignment horizontal="center"/>
    </xf>
    <xf numFmtId="0" fontId="15449" fillId="15453" borderId="15400" xfId="0" applyFont="1" applyFill="1" applyBorder="1"/>
    <xf numFmtId="4" fontId="15450" fillId="15454" borderId="15401" xfId="0" applyNumberFormat="1" applyFont="1" applyFill="1" applyBorder="1"/>
    <xf numFmtId="168" fontId="15451" fillId="15455" borderId="15402" xfId="0" applyNumberFormat="1" applyFont="1" applyFill="1" applyBorder="1"/>
    <xf numFmtId="165" fontId="15452" fillId="15456" borderId="15403" xfId="0" applyNumberFormat="1" applyFont="1" applyFill="1" applyBorder="1"/>
    <xf numFmtId="0" fontId="15453" fillId="15457" borderId="15404" xfId="0" applyFont="1" applyFill="1" applyBorder="1"/>
    <xf numFmtId="0" fontId="15454" fillId="15458" borderId="15405" xfId="0" applyFont="1" applyFill="1" applyBorder="1"/>
    <xf numFmtId="0" fontId="15455" fillId="15459" borderId="15406" xfId="0" applyFont="1" applyFill="1" applyBorder="1"/>
    <xf numFmtId="0" fontId="15456" fillId="15460" borderId="15407" xfId="0" applyFont="1" applyFill="1" applyBorder="1"/>
    <xf numFmtId="0" fontId="15457" fillId="15461" borderId="15408" xfId="0" applyFont="1" applyFill="1" applyBorder="1"/>
    <xf numFmtId="0" fontId="15458" fillId="15462" borderId="15409" xfId="0" applyFont="1" applyFill="1" applyBorder="1"/>
    <xf numFmtId="0" fontId="15459" fillId="15463" borderId="15410" xfId="0" applyFont="1" applyFill="1" applyBorder="1" applyAlignment="1">
      <alignment horizontal="center"/>
    </xf>
    <xf numFmtId="0" fontId="15460" fillId="15464" borderId="15411" xfId="0" applyFont="1" applyFill="1" applyBorder="1" applyAlignment="1">
      <alignment horizontal="center"/>
    </xf>
    <xf numFmtId="14" fontId="15461" fillId="15465" borderId="15412" xfId="0" applyNumberFormat="1" applyFont="1" applyFill="1" applyBorder="1"/>
    <xf numFmtId="0" fontId="15462" fillId="15466" borderId="15413" xfId="0" applyFont="1" applyFill="1" applyBorder="1" applyAlignment="1">
      <alignment horizontal="center"/>
    </xf>
    <xf numFmtId="0" fontId="15463" fillId="15467" borderId="15414" xfId="0" applyFont="1" applyFill="1" applyBorder="1"/>
    <xf numFmtId="4" fontId="15464" fillId="15468" borderId="15415" xfId="0" applyNumberFormat="1" applyFont="1" applyFill="1" applyBorder="1"/>
    <xf numFmtId="168" fontId="15465" fillId="15469" borderId="15416" xfId="0" applyNumberFormat="1" applyFont="1" applyFill="1" applyBorder="1"/>
    <xf numFmtId="165" fontId="15466" fillId="15470" borderId="15417" xfId="0" applyNumberFormat="1" applyFont="1" applyFill="1" applyBorder="1"/>
    <xf numFmtId="0" fontId="15467" fillId="15471" borderId="15418" xfId="0" applyFont="1" applyFill="1" applyBorder="1"/>
    <xf numFmtId="0" fontId="15468" fillId="15472" borderId="15419" xfId="0" applyFont="1" applyFill="1" applyBorder="1"/>
    <xf numFmtId="0" fontId="15469" fillId="15473" borderId="15420" xfId="0" applyFont="1" applyFill="1" applyBorder="1"/>
    <xf numFmtId="0" fontId="15470" fillId="15474" borderId="15421" xfId="0" applyFont="1" applyFill="1" applyBorder="1"/>
    <xf numFmtId="0" fontId="15471" fillId="15475" borderId="15422" xfId="0" applyFont="1" applyFill="1" applyBorder="1"/>
    <xf numFmtId="0" fontId="15472" fillId="15476" borderId="15423" xfId="0" applyFont="1" applyFill="1" applyBorder="1"/>
    <xf numFmtId="0" fontId="15473" fillId="15477" borderId="15424" xfId="0" applyFont="1" applyFill="1" applyBorder="1" applyAlignment="1">
      <alignment horizontal="center"/>
    </xf>
    <xf numFmtId="0" fontId="15474" fillId="15478" borderId="15425" xfId="0" applyFont="1" applyFill="1" applyBorder="1" applyAlignment="1">
      <alignment horizontal="center"/>
    </xf>
    <xf numFmtId="14" fontId="15475" fillId="15479" borderId="15426" xfId="0" applyNumberFormat="1" applyFont="1" applyFill="1" applyBorder="1"/>
    <xf numFmtId="0" fontId="15476" fillId="15480" borderId="15427" xfId="0" applyFont="1" applyFill="1" applyBorder="1" applyAlignment="1">
      <alignment horizontal="center"/>
    </xf>
    <xf numFmtId="0" fontId="15477" fillId="15481" borderId="15428" xfId="0" applyFont="1" applyFill="1" applyBorder="1"/>
    <xf numFmtId="4" fontId="15478" fillId="15482" borderId="15429" xfId="0" applyNumberFormat="1" applyFont="1" applyFill="1" applyBorder="1"/>
    <xf numFmtId="168" fontId="15479" fillId="15483" borderId="15430" xfId="0" applyNumberFormat="1" applyFont="1" applyFill="1" applyBorder="1"/>
    <xf numFmtId="165" fontId="15480" fillId="15484" borderId="15431" xfId="0" applyNumberFormat="1" applyFont="1" applyFill="1" applyBorder="1"/>
    <xf numFmtId="0" fontId="15481" fillId="15485" borderId="15432" xfId="0" applyFont="1" applyFill="1" applyBorder="1"/>
    <xf numFmtId="0" fontId="15482" fillId="15486" borderId="15433" xfId="0" applyFont="1" applyFill="1" applyBorder="1"/>
    <xf numFmtId="0" fontId="15483" fillId="15487" borderId="15434" xfId="0" applyFont="1" applyFill="1" applyBorder="1"/>
    <xf numFmtId="0" fontId="15484" fillId="15488" borderId="15435" xfId="0" applyFont="1" applyFill="1" applyBorder="1"/>
    <xf numFmtId="0" fontId="15485" fillId="15489" borderId="15436" xfId="0" applyFont="1" applyFill="1" applyBorder="1"/>
    <xf numFmtId="0" fontId="15486" fillId="15490" borderId="15437" xfId="0" applyFont="1" applyFill="1" applyBorder="1"/>
    <xf numFmtId="0" fontId="15487" fillId="15491" borderId="15438" xfId="0" applyFont="1" applyFill="1" applyBorder="1" applyAlignment="1">
      <alignment horizontal="center"/>
    </xf>
    <xf numFmtId="0" fontId="15488" fillId="15492" borderId="15439" xfId="0" applyFont="1" applyFill="1" applyBorder="1" applyAlignment="1">
      <alignment horizontal="center"/>
    </xf>
    <xf numFmtId="14" fontId="15489" fillId="15493" borderId="15440" xfId="0" applyNumberFormat="1" applyFont="1" applyFill="1" applyBorder="1"/>
    <xf numFmtId="0" fontId="15490" fillId="15494" borderId="15441" xfId="0" applyFont="1" applyFill="1" applyBorder="1" applyAlignment="1">
      <alignment horizontal="center"/>
    </xf>
    <xf numFmtId="0" fontId="15491" fillId="15495" borderId="15442" xfId="0" applyFont="1" applyFill="1" applyBorder="1"/>
    <xf numFmtId="4" fontId="15492" fillId="15496" borderId="15443" xfId="0" applyNumberFormat="1" applyFont="1" applyFill="1" applyBorder="1"/>
    <xf numFmtId="168" fontId="15493" fillId="15497" borderId="15444" xfId="0" applyNumberFormat="1" applyFont="1" applyFill="1" applyBorder="1"/>
    <xf numFmtId="165" fontId="15494" fillId="15498" borderId="15445" xfId="0" applyNumberFormat="1" applyFont="1" applyFill="1" applyBorder="1"/>
    <xf numFmtId="0" fontId="15495" fillId="15499" borderId="15446" xfId="0" applyFont="1" applyFill="1" applyBorder="1"/>
    <xf numFmtId="0" fontId="15496" fillId="15500" borderId="15447" xfId="0" applyFont="1" applyFill="1" applyBorder="1"/>
    <xf numFmtId="0" fontId="15497" fillId="15501" borderId="15448" xfId="0" applyFont="1" applyFill="1" applyBorder="1"/>
    <xf numFmtId="0" fontId="15498" fillId="15502" borderId="15449" xfId="0" applyFont="1" applyFill="1" applyBorder="1"/>
    <xf numFmtId="0" fontId="15499" fillId="15503" borderId="15450" xfId="0" applyFont="1" applyFill="1" applyBorder="1"/>
    <xf numFmtId="0" fontId="15500" fillId="15504" borderId="15451" xfId="0" applyFont="1" applyFill="1" applyBorder="1"/>
    <xf numFmtId="0" fontId="15501" fillId="15505" borderId="15452" xfId="0" applyFont="1" applyFill="1" applyBorder="1" applyAlignment="1">
      <alignment horizontal="center"/>
    </xf>
    <xf numFmtId="0" fontId="15502" fillId="15506" borderId="15453" xfId="0" applyFont="1" applyFill="1" applyBorder="1" applyAlignment="1">
      <alignment horizontal="center"/>
    </xf>
    <xf numFmtId="14" fontId="15503" fillId="15507" borderId="15454" xfId="0" applyNumberFormat="1" applyFont="1" applyFill="1" applyBorder="1"/>
    <xf numFmtId="0" fontId="15504" fillId="15508" borderId="15455" xfId="0" applyFont="1" applyFill="1" applyBorder="1" applyAlignment="1">
      <alignment horizontal="center"/>
    </xf>
    <xf numFmtId="0" fontId="15505" fillId="15509" borderId="15456" xfId="0" applyFont="1" applyFill="1" applyBorder="1"/>
    <xf numFmtId="4" fontId="15506" fillId="15510" borderId="15457" xfId="0" applyNumberFormat="1" applyFont="1" applyFill="1" applyBorder="1"/>
    <xf numFmtId="168" fontId="15507" fillId="15511" borderId="15458" xfId="0" applyNumberFormat="1" applyFont="1" applyFill="1" applyBorder="1"/>
    <xf numFmtId="165" fontId="15508" fillId="15512" borderId="15459" xfId="0" applyNumberFormat="1" applyFont="1" applyFill="1" applyBorder="1"/>
    <xf numFmtId="0" fontId="15509" fillId="15513" borderId="15460" xfId="0" applyFont="1" applyFill="1" applyBorder="1"/>
    <xf numFmtId="0" fontId="15510" fillId="15514" borderId="15461" xfId="0" applyFont="1" applyFill="1" applyBorder="1"/>
    <xf numFmtId="0" fontId="15511" fillId="15515" borderId="15462" xfId="0" applyFont="1" applyFill="1" applyBorder="1"/>
    <xf numFmtId="0" fontId="15512" fillId="15516" borderId="15463" xfId="0" applyFont="1" applyFill="1" applyBorder="1"/>
    <xf numFmtId="0" fontId="15513" fillId="15517" borderId="15464" xfId="0" applyFont="1" applyFill="1" applyBorder="1"/>
    <xf numFmtId="0" fontId="15514" fillId="15518" borderId="15465" xfId="0" applyFont="1" applyFill="1" applyBorder="1"/>
    <xf numFmtId="0" fontId="15515" fillId="15519" borderId="15466" xfId="0" applyFont="1" applyFill="1" applyBorder="1" applyAlignment="1">
      <alignment horizontal="center"/>
    </xf>
    <xf numFmtId="0" fontId="15516" fillId="15520" borderId="15467" xfId="0" applyFont="1" applyFill="1" applyBorder="1" applyAlignment="1">
      <alignment horizontal="center"/>
    </xf>
    <xf numFmtId="14" fontId="15517" fillId="15521" borderId="15468" xfId="0" applyNumberFormat="1" applyFont="1" applyFill="1" applyBorder="1"/>
    <xf numFmtId="0" fontId="15518" fillId="15522" borderId="15469" xfId="0" applyFont="1" applyFill="1" applyBorder="1" applyAlignment="1">
      <alignment horizontal="center"/>
    </xf>
    <xf numFmtId="0" fontId="15519" fillId="15523" borderId="15470" xfId="0" applyFont="1" applyFill="1" applyBorder="1"/>
    <xf numFmtId="4" fontId="15520" fillId="15524" borderId="15471" xfId="0" applyNumberFormat="1" applyFont="1" applyFill="1" applyBorder="1"/>
    <xf numFmtId="168" fontId="15521" fillId="15525" borderId="15472" xfId="0" applyNumberFormat="1" applyFont="1" applyFill="1" applyBorder="1"/>
    <xf numFmtId="165" fontId="15522" fillId="15526" borderId="15473" xfId="0" applyNumberFormat="1" applyFont="1" applyFill="1" applyBorder="1"/>
    <xf numFmtId="0" fontId="15523" fillId="15527" borderId="15474" xfId="0" applyFont="1" applyFill="1" applyBorder="1"/>
    <xf numFmtId="0" fontId="15524" fillId="15528" borderId="15475" xfId="0" applyFont="1" applyFill="1" applyBorder="1"/>
    <xf numFmtId="0" fontId="15525" fillId="15529" borderId="15476" xfId="0" applyFont="1" applyFill="1" applyBorder="1"/>
    <xf numFmtId="0" fontId="15526" fillId="15530" borderId="15477" xfId="0" applyFont="1" applyFill="1" applyBorder="1"/>
    <xf numFmtId="0" fontId="15527" fillId="15531" borderId="15478" xfId="0" applyFont="1" applyFill="1" applyBorder="1"/>
    <xf numFmtId="0" fontId="15528" fillId="15532" borderId="15479" xfId="0" applyFont="1" applyFill="1" applyBorder="1"/>
    <xf numFmtId="0" fontId="15529" fillId="15533" borderId="15480" xfId="0" applyFont="1" applyFill="1" applyBorder="1" applyAlignment="1">
      <alignment horizontal="center"/>
    </xf>
    <xf numFmtId="0" fontId="15530" fillId="15534" borderId="15481" xfId="0" applyFont="1" applyFill="1" applyBorder="1" applyAlignment="1">
      <alignment horizontal="center"/>
    </xf>
    <xf numFmtId="14" fontId="15531" fillId="15535" borderId="15482" xfId="0" applyNumberFormat="1" applyFont="1" applyFill="1" applyBorder="1"/>
    <xf numFmtId="0" fontId="15532" fillId="15536" borderId="15483" xfId="0" applyFont="1" applyFill="1" applyBorder="1" applyAlignment="1">
      <alignment horizontal="center"/>
    </xf>
    <xf numFmtId="0" fontId="15533" fillId="15537" borderId="15484" xfId="0" applyFont="1" applyFill="1" applyBorder="1"/>
    <xf numFmtId="4" fontId="15534" fillId="15538" borderId="15485" xfId="0" applyNumberFormat="1" applyFont="1" applyFill="1" applyBorder="1"/>
    <xf numFmtId="168" fontId="15535" fillId="15539" borderId="15486" xfId="0" applyNumberFormat="1" applyFont="1" applyFill="1" applyBorder="1"/>
    <xf numFmtId="165" fontId="15536" fillId="15540" borderId="15487" xfId="0" applyNumberFormat="1" applyFont="1" applyFill="1" applyBorder="1"/>
    <xf numFmtId="0" fontId="15537" fillId="15541" borderId="15488" xfId="0" applyFont="1" applyFill="1" applyBorder="1"/>
    <xf numFmtId="0" fontId="15538" fillId="15542" borderId="15489" xfId="0" applyFont="1" applyFill="1" applyBorder="1"/>
    <xf numFmtId="0" fontId="15539" fillId="15543" borderId="15490" xfId="0" applyFont="1" applyFill="1" applyBorder="1"/>
    <xf numFmtId="0" fontId="15540" fillId="15544" borderId="15491" xfId="0" applyFont="1" applyFill="1" applyBorder="1"/>
    <xf numFmtId="0" fontId="15541" fillId="15545" borderId="15492" xfId="0" applyFont="1" applyFill="1" applyBorder="1"/>
    <xf numFmtId="0" fontId="15542" fillId="15546" borderId="15493" xfId="0" applyFont="1" applyFill="1" applyBorder="1"/>
    <xf numFmtId="0" fontId="15543" fillId="15547" borderId="15494" xfId="0" applyFont="1" applyFill="1" applyBorder="1" applyAlignment="1">
      <alignment horizontal="center"/>
    </xf>
    <xf numFmtId="0" fontId="15544" fillId="15548" borderId="15495" xfId="0" applyFont="1" applyFill="1" applyBorder="1" applyAlignment="1">
      <alignment horizontal="center"/>
    </xf>
    <xf numFmtId="14" fontId="15545" fillId="15549" borderId="15496" xfId="0" applyNumberFormat="1" applyFont="1" applyFill="1" applyBorder="1"/>
    <xf numFmtId="0" fontId="15546" fillId="15550" borderId="15497" xfId="0" applyFont="1" applyFill="1" applyBorder="1" applyAlignment="1">
      <alignment horizontal="center"/>
    </xf>
    <xf numFmtId="0" fontId="15547" fillId="15551" borderId="15498" xfId="0" applyFont="1" applyFill="1" applyBorder="1"/>
    <xf numFmtId="4" fontId="15548" fillId="15552" borderId="15499" xfId="0" applyNumberFormat="1" applyFont="1" applyFill="1" applyBorder="1"/>
    <xf numFmtId="168" fontId="15549" fillId="15553" borderId="15500" xfId="0" applyNumberFormat="1" applyFont="1" applyFill="1" applyBorder="1"/>
    <xf numFmtId="165" fontId="15550" fillId="15554" borderId="15501" xfId="0" applyNumberFormat="1" applyFont="1" applyFill="1" applyBorder="1"/>
    <xf numFmtId="0" fontId="15551" fillId="15555" borderId="15502" xfId="0" applyFont="1" applyFill="1" applyBorder="1"/>
    <xf numFmtId="0" fontId="15552" fillId="15556" borderId="15503" xfId="0" applyFont="1" applyFill="1" applyBorder="1"/>
    <xf numFmtId="0" fontId="15553" fillId="15557" borderId="15504" xfId="0" applyFont="1" applyFill="1" applyBorder="1"/>
    <xf numFmtId="0" fontId="15554" fillId="15558" borderId="15505" xfId="0" applyFont="1" applyFill="1" applyBorder="1"/>
    <xf numFmtId="0" fontId="15555" fillId="15559" borderId="15506" xfId="0" applyFont="1" applyFill="1" applyBorder="1"/>
    <xf numFmtId="0" fontId="15556" fillId="15560" borderId="15507" xfId="0" applyFont="1" applyFill="1" applyBorder="1"/>
    <xf numFmtId="0" fontId="15557" fillId="15561" borderId="15508" xfId="0" applyFont="1" applyFill="1" applyBorder="1" applyAlignment="1">
      <alignment horizontal="center"/>
    </xf>
    <xf numFmtId="0" fontId="15558" fillId="15562" borderId="15509" xfId="0" applyFont="1" applyFill="1" applyBorder="1" applyAlignment="1">
      <alignment horizontal="center"/>
    </xf>
    <xf numFmtId="14" fontId="15559" fillId="15563" borderId="15510" xfId="0" applyNumberFormat="1" applyFont="1" applyFill="1" applyBorder="1"/>
    <xf numFmtId="0" fontId="15560" fillId="15564" borderId="15511" xfId="0" applyFont="1" applyFill="1" applyBorder="1" applyAlignment="1">
      <alignment horizontal="center"/>
    </xf>
    <xf numFmtId="0" fontId="15561" fillId="15565" borderId="15512" xfId="0" applyFont="1" applyFill="1" applyBorder="1"/>
    <xf numFmtId="4" fontId="15562" fillId="15566" borderId="15513" xfId="0" applyNumberFormat="1" applyFont="1" applyFill="1" applyBorder="1"/>
    <xf numFmtId="168" fontId="15563" fillId="15567" borderId="15514" xfId="0" applyNumberFormat="1" applyFont="1" applyFill="1" applyBorder="1"/>
    <xf numFmtId="165" fontId="15564" fillId="15568" borderId="15515" xfId="0" applyNumberFormat="1" applyFont="1" applyFill="1" applyBorder="1"/>
    <xf numFmtId="0" fontId="15565" fillId="15569" borderId="15516" xfId="0" applyFont="1" applyFill="1" applyBorder="1"/>
    <xf numFmtId="0" fontId="15566" fillId="15570" borderId="15517" xfId="0" applyFont="1" applyFill="1" applyBorder="1"/>
    <xf numFmtId="0" fontId="15567" fillId="15571" borderId="15518" xfId="0" applyFont="1" applyFill="1" applyBorder="1"/>
    <xf numFmtId="0" fontId="15568" fillId="15572" borderId="15519" xfId="0" applyFont="1" applyFill="1" applyBorder="1"/>
    <xf numFmtId="0" fontId="15569" fillId="15573" borderId="15520" xfId="0" applyFont="1" applyFill="1" applyBorder="1"/>
    <xf numFmtId="0" fontId="15570" fillId="15574" borderId="15521" xfId="0" applyFont="1" applyFill="1" applyBorder="1"/>
    <xf numFmtId="0" fontId="15571" fillId="15575" borderId="15522" xfId="0" applyFont="1" applyFill="1" applyBorder="1" applyAlignment="1">
      <alignment horizontal="center"/>
    </xf>
    <xf numFmtId="0" fontId="15572" fillId="15576" borderId="15523" xfId="0" applyFont="1" applyFill="1" applyBorder="1" applyAlignment="1">
      <alignment horizontal="center"/>
    </xf>
    <xf numFmtId="14" fontId="15573" fillId="15577" borderId="15524" xfId="0" applyNumberFormat="1" applyFont="1" applyFill="1" applyBorder="1"/>
    <xf numFmtId="0" fontId="15574" fillId="15578" borderId="15525" xfId="0" applyFont="1" applyFill="1" applyBorder="1" applyAlignment="1">
      <alignment horizontal="center"/>
    </xf>
    <xf numFmtId="0" fontId="15575" fillId="15579" borderId="15526" xfId="0" applyFont="1" applyFill="1" applyBorder="1"/>
    <xf numFmtId="4" fontId="15576" fillId="15580" borderId="15527" xfId="0" applyNumberFormat="1" applyFont="1" applyFill="1" applyBorder="1"/>
    <xf numFmtId="168" fontId="15577" fillId="15581" borderId="15528" xfId="0" applyNumberFormat="1" applyFont="1" applyFill="1" applyBorder="1"/>
    <xf numFmtId="165" fontId="15578" fillId="15582" borderId="15529" xfId="0" applyNumberFormat="1" applyFont="1" applyFill="1" applyBorder="1"/>
    <xf numFmtId="0" fontId="15579" fillId="15583" borderId="15530" xfId="0" applyFont="1" applyFill="1" applyBorder="1"/>
    <xf numFmtId="0" fontId="15580" fillId="15584" borderId="15531" xfId="0" applyFont="1" applyFill="1" applyBorder="1"/>
    <xf numFmtId="0" fontId="15581" fillId="15585" borderId="15532" xfId="0" applyFont="1" applyFill="1" applyBorder="1"/>
    <xf numFmtId="0" fontId="15582" fillId="15586" borderId="15533" xfId="0" applyFont="1" applyFill="1" applyBorder="1"/>
    <xf numFmtId="0" fontId="15583" fillId="15587" borderId="15534" xfId="0" applyFont="1" applyFill="1" applyBorder="1"/>
    <xf numFmtId="0" fontId="15584" fillId="15588" borderId="15535" xfId="0" applyFont="1" applyFill="1" applyBorder="1"/>
    <xf numFmtId="0" fontId="15585" fillId="15589" borderId="15536" xfId="0" applyFont="1" applyFill="1" applyBorder="1" applyAlignment="1">
      <alignment horizontal="center"/>
    </xf>
    <xf numFmtId="0" fontId="15656" fillId="15660" borderId="15607" xfId="0" applyFont="1" applyFill="1" applyBorder="1" applyAlignment="1">
      <alignment horizontal="center"/>
    </xf>
    <xf numFmtId="14" fontId="15657" fillId="15661" borderId="15608" xfId="0" applyNumberFormat="1" applyFont="1" applyFill="1" applyBorder="1"/>
    <xf numFmtId="0" fontId="15658" fillId="15662" borderId="15609" xfId="0" applyFont="1" applyFill="1" applyBorder="1" applyAlignment="1">
      <alignment horizontal="center"/>
    </xf>
    <xf numFmtId="0" fontId="15659" fillId="15663" borderId="15610" xfId="0" applyFont="1" applyFill="1" applyBorder="1"/>
    <xf numFmtId="4" fontId="15660" fillId="15664" borderId="15611" xfId="0" applyNumberFormat="1" applyFont="1" applyFill="1" applyBorder="1"/>
    <xf numFmtId="168" fontId="15661" fillId="15665" borderId="15612" xfId="0" applyNumberFormat="1" applyFont="1" applyFill="1" applyBorder="1"/>
    <xf numFmtId="165" fontId="15662" fillId="15666" borderId="15613" xfId="0" applyNumberFormat="1" applyFont="1" applyFill="1" applyBorder="1"/>
    <xf numFmtId="0" fontId="15663" fillId="15667" borderId="15614" xfId="0" applyFont="1" applyFill="1" applyBorder="1"/>
    <xf numFmtId="0" fontId="15664" fillId="15668" borderId="15615" xfId="0" applyFont="1" applyFill="1" applyBorder="1"/>
    <xf numFmtId="0" fontId="15665" fillId="15669" borderId="15616" xfId="0" applyFont="1" applyFill="1" applyBorder="1"/>
    <xf numFmtId="0" fontId="15666" fillId="15670" borderId="15617" xfId="0" applyFont="1" applyFill="1" applyBorder="1"/>
    <xf numFmtId="0" fontId="15667" fillId="15671" borderId="15618" xfId="0" applyFont="1" applyFill="1" applyBorder="1"/>
    <xf numFmtId="0" fontId="15668" fillId="15672" borderId="15619" xfId="0" applyFont="1" applyFill="1" applyBorder="1"/>
    <xf numFmtId="0" fontId="15669" fillId="15673" borderId="15620" xfId="0" applyFont="1" applyFill="1" applyBorder="1" applyAlignment="1">
      <alignment horizontal="center"/>
    </xf>
    <xf numFmtId="0" fontId="15670" fillId="15674" borderId="15621" xfId="0" applyFont="1" applyFill="1" applyBorder="1" applyAlignment="1">
      <alignment horizontal="center"/>
    </xf>
    <xf numFmtId="14" fontId="15671" fillId="15675" borderId="15622" xfId="0" applyNumberFormat="1" applyFont="1" applyFill="1" applyBorder="1"/>
    <xf numFmtId="0" fontId="15672" fillId="15676" borderId="15623" xfId="0" applyFont="1" applyFill="1" applyBorder="1" applyAlignment="1">
      <alignment horizontal="center"/>
    </xf>
    <xf numFmtId="0" fontId="15673" fillId="15677" borderId="15624" xfId="0" applyFont="1" applyFill="1" applyBorder="1"/>
    <xf numFmtId="4" fontId="15674" fillId="15678" borderId="15625" xfId="0" applyNumberFormat="1" applyFont="1" applyFill="1" applyBorder="1"/>
    <xf numFmtId="168" fontId="15675" fillId="15679" borderId="15626" xfId="0" applyNumberFormat="1" applyFont="1" applyFill="1" applyBorder="1"/>
    <xf numFmtId="165" fontId="15676" fillId="15680" borderId="15627" xfId="0" applyNumberFormat="1" applyFont="1" applyFill="1" applyBorder="1"/>
    <xf numFmtId="0" fontId="15677" fillId="15681" borderId="15628" xfId="0" applyFont="1" applyFill="1" applyBorder="1"/>
    <xf numFmtId="0" fontId="15678" fillId="15682" borderId="15629" xfId="0" applyFont="1" applyFill="1" applyBorder="1"/>
    <xf numFmtId="0" fontId="15679" fillId="15683" borderId="15630" xfId="0" applyFont="1" applyFill="1" applyBorder="1"/>
    <xf numFmtId="0" fontId="15680" fillId="15684" borderId="15631" xfId="0" applyFont="1" applyFill="1" applyBorder="1"/>
    <xf numFmtId="0" fontId="15681" fillId="15685" borderId="15632" xfId="0" applyFont="1" applyFill="1" applyBorder="1"/>
    <xf numFmtId="0" fontId="15682" fillId="15686" borderId="15633" xfId="0" applyFont="1" applyFill="1" applyBorder="1"/>
    <xf numFmtId="0" fontId="15683" fillId="15687" borderId="15634" xfId="0" applyFont="1" applyFill="1" applyBorder="1" applyAlignment="1">
      <alignment horizontal="center"/>
    </xf>
    <xf numFmtId="0" fontId="15684" fillId="15688" borderId="15635" xfId="0" applyFont="1" applyFill="1" applyBorder="1" applyAlignment="1">
      <alignment horizontal="center"/>
    </xf>
    <xf numFmtId="14" fontId="15685" fillId="15689" borderId="15636" xfId="0" applyNumberFormat="1" applyFont="1" applyFill="1" applyBorder="1"/>
    <xf numFmtId="0" fontId="15686" fillId="15690" borderId="15637" xfId="0" applyFont="1" applyFill="1" applyBorder="1" applyAlignment="1">
      <alignment horizontal="center"/>
    </xf>
    <xf numFmtId="0" fontId="15687" fillId="15691" borderId="15638" xfId="0" applyFont="1" applyFill="1" applyBorder="1"/>
    <xf numFmtId="4" fontId="15688" fillId="15692" borderId="15639" xfId="0" applyNumberFormat="1" applyFont="1" applyFill="1" applyBorder="1"/>
    <xf numFmtId="168" fontId="15689" fillId="15693" borderId="15640" xfId="0" applyNumberFormat="1" applyFont="1" applyFill="1" applyBorder="1"/>
    <xf numFmtId="165" fontId="15690" fillId="15694" borderId="15641" xfId="0" applyNumberFormat="1" applyFont="1" applyFill="1" applyBorder="1"/>
    <xf numFmtId="0" fontId="15691" fillId="15695" borderId="15642" xfId="0" applyFont="1" applyFill="1" applyBorder="1"/>
    <xf numFmtId="0" fontId="15692" fillId="15696" borderId="15643" xfId="0" applyFont="1" applyFill="1" applyBorder="1"/>
    <xf numFmtId="0" fontId="15693" fillId="15697" borderId="15644" xfId="0" applyFont="1" applyFill="1" applyBorder="1"/>
    <xf numFmtId="0" fontId="15694" fillId="15698" borderId="15645" xfId="0" applyFont="1" applyFill="1" applyBorder="1"/>
    <xf numFmtId="0" fontId="15695" fillId="15699" borderId="15646" xfId="0" applyFont="1" applyFill="1" applyBorder="1"/>
    <xf numFmtId="0" fontId="15696" fillId="15700" borderId="15647" xfId="0" applyFont="1" applyFill="1" applyBorder="1"/>
    <xf numFmtId="0" fontId="15697" fillId="15701" borderId="15648" xfId="0" applyFont="1" applyFill="1" applyBorder="1" applyAlignment="1">
      <alignment horizontal="center"/>
    </xf>
    <xf numFmtId="0" fontId="15698" fillId="15702" borderId="15649" xfId="0" applyFont="1" applyFill="1" applyBorder="1" applyAlignment="1">
      <alignment horizontal="center"/>
    </xf>
    <xf numFmtId="14" fontId="15699" fillId="15703" borderId="15650" xfId="0" applyNumberFormat="1" applyFont="1" applyFill="1" applyBorder="1"/>
    <xf numFmtId="0" fontId="15700" fillId="15704" borderId="15651" xfId="0" applyFont="1" applyFill="1" applyBorder="1" applyAlignment="1">
      <alignment horizontal="center"/>
    </xf>
    <xf numFmtId="0" fontId="15701" fillId="15705" borderId="15652" xfId="0" applyFont="1" applyFill="1" applyBorder="1"/>
    <xf numFmtId="4" fontId="15702" fillId="15706" borderId="15653" xfId="0" applyNumberFormat="1" applyFont="1" applyFill="1" applyBorder="1"/>
    <xf numFmtId="168" fontId="15703" fillId="15707" borderId="15654" xfId="0" applyNumberFormat="1" applyFont="1" applyFill="1" applyBorder="1"/>
    <xf numFmtId="165" fontId="15704" fillId="15708" borderId="15655" xfId="0" applyNumberFormat="1" applyFont="1" applyFill="1" applyBorder="1"/>
    <xf numFmtId="0" fontId="15705" fillId="15709" borderId="15656" xfId="0" applyFont="1" applyFill="1" applyBorder="1"/>
    <xf numFmtId="0" fontId="15706" fillId="15710" borderId="15657" xfId="0" applyFont="1" applyFill="1" applyBorder="1"/>
    <xf numFmtId="0" fontId="15707" fillId="15711" borderId="15658" xfId="0" applyFont="1" applyFill="1" applyBorder="1"/>
    <xf numFmtId="0" fontId="15708" fillId="15712" borderId="15659" xfId="0" applyFont="1" applyFill="1" applyBorder="1"/>
    <xf numFmtId="0" fontId="15709" fillId="15713" borderId="15660" xfId="0" applyFont="1" applyFill="1" applyBorder="1"/>
    <xf numFmtId="0" fontId="15710" fillId="15714" borderId="15661" xfId="0" applyFont="1" applyFill="1" applyBorder="1"/>
    <xf numFmtId="0" fontId="15711" fillId="15715" borderId="15662" xfId="0" applyFont="1" applyFill="1" applyBorder="1" applyAlignment="1">
      <alignment horizontal="center"/>
    </xf>
    <xf numFmtId="0" fontId="15712" fillId="15716" borderId="15663" xfId="0" applyFont="1" applyFill="1" applyBorder="1"/>
    <xf numFmtId="0" fontId="15250" fillId="15254" borderId="14964" xfId="0" applyFont="1" applyFill="1" applyBorder="1" applyAlignment="1">
      <alignment horizontal="center"/>
    </xf>
    <xf numFmtId="0" fontId="15600" fillId="15604" borderId="15201" xfId="0" applyFont="1" applyFill="1" applyBorder="1" applyAlignment="1">
      <alignment horizontal="center"/>
    </xf>
    <xf numFmtId="0" fontId="15278" fillId="15282" borderId="15551" xfId="0" applyFont="1" applyFill="1" applyBorder="1" applyAlignment="1">
      <alignment horizontal="center"/>
    </xf>
    <xf numFmtId="0" fontId="15236" fillId="15240" borderId="15229" xfId="0" applyFont="1" applyFill="1" applyBorder="1" applyAlignment="1">
      <alignment horizontal="center"/>
    </xf>
    <xf numFmtId="0" fontId="15642" fillId="15646" borderId="15187" xfId="0" applyFont="1" applyFill="1" applyBorder="1" applyAlignment="1">
      <alignment horizontal="center"/>
    </xf>
    <xf numFmtId="0" fontId="15292" fillId="15296" borderId="15593" xfId="0" applyFont="1" applyFill="1" applyBorder="1" applyAlignment="1">
      <alignment horizontal="center"/>
    </xf>
    <xf numFmtId="0" fontId="15013" fillId="15017" borderId="15243" xfId="0" applyFont="1" applyFill="1" applyBorder="1" applyAlignment="1">
      <alignment horizontal="center"/>
    </xf>
    <xf numFmtId="0" fontId="15376" fillId="15380" borderId="14978" xfId="0" applyFont="1" applyFill="1" applyBorder="1" applyAlignment="1">
      <alignment horizontal="center"/>
    </xf>
    <xf numFmtId="0" fontId="15027" fillId="15031" borderId="15327" xfId="0" applyFont="1" applyFill="1" applyBorder="1" applyAlignment="1">
      <alignment horizontal="center"/>
    </xf>
    <xf numFmtId="0" fontId="15586" fillId="15590" borderId="15173" xfId="0" applyFont="1" applyFill="1" applyBorder="1" applyAlignment="1">
      <alignment horizontal="center"/>
    </xf>
    <xf numFmtId="0" fontId="15614" fillId="15618" borderId="15537" xfId="0" applyFont="1" applyFill="1" applyBorder="1" applyAlignment="1">
      <alignment horizontal="center"/>
    </xf>
    <xf numFmtId="0" fontId="15628" fillId="15632" borderId="15565" xfId="0" applyFont="1" applyFill="1" applyBorder="1" applyAlignment="1">
      <alignment horizontal="center"/>
    </xf>
    <xf numFmtId="0" fontId="15222" fillId="15226" borderId="15579" xfId="0" applyFont="1" applyFill="1" applyBorder="1" applyAlignment="1">
      <alignment horizontal="center"/>
    </xf>
    <xf numFmtId="14" fontId="15251" fillId="15255" borderId="14965" xfId="0" applyNumberFormat="1" applyFont="1" applyFill="1" applyBorder="1"/>
    <xf numFmtId="14" fontId="15601" fillId="15605" borderId="15202" xfId="0" applyNumberFormat="1" applyFont="1" applyFill="1" applyBorder="1"/>
    <xf numFmtId="14" fontId="15279" fillId="15283" borderId="15552" xfId="0" applyNumberFormat="1" applyFont="1" applyFill="1" applyBorder="1"/>
    <xf numFmtId="14" fontId="15237" fillId="15241" borderId="15230" xfId="0" applyNumberFormat="1" applyFont="1" applyFill="1" applyBorder="1"/>
    <xf numFmtId="14" fontId="15643" fillId="15647" borderId="15188" xfId="0" applyNumberFormat="1" applyFont="1" applyFill="1" applyBorder="1"/>
    <xf numFmtId="14" fontId="15293" fillId="15297" borderId="15594" xfId="0" applyNumberFormat="1" applyFont="1" applyFill="1" applyBorder="1"/>
    <xf numFmtId="14" fontId="15014" fillId="15018" borderId="15244" xfId="0" applyNumberFormat="1" applyFont="1" applyFill="1" applyBorder="1"/>
    <xf numFmtId="14" fontId="15377" fillId="15381" borderId="14979" xfId="0" applyNumberFormat="1" applyFont="1" applyFill="1" applyBorder="1"/>
    <xf numFmtId="14" fontId="15028" fillId="15032" borderId="15328" xfId="0" applyNumberFormat="1" applyFont="1" applyFill="1" applyBorder="1"/>
    <xf numFmtId="14" fontId="15587" fillId="15591" borderId="15174" xfId="0" applyNumberFormat="1" applyFont="1" applyFill="1" applyBorder="1"/>
    <xf numFmtId="14" fontId="15615" fillId="15619" borderId="15538" xfId="0" applyNumberFormat="1" applyFont="1" applyFill="1" applyBorder="1"/>
    <xf numFmtId="14" fontId="15629" fillId="15633" borderId="15566" xfId="0" applyNumberFormat="1" applyFont="1" applyFill="1" applyBorder="1"/>
    <xf numFmtId="14" fontId="15223" fillId="15227" borderId="15580" xfId="0" applyNumberFormat="1" applyFont="1" applyFill="1" applyBorder="1"/>
    <xf numFmtId="0" fontId="15252" fillId="15256" borderId="14966" xfId="0" applyFont="1" applyFill="1" applyBorder="1" applyAlignment="1">
      <alignment horizontal="center"/>
    </xf>
    <xf numFmtId="0" fontId="15602" fillId="15606" borderId="15203" xfId="0" applyFont="1" applyFill="1" applyBorder="1" applyAlignment="1">
      <alignment horizontal="center"/>
    </xf>
    <xf numFmtId="0" fontId="15280" fillId="15284" borderId="15553" xfId="0" applyFont="1" applyFill="1" applyBorder="1" applyAlignment="1">
      <alignment horizontal="center"/>
    </xf>
    <xf numFmtId="0" fontId="15238" fillId="15242" borderId="15231" xfId="0" applyFont="1" applyFill="1" applyBorder="1" applyAlignment="1">
      <alignment horizontal="center"/>
    </xf>
    <xf numFmtId="0" fontId="15644" fillId="15648" borderId="15189" xfId="0" applyFont="1" applyFill="1" applyBorder="1" applyAlignment="1">
      <alignment horizontal="center"/>
    </xf>
    <xf numFmtId="0" fontId="15294" fillId="15298" borderId="15595" xfId="0" applyFont="1" applyFill="1" applyBorder="1" applyAlignment="1">
      <alignment horizontal="center"/>
    </xf>
    <xf numFmtId="0" fontId="15015" fillId="15019" borderId="15245" xfId="0" applyFont="1" applyFill="1" applyBorder="1" applyAlignment="1">
      <alignment horizontal="center"/>
    </xf>
    <xf numFmtId="0" fontId="15378" fillId="15382" borderId="14980" xfId="0" applyFont="1" applyFill="1" applyBorder="1" applyAlignment="1">
      <alignment horizontal="center"/>
    </xf>
    <xf numFmtId="0" fontId="15029" fillId="15033" borderId="15329" xfId="0" applyFont="1" applyFill="1" applyBorder="1" applyAlignment="1">
      <alignment horizontal="center"/>
    </xf>
    <xf numFmtId="0" fontId="15588" fillId="15592" borderId="15175" xfId="0" applyFont="1" applyFill="1" applyBorder="1" applyAlignment="1">
      <alignment horizontal="center"/>
    </xf>
    <xf numFmtId="0" fontId="15616" fillId="15620" borderId="15539" xfId="0" applyFont="1" applyFill="1" applyBorder="1" applyAlignment="1">
      <alignment horizontal="center"/>
    </xf>
    <xf numFmtId="0" fontId="15630" fillId="15634" borderId="15567" xfId="0" applyFont="1" applyFill="1" applyBorder="1" applyAlignment="1">
      <alignment horizontal="center"/>
    </xf>
    <xf numFmtId="0" fontId="15224" fillId="15228" borderId="15581" xfId="0" applyFont="1" applyFill="1" applyBorder="1" applyAlignment="1">
      <alignment horizontal="center"/>
    </xf>
    <xf numFmtId="0" fontId="15253" fillId="15257" borderId="14967" xfId="0" applyFont="1" applyFill="1" applyBorder="1"/>
    <xf numFmtId="0" fontId="15603" fillId="15607" borderId="15204" xfId="0" applyFont="1" applyFill="1" applyBorder="1"/>
    <xf numFmtId="0" fontId="15281" fillId="15285" borderId="15554" xfId="0" applyFont="1" applyFill="1" applyBorder="1"/>
    <xf numFmtId="0" fontId="15239" fillId="15243" borderId="15232" xfId="0" applyFont="1" applyFill="1" applyBorder="1"/>
    <xf numFmtId="0" fontId="15645" fillId="15649" borderId="15190" xfId="0" applyFont="1" applyFill="1" applyBorder="1"/>
    <xf numFmtId="0" fontId="15295" fillId="15299" borderId="15596" xfId="0" applyFont="1" applyFill="1" applyBorder="1"/>
    <xf numFmtId="0" fontId="15016" fillId="15020" borderId="15246" xfId="0" applyFont="1" applyFill="1" applyBorder="1"/>
    <xf numFmtId="0" fontId="15379" fillId="15383" borderId="14981" xfId="0" applyFont="1" applyFill="1" applyBorder="1"/>
    <xf numFmtId="0" fontId="15030" fillId="15034" borderId="15330" xfId="0" applyFont="1" applyFill="1" applyBorder="1"/>
    <xf numFmtId="0" fontId="15589" fillId="15593" borderId="15176" xfId="0" applyFont="1" applyFill="1" applyBorder="1"/>
    <xf numFmtId="0" fontId="15617" fillId="15621" borderId="15540" xfId="0" applyFont="1" applyFill="1" applyBorder="1"/>
    <xf numFmtId="0" fontId="15631" fillId="15635" borderId="15568" xfId="0" applyFont="1" applyFill="1" applyBorder="1"/>
    <xf numFmtId="0" fontId="15225" fillId="15229" borderId="15582" xfId="0" applyFont="1" applyFill="1" applyBorder="1"/>
    <xf numFmtId="4" fontId="15254" fillId="15258" borderId="14968" xfId="0" applyNumberFormat="1" applyFont="1" applyFill="1" applyBorder="1"/>
    <xf numFmtId="4" fontId="15604" fillId="15608" borderId="15205" xfId="0" applyNumberFormat="1" applyFont="1" applyFill="1" applyBorder="1"/>
    <xf numFmtId="4" fontId="15282" fillId="15286" borderId="15555" xfId="0" applyNumberFormat="1" applyFont="1" applyFill="1" applyBorder="1"/>
    <xf numFmtId="4" fontId="15240" fillId="15244" borderId="15233" xfId="0" applyNumberFormat="1" applyFont="1" applyFill="1" applyBorder="1"/>
    <xf numFmtId="4" fontId="15646" fillId="15650" borderId="15191" xfId="0" applyNumberFormat="1" applyFont="1" applyFill="1" applyBorder="1"/>
    <xf numFmtId="4" fontId="15296" fillId="15300" borderId="15597" xfId="0" applyNumberFormat="1" applyFont="1" applyFill="1" applyBorder="1"/>
    <xf numFmtId="4" fontId="15017" fillId="15021" borderId="15247" xfId="0" applyNumberFormat="1" applyFont="1" applyFill="1" applyBorder="1"/>
    <xf numFmtId="4" fontId="15380" fillId="15384" borderId="14982" xfId="0" applyNumberFormat="1" applyFont="1" applyFill="1" applyBorder="1"/>
    <xf numFmtId="4" fontId="15031" fillId="15035" borderId="15331" xfId="0" applyNumberFormat="1" applyFont="1" applyFill="1" applyBorder="1"/>
    <xf numFmtId="4" fontId="15590" fillId="15594" borderId="15177" xfId="0" applyNumberFormat="1" applyFont="1" applyFill="1" applyBorder="1"/>
    <xf numFmtId="4" fontId="15618" fillId="15622" borderId="15541" xfId="0" applyNumberFormat="1" applyFont="1" applyFill="1" applyBorder="1"/>
    <xf numFmtId="4" fontId="15632" fillId="15636" borderId="15569" xfId="0" applyNumberFormat="1" applyFont="1" applyFill="1" applyBorder="1"/>
    <xf numFmtId="4" fontId="15226" fillId="15230" borderId="15583" xfId="0" applyNumberFormat="1" applyFont="1" applyFill="1" applyBorder="1"/>
    <xf numFmtId="168" fontId="15255" fillId="15259" borderId="14969" xfId="0" applyNumberFormat="1" applyFont="1" applyFill="1" applyBorder="1"/>
    <xf numFmtId="168" fontId="15605" fillId="15609" borderId="15206" xfId="0" applyNumberFormat="1" applyFont="1" applyFill="1" applyBorder="1"/>
    <xf numFmtId="168" fontId="15283" fillId="15287" borderId="15556" xfId="0" applyNumberFormat="1" applyFont="1" applyFill="1" applyBorder="1"/>
    <xf numFmtId="168" fontId="15241" fillId="15245" borderId="15234" xfId="0" applyNumberFormat="1" applyFont="1" applyFill="1" applyBorder="1"/>
    <xf numFmtId="168" fontId="15647" fillId="15651" borderId="15192" xfId="0" applyNumberFormat="1" applyFont="1" applyFill="1" applyBorder="1"/>
    <xf numFmtId="168" fontId="15297" fillId="15301" borderId="15598" xfId="0" applyNumberFormat="1" applyFont="1" applyFill="1" applyBorder="1"/>
    <xf numFmtId="168" fontId="15018" fillId="15022" borderId="15248" xfId="0" applyNumberFormat="1" applyFont="1" applyFill="1" applyBorder="1"/>
    <xf numFmtId="168" fontId="15381" fillId="15385" borderId="14983" xfId="0" applyNumberFormat="1" applyFont="1" applyFill="1" applyBorder="1"/>
    <xf numFmtId="168" fontId="15032" fillId="15036" borderId="15332" xfId="0" applyNumberFormat="1" applyFont="1" applyFill="1" applyBorder="1"/>
    <xf numFmtId="168" fontId="15591" fillId="15595" borderId="15178" xfId="0" applyNumberFormat="1" applyFont="1" applyFill="1" applyBorder="1"/>
    <xf numFmtId="168" fontId="15619" fillId="15623" borderId="15542" xfId="0" applyNumberFormat="1" applyFont="1" applyFill="1" applyBorder="1"/>
    <xf numFmtId="168" fontId="15633" fillId="15637" borderId="15570" xfId="0" applyNumberFormat="1" applyFont="1" applyFill="1" applyBorder="1"/>
    <xf numFmtId="168" fontId="15227" fillId="15231" borderId="15584" xfId="0" applyNumberFormat="1" applyFont="1" applyFill="1" applyBorder="1"/>
    <xf numFmtId="165" fontId="15256" fillId="15260" borderId="14970" xfId="0" applyNumberFormat="1" applyFont="1" applyFill="1" applyBorder="1"/>
    <xf numFmtId="165" fontId="15606" fillId="15610" borderId="15207" xfId="0" applyNumberFormat="1" applyFont="1" applyFill="1" applyBorder="1"/>
    <xf numFmtId="165" fontId="15284" fillId="15288" borderId="15557" xfId="0" applyNumberFormat="1" applyFont="1" applyFill="1" applyBorder="1"/>
    <xf numFmtId="165" fontId="15242" fillId="15246" borderId="15235" xfId="0" applyNumberFormat="1" applyFont="1" applyFill="1" applyBorder="1"/>
    <xf numFmtId="165" fontId="15648" fillId="15652" borderId="15193" xfId="0" applyNumberFormat="1" applyFont="1" applyFill="1" applyBorder="1"/>
    <xf numFmtId="165" fontId="15298" fillId="15302" borderId="15599" xfId="0" applyNumberFormat="1" applyFont="1" applyFill="1" applyBorder="1"/>
    <xf numFmtId="165" fontId="15019" fillId="15023" borderId="15249" xfId="0" applyNumberFormat="1" applyFont="1" applyFill="1" applyBorder="1"/>
    <xf numFmtId="165" fontId="15382" fillId="15386" borderId="14984" xfId="0" applyNumberFormat="1" applyFont="1" applyFill="1" applyBorder="1"/>
    <xf numFmtId="165" fontId="15033" fillId="15037" borderId="15333" xfId="0" applyNumberFormat="1" applyFont="1" applyFill="1" applyBorder="1"/>
    <xf numFmtId="165" fontId="15592" fillId="15596" borderId="15179" xfId="0" applyNumberFormat="1" applyFont="1" applyFill="1" applyBorder="1"/>
    <xf numFmtId="165" fontId="15620" fillId="15624" borderId="15543" xfId="0" applyNumberFormat="1" applyFont="1" applyFill="1" applyBorder="1"/>
    <xf numFmtId="165" fontId="15634" fillId="15638" borderId="15571" xfId="0" applyNumberFormat="1" applyFont="1" applyFill="1" applyBorder="1"/>
    <xf numFmtId="165" fontId="15228" fillId="15232" borderId="15585" xfId="0" applyNumberFormat="1" applyFont="1" applyFill="1" applyBorder="1"/>
    <xf numFmtId="0" fontId="15257" fillId="15261" borderId="14971" xfId="0" applyFont="1" applyFill="1" applyBorder="1"/>
    <xf numFmtId="0" fontId="15607" fillId="15611" borderId="15208" xfId="0" applyFont="1" applyFill="1" applyBorder="1"/>
    <xf numFmtId="0" fontId="15285" fillId="15289" borderId="15558" xfId="0" applyFont="1" applyFill="1" applyBorder="1"/>
    <xf numFmtId="0" fontId="15243" fillId="15247" borderId="15236" xfId="0" applyFont="1" applyFill="1" applyBorder="1"/>
    <xf numFmtId="0" fontId="15649" fillId="15653" borderId="15194" xfId="0" applyFont="1" applyFill="1" applyBorder="1"/>
    <xf numFmtId="0" fontId="15299" fillId="15303" borderId="15600" xfId="0" applyFont="1" applyFill="1" applyBorder="1"/>
    <xf numFmtId="4" fontId="15020" fillId="15024" borderId="15250" xfId="0" applyNumberFormat="1" applyFont="1" applyFill="1" applyBorder="1"/>
    <xf numFmtId="0" fontId="15383" fillId="15387" borderId="14985" xfId="0" applyFont="1" applyFill="1" applyBorder="1"/>
    <xf numFmtId="4" fontId="15034" fillId="15038" borderId="15334" xfId="0" applyNumberFormat="1" applyFont="1" applyFill="1" applyBorder="1"/>
    <xf numFmtId="0" fontId="15593" fillId="15597" borderId="15180" xfId="0" applyFont="1" applyFill="1" applyBorder="1"/>
    <xf numFmtId="0" fontId="15621" fillId="15625" borderId="15544" xfId="0" applyFont="1" applyFill="1" applyBorder="1"/>
    <xf numFmtId="0" fontId="15635" fillId="15639" borderId="15572" xfId="0" applyFont="1" applyFill="1" applyBorder="1"/>
    <xf numFmtId="4" fontId="15229" fillId="15233" borderId="15586" xfId="0" applyNumberFormat="1" applyFont="1" applyFill="1" applyBorder="1"/>
    <xf numFmtId="0" fontId="15258" fillId="15262" borderId="14972" xfId="0" applyFont="1" applyFill="1" applyBorder="1"/>
    <xf numFmtId="0" fontId="15608" fillId="15612" borderId="15209" xfId="0" applyFont="1" applyFill="1" applyBorder="1"/>
    <xf numFmtId="0" fontId="15286" fillId="15290" borderId="15559" xfId="0" applyFont="1" applyFill="1" applyBorder="1"/>
    <xf numFmtId="0" fontId="15244" fillId="15248" borderId="15237" xfId="0" applyFont="1" applyFill="1" applyBorder="1"/>
    <xf numFmtId="0" fontId="15650" fillId="15654" borderId="15195" xfId="0" applyFont="1" applyFill="1" applyBorder="1"/>
    <xf numFmtId="0" fontId="15300" fillId="15304" borderId="15601" xfId="0" applyFont="1" applyFill="1" applyBorder="1"/>
    <xf numFmtId="4" fontId="15021" fillId="15025" borderId="15251" xfId="0" applyNumberFormat="1" applyFont="1" applyFill="1" applyBorder="1"/>
    <xf numFmtId="0" fontId="15384" fillId="15388" borderId="14986" xfId="0" applyFont="1" applyFill="1" applyBorder="1"/>
    <xf numFmtId="4" fontId="15035" fillId="15039" borderId="15335" xfId="0" applyNumberFormat="1" applyFont="1" applyFill="1" applyBorder="1"/>
    <xf numFmtId="0" fontId="15594" fillId="15598" borderId="15181" xfId="0" applyFont="1" applyFill="1" applyBorder="1"/>
    <xf numFmtId="0" fontId="15622" fillId="15626" borderId="15545" xfId="0" applyFont="1" applyFill="1" applyBorder="1"/>
    <xf numFmtId="0" fontId="15636" fillId="15640" borderId="15573" xfId="0" applyFont="1" applyFill="1" applyBorder="1"/>
    <xf numFmtId="4" fontId="15230" fillId="15234" borderId="15587" xfId="0" applyNumberFormat="1" applyFont="1" applyFill="1" applyBorder="1"/>
    <xf numFmtId="0" fontId="15259" fillId="15263" borderId="14973" xfId="0" applyFont="1" applyFill="1" applyBorder="1"/>
    <xf numFmtId="0" fontId="15609" fillId="15613" borderId="15210" xfId="0" applyFont="1" applyFill="1" applyBorder="1"/>
    <xf numFmtId="0" fontId="15287" fillId="15291" borderId="15560" xfId="0" applyFont="1" applyFill="1" applyBorder="1"/>
    <xf numFmtId="0" fontId="15245" fillId="15249" borderId="15238" xfId="0" applyFont="1" applyFill="1" applyBorder="1"/>
    <xf numFmtId="0" fontId="15651" fillId="15655" borderId="15196" xfId="0" applyFont="1" applyFill="1" applyBorder="1"/>
    <xf numFmtId="0" fontId="15301" fillId="15305" borderId="15602" xfId="0" applyFont="1" applyFill="1" applyBorder="1"/>
    <xf numFmtId="167" fontId="15022" fillId="15026" borderId="15252" xfId="0" applyNumberFormat="1" applyFont="1" applyFill="1" applyBorder="1"/>
    <xf numFmtId="0" fontId="15385" fillId="15389" borderId="14987" xfId="0" applyFont="1" applyFill="1" applyBorder="1"/>
    <xf numFmtId="167" fontId="15036" fillId="15040" borderId="15336" xfId="0" applyNumberFormat="1" applyFont="1" applyFill="1" applyBorder="1"/>
    <xf numFmtId="0" fontId="15595" fillId="15599" borderId="15182" xfId="0" applyFont="1" applyFill="1" applyBorder="1"/>
    <xf numFmtId="0" fontId="15623" fillId="15627" borderId="15546" xfId="0" applyFont="1" applyFill="1" applyBorder="1"/>
    <xf numFmtId="0" fontId="15637" fillId="15641" borderId="15574" xfId="0" applyFont="1" applyFill="1" applyBorder="1"/>
    <xf numFmtId="0" fontId="15231" fillId="15235" borderId="15588" xfId="0" applyFont="1" applyFill="1" applyBorder="1"/>
    <xf numFmtId="0" fontId="15260" fillId="15264" borderId="14974" xfId="0" applyFont="1" applyFill="1" applyBorder="1"/>
    <xf numFmtId="0" fontId="15610" fillId="15614" borderId="15211" xfId="0" applyFont="1" applyFill="1" applyBorder="1"/>
    <xf numFmtId="0" fontId="15288" fillId="15292" borderId="15561" xfId="0" applyFont="1" applyFill="1" applyBorder="1"/>
    <xf numFmtId="0" fontId="15246" fillId="15250" borderId="15239" xfId="0" applyFont="1" applyFill="1" applyBorder="1"/>
    <xf numFmtId="0" fontId="15652" fillId="15656" borderId="15197" xfId="0" applyFont="1" applyFill="1" applyBorder="1"/>
    <xf numFmtId="0" fontId="15302" fillId="15306" borderId="15603" xfId="0" applyFont="1" applyFill="1" applyBorder="1"/>
    <xf numFmtId="168" fontId="15023" fillId="15027" borderId="15253" xfId="0" applyNumberFormat="1" applyFont="1" applyFill="1" applyBorder="1"/>
    <xf numFmtId="0" fontId="15386" fillId="15390" borderId="14988" xfId="0" applyFont="1" applyFill="1" applyBorder="1"/>
    <xf numFmtId="168" fontId="15037" fillId="15041" borderId="15337" xfId="0" applyNumberFormat="1" applyFont="1" applyFill="1" applyBorder="1"/>
    <xf numFmtId="0" fontId="15596" fillId="15600" borderId="15183" xfId="0" applyFont="1" applyFill="1" applyBorder="1"/>
    <xf numFmtId="0" fontId="15624" fillId="15628" borderId="15547" xfId="0" applyFont="1" applyFill="1" applyBorder="1"/>
    <xf numFmtId="0" fontId="15638" fillId="15642" borderId="15575" xfId="0" applyFont="1" applyFill="1" applyBorder="1"/>
    <xf numFmtId="168" fontId="15232" fillId="15236" borderId="15589" xfId="0" applyNumberFormat="1" applyFont="1" applyFill="1" applyBorder="1"/>
    <xf numFmtId="0" fontId="15261" fillId="15265" borderId="14975" xfId="0" applyFont="1" applyFill="1" applyBorder="1"/>
    <xf numFmtId="0" fontId="15611" fillId="15615" borderId="15212" xfId="0" applyFont="1" applyFill="1" applyBorder="1"/>
    <xf numFmtId="0" fontId="15289" fillId="15293" borderId="15562" xfId="0" applyFont="1" applyFill="1" applyBorder="1"/>
    <xf numFmtId="0" fontId="15247" fillId="15251" borderId="15240" xfId="0" applyFont="1" applyFill="1" applyBorder="1"/>
    <xf numFmtId="0" fontId="15653" fillId="15657" borderId="15198" xfId="0" applyFont="1" applyFill="1" applyBorder="1"/>
    <xf numFmtId="0" fontId="15303" fillId="15307" borderId="15604" xfId="0" applyFont="1" applyFill="1" applyBorder="1"/>
    <xf numFmtId="0" fontId="15024" fillId="15028" borderId="15254" xfId="0" applyFont="1" applyFill="1" applyBorder="1"/>
    <xf numFmtId="0" fontId="15387" fillId="15391" borderId="14989" xfId="0" applyFont="1" applyFill="1" applyBorder="1"/>
    <xf numFmtId="0" fontId="15038" fillId="15042" borderId="15338" xfId="0" applyFont="1" applyFill="1" applyBorder="1"/>
    <xf numFmtId="0" fontId="15597" fillId="15601" borderId="15184" xfId="0" applyFont="1" applyFill="1" applyBorder="1"/>
    <xf numFmtId="0" fontId="15625" fillId="15629" borderId="15548" xfId="0" applyFont="1" applyFill="1" applyBorder="1"/>
    <xf numFmtId="0" fontId="15639" fillId="15643" borderId="15576" xfId="0" applyFont="1" applyFill="1" applyBorder="1"/>
    <xf numFmtId="0" fontId="15233" fillId="15237" borderId="15590" xfId="0" applyFont="1" applyFill="1" applyBorder="1"/>
    <xf numFmtId="0" fontId="15262" fillId="15266" borderId="14976" xfId="0" applyFont="1" applyFill="1" applyBorder="1"/>
    <xf numFmtId="0" fontId="15612" fillId="15616" borderId="15213" xfId="0" applyFont="1" applyFill="1" applyBorder="1"/>
    <xf numFmtId="0" fontId="15290" fillId="15294" borderId="15563" xfId="0" applyFont="1" applyFill="1" applyBorder="1"/>
    <xf numFmtId="0" fontId="15248" fillId="15252" borderId="15241" xfId="0" applyFont="1" applyFill="1" applyBorder="1"/>
    <xf numFmtId="0" fontId="15654" fillId="15658" borderId="15199" xfId="0" applyFont="1" applyFill="1" applyBorder="1"/>
    <xf numFmtId="0" fontId="15304" fillId="15308" borderId="15605" xfId="0" applyFont="1" applyFill="1" applyBorder="1"/>
    <xf numFmtId="0" fontId="15025" fillId="15029" borderId="15255" xfId="0" applyFont="1" applyFill="1" applyBorder="1" applyAlignment="1">
      <alignment wrapText="1"/>
    </xf>
    <xf numFmtId="0" fontId="15388" fillId="15392" borderId="14990" xfId="0" applyFont="1" applyFill="1" applyBorder="1"/>
    <xf numFmtId="0" fontId="15039" fillId="15043" borderId="15339" xfId="0" applyFont="1" applyFill="1" applyBorder="1" applyAlignment="1">
      <alignment wrapText="1"/>
    </xf>
    <xf numFmtId="0" fontId="15598" fillId="15602" borderId="15185" xfId="0" applyFont="1" applyFill="1" applyBorder="1"/>
    <xf numFmtId="0" fontId="15626" fillId="15630" borderId="15549" xfId="0" applyFont="1" applyFill="1" applyBorder="1"/>
    <xf numFmtId="0" fontId="15640" fillId="15644" borderId="15577" xfId="0" applyFont="1" applyFill="1" applyBorder="1"/>
    <xf numFmtId="0" fontId="15234" fillId="15238" borderId="15591" xfId="0" applyFont="1" applyFill="1" applyBorder="1"/>
    <xf numFmtId="0" fontId="15263" fillId="15267" borderId="14977" xfId="0" applyFont="1" applyFill="1" applyBorder="1" applyAlignment="1">
      <alignment horizontal="center"/>
    </xf>
    <xf numFmtId="0" fontId="15613" fillId="15617" borderId="15214" xfId="0" applyFont="1" applyFill="1" applyBorder="1" applyAlignment="1">
      <alignment horizontal="center"/>
    </xf>
    <xf numFmtId="0" fontId="15291" fillId="15295" borderId="15564" xfId="0" applyFont="1" applyFill="1" applyBorder="1" applyAlignment="1">
      <alignment horizontal="center"/>
    </xf>
    <xf numFmtId="0" fontId="15249" fillId="15253" borderId="15242" xfId="0" applyFont="1" applyFill="1" applyBorder="1" applyAlignment="1">
      <alignment horizontal="center"/>
    </xf>
    <xf numFmtId="0" fontId="15655" fillId="15659" borderId="15200" xfId="0" applyFont="1" applyFill="1" applyBorder="1" applyAlignment="1">
      <alignment horizontal="center"/>
    </xf>
    <xf numFmtId="0" fontId="15305" fillId="15309" borderId="15606" xfId="0" applyFont="1" applyFill="1" applyBorder="1" applyAlignment="1">
      <alignment horizontal="center"/>
    </xf>
    <xf numFmtId="0" fontId="15026" fillId="15030" borderId="15256" xfId="0" applyFont="1" applyFill="1" applyBorder="1" applyAlignment="1">
      <alignment horizontal="center"/>
    </xf>
    <xf numFmtId="0" fontId="15389" fillId="15393" borderId="14991" xfId="0" applyFont="1" applyFill="1" applyBorder="1" applyAlignment="1">
      <alignment horizontal="center"/>
    </xf>
    <xf numFmtId="0" fontId="15040" fillId="15044" borderId="15340" xfId="0" applyFont="1" applyFill="1" applyBorder="1" applyAlignment="1">
      <alignment horizontal="center"/>
    </xf>
    <xf numFmtId="0" fontId="15599" fillId="15603" borderId="15186" xfId="0" applyFont="1" applyFill="1" applyBorder="1" applyAlignment="1">
      <alignment horizontal="center"/>
    </xf>
    <xf numFmtId="0" fontId="15627" fillId="15631" borderId="15550" xfId="0" applyFont="1" applyFill="1" applyBorder="1" applyAlignment="1">
      <alignment horizontal="center"/>
    </xf>
    <xf numFmtId="0" fontId="15641" fillId="15645" borderId="15578" xfId="0" applyFont="1" applyFill="1" applyBorder="1" applyAlignment="1">
      <alignment horizontal="center"/>
    </xf>
    <xf numFmtId="0" fontId="15235" fillId="15239" borderId="15592" xfId="0" applyFont="1" applyFill="1" applyBorder="1" applyAlignment="1">
      <alignment horizontal="center"/>
    </xf>
    <xf numFmtId="0" fontId="15722" fillId="15726" borderId="15673" xfId="0" applyFont="1" applyFill="1" applyBorder="1" applyAlignment="1">
      <alignment horizontal="center" wrapText="1"/>
    </xf>
    <xf numFmtId="0" fontId="15723" fillId="15727" borderId="15674" xfId="0" applyFont="1" applyFill="1" applyBorder="1" applyAlignment="1">
      <alignment horizontal="center" wrapText="1"/>
    </xf>
    <xf numFmtId="0" fontId="15724" fillId="15728" borderId="15675" xfId="0" applyFont="1" applyFill="1" applyBorder="1" applyAlignment="1">
      <alignment horizontal="center" wrapText="1"/>
    </xf>
    <xf numFmtId="0" fontId="15725" fillId="15729" borderId="15676" xfId="0" applyFont="1" applyFill="1" applyBorder="1" applyAlignment="1">
      <alignment horizontal="center" wrapText="1"/>
    </xf>
    <xf numFmtId="0" fontId="15726" fillId="15730" borderId="15677" xfId="0" applyFont="1" applyFill="1" applyBorder="1" applyAlignment="1">
      <alignment horizontal="center" wrapText="1"/>
    </xf>
    <xf numFmtId="165" fontId="15727" fillId="15731" borderId="15678" xfId="0" applyNumberFormat="1" applyFont="1" applyFill="1" applyBorder="1"/>
    <xf numFmtId="165" fontId="15728" fillId="15732" borderId="15679" xfId="0" applyNumberFormat="1" applyFont="1" applyFill="1" applyBorder="1"/>
    <xf numFmtId="165" fontId="15729" fillId="15733" borderId="15680" xfId="0" applyNumberFormat="1" applyFont="1" applyFill="1" applyBorder="1"/>
    <xf numFmtId="165" fontId="15730" fillId="15734" borderId="15681" xfId="0" applyNumberFormat="1" applyFont="1" applyFill="1" applyBorder="1"/>
    <xf numFmtId="165" fontId="15731" fillId="15735" borderId="15682" xfId="0" applyNumberFormat="1" applyFont="1" applyFill="1" applyBorder="1"/>
    <xf numFmtId="165" fontId="15732" fillId="15736" borderId="15683" xfId="0" applyNumberFormat="1" applyFont="1" applyFill="1" applyBorder="1"/>
    <xf numFmtId="165" fontId="15733" fillId="15737" borderId="15684" xfId="0" applyNumberFormat="1" applyFont="1" applyFill="1" applyBorder="1"/>
    <xf numFmtId="165" fontId="15734" fillId="15738" borderId="15685" xfId="0" applyNumberFormat="1" applyFont="1" applyFill="1" applyBorder="1"/>
    <xf numFmtId="165" fontId="15735" fillId="15739" borderId="15686" xfId="0" applyNumberFormat="1" applyFont="1" applyFill="1" applyBorder="1"/>
    <xf numFmtId="165" fontId="15736" fillId="15740" borderId="15687" xfId="0" applyNumberFormat="1" applyFont="1" applyFill="1" applyBorder="1"/>
    <xf numFmtId="165" fontId="15737" fillId="15741" borderId="15688" xfId="0" applyNumberFormat="1" applyFont="1" applyFill="1" applyBorder="1"/>
    <xf numFmtId="165" fontId="15738" fillId="15742" borderId="15689" xfId="0" applyNumberFormat="1" applyFont="1" applyFill="1" applyBorder="1"/>
    <xf numFmtId="165" fontId="15739" fillId="15743" borderId="15690" xfId="0" applyNumberFormat="1" applyFont="1" applyFill="1" applyBorder="1"/>
    <xf numFmtId="165" fontId="15740" fillId="15744" borderId="15691" xfId="0" applyNumberFormat="1" applyFont="1" applyFill="1" applyBorder="1"/>
    <xf numFmtId="165" fontId="15741" fillId="15745" borderId="15692" xfId="0" applyNumberFormat="1" applyFont="1" applyFill="1" applyBorder="1"/>
    <xf numFmtId="165" fontId="15742" fillId="15746" borderId="15693" xfId="0" applyNumberFormat="1" applyFont="1" applyFill="1" applyBorder="1"/>
    <xf numFmtId="165" fontId="15743" fillId="15747" borderId="15694" xfId="0" applyNumberFormat="1" applyFont="1" applyFill="1" applyBorder="1"/>
    <xf numFmtId="165" fontId="15744" fillId="15748" borderId="15695" xfId="0" applyNumberFormat="1" applyFont="1" applyFill="1" applyBorder="1"/>
    <xf numFmtId="165" fontId="15745" fillId="15749" borderId="15696" xfId="0" applyNumberFormat="1" applyFont="1" applyFill="1" applyBorder="1"/>
    <xf numFmtId="165" fontId="15746" fillId="15750" borderId="15697" xfId="0" applyNumberFormat="1" applyFont="1" applyFill="1" applyBorder="1"/>
    <xf numFmtId="165" fontId="15747" fillId="15751" borderId="15698" xfId="0" applyNumberFormat="1" applyFont="1" applyFill="1" applyBorder="1"/>
    <xf numFmtId="165" fontId="15748" fillId="15752" borderId="15699" xfId="0" applyNumberFormat="1" applyFont="1" applyFill="1" applyBorder="1"/>
    <xf numFmtId="165" fontId="15749" fillId="15753" borderId="15700" xfId="0" applyNumberFormat="1" applyFont="1" applyFill="1" applyBorder="1"/>
    <xf numFmtId="165" fontId="15750" fillId="15754" borderId="15701" xfId="0" applyNumberFormat="1" applyFont="1" applyFill="1" applyBorder="1"/>
    <xf numFmtId="165" fontId="15751" fillId="15755" borderId="15702" xfId="0" applyNumberFormat="1" applyFont="1" applyFill="1" applyBorder="1"/>
    <xf numFmtId="165" fontId="15752" fillId="15756" borderId="15703" xfId="0" applyNumberFormat="1" applyFont="1" applyFill="1" applyBorder="1"/>
    <xf numFmtId="165" fontId="15753" fillId="15757" borderId="15704" xfId="0" applyNumberFormat="1" applyFont="1" applyFill="1" applyBorder="1"/>
    <xf numFmtId="165" fontId="15754" fillId="15758" borderId="15705" xfId="0" applyNumberFormat="1" applyFont="1" applyFill="1" applyBorder="1"/>
    <xf numFmtId="165" fontId="15755" fillId="15759" borderId="15706" xfId="0" applyNumberFormat="1" applyFont="1" applyFill="1" applyBorder="1"/>
    <xf numFmtId="165" fontId="15756" fillId="15760" borderId="15707" xfId="0" applyNumberFormat="1" applyFont="1" applyFill="1" applyBorder="1"/>
    <xf numFmtId="165" fontId="15757" fillId="15761" borderId="15708" xfId="0" applyNumberFormat="1" applyFont="1" applyFill="1" applyBorder="1"/>
    <xf numFmtId="165" fontId="15758" fillId="15762" borderId="15709" xfId="0" applyNumberFormat="1" applyFont="1" applyFill="1" applyBorder="1"/>
    <xf numFmtId="165" fontId="15759" fillId="15763" borderId="15710" xfId="0" applyNumberFormat="1" applyFont="1" applyFill="1" applyBorder="1"/>
    <xf numFmtId="165" fontId="15760" fillId="15764" borderId="15711" xfId="0" applyNumberFormat="1" applyFont="1" applyFill="1" applyBorder="1"/>
    <xf numFmtId="165" fontId="15761" fillId="15765" borderId="15712" xfId="0" applyNumberFormat="1" applyFont="1" applyFill="1" applyBorder="1"/>
    <xf numFmtId="165" fontId="15762" fillId="15766" borderId="15713" xfId="0" applyNumberFormat="1" applyFont="1" applyFill="1" applyBorder="1"/>
    <xf numFmtId="165" fontId="15763" fillId="15767" borderId="15714" xfId="0" applyNumberFormat="1" applyFont="1" applyFill="1" applyBorder="1"/>
    <xf numFmtId="165" fontId="15771" fillId="15775" borderId="15722" xfId="0" applyNumberFormat="1" applyFont="1" applyFill="1" applyBorder="1"/>
    <xf numFmtId="0" fontId="15772" fillId="15776" borderId="15723" xfId="0" applyFont="1" applyFill="1" applyBorder="1" applyAlignment="1">
      <alignment horizontal="center"/>
    </xf>
    <xf numFmtId="0" fontId="15773" fillId="15777" borderId="15724" xfId="0" applyFont="1" applyFill="1" applyBorder="1"/>
    <xf numFmtId="4" fontId="15774" fillId="15778" borderId="15725" xfId="0" applyNumberFormat="1" applyFont="1" applyFill="1" applyBorder="1"/>
    <xf numFmtId="165" fontId="15775" fillId="15779" borderId="15726" xfId="0" applyNumberFormat="1" applyFont="1" applyFill="1" applyBorder="1"/>
    <xf numFmtId="4" fontId="15776" fillId="15780" borderId="15727" xfId="0" applyNumberFormat="1" applyFont="1" applyFill="1" applyBorder="1"/>
    <xf numFmtId="168" fontId="15777" fillId="15781" borderId="15728" xfId="0" applyNumberFormat="1" applyFont="1" applyFill="1" applyBorder="1"/>
    <xf numFmtId="165" fontId="15778" fillId="15782" borderId="15729" xfId="0" applyNumberFormat="1" applyFont="1" applyFill="1" applyBorder="1"/>
    <xf numFmtId="4" fontId="15779" fillId="15783" borderId="15730" xfId="0" applyNumberFormat="1" applyFont="1" applyFill="1" applyBorder="1"/>
    <xf numFmtId="165" fontId="15780" fillId="15784" borderId="15731" xfId="0" applyNumberFormat="1" applyFont="1" applyFill="1" applyBorder="1"/>
    <xf numFmtId="0" fontId="15781" fillId="15785" borderId="15732" xfId="0" applyFont="1" applyFill="1" applyBorder="1" applyAlignment="1">
      <alignment horizontal="center"/>
    </xf>
    <xf numFmtId="0" fontId="15782" fillId="15786" borderId="15733" xfId="0" applyFont="1" applyFill="1" applyBorder="1"/>
    <xf numFmtId="4" fontId="15783" fillId="15787" borderId="15734" xfId="0" applyNumberFormat="1" applyFont="1" applyFill="1" applyBorder="1"/>
    <xf numFmtId="165" fontId="15784" fillId="15788" borderId="15735" xfId="0" applyNumberFormat="1" applyFont="1" applyFill="1" applyBorder="1"/>
    <xf numFmtId="4" fontId="15785" fillId="15789" borderId="15736" xfId="0" applyNumberFormat="1" applyFont="1" applyFill="1" applyBorder="1"/>
    <xf numFmtId="168" fontId="15786" fillId="15790" borderId="15737" xfId="0" applyNumberFormat="1" applyFont="1" applyFill="1" applyBorder="1"/>
    <xf numFmtId="165" fontId="15787" fillId="15791" borderId="15738" xfId="0" applyNumberFormat="1" applyFont="1" applyFill="1" applyBorder="1"/>
    <xf numFmtId="4" fontId="15788" fillId="15792" borderId="15739" xfId="0" applyNumberFormat="1" applyFont="1" applyFill="1" applyBorder="1"/>
    <xf numFmtId="165" fontId="15789" fillId="15793" borderId="15740" xfId="0" applyNumberFormat="1" applyFont="1" applyFill="1" applyBorder="1"/>
    <xf numFmtId="0" fontId="15790" fillId="15794" borderId="15741" xfId="0" applyFont="1" applyFill="1" applyBorder="1" applyAlignment="1">
      <alignment horizontal="center"/>
    </xf>
    <xf numFmtId="0" fontId="15791" fillId="15795" borderId="15742" xfId="0" applyFont="1" applyFill="1" applyBorder="1"/>
    <xf numFmtId="4" fontId="15792" fillId="15796" borderId="15743" xfId="0" applyNumberFormat="1" applyFont="1" applyFill="1" applyBorder="1"/>
    <xf numFmtId="165" fontId="15793" fillId="15797" borderId="15744" xfId="0" applyNumberFormat="1" applyFont="1" applyFill="1" applyBorder="1"/>
    <xf numFmtId="4" fontId="15794" fillId="15798" borderId="15745" xfId="0" applyNumberFormat="1" applyFont="1" applyFill="1" applyBorder="1"/>
    <xf numFmtId="168" fontId="15795" fillId="15799" borderId="15746" xfId="0" applyNumberFormat="1" applyFont="1" applyFill="1" applyBorder="1"/>
    <xf numFmtId="165" fontId="15796" fillId="15800" borderId="15747" xfId="0" applyNumberFormat="1" applyFont="1" applyFill="1" applyBorder="1"/>
    <xf numFmtId="4" fontId="15797" fillId="15801" borderId="15748" xfId="0" applyNumberFormat="1" applyFont="1" applyFill="1" applyBorder="1"/>
    <xf numFmtId="165" fontId="15798" fillId="15802" borderId="15749" xfId="0" applyNumberFormat="1" applyFont="1" applyFill="1" applyBorder="1"/>
    <xf numFmtId="0" fontId="15799" fillId="15803" borderId="15750" xfId="0" applyFont="1" applyFill="1" applyBorder="1" applyAlignment="1">
      <alignment horizontal="center"/>
    </xf>
    <xf numFmtId="0" fontId="15800" fillId="15804" borderId="15751" xfId="0" applyFont="1" applyFill="1" applyBorder="1"/>
    <xf numFmtId="4" fontId="15801" fillId="15805" borderId="15752" xfId="0" applyNumberFormat="1" applyFont="1" applyFill="1" applyBorder="1"/>
    <xf numFmtId="165" fontId="15802" fillId="15806" borderId="15753" xfId="0" applyNumberFormat="1" applyFont="1" applyFill="1" applyBorder="1"/>
    <xf numFmtId="4" fontId="15803" fillId="15807" borderId="15754" xfId="0" applyNumberFormat="1" applyFont="1" applyFill="1" applyBorder="1"/>
    <xf numFmtId="168" fontId="15804" fillId="15808" borderId="15755" xfId="0" applyNumberFormat="1" applyFont="1" applyFill="1" applyBorder="1"/>
    <xf numFmtId="165" fontId="15805" fillId="15809" borderId="15756" xfId="0" applyNumberFormat="1" applyFont="1" applyFill="1" applyBorder="1"/>
    <xf numFmtId="4" fontId="15806" fillId="15810" borderId="15757" xfId="0" applyNumberFormat="1" applyFont="1" applyFill="1" applyBorder="1"/>
    <xf numFmtId="165" fontId="15807" fillId="15811" borderId="15758" xfId="0" applyNumberFormat="1" applyFont="1" applyFill="1" applyBorder="1"/>
    <xf numFmtId="0" fontId="15808" fillId="15812" borderId="15759" xfId="0" applyFont="1" applyFill="1" applyBorder="1" applyAlignment="1">
      <alignment horizontal="center"/>
    </xf>
    <xf numFmtId="0" fontId="15809" fillId="15813" borderId="15760" xfId="0" applyFont="1" applyFill="1" applyBorder="1"/>
    <xf numFmtId="4" fontId="15810" fillId="15814" borderId="15761" xfId="0" applyNumberFormat="1" applyFont="1" applyFill="1" applyBorder="1"/>
    <xf numFmtId="165" fontId="15811" fillId="15815" borderId="15762" xfId="0" applyNumberFormat="1" applyFont="1" applyFill="1" applyBorder="1"/>
    <xf numFmtId="4" fontId="15812" fillId="15816" borderId="15763" xfId="0" applyNumberFormat="1" applyFont="1" applyFill="1" applyBorder="1"/>
    <xf numFmtId="168" fontId="15813" fillId="15817" borderId="15764" xfId="0" applyNumberFormat="1" applyFont="1" applyFill="1" applyBorder="1"/>
    <xf numFmtId="165" fontId="15814" fillId="15818" borderId="15765" xfId="0" applyNumberFormat="1" applyFont="1" applyFill="1" applyBorder="1"/>
    <xf numFmtId="4" fontId="15815" fillId="15819" borderId="15766" xfId="0" applyNumberFormat="1" applyFont="1" applyFill="1" applyBorder="1"/>
    <xf numFmtId="165" fontId="15816" fillId="15820" borderId="15767" xfId="0" applyNumberFormat="1" applyFont="1" applyFill="1" applyBorder="1"/>
    <xf numFmtId="0" fontId="15817" fillId="15821" borderId="15768" xfId="0" applyFont="1" applyFill="1" applyBorder="1" applyAlignment="1">
      <alignment horizontal="center"/>
    </xf>
    <xf numFmtId="0" fontId="15818" fillId="15822" borderId="15769" xfId="0" applyFont="1" applyFill="1" applyBorder="1"/>
    <xf numFmtId="4" fontId="15819" fillId="15823" borderId="15770" xfId="0" applyNumberFormat="1" applyFont="1" applyFill="1" applyBorder="1"/>
    <xf numFmtId="165" fontId="15820" fillId="15824" borderId="15771" xfId="0" applyNumberFormat="1" applyFont="1" applyFill="1" applyBorder="1"/>
    <xf numFmtId="4" fontId="15821" fillId="15825" borderId="15772" xfId="0" applyNumberFormat="1" applyFont="1" applyFill="1" applyBorder="1"/>
    <xf numFmtId="168" fontId="15822" fillId="15826" borderId="15773" xfId="0" applyNumberFormat="1" applyFont="1" applyFill="1" applyBorder="1"/>
    <xf numFmtId="165" fontId="15823" fillId="15827" borderId="15774" xfId="0" applyNumberFormat="1" applyFont="1" applyFill="1" applyBorder="1"/>
    <xf numFmtId="4" fontId="15824" fillId="15828" borderId="15775" xfId="0" applyNumberFormat="1" applyFont="1" applyFill="1" applyBorder="1"/>
    <xf numFmtId="165" fontId="15825" fillId="15829" borderId="15776" xfId="0" applyNumberFormat="1" applyFont="1" applyFill="1" applyBorder="1"/>
    <xf numFmtId="0" fontId="15826" fillId="15830" borderId="15777" xfId="0" applyFont="1" applyFill="1" applyBorder="1" applyAlignment="1">
      <alignment horizontal="center"/>
    </xf>
    <xf numFmtId="0" fontId="15827" fillId="15831" borderId="15778" xfId="0" applyFont="1" applyFill="1" applyBorder="1"/>
    <xf numFmtId="4" fontId="15828" fillId="15832" borderId="15779" xfId="0" applyNumberFormat="1" applyFont="1" applyFill="1" applyBorder="1"/>
    <xf numFmtId="165" fontId="15829" fillId="15833" borderId="15780" xfId="0" applyNumberFormat="1" applyFont="1" applyFill="1" applyBorder="1"/>
    <xf numFmtId="4" fontId="15830" fillId="15834" borderId="15781" xfId="0" applyNumberFormat="1" applyFont="1" applyFill="1" applyBorder="1"/>
    <xf numFmtId="168" fontId="15831" fillId="15835" borderId="15782" xfId="0" applyNumberFormat="1" applyFont="1" applyFill="1" applyBorder="1"/>
    <xf numFmtId="165" fontId="15832" fillId="15836" borderId="15783" xfId="0" applyNumberFormat="1" applyFont="1" applyFill="1" applyBorder="1"/>
    <xf numFmtId="4" fontId="15833" fillId="15837" borderId="15784" xfId="0" applyNumberFormat="1" applyFont="1" applyFill="1" applyBorder="1"/>
    <xf numFmtId="165" fontId="15834" fillId="15838" borderId="15785" xfId="0" applyNumberFormat="1" applyFont="1" applyFill="1" applyBorder="1"/>
    <xf numFmtId="0" fontId="15835" fillId="15839" borderId="15786" xfId="0" applyFont="1" applyFill="1" applyBorder="1" applyAlignment="1">
      <alignment horizontal="center"/>
    </xf>
    <xf numFmtId="0" fontId="15836" fillId="15840" borderId="15787" xfId="0" applyFont="1" applyFill="1" applyBorder="1"/>
    <xf numFmtId="4" fontId="15837" fillId="15841" borderId="15788" xfId="0" applyNumberFormat="1" applyFont="1" applyFill="1" applyBorder="1"/>
    <xf numFmtId="165" fontId="15838" fillId="15842" borderId="15789" xfId="0" applyNumberFormat="1" applyFont="1" applyFill="1" applyBorder="1"/>
    <xf numFmtId="4" fontId="15839" fillId="15843" borderId="15790" xfId="0" applyNumberFormat="1" applyFont="1" applyFill="1" applyBorder="1"/>
    <xf numFmtId="168" fontId="15840" fillId="15844" borderId="15791" xfId="0" applyNumberFormat="1" applyFont="1" applyFill="1" applyBorder="1"/>
    <xf numFmtId="165" fontId="15841" fillId="15845" borderId="15792" xfId="0" applyNumberFormat="1" applyFont="1" applyFill="1" applyBorder="1"/>
    <xf numFmtId="4" fontId="15842" fillId="15846" borderId="15793" xfId="0" applyNumberFormat="1" applyFont="1" applyFill="1" applyBorder="1"/>
    <xf numFmtId="165" fontId="15843" fillId="15847" borderId="15794" xfId="0" applyNumberFormat="1" applyFont="1" applyFill="1" applyBorder="1"/>
    <xf numFmtId="0" fontId="15844" fillId="15848" borderId="15795" xfId="0" applyFont="1" applyFill="1" applyBorder="1" applyAlignment="1">
      <alignment horizontal="center"/>
    </xf>
    <xf numFmtId="0" fontId="15845" fillId="15849" borderId="15796" xfId="0" applyFont="1" applyFill="1" applyBorder="1"/>
    <xf numFmtId="4" fontId="15846" fillId="15850" borderId="15797" xfId="0" applyNumberFormat="1" applyFont="1" applyFill="1" applyBorder="1"/>
    <xf numFmtId="165" fontId="15847" fillId="15851" borderId="15798" xfId="0" applyNumberFormat="1" applyFont="1" applyFill="1" applyBorder="1"/>
    <xf numFmtId="4" fontId="15848" fillId="15852" borderId="15799" xfId="0" applyNumberFormat="1" applyFont="1" applyFill="1" applyBorder="1"/>
    <xf numFmtId="168" fontId="15849" fillId="15853" borderId="15800" xfId="0" applyNumberFormat="1" applyFont="1" applyFill="1" applyBorder="1"/>
    <xf numFmtId="165" fontId="15850" fillId="15854" borderId="15801" xfId="0" applyNumberFormat="1" applyFont="1" applyFill="1" applyBorder="1"/>
    <xf numFmtId="4" fontId="15851" fillId="15855" borderId="15802" xfId="0" applyNumberFormat="1" applyFont="1" applyFill="1" applyBorder="1"/>
    <xf numFmtId="165" fontId="15852" fillId="15856" borderId="15803" xfId="0" applyNumberFormat="1" applyFont="1" applyFill="1" applyBorder="1"/>
    <xf numFmtId="0" fontId="15853" fillId="15857" borderId="15804" xfId="0" applyFont="1" applyFill="1" applyBorder="1" applyAlignment="1">
      <alignment horizontal="center"/>
    </xf>
    <xf numFmtId="0" fontId="15854" fillId="15858" borderId="15805" xfId="0" applyFont="1" applyFill="1" applyBorder="1"/>
    <xf numFmtId="4" fontId="15855" fillId="15859" borderId="15806" xfId="0" applyNumberFormat="1" applyFont="1" applyFill="1" applyBorder="1"/>
    <xf numFmtId="165" fontId="15856" fillId="15860" borderId="15807" xfId="0" applyNumberFormat="1" applyFont="1" applyFill="1" applyBorder="1"/>
    <xf numFmtId="4" fontId="15857" fillId="15861" borderId="15808" xfId="0" applyNumberFormat="1" applyFont="1" applyFill="1" applyBorder="1"/>
    <xf numFmtId="168" fontId="15858" fillId="15862" borderId="15809" xfId="0" applyNumberFormat="1" applyFont="1" applyFill="1" applyBorder="1"/>
    <xf numFmtId="165" fontId="15859" fillId="15863" borderId="15810" xfId="0" applyNumberFormat="1" applyFont="1" applyFill="1" applyBorder="1"/>
    <xf numFmtId="4" fontId="15860" fillId="15864" borderId="15811" xfId="0" applyNumberFormat="1" applyFont="1" applyFill="1" applyBorder="1"/>
    <xf numFmtId="165" fontId="15861" fillId="15865" borderId="15812" xfId="0" applyNumberFormat="1" applyFont="1" applyFill="1" applyBorder="1"/>
    <xf numFmtId="0" fontId="15862" fillId="15866" borderId="15813" xfId="0" applyFont="1" applyFill="1" applyBorder="1" applyAlignment="1">
      <alignment horizontal="center"/>
    </xf>
    <xf numFmtId="0" fontId="15863" fillId="15867" borderId="15814" xfId="0" applyFont="1" applyFill="1" applyBorder="1"/>
    <xf numFmtId="4" fontId="15864" fillId="15868" borderId="15815" xfId="0" applyNumberFormat="1" applyFont="1" applyFill="1" applyBorder="1"/>
    <xf numFmtId="165" fontId="15865" fillId="15869" borderId="15816" xfId="0" applyNumberFormat="1" applyFont="1" applyFill="1" applyBorder="1"/>
    <xf numFmtId="4" fontId="15866" fillId="15870" borderId="15817" xfId="0" applyNumberFormat="1" applyFont="1" applyFill="1" applyBorder="1"/>
    <xf numFmtId="168" fontId="15867" fillId="15871" borderId="15818" xfId="0" applyNumberFormat="1" applyFont="1" applyFill="1" applyBorder="1"/>
    <xf numFmtId="165" fontId="15868" fillId="15872" borderId="15819" xfId="0" applyNumberFormat="1" applyFont="1" applyFill="1" applyBorder="1"/>
    <xf numFmtId="4" fontId="15869" fillId="15873" borderId="15820" xfId="0" applyNumberFormat="1" applyFont="1" applyFill="1" applyBorder="1"/>
    <xf numFmtId="165" fontId="15870" fillId="15874" borderId="15821" xfId="0" applyNumberFormat="1" applyFont="1" applyFill="1" applyBorder="1"/>
    <xf numFmtId="0" fontId="15871" fillId="15875" borderId="15822" xfId="0" applyFont="1" applyFill="1" applyBorder="1" applyAlignment="1">
      <alignment horizontal="center"/>
    </xf>
    <xf numFmtId="0" fontId="15872" fillId="15876" borderId="15823" xfId="0" applyFont="1" applyFill="1" applyBorder="1"/>
    <xf numFmtId="4" fontId="15873" fillId="15877" borderId="15824" xfId="0" applyNumberFormat="1" applyFont="1" applyFill="1" applyBorder="1"/>
    <xf numFmtId="165" fontId="15874" fillId="15878" borderId="15825" xfId="0" applyNumberFormat="1" applyFont="1" applyFill="1" applyBorder="1"/>
    <xf numFmtId="4" fontId="15875" fillId="15879" borderId="15826" xfId="0" applyNumberFormat="1" applyFont="1" applyFill="1" applyBorder="1"/>
    <xf numFmtId="168" fontId="15876" fillId="15880" borderId="15827" xfId="0" applyNumberFormat="1" applyFont="1" applyFill="1" applyBorder="1"/>
    <xf numFmtId="165" fontId="15877" fillId="15881" borderId="15828" xfId="0" applyNumberFormat="1" applyFont="1" applyFill="1" applyBorder="1"/>
    <xf numFmtId="4" fontId="15878" fillId="15882" borderId="15829" xfId="0" applyNumberFormat="1" applyFont="1" applyFill="1" applyBorder="1"/>
    <xf numFmtId="165" fontId="15879" fillId="15883" borderId="15830" xfId="0" applyNumberFormat="1" applyFont="1" applyFill="1" applyBorder="1"/>
    <xf numFmtId="0" fontId="15880" fillId="15884" borderId="15831" xfId="0" applyFont="1" applyFill="1" applyBorder="1" applyAlignment="1">
      <alignment horizontal="center"/>
    </xf>
    <xf numFmtId="0" fontId="15881" fillId="15885" borderId="15832" xfId="0" applyFont="1" applyFill="1" applyBorder="1"/>
    <xf numFmtId="4" fontId="15882" fillId="15886" borderId="15833" xfId="0" applyNumberFormat="1" applyFont="1" applyFill="1" applyBorder="1"/>
    <xf numFmtId="165" fontId="15883" fillId="15887" borderId="15834" xfId="0" applyNumberFormat="1" applyFont="1" applyFill="1" applyBorder="1"/>
    <xf numFmtId="4" fontId="15884" fillId="15888" borderId="15835" xfId="0" applyNumberFormat="1" applyFont="1" applyFill="1" applyBorder="1"/>
    <xf numFmtId="168" fontId="15885" fillId="15889" borderId="15836" xfId="0" applyNumberFormat="1" applyFont="1" applyFill="1" applyBorder="1"/>
    <xf numFmtId="165" fontId="15886" fillId="15890" borderId="15837" xfId="0" applyNumberFormat="1" applyFont="1" applyFill="1" applyBorder="1"/>
    <xf numFmtId="4" fontId="15887" fillId="15891" borderId="15838" xfId="0" applyNumberFormat="1" applyFont="1" applyFill="1" applyBorder="1"/>
    <xf numFmtId="165" fontId="15888" fillId="15892" borderId="15839" xfId="0" applyNumberFormat="1" applyFont="1" applyFill="1" applyBorder="1"/>
    <xf numFmtId="0" fontId="15889" fillId="15893" borderId="15840" xfId="0" applyFont="1" applyFill="1" applyBorder="1" applyAlignment="1">
      <alignment horizontal="center"/>
    </xf>
    <xf numFmtId="0" fontId="15890" fillId="15894" borderId="15841" xfId="0" applyFont="1" applyFill="1" applyBorder="1"/>
    <xf numFmtId="4" fontId="15891" fillId="15895" borderId="15842" xfId="0" applyNumberFormat="1" applyFont="1" applyFill="1" applyBorder="1"/>
    <xf numFmtId="165" fontId="15892" fillId="15896" borderId="15843" xfId="0" applyNumberFormat="1" applyFont="1" applyFill="1" applyBorder="1"/>
    <xf numFmtId="4" fontId="15893" fillId="15897" borderId="15844" xfId="0" applyNumberFormat="1" applyFont="1" applyFill="1" applyBorder="1"/>
    <xf numFmtId="168" fontId="15894" fillId="15898" borderId="15845" xfId="0" applyNumberFormat="1" applyFont="1" applyFill="1" applyBorder="1"/>
    <xf numFmtId="165" fontId="15895" fillId="15899" borderId="15846" xfId="0" applyNumberFormat="1" applyFont="1" applyFill="1" applyBorder="1"/>
    <xf numFmtId="4" fontId="15896" fillId="15900" borderId="15847" xfId="0" applyNumberFormat="1" applyFont="1" applyFill="1" applyBorder="1"/>
    <xf numFmtId="165" fontId="15897" fillId="15901" borderId="15848" xfId="0" applyNumberFormat="1" applyFont="1" applyFill="1" applyBorder="1"/>
    <xf numFmtId="0" fontId="15898" fillId="15902" borderId="15849" xfId="0" applyFont="1" applyFill="1" applyBorder="1" applyAlignment="1">
      <alignment horizontal="center"/>
    </xf>
    <xf numFmtId="0" fontId="15899" fillId="15903" borderId="15850" xfId="0" applyFont="1" applyFill="1" applyBorder="1"/>
    <xf numFmtId="4" fontId="15900" fillId="15904" borderId="15851" xfId="0" applyNumberFormat="1" applyFont="1" applyFill="1" applyBorder="1"/>
    <xf numFmtId="165" fontId="15901" fillId="15905" borderId="15852" xfId="0" applyNumberFormat="1" applyFont="1" applyFill="1" applyBorder="1"/>
    <xf numFmtId="4" fontId="15902" fillId="15906" borderId="15853" xfId="0" applyNumberFormat="1" applyFont="1" applyFill="1" applyBorder="1"/>
    <xf numFmtId="168" fontId="15903" fillId="15907" borderId="15854" xfId="0" applyNumberFormat="1" applyFont="1" applyFill="1" applyBorder="1"/>
    <xf numFmtId="165" fontId="15904" fillId="15908" borderId="15855" xfId="0" applyNumberFormat="1" applyFont="1" applyFill="1" applyBorder="1"/>
    <xf numFmtId="4" fontId="15905" fillId="15909" borderId="15856" xfId="0" applyNumberFormat="1" applyFont="1" applyFill="1" applyBorder="1"/>
    <xf numFmtId="165" fontId="15906" fillId="15910" borderId="15857" xfId="0" applyNumberFormat="1" applyFont="1" applyFill="1" applyBorder="1"/>
    <xf numFmtId="0" fontId="15907" fillId="15911" borderId="15858" xfId="0" applyFont="1" applyFill="1" applyBorder="1" applyAlignment="1">
      <alignment horizontal="center"/>
    </xf>
    <xf numFmtId="0" fontId="15908" fillId="15912" borderId="15859" xfId="0" applyFont="1" applyFill="1" applyBorder="1"/>
    <xf numFmtId="4" fontId="15909" fillId="15913" borderId="15860" xfId="0" applyNumberFormat="1" applyFont="1" applyFill="1" applyBorder="1"/>
    <xf numFmtId="165" fontId="15910" fillId="15914" borderId="15861" xfId="0" applyNumberFormat="1" applyFont="1" applyFill="1" applyBorder="1"/>
    <xf numFmtId="4" fontId="15911" fillId="15915" borderId="15862" xfId="0" applyNumberFormat="1" applyFont="1" applyFill="1" applyBorder="1"/>
    <xf numFmtId="168" fontId="15912" fillId="15916" borderId="15863" xfId="0" applyNumberFormat="1" applyFont="1" applyFill="1" applyBorder="1"/>
    <xf numFmtId="165" fontId="15913" fillId="15917" borderId="15864" xfId="0" applyNumberFormat="1" applyFont="1" applyFill="1" applyBorder="1"/>
    <xf numFmtId="4" fontId="15914" fillId="15918" borderId="15865" xfId="0" applyNumberFormat="1" applyFont="1" applyFill="1" applyBorder="1"/>
    <xf numFmtId="165" fontId="15915" fillId="15919" borderId="15866" xfId="0" applyNumberFormat="1" applyFont="1" applyFill="1" applyBorder="1"/>
    <xf numFmtId="0" fontId="15916" fillId="15920" borderId="15867" xfId="0" applyFont="1" applyFill="1" applyBorder="1" applyAlignment="1">
      <alignment horizontal="center"/>
    </xf>
    <xf numFmtId="0" fontId="15917" fillId="15921" borderId="15868" xfId="0" applyFont="1" applyFill="1" applyBorder="1"/>
    <xf numFmtId="4" fontId="15918" fillId="15922" borderId="15869" xfId="0" applyNumberFormat="1" applyFont="1" applyFill="1" applyBorder="1"/>
    <xf numFmtId="165" fontId="15919" fillId="15923" borderId="15870" xfId="0" applyNumberFormat="1" applyFont="1" applyFill="1" applyBorder="1"/>
    <xf numFmtId="4" fontId="15920" fillId="15924" borderId="15871" xfId="0" applyNumberFormat="1" applyFont="1" applyFill="1" applyBorder="1"/>
    <xf numFmtId="168" fontId="15921" fillId="15925" borderId="15872" xfId="0" applyNumberFormat="1" applyFont="1" applyFill="1" applyBorder="1"/>
    <xf numFmtId="165" fontId="15922" fillId="15926" borderId="15873" xfId="0" applyNumberFormat="1" applyFont="1" applyFill="1" applyBorder="1"/>
    <xf numFmtId="4" fontId="15923" fillId="15927" borderId="15874" xfId="0" applyNumberFormat="1" applyFont="1" applyFill="1" applyBorder="1"/>
    <xf numFmtId="165" fontId="15924" fillId="15928" borderId="15875" xfId="0" applyNumberFormat="1" applyFont="1" applyFill="1" applyBorder="1"/>
    <xf numFmtId="0" fontId="15925" fillId="15929" borderId="15876" xfId="0" applyFont="1" applyFill="1" applyBorder="1" applyAlignment="1">
      <alignment horizontal="center"/>
    </xf>
    <xf numFmtId="0" fontId="15926" fillId="15930" borderId="15877" xfId="0" applyFont="1" applyFill="1" applyBorder="1"/>
    <xf numFmtId="4" fontId="15927" fillId="15931" borderId="15878" xfId="0" applyNumberFormat="1" applyFont="1" applyFill="1" applyBorder="1"/>
    <xf numFmtId="165" fontId="15928" fillId="15932" borderId="15879" xfId="0" applyNumberFormat="1" applyFont="1" applyFill="1" applyBorder="1"/>
    <xf numFmtId="4" fontId="15929" fillId="15933" borderId="15880" xfId="0" applyNumberFormat="1" applyFont="1" applyFill="1" applyBorder="1"/>
    <xf numFmtId="168" fontId="15930" fillId="15934" borderId="15881" xfId="0" applyNumberFormat="1" applyFont="1" applyFill="1" applyBorder="1"/>
    <xf numFmtId="165" fontId="15931" fillId="15935" borderId="15882" xfId="0" applyNumberFormat="1" applyFont="1" applyFill="1" applyBorder="1"/>
    <xf numFmtId="4" fontId="15932" fillId="15936" borderId="15883" xfId="0" applyNumberFormat="1" applyFont="1" applyFill="1" applyBorder="1"/>
    <xf numFmtId="165" fontId="15933" fillId="15937" borderId="15884" xfId="0" applyNumberFormat="1" applyFont="1" applyFill="1" applyBorder="1"/>
    <xf numFmtId="0" fontId="15934" fillId="15938" borderId="15885" xfId="0" applyFont="1" applyFill="1" applyBorder="1" applyAlignment="1">
      <alignment horizontal="center"/>
    </xf>
    <xf numFmtId="0" fontId="15935" fillId="15939" borderId="15886" xfId="0" applyFont="1" applyFill="1" applyBorder="1"/>
    <xf numFmtId="4" fontId="15936" fillId="15940" borderId="15887" xfId="0" applyNumberFormat="1" applyFont="1" applyFill="1" applyBorder="1"/>
    <xf numFmtId="165" fontId="15937" fillId="15941" borderId="15888" xfId="0" applyNumberFormat="1" applyFont="1" applyFill="1" applyBorder="1"/>
    <xf numFmtId="4" fontId="15938" fillId="15942" borderId="15889" xfId="0" applyNumberFormat="1" applyFont="1" applyFill="1" applyBorder="1"/>
    <xf numFmtId="168" fontId="15939" fillId="15943" borderId="15890" xfId="0" applyNumberFormat="1" applyFont="1" applyFill="1" applyBorder="1"/>
    <xf numFmtId="165" fontId="15940" fillId="15944" borderId="15891" xfId="0" applyNumberFormat="1" applyFont="1" applyFill="1" applyBorder="1"/>
    <xf numFmtId="4" fontId="15941" fillId="15945" borderId="15892" xfId="0" applyNumberFormat="1" applyFont="1" applyFill="1" applyBorder="1"/>
    <xf numFmtId="165" fontId="15942" fillId="15946" borderId="15893" xfId="0" applyNumberFormat="1" applyFont="1" applyFill="1" applyBorder="1"/>
    <xf numFmtId="0" fontId="15943" fillId="15947" borderId="15894" xfId="0" applyFont="1" applyFill="1" applyBorder="1" applyAlignment="1">
      <alignment horizontal="center"/>
    </xf>
    <xf numFmtId="0" fontId="15944" fillId="15948" borderId="15895" xfId="0" applyFont="1" applyFill="1" applyBorder="1"/>
    <xf numFmtId="4" fontId="15945" fillId="15949" borderId="15896" xfId="0" applyNumberFormat="1" applyFont="1" applyFill="1" applyBorder="1"/>
    <xf numFmtId="165" fontId="15946" fillId="15950" borderId="15897" xfId="0" applyNumberFormat="1" applyFont="1" applyFill="1" applyBorder="1"/>
    <xf numFmtId="4" fontId="15947" fillId="15951" borderId="15898" xfId="0" applyNumberFormat="1" applyFont="1" applyFill="1" applyBorder="1"/>
    <xf numFmtId="168" fontId="15948" fillId="15952" borderId="15899" xfId="0" applyNumberFormat="1" applyFont="1" applyFill="1" applyBorder="1"/>
    <xf numFmtId="165" fontId="15949" fillId="15953" borderId="15900" xfId="0" applyNumberFormat="1" applyFont="1" applyFill="1" applyBorder="1"/>
    <xf numFmtId="4" fontId="15950" fillId="15954" borderId="15901" xfId="0" applyNumberFormat="1" applyFont="1" applyFill="1" applyBorder="1"/>
    <xf numFmtId="165" fontId="15951" fillId="15955" borderId="15902" xfId="0" applyNumberFormat="1" applyFont="1" applyFill="1" applyBorder="1"/>
    <xf numFmtId="0" fontId="15952" fillId="15956" borderId="15903" xfId="0" applyFont="1" applyFill="1" applyBorder="1" applyAlignment="1">
      <alignment horizontal="center"/>
    </xf>
    <xf numFmtId="0" fontId="15953" fillId="15957" borderId="15904" xfId="0" applyFont="1" applyFill="1" applyBorder="1"/>
    <xf numFmtId="4" fontId="15954" fillId="15958" borderId="15905" xfId="0" applyNumberFormat="1" applyFont="1" applyFill="1" applyBorder="1"/>
    <xf numFmtId="165" fontId="15955" fillId="15959" borderId="15906" xfId="0" applyNumberFormat="1" applyFont="1" applyFill="1" applyBorder="1"/>
    <xf numFmtId="4" fontId="15956" fillId="15960" borderId="15907" xfId="0" applyNumberFormat="1" applyFont="1" applyFill="1" applyBorder="1"/>
    <xf numFmtId="168" fontId="15957" fillId="15961" borderId="15908" xfId="0" applyNumberFormat="1" applyFont="1" applyFill="1" applyBorder="1"/>
    <xf numFmtId="165" fontId="15958" fillId="15962" borderId="15909" xfId="0" applyNumberFormat="1" applyFont="1" applyFill="1" applyBorder="1"/>
    <xf numFmtId="4" fontId="15959" fillId="15963" borderId="15910" xfId="0" applyNumberFormat="1" applyFont="1" applyFill="1" applyBorder="1"/>
    <xf numFmtId="165" fontId="15960" fillId="15964" borderId="15911" xfId="0" applyNumberFormat="1" applyFont="1" applyFill="1" applyBorder="1"/>
    <xf numFmtId="0" fontId="15961" fillId="15965" borderId="15912" xfId="0" applyFont="1" applyFill="1" applyBorder="1" applyAlignment="1">
      <alignment horizontal="center"/>
    </xf>
    <xf numFmtId="0" fontId="15962" fillId="15966" borderId="15913" xfId="0" applyFont="1" applyFill="1" applyBorder="1"/>
    <xf numFmtId="4" fontId="15963" fillId="15967" borderId="15914" xfId="0" applyNumberFormat="1" applyFont="1" applyFill="1" applyBorder="1"/>
    <xf numFmtId="165" fontId="15964" fillId="15968" borderId="15915" xfId="0" applyNumberFormat="1" applyFont="1" applyFill="1" applyBorder="1"/>
    <xf numFmtId="4" fontId="15965" fillId="15969" borderId="15916" xfId="0" applyNumberFormat="1" applyFont="1" applyFill="1" applyBorder="1"/>
    <xf numFmtId="168" fontId="15966" fillId="15970" borderId="15917" xfId="0" applyNumberFormat="1" applyFont="1" applyFill="1" applyBorder="1"/>
    <xf numFmtId="165" fontId="15967" fillId="15971" borderId="15918" xfId="0" applyNumberFormat="1" applyFont="1" applyFill="1" applyBorder="1"/>
    <xf numFmtId="4" fontId="15968" fillId="15972" borderId="15919" xfId="0" applyNumberFormat="1" applyFont="1" applyFill="1" applyBorder="1"/>
    <xf numFmtId="165" fontId="15969" fillId="15973" borderId="15920" xfId="0" applyNumberFormat="1" applyFont="1" applyFill="1" applyBorder="1"/>
    <xf numFmtId="0" fontId="15970" fillId="15974" borderId="15921" xfId="0" applyFont="1" applyFill="1" applyBorder="1"/>
    <xf numFmtId="0" fontId="15971" fillId="15975" borderId="15922" xfId="0" applyFont="1" applyFill="1" applyBorder="1"/>
    <xf numFmtId="4" fontId="15972" fillId="15976" borderId="15923" xfId="0" applyNumberFormat="1" applyFont="1" applyFill="1" applyBorder="1"/>
    <xf numFmtId="165" fontId="15973" fillId="15977" borderId="15924" xfId="0" applyNumberFormat="1" applyFont="1" applyFill="1" applyBorder="1"/>
    <xf numFmtId="4" fontId="15974" fillId="15978" borderId="15925" xfId="0" applyNumberFormat="1" applyFont="1" applyFill="1" applyBorder="1"/>
    <xf numFmtId="165" fontId="15975" fillId="15979" borderId="15926" xfId="0" applyNumberFormat="1" applyFont="1" applyFill="1" applyBorder="1"/>
    <xf numFmtId="4" fontId="15976" fillId="15980" borderId="15927" xfId="0" applyNumberFormat="1" applyFont="1" applyFill="1" applyBorder="1"/>
    <xf numFmtId="165" fontId="15977" fillId="15981" borderId="15928" xfId="0" applyNumberFormat="1" applyFont="1" applyFill="1" applyBorder="1"/>
    <xf numFmtId="0" fontId="15978" fillId="15982" borderId="15929" xfId="0" applyFont="1" applyFill="1" applyBorder="1"/>
    <xf numFmtId="0" fontId="15980" fillId="15984" borderId="15931" xfId="0" applyFont="1" applyFill="1" applyBorder="1" applyAlignment="1">
      <alignment horizontal="center" wrapText="1"/>
    </xf>
    <xf numFmtId="0" fontId="15981" fillId="15985" borderId="15932" xfId="0" applyFont="1" applyFill="1" applyBorder="1" applyAlignment="1">
      <alignment horizontal="center" wrapText="1"/>
    </xf>
    <xf numFmtId="0" fontId="15982" fillId="15986" borderId="15933" xfId="0" applyFont="1" applyFill="1" applyBorder="1" applyAlignment="1">
      <alignment horizontal="center" wrapText="1"/>
    </xf>
    <xf numFmtId="0" fontId="15983" fillId="15987" borderId="15934" xfId="0" applyFont="1" applyFill="1" applyBorder="1" applyAlignment="1">
      <alignment horizontal="center" wrapText="1"/>
    </xf>
    <xf numFmtId="0" fontId="15984" fillId="15988" borderId="15935" xfId="0" applyFont="1" applyFill="1" applyBorder="1" applyAlignment="1">
      <alignment horizontal="center" wrapText="1"/>
    </xf>
    <xf numFmtId="0" fontId="15985" fillId="15989" borderId="15936" xfId="0" applyFont="1" applyFill="1" applyBorder="1" applyAlignment="1">
      <alignment horizontal="center" wrapText="1"/>
    </xf>
    <xf numFmtId="0" fontId="15986" fillId="15990" borderId="15937" xfId="0" applyFont="1" applyFill="1" applyBorder="1" applyAlignment="1">
      <alignment horizontal="center" wrapText="1"/>
    </xf>
    <xf numFmtId="0" fontId="15987" fillId="15991" borderId="15938" xfId="0" applyFont="1" applyFill="1" applyBorder="1" applyAlignment="1">
      <alignment horizontal="center" wrapText="1"/>
    </xf>
    <xf numFmtId="0" fontId="15988" fillId="15992" borderId="15939" xfId="0" applyFont="1" applyFill="1" applyBorder="1" applyAlignment="1">
      <alignment horizontal="center"/>
    </xf>
    <xf numFmtId="0" fontId="15989" fillId="15993" borderId="15940" xfId="0" applyFont="1" applyFill="1" applyBorder="1"/>
    <xf numFmtId="165" fontId="15990" fillId="15994" borderId="15941" xfId="0" applyNumberFormat="1" applyFont="1" applyFill="1" applyBorder="1"/>
    <xf numFmtId="4" fontId="15991" fillId="15995" borderId="15942" xfId="0" applyNumberFormat="1" applyFont="1" applyFill="1" applyBorder="1"/>
    <xf numFmtId="168" fontId="15992" fillId="15996" borderId="15943" xfId="0" applyNumberFormat="1" applyFont="1" applyFill="1" applyBorder="1"/>
    <xf numFmtId="165" fontId="15993" fillId="15997" borderId="15944" xfId="0" applyNumberFormat="1" applyFont="1" applyFill="1" applyBorder="1"/>
    <xf numFmtId="165" fontId="15994" fillId="15998" borderId="15945" xfId="0" applyNumberFormat="1" applyFont="1" applyFill="1" applyBorder="1"/>
    <xf numFmtId="0" fontId="15995" fillId="15999" borderId="15946" xfId="0" applyFont="1" applyFill="1" applyBorder="1"/>
    <xf numFmtId="0" fontId="15996" fillId="16000" borderId="15947" xfId="0" applyFont="1" applyFill="1" applyBorder="1" applyAlignment="1">
      <alignment horizontal="center"/>
    </xf>
    <xf numFmtId="0" fontId="15997" fillId="16001" borderId="15948" xfId="0" applyFont="1" applyFill="1" applyBorder="1"/>
    <xf numFmtId="165" fontId="15998" fillId="16002" borderId="15949" xfId="0" applyNumberFormat="1" applyFont="1" applyFill="1" applyBorder="1"/>
    <xf numFmtId="4" fontId="15999" fillId="16003" borderId="15950" xfId="0" applyNumberFormat="1" applyFont="1" applyFill="1" applyBorder="1"/>
    <xf numFmtId="168" fontId="16000" fillId="16004" borderId="15951" xfId="0" applyNumberFormat="1" applyFont="1" applyFill="1" applyBorder="1"/>
    <xf numFmtId="165" fontId="16001" fillId="16005" borderId="15952" xfId="0" applyNumberFormat="1" applyFont="1" applyFill="1" applyBorder="1"/>
    <xf numFmtId="165" fontId="16002" fillId="16006" borderId="15953" xfId="0" applyNumberFormat="1" applyFont="1" applyFill="1" applyBorder="1"/>
    <xf numFmtId="0" fontId="16003" fillId="16007" borderId="15954" xfId="0" applyFont="1" applyFill="1" applyBorder="1"/>
    <xf numFmtId="0" fontId="16004" fillId="16008" borderId="15955" xfId="0" applyFont="1" applyFill="1" applyBorder="1" applyAlignment="1">
      <alignment horizontal="center"/>
    </xf>
    <xf numFmtId="0" fontId="16005" fillId="16009" borderId="15956" xfId="0" applyFont="1" applyFill="1" applyBorder="1"/>
    <xf numFmtId="165" fontId="16006" fillId="16010" borderId="15957" xfId="0" applyNumberFormat="1" applyFont="1" applyFill="1" applyBorder="1"/>
    <xf numFmtId="4" fontId="16007" fillId="16011" borderId="15958" xfId="0" applyNumberFormat="1" applyFont="1" applyFill="1" applyBorder="1"/>
    <xf numFmtId="168" fontId="16008" fillId="16012" borderId="15959" xfId="0" applyNumberFormat="1" applyFont="1" applyFill="1" applyBorder="1"/>
    <xf numFmtId="165" fontId="16009" fillId="16013" borderId="15960" xfId="0" applyNumberFormat="1" applyFont="1" applyFill="1" applyBorder="1"/>
    <xf numFmtId="165" fontId="16010" fillId="16014" borderId="15961" xfId="0" applyNumberFormat="1" applyFont="1" applyFill="1" applyBorder="1"/>
    <xf numFmtId="0" fontId="16011" fillId="16015" borderId="15962" xfId="0" applyFont="1" applyFill="1" applyBorder="1"/>
    <xf numFmtId="0" fontId="16012" fillId="16016" borderId="15963" xfId="0" applyFont="1" applyFill="1" applyBorder="1" applyAlignment="1">
      <alignment horizontal="center"/>
    </xf>
    <xf numFmtId="0" fontId="16013" fillId="16017" borderId="15964" xfId="0" applyFont="1" applyFill="1" applyBorder="1"/>
    <xf numFmtId="165" fontId="16014" fillId="16018" borderId="15965" xfId="0" applyNumberFormat="1" applyFont="1" applyFill="1" applyBorder="1"/>
    <xf numFmtId="4" fontId="16015" fillId="16019" borderId="15966" xfId="0" applyNumberFormat="1" applyFont="1" applyFill="1" applyBorder="1"/>
    <xf numFmtId="168" fontId="16016" fillId="16020" borderId="15967" xfId="0" applyNumberFormat="1" applyFont="1" applyFill="1" applyBorder="1"/>
    <xf numFmtId="165" fontId="16017" fillId="16021" borderId="15968" xfId="0" applyNumberFormat="1" applyFont="1" applyFill="1" applyBorder="1"/>
    <xf numFmtId="165" fontId="16018" fillId="16022" borderId="15969" xfId="0" applyNumberFormat="1" applyFont="1" applyFill="1" applyBorder="1"/>
    <xf numFmtId="0" fontId="16019" fillId="16023" borderId="15970" xfId="0" applyFont="1" applyFill="1" applyBorder="1"/>
    <xf numFmtId="0" fontId="16020" fillId="16024" borderId="15971" xfId="0" applyFont="1" applyFill="1" applyBorder="1" applyAlignment="1">
      <alignment horizontal="center"/>
    </xf>
    <xf numFmtId="0" fontId="16021" fillId="16025" borderId="15972" xfId="0" applyFont="1" applyFill="1" applyBorder="1"/>
    <xf numFmtId="165" fontId="16022" fillId="16026" borderId="15973" xfId="0" applyNumberFormat="1" applyFont="1" applyFill="1" applyBorder="1"/>
    <xf numFmtId="4" fontId="16023" fillId="16027" borderId="15974" xfId="0" applyNumberFormat="1" applyFont="1" applyFill="1" applyBorder="1"/>
    <xf numFmtId="168" fontId="16024" fillId="16028" borderId="15975" xfId="0" applyNumberFormat="1" applyFont="1" applyFill="1" applyBorder="1"/>
    <xf numFmtId="165" fontId="16025" fillId="16029" borderId="15976" xfId="0" applyNumberFormat="1" applyFont="1" applyFill="1" applyBorder="1"/>
    <xf numFmtId="165" fontId="16026" fillId="16030" borderId="15977" xfId="0" applyNumberFormat="1" applyFont="1" applyFill="1" applyBorder="1"/>
    <xf numFmtId="0" fontId="16027" fillId="16031" borderId="15978" xfId="0" applyFont="1" applyFill="1" applyBorder="1"/>
    <xf numFmtId="0" fontId="16028" fillId="16032" borderId="15979" xfId="0" applyFont="1" applyFill="1" applyBorder="1" applyAlignment="1">
      <alignment horizontal="center"/>
    </xf>
    <xf numFmtId="0" fontId="16029" fillId="16033" borderId="15980" xfId="0" applyFont="1" applyFill="1" applyBorder="1"/>
    <xf numFmtId="165" fontId="16030" fillId="16034" borderId="15981" xfId="0" applyNumberFormat="1" applyFont="1" applyFill="1" applyBorder="1"/>
    <xf numFmtId="4" fontId="16031" fillId="16035" borderId="15982" xfId="0" applyNumberFormat="1" applyFont="1" applyFill="1" applyBorder="1"/>
    <xf numFmtId="168" fontId="16032" fillId="16036" borderId="15983" xfId="0" applyNumberFormat="1" applyFont="1" applyFill="1" applyBorder="1"/>
    <xf numFmtId="165" fontId="16033" fillId="16037" borderId="15984" xfId="0" applyNumberFormat="1" applyFont="1" applyFill="1" applyBorder="1"/>
    <xf numFmtId="165" fontId="16034" fillId="16038" borderId="15985" xfId="0" applyNumberFormat="1" applyFont="1" applyFill="1" applyBorder="1"/>
    <xf numFmtId="0" fontId="16035" fillId="16039" borderId="15986" xfId="0" applyFont="1" applyFill="1" applyBorder="1"/>
    <xf numFmtId="0" fontId="16036" fillId="16040" borderId="15987" xfId="0" applyFont="1" applyFill="1" applyBorder="1" applyAlignment="1">
      <alignment horizontal="center"/>
    </xf>
    <xf numFmtId="0" fontId="16037" fillId="16041" borderId="15988" xfId="0" applyFont="1" applyFill="1" applyBorder="1"/>
    <xf numFmtId="165" fontId="16038" fillId="16042" borderId="15989" xfId="0" applyNumberFormat="1" applyFont="1" applyFill="1" applyBorder="1"/>
    <xf numFmtId="4" fontId="16039" fillId="16043" borderId="15990" xfId="0" applyNumberFormat="1" applyFont="1" applyFill="1" applyBorder="1"/>
    <xf numFmtId="168" fontId="16040" fillId="16044" borderId="15991" xfId="0" applyNumberFormat="1" applyFont="1" applyFill="1" applyBorder="1"/>
    <xf numFmtId="165" fontId="16041" fillId="16045" borderId="15992" xfId="0" applyNumberFormat="1" applyFont="1" applyFill="1" applyBorder="1"/>
    <xf numFmtId="165" fontId="16042" fillId="16046" borderId="15993" xfId="0" applyNumberFormat="1" applyFont="1" applyFill="1" applyBorder="1"/>
    <xf numFmtId="0" fontId="16043" fillId="16047" borderId="15994" xfId="0" applyFont="1" applyFill="1" applyBorder="1"/>
    <xf numFmtId="0" fontId="16044" fillId="16048" borderId="15995" xfId="0" applyFont="1" applyFill="1" applyBorder="1" applyAlignment="1">
      <alignment horizontal="center"/>
    </xf>
    <xf numFmtId="0" fontId="16045" fillId="16049" borderId="15996" xfId="0" applyFont="1" applyFill="1" applyBorder="1"/>
    <xf numFmtId="165" fontId="16046" fillId="16050" borderId="15997" xfId="0" applyNumberFormat="1" applyFont="1" applyFill="1" applyBorder="1"/>
    <xf numFmtId="4" fontId="16047" fillId="16051" borderId="15998" xfId="0" applyNumberFormat="1" applyFont="1" applyFill="1" applyBorder="1"/>
    <xf numFmtId="168" fontId="16048" fillId="16052" borderId="15999" xfId="0" applyNumberFormat="1" applyFont="1" applyFill="1" applyBorder="1"/>
    <xf numFmtId="165" fontId="16049" fillId="16053" borderId="16000" xfId="0" applyNumberFormat="1" applyFont="1" applyFill="1" applyBorder="1"/>
    <xf numFmtId="165" fontId="16050" fillId="16054" borderId="16001" xfId="0" applyNumberFormat="1" applyFont="1" applyFill="1" applyBorder="1"/>
    <xf numFmtId="0" fontId="16051" fillId="16055" borderId="16002" xfId="0" applyFont="1" applyFill="1" applyBorder="1"/>
    <xf numFmtId="0" fontId="16052" fillId="16056" borderId="16003" xfId="0" applyFont="1" applyFill="1" applyBorder="1" applyAlignment="1">
      <alignment horizontal="center"/>
    </xf>
    <xf numFmtId="0" fontId="16053" fillId="16057" borderId="16004" xfId="0" applyFont="1" applyFill="1" applyBorder="1"/>
    <xf numFmtId="165" fontId="16054" fillId="16058" borderId="16005" xfId="0" applyNumberFormat="1" applyFont="1" applyFill="1" applyBorder="1"/>
    <xf numFmtId="4" fontId="16055" fillId="16059" borderId="16006" xfId="0" applyNumberFormat="1" applyFont="1" applyFill="1" applyBorder="1"/>
    <xf numFmtId="168" fontId="16056" fillId="16060" borderId="16007" xfId="0" applyNumberFormat="1" applyFont="1" applyFill="1" applyBorder="1"/>
    <xf numFmtId="165" fontId="16057" fillId="16061" borderId="16008" xfId="0" applyNumberFormat="1" applyFont="1" applyFill="1" applyBorder="1"/>
    <xf numFmtId="165" fontId="16058" fillId="16062" borderId="16009" xfId="0" applyNumberFormat="1" applyFont="1" applyFill="1" applyBorder="1"/>
    <xf numFmtId="0" fontId="16059" fillId="16063" borderId="16010" xfId="0" applyFont="1" applyFill="1" applyBorder="1"/>
    <xf numFmtId="0" fontId="16060" fillId="16064" borderId="16011" xfId="0" applyFont="1" applyFill="1" applyBorder="1" applyAlignment="1">
      <alignment horizontal="center"/>
    </xf>
    <xf numFmtId="0" fontId="16061" fillId="16065" borderId="16012" xfId="0" applyFont="1" applyFill="1" applyBorder="1"/>
    <xf numFmtId="165" fontId="16062" fillId="16066" borderId="16013" xfId="0" applyNumberFormat="1" applyFont="1" applyFill="1" applyBorder="1"/>
    <xf numFmtId="4" fontId="16063" fillId="16067" borderId="16014" xfId="0" applyNumberFormat="1" applyFont="1" applyFill="1" applyBorder="1"/>
    <xf numFmtId="168" fontId="16064" fillId="16068" borderId="16015" xfId="0" applyNumberFormat="1" applyFont="1" applyFill="1" applyBorder="1"/>
    <xf numFmtId="165" fontId="16065" fillId="16069" borderId="16016" xfId="0" applyNumberFormat="1" applyFont="1" applyFill="1" applyBorder="1"/>
    <xf numFmtId="165" fontId="16066" fillId="16070" borderId="16017" xfId="0" applyNumberFormat="1" applyFont="1" applyFill="1" applyBorder="1"/>
    <xf numFmtId="0" fontId="16067" fillId="16071" borderId="16018" xfId="0" applyFont="1" applyFill="1" applyBorder="1"/>
    <xf numFmtId="0" fontId="16068" fillId="16072" borderId="16019" xfId="0" applyFont="1" applyFill="1" applyBorder="1" applyAlignment="1">
      <alignment horizontal="center"/>
    </xf>
    <xf numFmtId="0" fontId="16069" fillId="16073" borderId="16020" xfId="0" applyFont="1" applyFill="1" applyBorder="1"/>
    <xf numFmtId="165" fontId="16070" fillId="16074" borderId="16021" xfId="0" applyNumberFormat="1" applyFont="1" applyFill="1" applyBorder="1"/>
    <xf numFmtId="4" fontId="16071" fillId="16075" borderId="16022" xfId="0" applyNumberFormat="1" applyFont="1" applyFill="1" applyBorder="1"/>
    <xf numFmtId="168" fontId="16072" fillId="16076" borderId="16023" xfId="0" applyNumberFormat="1" applyFont="1" applyFill="1" applyBorder="1"/>
    <xf numFmtId="165" fontId="16073" fillId="16077" borderId="16024" xfId="0" applyNumberFormat="1" applyFont="1" applyFill="1" applyBorder="1"/>
    <xf numFmtId="165" fontId="16074" fillId="16078" borderId="16025" xfId="0" applyNumberFormat="1" applyFont="1" applyFill="1" applyBorder="1"/>
    <xf numFmtId="0" fontId="16075" fillId="16079" borderId="16026" xfId="0" applyFont="1" applyFill="1" applyBorder="1"/>
    <xf numFmtId="0" fontId="16076" fillId="16080" borderId="16027" xfId="0" applyFont="1" applyFill="1" applyBorder="1" applyAlignment="1">
      <alignment horizontal="center"/>
    </xf>
    <xf numFmtId="0" fontId="16077" fillId="16081" borderId="16028" xfId="0" applyFont="1" applyFill="1" applyBorder="1"/>
    <xf numFmtId="165" fontId="16078" fillId="16082" borderId="16029" xfId="0" applyNumberFormat="1" applyFont="1" applyFill="1" applyBorder="1"/>
    <xf numFmtId="4" fontId="16079" fillId="16083" borderId="16030" xfId="0" applyNumberFormat="1" applyFont="1" applyFill="1" applyBorder="1"/>
    <xf numFmtId="168" fontId="16080" fillId="16084" borderId="16031" xfId="0" applyNumberFormat="1" applyFont="1" applyFill="1" applyBorder="1"/>
    <xf numFmtId="165" fontId="16081" fillId="16085" borderId="16032" xfId="0" applyNumberFormat="1" applyFont="1" applyFill="1" applyBorder="1"/>
    <xf numFmtId="165" fontId="16082" fillId="16086" borderId="16033" xfId="0" applyNumberFormat="1" applyFont="1" applyFill="1" applyBorder="1"/>
    <xf numFmtId="0" fontId="16083" fillId="16087" borderId="16034" xfId="0" applyFont="1" applyFill="1" applyBorder="1"/>
    <xf numFmtId="0" fontId="16084" fillId="16088" borderId="16035" xfId="0" applyFont="1" applyFill="1" applyBorder="1" applyAlignment="1">
      <alignment horizontal="center"/>
    </xf>
    <xf numFmtId="0" fontId="16085" fillId="16089" borderId="16036" xfId="0" applyFont="1" applyFill="1" applyBorder="1"/>
    <xf numFmtId="165" fontId="16086" fillId="16090" borderId="16037" xfId="0" applyNumberFormat="1" applyFont="1" applyFill="1" applyBorder="1"/>
    <xf numFmtId="4" fontId="16087" fillId="16091" borderId="16038" xfId="0" applyNumberFormat="1" applyFont="1" applyFill="1" applyBorder="1"/>
    <xf numFmtId="168" fontId="16088" fillId="16092" borderId="16039" xfId="0" applyNumberFormat="1" applyFont="1" applyFill="1" applyBorder="1"/>
    <xf numFmtId="165" fontId="16089" fillId="16093" borderId="16040" xfId="0" applyNumberFormat="1" applyFont="1" applyFill="1" applyBorder="1"/>
    <xf numFmtId="165" fontId="16090" fillId="16094" borderId="16041" xfId="0" applyNumberFormat="1" applyFont="1" applyFill="1" applyBorder="1"/>
    <xf numFmtId="0" fontId="16091" fillId="16095" borderId="16042" xfId="0" applyFont="1" applyFill="1" applyBorder="1"/>
    <xf numFmtId="0" fontId="16092" fillId="16096" borderId="16043" xfId="0" applyFont="1" applyFill="1" applyBorder="1" applyAlignment="1">
      <alignment horizontal="center"/>
    </xf>
    <xf numFmtId="0" fontId="16093" fillId="16097" borderId="16044" xfId="0" applyFont="1" applyFill="1" applyBorder="1"/>
    <xf numFmtId="165" fontId="16094" fillId="16098" borderId="16045" xfId="0" applyNumberFormat="1" applyFont="1" applyFill="1" applyBorder="1"/>
    <xf numFmtId="4" fontId="16095" fillId="16099" borderId="16046" xfId="0" applyNumberFormat="1" applyFont="1" applyFill="1" applyBorder="1"/>
    <xf numFmtId="168" fontId="16096" fillId="16100" borderId="16047" xfId="0" applyNumberFormat="1" applyFont="1" applyFill="1" applyBorder="1"/>
    <xf numFmtId="165" fontId="16097" fillId="16101" borderId="16048" xfId="0" applyNumberFormat="1" applyFont="1" applyFill="1" applyBorder="1"/>
    <xf numFmtId="165" fontId="16098" fillId="16102" borderId="16049" xfId="0" applyNumberFormat="1" applyFont="1" applyFill="1" applyBorder="1"/>
    <xf numFmtId="0" fontId="16099" fillId="16103" borderId="16050" xfId="0" applyFont="1" applyFill="1" applyBorder="1"/>
    <xf numFmtId="0" fontId="16100" fillId="16104" borderId="16051" xfId="0" applyFont="1" applyFill="1" applyBorder="1" applyAlignment="1">
      <alignment horizontal="center"/>
    </xf>
    <xf numFmtId="0" fontId="16101" fillId="16105" borderId="16052" xfId="0" applyFont="1" applyFill="1" applyBorder="1"/>
    <xf numFmtId="165" fontId="16102" fillId="16106" borderId="16053" xfId="0" applyNumberFormat="1" applyFont="1" applyFill="1" applyBorder="1"/>
    <xf numFmtId="4" fontId="16103" fillId="16107" borderId="16054" xfId="0" applyNumberFormat="1" applyFont="1" applyFill="1" applyBorder="1"/>
    <xf numFmtId="168" fontId="16104" fillId="16108" borderId="16055" xfId="0" applyNumberFormat="1" applyFont="1" applyFill="1" applyBorder="1"/>
    <xf numFmtId="165" fontId="16105" fillId="16109" borderId="16056" xfId="0" applyNumberFormat="1" applyFont="1" applyFill="1" applyBorder="1"/>
    <xf numFmtId="165" fontId="16106" fillId="16110" borderId="16057" xfId="0" applyNumberFormat="1" applyFont="1" applyFill="1" applyBorder="1"/>
    <xf numFmtId="0" fontId="16107" fillId="16111" borderId="16058" xfId="0" applyFont="1" applyFill="1" applyBorder="1"/>
    <xf numFmtId="0" fontId="16108" fillId="16112" borderId="16059" xfId="0" applyFont="1" applyFill="1" applyBorder="1" applyAlignment="1">
      <alignment horizontal="center"/>
    </xf>
    <xf numFmtId="0" fontId="16109" fillId="16113" borderId="16060" xfId="0" applyFont="1" applyFill="1" applyBorder="1"/>
    <xf numFmtId="165" fontId="16110" fillId="16114" borderId="16061" xfId="0" applyNumberFormat="1" applyFont="1" applyFill="1" applyBorder="1"/>
    <xf numFmtId="4" fontId="16111" fillId="16115" borderId="16062" xfId="0" applyNumberFormat="1" applyFont="1" applyFill="1" applyBorder="1"/>
    <xf numFmtId="168" fontId="16112" fillId="16116" borderId="16063" xfId="0" applyNumberFormat="1" applyFont="1" applyFill="1" applyBorder="1"/>
    <xf numFmtId="165" fontId="16113" fillId="16117" borderId="16064" xfId="0" applyNumberFormat="1" applyFont="1" applyFill="1" applyBorder="1"/>
    <xf numFmtId="165" fontId="16114" fillId="16118" borderId="16065" xfId="0" applyNumberFormat="1" applyFont="1" applyFill="1" applyBorder="1"/>
    <xf numFmtId="0" fontId="16115" fillId="16119" borderId="16066" xfId="0" applyFont="1" applyFill="1" applyBorder="1"/>
    <xf numFmtId="0" fontId="16116" fillId="16120" borderId="16067" xfId="0" applyFont="1" applyFill="1" applyBorder="1" applyAlignment="1">
      <alignment horizontal="center"/>
    </xf>
    <xf numFmtId="0" fontId="16117" fillId="16121" borderId="16068" xfId="0" applyFont="1" applyFill="1" applyBorder="1"/>
    <xf numFmtId="165" fontId="16118" fillId="16122" borderId="16069" xfId="0" applyNumberFormat="1" applyFont="1" applyFill="1" applyBorder="1"/>
    <xf numFmtId="4" fontId="16119" fillId="16123" borderId="16070" xfId="0" applyNumberFormat="1" applyFont="1" applyFill="1" applyBorder="1"/>
    <xf numFmtId="168" fontId="16120" fillId="16124" borderId="16071" xfId="0" applyNumberFormat="1" applyFont="1" applyFill="1" applyBorder="1"/>
    <xf numFmtId="165" fontId="16121" fillId="16125" borderId="16072" xfId="0" applyNumberFormat="1" applyFont="1" applyFill="1" applyBorder="1"/>
    <xf numFmtId="165" fontId="16122" fillId="16126" borderId="16073" xfId="0" applyNumberFormat="1" applyFont="1" applyFill="1" applyBorder="1"/>
    <xf numFmtId="0" fontId="16123" fillId="16127" borderId="16074" xfId="0" applyFont="1" applyFill="1" applyBorder="1"/>
    <xf numFmtId="0" fontId="16124" fillId="16128" borderId="16075" xfId="0" applyFont="1" applyFill="1" applyBorder="1" applyAlignment="1">
      <alignment horizontal="center"/>
    </xf>
    <xf numFmtId="0" fontId="16125" fillId="16129" borderId="16076" xfId="0" applyFont="1" applyFill="1" applyBorder="1"/>
    <xf numFmtId="165" fontId="16126" fillId="16130" borderId="16077" xfId="0" applyNumberFormat="1" applyFont="1" applyFill="1" applyBorder="1"/>
    <xf numFmtId="4" fontId="16127" fillId="16131" borderId="16078" xfId="0" applyNumberFormat="1" applyFont="1" applyFill="1" applyBorder="1"/>
    <xf numFmtId="168" fontId="16128" fillId="16132" borderId="16079" xfId="0" applyNumberFormat="1" applyFont="1" applyFill="1" applyBorder="1"/>
    <xf numFmtId="165" fontId="16129" fillId="16133" borderId="16080" xfId="0" applyNumberFormat="1" applyFont="1" applyFill="1" applyBorder="1"/>
    <xf numFmtId="165" fontId="16130" fillId="16134" borderId="16081" xfId="0" applyNumberFormat="1" applyFont="1" applyFill="1" applyBorder="1"/>
    <xf numFmtId="0" fontId="16131" fillId="16135" borderId="16082" xfId="0" applyFont="1" applyFill="1" applyBorder="1"/>
    <xf numFmtId="0" fontId="16132" fillId="16136" borderId="16083" xfId="0" applyFont="1" applyFill="1" applyBorder="1" applyAlignment="1">
      <alignment horizontal="center"/>
    </xf>
    <xf numFmtId="0" fontId="16133" fillId="16137" borderId="16084" xfId="0" applyFont="1" applyFill="1" applyBorder="1"/>
    <xf numFmtId="165" fontId="16134" fillId="16138" borderId="16085" xfId="0" applyNumberFormat="1" applyFont="1" applyFill="1" applyBorder="1"/>
    <xf numFmtId="4" fontId="16135" fillId="16139" borderId="16086" xfId="0" applyNumberFormat="1" applyFont="1" applyFill="1" applyBorder="1"/>
    <xf numFmtId="168" fontId="16136" fillId="16140" borderId="16087" xfId="0" applyNumberFormat="1" applyFont="1" applyFill="1" applyBorder="1"/>
    <xf numFmtId="165" fontId="16137" fillId="16141" borderId="16088" xfId="0" applyNumberFormat="1" applyFont="1" applyFill="1" applyBorder="1"/>
    <xf numFmtId="165" fontId="16138" fillId="16142" borderId="16089" xfId="0" applyNumberFormat="1" applyFont="1" applyFill="1" applyBorder="1"/>
    <xf numFmtId="0" fontId="16139" fillId="16143" borderId="16090" xfId="0" applyFont="1" applyFill="1" applyBorder="1"/>
    <xf numFmtId="0" fontId="16140" fillId="16144" borderId="16091" xfId="0" applyFont="1" applyFill="1" applyBorder="1" applyAlignment="1">
      <alignment horizontal="center"/>
    </xf>
    <xf numFmtId="0" fontId="16141" fillId="16145" borderId="16092" xfId="0" applyFont="1" applyFill="1" applyBorder="1"/>
    <xf numFmtId="165" fontId="16142" fillId="16146" borderId="16093" xfId="0" applyNumberFormat="1" applyFont="1" applyFill="1" applyBorder="1"/>
    <xf numFmtId="4" fontId="16143" fillId="16147" borderId="16094" xfId="0" applyNumberFormat="1" applyFont="1" applyFill="1" applyBorder="1"/>
    <xf numFmtId="168" fontId="16144" fillId="16148" borderId="16095" xfId="0" applyNumberFormat="1" applyFont="1" applyFill="1" applyBorder="1"/>
    <xf numFmtId="165" fontId="16145" fillId="16149" borderId="16096" xfId="0" applyNumberFormat="1" applyFont="1" applyFill="1" applyBorder="1"/>
    <xf numFmtId="165" fontId="16146" fillId="16150" borderId="16097" xfId="0" applyNumberFormat="1" applyFont="1" applyFill="1" applyBorder="1"/>
    <xf numFmtId="0" fontId="16147" fillId="16151" borderId="16098" xfId="0" applyFont="1" applyFill="1" applyBorder="1"/>
    <xf numFmtId="0" fontId="16148" fillId="16152" borderId="16099" xfId="0" applyFont="1" applyFill="1" applyBorder="1" applyAlignment="1">
      <alignment horizontal="center"/>
    </xf>
    <xf numFmtId="0" fontId="16149" fillId="16153" borderId="16100" xfId="0" applyFont="1" applyFill="1" applyBorder="1"/>
    <xf numFmtId="165" fontId="16150" fillId="16154" borderId="16101" xfId="0" applyNumberFormat="1" applyFont="1" applyFill="1" applyBorder="1"/>
    <xf numFmtId="4" fontId="16151" fillId="16155" borderId="16102" xfId="0" applyNumberFormat="1" applyFont="1" applyFill="1" applyBorder="1"/>
    <xf numFmtId="168" fontId="16152" fillId="16156" borderId="16103" xfId="0" applyNumberFormat="1" applyFont="1" applyFill="1" applyBorder="1"/>
    <xf numFmtId="165" fontId="16153" fillId="16157" borderId="16104" xfId="0" applyNumberFormat="1" applyFont="1" applyFill="1" applyBorder="1"/>
    <xf numFmtId="165" fontId="16154" fillId="16158" borderId="16105" xfId="0" applyNumberFormat="1" applyFont="1" applyFill="1" applyBorder="1"/>
    <xf numFmtId="0" fontId="16155" fillId="16159" borderId="16106" xfId="0" applyFont="1" applyFill="1" applyBorder="1"/>
    <xf numFmtId="0" fontId="16156" fillId="16160" borderId="16107" xfId="0" applyFont="1" applyFill="1" applyBorder="1" applyAlignment="1">
      <alignment horizontal="center"/>
    </xf>
    <xf numFmtId="0" fontId="16157" fillId="16161" borderId="16108" xfId="0" applyFont="1" applyFill="1" applyBorder="1"/>
    <xf numFmtId="165" fontId="16158" fillId="16162" borderId="16109" xfId="0" applyNumberFormat="1" applyFont="1" applyFill="1" applyBorder="1"/>
    <xf numFmtId="4" fontId="16159" fillId="16163" borderId="16110" xfId="0" applyNumberFormat="1" applyFont="1" applyFill="1" applyBorder="1"/>
    <xf numFmtId="168" fontId="16160" fillId="16164" borderId="16111" xfId="0" applyNumberFormat="1" applyFont="1" applyFill="1" applyBorder="1"/>
    <xf numFmtId="165" fontId="16161" fillId="16165" borderId="16112" xfId="0" applyNumberFormat="1" applyFont="1" applyFill="1" applyBorder="1"/>
    <xf numFmtId="165" fontId="16162" fillId="16166" borderId="16113" xfId="0" applyNumberFormat="1" applyFont="1" applyFill="1" applyBorder="1"/>
    <xf numFmtId="0" fontId="16163" fillId="16167" borderId="16114" xfId="0" applyFont="1" applyFill="1" applyBorder="1"/>
    <xf numFmtId="0" fontId="16164" fillId="16168" borderId="16115" xfId="0" applyFont="1" applyFill="1" applyBorder="1" applyAlignment="1">
      <alignment horizontal="center"/>
    </xf>
    <xf numFmtId="0" fontId="16165" fillId="16169" borderId="16116" xfId="0" applyFont="1" applyFill="1" applyBorder="1"/>
    <xf numFmtId="165" fontId="16166" fillId="16170" borderId="16117" xfId="0" applyNumberFormat="1" applyFont="1" applyFill="1" applyBorder="1"/>
    <xf numFmtId="4" fontId="16167" fillId="16171" borderId="16118" xfId="0" applyNumberFormat="1" applyFont="1" applyFill="1" applyBorder="1"/>
    <xf numFmtId="168" fontId="16168" fillId="16172" borderId="16119" xfId="0" applyNumberFormat="1" applyFont="1" applyFill="1" applyBorder="1"/>
    <xf numFmtId="165" fontId="16169" fillId="16173" borderId="16120" xfId="0" applyNumberFormat="1" applyFont="1" applyFill="1" applyBorder="1"/>
    <xf numFmtId="165" fontId="16170" fillId="16174" borderId="16121" xfId="0" applyNumberFormat="1" applyFont="1" applyFill="1" applyBorder="1"/>
    <xf numFmtId="0" fontId="16171" fillId="16175" borderId="16122" xfId="0" applyFont="1" applyFill="1" applyBorder="1"/>
    <xf numFmtId="0" fontId="16172" fillId="16176" borderId="16123" xfId="0" applyFont="1" applyFill="1" applyBorder="1" applyAlignment="1">
      <alignment horizontal="center"/>
    </xf>
    <xf numFmtId="0" fontId="16173" fillId="16177" borderId="16124" xfId="0" applyFont="1" applyFill="1" applyBorder="1"/>
    <xf numFmtId="165" fontId="16174" fillId="16178" borderId="16125" xfId="0" applyNumberFormat="1" applyFont="1" applyFill="1" applyBorder="1"/>
    <xf numFmtId="4" fontId="16175" fillId="16179" borderId="16126" xfId="0" applyNumberFormat="1" applyFont="1" applyFill="1" applyBorder="1"/>
    <xf numFmtId="168" fontId="16176" fillId="16180" borderId="16127" xfId="0" applyNumberFormat="1" applyFont="1" applyFill="1" applyBorder="1"/>
    <xf numFmtId="165" fontId="16177" fillId="16181" borderId="16128" xfId="0" applyNumberFormat="1" applyFont="1" applyFill="1" applyBorder="1"/>
    <xf numFmtId="165" fontId="16178" fillId="16182" borderId="16129" xfId="0" applyNumberFormat="1" applyFont="1" applyFill="1" applyBorder="1"/>
    <xf numFmtId="0" fontId="16179" fillId="16183" borderId="16130" xfId="0" applyFont="1" applyFill="1" applyBorder="1"/>
    <xf numFmtId="0" fontId="16180" fillId="16184" borderId="16131" xfId="0" applyFont="1" applyFill="1" applyBorder="1" applyAlignment="1">
      <alignment horizontal="center"/>
    </xf>
    <xf numFmtId="0" fontId="16181" fillId="16185" borderId="16132" xfId="0" applyFont="1" applyFill="1" applyBorder="1"/>
    <xf numFmtId="165" fontId="16182" fillId="16186" borderId="16133" xfId="0" applyNumberFormat="1" applyFont="1" applyFill="1" applyBorder="1"/>
    <xf numFmtId="4" fontId="16183" fillId="16187" borderId="16134" xfId="0" applyNumberFormat="1" applyFont="1" applyFill="1" applyBorder="1"/>
    <xf numFmtId="168" fontId="16184" fillId="16188" borderId="16135" xfId="0" applyNumberFormat="1" applyFont="1" applyFill="1" applyBorder="1"/>
    <xf numFmtId="165" fontId="16185" fillId="16189" borderId="16136" xfId="0" applyNumberFormat="1" applyFont="1" applyFill="1" applyBorder="1"/>
    <xf numFmtId="165" fontId="16186" fillId="16190" borderId="16137" xfId="0" applyNumberFormat="1" applyFont="1" applyFill="1" applyBorder="1"/>
    <xf numFmtId="0" fontId="16187" fillId="16191" borderId="16138" xfId="0" applyFont="1" applyFill="1" applyBorder="1"/>
    <xf numFmtId="0" fontId="16188" fillId="16192" borderId="16139" xfId="0" applyFont="1" applyFill="1" applyBorder="1" applyAlignment="1">
      <alignment horizontal="center"/>
    </xf>
    <xf numFmtId="0" fontId="16189" fillId="16193" borderId="16140" xfId="0" applyFont="1" applyFill="1" applyBorder="1"/>
    <xf numFmtId="165" fontId="16190" fillId="16194" borderId="16141" xfId="0" applyNumberFormat="1" applyFont="1" applyFill="1" applyBorder="1"/>
    <xf numFmtId="4" fontId="16191" fillId="16195" borderId="16142" xfId="0" applyNumberFormat="1" applyFont="1" applyFill="1" applyBorder="1"/>
    <xf numFmtId="168" fontId="16192" fillId="16196" borderId="16143" xfId="0" applyNumberFormat="1" applyFont="1" applyFill="1" applyBorder="1"/>
    <xf numFmtId="165" fontId="16193" fillId="16197" borderId="16144" xfId="0" applyNumberFormat="1" applyFont="1" applyFill="1" applyBorder="1"/>
    <xf numFmtId="165" fontId="16194" fillId="16198" borderId="16145" xfId="0" applyNumberFormat="1" applyFont="1" applyFill="1" applyBorder="1"/>
    <xf numFmtId="0" fontId="16195" fillId="16199" borderId="16146" xfId="0" applyFont="1" applyFill="1" applyBorder="1"/>
    <xf numFmtId="0" fontId="16196" fillId="16200" borderId="16147" xfId="0" applyFont="1" applyFill="1" applyBorder="1" applyAlignment="1">
      <alignment horizontal="center"/>
    </xf>
    <xf numFmtId="0" fontId="16197" fillId="16201" borderId="16148" xfId="0" applyFont="1" applyFill="1" applyBorder="1"/>
    <xf numFmtId="165" fontId="16198" fillId="16202" borderId="16149" xfId="0" applyNumberFormat="1" applyFont="1" applyFill="1" applyBorder="1"/>
    <xf numFmtId="4" fontId="16199" fillId="16203" borderId="16150" xfId="0" applyNumberFormat="1" applyFont="1" applyFill="1" applyBorder="1"/>
    <xf numFmtId="168" fontId="16200" fillId="16204" borderId="16151" xfId="0" applyNumberFormat="1" applyFont="1" applyFill="1" applyBorder="1"/>
    <xf numFmtId="165" fontId="16201" fillId="16205" borderId="16152" xfId="0" applyNumberFormat="1" applyFont="1" applyFill="1" applyBorder="1"/>
    <xf numFmtId="165" fontId="16202" fillId="16206" borderId="16153" xfId="0" applyNumberFormat="1" applyFont="1" applyFill="1" applyBorder="1"/>
    <xf numFmtId="0" fontId="16203" fillId="16207" borderId="16154" xfId="0" applyFont="1" applyFill="1" applyBorder="1"/>
    <xf numFmtId="0" fontId="16204" fillId="16208" borderId="16155" xfId="0" applyFont="1" applyFill="1" applyBorder="1" applyAlignment="1">
      <alignment horizontal="center"/>
    </xf>
    <xf numFmtId="0" fontId="16205" fillId="16209" borderId="16156" xfId="0" applyFont="1" applyFill="1" applyBorder="1"/>
    <xf numFmtId="165" fontId="16206" fillId="16210" borderId="16157" xfId="0" applyNumberFormat="1" applyFont="1" applyFill="1" applyBorder="1"/>
    <xf numFmtId="4" fontId="16207" fillId="16211" borderId="16158" xfId="0" applyNumberFormat="1" applyFont="1" applyFill="1" applyBorder="1"/>
    <xf numFmtId="168" fontId="16208" fillId="16212" borderId="16159" xfId="0" applyNumberFormat="1" applyFont="1" applyFill="1" applyBorder="1"/>
    <xf numFmtId="165" fontId="16209" fillId="16213" borderId="16160" xfId="0" applyNumberFormat="1" applyFont="1" applyFill="1" applyBorder="1"/>
    <xf numFmtId="165" fontId="16210" fillId="16214" borderId="16161" xfId="0" applyNumberFormat="1" applyFont="1" applyFill="1" applyBorder="1"/>
    <xf numFmtId="0" fontId="16211" fillId="16215" borderId="16162" xfId="0" applyFont="1" applyFill="1" applyBorder="1"/>
    <xf numFmtId="0" fontId="16212" fillId="16216" borderId="16163" xfId="0" applyFont="1" applyFill="1" applyBorder="1" applyAlignment="1">
      <alignment horizontal="center"/>
    </xf>
    <xf numFmtId="0" fontId="16213" fillId="16217" borderId="16164" xfId="0" applyFont="1" applyFill="1" applyBorder="1"/>
    <xf numFmtId="165" fontId="16214" fillId="16218" borderId="16165" xfId="0" applyNumberFormat="1" applyFont="1" applyFill="1" applyBorder="1"/>
    <xf numFmtId="4" fontId="16215" fillId="16219" borderId="16166" xfId="0" applyNumberFormat="1" applyFont="1" applyFill="1" applyBorder="1"/>
    <xf numFmtId="168" fontId="16216" fillId="16220" borderId="16167" xfId="0" applyNumberFormat="1" applyFont="1" applyFill="1" applyBorder="1"/>
    <xf numFmtId="165" fontId="16217" fillId="16221" borderId="16168" xfId="0" applyNumberFormat="1" applyFont="1" applyFill="1" applyBorder="1"/>
    <xf numFmtId="165" fontId="16218" fillId="16222" borderId="16169" xfId="0" applyNumberFormat="1" applyFont="1" applyFill="1" applyBorder="1"/>
    <xf numFmtId="0" fontId="16219" fillId="16223" borderId="16170" xfId="0" applyFont="1" applyFill="1" applyBorder="1"/>
    <xf numFmtId="0" fontId="16220" fillId="16224" borderId="16171" xfId="0" applyFont="1" applyFill="1" applyBorder="1" applyAlignment="1">
      <alignment horizontal="center"/>
    </xf>
    <xf numFmtId="0" fontId="16221" fillId="16225" borderId="16172" xfId="0" applyFont="1" applyFill="1" applyBorder="1"/>
    <xf numFmtId="165" fontId="16222" fillId="16226" borderId="16173" xfId="0" applyNumberFormat="1" applyFont="1" applyFill="1" applyBorder="1"/>
    <xf numFmtId="4" fontId="16223" fillId="16227" borderId="16174" xfId="0" applyNumberFormat="1" applyFont="1" applyFill="1" applyBorder="1"/>
    <xf numFmtId="168" fontId="16224" fillId="16228" borderId="16175" xfId="0" applyNumberFormat="1" applyFont="1" applyFill="1" applyBorder="1"/>
    <xf numFmtId="165" fontId="16225" fillId="16229" borderId="16176" xfId="0" applyNumberFormat="1" applyFont="1" applyFill="1" applyBorder="1"/>
    <xf numFmtId="165" fontId="16226" fillId="16230" borderId="16177" xfId="0" applyNumberFormat="1" applyFont="1" applyFill="1" applyBorder="1"/>
    <xf numFmtId="0" fontId="16227" fillId="16231" borderId="16178" xfId="0" applyFont="1" applyFill="1" applyBorder="1"/>
    <xf numFmtId="0" fontId="16228" fillId="16232" borderId="16179" xfId="0" applyFont="1" applyFill="1" applyBorder="1" applyAlignment="1">
      <alignment horizontal="center"/>
    </xf>
    <xf numFmtId="0" fontId="16229" fillId="16233" borderId="16180" xfId="0" applyFont="1" applyFill="1" applyBorder="1"/>
    <xf numFmtId="165" fontId="16230" fillId="16234" borderId="16181" xfId="0" applyNumberFormat="1" applyFont="1" applyFill="1" applyBorder="1"/>
    <xf numFmtId="4" fontId="16231" fillId="16235" borderId="16182" xfId="0" applyNumberFormat="1" applyFont="1" applyFill="1" applyBorder="1"/>
    <xf numFmtId="168" fontId="16232" fillId="16236" borderId="16183" xfId="0" applyNumberFormat="1" applyFont="1" applyFill="1" applyBorder="1"/>
    <xf numFmtId="165" fontId="16233" fillId="16237" borderId="16184" xfId="0" applyNumberFormat="1" applyFont="1" applyFill="1" applyBorder="1"/>
    <xf numFmtId="165" fontId="16234" fillId="16238" borderId="16185" xfId="0" applyNumberFormat="1" applyFont="1" applyFill="1" applyBorder="1"/>
    <xf numFmtId="0" fontId="16235" fillId="16239" borderId="16186" xfId="0" applyFont="1" applyFill="1" applyBorder="1"/>
    <xf numFmtId="0" fontId="16236" fillId="16240" borderId="16187" xfId="0" applyFont="1" applyFill="1" applyBorder="1" applyAlignment="1">
      <alignment horizontal="center"/>
    </xf>
    <xf numFmtId="0" fontId="16237" fillId="16241" borderId="16188" xfId="0" applyFont="1" applyFill="1" applyBorder="1"/>
    <xf numFmtId="165" fontId="16238" fillId="16242" borderId="16189" xfId="0" applyNumberFormat="1" applyFont="1" applyFill="1" applyBorder="1"/>
    <xf numFmtId="4" fontId="16239" fillId="16243" borderId="16190" xfId="0" applyNumberFormat="1" applyFont="1" applyFill="1" applyBorder="1"/>
    <xf numFmtId="168" fontId="16240" fillId="16244" borderId="16191" xfId="0" applyNumberFormat="1" applyFont="1" applyFill="1" applyBorder="1"/>
    <xf numFmtId="165" fontId="16241" fillId="16245" borderId="16192" xfId="0" applyNumberFormat="1" applyFont="1" applyFill="1" applyBorder="1"/>
    <xf numFmtId="165" fontId="16242" fillId="16246" borderId="16193" xfId="0" applyNumberFormat="1" applyFont="1" applyFill="1" applyBorder="1"/>
    <xf numFmtId="0" fontId="16243" fillId="16247" borderId="16194" xfId="0" applyFont="1" applyFill="1" applyBorder="1"/>
    <xf numFmtId="0" fontId="16244" fillId="16248" borderId="16195" xfId="0" applyFont="1" applyFill="1" applyBorder="1" applyAlignment="1">
      <alignment horizontal="center"/>
    </xf>
    <xf numFmtId="0" fontId="16245" fillId="16249" borderId="16196" xfId="0" applyFont="1" applyFill="1" applyBorder="1"/>
    <xf numFmtId="165" fontId="16246" fillId="16250" borderId="16197" xfId="0" applyNumberFormat="1" applyFont="1" applyFill="1" applyBorder="1"/>
    <xf numFmtId="4" fontId="16247" fillId="16251" borderId="16198" xfId="0" applyNumberFormat="1" applyFont="1" applyFill="1" applyBorder="1"/>
    <xf numFmtId="168" fontId="16248" fillId="16252" borderId="16199" xfId="0" applyNumberFormat="1" applyFont="1" applyFill="1" applyBorder="1"/>
    <xf numFmtId="165" fontId="16249" fillId="16253" borderId="16200" xfId="0" applyNumberFormat="1" applyFont="1" applyFill="1" applyBorder="1"/>
    <xf numFmtId="165" fontId="16250" fillId="16254" borderId="16201" xfId="0" applyNumberFormat="1" applyFont="1" applyFill="1" applyBorder="1"/>
    <xf numFmtId="0" fontId="16251" fillId="16255" borderId="16202" xfId="0" applyFont="1" applyFill="1" applyBorder="1"/>
    <xf numFmtId="0" fontId="16252" fillId="16256" borderId="16203" xfId="0" applyFont="1" applyFill="1" applyBorder="1" applyAlignment="1">
      <alignment horizontal="center"/>
    </xf>
    <xf numFmtId="0" fontId="16253" fillId="16257" borderId="16204" xfId="0" applyFont="1" applyFill="1" applyBorder="1"/>
    <xf numFmtId="165" fontId="16254" fillId="16258" borderId="16205" xfId="0" applyNumberFormat="1" applyFont="1" applyFill="1" applyBorder="1"/>
    <xf numFmtId="4" fontId="16255" fillId="16259" borderId="16206" xfId="0" applyNumberFormat="1" applyFont="1" applyFill="1" applyBorder="1"/>
    <xf numFmtId="168" fontId="16256" fillId="16260" borderId="16207" xfId="0" applyNumberFormat="1" applyFont="1" applyFill="1" applyBorder="1"/>
    <xf numFmtId="165" fontId="16257" fillId="16261" borderId="16208" xfId="0" applyNumberFormat="1" applyFont="1" applyFill="1" applyBorder="1"/>
    <xf numFmtId="165" fontId="16258" fillId="16262" borderId="16209" xfId="0" applyNumberFormat="1" applyFont="1" applyFill="1" applyBorder="1"/>
    <xf numFmtId="0" fontId="16259" fillId="16263" borderId="16210" xfId="0" applyFont="1" applyFill="1" applyBorder="1"/>
    <xf numFmtId="0" fontId="16260" fillId="16264" borderId="16211" xfId="0" applyFont="1" applyFill="1" applyBorder="1" applyAlignment="1">
      <alignment horizontal="center"/>
    </xf>
    <xf numFmtId="0" fontId="16261" fillId="16265" borderId="16212" xfId="0" applyFont="1" applyFill="1" applyBorder="1"/>
    <xf numFmtId="165" fontId="16262" fillId="16266" borderId="16213" xfId="0" applyNumberFormat="1" applyFont="1" applyFill="1" applyBorder="1"/>
    <xf numFmtId="4" fontId="16263" fillId="16267" borderId="16214" xfId="0" applyNumberFormat="1" applyFont="1" applyFill="1" applyBorder="1"/>
    <xf numFmtId="168" fontId="16264" fillId="16268" borderId="16215" xfId="0" applyNumberFormat="1" applyFont="1" applyFill="1" applyBorder="1"/>
    <xf numFmtId="165" fontId="16265" fillId="16269" borderId="16216" xfId="0" applyNumberFormat="1" applyFont="1" applyFill="1" applyBorder="1"/>
    <xf numFmtId="165" fontId="16266" fillId="16270" borderId="16217" xfId="0" applyNumberFormat="1" applyFont="1" applyFill="1" applyBorder="1"/>
    <xf numFmtId="0" fontId="16267" fillId="16271" borderId="16218" xfId="0" applyFont="1" applyFill="1" applyBorder="1"/>
    <xf numFmtId="0" fontId="16268" fillId="16272" borderId="16219" xfId="0" applyFont="1" applyFill="1" applyBorder="1" applyAlignment="1">
      <alignment horizontal="center"/>
    </xf>
    <xf numFmtId="0" fontId="16269" fillId="16273" borderId="16220" xfId="0" applyFont="1" applyFill="1" applyBorder="1"/>
    <xf numFmtId="165" fontId="16270" fillId="16274" borderId="16221" xfId="0" applyNumberFormat="1" applyFont="1" applyFill="1" applyBorder="1"/>
    <xf numFmtId="4" fontId="16271" fillId="16275" borderId="16222" xfId="0" applyNumberFormat="1" applyFont="1" applyFill="1" applyBorder="1"/>
    <xf numFmtId="168" fontId="16272" fillId="16276" borderId="16223" xfId="0" applyNumberFormat="1" applyFont="1" applyFill="1" applyBorder="1"/>
    <xf numFmtId="165" fontId="16273" fillId="16277" borderId="16224" xfId="0" applyNumberFormat="1" applyFont="1" applyFill="1" applyBorder="1"/>
    <xf numFmtId="165" fontId="16274" fillId="16278" borderId="16225" xfId="0" applyNumberFormat="1" applyFont="1" applyFill="1" applyBorder="1"/>
    <xf numFmtId="0" fontId="16275" fillId="16279" borderId="16226" xfId="0" applyFont="1" applyFill="1" applyBorder="1"/>
    <xf numFmtId="0" fontId="16276" fillId="16280" borderId="16227" xfId="0" applyFont="1" applyFill="1" applyBorder="1" applyAlignment="1">
      <alignment horizontal="center"/>
    </xf>
    <xf numFmtId="0" fontId="16277" fillId="16281" borderId="16228" xfId="0" applyFont="1" applyFill="1" applyBorder="1"/>
    <xf numFmtId="165" fontId="16278" fillId="16282" borderId="16229" xfId="0" applyNumberFormat="1" applyFont="1" applyFill="1" applyBorder="1"/>
    <xf numFmtId="4" fontId="16279" fillId="16283" borderId="16230" xfId="0" applyNumberFormat="1" applyFont="1" applyFill="1" applyBorder="1"/>
    <xf numFmtId="168" fontId="16280" fillId="16284" borderId="16231" xfId="0" applyNumberFormat="1" applyFont="1" applyFill="1" applyBorder="1"/>
    <xf numFmtId="165" fontId="16281" fillId="16285" borderId="16232" xfId="0" applyNumberFormat="1" applyFont="1" applyFill="1" applyBorder="1"/>
    <xf numFmtId="165" fontId="16282" fillId="16286" borderId="16233" xfId="0" applyNumberFormat="1" applyFont="1" applyFill="1" applyBorder="1"/>
    <xf numFmtId="0" fontId="16283" fillId="16287" borderId="16234" xfId="0" applyFont="1" applyFill="1" applyBorder="1"/>
    <xf numFmtId="0" fontId="16284" fillId="16288" borderId="16235" xfId="0" applyFont="1" applyFill="1" applyBorder="1" applyAlignment="1">
      <alignment horizontal="center"/>
    </xf>
    <xf numFmtId="0" fontId="16285" fillId="16289" borderId="16236" xfId="0" applyFont="1" applyFill="1" applyBorder="1"/>
    <xf numFmtId="165" fontId="16286" fillId="16290" borderId="16237" xfId="0" applyNumberFormat="1" applyFont="1" applyFill="1" applyBorder="1"/>
    <xf numFmtId="4" fontId="16287" fillId="16291" borderId="16238" xfId="0" applyNumberFormat="1" applyFont="1" applyFill="1" applyBorder="1"/>
    <xf numFmtId="168" fontId="16288" fillId="16292" borderId="16239" xfId="0" applyNumberFormat="1" applyFont="1" applyFill="1" applyBorder="1"/>
    <xf numFmtId="165" fontId="16289" fillId="16293" borderId="16240" xfId="0" applyNumberFormat="1" applyFont="1" applyFill="1" applyBorder="1"/>
    <xf numFmtId="165" fontId="16290" fillId="16294" borderId="16241" xfId="0" applyNumberFormat="1" applyFont="1" applyFill="1" applyBorder="1"/>
    <xf numFmtId="0" fontId="16291" fillId="16295" borderId="16242" xfId="0" applyFont="1" applyFill="1" applyBorder="1"/>
    <xf numFmtId="0" fontId="16292" fillId="16296" borderId="16243" xfId="0" applyFont="1" applyFill="1" applyBorder="1" applyAlignment="1">
      <alignment horizontal="center"/>
    </xf>
    <xf numFmtId="0" fontId="16293" fillId="16297" borderId="16244" xfId="0" applyFont="1" applyFill="1" applyBorder="1"/>
    <xf numFmtId="165" fontId="16294" fillId="16298" borderId="16245" xfId="0" applyNumberFormat="1" applyFont="1" applyFill="1" applyBorder="1"/>
    <xf numFmtId="4" fontId="16295" fillId="16299" borderId="16246" xfId="0" applyNumberFormat="1" applyFont="1" applyFill="1" applyBorder="1"/>
    <xf numFmtId="168" fontId="16296" fillId="16300" borderId="16247" xfId="0" applyNumberFormat="1" applyFont="1" applyFill="1" applyBorder="1"/>
    <xf numFmtId="165" fontId="16297" fillId="16301" borderId="16248" xfId="0" applyNumberFormat="1" applyFont="1" applyFill="1" applyBorder="1"/>
    <xf numFmtId="165" fontId="16298" fillId="16302" borderId="16249" xfId="0" applyNumberFormat="1" applyFont="1" applyFill="1" applyBorder="1"/>
    <xf numFmtId="0" fontId="16299" fillId="16303" borderId="16250" xfId="0" applyFont="1" applyFill="1" applyBorder="1"/>
    <xf numFmtId="0" fontId="16300" fillId="16304" borderId="16251" xfId="0" applyFont="1" applyFill="1" applyBorder="1" applyAlignment="1">
      <alignment horizontal="center"/>
    </xf>
    <xf numFmtId="0" fontId="16301" fillId="16305" borderId="16252" xfId="0" applyFont="1" applyFill="1" applyBorder="1"/>
    <xf numFmtId="165" fontId="16302" fillId="16306" borderId="16253" xfId="0" applyNumberFormat="1" applyFont="1" applyFill="1" applyBorder="1"/>
    <xf numFmtId="4" fontId="16303" fillId="16307" borderId="16254" xfId="0" applyNumberFormat="1" applyFont="1" applyFill="1" applyBorder="1"/>
    <xf numFmtId="168" fontId="16304" fillId="16308" borderId="16255" xfId="0" applyNumberFormat="1" applyFont="1" applyFill="1" applyBorder="1"/>
    <xf numFmtId="165" fontId="16305" fillId="16309" borderId="16256" xfId="0" applyNumberFormat="1" applyFont="1" applyFill="1" applyBorder="1"/>
    <xf numFmtId="165" fontId="16306" fillId="16310" borderId="16257" xfId="0" applyNumberFormat="1" applyFont="1" applyFill="1" applyBorder="1"/>
    <xf numFmtId="0" fontId="16307" fillId="16311" borderId="16258" xfId="0" applyFont="1" applyFill="1" applyBorder="1"/>
    <xf numFmtId="0" fontId="16308" fillId="16312" borderId="16259" xfId="0" applyFont="1" applyFill="1" applyBorder="1" applyAlignment="1">
      <alignment horizontal="center"/>
    </xf>
    <xf numFmtId="0" fontId="16309" fillId="16313" borderId="16260" xfId="0" applyFont="1" applyFill="1" applyBorder="1"/>
    <xf numFmtId="165" fontId="16310" fillId="16314" borderId="16261" xfId="0" applyNumberFormat="1" applyFont="1" applyFill="1" applyBorder="1"/>
    <xf numFmtId="4" fontId="16311" fillId="16315" borderId="16262" xfId="0" applyNumberFormat="1" applyFont="1" applyFill="1" applyBorder="1"/>
    <xf numFmtId="168" fontId="16312" fillId="16316" borderId="16263" xfId="0" applyNumberFormat="1" applyFont="1" applyFill="1" applyBorder="1"/>
    <xf numFmtId="165" fontId="16313" fillId="16317" borderId="16264" xfId="0" applyNumberFormat="1" applyFont="1" applyFill="1" applyBorder="1"/>
    <xf numFmtId="165" fontId="16314" fillId="16318" borderId="16265" xfId="0" applyNumberFormat="1" applyFont="1" applyFill="1" applyBorder="1"/>
    <xf numFmtId="0" fontId="16315" fillId="16319" borderId="16266" xfId="0" applyFont="1" applyFill="1" applyBorder="1"/>
    <xf numFmtId="0" fontId="16316" fillId="16320" borderId="16267" xfId="0" applyFont="1" applyFill="1" applyBorder="1" applyAlignment="1">
      <alignment horizontal="center"/>
    </xf>
    <xf numFmtId="0" fontId="16317" fillId="16321" borderId="16268" xfId="0" applyFont="1" applyFill="1" applyBorder="1"/>
    <xf numFmtId="165" fontId="16318" fillId="16322" borderId="16269" xfId="0" applyNumberFormat="1" applyFont="1" applyFill="1" applyBorder="1"/>
    <xf numFmtId="4" fontId="16319" fillId="16323" borderId="16270" xfId="0" applyNumberFormat="1" applyFont="1" applyFill="1" applyBorder="1"/>
    <xf numFmtId="168" fontId="16320" fillId="16324" borderId="16271" xfId="0" applyNumberFormat="1" applyFont="1" applyFill="1" applyBorder="1"/>
    <xf numFmtId="165" fontId="16321" fillId="16325" borderId="16272" xfId="0" applyNumberFormat="1" applyFont="1" applyFill="1" applyBorder="1"/>
    <xf numFmtId="165" fontId="16322" fillId="16326" borderId="16273" xfId="0" applyNumberFormat="1" applyFont="1" applyFill="1" applyBorder="1"/>
    <xf numFmtId="0" fontId="16323" fillId="16327" borderId="16274" xfId="0" applyFont="1" applyFill="1" applyBorder="1"/>
    <xf numFmtId="0" fontId="16324" fillId="16328" borderId="16275" xfId="0" applyFont="1" applyFill="1" applyBorder="1" applyAlignment="1">
      <alignment horizontal="center"/>
    </xf>
    <xf numFmtId="0" fontId="16325" fillId="16329" borderId="16276" xfId="0" applyFont="1" applyFill="1" applyBorder="1"/>
    <xf numFmtId="165" fontId="16326" fillId="16330" borderId="16277" xfId="0" applyNumberFormat="1" applyFont="1" applyFill="1" applyBorder="1"/>
    <xf numFmtId="4" fontId="16327" fillId="16331" borderId="16278" xfId="0" applyNumberFormat="1" applyFont="1" applyFill="1" applyBorder="1"/>
    <xf numFmtId="168" fontId="16328" fillId="16332" borderId="16279" xfId="0" applyNumberFormat="1" applyFont="1" applyFill="1" applyBorder="1"/>
    <xf numFmtId="165" fontId="16329" fillId="16333" borderId="16280" xfId="0" applyNumberFormat="1" applyFont="1" applyFill="1" applyBorder="1"/>
    <xf numFmtId="165" fontId="16330" fillId="16334" borderId="16281" xfId="0" applyNumberFormat="1" applyFont="1" applyFill="1" applyBorder="1"/>
    <xf numFmtId="0" fontId="16331" fillId="16335" borderId="16282" xfId="0" applyFont="1" applyFill="1" applyBorder="1"/>
    <xf numFmtId="0" fontId="16332" fillId="16336" borderId="16283" xfId="0" applyFont="1" applyFill="1" applyBorder="1" applyAlignment="1">
      <alignment horizontal="center"/>
    </xf>
    <xf numFmtId="0" fontId="16333" fillId="16337" borderId="16284" xfId="0" applyFont="1" applyFill="1" applyBorder="1"/>
    <xf numFmtId="165" fontId="16334" fillId="16338" borderId="16285" xfId="0" applyNumberFormat="1" applyFont="1" applyFill="1" applyBorder="1"/>
    <xf numFmtId="4" fontId="16335" fillId="16339" borderId="16286" xfId="0" applyNumberFormat="1" applyFont="1" applyFill="1" applyBorder="1"/>
    <xf numFmtId="168" fontId="16336" fillId="16340" borderId="16287" xfId="0" applyNumberFormat="1" applyFont="1" applyFill="1" applyBorder="1"/>
    <xf numFmtId="165" fontId="16337" fillId="16341" borderId="16288" xfId="0" applyNumberFormat="1" applyFont="1" applyFill="1" applyBorder="1"/>
    <xf numFmtId="165" fontId="16338" fillId="16342" borderId="16289" xfId="0" applyNumberFormat="1" applyFont="1" applyFill="1" applyBorder="1"/>
    <xf numFmtId="0" fontId="16339" fillId="16343" borderId="16290" xfId="0" applyFont="1" applyFill="1" applyBorder="1"/>
    <xf numFmtId="0" fontId="16340" fillId="16344" borderId="16291" xfId="0" applyFont="1" applyFill="1" applyBorder="1" applyAlignment="1">
      <alignment horizontal="center"/>
    </xf>
    <xf numFmtId="0" fontId="16341" fillId="16345" borderId="16292" xfId="0" applyFont="1" applyFill="1" applyBorder="1"/>
    <xf numFmtId="165" fontId="16342" fillId="16346" borderId="16293" xfId="0" applyNumberFormat="1" applyFont="1" applyFill="1" applyBorder="1"/>
    <xf numFmtId="4" fontId="16343" fillId="16347" borderId="16294" xfId="0" applyNumberFormat="1" applyFont="1" applyFill="1" applyBorder="1"/>
    <xf numFmtId="168" fontId="16344" fillId="16348" borderId="16295" xfId="0" applyNumberFormat="1" applyFont="1" applyFill="1" applyBorder="1"/>
    <xf numFmtId="165" fontId="16345" fillId="16349" borderId="16296" xfId="0" applyNumberFormat="1" applyFont="1" applyFill="1" applyBorder="1"/>
    <xf numFmtId="165" fontId="16346" fillId="16350" borderId="16297" xfId="0" applyNumberFormat="1" applyFont="1" applyFill="1" applyBorder="1"/>
    <xf numFmtId="0" fontId="16347" fillId="16351" borderId="16298" xfId="0" applyFont="1" applyFill="1" applyBorder="1"/>
    <xf numFmtId="0" fontId="16348" fillId="16352" borderId="16299" xfId="0" applyFont="1" applyFill="1" applyBorder="1" applyAlignment="1">
      <alignment horizontal="center"/>
    </xf>
    <xf numFmtId="0" fontId="16349" fillId="16353" borderId="16300" xfId="0" applyFont="1" applyFill="1" applyBorder="1"/>
    <xf numFmtId="165" fontId="16350" fillId="16354" borderId="16301" xfId="0" applyNumberFormat="1" applyFont="1" applyFill="1" applyBorder="1"/>
    <xf numFmtId="4" fontId="16351" fillId="16355" borderId="16302" xfId="0" applyNumberFormat="1" applyFont="1" applyFill="1" applyBorder="1"/>
    <xf numFmtId="168" fontId="16352" fillId="16356" borderId="16303" xfId="0" applyNumberFormat="1" applyFont="1" applyFill="1" applyBorder="1"/>
    <xf numFmtId="165" fontId="16353" fillId="16357" borderId="16304" xfId="0" applyNumberFormat="1" applyFont="1" applyFill="1" applyBorder="1"/>
    <xf numFmtId="165" fontId="16354" fillId="16358" borderId="16305" xfId="0" applyNumberFormat="1" applyFont="1" applyFill="1" applyBorder="1"/>
    <xf numFmtId="0" fontId="16355" fillId="16359" borderId="16306" xfId="0" applyFont="1" applyFill="1" applyBorder="1"/>
    <xf numFmtId="0" fontId="16356" fillId="16360" borderId="16307" xfId="0" applyFont="1" applyFill="1" applyBorder="1" applyAlignment="1">
      <alignment horizontal="center"/>
    </xf>
    <xf numFmtId="0" fontId="16357" fillId="16361" borderId="16308" xfId="0" applyFont="1" applyFill="1" applyBorder="1"/>
    <xf numFmtId="165" fontId="16358" fillId="16362" borderId="16309" xfId="0" applyNumberFormat="1" applyFont="1" applyFill="1" applyBorder="1"/>
    <xf numFmtId="4" fontId="16359" fillId="16363" borderId="16310" xfId="0" applyNumberFormat="1" applyFont="1" applyFill="1" applyBorder="1"/>
    <xf numFmtId="168" fontId="16360" fillId="16364" borderId="16311" xfId="0" applyNumberFormat="1" applyFont="1" applyFill="1" applyBorder="1"/>
    <xf numFmtId="165" fontId="16361" fillId="16365" borderId="16312" xfId="0" applyNumberFormat="1" applyFont="1" applyFill="1" applyBorder="1"/>
    <xf numFmtId="165" fontId="16362" fillId="16366" borderId="16313" xfId="0" applyNumberFormat="1" applyFont="1" applyFill="1" applyBorder="1"/>
    <xf numFmtId="0" fontId="16363" fillId="16367" borderId="16314" xfId="0" applyFont="1" applyFill="1" applyBorder="1"/>
    <xf numFmtId="0" fontId="16364" fillId="16368" borderId="16315" xfId="0" applyFont="1" applyFill="1" applyBorder="1" applyAlignment="1">
      <alignment horizontal="center"/>
    </xf>
    <xf numFmtId="0" fontId="16365" fillId="16369" borderId="16316" xfId="0" applyFont="1" applyFill="1" applyBorder="1"/>
    <xf numFmtId="165" fontId="16366" fillId="16370" borderId="16317" xfId="0" applyNumberFormat="1" applyFont="1" applyFill="1" applyBorder="1"/>
    <xf numFmtId="4" fontId="16367" fillId="16371" borderId="16318" xfId="0" applyNumberFormat="1" applyFont="1" applyFill="1" applyBorder="1"/>
    <xf numFmtId="168" fontId="16368" fillId="16372" borderId="16319" xfId="0" applyNumberFormat="1" applyFont="1" applyFill="1" applyBorder="1"/>
    <xf numFmtId="165" fontId="16369" fillId="16373" borderId="16320" xfId="0" applyNumberFormat="1" applyFont="1" applyFill="1" applyBorder="1"/>
    <xf numFmtId="165" fontId="16370" fillId="16374" borderId="16321" xfId="0" applyNumberFormat="1" applyFont="1" applyFill="1" applyBorder="1"/>
    <xf numFmtId="0" fontId="16371" fillId="16375" borderId="16322" xfId="0" applyFont="1" applyFill="1" applyBorder="1"/>
    <xf numFmtId="0" fontId="16372" fillId="16376" borderId="16323" xfId="0" applyFont="1" applyFill="1" applyBorder="1" applyAlignment="1">
      <alignment horizontal="center"/>
    </xf>
    <xf numFmtId="0" fontId="16373" fillId="16377" borderId="16324" xfId="0" applyFont="1" applyFill="1" applyBorder="1"/>
    <xf numFmtId="165" fontId="16374" fillId="16378" borderId="16325" xfId="0" applyNumberFormat="1" applyFont="1" applyFill="1" applyBorder="1"/>
    <xf numFmtId="4" fontId="16375" fillId="16379" borderId="16326" xfId="0" applyNumberFormat="1" applyFont="1" applyFill="1" applyBorder="1"/>
    <xf numFmtId="168" fontId="16376" fillId="16380" borderId="16327" xfId="0" applyNumberFormat="1" applyFont="1" applyFill="1" applyBorder="1"/>
    <xf numFmtId="165" fontId="16377" fillId="16381" borderId="16328" xfId="0" applyNumberFormat="1" applyFont="1" applyFill="1" applyBorder="1"/>
    <xf numFmtId="165" fontId="16378" fillId="16382" borderId="16329" xfId="0" applyNumberFormat="1" applyFont="1" applyFill="1" applyBorder="1"/>
    <xf numFmtId="0" fontId="16379" fillId="16383" borderId="16330" xfId="0" applyFont="1" applyFill="1" applyBorder="1"/>
    <xf numFmtId="0" fontId="16380" fillId="16384" borderId="16331" xfId="0" applyFont="1" applyFill="1" applyBorder="1" applyAlignment="1">
      <alignment horizontal="center"/>
    </xf>
    <xf numFmtId="0" fontId="16381" fillId="16385" borderId="16332" xfId="0" applyFont="1" applyFill="1" applyBorder="1"/>
    <xf numFmtId="165" fontId="16382" fillId="16386" borderId="16333" xfId="0" applyNumberFormat="1" applyFont="1" applyFill="1" applyBorder="1"/>
    <xf numFmtId="4" fontId="16383" fillId="16387" borderId="16334" xfId="0" applyNumberFormat="1" applyFont="1" applyFill="1" applyBorder="1"/>
    <xf numFmtId="168" fontId="16384" fillId="16388" borderId="16335" xfId="0" applyNumberFormat="1" applyFont="1" applyFill="1" applyBorder="1"/>
    <xf numFmtId="165" fontId="16385" fillId="16389" borderId="16336" xfId="0" applyNumberFormat="1" applyFont="1" applyFill="1" applyBorder="1"/>
    <xf numFmtId="165" fontId="16386" fillId="16390" borderId="16337" xfId="0" applyNumberFormat="1" applyFont="1" applyFill="1" applyBorder="1"/>
    <xf numFmtId="0" fontId="16387" fillId="16391" borderId="16338" xfId="0" applyFont="1" applyFill="1" applyBorder="1"/>
    <xf numFmtId="0" fontId="16388" fillId="16392" borderId="16339" xfId="0" applyFont="1" applyFill="1" applyBorder="1" applyAlignment="1">
      <alignment horizontal="center"/>
    </xf>
    <xf numFmtId="0" fontId="16389" fillId="16393" borderId="16340" xfId="0" applyFont="1" applyFill="1" applyBorder="1"/>
    <xf numFmtId="165" fontId="16390" fillId="16394" borderId="16341" xfId="0" applyNumberFormat="1" applyFont="1" applyFill="1" applyBorder="1"/>
    <xf numFmtId="4" fontId="16391" fillId="16395" borderId="16342" xfId="0" applyNumberFormat="1" applyFont="1" applyFill="1" applyBorder="1"/>
    <xf numFmtId="168" fontId="16392" fillId="16396" borderId="16343" xfId="0" applyNumberFormat="1" applyFont="1" applyFill="1" applyBorder="1"/>
    <xf numFmtId="165" fontId="16393" fillId="16397" borderId="16344" xfId="0" applyNumberFormat="1" applyFont="1" applyFill="1" applyBorder="1"/>
    <xf numFmtId="165" fontId="16394" fillId="16398" borderId="16345" xfId="0" applyNumberFormat="1" applyFont="1" applyFill="1" applyBorder="1"/>
    <xf numFmtId="0" fontId="16395" fillId="16399" borderId="16346" xfId="0" applyFont="1" applyFill="1" applyBorder="1"/>
    <xf numFmtId="0" fontId="16396" fillId="16400" borderId="16347" xfId="0" applyFont="1" applyFill="1" applyBorder="1" applyAlignment="1">
      <alignment horizontal="center"/>
    </xf>
    <xf numFmtId="0" fontId="16397" fillId="16401" borderId="16348" xfId="0" applyFont="1" applyFill="1" applyBorder="1"/>
    <xf numFmtId="165" fontId="16398" fillId="16402" borderId="16349" xfId="0" applyNumberFormat="1" applyFont="1" applyFill="1" applyBorder="1"/>
    <xf numFmtId="4" fontId="16399" fillId="16403" borderId="16350" xfId="0" applyNumberFormat="1" applyFont="1" applyFill="1" applyBorder="1"/>
    <xf numFmtId="168" fontId="16400" fillId="16404" borderId="16351" xfId="0" applyNumberFormat="1" applyFont="1" applyFill="1" applyBorder="1"/>
    <xf numFmtId="165" fontId="16401" fillId="16405" borderId="16352" xfId="0" applyNumberFormat="1" applyFont="1" applyFill="1" applyBorder="1"/>
    <xf numFmtId="165" fontId="16402" fillId="16406" borderId="16353" xfId="0" applyNumberFormat="1" applyFont="1" applyFill="1" applyBorder="1"/>
    <xf numFmtId="0" fontId="16403" fillId="16407" borderId="16354" xfId="0" applyFont="1" applyFill="1" applyBorder="1"/>
    <xf numFmtId="0" fontId="16404" fillId="16408" borderId="16355" xfId="0" applyFont="1" applyFill="1" applyBorder="1" applyAlignment="1">
      <alignment horizontal="center"/>
    </xf>
    <xf numFmtId="0" fontId="16405" fillId="16409" borderId="16356" xfId="0" applyFont="1" applyFill="1" applyBorder="1"/>
    <xf numFmtId="165" fontId="16406" fillId="16410" borderId="16357" xfId="0" applyNumberFormat="1" applyFont="1" applyFill="1" applyBorder="1"/>
    <xf numFmtId="4" fontId="16407" fillId="16411" borderId="16358" xfId="0" applyNumberFormat="1" applyFont="1" applyFill="1" applyBorder="1"/>
    <xf numFmtId="168" fontId="16408" fillId="16412" borderId="16359" xfId="0" applyNumberFormat="1" applyFont="1" applyFill="1" applyBorder="1"/>
    <xf numFmtId="165" fontId="16409" fillId="16413" borderId="16360" xfId="0" applyNumberFormat="1" applyFont="1" applyFill="1" applyBorder="1"/>
    <xf numFmtId="165" fontId="16410" fillId="16414" borderId="16361" xfId="0" applyNumberFormat="1" applyFont="1" applyFill="1" applyBorder="1"/>
    <xf numFmtId="0" fontId="16411" fillId="16415" borderId="16362" xfId="0" applyFont="1" applyFill="1" applyBorder="1"/>
    <xf numFmtId="0" fontId="16412" fillId="16416" borderId="16363" xfId="0" applyFont="1" applyFill="1" applyBorder="1" applyAlignment="1">
      <alignment horizontal="center"/>
    </xf>
    <xf numFmtId="0" fontId="16413" fillId="16417" borderId="16364" xfId="0" applyFont="1" applyFill="1" applyBorder="1"/>
    <xf numFmtId="165" fontId="16414" fillId="16418" borderId="16365" xfId="0" applyNumberFormat="1" applyFont="1" applyFill="1" applyBorder="1"/>
    <xf numFmtId="4" fontId="16415" fillId="16419" borderId="16366" xfId="0" applyNumberFormat="1" applyFont="1" applyFill="1" applyBorder="1"/>
    <xf numFmtId="168" fontId="16416" fillId="16420" borderId="16367" xfId="0" applyNumberFormat="1" applyFont="1" applyFill="1" applyBorder="1"/>
    <xf numFmtId="165" fontId="16417" fillId="16421" borderId="16368" xfId="0" applyNumberFormat="1" applyFont="1" applyFill="1" applyBorder="1"/>
    <xf numFmtId="165" fontId="16418" fillId="16422" borderId="16369" xfId="0" applyNumberFormat="1" applyFont="1" applyFill="1" applyBorder="1"/>
    <xf numFmtId="0" fontId="16419" fillId="16423" borderId="16370" xfId="0" applyFont="1" applyFill="1" applyBorder="1"/>
    <xf numFmtId="0" fontId="16420" fillId="16424" borderId="16371" xfId="0" applyFont="1" applyFill="1" applyBorder="1" applyAlignment="1">
      <alignment horizontal="center"/>
    </xf>
    <xf numFmtId="0" fontId="16421" fillId="16425" borderId="16372" xfId="0" applyFont="1" applyFill="1" applyBorder="1"/>
    <xf numFmtId="165" fontId="16422" fillId="16426" borderId="16373" xfId="0" applyNumberFormat="1" applyFont="1" applyFill="1" applyBorder="1"/>
    <xf numFmtId="4" fontId="16423" fillId="16427" borderId="16374" xfId="0" applyNumberFormat="1" applyFont="1" applyFill="1" applyBorder="1"/>
    <xf numFmtId="168" fontId="16424" fillId="16428" borderId="16375" xfId="0" applyNumberFormat="1" applyFont="1" applyFill="1" applyBorder="1"/>
    <xf numFmtId="165" fontId="16425" fillId="16429" borderId="16376" xfId="0" applyNumberFormat="1" applyFont="1" applyFill="1" applyBorder="1"/>
    <xf numFmtId="165" fontId="16426" fillId="16430" borderId="16377" xfId="0" applyNumberFormat="1" applyFont="1" applyFill="1" applyBorder="1"/>
    <xf numFmtId="0" fontId="16427" fillId="16431" borderId="16378" xfId="0" applyFont="1" applyFill="1" applyBorder="1"/>
    <xf numFmtId="0" fontId="16428" fillId="16432" borderId="16379" xfId="0" applyFont="1" applyFill="1" applyBorder="1" applyAlignment="1">
      <alignment horizontal="center"/>
    </xf>
    <xf numFmtId="0" fontId="16429" fillId="16433" borderId="16380" xfId="0" applyFont="1" applyFill="1" applyBorder="1"/>
    <xf numFmtId="165" fontId="16430" fillId="16434" borderId="16381" xfId="0" applyNumberFormat="1" applyFont="1" applyFill="1" applyBorder="1"/>
    <xf numFmtId="4" fontId="16431" fillId="16435" borderId="16382" xfId="0" applyNumberFormat="1" applyFont="1" applyFill="1" applyBorder="1"/>
    <xf numFmtId="168" fontId="16432" fillId="16436" borderId="16383" xfId="0" applyNumberFormat="1" applyFont="1" applyFill="1" applyBorder="1"/>
    <xf numFmtId="165" fontId="16433" fillId="16437" borderId="16384" xfId="0" applyNumberFormat="1" applyFont="1" applyFill="1" applyBorder="1"/>
    <xf numFmtId="165" fontId="16434" fillId="16438" borderId="16385" xfId="0" applyNumberFormat="1" applyFont="1" applyFill="1" applyBorder="1"/>
    <xf numFmtId="0" fontId="16435" fillId="16439" borderId="16386" xfId="0" applyFont="1" applyFill="1" applyBorder="1"/>
    <xf numFmtId="0" fontId="16436" fillId="16440" borderId="16387" xfId="0" applyFont="1" applyFill="1" applyBorder="1" applyAlignment="1">
      <alignment horizontal="center"/>
    </xf>
    <xf numFmtId="0" fontId="16437" fillId="16441" borderId="16388" xfId="0" applyFont="1" applyFill="1" applyBorder="1"/>
    <xf numFmtId="165" fontId="16438" fillId="16442" borderId="16389" xfId="0" applyNumberFormat="1" applyFont="1" applyFill="1" applyBorder="1"/>
    <xf numFmtId="4" fontId="16439" fillId="16443" borderId="16390" xfId="0" applyNumberFormat="1" applyFont="1" applyFill="1" applyBorder="1"/>
    <xf numFmtId="168" fontId="16440" fillId="16444" borderId="16391" xfId="0" applyNumberFormat="1" applyFont="1" applyFill="1" applyBorder="1"/>
    <xf numFmtId="165" fontId="16441" fillId="16445" borderId="16392" xfId="0" applyNumberFormat="1" applyFont="1" applyFill="1" applyBorder="1"/>
    <xf numFmtId="165" fontId="16442" fillId="16446" borderId="16393" xfId="0" applyNumberFormat="1" applyFont="1" applyFill="1" applyBorder="1"/>
    <xf numFmtId="0" fontId="16443" fillId="16447" borderId="16394" xfId="0" applyFont="1" applyFill="1" applyBorder="1"/>
    <xf numFmtId="0" fontId="16444" fillId="16448" borderId="16395" xfId="0" applyFont="1" applyFill="1" applyBorder="1" applyAlignment="1">
      <alignment horizontal="center"/>
    </xf>
    <xf numFmtId="0" fontId="16445" fillId="16449" borderId="16396" xfId="0" applyFont="1" applyFill="1" applyBorder="1"/>
    <xf numFmtId="165" fontId="16446" fillId="16450" borderId="16397" xfId="0" applyNumberFormat="1" applyFont="1" applyFill="1" applyBorder="1"/>
    <xf numFmtId="4" fontId="16447" fillId="16451" borderId="16398" xfId="0" applyNumberFormat="1" applyFont="1" applyFill="1" applyBorder="1"/>
    <xf numFmtId="168" fontId="16448" fillId="16452" borderId="16399" xfId="0" applyNumberFormat="1" applyFont="1" applyFill="1" applyBorder="1"/>
    <xf numFmtId="165" fontId="16449" fillId="16453" borderId="16400" xfId="0" applyNumberFormat="1" applyFont="1" applyFill="1" applyBorder="1"/>
    <xf numFmtId="165" fontId="16450" fillId="16454" borderId="16401" xfId="0" applyNumberFormat="1" applyFont="1" applyFill="1" applyBorder="1"/>
    <xf numFmtId="0" fontId="16451" fillId="16455" borderId="16402" xfId="0" applyFont="1" applyFill="1" applyBorder="1"/>
    <xf numFmtId="0" fontId="16452" fillId="16456" borderId="16403" xfId="0" applyFont="1" applyFill="1" applyBorder="1" applyAlignment="1">
      <alignment horizontal="center"/>
    </xf>
    <xf numFmtId="0" fontId="16453" fillId="16457" borderId="16404" xfId="0" applyFont="1" applyFill="1" applyBorder="1"/>
    <xf numFmtId="165" fontId="16454" fillId="16458" borderId="16405" xfId="0" applyNumberFormat="1" applyFont="1" applyFill="1" applyBorder="1"/>
    <xf numFmtId="4" fontId="16455" fillId="16459" borderId="16406" xfId="0" applyNumberFormat="1" applyFont="1" applyFill="1" applyBorder="1"/>
    <xf numFmtId="168" fontId="16456" fillId="16460" borderId="16407" xfId="0" applyNumberFormat="1" applyFont="1" applyFill="1" applyBorder="1"/>
    <xf numFmtId="165" fontId="16457" fillId="16461" borderId="16408" xfId="0" applyNumberFormat="1" applyFont="1" applyFill="1" applyBorder="1"/>
    <xf numFmtId="165" fontId="16458" fillId="16462" borderId="16409" xfId="0" applyNumberFormat="1" applyFont="1" applyFill="1" applyBorder="1"/>
    <xf numFmtId="0" fontId="16459" fillId="16463" borderId="16410" xfId="0" applyFont="1" applyFill="1" applyBorder="1"/>
    <xf numFmtId="0" fontId="16460" fillId="16464" borderId="16411" xfId="0" applyFont="1" applyFill="1" applyBorder="1" applyAlignment="1">
      <alignment horizontal="center"/>
    </xf>
    <xf numFmtId="0" fontId="16461" fillId="16465" borderId="16412" xfId="0" applyFont="1" applyFill="1" applyBorder="1"/>
    <xf numFmtId="165" fontId="16462" fillId="16466" borderId="16413" xfId="0" applyNumberFormat="1" applyFont="1" applyFill="1" applyBorder="1"/>
    <xf numFmtId="4" fontId="16463" fillId="16467" borderId="16414" xfId="0" applyNumberFormat="1" applyFont="1" applyFill="1" applyBorder="1"/>
    <xf numFmtId="168" fontId="16464" fillId="16468" borderId="16415" xfId="0" applyNumberFormat="1" applyFont="1" applyFill="1" applyBorder="1"/>
    <xf numFmtId="165" fontId="16465" fillId="16469" borderId="16416" xfId="0" applyNumberFormat="1" applyFont="1" applyFill="1" applyBorder="1"/>
    <xf numFmtId="165" fontId="16466" fillId="16470" borderId="16417" xfId="0" applyNumberFormat="1" applyFont="1" applyFill="1" applyBorder="1"/>
    <xf numFmtId="0" fontId="16467" fillId="16471" borderId="16418" xfId="0" applyFont="1" applyFill="1" applyBorder="1"/>
    <xf numFmtId="0" fontId="16468" fillId="16472" borderId="16419" xfId="0" applyFont="1" applyFill="1" applyBorder="1"/>
    <xf numFmtId="0" fontId="16469" fillId="16473" borderId="16420" xfId="0" applyFont="1" applyFill="1" applyBorder="1"/>
    <xf numFmtId="165" fontId="16470" fillId="16474" borderId="16421" xfId="0" applyNumberFormat="1" applyFont="1" applyFill="1" applyBorder="1"/>
    <xf numFmtId="4" fontId="16471" fillId="16475" borderId="16422" xfId="0" applyNumberFormat="1" applyFont="1" applyFill="1" applyBorder="1"/>
    <xf numFmtId="0" fontId="16472" fillId="16476" borderId="16423" xfId="0" applyFont="1" applyFill="1" applyBorder="1"/>
    <xf numFmtId="165" fontId="16473" fillId="16477" borderId="16424" xfId="0" applyNumberFormat="1" applyFont="1" applyFill="1" applyBorder="1"/>
    <xf numFmtId="165" fontId="16474" fillId="16478" borderId="16425" xfId="0" applyNumberFormat="1" applyFont="1" applyFill="1" applyBorder="1"/>
    <xf numFmtId="0" fontId="16475" fillId="16479" borderId="16426" xfId="0" applyFont="1" applyFill="1" applyBorder="1"/>
    <xf numFmtId="0" fontId="16484" fillId="16488" borderId="16435" xfId="0" applyFont="1" applyFill="1" applyBorder="1" applyAlignment="1">
      <alignment horizontal="center" vertical="center" wrapText="1"/>
    </xf>
    <xf numFmtId="0" fontId="16485" fillId="16489" borderId="16436" xfId="0" applyFont="1" applyFill="1" applyBorder="1" applyAlignment="1">
      <alignment horizontal="center" vertical="center" wrapText="1"/>
    </xf>
    <xf numFmtId="0" fontId="16486" fillId="16490" borderId="16437" xfId="0" applyFont="1" applyFill="1" applyBorder="1" applyAlignment="1">
      <alignment horizontal="center" vertical="center" wrapText="1"/>
    </xf>
    <xf numFmtId="0" fontId="16487" fillId="16491" borderId="16438" xfId="0" applyFont="1" applyFill="1" applyBorder="1" applyAlignment="1">
      <alignment horizontal="center" vertical="center" wrapText="1"/>
    </xf>
    <xf numFmtId="0" fontId="16488" fillId="16492" borderId="16439" xfId="0" applyFont="1" applyFill="1" applyBorder="1"/>
    <xf numFmtId="0" fontId="16499" fillId="16503" borderId="16450" xfId="0" applyFont="1" applyFill="1" applyBorder="1" applyAlignment="1">
      <alignment horizontal="center" vertical="center"/>
    </xf>
    <xf numFmtId="0" fontId="16500" fillId="16504" borderId="16451" xfId="0" applyFont="1" applyFill="1" applyBorder="1"/>
    <xf numFmtId="0" fontId="16501" fillId="16505" borderId="16452" xfId="0" applyFont="1" applyFill="1" applyBorder="1" applyAlignment="1">
      <alignment horizontal="center" wrapText="1"/>
    </xf>
    <xf numFmtId="14" fontId="16502" fillId="16506" borderId="16453" xfId="0" applyNumberFormat="1" applyFont="1" applyFill="1" applyBorder="1" applyAlignment="1">
      <alignment horizontal="center" vertical="center" wrapText="1"/>
    </xf>
    <xf numFmtId="4" fontId="16503" fillId="16507" borderId="16454" xfId="0" applyNumberFormat="1" applyFont="1" applyFill="1" applyBorder="1" applyAlignment="1">
      <alignment horizontal="center" vertical="center" wrapText="1"/>
    </xf>
    <xf numFmtId="4" fontId="16504" fillId="16508" borderId="16455" xfId="0" applyNumberFormat="1" applyFont="1" applyFill="1" applyBorder="1" applyAlignment="1">
      <alignment horizontal="center" vertical="center" wrapText="1"/>
    </xf>
    <xf numFmtId="4" fontId="16505" fillId="16509" borderId="16456" xfId="0" applyNumberFormat="1" applyFont="1" applyFill="1" applyBorder="1" applyAlignment="1">
      <alignment horizontal="center" vertical="center" wrapText="1"/>
    </xf>
    <xf numFmtId="4" fontId="16506" fillId="16510" borderId="16457" xfId="0" applyNumberFormat="1" applyFont="1" applyFill="1" applyBorder="1" applyAlignment="1">
      <alignment horizontal="center" vertical="center" wrapText="1"/>
    </xf>
    <xf numFmtId="4" fontId="16507" fillId="16511" borderId="16458" xfId="0" applyNumberFormat="1" applyFont="1" applyFill="1" applyBorder="1" applyAlignment="1">
      <alignment horizontal="center" vertical="center" wrapText="1"/>
    </xf>
    <xf numFmtId="4" fontId="16508" fillId="16512" borderId="16459" xfId="0" applyNumberFormat="1" applyFont="1" applyFill="1" applyBorder="1" applyAlignment="1">
      <alignment horizontal="center" vertical="center" wrapText="1"/>
    </xf>
    <xf numFmtId="2" fontId="16509" fillId="16513" borderId="16460" xfId="0" applyNumberFormat="1" applyFont="1" applyFill="1" applyBorder="1" applyAlignment="1">
      <alignment horizontal="center" vertical="center" wrapText="1"/>
    </xf>
    <xf numFmtId="2" fontId="16510" fillId="16514" borderId="16461" xfId="0" applyNumberFormat="1" applyFont="1" applyFill="1" applyBorder="1" applyAlignment="1">
      <alignment horizontal="center" vertical="center" wrapText="1"/>
    </xf>
    <xf numFmtId="0" fontId="16511" fillId="16515" borderId="16462" xfId="0" applyFont="1" applyFill="1" applyBorder="1" applyAlignment="1">
      <alignment horizontal="center" vertical="center"/>
    </xf>
    <xf numFmtId="0" fontId="16512" fillId="16516" borderId="16463" xfId="0" applyFont="1" applyFill="1" applyBorder="1"/>
    <xf numFmtId="0" fontId="16513" fillId="16517" borderId="16464" xfId="0" applyFont="1" applyFill="1" applyBorder="1"/>
    <xf numFmtId="14" fontId="16514" fillId="16518" borderId="16465" xfId="0" applyNumberFormat="1" applyFont="1" applyFill="1" applyBorder="1" applyAlignment="1">
      <alignment horizontal="center" vertical="center"/>
    </xf>
    <xf numFmtId="4" fontId="16515" fillId="16519" borderId="16466" xfId="0" applyNumberFormat="1" applyFont="1" applyFill="1" applyBorder="1" applyAlignment="1">
      <alignment horizontal="center" vertical="center"/>
    </xf>
    <xf numFmtId="4" fontId="16516" fillId="16520" borderId="16467" xfId="0" applyNumberFormat="1" applyFont="1" applyFill="1" applyBorder="1" applyAlignment="1">
      <alignment horizontal="center" vertical="center"/>
    </xf>
    <xf numFmtId="4" fontId="16517" fillId="16521" borderId="16468" xfId="0" applyNumberFormat="1" applyFont="1" applyFill="1" applyBorder="1" applyAlignment="1">
      <alignment horizontal="center" vertical="center"/>
    </xf>
    <xf numFmtId="4" fontId="16518" fillId="16522" borderId="16469" xfId="0" applyNumberFormat="1" applyFont="1" applyFill="1" applyBorder="1" applyAlignment="1">
      <alignment horizontal="center" vertical="center"/>
    </xf>
    <xf numFmtId="4" fontId="16519" fillId="16523" borderId="16470" xfId="0" applyNumberFormat="1" applyFont="1" applyFill="1" applyBorder="1" applyAlignment="1">
      <alignment horizontal="center" vertical="center"/>
    </xf>
    <xf numFmtId="4" fontId="16520" fillId="16524" borderId="16471" xfId="0" applyNumberFormat="1" applyFont="1" applyFill="1" applyBorder="1" applyAlignment="1">
      <alignment horizontal="center" vertical="center"/>
    </xf>
    <xf numFmtId="4" fontId="16521" fillId="16525" borderId="16472" xfId="0" applyNumberFormat="1" applyFont="1" applyFill="1" applyBorder="1" applyAlignment="1">
      <alignment horizontal="right" vertical="center"/>
    </xf>
    <xf numFmtId="4" fontId="16522" fillId="16526" borderId="16473" xfId="0" applyNumberFormat="1" applyFont="1" applyFill="1" applyBorder="1" applyAlignment="1">
      <alignment horizontal="right" vertical="center"/>
    </xf>
    <xf numFmtId="0" fontId="16523" fillId="16527" borderId="16474" xfId="0" applyFont="1" applyFill="1" applyBorder="1" applyAlignment="1">
      <alignment horizontal="center" vertical="center"/>
    </xf>
    <xf numFmtId="0" fontId="16524" fillId="16528" borderId="16475" xfId="0" applyFont="1" applyFill="1" applyBorder="1"/>
    <xf numFmtId="0" fontId="16525" fillId="16529" borderId="16476" xfId="0" applyFont="1" applyFill="1" applyBorder="1"/>
    <xf numFmtId="14" fontId="16526" fillId="16530" borderId="16477" xfId="0" applyNumberFormat="1" applyFont="1" applyFill="1" applyBorder="1" applyAlignment="1">
      <alignment horizontal="center" vertical="center"/>
    </xf>
    <xf numFmtId="4" fontId="16527" fillId="16531" borderId="16478" xfId="0" applyNumberFormat="1" applyFont="1" applyFill="1" applyBorder="1" applyAlignment="1">
      <alignment horizontal="center" vertical="center"/>
    </xf>
    <xf numFmtId="4" fontId="16528" fillId="16532" borderId="16479" xfId="0" applyNumberFormat="1" applyFont="1" applyFill="1" applyBorder="1" applyAlignment="1">
      <alignment horizontal="center" vertical="center"/>
    </xf>
    <xf numFmtId="4" fontId="16529" fillId="16533" borderId="16480" xfId="0" applyNumberFormat="1" applyFont="1" applyFill="1" applyBorder="1" applyAlignment="1">
      <alignment horizontal="center" vertical="center"/>
    </xf>
    <xf numFmtId="4" fontId="16530" fillId="16534" borderId="16481" xfId="0" applyNumberFormat="1" applyFont="1" applyFill="1" applyBorder="1" applyAlignment="1">
      <alignment horizontal="center" vertical="center"/>
    </xf>
    <xf numFmtId="4" fontId="16531" fillId="16535" borderId="16482" xfId="0" applyNumberFormat="1" applyFont="1" applyFill="1" applyBorder="1" applyAlignment="1">
      <alignment horizontal="center" vertical="center"/>
    </xf>
    <xf numFmtId="4" fontId="16532" fillId="16536" borderId="16483" xfId="0" applyNumberFormat="1" applyFont="1" applyFill="1" applyBorder="1" applyAlignment="1">
      <alignment horizontal="center" vertical="center"/>
    </xf>
    <xf numFmtId="4" fontId="16533" fillId="16537" borderId="16484" xfId="0" applyNumberFormat="1" applyFont="1" applyFill="1" applyBorder="1" applyAlignment="1">
      <alignment horizontal="right" vertical="center"/>
    </xf>
    <xf numFmtId="4" fontId="16534" fillId="16538" borderId="16485" xfId="0" applyNumberFormat="1" applyFont="1" applyFill="1" applyBorder="1" applyAlignment="1">
      <alignment horizontal="right" vertical="center"/>
    </xf>
    <xf numFmtId="0" fontId="16535" fillId="16539" borderId="16486" xfId="0" applyFont="1" applyFill="1" applyBorder="1" applyAlignment="1">
      <alignment horizontal="center" vertical="center"/>
    </xf>
    <xf numFmtId="0" fontId="16536" fillId="16540" borderId="16487" xfId="0" applyFont="1" applyFill="1" applyBorder="1"/>
    <xf numFmtId="0" fontId="16537" fillId="16541" borderId="16488" xfId="0" applyFont="1" applyFill="1" applyBorder="1"/>
    <xf numFmtId="14" fontId="16538" fillId="16542" borderId="16489" xfId="0" applyNumberFormat="1" applyFont="1" applyFill="1" applyBorder="1" applyAlignment="1">
      <alignment horizontal="center" vertical="center"/>
    </xf>
    <xf numFmtId="4" fontId="16539" fillId="16543" borderId="16490" xfId="0" applyNumberFormat="1" applyFont="1" applyFill="1" applyBorder="1" applyAlignment="1">
      <alignment horizontal="center" vertical="center"/>
    </xf>
    <xf numFmtId="4" fontId="16540" fillId="16544" borderId="16491" xfId="0" applyNumberFormat="1" applyFont="1" applyFill="1" applyBorder="1" applyAlignment="1">
      <alignment horizontal="center" vertical="center"/>
    </xf>
    <xf numFmtId="4" fontId="16541" fillId="16545" borderId="16492" xfId="0" applyNumberFormat="1" applyFont="1" applyFill="1" applyBorder="1" applyAlignment="1">
      <alignment horizontal="center" vertical="center"/>
    </xf>
    <xf numFmtId="4" fontId="16542" fillId="16546" borderId="16493" xfId="0" applyNumberFormat="1" applyFont="1" applyFill="1" applyBorder="1" applyAlignment="1">
      <alignment horizontal="center" vertical="center"/>
    </xf>
    <xf numFmtId="4" fontId="16543" fillId="16547" borderId="16494" xfId="0" applyNumberFormat="1" applyFont="1" applyFill="1" applyBorder="1" applyAlignment="1">
      <alignment horizontal="center" vertical="center"/>
    </xf>
    <xf numFmtId="4" fontId="16544" fillId="16548" borderId="16495" xfId="0" applyNumberFormat="1" applyFont="1" applyFill="1" applyBorder="1" applyAlignment="1">
      <alignment horizontal="center" vertical="center"/>
    </xf>
    <xf numFmtId="4" fontId="16545" fillId="16549" borderId="16496" xfId="0" applyNumberFormat="1" applyFont="1" applyFill="1" applyBorder="1" applyAlignment="1">
      <alignment horizontal="right" vertical="center"/>
    </xf>
    <xf numFmtId="4" fontId="16546" fillId="16550" borderId="16497" xfId="0" applyNumberFormat="1" applyFont="1" applyFill="1" applyBorder="1" applyAlignment="1">
      <alignment horizontal="right" vertical="center"/>
    </xf>
    <xf numFmtId="0" fontId="16547" fillId="16551" borderId="16498" xfId="0" applyFont="1" applyFill="1" applyBorder="1" applyAlignment="1">
      <alignment horizontal="center" vertical="center"/>
    </xf>
    <xf numFmtId="0" fontId="16548" fillId="16552" borderId="16499" xfId="0" applyFont="1" applyFill="1" applyBorder="1"/>
    <xf numFmtId="0" fontId="16549" fillId="16553" borderId="16500" xfId="0" applyFont="1" applyFill="1" applyBorder="1"/>
    <xf numFmtId="14" fontId="16550" fillId="16554" borderId="16501" xfId="0" applyNumberFormat="1" applyFont="1" applyFill="1" applyBorder="1" applyAlignment="1">
      <alignment horizontal="center" vertical="center"/>
    </xf>
    <xf numFmtId="4" fontId="16551" fillId="16555" borderId="16502" xfId="0" applyNumberFormat="1" applyFont="1" applyFill="1" applyBorder="1" applyAlignment="1">
      <alignment horizontal="center" vertical="center"/>
    </xf>
    <xf numFmtId="4" fontId="16552" fillId="16556" borderId="16503" xfId="0" applyNumberFormat="1" applyFont="1" applyFill="1" applyBorder="1" applyAlignment="1">
      <alignment horizontal="center" vertical="center"/>
    </xf>
    <xf numFmtId="4" fontId="16553" fillId="16557" borderId="16504" xfId="0" applyNumberFormat="1" applyFont="1" applyFill="1" applyBorder="1" applyAlignment="1">
      <alignment horizontal="center" vertical="center"/>
    </xf>
    <xf numFmtId="4" fontId="16554" fillId="16558" borderId="16505" xfId="0" applyNumberFormat="1" applyFont="1" applyFill="1" applyBorder="1" applyAlignment="1">
      <alignment horizontal="center" vertical="center"/>
    </xf>
    <xf numFmtId="4" fontId="16555" fillId="16559" borderId="16506" xfId="0" applyNumberFormat="1" applyFont="1" applyFill="1" applyBorder="1" applyAlignment="1">
      <alignment horizontal="center" vertical="center"/>
    </xf>
    <xf numFmtId="4" fontId="16556" fillId="16560" borderId="16507" xfId="0" applyNumberFormat="1" applyFont="1" applyFill="1" applyBorder="1" applyAlignment="1">
      <alignment horizontal="center" vertical="center"/>
    </xf>
    <xf numFmtId="4" fontId="16557" fillId="16561" borderId="16508" xfId="0" applyNumberFormat="1" applyFont="1" applyFill="1" applyBorder="1" applyAlignment="1">
      <alignment horizontal="right" vertical="center"/>
    </xf>
    <xf numFmtId="4" fontId="16558" fillId="16562" borderId="16509" xfId="0" applyNumberFormat="1" applyFont="1" applyFill="1" applyBorder="1" applyAlignment="1">
      <alignment horizontal="right" vertical="center"/>
    </xf>
    <xf numFmtId="0" fontId="16559" fillId="16563" borderId="16510" xfId="0" applyFont="1" applyFill="1" applyBorder="1" applyAlignment="1">
      <alignment horizontal="center" vertical="center"/>
    </xf>
    <xf numFmtId="0" fontId="16560" fillId="16564" borderId="16511" xfId="0" applyFont="1" applyFill="1" applyBorder="1"/>
    <xf numFmtId="0" fontId="16561" fillId="16565" borderId="16512" xfId="0" applyFont="1" applyFill="1" applyBorder="1"/>
    <xf numFmtId="14" fontId="16562" fillId="16566" borderId="16513" xfId="0" applyNumberFormat="1" applyFont="1" applyFill="1" applyBorder="1" applyAlignment="1">
      <alignment horizontal="center" vertical="center"/>
    </xf>
    <xf numFmtId="4" fontId="16563" fillId="16567" borderId="16514" xfId="0" applyNumberFormat="1" applyFont="1" applyFill="1" applyBorder="1" applyAlignment="1">
      <alignment horizontal="center" vertical="center"/>
    </xf>
    <xf numFmtId="4" fontId="16564" fillId="16568" borderId="16515" xfId="0" applyNumberFormat="1" applyFont="1" applyFill="1" applyBorder="1" applyAlignment="1">
      <alignment horizontal="center" vertical="center"/>
    </xf>
    <xf numFmtId="4" fontId="16565" fillId="16569" borderId="16516" xfId="0" applyNumberFormat="1" applyFont="1" applyFill="1" applyBorder="1" applyAlignment="1">
      <alignment horizontal="center" vertical="center"/>
    </xf>
    <xf numFmtId="4" fontId="16566" fillId="16570" borderId="16517" xfId="0" applyNumberFormat="1" applyFont="1" applyFill="1" applyBorder="1" applyAlignment="1">
      <alignment horizontal="center" vertical="center"/>
    </xf>
    <xf numFmtId="4" fontId="16567" fillId="16571" borderId="16518" xfId="0" applyNumberFormat="1" applyFont="1" applyFill="1" applyBorder="1" applyAlignment="1">
      <alignment horizontal="center" vertical="center"/>
    </xf>
    <xf numFmtId="4" fontId="16568" fillId="16572" borderId="16519" xfId="0" applyNumberFormat="1" applyFont="1" applyFill="1" applyBorder="1" applyAlignment="1">
      <alignment horizontal="center" vertical="center"/>
    </xf>
    <xf numFmtId="4" fontId="16569" fillId="16573" borderId="16520" xfId="0" applyNumberFormat="1" applyFont="1" applyFill="1" applyBorder="1" applyAlignment="1">
      <alignment horizontal="right" vertical="center"/>
    </xf>
    <xf numFmtId="4" fontId="16570" fillId="16574" borderId="16521" xfId="0" applyNumberFormat="1" applyFont="1" applyFill="1" applyBorder="1" applyAlignment="1">
      <alignment horizontal="right" vertical="center"/>
    </xf>
    <xf numFmtId="0" fontId="16571" fillId="16575" borderId="16522" xfId="0" applyFont="1" applyFill="1" applyBorder="1" applyAlignment="1">
      <alignment horizontal="center" vertical="center"/>
    </xf>
    <xf numFmtId="0" fontId="16572" fillId="16576" borderId="16523" xfId="0" applyFont="1" applyFill="1" applyBorder="1"/>
    <xf numFmtId="0" fontId="16573" fillId="16577" borderId="16524" xfId="0" applyFont="1" applyFill="1" applyBorder="1"/>
    <xf numFmtId="14" fontId="16574" fillId="16578" borderId="16525" xfId="0" applyNumberFormat="1" applyFont="1" applyFill="1" applyBorder="1" applyAlignment="1">
      <alignment horizontal="center" vertical="center"/>
    </xf>
    <xf numFmtId="4" fontId="16575" fillId="16579" borderId="16526" xfId="0" applyNumberFormat="1" applyFont="1" applyFill="1" applyBorder="1" applyAlignment="1">
      <alignment horizontal="center" vertical="center"/>
    </xf>
    <xf numFmtId="4" fontId="16576" fillId="16580" borderId="16527" xfId="0" applyNumberFormat="1" applyFont="1" applyFill="1" applyBorder="1" applyAlignment="1">
      <alignment horizontal="center" vertical="center"/>
    </xf>
    <xf numFmtId="4" fontId="16577" fillId="16581" borderId="16528" xfId="0" applyNumberFormat="1" applyFont="1" applyFill="1" applyBorder="1" applyAlignment="1">
      <alignment horizontal="center" vertical="center"/>
    </xf>
    <xf numFmtId="4" fontId="16578" fillId="16582" borderId="16529" xfId="0" applyNumberFormat="1" applyFont="1" applyFill="1" applyBorder="1" applyAlignment="1">
      <alignment horizontal="center" vertical="center"/>
    </xf>
    <xf numFmtId="4" fontId="16579" fillId="16583" borderId="16530" xfId="0" applyNumberFormat="1" applyFont="1" applyFill="1" applyBorder="1" applyAlignment="1">
      <alignment horizontal="center" vertical="center"/>
    </xf>
    <xf numFmtId="4" fontId="16580" fillId="16584" borderId="16531" xfId="0" applyNumberFormat="1" applyFont="1" applyFill="1" applyBorder="1" applyAlignment="1">
      <alignment horizontal="center" vertical="center"/>
    </xf>
    <xf numFmtId="4" fontId="16581" fillId="16585" borderId="16532" xfId="0" applyNumberFormat="1" applyFont="1" applyFill="1" applyBorder="1" applyAlignment="1">
      <alignment horizontal="right" vertical="center"/>
    </xf>
    <xf numFmtId="4" fontId="16582" fillId="16586" borderId="16533" xfId="0" applyNumberFormat="1" applyFont="1" applyFill="1" applyBorder="1" applyAlignment="1">
      <alignment horizontal="right" vertical="center"/>
    </xf>
    <xf numFmtId="0" fontId="16583" fillId="16587" borderId="16534" xfId="0" applyFont="1" applyFill="1" applyBorder="1" applyAlignment="1">
      <alignment horizontal="center" vertical="center"/>
    </xf>
    <xf numFmtId="0" fontId="16584" fillId="16588" borderId="16535" xfId="0" applyFont="1" applyFill="1" applyBorder="1"/>
    <xf numFmtId="0" fontId="16585" fillId="16589" borderId="16536" xfId="0" applyFont="1" applyFill="1" applyBorder="1"/>
    <xf numFmtId="14" fontId="16586" fillId="16590" borderId="16537" xfId="0" applyNumberFormat="1" applyFont="1" applyFill="1" applyBorder="1" applyAlignment="1">
      <alignment horizontal="center" vertical="center"/>
    </xf>
    <xf numFmtId="4" fontId="16587" fillId="16591" borderId="16538" xfId="0" applyNumberFormat="1" applyFont="1" applyFill="1" applyBorder="1" applyAlignment="1">
      <alignment horizontal="center" vertical="center"/>
    </xf>
    <xf numFmtId="4" fontId="16588" fillId="16592" borderId="16539" xfId="0" applyNumberFormat="1" applyFont="1" applyFill="1" applyBorder="1" applyAlignment="1">
      <alignment horizontal="center" vertical="center"/>
    </xf>
    <xf numFmtId="4" fontId="16589" fillId="16593" borderId="16540" xfId="0" applyNumberFormat="1" applyFont="1" applyFill="1" applyBorder="1" applyAlignment="1">
      <alignment horizontal="center" vertical="center"/>
    </xf>
    <xf numFmtId="4" fontId="16590" fillId="16594" borderId="16541" xfId="0" applyNumberFormat="1" applyFont="1" applyFill="1" applyBorder="1" applyAlignment="1">
      <alignment horizontal="center" vertical="center"/>
    </xf>
    <xf numFmtId="4" fontId="16591" fillId="16595" borderId="16542" xfId="0" applyNumberFormat="1" applyFont="1" applyFill="1" applyBorder="1" applyAlignment="1">
      <alignment horizontal="center" vertical="center"/>
    </xf>
    <xf numFmtId="4" fontId="16592" fillId="16596" borderId="16543" xfId="0" applyNumberFormat="1" applyFont="1" applyFill="1" applyBorder="1" applyAlignment="1">
      <alignment horizontal="center" vertical="center"/>
    </xf>
    <xf numFmtId="4" fontId="16593" fillId="16597" borderId="16544" xfId="0" applyNumberFormat="1" applyFont="1" applyFill="1" applyBorder="1" applyAlignment="1">
      <alignment horizontal="right" vertical="center"/>
    </xf>
    <xf numFmtId="4" fontId="16594" fillId="16598" borderId="16545" xfId="0" applyNumberFormat="1" applyFont="1" applyFill="1" applyBorder="1" applyAlignment="1">
      <alignment horizontal="right" vertical="center"/>
    </xf>
    <xf numFmtId="0" fontId="16595" fillId="16599" borderId="16546" xfId="0" applyFont="1" applyFill="1" applyBorder="1" applyAlignment="1">
      <alignment horizontal="center" vertical="center"/>
    </xf>
    <xf numFmtId="0" fontId="16596" fillId="16600" borderId="16547" xfId="0" applyFont="1" applyFill="1" applyBorder="1"/>
    <xf numFmtId="0" fontId="16597" fillId="16601" borderId="16548" xfId="0" applyFont="1" applyFill="1" applyBorder="1"/>
    <xf numFmtId="0" fontId="16598" fillId="16602" borderId="16549" xfId="0" applyFont="1" applyFill="1" applyBorder="1" applyAlignment="1">
      <alignment horizontal="center" vertical="center"/>
    </xf>
    <xf numFmtId="3" fontId="16599" fillId="16603" borderId="16550" xfId="0" applyNumberFormat="1" applyFont="1" applyFill="1" applyBorder="1" applyAlignment="1">
      <alignment horizontal="center" vertical="center"/>
    </xf>
    <xf numFmtId="4" fontId="16600" fillId="16604" borderId="16551" xfId="0" applyNumberFormat="1" applyFont="1" applyFill="1" applyBorder="1" applyAlignment="1">
      <alignment horizontal="center" vertical="center"/>
    </xf>
    <xf numFmtId="4" fontId="16601" fillId="16605" borderId="16552" xfId="0" applyNumberFormat="1" applyFont="1" applyFill="1" applyBorder="1" applyAlignment="1">
      <alignment horizontal="center" vertical="center"/>
    </xf>
    <xf numFmtId="164" fontId="16602" fillId="16606" borderId="16553" xfId="0" applyNumberFormat="1" applyFont="1" applyFill="1" applyBorder="1" applyAlignment="1">
      <alignment horizontal="center" vertical="center"/>
    </xf>
    <xf numFmtId="164" fontId="16603" fillId="16607" borderId="16554" xfId="0" applyNumberFormat="1" applyFont="1" applyFill="1" applyBorder="1" applyAlignment="1">
      <alignment horizontal="center" vertical="center"/>
    </xf>
    <xf numFmtId="4" fontId="16604" fillId="16608" borderId="16555" xfId="0" applyNumberFormat="1" applyFont="1" applyFill="1" applyBorder="1" applyAlignment="1">
      <alignment horizontal="center" vertical="center"/>
    </xf>
    <xf numFmtId="4" fontId="16605" fillId="16609" borderId="16556" xfId="0" applyNumberFormat="1" applyFont="1" applyFill="1" applyBorder="1" applyAlignment="1">
      <alignment horizontal="right" vertical="center"/>
    </xf>
    <xf numFmtId="2" fontId="16606" fillId="16610" borderId="16557" xfId="0" applyNumberFormat="1" applyFont="1" applyFill="1" applyBorder="1" applyAlignment="1">
      <alignment horizontal="right" vertical="center"/>
    </xf>
    <xf numFmtId="0" fontId="16607" fillId="16611" borderId="16558" xfId="0" applyFont="1" applyFill="1" applyBorder="1" applyAlignment="1">
      <alignment horizontal="center" vertical="center"/>
    </xf>
    <xf numFmtId="0" fontId="16608" fillId="16612" borderId="16559" xfId="0" applyFont="1" applyFill="1" applyBorder="1"/>
    <xf numFmtId="0" fontId="16619" fillId="16623" borderId="16570" xfId="0" applyFont="1" applyFill="1" applyBorder="1" applyAlignment="1">
      <alignment horizontal="center" wrapText="1"/>
    </xf>
    <xf numFmtId="4" fontId="16631" fillId="16635" borderId="16582" xfId="0" applyNumberFormat="1" applyFont="1" applyFill="1" applyBorder="1"/>
    <xf numFmtId="4" fontId="16632" fillId="16636" borderId="16583" xfId="0" applyNumberFormat="1" applyFont="1" applyFill="1" applyBorder="1"/>
    <xf numFmtId="4" fontId="16633" fillId="16637" borderId="16584" xfId="0" applyNumberFormat="1" applyFont="1" applyFill="1" applyBorder="1"/>
    <xf numFmtId="168" fontId="16634" fillId="16638" borderId="16585" xfId="0" applyNumberFormat="1" applyFont="1" applyFill="1" applyBorder="1"/>
    <xf numFmtId="165" fontId="16635" fillId="16639" borderId="16586" xfId="0" applyNumberFormat="1" applyFont="1" applyFill="1" applyBorder="1"/>
    <xf numFmtId="165" fontId="16636" fillId="16640" borderId="16587" xfId="0" applyNumberFormat="1" applyFont="1" applyFill="1" applyBorder="1"/>
    <xf numFmtId="0" fontId="16637" fillId="16641" borderId="16588" xfId="0" applyFont="1" applyFill="1" applyBorder="1" applyAlignment="1">
      <alignment horizontal="center"/>
    </xf>
    <xf numFmtId="4" fontId="16638" fillId="16642" borderId="16589" xfId="0" applyNumberFormat="1" applyFont="1" applyFill="1" applyBorder="1"/>
    <xf numFmtId="4" fontId="16639" fillId="16643" borderId="16590" xfId="0" applyNumberFormat="1" applyFont="1" applyFill="1" applyBorder="1"/>
    <xf numFmtId="165" fontId="16640" fillId="16644" borderId="16591" xfId="0" applyNumberFormat="1" applyFont="1" applyFill="1" applyBorder="1"/>
    <xf numFmtId="4" fontId="16641" fillId="16645" borderId="16592" xfId="0" applyNumberFormat="1" applyFont="1" applyFill="1" applyBorder="1"/>
    <xf numFmtId="168" fontId="16642" fillId="16646" borderId="16593" xfId="0" applyNumberFormat="1" applyFont="1" applyFill="1" applyBorder="1"/>
    <xf numFmtId="165" fontId="16643" fillId="16647" borderId="16594" xfId="0" applyNumberFormat="1" applyFont="1" applyFill="1" applyBorder="1"/>
    <xf numFmtId="4" fontId="16644" fillId="16648" borderId="16595" xfId="0" applyNumberFormat="1" applyFont="1" applyFill="1" applyBorder="1"/>
    <xf numFmtId="165" fontId="16645" fillId="16649" borderId="16596" xfId="0" applyNumberFormat="1" applyFont="1" applyFill="1" applyBorder="1"/>
    <xf numFmtId="0" fontId="16654" fillId="16658" borderId="16605" xfId="0" applyFont="1" applyFill="1" applyBorder="1" applyAlignment="1">
      <alignment horizontal="center"/>
    </xf>
    <xf numFmtId="0" fontId="16655" fillId="16659" borderId="16606" xfId="0" applyFont="1" applyFill="1" applyBorder="1"/>
    <xf numFmtId="165" fontId="16656" fillId="16660" borderId="16607" xfId="0" applyNumberFormat="1" applyFont="1" applyFill="1" applyBorder="1"/>
    <xf numFmtId="4" fontId="16657" fillId="16661" borderId="16608" xfId="0" applyNumberFormat="1" applyFont="1" applyFill="1" applyBorder="1"/>
    <xf numFmtId="168" fontId="16658" fillId="16662" borderId="16609" xfId="0" applyNumberFormat="1" applyFont="1" applyFill="1" applyBorder="1"/>
    <xf numFmtId="165" fontId="16659" fillId="16663" borderId="16610" xfId="0" applyNumberFormat="1" applyFont="1" applyFill="1" applyBorder="1"/>
    <xf numFmtId="165" fontId="16660" fillId="16664" borderId="16611" xfId="0" applyNumberFormat="1" applyFont="1" applyFill="1" applyBorder="1"/>
    <xf numFmtId="4" fontId="16661" fillId="16665" borderId="16612" xfId="0" applyNumberFormat="1" applyFont="1" applyFill="1" applyBorder="1"/>
    <xf numFmtId="0" fontId="16671" fillId="16675" borderId="16622" xfId="0" applyFont="1" applyFill="1" applyBorder="1" applyAlignment="1">
      <alignment horizontal="center"/>
    </xf>
    <xf numFmtId="168" fontId="16673" fillId="16677" borderId="16624" xfId="0" applyNumberFormat="1" applyFont="1" applyFill="1" applyBorder="1" applyAlignment="1">
      <alignment horizontal="center"/>
    </xf>
    <xf numFmtId="0" fontId="16674" fillId="16678" borderId="16625" xfId="0" applyFont="1" applyFill="1" applyBorder="1"/>
    <xf numFmtId="0" fontId="16676" fillId="16680" borderId="16627" xfId="0" applyFont="1" applyFill="1" applyBorder="1" applyAlignment="1">
      <alignment horizontal="center" wrapText="1"/>
    </xf>
    <xf numFmtId="0" fontId="16677" fillId="16681" borderId="16628" xfId="0" applyFont="1" applyFill="1" applyBorder="1" applyAlignment="1">
      <alignment horizontal="center" wrapText="1"/>
    </xf>
    <xf numFmtId="0" fontId="16678" fillId="16682" borderId="16629" xfId="0" applyFont="1" applyFill="1" applyBorder="1" applyAlignment="1">
      <alignment horizontal="center" wrapText="1"/>
    </xf>
    <xf numFmtId="0" fontId="16679" fillId="16683" borderId="16630" xfId="0" applyFont="1" applyFill="1" applyBorder="1" applyAlignment="1">
      <alignment horizontal="center" wrapText="1"/>
    </xf>
    <xf numFmtId="0" fontId="16680" fillId="16684" borderId="16631" xfId="0" applyFont="1" applyFill="1" applyBorder="1" applyAlignment="1">
      <alignment horizontal="center" wrapText="1"/>
    </xf>
    <xf numFmtId="0" fontId="16681" fillId="16685" borderId="16632" xfId="0" applyFont="1" applyFill="1" applyBorder="1" applyAlignment="1">
      <alignment horizontal="center" wrapText="1"/>
    </xf>
    <xf numFmtId="0" fontId="16682" fillId="16686" borderId="16633" xfId="0" applyFont="1" applyFill="1" applyBorder="1" applyAlignment="1">
      <alignment horizontal="center"/>
    </xf>
    <xf numFmtId="165" fontId="16683" fillId="16687" borderId="16634" xfId="0" applyNumberFormat="1" applyFont="1" applyFill="1" applyBorder="1"/>
    <xf numFmtId="165" fontId="16684" fillId="16688" borderId="16635" xfId="0" applyNumberFormat="1" applyFont="1" applyFill="1" applyBorder="1"/>
    <xf numFmtId="165" fontId="16685" fillId="16689" borderId="16636" xfId="0" applyNumberFormat="1" applyFont="1" applyFill="1" applyBorder="1"/>
    <xf numFmtId="4" fontId="16686" fillId="16690" borderId="16637" xfId="0" applyNumberFormat="1" applyFont="1" applyFill="1" applyBorder="1"/>
    <xf numFmtId="4" fontId="16687" fillId="16691" borderId="16638" xfId="0" applyNumberFormat="1" applyFont="1" applyFill="1" applyBorder="1"/>
    <xf numFmtId="0" fontId="16688" fillId="16692" borderId="16639" xfId="0" applyFont="1" applyFill="1" applyBorder="1" applyAlignment="1">
      <alignment horizontal="center"/>
    </xf>
    <xf numFmtId="165" fontId="16689" fillId="16693" borderId="16640" xfId="0" applyNumberFormat="1" applyFont="1" applyFill="1" applyBorder="1"/>
    <xf numFmtId="165" fontId="16690" fillId="16694" borderId="16641" xfId="0" applyNumberFormat="1" applyFont="1" applyFill="1" applyBorder="1"/>
    <xf numFmtId="165" fontId="16691" fillId="16695" borderId="16642" xfId="0" applyNumberFormat="1" applyFont="1" applyFill="1" applyBorder="1"/>
    <xf numFmtId="4" fontId="16692" fillId="16696" borderId="16643" xfId="0" applyNumberFormat="1" applyFont="1" applyFill="1" applyBorder="1"/>
    <xf numFmtId="4" fontId="16693" fillId="16697" borderId="16644" xfId="0" applyNumberFormat="1" applyFont="1" applyFill="1" applyBorder="1"/>
    <xf numFmtId="0" fontId="16694" fillId="16698" borderId="16645" xfId="0" applyFont="1" applyFill="1" applyBorder="1" applyAlignment="1">
      <alignment horizontal="center"/>
    </xf>
    <xf numFmtId="165" fontId="16695" fillId="16699" borderId="16646" xfId="0" applyNumberFormat="1" applyFont="1" applyFill="1" applyBorder="1"/>
    <xf numFmtId="165" fontId="16696" fillId="16700" borderId="16647" xfId="0" applyNumberFormat="1" applyFont="1" applyFill="1" applyBorder="1"/>
    <xf numFmtId="165" fontId="16697" fillId="16701" borderId="16648" xfId="0" applyNumberFormat="1" applyFont="1" applyFill="1" applyBorder="1"/>
    <xf numFmtId="4" fontId="16698" fillId="16702" borderId="16649" xfId="0" applyNumberFormat="1" applyFont="1" applyFill="1" applyBorder="1"/>
    <xf numFmtId="4" fontId="16699" fillId="16703" borderId="16650" xfId="0" applyNumberFormat="1" applyFont="1" applyFill="1" applyBorder="1"/>
    <xf numFmtId="0" fontId="16700" fillId="16704" borderId="16651" xfId="0" applyFont="1" applyFill="1" applyBorder="1" applyAlignment="1">
      <alignment horizontal="center"/>
    </xf>
    <xf numFmtId="165" fontId="16701" fillId="16705" borderId="16652" xfId="0" applyNumberFormat="1" applyFont="1" applyFill="1" applyBorder="1"/>
    <xf numFmtId="165" fontId="16702" fillId="16706" borderId="16653" xfId="0" applyNumberFormat="1" applyFont="1" applyFill="1" applyBorder="1"/>
    <xf numFmtId="165" fontId="16703" fillId="16707" borderId="16654" xfId="0" applyNumberFormat="1" applyFont="1" applyFill="1" applyBorder="1"/>
    <xf numFmtId="4" fontId="16704" fillId="16708" borderId="16655" xfId="0" applyNumberFormat="1" applyFont="1" applyFill="1" applyBorder="1"/>
    <xf numFmtId="4" fontId="16705" fillId="16709" borderId="16656" xfId="0" applyNumberFormat="1" applyFont="1" applyFill="1" applyBorder="1"/>
    <xf numFmtId="0" fontId="16706" fillId="16710" borderId="16657" xfId="0" applyFont="1" applyFill="1" applyBorder="1" applyAlignment="1">
      <alignment horizontal="center"/>
    </xf>
    <xf numFmtId="165" fontId="16707" fillId="16711" borderId="16658" xfId="0" applyNumberFormat="1" applyFont="1" applyFill="1" applyBorder="1"/>
    <xf numFmtId="165" fontId="16708" fillId="16712" borderId="16659" xfId="0" applyNumberFormat="1" applyFont="1" applyFill="1" applyBorder="1"/>
    <xf numFmtId="165" fontId="16709" fillId="16713" borderId="16660" xfId="0" applyNumberFormat="1" applyFont="1" applyFill="1" applyBorder="1"/>
    <xf numFmtId="4" fontId="16710" fillId="16714" borderId="16661" xfId="0" applyNumberFormat="1" applyFont="1" applyFill="1" applyBorder="1"/>
    <xf numFmtId="4" fontId="16711" fillId="16715" borderId="16662" xfId="0" applyNumberFormat="1" applyFont="1" applyFill="1" applyBorder="1"/>
    <xf numFmtId="0" fontId="16712" fillId="16716" borderId="16663" xfId="0" applyFont="1" applyFill="1" applyBorder="1" applyAlignment="1">
      <alignment horizontal="center"/>
    </xf>
    <xf numFmtId="165" fontId="16713" fillId="16717" borderId="16664" xfId="0" applyNumberFormat="1" applyFont="1" applyFill="1" applyBorder="1"/>
    <xf numFmtId="165" fontId="16714" fillId="16718" borderId="16665" xfId="0" applyNumberFormat="1" applyFont="1" applyFill="1" applyBorder="1"/>
    <xf numFmtId="165" fontId="16715" fillId="16719" borderId="16666" xfId="0" applyNumberFormat="1" applyFont="1" applyFill="1" applyBorder="1"/>
    <xf numFmtId="4" fontId="16716" fillId="16720" borderId="16667" xfId="0" applyNumberFormat="1" applyFont="1" applyFill="1" applyBorder="1"/>
    <xf numFmtId="4" fontId="16717" fillId="16721" borderId="16668" xfId="0" applyNumberFormat="1" applyFont="1" applyFill="1" applyBorder="1"/>
    <xf numFmtId="0" fontId="16718" fillId="16722" borderId="16669" xfId="0" applyFont="1" applyFill="1" applyBorder="1"/>
    <xf numFmtId="165" fontId="16719" fillId="16723" borderId="16670" xfId="0" applyNumberFormat="1" applyFont="1" applyFill="1" applyBorder="1"/>
    <xf numFmtId="165" fontId="16720" fillId="16724" borderId="16671" xfId="0" applyNumberFormat="1" applyFont="1" applyFill="1" applyBorder="1"/>
    <xf numFmtId="165" fontId="16721" fillId="16725" borderId="16672" xfId="0" applyNumberFormat="1" applyFont="1" applyFill="1" applyBorder="1"/>
    <xf numFmtId="4" fontId="16722" fillId="16726" borderId="16673" xfId="0" applyNumberFormat="1" applyFont="1" applyFill="1" applyBorder="1"/>
    <xf numFmtId="4" fontId="16723" fillId="16727" borderId="16674" xfId="0" applyNumberFormat="1" applyFont="1" applyFill="1" applyBorder="1"/>
    <xf numFmtId="0" fontId="16733" fillId="16737" borderId="16684" xfId="0" applyFont="1" applyFill="1" applyBorder="1" applyAlignment="1">
      <alignment horizontal="center" wrapText="1"/>
    </xf>
    <xf numFmtId="165" fontId="16734" fillId="16738" borderId="16685" xfId="0" applyNumberFormat="1" applyFont="1" applyFill="1" applyBorder="1" applyAlignment="1">
      <alignment horizontal="center" wrapText="1"/>
    </xf>
    <xf numFmtId="165" fontId="16735" fillId="16739" borderId="16686" xfId="0" applyNumberFormat="1" applyFont="1" applyFill="1" applyBorder="1" applyAlignment="1">
      <alignment horizontal="center" wrapText="1"/>
    </xf>
    <xf numFmtId="165" fontId="16736" fillId="16740" borderId="16687" xfId="0" applyNumberFormat="1" applyFont="1" applyFill="1" applyBorder="1" applyAlignment="1">
      <alignment horizontal="center" wrapText="1"/>
    </xf>
    <xf numFmtId="165" fontId="16737" fillId="16741" borderId="16688" xfId="0" applyNumberFormat="1" applyFont="1" applyFill="1" applyBorder="1" applyAlignment="1">
      <alignment horizontal="center" wrapText="1"/>
    </xf>
    <xf numFmtId="165" fontId="16738" fillId="16742" borderId="16689" xfId="0" applyNumberFormat="1" applyFont="1" applyFill="1" applyBorder="1" applyAlignment="1">
      <alignment horizontal="center" wrapText="1"/>
    </xf>
    <xf numFmtId="165" fontId="16739" fillId="16743" borderId="16690" xfId="0" applyNumberFormat="1" applyFont="1" applyFill="1" applyBorder="1" applyAlignment="1">
      <alignment horizontal="center" wrapText="1"/>
    </xf>
    <xf numFmtId="165" fontId="16740" fillId="16744" borderId="16691" xfId="0" applyNumberFormat="1" applyFont="1" applyFill="1" applyBorder="1" applyAlignment="1">
      <alignment horizontal="center" wrapText="1"/>
    </xf>
    <xf numFmtId="0" fontId="16741" fillId="16745" borderId="16692" xfId="0" applyFont="1" applyFill="1" applyBorder="1"/>
    <xf numFmtId="165" fontId="16742" fillId="16746" borderId="16693" xfId="0" applyNumberFormat="1" applyFont="1" applyFill="1" applyBorder="1"/>
    <xf numFmtId="165" fontId="16743" fillId="16747" borderId="16694" xfId="0" applyNumberFormat="1" applyFont="1" applyFill="1" applyBorder="1"/>
    <xf numFmtId="165" fontId="16744" fillId="16748" borderId="16695" xfId="0" applyNumberFormat="1" applyFont="1" applyFill="1" applyBorder="1"/>
    <xf numFmtId="165" fontId="16745" fillId="16749" borderId="16696" xfId="0" applyNumberFormat="1" applyFont="1" applyFill="1" applyBorder="1"/>
    <xf numFmtId="165" fontId="16746" fillId="16750" borderId="16697" xfId="0" applyNumberFormat="1" applyFont="1" applyFill="1" applyBorder="1"/>
    <xf numFmtId="165" fontId="16747" fillId="16751" borderId="16698" xfId="0" applyNumberFormat="1" applyFont="1" applyFill="1" applyBorder="1"/>
    <xf numFmtId="165" fontId="16748" fillId="16752" borderId="16699" xfId="0" applyNumberFormat="1" applyFont="1" applyFill="1" applyBorder="1"/>
    <xf numFmtId="0" fontId="16749" fillId="16753" borderId="16700" xfId="0" applyFont="1" applyFill="1" applyBorder="1"/>
    <xf numFmtId="165" fontId="16750" fillId="16754" borderId="16701" xfId="0" applyNumberFormat="1" applyFont="1" applyFill="1" applyBorder="1"/>
    <xf numFmtId="165" fontId="16751" fillId="16755" borderId="16702" xfId="0" applyNumberFormat="1" applyFont="1" applyFill="1" applyBorder="1"/>
    <xf numFmtId="165" fontId="16752" fillId="16756" borderId="16703" xfId="0" applyNumberFormat="1" applyFont="1" applyFill="1" applyBorder="1"/>
    <xf numFmtId="165" fontId="16753" fillId="16757" borderId="16704" xfId="0" applyNumberFormat="1" applyFont="1" applyFill="1" applyBorder="1"/>
    <xf numFmtId="165" fontId="16754" fillId="16758" borderId="16705" xfId="0" applyNumberFormat="1" applyFont="1" applyFill="1" applyBorder="1"/>
    <xf numFmtId="165" fontId="16755" fillId="16759" borderId="16706" xfId="0" applyNumberFormat="1" applyFont="1" applyFill="1" applyBorder="1"/>
    <xf numFmtId="165" fontId="16756" fillId="16760" borderId="16707" xfId="0" applyNumberFormat="1" applyFont="1" applyFill="1" applyBorder="1"/>
    <xf numFmtId="0" fontId="16757" fillId="16761" borderId="16708" xfId="0" applyFont="1" applyFill="1" applyBorder="1"/>
    <xf numFmtId="165" fontId="16758" fillId="16762" borderId="16709" xfId="0" applyNumberFormat="1" applyFont="1" applyFill="1" applyBorder="1"/>
    <xf numFmtId="165" fontId="16759" fillId="16763" borderId="16710" xfId="0" applyNumberFormat="1" applyFont="1" applyFill="1" applyBorder="1"/>
    <xf numFmtId="165" fontId="16760" fillId="16764" borderId="16711" xfId="0" applyNumberFormat="1" applyFont="1" applyFill="1" applyBorder="1"/>
    <xf numFmtId="165" fontId="16761" fillId="16765" borderId="16712" xfId="0" applyNumberFormat="1" applyFont="1" applyFill="1" applyBorder="1"/>
    <xf numFmtId="165" fontId="16762" fillId="16766" borderId="16713" xfId="0" applyNumberFormat="1" applyFont="1" applyFill="1" applyBorder="1"/>
    <xf numFmtId="165" fontId="16763" fillId="16767" borderId="16714" xfId="0" applyNumberFormat="1" applyFont="1" applyFill="1" applyBorder="1"/>
    <xf numFmtId="165" fontId="16764" fillId="16768" borderId="16715" xfId="0" applyNumberFormat="1" applyFont="1" applyFill="1" applyBorder="1"/>
    <xf numFmtId="0" fontId="16765" fillId="16769" borderId="16716" xfId="0" applyFont="1" applyFill="1" applyBorder="1"/>
    <xf numFmtId="165" fontId="16766" fillId="16770" borderId="16717" xfId="0" applyNumberFormat="1" applyFont="1" applyFill="1" applyBorder="1"/>
    <xf numFmtId="165" fontId="16767" fillId="16771" borderId="16718" xfId="0" applyNumberFormat="1" applyFont="1" applyFill="1" applyBorder="1"/>
    <xf numFmtId="165" fontId="16768" fillId="16772" borderId="16719" xfId="0" applyNumberFormat="1" applyFont="1" applyFill="1" applyBorder="1"/>
    <xf numFmtId="165" fontId="16769" fillId="16773" borderId="16720" xfId="0" applyNumberFormat="1" applyFont="1" applyFill="1" applyBorder="1"/>
    <xf numFmtId="165" fontId="16770" fillId="16774" borderId="16721" xfId="0" applyNumberFormat="1" applyFont="1" applyFill="1" applyBorder="1"/>
    <xf numFmtId="165" fontId="16771" fillId="16775" borderId="16722" xfId="0" applyNumberFormat="1" applyFont="1" applyFill="1" applyBorder="1"/>
    <xf numFmtId="165" fontId="16772" fillId="16776" borderId="16723" xfId="0" applyNumberFormat="1" applyFont="1" applyFill="1" applyBorder="1"/>
    <xf numFmtId="0" fontId="16774" fillId="16778" borderId="16725" xfId="0" applyFont="1" applyFill="1" applyBorder="1" applyAlignment="1">
      <alignment horizontal="center" wrapText="1"/>
    </xf>
    <xf numFmtId="4" fontId="16775" fillId="16779" borderId="16726" xfId="0" applyNumberFormat="1" applyFont="1" applyFill="1" applyBorder="1" applyAlignment="1">
      <alignment horizontal="center" wrapText="1"/>
    </xf>
    <xf numFmtId="4" fontId="16776" fillId="16780" borderId="16727" xfId="0" applyNumberFormat="1" applyFont="1" applyFill="1" applyBorder="1" applyAlignment="1">
      <alignment horizontal="center" wrapText="1"/>
    </xf>
    <xf numFmtId="4" fontId="16777" fillId="16781" borderId="16728" xfId="0" applyNumberFormat="1" applyFont="1" applyFill="1" applyBorder="1" applyAlignment="1">
      <alignment horizontal="center" wrapText="1"/>
    </xf>
    <xf numFmtId="4" fontId="16778" fillId="16782" borderId="16729" xfId="0" applyNumberFormat="1" applyFont="1" applyFill="1" applyBorder="1" applyAlignment="1">
      <alignment horizontal="center" wrapText="1"/>
    </xf>
    <xf numFmtId="4" fontId="16779" fillId="16783" borderId="16730" xfId="0" applyNumberFormat="1" applyFont="1" applyFill="1" applyBorder="1" applyAlignment="1">
      <alignment horizontal="center" wrapText="1"/>
    </xf>
    <xf numFmtId="4" fontId="16780" fillId="16784" borderId="16731" xfId="0" applyNumberFormat="1" applyFont="1" applyFill="1" applyBorder="1" applyAlignment="1">
      <alignment horizontal="center" wrapText="1"/>
    </xf>
    <xf numFmtId="4" fontId="16781" fillId="16785" borderId="16732" xfId="0" applyNumberFormat="1" applyFont="1" applyFill="1" applyBorder="1" applyAlignment="1">
      <alignment horizontal="center" wrapText="1"/>
    </xf>
    <xf numFmtId="0" fontId="16782" fillId="16786" borderId="16733" xfId="0" applyFont="1" applyFill="1" applyBorder="1"/>
    <xf numFmtId="4" fontId="16783" fillId="16787" borderId="16734" xfId="0" applyNumberFormat="1" applyFont="1" applyFill="1" applyBorder="1"/>
    <xf numFmtId="4" fontId="16784" fillId="16788" borderId="16735" xfId="0" applyNumberFormat="1" applyFont="1" applyFill="1" applyBorder="1"/>
    <xf numFmtId="4" fontId="16785" fillId="16789" borderId="16736" xfId="0" applyNumberFormat="1" applyFont="1" applyFill="1" applyBorder="1"/>
    <xf numFmtId="4" fontId="16786" fillId="16790" borderId="16737" xfId="0" applyNumberFormat="1" applyFont="1" applyFill="1" applyBorder="1"/>
    <xf numFmtId="4" fontId="16787" fillId="16791" borderId="16738" xfId="0" applyNumberFormat="1" applyFont="1" applyFill="1" applyBorder="1"/>
    <xf numFmtId="4" fontId="16788" fillId="16792" borderId="16739" xfId="0" applyNumberFormat="1" applyFont="1" applyFill="1" applyBorder="1"/>
    <xf numFmtId="4" fontId="16789" fillId="16793" borderId="16740" xfId="0" applyNumberFormat="1" applyFont="1" applyFill="1" applyBorder="1"/>
    <xf numFmtId="0" fontId="16790" fillId="16794" borderId="16741" xfId="0" applyFont="1" applyFill="1" applyBorder="1"/>
    <xf numFmtId="4" fontId="16791" fillId="16795" borderId="16742" xfId="0" applyNumberFormat="1" applyFont="1" applyFill="1" applyBorder="1"/>
    <xf numFmtId="4" fontId="16792" fillId="16796" borderId="16743" xfId="0" applyNumberFormat="1" applyFont="1" applyFill="1" applyBorder="1"/>
    <xf numFmtId="4" fontId="16793" fillId="16797" borderId="16744" xfId="0" applyNumberFormat="1" applyFont="1" applyFill="1" applyBorder="1"/>
    <xf numFmtId="4" fontId="16794" fillId="16798" borderId="16745" xfId="0" applyNumberFormat="1" applyFont="1" applyFill="1" applyBorder="1"/>
    <xf numFmtId="4" fontId="16795" fillId="16799" borderId="16746" xfId="0" applyNumberFormat="1" applyFont="1" applyFill="1" applyBorder="1"/>
    <xf numFmtId="4" fontId="16796" fillId="16800" borderId="16747" xfId="0" applyNumberFormat="1" applyFont="1" applyFill="1" applyBorder="1"/>
    <xf numFmtId="4" fontId="16797" fillId="16801" borderId="16748" xfId="0" applyNumberFormat="1" applyFont="1" applyFill="1" applyBorder="1"/>
    <xf numFmtId="0" fontId="16798" fillId="16802" borderId="16749" xfId="0" applyFont="1" applyFill="1" applyBorder="1"/>
    <xf numFmtId="4" fontId="16799" fillId="16803" borderId="16750" xfId="0" applyNumberFormat="1" applyFont="1" applyFill="1" applyBorder="1"/>
    <xf numFmtId="4" fontId="16800" fillId="16804" borderId="16751" xfId="0" applyNumberFormat="1" applyFont="1" applyFill="1" applyBorder="1"/>
    <xf numFmtId="4" fontId="16801" fillId="16805" borderId="16752" xfId="0" applyNumberFormat="1" applyFont="1" applyFill="1" applyBorder="1"/>
    <xf numFmtId="4" fontId="16802" fillId="16806" borderId="16753" xfId="0" applyNumberFormat="1" applyFont="1" applyFill="1" applyBorder="1"/>
    <xf numFmtId="4" fontId="16803" fillId="16807" borderId="16754" xfId="0" applyNumberFormat="1" applyFont="1" applyFill="1" applyBorder="1"/>
    <xf numFmtId="4" fontId="16804" fillId="16808" borderId="16755" xfId="0" applyNumberFormat="1" applyFont="1" applyFill="1" applyBorder="1"/>
    <xf numFmtId="4" fontId="16805" fillId="16809" borderId="16756" xfId="0" applyNumberFormat="1" applyFont="1" applyFill="1" applyBorder="1"/>
    <xf numFmtId="0" fontId="16806" fillId="16810" borderId="16757" xfId="0" applyFont="1" applyFill="1" applyBorder="1"/>
    <xf numFmtId="4" fontId="16807" fillId="16811" borderId="16758" xfId="0" applyNumberFormat="1" applyFont="1" applyFill="1" applyBorder="1"/>
    <xf numFmtId="4" fontId="16808" fillId="16812" borderId="16759" xfId="0" applyNumberFormat="1" applyFont="1" applyFill="1" applyBorder="1"/>
    <xf numFmtId="4" fontId="16809" fillId="16813" borderId="16760" xfId="0" applyNumberFormat="1" applyFont="1" applyFill="1" applyBorder="1"/>
    <xf numFmtId="4" fontId="16810" fillId="16814" borderId="16761" xfId="0" applyNumberFormat="1" applyFont="1" applyFill="1" applyBorder="1"/>
    <xf numFmtId="4" fontId="16811" fillId="16815" borderId="16762" xfId="0" applyNumberFormat="1" applyFont="1" applyFill="1" applyBorder="1"/>
    <xf numFmtId="4" fontId="16812" fillId="16816" borderId="16763" xfId="0" applyNumberFormat="1" applyFont="1" applyFill="1" applyBorder="1"/>
    <xf numFmtId="4" fontId="16813" fillId="16817" borderId="16764" xfId="0" applyNumberFormat="1" applyFont="1" applyFill="1" applyBorder="1"/>
    <xf numFmtId="165" fontId="16824" fillId="16828" borderId="16775" xfId="0" applyNumberFormat="1" applyFont="1" applyFill="1" applyBorder="1" applyAlignment="1">
      <alignment horizontal="center"/>
    </xf>
    <xf numFmtId="0" fontId="16825" fillId="16829" borderId="16776" xfId="0" applyFont="1" applyFill="1" applyBorder="1" applyAlignment="1">
      <alignment horizontal="center" wrapText="1"/>
    </xf>
    <xf numFmtId="165" fontId="16826" fillId="16830" borderId="16777" xfId="0" applyNumberFormat="1" applyFont="1" applyFill="1" applyBorder="1" applyAlignment="1">
      <alignment horizontal="center" wrapText="1"/>
    </xf>
    <xf numFmtId="165" fontId="16827" fillId="16831" borderId="16778" xfId="0" applyNumberFormat="1" applyFont="1" applyFill="1" applyBorder="1" applyAlignment="1">
      <alignment horizontal="center" wrapText="1"/>
    </xf>
    <xf numFmtId="165" fontId="16828" fillId="16832" borderId="16779" xfId="0" applyNumberFormat="1" applyFont="1" applyFill="1" applyBorder="1" applyAlignment="1">
      <alignment horizontal="center" wrapText="1"/>
    </xf>
    <xf numFmtId="4" fontId="16829" fillId="16833" borderId="16780" xfId="0" applyNumberFormat="1" applyFont="1" applyFill="1" applyBorder="1" applyAlignment="1">
      <alignment horizontal="center" wrapText="1"/>
    </xf>
    <xf numFmtId="4" fontId="16830" fillId="16834" borderId="16781" xfId="0" applyNumberFormat="1" applyFont="1" applyFill="1" applyBorder="1" applyAlignment="1">
      <alignment horizontal="center" wrapText="1"/>
    </xf>
    <xf numFmtId="4" fontId="16831" fillId="16835" borderId="16782" xfId="0" applyNumberFormat="1" applyFont="1" applyFill="1" applyBorder="1" applyAlignment="1">
      <alignment horizontal="center" wrapText="1"/>
    </xf>
    <xf numFmtId="168" fontId="16832" fillId="16836" borderId="16783" xfId="0" applyNumberFormat="1" applyFont="1" applyFill="1" applyBorder="1" applyAlignment="1">
      <alignment horizontal="center" wrapText="1"/>
    </xf>
    <xf numFmtId="165" fontId="16833" fillId="16837" borderId="16784" xfId="0" applyNumberFormat="1" applyFont="1" applyFill="1" applyBorder="1" applyAlignment="1">
      <alignment horizontal="center" wrapText="1"/>
    </xf>
    <xf numFmtId="165" fontId="16834" fillId="16838" borderId="16785" xfId="0" applyNumberFormat="1" applyFont="1" applyFill="1" applyBorder="1" applyAlignment="1">
      <alignment horizontal="center" wrapText="1"/>
    </xf>
    <xf numFmtId="0" fontId="16835" fillId="16839" borderId="16786" xfId="0" applyFont="1" applyFill="1" applyBorder="1"/>
    <xf numFmtId="165" fontId="16836" fillId="16840" borderId="16787" xfId="0" applyNumberFormat="1" applyFont="1" applyFill="1" applyBorder="1"/>
    <xf numFmtId="165" fontId="16837" fillId="16841" borderId="16788" xfId="0" applyNumberFormat="1" applyFont="1" applyFill="1" applyBorder="1"/>
    <xf numFmtId="165" fontId="16838" fillId="16842" borderId="16789" xfId="0" applyNumberFormat="1" applyFont="1" applyFill="1" applyBorder="1"/>
    <xf numFmtId="4" fontId="16839" fillId="16843" borderId="16790" xfId="0" applyNumberFormat="1" applyFont="1" applyFill="1" applyBorder="1"/>
    <xf numFmtId="4" fontId="16840" fillId="16844" borderId="16791" xfId="0" applyNumberFormat="1" applyFont="1" applyFill="1" applyBorder="1"/>
    <xf numFmtId="4" fontId="16841" fillId="16845" borderId="16792" xfId="0" applyNumberFormat="1" applyFont="1" applyFill="1" applyBorder="1"/>
    <xf numFmtId="168" fontId="16842" fillId="16846" borderId="16793" xfId="0" applyNumberFormat="1" applyFont="1" applyFill="1" applyBorder="1"/>
    <xf numFmtId="165" fontId="16843" fillId="16847" borderId="16794" xfId="0" applyNumberFormat="1" applyFont="1" applyFill="1" applyBorder="1"/>
    <xf numFmtId="165" fontId="16844" fillId="16848" borderId="16795" xfId="0" applyNumberFormat="1" applyFont="1" applyFill="1" applyBorder="1"/>
    <xf numFmtId="0" fontId="16845" fillId="16849" borderId="16796" xfId="0" applyFont="1" applyFill="1" applyBorder="1"/>
    <xf numFmtId="165" fontId="16846" fillId="16850" borderId="16797" xfId="0" applyNumberFormat="1" applyFont="1" applyFill="1" applyBorder="1"/>
    <xf numFmtId="165" fontId="16847" fillId="16851" borderId="16798" xfId="0" applyNumberFormat="1" applyFont="1" applyFill="1" applyBorder="1"/>
    <xf numFmtId="165" fontId="16848" fillId="16852" borderId="16799" xfId="0" applyNumberFormat="1" applyFont="1" applyFill="1" applyBorder="1"/>
    <xf numFmtId="4" fontId="16849" fillId="16853" borderId="16800" xfId="0" applyNumberFormat="1" applyFont="1" applyFill="1" applyBorder="1"/>
    <xf numFmtId="4" fontId="16850" fillId="16854" borderId="16801" xfId="0" applyNumberFormat="1" applyFont="1" applyFill="1" applyBorder="1"/>
    <xf numFmtId="4" fontId="16851" fillId="16855" borderId="16802" xfId="0" applyNumberFormat="1" applyFont="1" applyFill="1" applyBorder="1"/>
    <xf numFmtId="168" fontId="16852" fillId="16856" borderId="16803" xfId="0" applyNumberFormat="1" applyFont="1" applyFill="1" applyBorder="1"/>
    <xf numFmtId="165" fontId="16853" fillId="16857" borderId="16804" xfId="0" applyNumberFormat="1" applyFont="1" applyFill="1" applyBorder="1"/>
    <xf numFmtId="165" fontId="16854" fillId="16858" borderId="16805" xfId="0" applyNumberFormat="1" applyFont="1" applyFill="1" applyBorder="1"/>
    <xf numFmtId="0" fontId="16855" fillId="16859" borderId="16806" xfId="0" applyFont="1" applyFill="1" applyBorder="1"/>
    <xf numFmtId="165" fontId="16856" fillId="16860" borderId="16807" xfId="0" applyNumberFormat="1" applyFont="1" applyFill="1" applyBorder="1"/>
    <xf numFmtId="165" fontId="16857" fillId="16861" borderId="16808" xfId="0" applyNumberFormat="1" applyFont="1" applyFill="1" applyBorder="1"/>
    <xf numFmtId="165" fontId="16858" fillId="16862" borderId="16809" xfId="0" applyNumberFormat="1" applyFont="1" applyFill="1" applyBorder="1"/>
    <xf numFmtId="4" fontId="16859" fillId="16863" borderId="16810" xfId="0" applyNumberFormat="1" applyFont="1" applyFill="1" applyBorder="1"/>
    <xf numFmtId="4" fontId="16860" fillId="16864" borderId="16811" xfId="0" applyNumberFormat="1" applyFont="1" applyFill="1" applyBorder="1"/>
    <xf numFmtId="4" fontId="16861" fillId="16865" borderId="16812" xfId="0" applyNumberFormat="1" applyFont="1" applyFill="1" applyBorder="1"/>
    <xf numFmtId="168" fontId="16862" fillId="16866" borderId="16813" xfId="0" applyNumberFormat="1" applyFont="1" applyFill="1" applyBorder="1"/>
    <xf numFmtId="165" fontId="16863" fillId="16867" borderId="16814" xfId="0" applyNumberFormat="1" applyFont="1" applyFill="1" applyBorder="1"/>
    <xf numFmtId="165" fontId="16864" fillId="16868" borderId="16815" xfId="0" applyNumberFormat="1" applyFont="1" applyFill="1" applyBorder="1"/>
    <xf numFmtId="165" fontId="16874" fillId="16878" borderId="16825" xfId="0" applyNumberFormat="1" applyFont="1" applyFill="1" applyBorder="1"/>
    <xf numFmtId="0" fontId="16875" fillId="16879" borderId="16826" xfId="0" applyFont="1" applyFill="1" applyBorder="1" applyAlignment="1">
      <alignment horizontal="center" wrapText="1"/>
    </xf>
    <xf numFmtId="165" fontId="16876" fillId="16880" borderId="16827" xfId="0" applyNumberFormat="1" applyFont="1" applyFill="1" applyBorder="1" applyAlignment="1">
      <alignment horizontal="center" wrapText="1"/>
    </xf>
    <xf numFmtId="165" fontId="16877" fillId="16881" borderId="16828" xfId="0" applyNumberFormat="1" applyFont="1" applyFill="1" applyBorder="1" applyAlignment="1">
      <alignment horizontal="center" wrapText="1"/>
    </xf>
    <xf numFmtId="165" fontId="16878" fillId="16882" borderId="16829" xfId="0" applyNumberFormat="1" applyFont="1" applyFill="1" applyBorder="1" applyAlignment="1">
      <alignment horizontal="center" wrapText="1"/>
    </xf>
    <xf numFmtId="4" fontId="16879" fillId="16883" borderId="16830" xfId="0" applyNumberFormat="1" applyFont="1" applyFill="1" applyBorder="1" applyAlignment="1">
      <alignment horizontal="center" wrapText="1"/>
    </xf>
    <xf numFmtId="4" fontId="16880" fillId="16884" borderId="16831" xfId="0" applyNumberFormat="1" applyFont="1" applyFill="1" applyBorder="1" applyAlignment="1">
      <alignment horizontal="center" wrapText="1"/>
    </xf>
    <xf numFmtId="4" fontId="16881" fillId="16885" borderId="16832" xfId="0" applyNumberFormat="1" applyFont="1" applyFill="1" applyBorder="1" applyAlignment="1">
      <alignment horizontal="center" wrapText="1"/>
    </xf>
    <xf numFmtId="4" fontId="16882" fillId="16886" borderId="16833" xfId="0" applyNumberFormat="1" applyFont="1" applyFill="1" applyBorder="1" applyAlignment="1">
      <alignment horizontal="center" wrapText="1"/>
    </xf>
    <xf numFmtId="165" fontId="16883" fillId="16887" borderId="16834" xfId="0" applyNumberFormat="1" applyFont="1" applyFill="1" applyBorder="1" applyAlignment="1">
      <alignment horizontal="center" wrapText="1"/>
    </xf>
    <xf numFmtId="165" fontId="16884" fillId="16888" borderId="16835" xfId="0" applyNumberFormat="1" applyFont="1" applyFill="1" applyBorder="1"/>
    <xf numFmtId="0" fontId="16886" fillId="16890" borderId="16837" xfId="0" applyFont="1" applyFill="1" applyBorder="1" applyAlignment="1">
      <alignment horizontal="center" wrapText="1"/>
    </xf>
    <xf numFmtId="0" fontId="16887" fillId="16891" borderId="16838" xfId="0" applyFont="1" applyFill="1" applyBorder="1" applyAlignment="1">
      <alignment horizontal="center" wrapText="1"/>
    </xf>
    <xf numFmtId="4" fontId="16888" fillId="16892" borderId="16839" xfId="0" applyNumberFormat="1" applyFont="1" applyFill="1" applyBorder="1" applyAlignment="1">
      <alignment horizontal="center" wrapText="1"/>
    </xf>
    <xf numFmtId="165" fontId="16889" fillId="16893" borderId="16840" xfId="0" applyNumberFormat="1" applyFont="1" applyFill="1" applyBorder="1" applyAlignment="1">
      <alignment horizontal="center" wrapText="1"/>
    </xf>
    <xf numFmtId="4" fontId="16890" fillId="16894" borderId="16841" xfId="0" applyNumberFormat="1" applyFont="1" applyFill="1" applyBorder="1" applyAlignment="1">
      <alignment horizontal="center" wrapText="1"/>
    </xf>
    <xf numFmtId="168" fontId="16891" fillId="16895" borderId="16842" xfId="0" applyNumberFormat="1" applyFont="1" applyFill="1" applyBorder="1" applyAlignment="1">
      <alignment horizontal="center" wrapText="1"/>
    </xf>
    <xf numFmtId="165" fontId="16892" fillId="16896" borderId="16843" xfId="0" applyNumberFormat="1" applyFont="1" applyFill="1" applyBorder="1" applyAlignment="1">
      <alignment horizontal="center" wrapText="1"/>
    </xf>
    <xf numFmtId="4" fontId="16893" fillId="16897" borderId="16844" xfId="0" applyNumberFormat="1" applyFont="1" applyFill="1" applyBorder="1" applyAlignment="1">
      <alignment horizontal="center" wrapText="1"/>
    </xf>
    <xf numFmtId="165" fontId="16894" fillId="16898" borderId="16845" xfId="0" applyNumberFormat="1" applyFont="1" applyFill="1" applyBorder="1" applyAlignment="1">
      <alignment horizontal="center" wrapText="1"/>
    </xf>
    <xf numFmtId="165" fontId="16907" fillId="16911" borderId="16858" xfId="0" applyNumberFormat="1" applyFont="1" applyFill="1" applyBorder="1" applyAlignment="1">
      <alignment horizontal="center"/>
    </xf>
    <xf numFmtId="4" fontId="16908" fillId="16912" borderId="16859" xfId="0" applyNumberFormat="1" applyFont="1" applyFill="1" applyBorder="1"/>
    <xf numFmtId="168" fontId="16909" fillId="16913" borderId="16860" xfId="0" applyNumberFormat="1" applyFont="1" applyFill="1" applyBorder="1"/>
    <xf numFmtId="165" fontId="16910" fillId="16914" borderId="16861" xfId="0" applyNumberFormat="1" applyFont="1" applyFill="1" applyBorder="1"/>
    <xf numFmtId="4" fontId="16911" fillId="16915" borderId="16862" xfId="0" applyNumberFormat="1" applyFont="1" applyFill="1" applyBorder="1"/>
    <xf numFmtId="165" fontId="16912" fillId="16916" borderId="16863" xfId="0" applyNumberFormat="1" applyFont="1" applyFill="1" applyBorder="1"/>
    <xf numFmtId="0" fontId="16913" fillId="16917" borderId="16864" xfId="0" applyFont="1" applyFill="1" applyBorder="1" applyAlignment="1">
      <alignment horizontal="center" wrapText="1"/>
    </xf>
    <xf numFmtId="0" fontId="16914" fillId="16918" borderId="16865" xfId="0" applyFont="1" applyFill="1" applyBorder="1" applyAlignment="1">
      <alignment horizontal="center" wrapText="1"/>
    </xf>
    <xf numFmtId="4" fontId="16915" fillId="16919" borderId="16866" xfId="0" applyNumberFormat="1" applyFont="1" applyFill="1" applyBorder="1" applyAlignment="1">
      <alignment horizontal="center" wrapText="1"/>
    </xf>
    <xf numFmtId="165" fontId="16916" fillId="16920" borderId="16867" xfId="0" applyNumberFormat="1" applyFont="1" applyFill="1" applyBorder="1" applyAlignment="1">
      <alignment horizontal="center" wrapText="1"/>
    </xf>
    <xf numFmtId="4" fontId="16917" fillId="16921" borderId="16868" xfId="0" applyNumberFormat="1" applyFont="1" applyFill="1" applyBorder="1" applyAlignment="1">
      <alignment horizontal="center" wrapText="1"/>
    </xf>
    <xf numFmtId="168" fontId="16918" fillId="16922" borderId="16869" xfId="0" applyNumberFormat="1" applyFont="1" applyFill="1" applyBorder="1" applyAlignment="1">
      <alignment horizontal="center" wrapText="1"/>
    </xf>
    <xf numFmtId="165" fontId="16919" fillId="16923" borderId="16870" xfId="0" applyNumberFormat="1" applyFont="1" applyFill="1" applyBorder="1" applyAlignment="1">
      <alignment horizontal="center" wrapText="1"/>
    </xf>
    <xf numFmtId="4" fontId="16920" fillId="16924" borderId="16871" xfId="0" applyNumberFormat="1" applyFont="1" applyFill="1" applyBorder="1" applyAlignment="1">
      <alignment horizontal="center" wrapText="1"/>
    </xf>
    <xf numFmtId="165" fontId="16921" fillId="16925" borderId="16872" xfId="0" applyNumberFormat="1" applyFont="1" applyFill="1" applyBorder="1" applyAlignment="1">
      <alignment horizontal="center" wrapText="1"/>
    </xf>
    <xf numFmtId="0" fontId="16922" fillId="16926" borderId="16873" xfId="0" applyFont="1" applyFill="1" applyBorder="1" applyAlignment="1">
      <alignment horizontal="center"/>
    </xf>
    <xf numFmtId="165" fontId="16923" fillId="16927" borderId="16874" xfId="0" applyNumberFormat="1" applyFont="1" applyFill="1" applyBorder="1"/>
    <xf numFmtId="4" fontId="16924" fillId="16928" borderId="16875" xfId="0" applyNumberFormat="1" applyFont="1" applyFill="1" applyBorder="1"/>
    <xf numFmtId="165" fontId="16925" fillId="16929" borderId="16876" xfId="0" applyNumberFormat="1" applyFont="1" applyFill="1" applyBorder="1"/>
    <xf numFmtId="4" fontId="16926" fillId="16930" borderId="16877" xfId="0" applyNumberFormat="1" applyFont="1" applyFill="1" applyBorder="1"/>
    <xf numFmtId="168" fontId="16927" fillId="16931" borderId="16878" xfId="0" applyNumberFormat="1" applyFont="1" applyFill="1" applyBorder="1"/>
    <xf numFmtId="165" fontId="16928" fillId="16932" borderId="16879" xfId="0" applyNumberFormat="1" applyFont="1" applyFill="1" applyBorder="1"/>
    <xf numFmtId="4" fontId="16929" fillId="16933" borderId="16880" xfId="0" applyNumberFormat="1" applyFont="1" applyFill="1" applyBorder="1"/>
    <xf numFmtId="165" fontId="16930" fillId="16934" borderId="16881" xfId="0" applyNumberFormat="1" applyFont="1" applyFill="1" applyBorder="1"/>
    <xf numFmtId="0" fontId="16931" fillId="16935" borderId="16882" xfId="0" applyFont="1" applyFill="1" applyBorder="1" applyAlignment="1">
      <alignment horizontal="center"/>
    </xf>
    <xf numFmtId="165" fontId="16932" fillId="16936" borderId="16883" xfId="0" applyNumberFormat="1" applyFont="1" applyFill="1" applyBorder="1"/>
    <xf numFmtId="4" fontId="16933" fillId="16937" borderId="16884" xfId="0" applyNumberFormat="1" applyFont="1" applyFill="1" applyBorder="1"/>
    <xf numFmtId="165" fontId="16934" fillId="16938" borderId="16885" xfId="0" applyNumberFormat="1" applyFont="1" applyFill="1" applyBorder="1"/>
    <xf numFmtId="4" fontId="16935" fillId="16939" borderId="16886" xfId="0" applyNumberFormat="1" applyFont="1" applyFill="1" applyBorder="1"/>
    <xf numFmtId="168" fontId="16936" fillId="16940" borderId="16887" xfId="0" applyNumberFormat="1" applyFont="1" applyFill="1" applyBorder="1"/>
    <xf numFmtId="165" fontId="16937" fillId="16941" borderId="16888" xfId="0" applyNumberFormat="1" applyFont="1" applyFill="1" applyBorder="1"/>
    <xf numFmtId="4" fontId="16938" fillId="16942" borderId="16889" xfId="0" applyNumberFormat="1" applyFont="1" applyFill="1" applyBorder="1"/>
    <xf numFmtId="165" fontId="16939" fillId="16943" borderId="16890" xfId="0" applyNumberFormat="1" applyFont="1" applyFill="1" applyBorder="1"/>
    <xf numFmtId="0" fontId="16940" fillId="16944" borderId="16891" xfId="0" applyFont="1" applyFill="1" applyBorder="1" applyAlignment="1">
      <alignment horizontal="center"/>
    </xf>
    <xf numFmtId="165" fontId="16941" fillId="16945" borderId="16892" xfId="0" applyNumberFormat="1" applyFont="1" applyFill="1" applyBorder="1"/>
    <xf numFmtId="4" fontId="16942" fillId="16946" borderId="16893" xfId="0" applyNumberFormat="1" applyFont="1" applyFill="1" applyBorder="1"/>
    <xf numFmtId="165" fontId="16943" fillId="16947" borderId="16894" xfId="0" applyNumberFormat="1" applyFont="1" applyFill="1" applyBorder="1"/>
    <xf numFmtId="4" fontId="16944" fillId="16948" borderId="16895" xfId="0" applyNumberFormat="1" applyFont="1" applyFill="1" applyBorder="1"/>
    <xf numFmtId="168" fontId="16945" fillId="16949" borderId="16896" xfId="0" applyNumberFormat="1" applyFont="1" applyFill="1" applyBorder="1"/>
    <xf numFmtId="165" fontId="16946" fillId="16950" borderId="16897" xfId="0" applyNumberFormat="1" applyFont="1" applyFill="1" applyBorder="1"/>
    <xf numFmtId="4" fontId="16947" fillId="16951" borderId="16898" xfId="0" applyNumberFormat="1" applyFont="1" applyFill="1" applyBorder="1"/>
    <xf numFmtId="165" fontId="16948" fillId="16952" borderId="16899" xfId="0" applyNumberFormat="1" applyFont="1" applyFill="1" applyBorder="1"/>
    <xf numFmtId="0" fontId="16949" fillId="16953" borderId="16900" xfId="0" applyFont="1" applyFill="1" applyBorder="1" applyAlignment="1">
      <alignment horizontal="center"/>
    </xf>
    <xf numFmtId="165" fontId="16950" fillId="16954" borderId="16901" xfId="0" applyNumberFormat="1" applyFont="1" applyFill="1" applyBorder="1"/>
    <xf numFmtId="4" fontId="16951" fillId="16955" borderId="16902" xfId="0" applyNumberFormat="1" applyFont="1" applyFill="1" applyBorder="1"/>
    <xf numFmtId="165" fontId="16952" fillId="16956" borderId="16903" xfId="0" applyNumberFormat="1" applyFont="1" applyFill="1" applyBorder="1"/>
    <xf numFmtId="4" fontId="16953" fillId="16957" borderId="16904" xfId="0" applyNumberFormat="1" applyFont="1" applyFill="1" applyBorder="1"/>
    <xf numFmtId="168" fontId="16954" fillId="16958" borderId="16905" xfId="0" applyNumberFormat="1" applyFont="1" applyFill="1" applyBorder="1"/>
    <xf numFmtId="165" fontId="16955" fillId="16959" borderId="16906" xfId="0" applyNumberFormat="1" applyFont="1" applyFill="1" applyBorder="1"/>
    <xf numFmtId="4" fontId="16956" fillId="16960" borderId="16907" xfId="0" applyNumberFormat="1" applyFont="1" applyFill="1" applyBorder="1"/>
    <xf numFmtId="165" fontId="16957" fillId="16961" borderId="16908" xfId="0" applyNumberFormat="1" applyFont="1" applyFill="1" applyBorder="1"/>
    <xf numFmtId="0" fontId="16958" fillId="16962" borderId="16909" xfId="0" applyFont="1" applyFill="1" applyBorder="1" applyAlignment="1">
      <alignment horizontal="center"/>
    </xf>
    <xf numFmtId="165" fontId="16959" fillId="16963" borderId="16910" xfId="0" applyNumberFormat="1" applyFont="1" applyFill="1" applyBorder="1"/>
    <xf numFmtId="4" fontId="16960" fillId="16964" borderId="16911" xfId="0" applyNumberFormat="1" applyFont="1" applyFill="1" applyBorder="1"/>
    <xf numFmtId="165" fontId="16961" fillId="16965" borderId="16912" xfId="0" applyNumberFormat="1" applyFont="1" applyFill="1" applyBorder="1"/>
    <xf numFmtId="4" fontId="16962" fillId="16966" borderId="16913" xfId="0" applyNumberFormat="1" applyFont="1" applyFill="1" applyBorder="1"/>
    <xf numFmtId="168" fontId="16963" fillId="16967" borderId="16914" xfId="0" applyNumberFormat="1" applyFont="1" applyFill="1" applyBorder="1"/>
    <xf numFmtId="165" fontId="16964" fillId="16968" borderId="16915" xfId="0" applyNumberFormat="1" applyFont="1" applyFill="1" applyBorder="1"/>
    <xf numFmtId="4" fontId="16965" fillId="16969" borderId="16916" xfId="0" applyNumberFormat="1" applyFont="1" applyFill="1" applyBorder="1"/>
    <xf numFmtId="165" fontId="16966" fillId="16970" borderId="16917" xfId="0" applyNumberFormat="1" applyFont="1" applyFill="1" applyBorder="1"/>
    <xf numFmtId="0" fontId="16967" fillId="16971" borderId="16918" xfId="0" applyFont="1" applyFill="1" applyBorder="1" applyAlignment="1">
      <alignment horizontal="center"/>
    </xf>
    <xf numFmtId="165" fontId="16968" fillId="16972" borderId="16919" xfId="0" applyNumberFormat="1" applyFont="1" applyFill="1" applyBorder="1"/>
    <xf numFmtId="4" fontId="16969" fillId="16973" borderId="16920" xfId="0" applyNumberFormat="1" applyFont="1" applyFill="1" applyBorder="1"/>
    <xf numFmtId="165" fontId="16970" fillId="16974" borderId="16921" xfId="0" applyNumberFormat="1" applyFont="1" applyFill="1" applyBorder="1"/>
    <xf numFmtId="4" fontId="16971" fillId="16975" borderId="16922" xfId="0" applyNumberFormat="1" applyFont="1" applyFill="1" applyBorder="1"/>
    <xf numFmtId="168" fontId="16972" fillId="16976" borderId="16923" xfId="0" applyNumberFormat="1" applyFont="1" applyFill="1" applyBorder="1"/>
    <xf numFmtId="165" fontId="16973" fillId="16977" borderId="16924" xfId="0" applyNumberFormat="1" applyFont="1" applyFill="1" applyBorder="1"/>
    <xf numFmtId="4" fontId="16974" fillId="16978" borderId="16925" xfId="0" applyNumberFormat="1" applyFont="1" applyFill="1" applyBorder="1"/>
    <xf numFmtId="165" fontId="16975" fillId="16979" borderId="16926" xfId="0" applyNumberFormat="1" applyFont="1" applyFill="1" applyBorder="1"/>
    <xf numFmtId="0" fontId="16976" fillId="16980" borderId="16927" xfId="0" applyFont="1" applyFill="1" applyBorder="1" applyAlignment="1">
      <alignment horizontal="center"/>
    </xf>
    <xf numFmtId="165" fontId="16977" fillId="16981" borderId="16928" xfId="0" applyNumberFormat="1" applyFont="1" applyFill="1" applyBorder="1"/>
    <xf numFmtId="4" fontId="16978" fillId="16982" borderId="16929" xfId="0" applyNumberFormat="1" applyFont="1" applyFill="1" applyBorder="1"/>
    <xf numFmtId="165" fontId="16979" fillId="16983" borderId="16930" xfId="0" applyNumberFormat="1" applyFont="1" applyFill="1" applyBorder="1"/>
    <xf numFmtId="4" fontId="16980" fillId="16984" borderId="16931" xfId="0" applyNumberFormat="1" applyFont="1" applyFill="1" applyBorder="1"/>
    <xf numFmtId="168" fontId="16981" fillId="16985" borderId="16932" xfId="0" applyNumberFormat="1" applyFont="1" applyFill="1" applyBorder="1"/>
    <xf numFmtId="165" fontId="16982" fillId="16986" borderId="16933" xfId="0" applyNumberFormat="1" applyFont="1" applyFill="1" applyBorder="1"/>
    <xf numFmtId="4" fontId="16983" fillId="16987" borderId="16934" xfId="0" applyNumberFormat="1" applyFont="1" applyFill="1" applyBorder="1"/>
    <xf numFmtId="165" fontId="16984" fillId="16988" borderId="16935" xfId="0" applyNumberFormat="1" applyFont="1" applyFill="1" applyBorder="1"/>
    <xf numFmtId="0" fontId="16985" fillId="16989" borderId="16936" xfId="0" applyFont="1" applyFill="1" applyBorder="1" applyAlignment="1">
      <alignment horizontal="center"/>
    </xf>
    <xf numFmtId="165" fontId="16986" fillId="16990" borderId="16937" xfId="0" applyNumberFormat="1" applyFont="1" applyFill="1" applyBorder="1"/>
    <xf numFmtId="4" fontId="16987" fillId="16991" borderId="16938" xfId="0" applyNumberFormat="1" applyFont="1" applyFill="1" applyBorder="1"/>
    <xf numFmtId="165" fontId="16988" fillId="16992" borderId="16939" xfId="0" applyNumberFormat="1" applyFont="1" applyFill="1" applyBorder="1"/>
    <xf numFmtId="4" fontId="16989" fillId="16993" borderId="16940" xfId="0" applyNumberFormat="1" applyFont="1" applyFill="1" applyBorder="1"/>
    <xf numFmtId="168" fontId="16990" fillId="16994" borderId="16941" xfId="0" applyNumberFormat="1" applyFont="1" applyFill="1" applyBorder="1"/>
    <xf numFmtId="165" fontId="16991" fillId="16995" borderId="16942" xfId="0" applyNumberFormat="1" applyFont="1" applyFill="1" applyBorder="1"/>
    <xf numFmtId="4" fontId="16992" fillId="16996" borderId="16943" xfId="0" applyNumberFormat="1" applyFont="1" applyFill="1" applyBorder="1"/>
    <xf numFmtId="165" fontId="16993" fillId="16997" borderId="16944" xfId="0" applyNumberFormat="1" applyFont="1" applyFill="1" applyBorder="1"/>
    <xf numFmtId="0" fontId="16994" fillId="16998" borderId="16945" xfId="0" applyFont="1" applyFill="1" applyBorder="1" applyAlignment="1">
      <alignment horizontal="center"/>
    </xf>
    <xf numFmtId="4" fontId="16995" fillId="16999" borderId="16946" xfId="0" applyNumberFormat="1" applyFont="1" applyFill="1" applyBorder="1"/>
    <xf numFmtId="4" fontId="16996" fillId="17000" borderId="16947" xfId="0" applyNumberFormat="1" applyFont="1" applyFill="1" applyBorder="1"/>
    <xf numFmtId="165" fontId="16997" fillId="17001" borderId="16948" xfId="0" applyNumberFormat="1" applyFont="1" applyFill="1" applyBorder="1"/>
    <xf numFmtId="4" fontId="16998" fillId="17002" borderId="16949" xfId="0" applyNumberFormat="1" applyFont="1" applyFill="1" applyBorder="1"/>
    <xf numFmtId="168" fontId="16999" fillId="17003" borderId="16950" xfId="0" applyNumberFormat="1" applyFont="1" applyFill="1" applyBorder="1"/>
    <xf numFmtId="165" fontId="17000" fillId="17004" borderId="16951" xfId="0" applyNumberFormat="1" applyFont="1" applyFill="1" applyBorder="1"/>
    <xf numFmtId="4" fontId="17001" fillId="17005" borderId="16952" xfId="0" applyNumberFormat="1" applyFont="1" applyFill="1" applyBorder="1"/>
    <xf numFmtId="165" fontId="17002" fillId="17006" borderId="16953" xfId="0" applyNumberFormat="1" applyFont="1" applyFill="1" applyBorder="1"/>
    <xf numFmtId="0" fontId="17003" fillId="17007" borderId="16954" xfId="0" applyFont="1" applyFill="1" applyBorder="1" applyAlignment="1">
      <alignment horizontal="center"/>
    </xf>
    <xf numFmtId="0" fontId="17004" fillId="17008" borderId="16955" xfId="0" applyFont="1" applyFill="1" applyBorder="1"/>
    <xf numFmtId="4" fontId="17005" fillId="17009" borderId="16956" xfId="0" applyNumberFormat="1" applyFont="1" applyFill="1" applyBorder="1"/>
    <xf numFmtId="165" fontId="17006" fillId="17010" borderId="16957" xfId="0" applyNumberFormat="1" applyFont="1" applyFill="1" applyBorder="1"/>
    <xf numFmtId="4" fontId="17007" fillId="17011" borderId="16958" xfId="0" applyNumberFormat="1" applyFont="1" applyFill="1" applyBorder="1"/>
    <xf numFmtId="168" fontId="17008" fillId="17012" borderId="16959" xfId="0" applyNumberFormat="1" applyFont="1" applyFill="1" applyBorder="1"/>
    <xf numFmtId="165" fontId="17009" fillId="17013" borderId="16960" xfId="0" applyNumberFormat="1" applyFont="1" applyFill="1" applyBorder="1"/>
    <xf numFmtId="4" fontId="17010" fillId="17014" borderId="16961" xfId="0" applyNumberFormat="1" applyFont="1" applyFill="1" applyBorder="1"/>
    <xf numFmtId="165" fontId="17011" fillId="17015" borderId="16962" xfId="0" applyNumberFormat="1" applyFont="1" applyFill="1" applyBorder="1"/>
    <xf numFmtId="0" fontId="17012" fillId="17016" borderId="16963" xfId="0" applyFont="1" applyFill="1" applyBorder="1" applyAlignment="1">
      <alignment horizontal="center"/>
    </xf>
    <xf numFmtId="0" fontId="17013" fillId="17017" borderId="16964" xfId="0" applyFont="1" applyFill="1" applyBorder="1"/>
    <xf numFmtId="4" fontId="17014" fillId="17018" borderId="16965" xfId="0" applyNumberFormat="1" applyFont="1" applyFill="1" applyBorder="1"/>
    <xf numFmtId="165" fontId="17015" fillId="17019" borderId="16966" xfId="0" applyNumberFormat="1" applyFont="1" applyFill="1" applyBorder="1"/>
    <xf numFmtId="4" fontId="17016" fillId="17020" borderId="16967" xfId="0" applyNumberFormat="1" applyFont="1" applyFill="1" applyBorder="1"/>
    <xf numFmtId="168" fontId="17017" fillId="17021" borderId="16968" xfId="0" applyNumberFormat="1" applyFont="1" applyFill="1" applyBorder="1"/>
    <xf numFmtId="165" fontId="17018" fillId="17022" borderId="16969" xfId="0" applyNumberFormat="1" applyFont="1" applyFill="1" applyBorder="1"/>
    <xf numFmtId="4" fontId="17019" fillId="17023" borderId="16970" xfId="0" applyNumberFormat="1" applyFont="1" applyFill="1" applyBorder="1"/>
    <xf numFmtId="165" fontId="17020" fillId="17024" borderId="16971" xfId="0" applyNumberFormat="1" applyFont="1" applyFill="1" applyBorder="1"/>
    <xf numFmtId="0" fontId="17030" fillId="17034" borderId="16981" xfId="0" applyFont="1" applyFill="1" applyBorder="1" applyAlignment="1">
      <alignment horizontal="center" wrapText="1"/>
    </xf>
    <xf numFmtId="0" fontId="17031" fillId="17035" borderId="16982" xfId="0" applyFont="1" applyFill="1" applyBorder="1" applyAlignment="1">
      <alignment horizontal="center" wrapText="1"/>
    </xf>
    <xf numFmtId="4" fontId="17032" fillId="17036" borderId="16983" xfId="0" applyNumberFormat="1" applyFont="1" applyFill="1" applyBorder="1" applyAlignment="1">
      <alignment horizontal="center" wrapText="1"/>
    </xf>
    <xf numFmtId="165" fontId="17033" fillId="17037" borderId="16984" xfId="0" applyNumberFormat="1" applyFont="1" applyFill="1" applyBorder="1" applyAlignment="1">
      <alignment horizontal="center" wrapText="1"/>
    </xf>
    <xf numFmtId="4" fontId="17034" fillId="17038" borderId="16985" xfId="0" applyNumberFormat="1" applyFont="1" applyFill="1" applyBorder="1" applyAlignment="1">
      <alignment horizontal="center" wrapText="1"/>
    </xf>
    <xf numFmtId="168" fontId="17035" fillId="17039" borderId="16986" xfId="0" applyNumberFormat="1" applyFont="1" applyFill="1" applyBorder="1" applyAlignment="1">
      <alignment horizontal="center" wrapText="1"/>
    </xf>
    <xf numFmtId="165" fontId="17036" fillId="17040" borderId="16987" xfId="0" applyNumberFormat="1" applyFont="1" applyFill="1" applyBorder="1" applyAlignment="1">
      <alignment horizontal="center" wrapText="1"/>
    </xf>
    <xf numFmtId="4" fontId="17037" fillId="17041" borderId="16988" xfId="0" applyNumberFormat="1" applyFont="1" applyFill="1" applyBorder="1" applyAlignment="1">
      <alignment horizontal="center" wrapText="1"/>
    </xf>
    <xf numFmtId="165" fontId="17038" fillId="17042" borderId="16989" xfId="0" applyNumberFormat="1" applyFont="1" applyFill="1" applyBorder="1" applyAlignment="1">
      <alignment horizontal="center" wrapText="1"/>
    </xf>
    <xf numFmtId="0" fontId="17039" fillId="17043" borderId="16990" xfId="0" applyFont="1" applyFill="1" applyBorder="1" applyAlignment="1">
      <alignment horizontal="center"/>
    </xf>
    <xf numFmtId="0" fontId="17040" fillId="17044" borderId="16991" xfId="0" applyFont="1" applyFill="1" applyBorder="1"/>
    <xf numFmtId="4" fontId="17041" fillId="17045" borderId="16992" xfId="0" applyNumberFormat="1" applyFont="1" applyFill="1" applyBorder="1"/>
    <xf numFmtId="165" fontId="17042" fillId="17046" borderId="16993" xfId="0" applyNumberFormat="1" applyFont="1" applyFill="1" applyBorder="1"/>
    <xf numFmtId="4" fontId="17043" fillId="17047" borderId="16994" xfId="0" applyNumberFormat="1" applyFont="1" applyFill="1" applyBorder="1"/>
    <xf numFmtId="168" fontId="17044" fillId="17048" borderId="16995" xfId="0" applyNumberFormat="1" applyFont="1" applyFill="1" applyBorder="1"/>
    <xf numFmtId="165" fontId="17045" fillId="17049" borderId="16996" xfId="0" applyNumberFormat="1" applyFont="1" applyFill="1" applyBorder="1"/>
    <xf numFmtId="4" fontId="17046" fillId="17050" borderId="16997" xfId="0" applyNumberFormat="1" applyFont="1" applyFill="1" applyBorder="1"/>
    <xf numFmtId="165" fontId="17047" fillId="17051" borderId="16998" xfId="0" applyNumberFormat="1" applyFont="1" applyFill="1" applyBorder="1"/>
    <xf numFmtId="165" fontId="17056" fillId="17060" borderId="17007" xfId="0" applyNumberFormat="1" applyFont="1" applyFill="1" applyBorder="1"/>
    <xf numFmtId="0" fontId="17057" fillId="17061" borderId="17008" xfId="0" applyFont="1" applyFill="1" applyBorder="1" applyAlignment="1">
      <alignment horizontal="center" wrapText="1"/>
    </xf>
    <xf numFmtId="0" fontId="17058" fillId="17062" borderId="17009" xfId="0" applyFont="1" applyFill="1" applyBorder="1" applyAlignment="1">
      <alignment horizontal="center" wrapText="1"/>
    </xf>
    <xf numFmtId="4" fontId="17059" fillId="17063" borderId="17010" xfId="0" applyNumberFormat="1" applyFont="1" applyFill="1" applyBorder="1" applyAlignment="1">
      <alignment horizontal="center" wrapText="1"/>
    </xf>
    <xf numFmtId="165" fontId="17060" fillId="17064" borderId="17011" xfId="0" applyNumberFormat="1" applyFont="1" applyFill="1" applyBorder="1" applyAlignment="1">
      <alignment horizontal="center" wrapText="1"/>
    </xf>
    <xf numFmtId="4" fontId="17061" fillId="17065" borderId="17012" xfId="0" applyNumberFormat="1" applyFont="1" applyFill="1" applyBorder="1" applyAlignment="1">
      <alignment horizontal="center" wrapText="1"/>
    </xf>
    <xf numFmtId="168" fontId="17062" fillId="17066" borderId="17013" xfId="0" applyNumberFormat="1" applyFont="1" applyFill="1" applyBorder="1" applyAlignment="1">
      <alignment horizontal="center" wrapText="1"/>
    </xf>
    <xf numFmtId="165" fontId="17063" fillId="17067" borderId="17014" xfId="0" applyNumberFormat="1" applyFont="1" applyFill="1" applyBorder="1" applyAlignment="1">
      <alignment horizontal="center" wrapText="1"/>
    </xf>
    <xf numFmtId="4" fontId="17064" fillId="17068" borderId="17015" xfId="0" applyNumberFormat="1" applyFont="1" applyFill="1" applyBorder="1" applyAlignment="1">
      <alignment horizontal="center" wrapText="1"/>
    </xf>
    <xf numFmtId="165" fontId="17065" fillId="17069" borderId="17016" xfId="0" applyNumberFormat="1" applyFont="1" applyFill="1" applyBorder="1"/>
    <xf numFmtId="0" fontId="17066" fillId="17070" borderId="17017" xfId="0" applyFont="1" applyFill="1" applyBorder="1" applyAlignment="1">
      <alignment horizontal="center"/>
    </xf>
    <xf numFmtId="0" fontId="17067" fillId="17071" borderId="17018" xfId="0" applyFont="1" applyFill="1" applyBorder="1"/>
    <xf numFmtId="4" fontId="17068" fillId="17072" borderId="17019" xfId="0" applyNumberFormat="1" applyFont="1" applyFill="1" applyBorder="1"/>
    <xf numFmtId="165" fontId="17069" fillId="17073" borderId="17020" xfId="0" applyNumberFormat="1" applyFont="1" applyFill="1" applyBorder="1"/>
    <xf numFmtId="4" fontId="17070" fillId="17074" borderId="17021" xfId="0" applyNumberFormat="1" applyFont="1" applyFill="1" applyBorder="1"/>
    <xf numFmtId="168" fontId="17071" fillId="17075" borderId="17022" xfId="0" applyNumberFormat="1" applyFont="1" applyFill="1" applyBorder="1"/>
    <xf numFmtId="165" fontId="17072" fillId="17076" borderId="17023" xfId="0" applyNumberFormat="1" applyFont="1" applyFill="1" applyBorder="1"/>
    <xf numFmtId="4" fontId="17073" fillId="17077" borderId="17024" xfId="0" applyNumberFormat="1" applyFont="1" applyFill="1" applyBorder="1"/>
    <xf numFmtId="165" fontId="17074" fillId="17078" borderId="17025" xfId="0" applyNumberFormat="1" applyFont="1" applyFill="1" applyBorder="1"/>
    <xf numFmtId="0" fontId="17075" fillId="17079" borderId="17026" xfId="0" applyFont="1" applyFill="1" applyBorder="1" applyAlignment="1">
      <alignment horizontal="center"/>
    </xf>
    <xf numFmtId="0" fontId="17076" fillId="17080" borderId="17027" xfId="0" applyFont="1" applyFill="1" applyBorder="1"/>
    <xf numFmtId="4" fontId="17077" fillId="17081" borderId="17028" xfId="0" applyNumberFormat="1" applyFont="1" applyFill="1" applyBorder="1"/>
    <xf numFmtId="165" fontId="17078" fillId="17082" borderId="17029" xfId="0" applyNumberFormat="1" applyFont="1" applyFill="1" applyBorder="1"/>
    <xf numFmtId="4" fontId="17079" fillId="17083" borderId="17030" xfId="0" applyNumberFormat="1" applyFont="1" applyFill="1" applyBorder="1"/>
    <xf numFmtId="168" fontId="17080" fillId="17084" borderId="17031" xfId="0" applyNumberFormat="1" applyFont="1" applyFill="1" applyBorder="1"/>
    <xf numFmtId="165" fontId="17081" fillId="17085" borderId="17032" xfId="0" applyNumberFormat="1" applyFont="1" applyFill="1" applyBorder="1"/>
    <xf numFmtId="4" fontId="17082" fillId="17086" borderId="17033" xfId="0" applyNumberFormat="1" applyFont="1" applyFill="1" applyBorder="1"/>
    <xf numFmtId="165" fontId="17083" fillId="17087" borderId="17034" xfId="0" applyNumberFormat="1" applyFont="1" applyFill="1" applyBorder="1"/>
    <xf numFmtId="0" fontId="17084" fillId="17088" borderId="17035" xfId="0" applyFont="1" applyFill="1" applyBorder="1" applyAlignment="1">
      <alignment horizontal="center"/>
    </xf>
    <xf numFmtId="0" fontId="17085" fillId="17089" borderId="17036" xfId="0" applyFont="1" applyFill="1" applyBorder="1"/>
    <xf numFmtId="4" fontId="17086" fillId="17090" borderId="17037" xfId="0" applyNumberFormat="1" applyFont="1" applyFill="1" applyBorder="1"/>
    <xf numFmtId="165" fontId="17087" fillId="17091" borderId="17038" xfId="0" applyNumberFormat="1" applyFont="1" applyFill="1" applyBorder="1"/>
    <xf numFmtId="4" fontId="17088" fillId="17092" borderId="17039" xfId="0" applyNumberFormat="1" applyFont="1" applyFill="1" applyBorder="1"/>
    <xf numFmtId="168" fontId="17089" fillId="17093" borderId="17040" xfId="0" applyNumberFormat="1" applyFont="1" applyFill="1" applyBorder="1"/>
    <xf numFmtId="165" fontId="17090" fillId="17094" borderId="17041" xfId="0" applyNumberFormat="1" applyFont="1" applyFill="1" applyBorder="1"/>
    <xf numFmtId="4" fontId="17091" fillId="17095" borderId="17042" xfId="0" applyNumberFormat="1" applyFont="1" applyFill="1" applyBorder="1"/>
    <xf numFmtId="165" fontId="17092" fillId="17096" borderId="17043" xfId="0" applyNumberFormat="1" applyFont="1" applyFill="1" applyBorder="1"/>
    <xf numFmtId="0" fontId="17093" fillId="17097" borderId="17044" xfId="0" applyFont="1" applyFill="1" applyBorder="1" applyAlignment="1">
      <alignment horizontal="center"/>
    </xf>
    <xf numFmtId="0" fontId="17094" fillId="17098" borderId="17045" xfId="0" applyFont="1" applyFill="1" applyBorder="1"/>
    <xf numFmtId="4" fontId="17095" fillId="17099" borderId="17046" xfId="0" applyNumberFormat="1" applyFont="1" applyFill="1" applyBorder="1"/>
    <xf numFmtId="165" fontId="17096" fillId="17100" borderId="17047" xfId="0" applyNumberFormat="1" applyFont="1" applyFill="1" applyBorder="1"/>
    <xf numFmtId="4" fontId="17097" fillId="17101" borderId="17048" xfId="0" applyNumberFormat="1" applyFont="1" applyFill="1" applyBorder="1"/>
    <xf numFmtId="168" fontId="17098" fillId="17102" borderId="17049" xfId="0" applyNumberFormat="1" applyFont="1" applyFill="1" applyBorder="1"/>
    <xf numFmtId="165" fontId="17099" fillId="17103" borderId="17050" xfId="0" applyNumberFormat="1" applyFont="1" applyFill="1" applyBorder="1"/>
    <xf numFmtId="4" fontId="17100" fillId="17104" borderId="17051" xfId="0" applyNumberFormat="1" applyFont="1" applyFill="1" applyBorder="1"/>
    <xf numFmtId="165" fontId="17101" fillId="17105" borderId="17052" xfId="0" applyNumberFormat="1" applyFont="1" applyFill="1" applyBorder="1"/>
    <xf numFmtId="0" fontId="17102" fillId="17106" borderId="17053" xfId="0" applyFont="1" applyFill="1" applyBorder="1" applyAlignment="1">
      <alignment horizontal="center"/>
    </xf>
    <xf numFmtId="0" fontId="17103" fillId="17107" borderId="17054" xfId="0" applyFont="1" applyFill="1" applyBorder="1"/>
    <xf numFmtId="4" fontId="17104" fillId="17108" borderId="17055" xfId="0" applyNumberFormat="1" applyFont="1" applyFill="1" applyBorder="1"/>
    <xf numFmtId="165" fontId="17105" fillId="17109" borderId="17056" xfId="0" applyNumberFormat="1" applyFont="1" applyFill="1" applyBorder="1"/>
    <xf numFmtId="4" fontId="17106" fillId="17110" borderId="17057" xfId="0" applyNumberFormat="1" applyFont="1" applyFill="1" applyBorder="1"/>
    <xf numFmtId="168" fontId="17107" fillId="17111" borderId="17058" xfId="0" applyNumberFormat="1" applyFont="1" applyFill="1" applyBorder="1"/>
    <xf numFmtId="165" fontId="17108" fillId="17112" borderId="17059" xfId="0" applyNumberFormat="1" applyFont="1" applyFill="1" applyBorder="1"/>
    <xf numFmtId="4" fontId="17109" fillId="17113" borderId="17060" xfId="0" applyNumberFormat="1" applyFont="1" applyFill="1" applyBorder="1"/>
    <xf numFmtId="165" fontId="17110" fillId="17114" borderId="17061" xfId="0" applyNumberFormat="1" applyFont="1" applyFill="1" applyBorder="1"/>
    <xf numFmtId="0" fontId="17111" fillId="17115" borderId="17062" xfId="0" applyFont="1" applyFill="1" applyBorder="1" applyAlignment="1">
      <alignment horizontal="center"/>
    </xf>
    <xf numFmtId="0" fontId="17112" fillId="17116" borderId="17063" xfId="0" applyFont="1" applyFill="1" applyBorder="1"/>
    <xf numFmtId="4" fontId="17113" fillId="17117" borderId="17064" xfId="0" applyNumberFormat="1" applyFont="1" applyFill="1" applyBorder="1"/>
    <xf numFmtId="165" fontId="17114" fillId="17118" borderId="17065" xfId="0" applyNumberFormat="1" applyFont="1" applyFill="1" applyBorder="1"/>
    <xf numFmtId="4" fontId="17115" fillId="17119" borderId="17066" xfId="0" applyNumberFormat="1" applyFont="1" applyFill="1" applyBorder="1"/>
    <xf numFmtId="165" fontId="17116" fillId="17120" borderId="17067" xfId="0" applyNumberFormat="1" applyFont="1" applyFill="1" applyBorder="1"/>
    <xf numFmtId="4" fontId="17117" fillId="17121" borderId="17068" xfId="0" applyNumberFormat="1" applyFont="1" applyFill="1" applyBorder="1"/>
    <xf numFmtId="165" fontId="17118" fillId="17122" borderId="17069" xfId="0" applyNumberFormat="1" applyFont="1" applyFill="1" applyBorder="1"/>
    <xf numFmtId="165" fontId="17119" fillId="17123" borderId="17070" xfId="0" applyNumberFormat="1" applyFont="1" applyFill="1" applyBorder="1"/>
    <xf numFmtId="0" fontId="17121" fillId="17125" borderId="17072" xfId="0" applyFont="1" applyFill="1" applyBorder="1" applyAlignment="1">
      <alignment horizontal="center" wrapText="1"/>
    </xf>
    <xf numFmtId="0" fontId="17122" fillId="17126" borderId="17073" xfId="0" applyFont="1" applyFill="1" applyBorder="1" applyAlignment="1">
      <alignment horizontal="center" wrapText="1"/>
    </xf>
    <xf numFmtId="165" fontId="17123" fillId="17127" borderId="17074" xfId="0" applyNumberFormat="1" applyFont="1" applyFill="1" applyBorder="1" applyAlignment="1">
      <alignment horizontal="center" wrapText="1"/>
    </xf>
    <xf numFmtId="4" fontId="17124" fillId="17128" borderId="17075" xfId="0" applyNumberFormat="1" applyFont="1" applyFill="1" applyBorder="1" applyAlignment="1">
      <alignment horizontal="center" wrapText="1"/>
    </xf>
    <xf numFmtId="168" fontId="17125" fillId="17129" borderId="17076" xfId="0" applyNumberFormat="1" applyFont="1" applyFill="1" applyBorder="1" applyAlignment="1">
      <alignment horizontal="center" wrapText="1"/>
    </xf>
    <xf numFmtId="165" fontId="17126" fillId="17130" borderId="17077" xfId="0" applyNumberFormat="1" applyFont="1" applyFill="1" applyBorder="1" applyAlignment="1">
      <alignment horizontal="center" wrapText="1"/>
    </xf>
    <xf numFmtId="165" fontId="17127" fillId="17131" borderId="17078" xfId="0" applyNumberFormat="1" applyFont="1" applyFill="1" applyBorder="1" applyAlignment="1">
      <alignment horizontal="center" wrapText="1"/>
    </xf>
    <xf numFmtId="4" fontId="17128" fillId="17132" borderId="17079" xfId="0" applyNumberFormat="1" applyFont="1" applyFill="1" applyBorder="1" applyAlignment="1">
      <alignment horizontal="center" wrapText="1"/>
    </xf>
    <xf numFmtId="0" fontId="17129" fillId="17133" borderId="17080" xfId="0" applyFont="1" applyFill="1" applyBorder="1" applyAlignment="1">
      <alignment horizontal="center"/>
    </xf>
    <xf numFmtId="0" fontId="17130" fillId="17134" borderId="17081" xfId="0" applyFont="1" applyFill="1" applyBorder="1"/>
    <xf numFmtId="165" fontId="17131" fillId="17135" borderId="17082" xfId="0" applyNumberFormat="1" applyFont="1" applyFill="1" applyBorder="1"/>
    <xf numFmtId="4" fontId="17132" fillId="17136" borderId="17083" xfId="0" applyNumberFormat="1" applyFont="1" applyFill="1" applyBorder="1"/>
    <xf numFmtId="168" fontId="17133" fillId="17137" borderId="17084" xfId="0" applyNumberFormat="1" applyFont="1" applyFill="1" applyBorder="1"/>
    <xf numFmtId="165" fontId="17134" fillId="17138" borderId="17085" xfId="0" applyNumberFormat="1" applyFont="1" applyFill="1" applyBorder="1"/>
    <xf numFmtId="165" fontId="17135" fillId="17139" borderId="17086" xfId="0" applyNumberFormat="1" applyFont="1" applyFill="1" applyBorder="1"/>
    <xf numFmtId="4" fontId="17136" fillId="17140" borderId="17087" xfId="0" applyNumberFormat="1" applyFont="1" applyFill="1" applyBorder="1"/>
    <xf numFmtId="0" fontId="17137" fillId="17141" borderId="17088" xfId="0" applyFont="1" applyFill="1" applyBorder="1" applyAlignment="1">
      <alignment horizontal="center"/>
    </xf>
    <xf numFmtId="0" fontId="17138" fillId="17142" borderId="17089" xfId="0" applyFont="1" applyFill="1" applyBorder="1"/>
    <xf numFmtId="165" fontId="17139" fillId="17143" borderId="17090" xfId="0" applyNumberFormat="1" applyFont="1" applyFill="1" applyBorder="1"/>
    <xf numFmtId="4" fontId="17140" fillId="17144" borderId="17091" xfId="0" applyNumberFormat="1" applyFont="1" applyFill="1" applyBorder="1"/>
    <xf numFmtId="168" fontId="17141" fillId="17145" borderId="17092" xfId="0" applyNumberFormat="1" applyFont="1" applyFill="1" applyBorder="1"/>
    <xf numFmtId="165" fontId="17142" fillId="17146" borderId="17093" xfId="0" applyNumberFormat="1" applyFont="1" applyFill="1" applyBorder="1"/>
    <xf numFmtId="165" fontId="17143" fillId="17147" borderId="17094" xfId="0" applyNumberFormat="1" applyFont="1" applyFill="1" applyBorder="1"/>
    <xf numFmtId="4" fontId="17144" fillId="17148" borderId="17095" xfId="0" applyNumberFormat="1" applyFont="1" applyFill="1" applyBorder="1"/>
    <xf numFmtId="0" fontId="17145" fillId="17149" borderId="17096" xfId="0" applyFont="1" applyFill="1" applyBorder="1" applyAlignment="1">
      <alignment horizontal="center"/>
    </xf>
    <xf numFmtId="0" fontId="17146" fillId="17150" borderId="17097" xfId="0" applyFont="1" applyFill="1" applyBorder="1"/>
    <xf numFmtId="165" fontId="17147" fillId="17151" borderId="17098" xfId="0" applyNumberFormat="1" applyFont="1" applyFill="1" applyBorder="1"/>
    <xf numFmtId="4" fontId="17148" fillId="17152" borderId="17099" xfId="0" applyNumberFormat="1" applyFont="1" applyFill="1" applyBorder="1"/>
    <xf numFmtId="168" fontId="17149" fillId="17153" borderId="17100" xfId="0" applyNumberFormat="1" applyFont="1" applyFill="1" applyBorder="1"/>
    <xf numFmtId="165" fontId="17150" fillId="17154" borderId="17101" xfId="0" applyNumberFormat="1" applyFont="1" applyFill="1" applyBorder="1"/>
    <xf numFmtId="165" fontId="17151" fillId="17155" borderId="17102" xfId="0" applyNumberFormat="1" applyFont="1" applyFill="1" applyBorder="1"/>
    <xf numFmtId="4" fontId="17152" fillId="17156" borderId="17103" xfId="0" applyNumberFormat="1" applyFont="1" applyFill="1" applyBorder="1"/>
    <xf numFmtId="0" fontId="17153" fillId="17157" borderId="17104" xfId="0" applyFont="1" applyFill="1" applyBorder="1" applyAlignment="1">
      <alignment horizontal="center"/>
    </xf>
    <xf numFmtId="0" fontId="17154" fillId="17158" borderId="17105" xfId="0" applyFont="1" applyFill="1" applyBorder="1"/>
    <xf numFmtId="165" fontId="17155" fillId="17159" borderId="17106" xfId="0" applyNumberFormat="1" applyFont="1" applyFill="1" applyBorder="1"/>
    <xf numFmtId="4" fontId="17156" fillId="17160" borderId="17107" xfId="0" applyNumberFormat="1" applyFont="1" applyFill="1" applyBorder="1"/>
    <xf numFmtId="168" fontId="17157" fillId="17161" borderId="17108" xfId="0" applyNumberFormat="1" applyFont="1" applyFill="1" applyBorder="1"/>
    <xf numFmtId="165" fontId="17158" fillId="17162" borderId="17109" xfId="0" applyNumberFormat="1" applyFont="1" applyFill="1" applyBorder="1"/>
    <xf numFmtId="165" fontId="17159" fillId="17163" borderId="17110" xfId="0" applyNumberFormat="1" applyFont="1" applyFill="1" applyBorder="1"/>
    <xf numFmtId="4" fontId="17160" fillId="17164" borderId="17111" xfId="0" applyNumberFormat="1" applyFont="1" applyFill="1" applyBorder="1"/>
    <xf numFmtId="0" fontId="17161" fillId="17165" borderId="17112" xfId="0" applyFont="1" applyFill="1" applyBorder="1" applyAlignment="1">
      <alignment horizontal="center"/>
    </xf>
    <xf numFmtId="0" fontId="17162" fillId="17166" borderId="17113" xfId="0" applyFont="1" applyFill="1" applyBorder="1"/>
    <xf numFmtId="165" fontId="17163" fillId="17167" borderId="17114" xfId="0" applyNumberFormat="1" applyFont="1" applyFill="1" applyBorder="1"/>
    <xf numFmtId="4" fontId="17164" fillId="17168" borderId="17115" xfId="0" applyNumberFormat="1" applyFont="1" applyFill="1" applyBorder="1"/>
    <xf numFmtId="168" fontId="17165" fillId="17169" borderId="17116" xfId="0" applyNumberFormat="1" applyFont="1" applyFill="1" applyBorder="1"/>
    <xf numFmtId="165" fontId="17166" fillId="17170" borderId="17117" xfId="0" applyNumberFormat="1" applyFont="1" applyFill="1" applyBorder="1"/>
    <xf numFmtId="165" fontId="17167" fillId="17171" borderId="17118" xfId="0" applyNumberFormat="1" applyFont="1" applyFill="1" applyBorder="1"/>
    <xf numFmtId="4" fontId="17168" fillId="17172" borderId="17119" xfId="0" applyNumberFormat="1" applyFont="1" applyFill="1" applyBorder="1"/>
    <xf numFmtId="0" fontId="17169" fillId="17173" borderId="17120" xfId="0" applyFont="1" applyFill="1" applyBorder="1" applyAlignment="1">
      <alignment horizontal="center"/>
    </xf>
    <xf numFmtId="0" fontId="17170" fillId="17174" borderId="17121" xfId="0" applyFont="1" applyFill="1" applyBorder="1"/>
    <xf numFmtId="165" fontId="17171" fillId="17175" borderId="17122" xfId="0" applyNumberFormat="1" applyFont="1" applyFill="1" applyBorder="1"/>
    <xf numFmtId="4" fontId="17172" fillId="17176" borderId="17123" xfId="0" applyNumberFormat="1" applyFont="1" applyFill="1" applyBorder="1"/>
    <xf numFmtId="168" fontId="17173" fillId="17177" borderId="17124" xfId="0" applyNumberFormat="1" applyFont="1" applyFill="1" applyBorder="1"/>
    <xf numFmtId="165" fontId="17174" fillId="17178" borderId="17125" xfId="0" applyNumberFormat="1" applyFont="1" applyFill="1" applyBorder="1"/>
    <xf numFmtId="165" fontId="17175" fillId="17179" borderId="17126" xfId="0" applyNumberFormat="1" applyFont="1" applyFill="1" applyBorder="1"/>
    <xf numFmtId="4" fontId="17176" fillId="17180" borderId="17127" xfId="0" applyNumberFormat="1" applyFont="1" applyFill="1" applyBorder="1"/>
    <xf numFmtId="0" fontId="17177" fillId="17181" borderId="17128" xfId="0" applyFont="1" applyFill="1" applyBorder="1" applyAlignment="1">
      <alignment horizontal="center"/>
    </xf>
    <xf numFmtId="0" fontId="17178" fillId="17182" borderId="17129" xfId="0" applyFont="1" applyFill="1" applyBorder="1"/>
    <xf numFmtId="165" fontId="17179" fillId="17183" borderId="17130" xfId="0" applyNumberFormat="1" applyFont="1" applyFill="1" applyBorder="1"/>
    <xf numFmtId="4" fontId="17180" fillId="17184" borderId="17131" xfId="0" applyNumberFormat="1" applyFont="1" applyFill="1" applyBorder="1"/>
    <xf numFmtId="168" fontId="17181" fillId="17185" borderId="17132" xfId="0" applyNumberFormat="1" applyFont="1" applyFill="1" applyBorder="1"/>
    <xf numFmtId="165" fontId="17182" fillId="17186" borderId="17133" xfId="0" applyNumberFormat="1" applyFont="1" applyFill="1" applyBorder="1"/>
    <xf numFmtId="165" fontId="17183" fillId="17187" borderId="17134" xfId="0" applyNumberFormat="1" applyFont="1" applyFill="1" applyBorder="1"/>
    <xf numFmtId="4" fontId="17184" fillId="17188" borderId="17135" xfId="0" applyNumberFormat="1" applyFont="1" applyFill="1" applyBorder="1"/>
    <xf numFmtId="0" fontId="17185" fillId="17189" borderId="17136" xfId="0" applyFont="1" applyFill="1" applyBorder="1" applyAlignment="1">
      <alignment horizontal="center"/>
    </xf>
    <xf numFmtId="0" fontId="17186" fillId="17190" borderId="17137" xfId="0" applyFont="1" applyFill="1" applyBorder="1"/>
    <xf numFmtId="165" fontId="17187" fillId="17191" borderId="17138" xfId="0" applyNumberFormat="1" applyFont="1" applyFill="1" applyBorder="1"/>
    <xf numFmtId="4" fontId="17188" fillId="17192" borderId="17139" xfId="0" applyNumberFormat="1" applyFont="1" applyFill="1" applyBorder="1"/>
    <xf numFmtId="168" fontId="17189" fillId="17193" borderId="17140" xfId="0" applyNumberFormat="1" applyFont="1" applyFill="1" applyBorder="1"/>
    <xf numFmtId="165" fontId="17190" fillId="17194" borderId="17141" xfId="0" applyNumberFormat="1" applyFont="1" applyFill="1" applyBorder="1"/>
    <xf numFmtId="165" fontId="17191" fillId="17195" borderId="17142" xfId="0" applyNumberFormat="1" applyFont="1" applyFill="1" applyBorder="1"/>
    <xf numFmtId="4" fontId="17192" fillId="17196" borderId="17143" xfId="0" applyNumberFormat="1" applyFont="1" applyFill="1" applyBorder="1"/>
    <xf numFmtId="0" fontId="17193" fillId="17197" borderId="17144" xfId="0" applyFont="1" applyFill="1" applyBorder="1" applyAlignment="1">
      <alignment horizontal="center"/>
    </xf>
    <xf numFmtId="0" fontId="17194" fillId="17198" borderId="17145" xfId="0" applyFont="1" applyFill="1" applyBorder="1"/>
    <xf numFmtId="165" fontId="17195" fillId="17199" borderId="17146" xfId="0" applyNumberFormat="1" applyFont="1" applyFill="1" applyBorder="1"/>
    <xf numFmtId="4" fontId="17196" fillId="17200" borderId="17147" xfId="0" applyNumberFormat="1" applyFont="1" applyFill="1" applyBorder="1"/>
    <xf numFmtId="168" fontId="17197" fillId="17201" borderId="17148" xfId="0" applyNumberFormat="1" applyFont="1" applyFill="1" applyBorder="1"/>
    <xf numFmtId="165" fontId="17198" fillId="17202" borderId="17149" xfId="0" applyNumberFormat="1" applyFont="1" applyFill="1" applyBorder="1"/>
    <xf numFmtId="165" fontId="17199" fillId="17203" borderId="17150" xfId="0" applyNumberFormat="1" applyFont="1" applyFill="1" applyBorder="1"/>
    <xf numFmtId="4" fontId="17200" fillId="17204" borderId="17151" xfId="0" applyNumberFormat="1" applyFont="1" applyFill="1" applyBorder="1"/>
    <xf numFmtId="0" fontId="17201" fillId="17205" borderId="17152" xfId="0" applyFont="1" applyFill="1" applyBorder="1" applyAlignment="1">
      <alignment horizontal="center"/>
    </xf>
    <xf numFmtId="0" fontId="17202" fillId="17206" borderId="17153" xfId="0" applyFont="1" applyFill="1" applyBorder="1"/>
    <xf numFmtId="165" fontId="17203" fillId="17207" borderId="17154" xfId="0" applyNumberFormat="1" applyFont="1" applyFill="1" applyBorder="1"/>
    <xf numFmtId="4" fontId="17204" fillId="17208" borderId="17155" xfId="0" applyNumberFormat="1" applyFont="1" applyFill="1" applyBorder="1"/>
    <xf numFmtId="168" fontId="17205" fillId="17209" borderId="17156" xfId="0" applyNumberFormat="1" applyFont="1" applyFill="1" applyBorder="1"/>
    <xf numFmtId="165" fontId="17206" fillId="17210" borderId="17157" xfId="0" applyNumberFormat="1" applyFont="1" applyFill="1" applyBorder="1"/>
    <xf numFmtId="165" fontId="17207" fillId="17211" borderId="17158" xfId="0" applyNumberFormat="1" applyFont="1" applyFill="1" applyBorder="1"/>
    <xf numFmtId="4" fontId="17208" fillId="17212" borderId="17159" xfId="0" applyNumberFormat="1" applyFont="1" applyFill="1" applyBorder="1"/>
    <xf numFmtId="0" fontId="17217" fillId="17221" borderId="17168" xfId="0" applyFont="1" applyFill="1" applyBorder="1" applyAlignment="1">
      <alignment horizontal="center"/>
    </xf>
    <xf numFmtId="0" fontId="17218" fillId="17222" borderId="17169" xfId="0" applyFont="1" applyFill="1" applyBorder="1"/>
    <xf numFmtId="165" fontId="17219" fillId="17223" borderId="17170" xfId="0" applyNumberFormat="1" applyFont="1" applyFill="1" applyBorder="1"/>
    <xf numFmtId="4" fontId="17220" fillId="17224" borderId="17171" xfId="0" applyNumberFormat="1" applyFont="1" applyFill="1" applyBorder="1"/>
    <xf numFmtId="168" fontId="17221" fillId="17225" borderId="17172" xfId="0" applyNumberFormat="1" applyFont="1" applyFill="1" applyBorder="1"/>
    <xf numFmtId="165" fontId="17222" fillId="17226" borderId="17173" xfId="0" applyNumberFormat="1" applyFont="1" applyFill="1" applyBorder="1"/>
    <xf numFmtId="165" fontId="17223" fillId="17227" borderId="17174" xfId="0" applyNumberFormat="1" applyFont="1" applyFill="1" applyBorder="1"/>
    <xf numFmtId="4" fontId="17224" fillId="17228" borderId="17175" xfId="0" applyNumberFormat="1" applyFont="1" applyFill="1" applyBorder="1"/>
    <xf numFmtId="0" fontId="17225" fillId="17229" borderId="17176" xfId="0" applyFont="1" applyFill="1" applyBorder="1" applyAlignment="1">
      <alignment horizontal="center"/>
    </xf>
    <xf numFmtId="0" fontId="17226" fillId="17230" borderId="17177" xfId="0" applyFont="1" applyFill="1" applyBorder="1"/>
    <xf numFmtId="165" fontId="17227" fillId="17231" borderId="17178" xfId="0" applyNumberFormat="1" applyFont="1" applyFill="1" applyBorder="1"/>
    <xf numFmtId="4" fontId="17228" fillId="17232" borderId="17179" xfId="0" applyNumberFormat="1" applyFont="1" applyFill="1" applyBorder="1"/>
    <xf numFmtId="168" fontId="17229" fillId="17233" borderId="17180" xfId="0" applyNumberFormat="1" applyFont="1" applyFill="1" applyBorder="1"/>
    <xf numFmtId="165" fontId="17230" fillId="17234" borderId="17181" xfId="0" applyNumberFormat="1" applyFont="1" applyFill="1" applyBorder="1"/>
    <xf numFmtId="165" fontId="17231" fillId="17235" borderId="17182" xfId="0" applyNumberFormat="1" applyFont="1" applyFill="1" applyBorder="1"/>
    <xf numFmtId="4" fontId="17232" fillId="17236" borderId="17183" xfId="0" applyNumberFormat="1" applyFont="1" applyFill="1" applyBorder="1"/>
    <xf numFmtId="0" fontId="17233" fillId="17237" borderId="17184" xfId="0" applyFont="1" applyFill="1" applyBorder="1" applyAlignment="1">
      <alignment horizontal="center"/>
    </xf>
    <xf numFmtId="0" fontId="17234" fillId="17238" borderId="17185" xfId="0" applyFont="1" applyFill="1" applyBorder="1"/>
    <xf numFmtId="165" fontId="17235" fillId="17239" borderId="17186" xfId="0" applyNumberFormat="1" applyFont="1" applyFill="1" applyBorder="1"/>
    <xf numFmtId="4" fontId="17236" fillId="17240" borderId="17187" xfId="0" applyNumberFormat="1" applyFont="1" applyFill="1" applyBorder="1"/>
    <xf numFmtId="168" fontId="17237" fillId="17241" borderId="17188" xfId="0" applyNumberFormat="1" applyFont="1" applyFill="1" applyBorder="1"/>
    <xf numFmtId="165" fontId="17238" fillId="17242" borderId="17189" xfId="0" applyNumberFormat="1" applyFont="1" applyFill="1" applyBorder="1"/>
    <xf numFmtId="165" fontId="17239" fillId="17243" borderId="17190" xfId="0" applyNumberFormat="1" applyFont="1" applyFill="1" applyBorder="1"/>
    <xf numFmtId="4" fontId="17240" fillId="17244" borderId="17191" xfId="0" applyNumberFormat="1" applyFont="1" applyFill="1" applyBorder="1"/>
    <xf numFmtId="0" fontId="17241" fillId="17245" borderId="17192" xfId="0" applyFont="1" applyFill="1" applyBorder="1" applyAlignment="1">
      <alignment horizontal="center"/>
    </xf>
    <xf numFmtId="0" fontId="17242" fillId="17246" borderId="17193" xfId="0" applyFont="1" applyFill="1" applyBorder="1"/>
    <xf numFmtId="165" fontId="17243" fillId="17247" borderId="17194" xfId="0" applyNumberFormat="1" applyFont="1" applyFill="1" applyBorder="1"/>
    <xf numFmtId="4" fontId="17244" fillId="17248" borderId="17195" xfId="0" applyNumberFormat="1" applyFont="1" applyFill="1" applyBorder="1"/>
    <xf numFmtId="168" fontId="17245" fillId="17249" borderId="17196" xfId="0" applyNumberFormat="1" applyFont="1" applyFill="1" applyBorder="1"/>
    <xf numFmtId="165" fontId="17246" fillId="17250" borderId="17197" xfId="0" applyNumberFormat="1" applyFont="1" applyFill="1" applyBorder="1"/>
    <xf numFmtId="165" fontId="17247" fillId="17251" borderId="17198" xfId="0" applyNumberFormat="1" applyFont="1" applyFill="1" applyBorder="1"/>
    <xf numFmtId="4" fontId="17248" fillId="17252" borderId="17199" xfId="0" applyNumberFormat="1" applyFont="1" applyFill="1" applyBorder="1"/>
    <xf numFmtId="0" fontId="17249" fillId="17253" borderId="17200" xfId="0" applyFont="1" applyFill="1" applyBorder="1" applyAlignment="1">
      <alignment horizontal="center"/>
    </xf>
    <xf numFmtId="0" fontId="17250" fillId="17254" borderId="17201" xfId="0" applyFont="1" applyFill="1" applyBorder="1"/>
    <xf numFmtId="165" fontId="17251" fillId="17255" borderId="17202" xfId="0" applyNumberFormat="1" applyFont="1" applyFill="1" applyBorder="1"/>
    <xf numFmtId="4" fontId="17252" fillId="17256" borderId="17203" xfId="0" applyNumberFormat="1" applyFont="1" applyFill="1" applyBorder="1"/>
    <xf numFmtId="168" fontId="17253" fillId="17257" borderId="17204" xfId="0" applyNumberFormat="1" applyFont="1" applyFill="1" applyBorder="1"/>
    <xf numFmtId="165" fontId="17254" fillId="17258" borderId="17205" xfId="0" applyNumberFormat="1" applyFont="1" applyFill="1" applyBorder="1"/>
    <xf numFmtId="165" fontId="17255" fillId="17259" borderId="17206" xfId="0" applyNumberFormat="1" applyFont="1" applyFill="1" applyBorder="1"/>
    <xf numFmtId="4" fontId="17256" fillId="17260" borderId="17207" xfId="0" applyNumberFormat="1" applyFont="1" applyFill="1" applyBorder="1"/>
    <xf numFmtId="0" fontId="17257" fillId="17261" borderId="17208" xfId="0" applyFont="1" applyFill="1" applyBorder="1" applyAlignment="1">
      <alignment horizontal="center"/>
    </xf>
    <xf numFmtId="0" fontId="17258" fillId="17262" borderId="17209" xfId="0" applyFont="1" applyFill="1" applyBorder="1"/>
    <xf numFmtId="165" fontId="17259" fillId="17263" borderId="17210" xfId="0" applyNumberFormat="1" applyFont="1" applyFill="1" applyBorder="1"/>
    <xf numFmtId="4" fontId="17260" fillId="17264" borderId="17211" xfId="0" applyNumberFormat="1" applyFont="1" applyFill="1" applyBorder="1"/>
    <xf numFmtId="168" fontId="17261" fillId="17265" borderId="17212" xfId="0" applyNumberFormat="1" applyFont="1" applyFill="1" applyBorder="1"/>
    <xf numFmtId="165" fontId="17262" fillId="17266" borderId="17213" xfId="0" applyNumberFormat="1" applyFont="1" applyFill="1" applyBorder="1"/>
    <xf numFmtId="165" fontId="17263" fillId="17267" borderId="17214" xfId="0" applyNumberFormat="1" applyFont="1" applyFill="1" applyBorder="1"/>
    <xf numFmtId="4" fontId="17264" fillId="17268" borderId="17215" xfId="0" applyNumberFormat="1" applyFont="1" applyFill="1" applyBorder="1"/>
    <xf numFmtId="0" fontId="17265" fillId="17269" borderId="17216" xfId="0" applyFont="1" applyFill="1" applyBorder="1" applyAlignment="1">
      <alignment horizontal="center"/>
    </xf>
    <xf numFmtId="0" fontId="17266" fillId="17270" borderId="17217" xfId="0" applyFont="1" applyFill="1" applyBorder="1"/>
    <xf numFmtId="165" fontId="17267" fillId="17271" borderId="17218" xfId="0" applyNumberFormat="1" applyFont="1" applyFill="1" applyBorder="1"/>
    <xf numFmtId="4" fontId="17268" fillId="17272" borderId="17219" xfId="0" applyNumberFormat="1" applyFont="1" applyFill="1" applyBorder="1"/>
    <xf numFmtId="168" fontId="17269" fillId="17273" borderId="17220" xfId="0" applyNumberFormat="1" applyFont="1" applyFill="1" applyBorder="1"/>
    <xf numFmtId="165" fontId="17270" fillId="17274" borderId="17221" xfId="0" applyNumberFormat="1" applyFont="1" applyFill="1" applyBorder="1"/>
    <xf numFmtId="165" fontId="17271" fillId="17275" borderId="17222" xfId="0" applyNumberFormat="1" applyFont="1" applyFill="1" applyBorder="1"/>
    <xf numFmtId="4" fontId="17272" fillId="17276" borderId="17223" xfId="0" applyNumberFormat="1" applyFont="1" applyFill="1" applyBorder="1"/>
    <xf numFmtId="0" fontId="17273" fillId="17277" borderId="17224" xfId="0" applyFont="1" applyFill="1" applyBorder="1" applyAlignment="1">
      <alignment horizontal="center"/>
    </xf>
    <xf numFmtId="0" fontId="17274" fillId="17278" borderId="17225" xfId="0" applyFont="1" applyFill="1" applyBorder="1"/>
    <xf numFmtId="165" fontId="17275" fillId="17279" borderId="17226" xfId="0" applyNumberFormat="1" applyFont="1" applyFill="1" applyBorder="1"/>
    <xf numFmtId="4" fontId="17276" fillId="17280" borderId="17227" xfId="0" applyNumberFormat="1" applyFont="1" applyFill="1" applyBorder="1"/>
    <xf numFmtId="168" fontId="17277" fillId="17281" borderId="17228" xfId="0" applyNumberFormat="1" applyFont="1" applyFill="1" applyBorder="1"/>
    <xf numFmtId="165" fontId="17278" fillId="17282" borderId="17229" xfId="0" applyNumberFormat="1" applyFont="1" applyFill="1" applyBorder="1"/>
    <xf numFmtId="165" fontId="17279" fillId="17283" borderId="17230" xfId="0" applyNumberFormat="1" applyFont="1" applyFill="1" applyBorder="1"/>
    <xf numFmtId="4" fontId="17280" fillId="17284" borderId="17231" xfId="0" applyNumberFormat="1" applyFont="1" applyFill="1" applyBorder="1"/>
    <xf numFmtId="0" fontId="17281" fillId="17285" borderId="17232" xfId="0" applyFont="1" applyFill="1" applyBorder="1" applyAlignment="1">
      <alignment horizontal="center"/>
    </xf>
    <xf numFmtId="0" fontId="17282" fillId="17286" borderId="17233" xfId="0" applyFont="1" applyFill="1" applyBorder="1"/>
    <xf numFmtId="165" fontId="17283" fillId="17287" borderId="17234" xfId="0" applyNumberFormat="1" applyFont="1" applyFill="1" applyBorder="1"/>
    <xf numFmtId="4" fontId="17284" fillId="17288" borderId="17235" xfId="0" applyNumberFormat="1" applyFont="1" applyFill="1" applyBorder="1"/>
    <xf numFmtId="168" fontId="17285" fillId="17289" borderId="17236" xfId="0" applyNumberFormat="1" applyFont="1" applyFill="1" applyBorder="1"/>
    <xf numFmtId="165" fontId="17286" fillId="17290" borderId="17237" xfId="0" applyNumberFormat="1" applyFont="1" applyFill="1" applyBorder="1"/>
    <xf numFmtId="165" fontId="17287" fillId="17291" borderId="17238" xfId="0" applyNumberFormat="1" applyFont="1" applyFill="1" applyBorder="1"/>
    <xf numFmtId="4" fontId="17288" fillId="17292" borderId="17239" xfId="0" applyNumberFormat="1" applyFont="1" applyFill="1" applyBorder="1"/>
    <xf numFmtId="0" fontId="17289" fillId="17293" borderId="17240" xfId="0" applyFont="1" applyFill="1" applyBorder="1" applyAlignment="1">
      <alignment horizontal="center"/>
    </xf>
    <xf numFmtId="0" fontId="17290" fillId="17294" borderId="17241" xfId="0" applyFont="1" applyFill="1" applyBorder="1"/>
    <xf numFmtId="165" fontId="17291" fillId="17295" borderId="17242" xfId="0" applyNumberFormat="1" applyFont="1" applyFill="1" applyBorder="1"/>
    <xf numFmtId="4" fontId="17292" fillId="17296" borderId="17243" xfId="0" applyNumberFormat="1" applyFont="1" applyFill="1" applyBorder="1"/>
    <xf numFmtId="168" fontId="17293" fillId="17297" borderId="17244" xfId="0" applyNumberFormat="1" applyFont="1" applyFill="1" applyBorder="1"/>
    <xf numFmtId="165" fontId="17294" fillId="17298" borderId="17245" xfId="0" applyNumberFormat="1" applyFont="1" applyFill="1" applyBorder="1"/>
    <xf numFmtId="165" fontId="17295" fillId="17299" borderId="17246" xfId="0" applyNumberFormat="1" applyFont="1" applyFill="1" applyBorder="1"/>
    <xf numFmtId="4" fontId="17296" fillId="17300" borderId="17247" xfId="0" applyNumberFormat="1" applyFont="1" applyFill="1" applyBorder="1"/>
    <xf numFmtId="0" fontId="17297" fillId="17301" borderId="17248" xfId="0" applyFont="1" applyFill="1" applyBorder="1" applyAlignment="1">
      <alignment horizontal="center"/>
    </xf>
    <xf numFmtId="0" fontId="17298" fillId="17302" borderId="17249" xfId="0" applyFont="1" applyFill="1" applyBorder="1"/>
    <xf numFmtId="165" fontId="17299" fillId="17303" borderId="17250" xfId="0" applyNumberFormat="1" applyFont="1" applyFill="1" applyBorder="1"/>
    <xf numFmtId="4" fontId="17300" fillId="17304" borderId="17251" xfId="0" applyNumberFormat="1" applyFont="1" applyFill="1" applyBorder="1"/>
    <xf numFmtId="168" fontId="17301" fillId="17305" borderId="17252" xfId="0" applyNumberFormat="1" applyFont="1" applyFill="1" applyBorder="1"/>
    <xf numFmtId="165" fontId="17302" fillId="17306" borderId="17253" xfId="0" applyNumberFormat="1" applyFont="1" applyFill="1" applyBorder="1"/>
    <xf numFmtId="165" fontId="17303" fillId="17307" borderId="17254" xfId="0" applyNumberFormat="1" applyFont="1" applyFill="1" applyBorder="1"/>
    <xf numFmtId="4" fontId="17304" fillId="17308" borderId="17255" xfId="0" applyNumberFormat="1" applyFont="1" applyFill="1" applyBorder="1"/>
    <xf numFmtId="0" fontId="17305" fillId="17309" borderId="17256" xfId="0" applyFont="1" applyFill="1" applyBorder="1" applyAlignment="1">
      <alignment horizontal="center"/>
    </xf>
    <xf numFmtId="0" fontId="17306" fillId="17310" borderId="17257" xfId="0" applyFont="1" applyFill="1" applyBorder="1"/>
    <xf numFmtId="165" fontId="17307" fillId="17311" borderId="17258" xfId="0" applyNumberFormat="1" applyFont="1" applyFill="1" applyBorder="1"/>
    <xf numFmtId="4" fontId="17308" fillId="17312" borderId="17259" xfId="0" applyNumberFormat="1" applyFont="1" applyFill="1" applyBorder="1"/>
    <xf numFmtId="168" fontId="17309" fillId="17313" borderId="17260" xfId="0" applyNumberFormat="1" applyFont="1" applyFill="1" applyBorder="1"/>
    <xf numFmtId="165" fontId="17310" fillId="17314" borderId="17261" xfId="0" applyNumberFormat="1" applyFont="1" applyFill="1" applyBorder="1"/>
    <xf numFmtId="165" fontId="17311" fillId="17315" borderId="17262" xfId="0" applyNumberFormat="1" applyFont="1" applyFill="1" applyBorder="1"/>
    <xf numFmtId="4" fontId="17312" fillId="17316" borderId="17263" xfId="0" applyNumberFormat="1" applyFont="1" applyFill="1" applyBorder="1"/>
    <xf numFmtId="0" fontId="17313" fillId="17317" borderId="17264" xfId="0" applyFont="1" applyFill="1" applyBorder="1" applyAlignment="1">
      <alignment horizontal="center"/>
    </xf>
    <xf numFmtId="0" fontId="17314" fillId="17318" borderId="17265" xfId="0" applyFont="1" applyFill="1" applyBorder="1"/>
    <xf numFmtId="165" fontId="17315" fillId="17319" borderId="17266" xfId="0" applyNumberFormat="1" applyFont="1" applyFill="1" applyBorder="1"/>
    <xf numFmtId="4" fontId="17316" fillId="17320" borderId="17267" xfId="0" applyNumberFormat="1" applyFont="1" applyFill="1" applyBorder="1"/>
    <xf numFmtId="168" fontId="17317" fillId="17321" borderId="17268" xfId="0" applyNumberFormat="1" applyFont="1" applyFill="1" applyBorder="1"/>
    <xf numFmtId="165" fontId="17318" fillId="17322" borderId="17269" xfId="0" applyNumberFormat="1" applyFont="1" applyFill="1" applyBorder="1"/>
    <xf numFmtId="165" fontId="17319" fillId="17323" borderId="17270" xfId="0" applyNumberFormat="1" applyFont="1" applyFill="1" applyBorder="1"/>
    <xf numFmtId="4" fontId="17320" fillId="17324" borderId="17271" xfId="0" applyNumberFormat="1" applyFont="1" applyFill="1" applyBorder="1"/>
    <xf numFmtId="0" fontId="17321" fillId="17325" borderId="17272" xfId="0" applyFont="1" applyFill="1" applyBorder="1" applyAlignment="1">
      <alignment horizontal="center"/>
    </xf>
    <xf numFmtId="0" fontId="17322" fillId="17326" borderId="17273" xfId="0" applyFont="1" applyFill="1" applyBorder="1"/>
    <xf numFmtId="165" fontId="17323" fillId="17327" borderId="17274" xfId="0" applyNumberFormat="1" applyFont="1" applyFill="1" applyBorder="1"/>
    <xf numFmtId="4" fontId="17324" fillId="17328" borderId="17275" xfId="0" applyNumberFormat="1" applyFont="1" applyFill="1" applyBorder="1"/>
    <xf numFmtId="165" fontId="17325" fillId="17329" borderId="17276" xfId="0" applyNumberFormat="1" applyFont="1" applyFill="1" applyBorder="1"/>
    <xf numFmtId="165" fontId="17326" fillId="17330" borderId="17277" xfId="0" applyNumberFormat="1" applyFont="1" applyFill="1" applyBorder="1"/>
    <xf numFmtId="4" fontId="17327" fillId="17331" borderId="17278" xfId="0" applyNumberFormat="1" applyFont="1" applyFill="1" applyBorder="1"/>
    <xf numFmtId="4" fontId="17328" fillId="17332" borderId="17279" xfId="0" applyNumberFormat="1" applyFont="1" applyFill="1" applyBorder="1"/>
    <xf numFmtId="0" fontId="17331" fillId="17335" borderId="17282" xfId="0" applyFont="1" applyFill="1" applyBorder="1"/>
    <xf numFmtId="0" fontId="17332" fillId="17336" borderId="17283" xfId="0" applyFont="1" applyFill="1" applyBorder="1" applyAlignment="1">
      <alignment horizontal="center"/>
    </xf>
    <xf numFmtId="0" fontId="17333" fillId="17337" borderId="17284" xfId="0" applyFont="1" applyFill="1" applyBorder="1"/>
    <xf numFmtId="165" fontId="17334" fillId="17338" borderId="17285" xfId="0" applyNumberFormat="1" applyFont="1" applyFill="1" applyBorder="1" applyAlignment="1">
      <alignment horizontal="center"/>
    </xf>
    <xf numFmtId="0" fontId="17336" fillId="17340" borderId="17287" xfId="0" applyFont="1" applyFill="1" applyBorder="1"/>
    <xf numFmtId="0" fontId="17337" fillId="17341" borderId="17288" xfId="0" applyFont="1" applyFill="1" applyBorder="1"/>
    <xf numFmtId="0" fontId="17338" fillId="17342" borderId="17289" xfId="0" applyFont="1" applyFill="1" applyBorder="1"/>
    <xf numFmtId="0" fontId="17339" fillId="17343" borderId="17290" xfId="0" applyFont="1" applyFill="1" applyBorder="1"/>
    <xf numFmtId="0" fontId="17340" fillId="17344" borderId="17291" xfId="0" applyFont="1" applyFill="1" applyBorder="1"/>
    <xf numFmtId="0" fontId="17341" fillId="17345" borderId="17292" xfId="0" applyFont="1" applyFill="1" applyBorder="1"/>
    <xf numFmtId="0" fontId="17342" fillId="17346" borderId="17293" xfId="0" applyFont="1" applyFill="1" applyBorder="1"/>
    <xf numFmtId="0" fontId="17343" fillId="17347" borderId="17294" xfId="0" applyFont="1" applyFill="1" applyBorder="1"/>
    <xf numFmtId="0" fontId="17344" fillId="17348" borderId="17295" xfId="0" applyFont="1" applyFill="1" applyBorder="1"/>
    <xf numFmtId="0" fontId="17345" fillId="17349" borderId="17296" xfId="0" applyFont="1" applyFill="1" applyBorder="1"/>
    <xf numFmtId="0" fontId="17346" fillId="17350" borderId="17297" xfId="0" applyFont="1" applyFill="1" applyBorder="1"/>
    <xf numFmtId="0" fontId="17347" fillId="17351" borderId="17298" xfId="0" applyFont="1" applyFill="1" applyBorder="1"/>
    <xf numFmtId="166" fontId="17348" fillId="17352" borderId="17299" xfId="0" applyNumberFormat="1" applyFont="1" applyFill="1" applyBorder="1" applyAlignment="1">
      <alignment horizontal="center"/>
    </xf>
    <xf numFmtId="165" fontId="17349" fillId="17353" borderId="17300" xfId="0" applyNumberFormat="1" applyFont="1" applyFill="1" applyBorder="1"/>
    <xf numFmtId="4" fontId="17350" fillId="17354" borderId="17301" xfId="0" applyNumberFormat="1" applyFont="1" applyFill="1" applyBorder="1"/>
    <xf numFmtId="165" fontId="17351" fillId="17355" borderId="17302" xfId="0" applyNumberFormat="1" applyFont="1" applyFill="1" applyBorder="1"/>
    <xf numFmtId="165" fontId="17352" fillId="17356" borderId="17303" xfId="0" applyNumberFormat="1" applyFont="1" applyFill="1" applyBorder="1"/>
    <xf numFmtId="165" fontId="17353" fillId="17357" borderId="17304" xfId="0" applyNumberFormat="1" applyFont="1" applyFill="1" applyBorder="1"/>
    <xf numFmtId="165" fontId="17354" fillId="17358" borderId="17305" xfId="0" applyNumberFormat="1" applyFont="1" applyFill="1" applyBorder="1"/>
    <xf numFmtId="165" fontId="17355" fillId="17359" borderId="17306" xfId="0" applyNumberFormat="1" applyFont="1" applyFill="1" applyBorder="1"/>
    <xf numFmtId="4" fontId="17356" fillId="17360" borderId="17307" xfId="0" applyNumberFormat="1" applyFont="1" applyFill="1" applyBorder="1"/>
    <xf numFmtId="0" fontId="17357" fillId="17361" borderId="17308" xfId="0" applyFont="1" applyFill="1" applyBorder="1"/>
    <xf numFmtId="0" fontId="17358" fillId="17362" borderId="17309" xfId="0" applyFont="1" applyFill="1" applyBorder="1"/>
    <xf numFmtId="0" fontId="17359" fillId="17363" borderId="17310" xfId="0" applyFont="1" applyFill="1" applyBorder="1"/>
    <xf numFmtId="166" fontId="17360" fillId="17364" borderId="17311" xfId="0" applyNumberFormat="1" applyFont="1" applyFill="1" applyBorder="1" applyAlignment="1">
      <alignment horizontal="center"/>
    </xf>
    <xf numFmtId="165" fontId="17361" fillId="17365" borderId="17312" xfId="0" applyNumberFormat="1" applyFont="1" applyFill="1" applyBorder="1"/>
    <xf numFmtId="4" fontId="17362" fillId="17366" borderId="17313" xfId="0" applyNumberFormat="1" applyFont="1" applyFill="1" applyBorder="1"/>
    <xf numFmtId="165" fontId="17363" fillId="17367" borderId="17314" xfId="0" applyNumberFormat="1" applyFont="1" applyFill="1" applyBorder="1"/>
    <xf numFmtId="165" fontId="17364" fillId="17368" borderId="17315" xfId="0" applyNumberFormat="1" applyFont="1" applyFill="1" applyBorder="1"/>
    <xf numFmtId="165" fontId="17365" fillId="17369" borderId="17316" xfId="0" applyNumberFormat="1" applyFont="1" applyFill="1" applyBorder="1"/>
    <xf numFmtId="165" fontId="17366" fillId="17370" borderId="17317" xfId="0" applyNumberFormat="1" applyFont="1" applyFill="1" applyBorder="1"/>
    <xf numFmtId="165" fontId="17367" fillId="17371" borderId="17318" xfId="0" applyNumberFormat="1" applyFont="1" applyFill="1" applyBorder="1"/>
    <xf numFmtId="4" fontId="17368" fillId="17372" borderId="17319" xfId="0" applyNumberFormat="1" applyFont="1" applyFill="1" applyBorder="1"/>
    <xf numFmtId="0" fontId="17369" fillId="17373" borderId="17320" xfId="0" applyFont="1" applyFill="1" applyBorder="1"/>
    <xf numFmtId="0" fontId="17370" fillId="17374" borderId="17321" xfId="0" applyFont="1" applyFill="1" applyBorder="1"/>
    <xf numFmtId="0" fontId="17371" fillId="17375" borderId="17322" xfId="0" applyFont="1" applyFill="1" applyBorder="1"/>
    <xf numFmtId="0" fontId="17382" fillId="17385" borderId="17332" xfId="0" applyFont="1" applyFill="1" applyBorder="1"/>
    <xf numFmtId="0" fontId="17383" fillId="17386" borderId="17333" xfId="0" applyFont="1" applyFill="1" applyBorder="1"/>
    <xf numFmtId="0" fontId="17384" fillId="17387" borderId="17334" xfId="0" applyFont="1" applyFill="1" applyBorder="1"/>
    <xf numFmtId="0" fontId="17385" fillId="17388" borderId="17335" xfId="0" applyFont="1" applyFill="1" applyBorder="1" applyAlignment="1">
      <alignment horizontal="center" wrapText="1"/>
    </xf>
    <xf numFmtId="0" fontId="17386" fillId="17389" borderId="17336" xfId="0" applyFont="1" applyFill="1" applyBorder="1" applyAlignment="1">
      <alignment horizontal="center" wrapText="1"/>
    </xf>
    <xf numFmtId="0" fontId="17387" fillId="17390" borderId="17337" xfId="0" applyFont="1" applyFill="1" applyBorder="1" applyAlignment="1">
      <alignment horizontal="center" wrapText="1"/>
    </xf>
    <xf numFmtId="0" fontId="17388" fillId="17391" borderId="17338" xfId="0" applyFont="1" applyFill="1" applyBorder="1" applyAlignment="1">
      <alignment horizontal="center" wrapText="1"/>
    </xf>
    <xf numFmtId="0" fontId="17389" fillId="17392" borderId="17339" xfId="0" applyFont="1" applyFill="1" applyBorder="1" applyAlignment="1">
      <alignment horizontal="center" wrapText="1"/>
    </xf>
    <xf numFmtId="0" fontId="17390" fillId="17393" borderId="17340" xfId="0" applyFont="1" applyFill="1" applyBorder="1" applyAlignment="1">
      <alignment horizontal="center" wrapText="1"/>
    </xf>
    <xf numFmtId="0" fontId="17391" fillId="17394" borderId="17341" xfId="0" applyFont="1" applyFill="1" applyBorder="1" applyAlignment="1">
      <alignment horizontal="center" wrapText="1"/>
    </xf>
    <xf numFmtId="0" fontId="17392" fillId="17395" borderId="17342" xfId="0" applyFont="1" applyFill="1" applyBorder="1" applyAlignment="1">
      <alignment horizontal="center" wrapText="1"/>
    </xf>
    <xf numFmtId="0" fontId="17393" fillId="17396" borderId="17343" xfId="0" applyFont="1" applyFill="1" applyBorder="1" applyAlignment="1">
      <alignment horizontal="center" wrapText="1"/>
    </xf>
    <xf numFmtId="0" fontId="17394" fillId="17397" borderId="17344" xfId="0" applyFont="1" applyFill="1" applyBorder="1"/>
    <xf numFmtId="0" fontId="17395" fillId="17398" borderId="17345" xfId="0" applyFont="1" applyFill="1" applyBorder="1"/>
    <xf numFmtId="0" fontId="17396" fillId="17399" borderId="17346" xfId="0" applyFont="1" applyFill="1" applyBorder="1"/>
    <xf numFmtId="166" fontId="17397" fillId="17400" borderId="17347" xfId="0" applyNumberFormat="1" applyFont="1" applyFill="1" applyBorder="1" applyAlignment="1">
      <alignment horizontal="center"/>
    </xf>
    <xf numFmtId="165" fontId="17398" fillId="17401" borderId="17348" xfId="0" applyNumberFormat="1" applyFont="1" applyFill="1" applyBorder="1"/>
    <xf numFmtId="4" fontId="17399" fillId="17402" borderId="17349" xfId="0" applyNumberFormat="1" applyFont="1" applyFill="1" applyBorder="1"/>
    <xf numFmtId="165" fontId="17400" fillId="17403" borderId="17350" xfId="0" applyNumberFormat="1" applyFont="1" applyFill="1" applyBorder="1"/>
    <xf numFmtId="165" fontId="17401" fillId="17404" borderId="17351" xfId="0" applyNumberFormat="1" applyFont="1" applyFill="1" applyBorder="1"/>
    <xf numFmtId="165" fontId="17402" fillId="17405" borderId="17352" xfId="0" applyNumberFormat="1" applyFont="1" applyFill="1" applyBorder="1"/>
    <xf numFmtId="165" fontId="17403" fillId="17406" borderId="17353" xfId="0" applyNumberFormat="1" applyFont="1" applyFill="1" applyBorder="1"/>
    <xf numFmtId="4" fontId="17404" fillId="17407" borderId="17354" xfId="0" applyNumberFormat="1" applyFont="1" applyFill="1" applyBorder="1"/>
    <xf numFmtId="0" fontId="17405" fillId="17408" borderId="17355" xfId="0" applyFont="1" applyFill="1" applyBorder="1"/>
    <xf numFmtId="0" fontId="17406" fillId="17409" borderId="17356" xfId="0" applyFont="1" applyFill="1" applyBorder="1"/>
    <xf numFmtId="0" fontId="17407" fillId="17410" borderId="17357" xfId="0" applyFont="1" applyFill="1" applyBorder="1"/>
    <xf numFmtId="166" fontId="17408" fillId="17411" borderId="17358" xfId="0" applyNumberFormat="1" applyFont="1" applyFill="1" applyBorder="1" applyAlignment="1">
      <alignment horizontal="center"/>
    </xf>
    <xf numFmtId="165" fontId="17409" fillId="17412" borderId="17359" xfId="0" applyNumberFormat="1" applyFont="1" applyFill="1" applyBorder="1"/>
    <xf numFmtId="4" fontId="17410" fillId="17413" borderId="17360" xfId="0" applyNumberFormat="1" applyFont="1" applyFill="1" applyBorder="1"/>
    <xf numFmtId="165" fontId="17411" fillId="17414" borderId="17361" xfId="0" applyNumberFormat="1" applyFont="1" applyFill="1" applyBorder="1"/>
    <xf numFmtId="165" fontId="17412" fillId="17415" borderId="17362" xfId="0" applyNumberFormat="1" applyFont="1" applyFill="1" applyBorder="1"/>
    <xf numFmtId="165" fontId="17413" fillId="17416" borderId="17363" xfId="0" applyNumberFormat="1" applyFont="1" applyFill="1" applyBorder="1"/>
    <xf numFmtId="165" fontId="17414" fillId="17417" borderId="17364" xfId="0" applyNumberFormat="1" applyFont="1" applyFill="1" applyBorder="1"/>
    <xf numFmtId="165" fontId="17415" fillId="17418" borderId="17365" xfId="0" applyNumberFormat="1" applyFont="1" applyFill="1" applyBorder="1"/>
    <xf numFmtId="4" fontId="17416" fillId="17419" borderId="17366" xfId="0" applyNumberFormat="1" applyFont="1" applyFill="1" applyBorder="1"/>
    <xf numFmtId="0" fontId="17417" fillId="17420" borderId="17367" xfId="0" applyFont="1" applyFill="1" applyBorder="1"/>
    <xf numFmtId="0" fontId="17418" fillId="17421" borderId="17368" xfId="0" applyFont="1" applyFill="1" applyBorder="1"/>
    <xf numFmtId="0" fontId="17419" fillId="17422" borderId="17369" xfId="0" applyFont="1" applyFill="1" applyBorder="1"/>
    <xf numFmtId="166" fontId="17420" fillId="17423" borderId="17370" xfId="0" applyNumberFormat="1" applyFont="1" applyFill="1" applyBorder="1" applyAlignment="1">
      <alignment horizontal="center"/>
    </xf>
    <xf numFmtId="4" fontId="17421" fillId="17424" borderId="17371" xfId="0" applyNumberFormat="1" applyFont="1" applyFill="1" applyBorder="1"/>
    <xf numFmtId="165" fontId="17422" fillId="17425" borderId="17372" xfId="0" applyNumberFormat="1" applyFont="1" applyFill="1" applyBorder="1"/>
    <xf numFmtId="165" fontId="17423" fillId="17426" borderId="17373" xfId="0" applyNumberFormat="1" applyFont="1" applyFill="1" applyBorder="1"/>
    <xf numFmtId="165" fontId="17424" fillId="17427" borderId="17374" xfId="0" applyNumberFormat="1" applyFont="1" applyFill="1" applyBorder="1"/>
    <xf numFmtId="165" fontId="17425" fillId="17428" borderId="17375" xfId="0" applyNumberFormat="1" applyFont="1" applyFill="1" applyBorder="1"/>
    <xf numFmtId="165" fontId="17426" fillId="17429" borderId="17376" xfId="0" applyNumberFormat="1" applyFont="1" applyFill="1" applyBorder="1"/>
    <xf numFmtId="4" fontId="17427" fillId="17430" borderId="17377" xfId="0" applyNumberFormat="1" applyFont="1" applyFill="1" applyBorder="1"/>
    <xf numFmtId="0" fontId="17428" fillId="17431" borderId="17378" xfId="0" applyFont="1" applyFill="1" applyBorder="1"/>
    <xf numFmtId="0" fontId="17429" fillId="17432" borderId="17379" xfId="0" applyFont="1" applyFill="1" applyBorder="1"/>
    <xf numFmtId="0" fontId="17430" fillId="17433" borderId="17380" xfId="0" applyFont="1" applyFill="1" applyBorder="1"/>
    <xf numFmtId="166" fontId="17431" fillId="17434" borderId="17381" xfId="0" applyNumberFormat="1" applyFont="1" applyFill="1" applyBorder="1" applyAlignment="1">
      <alignment horizontal="center"/>
    </xf>
    <xf numFmtId="4" fontId="17432" fillId="17435" borderId="17382" xfId="0" applyNumberFormat="1" applyFont="1" applyFill="1" applyBorder="1"/>
    <xf numFmtId="165" fontId="17433" fillId="17436" borderId="17383" xfId="0" applyNumberFormat="1" applyFont="1" applyFill="1" applyBorder="1"/>
    <xf numFmtId="165" fontId="17434" fillId="17437" borderId="17384" xfId="0" applyNumberFormat="1" applyFont="1" applyFill="1" applyBorder="1"/>
    <xf numFmtId="165" fontId="17435" fillId="17438" borderId="17385" xfId="0" applyNumberFormat="1" applyFont="1" applyFill="1" applyBorder="1"/>
    <xf numFmtId="165" fontId="17436" fillId="17439" borderId="17386" xfId="0" applyNumberFormat="1" applyFont="1" applyFill="1" applyBorder="1"/>
    <xf numFmtId="165" fontId="17437" fillId="17440" borderId="17387" xfId="0" applyNumberFormat="1" applyFont="1" applyFill="1" applyBorder="1"/>
    <xf numFmtId="4" fontId="17438" fillId="17441" borderId="17388" xfId="0" applyNumberFormat="1" applyFont="1" applyFill="1" applyBorder="1"/>
    <xf numFmtId="0" fontId="17439" fillId="17442" borderId="17389" xfId="0" applyFont="1" applyFill="1" applyBorder="1"/>
    <xf numFmtId="0" fontId="17440" fillId="17443" borderId="17390" xfId="0" applyFont="1" applyFill="1" applyBorder="1"/>
    <xf numFmtId="0" fontId="17441" fillId="17444" borderId="17391" xfId="0" applyFont="1" applyFill="1" applyBorder="1"/>
    <xf numFmtId="166" fontId="17442" fillId="17445" borderId="17392" xfId="0" applyNumberFormat="1" applyFont="1" applyFill="1" applyBorder="1" applyAlignment="1">
      <alignment horizontal="center"/>
    </xf>
    <xf numFmtId="4" fontId="17443" fillId="17446" borderId="17393" xfId="0" applyNumberFormat="1" applyFont="1" applyFill="1" applyBorder="1"/>
    <xf numFmtId="165" fontId="17444" fillId="17447" borderId="17394" xfId="0" applyNumberFormat="1" applyFont="1" applyFill="1" applyBorder="1"/>
    <xf numFmtId="165" fontId="17445" fillId="17448" borderId="17395" xfId="0" applyNumberFormat="1" applyFont="1" applyFill="1" applyBorder="1"/>
    <xf numFmtId="165" fontId="17446" fillId="17449" borderId="17396" xfId="0" applyNumberFormat="1" applyFont="1" applyFill="1" applyBorder="1"/>
    <xf numFmtId="165" fontId="17447" fillId="17450" borderId="17397" xfId="0" applyNumberFormat="1" applyFont="1" applyFill="1" applyBorder="1"/>
    <xf numFmtId="165" fontId="17448" fillId="17451" borderId="17398" xfId="0" applyNumberFormat="1" applyFont="1" applyFill="1" applyBorder="1"/>
    <xf numFmtId="4" fontId="17449" fillId="17452" borderId="17399" xfId="0" applyNumberFormat="1" applyFont="1" applyFill="1" applyBorder="1"/>
    <xf numFmtId="0" fontId="17450" fillId="17453" borderId="17400" xfId="0" applyFont="1" applyFill="1" applyBorder="1"/>
    <xf numFmtId="0" fontId="17451" fillId="17454" borderId="17401" xfId="0" applyFont="1" applyFill="1" applyBorder="1"/>
    <xf numFmtId="0" fontId="17452" fillId="17455" borderId="17402" xfId="0" applyFont="1" applyFill="1" applyBorder="1"/>
    <xf numFmtId="0" fontId="17453" fillId="17456" borderId="17403" xfId="0" applyFont="1" applyFill="1" applyBorder="1"/>
    <xf numFmtId="165" fontId="17454" fillId="17457" borderId="17404" xfId="0" applyNumberFormat="1" applyFont="1" applyFill="1" applyBorder="1"/>
    <xf numFmtId="4" fontId="17455" fillId="17458" borderId="17405" xfId="0" applyNumberFormat="1" applyFont="1" applyFill="1" applyBorder="1"/>
    <xf numFmtId="0" fontId="17456" fillId="17459" borderId="17406" xfId="0" applyFont="1" applyFill="1" applyBorder="1"/>
    <xf numFmtId="165" fontId="17457" fillId="17460" borderId="17407" xfId="0" applyNumberFormat="1" applyFont="1" applyFill="1" applyBorder="1"/>
    <xf numFmtId="165" fontId="17458" fillId="17461" borderId="17408" xfId="0" applyNumberFormat="1" applyFont="1" applyFill="1" applyBorder="1"/>
    <xf numFmtId="165" fontId="17459" fillId="17462" borderId="17409" xfId="0" applyNumberFormat="1" applyFont="1" applyFill="1" applyBorder="1"/>
    <xf numFmtId="165" fontId="17460" fillId="17463" borderId="17410" xfId="0" applyNumberFormat="1" applyFont="1" applyFill="1" applyBorder="1"/>
    <xf numFmtId="4" fontId="17461" fillId="17464" borderId="17411" xfId="0" applyNumberFormat="1" applyFont="1" applyFill="1" applyBorder="1"/>
    <xf numFmtId="0" fontId="17462" fillId="17465" borderId="17412" xfId="0" applyFont="1" applyFill="1" applyBorder="1"/>
    <xf numFmtId="0" fontId="17463" fillId="17466" borderId="17413" xfId="0" applyFont="1" applyFill="1" applyBorder="1"/>
    <xf numFmtId="0" fontId="17464" fillId="17467" borderId="17414" xfId="0" applyFont="1" applyFill="1" applyBorder="1"/>
    <xf numFmtId="0" fontId="17465" fillId="17468" borderId="17415" xfId="0" applyFont="1" applyFill="1" applyBorder="1"/>
    <xf numFmtId="0" fontId="17466" fillId="17469" borderId="17416" xfId="0" applyFont="1" applyFill="1" applyBorder="1"/>
    <xf numFmtId="0" fontId="17467" fillId="17470" borderId="17417" xfId="0" applyFont="1" applyFill="1" applyBorder="1"/>
    <xf numFmtId="0" fontId="17468" fillId="17471" borderId="17418" xfId="0" applyFont="1" applyFill="1" applyBorder="1"/>
    <xf numFmtId="0" fontId="17469" fillId="17472" borderId="17419" xfId="0" applyFont="1" applyFill="1" applyBorder="1"/>
    <xf numFmtId="0" fontId="17470" fillId="17473" borderId="17420" xfId="0" applyFont="1" applyFill="1" applyBorder="1"/>
    <xf numFmtId="0" fontId="17471" fillId="17474" borderId="17421" xfId="0" applyFont="1" applyFill="1" applyBorder="1"/>
    <xf numFmtId="0" fontId="17472" fillId="17475" borderId="17422" xfId="0" applyFont="1" applyFill="1" applyBorder="1"/>
    <xf numFmtId="0" fontId="17473" fillId="17476" borderId="17423" xfId="0" applyFont="1" applyFill="1" applyBorder="1"/>
    <xf numFmtId="0" fontId="17474" fillId="17477" borderId="17424" xfId="0" applyFont="1" applyFill="1" applyBorder="1"/>
    <xf numFmtId="0" fontId="17475" fillId="17478" borderId="17425" xfId="0" applyFont="1" applyFill="1" applyBorder="1"/>
    <xf numFmtId="0" fontId="17476" fillId="17479" borderId="17426" xfId="0" applyFont="1" applyFill="1" applyBorder="1"/>
    <xf numFmtId="0" fontId="17477" fillId="17480" borderId="17427" xfId="0" applyFont="1" applyFill="1" applyBorder="1"/>
    <xf numFmtId="0" fontId="17478" fillId="17481" borderId="17428" xfId="0" applyFont="1" applyFill="1" applyBorder="1"/>
    <xf numFmtId="0" fontId="17479" fillId="17482" borderId="17429" xfId="0" applyFont="1" applyFill="1" applyBorder="1"/>
    <xf numFmtId="0" fontId="17480" fillId="17483" borderId="17430" xfId="0" applyFont="1" applyFill="1" applyBorder="1"/>
    <xf numFmtId="0" fontId="17481" fillId="17484" borderId="17431" xfId="0" applyFont="1" applyFill="1" applyBorder="1"/>
    <xf numFmtId="0" fontId="17482" fillId="17485" borderId="17432" xfId="0" applyFont="1" applyFill="1" applyBorder="1"/>
    <xf numFmtId="0" fontId="17483" fillId="17486" borderId="17433" xfId="0" applyFont="1" applyFill="1" applyBorder="1"/>
    <xf numFmtId="0" fontId="17484" fillId="17487" borderId="17434" xfId="0" applyFont="1" applyFill="1" applyBorder="1"/>
    <xf numFmtId="0" fontId="17485" fillId="17488" borderId="17435" xfId="0" applyFont="1" applyFill="1" applyBorder="1"/>
    <xf numFmtId="0" fontId="17486" fillId="17489" borderId="17436" xfId="0" applyFont="1" applyFill="1" applyBorder="1"/>
    <xf numFmtId="0" fontId="17487" fillId="17490" borderId="17437" xfId="0" applyFont="1" applyFill="1" applyBorder="1"/>
    <xf numFmtId="0" fontId="17488" fillId="17491" borderId="17438" xfId="0" applyFont="1" applyFill="1" applyBorder="1"/>
    <xf numFmtId="0" fontId="17495" fillId="17498" borderId="17445" xfId="0" applyFont="1" applyFill="1" applyBorder="1"/>
    <xf numFmtId="0" fontId="17496" fillId="17499" borderId="17446" xfId="0" applyFont="1" applyFill="1" applyBorder="1"/>
    <xf numFmtId="0" fontId="17497" fillId="17500" borderId="17447" xfId="0" applyFont="1" applyFill="1" applyBorder="1"/>
    <xf numFmtId="0" fontId="17498" fillId="17501" borderId="17448" xfId="0" applyFont="1" applyFill="1" applyBorder="1"/>
    <xf numFmtId="0" fontId="17499" fillId="17502" borderId="17449" xfId="0" applyFont="1" applyFill="1" applyBorder="1"/>
    <xf numFmtId="0" fontId="17500" fillId="17503" borderId="17450" xfId="0" applyFont="1" applyFill="1" applyBorder="1"/>
    <xf numFmtId="0" fontId="17501" fillId="17504" borderId="17451" xfId="0" applyFont="1" applyFill="1" applyBorder="1" applyAlignment="1">
      <alignment horizontal="center" wrapText="1"/>
    </xf>
    <xf numFmtId="0" fontId="17502" fillId="17505" borderId="17452" xfId="0" applyFont="1" applyFill="1" applyBorder="1" applyAlignment="1">
      <alignment horizontal="center" wrapText="1"/>
    </xf>
    <xf numFmtId="0" fontId="17503" fillId="17506" borderId="17453" xfId="0" applyFont="1" applyFill="1" applyBorder="1" applyAlignment="1">
      <alignment horizontal="center" wrapText="1"/>
    </xf>
    <xf numFmtId="0" fontId="17504" fillId="17507" borderId="17454" xfId="0" applyFont="1" applyFill="1" applyBorder="1" applyAlignment="1">
      <alignment horizontal="center" wrapText="1"/>
    </xf>
    <xf numFmtId="0" fontId="17505" fillId="17508" borderId="17455" xfId="0" applyFont="1" applyFill="1" applyBorder="1" applyAlignment="1">
      <alignment horizontal="center" wrapText="1"/>
    </xf>
    <xf numFmtId="0" fontId="17506" fillId="17509" borderId="17456" xfId="0" applyFont="1" applyFill="1" applyBorder="1" applyAlignment="1">
      <alignment horizontal="center" wrapText="1"/>
    </xf>
    <xf numFmtId="0" fontId="17507" fillId="17510" borderId="17457" xfId="0" applyFont="1" applyFill="1" applyBorder="1"/>
    <xf numFmtId="0" fontId="17508" fillId="17511" borderId="17458" xfId="0" applyFont="1" applyFill="1" applyBorder="1"/>
    <xf numFmtId="0" fontId="17509" fillId="17512" borderId="17459" xfId="0" applyFont="1" applyFill="1" applyBorder="1"/>
    <xf numFmtId="0" fontId="17510" fillId="17513" borderId="17460" xfId="0" applyFont="1" applyFill="1" applyBorder="1"/>
    <xf numFmtId="0" fontId="17511" fillId="17514" borderId="17461" xfId="0" applyFont="1" applyFill="1" applyBorder="1"/>
    <xf numFmtId="0" fontId="17512" fillId="17515" borderId="17462" xfId="0" applyFont="1" applyFill="1" applyBorder="1"/>
    <xf numFmtId="0" fontId="17513" fillId="17516" borderId="17463" xfId="0" applyFont="1" applyFill="1" applyBorder="1" applyAlignment="1">
      <alignment horizontal="center"/>
    </xf>
    <xf numFmtId="4" fontId="17514" fillId="17517" borderId="17464" xfId="0" applyNumberFormat="1" applyFont="1" applyFill="1" applyBorder="1"/>
    <xf numFmtId="4" fontId="17515" fillId="17518" borderId="17465" xfId="0" applyNumberFormat="1" applyFont="1" applyFill="1" applyBorder="1"/>
    <xf numFmtId="4" fontId="17516" fillId="17519" borderId="17466" xfId="0" applyNumberFormat="1" applyFont="1" applyFill="1" applyBorder="1"/>
    <xf numFmtId="4" fontId="17517" fillId="17520" borderId="17467" xfId="0" applyNumberFormat="1" applyFont="1" applyFill="1" applyBorder="1"/>
    <xf numFmtId="0" fontId="17518" fillId="17521" borderId="17468" xfId="0" applyFont="1" applyFill="1" applyBorder="1" applyAlignment="1">
      <alignment horizontal="center"/>
    </xf>
    <xf numFmtId="0" fontId="17519" fillId="17522" borderId="17469" xfId="0" applyFont="1" applyFill="1" applyBorder="1"/>
    <xf numFmtId="0" fontId="17520" fillId="17523" borderId="17470" xfId="0" applyFont="1" applyFill="1" applyBorder="1"/>
    <xf numFmtId="0" fontId="17521" fillId="17524" borderId="17471" xfId="0" applyFont="1" applyFill="1" applyBorder="1"/>
    <xf numFmtId="0" fontId="17522" fillId="17525" borderId="17472" xfId="0" applyFont="1" applyFill="1" applyBorder="1"/>
    <xf numFmtId="0" fontId="17523" fillId="17526" borderId="17473" xfId="0" applyFont="1" applyFill="1" applyBorder="1"/>
    <xf numFmtId="0" fontId="17524" fillId="17527" borderId="17474" xfId="0" applyFont="1" applyFill="1" applyBorder="1"/>
    <xf numFmtId="0" fontId="17525" fillId="17528" borderId="17475" xfId="0" applyFont="1" applyFill="1" applyBorder="1" applyAlignment="1">
      <alignment horizontal="center"/>
    </xf>
    <xf numFmtId="4" fontId="17526" fillId="17529" borderId="17476" xfId="0" applyNumberFormat="1" applyFont="1" applyFill="1" applyBorder="1"/>
    <xf numFmtId="4" fontId="17527" fillId="17530" borderId="17477" xfId="0" applyNumberFormat="1" applyFont="1" applyFill="1" applyBorder="1"/>
    <xf numFmtId="4" fontId="17528" fillId="17531" borderId="17478" xfId="0" applyNumberFormat="1" applyFont="1" applyFill="1" applyBorder="1"/>
    <xf numFmtId="4" fontId="17529" fillId="17532" borderId="17479" xfId="0" applyNumberFormat="1" applyFont="1" applyFill="1" applyBorder="1"/>
    <xf numFmtId="0" fontId="17530" fillId="17533" borderId="17480" xfId="0" applyFont="1" applyFill="1" applyBorder="1" applyAlignment="1">
      <alignment horizontal="center"/>
    </xf>
    <xf numFmtId="0" fontId="17531" fillId="17534" borderId="17481" xfId="0" applyFont="1" applyFill="1" applyBorder="1"/>
    <xf numFmtId="0" fontId="17532" fillId="17535" borderId="17482" xfId="0" applyFont="1" applyFill="1" applyBorder="1"/>
    <xf numFmtId="0" fontId="17533" fillId="17536" borderId="17483" xfId="0" applyFont="1" applyFill="1" applyBorder="1"/>
    <xf numFmtId="0" fontId="17534" fillId="17537" borderId="17484" xfId="0" applyFont="1" applyFill="1" applyBorder="1"/>
    <xf numFmtId="0" fontId="17535" fillId="17538" borderId="17485" xfId="0" applyFont="1" applyFill="1" applyBorder="1"/>
    <xf numFmtId="0" fontId="17536" fillId="17539" borderId="17486" xfId="0" applyFont="1" applyFill="1" applyBorder="1"/>
    <xf numFmtId="0" fontId="17537" fillId="17540" borderId="17487" xfId="0" applyFont="1" applyFill="1" applyBorder="1"/>
    <xf numFmtId="0" fontId="17538" fillId="17541" borderId="17488" xfId="0" applyFont="1" applyFill="1" applyBorder="1"/>
    <xf numFmtId="0" fontId="17539" fillId="17542" borderId="17489" xfId="0" applyFont="1" applyFill="1" applyBorder="1"/>
    <xf numFmtId="0" fontId="17540" fillId="17543" borderId="17490" xfId="0" applyFont="1" applyFill="1" applyBorder="1"/>
    <xf numFmtId="0" fontId="17541" fillId="17544" borderId="17491" xfId="0" applyFont="1" applyFill="1" applyBorder="1"/>
    <xf numFmtId="0" fontId="17542" fillId="17545" borderId="17492" xfId="0" applyFont="1" applyFill="1" applyBorder="1"/>
    <xf numFmtId="0" fontId="17543" fillId="17546" borderId="17493" xfId="0" applyFont="1" applyFill="1" applyBorder="1"/>
    <xf numFmtId="0" fontId="17544" fillId="17547" borderId="17494" xfId="0" applyFont="1" applyFill="1" applyBorder="1"/>
    <xf numFmtId="0" fontId="17545" fillId="17548" borderId="17495" xfId="0" applyFont="1" applyFill="1" applyBorder="1"/>
    <xf numFmtId="0" fontId="17546" fillId="17549" borderId="17496" xfId="0" applyFont="1" applyFill="1" applyBorder="1"/>
    <xf numFmtId="0" fontId="17547" fillId="17550" borderId="17497" xfId="0" applyFont="1" applyFill="1" applyBorder="1"/>
    <xf numFmtId="0" fontId="17548" fillId="17551" borderId="17498" xfId="0" applyFont="1" applyFill="1" applyBorder="1"/>
    <xf numFmtId="165" fontId="17372" fillId="17406" borderId="17353" xfId="0" applyNumberFormat="1" applyFont="1" applyFill="1" applyBorder="1"/>
    <xf numFmtId="165" fontId="17421" fillId="17424" borderId="17371" xfId="0" applyNumberFormat="1" applyFont="1" applyFill="1" applyBorder="1"/>
    <xf numFmtId="165" fontId="17443" fillId="17446" borderId="17393" xfId="0" applyNumberFormat="1" applyFont="1" applyFill="1" applyBorder="1"/>
    <xf numFmtId="0" fontId="17549" fillId="17552" borderId="17499" xfId="0" applyFont="1" applyFill="1" applyBorder="1" applyAlignment="1">
      <alignment horizontal="center"/>
    </xf>
    <xf numFmtId="4" fontId="17550" fillId="17553" borderId="17500" xfId="0" applyNumberFormat="1" applyFont="1" applyFill="1" applyBorder="1"/>
    <xf numFmtId="4" fontId="17551" fillId="17554" borderId="17501" xfId="0" applyNumberFormat="1" applyFont="1" applyFill="1" applyBorder="1"/>
    <xf numFmtId="4" fontId="17552" fillId="17555" borderId="17502" xfId="0" applyNumberFormat="1" applyFont="1" applyFill="1" applyBorder="1"/>
    <xf numFmtId="4" fontId="17553" fillId="17556" borderId="17503" xfId="0" applyNumberFormat="1" applyFont="1" applyFill="1" applyBorder="1"/>
    <xf numFmtId="0" fontId="17554" fillId="17557" borderId="17504" xfId="0" applyFont="1" applyFill="1" applyBorder="1" applyAlignment="1">
      <alignment horizontal="center"/>
    </xf>
    <xf numFmtId="0" fontId="17555" fillId="17558" borderId="17505" xfId="0" applyFont="1" applyFill="1" applyBorder="1"/>
    <xf numFmtId="0" fontId="17556" fillId="17559" borderId="17506" xfId="0" applyFont="1" applyFill="1" applyBorder="1"/>
    <xf numFmtId="0" fontId="17557" fillId="17560" borderId="17507" xfId="0" applyFont="1" applyFill="1" applyBorder="1"/>
    <xf numFmtId="0" fontId="17558" fillId="17561" borderId="17508" xfId="0" applyFont="1" applyFill="1" applyBorder="1"/>
    <xf numFmtId="0" fontId="17559" fillId="17562" borderId="17509" xfId="0" applyFont="1" applyFill="1" applyBorder="1"/>
    <xf numFmtId="0" fontId="17560" fillId="17563" borderId="17510" xfId="0" applyFont="1" applyFill="1" applyBorder="1"/>
    <xf numFmtId="0" fontId="11954" fillId="11958" borderId="11564" xfId="0" applyFont="1" applyFill="1" applyBorder="1" applyAlignment="1">
      <alignment horizontal="center"/>
    </xf>
    <xf numFmtId="0" fontId="11910" fillId="11914" borderId="11905" xfId="0" applyFont="1" applyFill="1" applyBorder="1" applyAlignment="1">
      <alignment horizontal="center"/>
    </xf>
    <xf numFmtId="0" fontId="11712" fillId="11716" borderId="11861" xfId="0" applyFont="1" applyFill="1" applyBorder="1" applyAlignment="1">
      <alignment horizontal="center"/>
    </xf>
    <xf numFmtId="0" fontId="11635" fillId="11639" borderId="11663" xfId="0" applyFont="1" applyFill="1" applyBorder="1" applyAlignment="1">
      <alignment horizontal="center"/>
    </xf>
    <xf numFmtId="0" fontId="11976" fillId="11980" borderId="11586" xfId="0" applyFont="1" applyFill="1" applyBorder="1" applyAlignment="1">
      <alignment horizontal="center"/>
    </xf>
    <xf numFmtId="0" fontId="11943" fillId="11947" borderId="11927" xfId="0" applyFont="1" applyFill="1" applyBorder="1" applyAlignment="1">
      <alignment horizontal="center"/>
    </xf>
    <xf numFmtId="0" fontId="11899" fillId="11903" borderId="11894" xfId="0" applyFont="1" applyFill="1" applyBorder="1" applyAlignment="1">
      <alignment horizontal="center"/>
    </xf>
    <xf numFmtId="0" fontId="11701" fillId="11705" borderId="11850" xfId="0" applyFont="1" applyFill="1" applyBorder="1" applyAlignment="1">
      <alignment horizontal="center"/>
    </xf>
    <xf numFmtId="0" fontId="11624" fillId="11628" borderId="11652" xfId="0" applyFont="1" applyFill="1" applyBorder="1" applyAlignment="1">
      <alignment horizontal="center"/>
    </xf>
    <xf numFmtId="0" fontId="11965" fillId="11969" borderId="11575" xfId="0" applyFont="1" applyFill="1" applyBorder="1" applyAlignment="1">
      <alignment horizontal="center"/>
    </xf>
    <xf numFmtId="0" fontId="11932" fillId="11936" borderId="11916" xfId="0" applyFont="1" applyFill="1" applyBorder="1" applyAlignment="1">
      <alignment horizontal="center"/>
    </xf>
    <xf numFmtId="0" fontId="11888" fillId="11892" borderId="11883" xfId="0" applyFont="1" applyFill="1" applyBorder="1" applyAlignment="1">
      <alignment horizontal="center"/>
    </xf>
    <xf numFmtId="0" fontId="11690" fillId="11694" borderId="11839" xfId="0" applyFont="1" applyFill="1" applyBorder="1" applyAlignment="1">
      <alignment horizontal="center"/>
    </xf>
    <xf numFmtId="0" fontId="11613" fillId="11617" borderId="11641" xfId="0" applyFont="1" applyFill="1" applyBorder="1" applyAlignment="1">
      <alignment horizontal="center"/>
    </xf>
    <xf numFmtId="0" fontId="11811" fillId="11815" borderId="11597" xfId="0" applyFont="1" applyFill="1" applyBorder="1" applyAlignment="1">
      <alignment horizontal="center"/>
    </xf>
    <xf numFmtId="0" fontId="11844" fillId="11848" borderId="11762" xfId="0" applyFont="1" applyFill="1" applyBorder="1" applyAlignment="1">
      <alignment horizontal="center"/>
    </xf>
    <xf numFmtId="0" fontId="11921" fillId="11925" borderId="11795" xfId="0" applyFont="1" applyFill="1" applyBorder="1" applyAlignment="1">
      <alignment horizontal="center"/>
    </xf>
    <xf numFmtId="0" fontId="11877" fillId="11881" borderId="11872" xfId="0" applyFont="1" applyFill="1" applyBorder="1" applyAlignment="1">
      <alignment horizontal="center"/>
    </xf>
    <xf numFmtId="0" fontId="11679" fillId="11683" borderId="11828" xfId="0" applyFont="1" applyFill="1" applyBorder="1" applyAlignment="1">
      <alignment horizontal="center"/>
    </xf>
    <xf numFmtId="0" fontId="12009" fillId="12013" borderId="11630" xfId="0" applyFont="1" applyFill="1" applyBorder="1" applyAlignment="1">
      <alignment horizontal="center"/>
    </xf>
    <xf numFmtId="0" fontId="11745" fillId="11749" borderId="11960" xfId="0" applyFont="1" applyFill="1" applyBorder="1" applyAlignment="1">
      <alignment horizontal="center"/>
    </xf>
    <xf numFmtId="0" fontId="12031" fillId="12035" borderId="11696" xfId="0" applyFont="1" applyFill="1" applyBorder="1" applyAlignment="1">
      <alignment horizontal="center"/>
    </xf>
    <xf numFmtId="0" fontId="11767" fillId="11771" borderId="11982" xfId="0" applyFont="1" applyFill="1" applyBorder="1" applyAlignment="1">
      <alignment horizontal="center"/>
    </xf>
    <xf numFmtId="0" fontId="12053" fillId="12057" borderId="11718" xfId="0" applyFont="1" applyFill="1" applyBorder="1" applyAlignment="1">
      <alignment horizontal="center"/>
    </xf>
    <xf numFmtId="0" fontId="11789" fillId="11793" borderId="12004" xfId="0" applyFont="1" applyFill="1" applyBorder="1" applyAlignment="1">
      <alignment horizontal="center"/>
    </xf>
    <xf numFmtId="0" fontId="11657" fillId="11661" borderId="11740" xfId="0" applyFont="1" applyFill="1" applyBorder="1" applyAlignment="1">
      <alignment horizontal="center"/>
    </xf>
    <xf numFmtId="0" fontId="11987" fillId="11991" borderId="11608" xfId="0" applyFont="1" applyFill="1" applyBorder="1" applyAlignment="1">
      <alignment horizontal="center"/>
    </xf>
    <xf numFmtId="0" fontId="11723" fillId="11727" borderId="11938" xfId="0" applyFont="1" applyFill="1" applyBorder="1" applyAlignment="1">
      <alignment horizontal="center"/>
    </xf>
    <xf numFmtId="0" fontId="11822" fillId="11826" borderId="11674" xfId="0" applyFont="1" applyFill="1" applyBorder="1" applyAlignment="1">
      <alignment horizontal="center"/>
    </xf>
    <xf numFmtId="0" fontId="11855" fillId="11859" borderId="11773" xfId="0" applyFont="1" applyFill="1" applyBorder="1" applyAlignment="1">
      <alignment horizontal="center"/>
    </xf>
    <xf numFmtId="0" fontId="12064" fillId="12068" borderId="11806" xfId="0" applyFont="1" applyFill="1" applyBorder="1" applyAlignment="1">
      <alignment horizontal="center"/>
    </xf>
    <xf numFmtId="0" fontId="11800" fillId="11804" borderId="12015" xfId="0" applyFont="1" applyFill="1" applyBorder="1" applyAlignment="1">
      <alignment horizontal="center"/>
    </xf>
    <xf numFmtId="0" fontId="11833" fillId="11837" borderId="11751" xfId="0" applyFont="1" applyFill="1" applyBorder="1" applyAlignment="1">
      <alignment horizontal="center"/>
    </xf>
    <xf numFmtId="0" fontId="11866" fillId="11870" borderId="11784" xfId="0" applyFont="1" applyFill="1" applyBorder="1" applyAlignment="1">
      <alignment horizontal="center"/>
    </xf>
    <xf numFmtId="0" fontId="11668" fillId="11672" borderId="11817" xfId="0" applyFont="1" applyFill="1" applyBorder="1" applyAlignment="1">
      <alignment horizontal="center"/>
    </xf>
    <xf numFmtId="0" fontId="11998" fillId="12002" borderId="11619" xfId="0" applyFont="1" applyFill="1" applyBorder="1" applyAlignment="1">
      <alignment horizontal="center"/>
    </xf>
    <xf numFmtId="0" fontId="11734" fillId="11738" borderId="11949" xfId="0" applyFont="1" applyFill="1" applyBorder="1" applyAlignment="1">
      <alignment horizontal="center"/>
    </xf>
    <xf numFmtId="0" fontId="12020" fillId="12024" borderId="11685" xfId="0" applyFont="1" applyFill="1" applyBorder="1" applyAlignment="1">
      <alignment horizontal="center"/>
    </xf>
    <xf numFmtId="0" fontId="11756" fillId="11760" borderId="11971" xfId="0" applyFont="1" applyFill="1" applyBorder="1" applyAlignment="1">
      <alignment horizontal="center"/>
    </xf>
    <xf numFmtId="0" fontId="12042" fillId="12046" borderId="11707" xfId="0" applyFont="1" applyFill="1" applyBorder="1" applyAlignment="1">
      <alignment horizontal="center"/>
    </xf>
    <xf numFmtId="0" fontId="11778" fillId="11782" borderId="11993" xfId="0" applyFont="1" applyFill="1" applyBorder="1" applyAlignment="1">
      <alignment horizontal="center"/>
    </xf>
    <xf numFmtId="0" fontId="11646" fillId="11650" borderId="11729" xfId="0" applyFont="1" applyFill="1" applyBorder="1" applyAlignment="1">
      <alignment horizontal="center"/>
    </xf>
    <xf numFmtId="14" fontId="11955" fillId="11959" borderId="11565" xfId="0" applyNumberFormat="1" applyFont="1" applyFill="1" applyBorder="1"/>
    <xf numFmtId="14" fontId="11911" fillId="11915" borderId="11906" xfId="0" applyNumberFormat="1" applyFont="1" applyFill="1" applyBorder="1"/>
    <xf numFmtId="14" fontId="11713" fillId="11717" borderId="11862" xfId="0" applyNumberFormat="1" applyFont="1" applyFill="1" applyBorder="1"/>
    <xf numFmtId="14" fontId="11636" fillId="11640" borderId="11664" xfId="0" applyNumberFormat="1" applyFont="1" applyFill="1" applyBorder="1"/>
    <xf numFmtId="14" fontId="11977" fillId="11981" borderId="11587" xfId="0" applyNumberFormat="1" applyFont="1" applyFill="1" applyBorder="1"/>
    <xf numFmtId="14" fontId="11944" fillId="11948" borderId="11928" xfId="0" applyNumberFormat="1" applyFont="1" applyFill="1" applyBorder="1"/>
    <xf numFmtId="14" fontId="11900" fillId="11904" borderId="11895" xfId="0" applyNumberFormat="1" applyFont="1" applyFill="1" applyBorder="1"/>
    <xf numFmtId="14" fontId="11702" fillId="11706" borderId="11851" xfId="0" applyNumberFormat="1" applyFont="1" applyFill="1" applyBorder="1"/>
    <xf numFmtId="14" fontId="11625" fillId="11629" borderId="11653" xfId="0" applyNumberFormat="1" applyFont="1" applyFill="1" applyBorder="1"/>
    <xf numFmtId="14" fontId="11966" fillId="11970" borderId="11576" xfId="0" applyNumberFormat="1" applyFont="1" applyFill="1" applyBorder="1"/>
    <xf numFmtId="14" fontId="11933" fillId="11937" borderId="11917" xfId="0" applyNumberFormat="1" applyFont="1" applyFill="1" applyBorder="1"/>
    <xf numFmtId="14" fontId="11889" fillId="11893" borderId="11884" xfId="0" applyNumberFormat="1" applyFont="1" applyFill="1" applyBorder="1"/>
    <xf numFmtId="14" fontId="11691" fillId="11695" borderId="11840" xfId="0" applyNumberFormat="1" applyFont="1" applyFill="1" applyBorder="1"/>
    <xf numFmtId="14" fontId="11614" fillId="11618" borderId="11642" xfId="0" applyNumberFormat="1" applyFont="1" applyFill="1" applyBorder="1"/>
    <xf numFmtId="14" fontId="11812" fillId="11816" borderId="11598" xfId="0" applyNumberFormat="1" applyFont="1" applyFill="1" applyBorder="1"/>
    <xf numFmtId="14" fontId="11845" fillId="11849" borderId="11763" xfId="0" applyNumberFormat="1" applyFont="1" applyFill="1" applyBorder="1"/>
    <xf numFmtId="14" fontId="11922" fillId="11926" borderId="11796" xfId="0" applyNumberFormat="1" applyFont="1" applyFill="1" applyBorder="1"/>
    <xf numFmtId="14" fontId="11878" fillId="11882" borderId="11873" xfId="0" applyNumberFormat="1" applyFont="1" applyFill="1" applyBorder="1"/>
    <xf numFmtId="14" fontId="11680" fillId="11684" borderId="11829" xfId="0" applyNumberFormat="1" applyFont="1" applyFill="1" applyBorder="1"/>
    <xf numFmtId="14" fontId="12010" fillId="12014" borderId="11631" xfId="0" applyNumberFormat="1" applyFont="1" applyFill="1" applyBorder="1"/>
    <xf numFmtId="14" fontId="11746" fillId="11750" borderId="11961" xfId="0" applyNumberFormat="1" applyFont="1" applyFill="1" applyBorder="1"/>
    <xf numFmtId="14" fontId="12032" fillId="12036" borderId="11697" xfId="0" applyNumberFormat="1" applyFont="1" applyFill="1" applyBorder="1"/>
    <xf numFmtId="14" fontId="11768" fillId="11772" borderId="11983" xfId="0" applyNumberFormat="1" applyFont="1" applyFill="1" applyBorder="1"/>
    <xf numFmtId="14" fontId="12054" fillId="12058" borderId="11719" xfId="0" applyNumberFormat="1" applyFont="1" applyFill="1" applyBorder="1"/>
    <xf numFmtId="14" fontId="11790" fillId="11794" borderId="12005" xfId="0" applyNumberFormat="1" applyFont="1" applyFill="1" applyBorder="1"/>
    <xf numFmtId="14" fontId="11658" fillId="11662" borderId="11741" xfId="0" applyNumberFormat="1" applyFont="1" applyFill="1" applyBorder="1"/>
    <xf numFmtId="14" fontId="11988" fillId="11992" borderId="11609" xfId="0" applyNumberFormat="1" applyFont="1" applyFill="1" applyBorder="1"/>
    <xf numFmtId="14" fontId="11724" fillId="11728" borderId="11939" xfId="0" applyNumberFormat="1" applyFont="1" applyFill="1" applyBorder="1"/>
    <xf numFmtId="14" fontId="11823" fillId="11827" borderId="11675" xfId="0" applyNumberFormat="1" applyFont="1" applyFill="1" applyBorder="1"/>
    <xf numFmtId="14" fontId="11856" fillId="11860" borderId="11774" xfId="0" applyNumberFormat="1" applyFont="1" applyFill="1" applyBorder="1"/>
    <xf numFmtId="14" fontId="12065" fillId="12069" borderId="11807" xfId="0" applyNumberFormat="1" applyFont="1" applyFill="1" applyBorder="1"/>
    <xf numFmtId="14" fontId="11801" fillId="11805" borderId="12016" xfId="0" applyNumberFormat="1" applyFont="1" applyFill="1" applyBorder="1"/>
    <xf numFmtId="14" fontId="11834" fillId="11838" borderId="11752" xfId="0" applyNumberFormat="1" applyFont="1" applyFill="1" applyBorder="1"/>
    <xf numFmtId="14" fontId="11867" fillId="11871" borderId="11785" xfId="0" applyNumberFormat="1" applyFont="1" applyFill="1" applyBorder="1"/>
    <xf numFmtId="14" fontId="11669" fillId="11673" borderId="11818" xfId="0" applyNumberFormat="1" applyFont="1" applyFill="1" applyBorder="1"/>
    <xf numFmtId="14" fontId="11999" fillId="12003" borderId="11620" xfId="0" applyNumberFormat="1" applyFont="1" applyFill="1" applyBorder="1"/>
    <xf numFmtId="14" fontId="11735" fillId="11739" borderId="11950" xfId="0" applyNumberFormat="1" applyFont="1" applyFill="1" applyBorder="1"/>
    <xf numFmtId="14" fontId="12021" fillId="12025" borderId="11686" xfId="0" applyNumberFormat="1" applyFont="1" applyFill="1" applyBorder="1"/>
    <xf numFmtId="14" fontId="11757" fillId="11761" borderId="11972" xfId="0" applyNumberFormat="1" applyFont="1" applyFill="1" applyBorder="1"/>
    <xf numFmtId="14" fontId="12043" fillId="12047" borderId="11708" xfId="0" applyNumberFormat="1" applyFont="1" applyFill="1" applyBorder="1"/>
    <xf numFmtId="14" fontId="11779" fillId="11783" borderId="11994" xfId="0" applyNumberFormat="1" applyFont="1" applyFill="1" applyBorder="1"/>
    <xf numFmtId="14" fontId="11647" fillId="11651" borderId="11730" xfId="0" applyNumberFormat="1" applyFont="1" applyFill="1" applyBorder="1"/>
    <xf numFmtId="0" fontId="11956" fillId="11960" borderId="11566" xfId="0" applyFont="1" applyFill="1" applyBorder="1" applyAlignment="1">
      <alignment horizontal="center"/>
    </xf>
    <xf numFmtId="0" fontId="11912" fillId="11916" borderId="11907" xfId="0" applyFont="1" applyFill="1" applyBorder="1" applyAlignment="1">
      <alignment horizontal="center"/>
    </xf>
    <xf numFmtId="0" fontId="11714" fillId="11718" borderId="11863" xfId="0" applyFont="1" applyFill="1" applyBorder="1" applyAlignment="1">
      <alignment horizontal="center"/>
    </xf>
    <xf numFmtId="0" fontId="11637" fillId="11641" borderId="11665" xfId="0" applyFont="1" applyFill="1" applyBorder="1" applyAlignment="1">
      <alignment horizontal="center"/>
    </xf>
    <xf numFmtId="0" fontId="11978" fillId="11982" borderId="11588" xfId="0" applyFont="1" applyFill="1" applyBorder="1" applyAlignment="1">
      <alignment horizontal="center"/>
    </xf>
    <xf numFmtId="0" fontId="11945" fillId="11949" borderId="11929" xfId="0" applyFont="1" applyFill="1" applyBorder="1" applyAlignment="1">
      <alignment horizontal="center"/>
    </xf>
    <xf numFmtId="0" fontId="11901" fillId="11905" borderId="11896" xfId="0" applyFont="1" applyFill="1" applyBorder="1" applyAlignment="1">
      <alignment horizontal="center"/>
    </xf>
    <xf numFmtId="0" fontId="11703" fillId="11707" borderId="11852" xfId="0" applyFont="1" applyFill="1" applyBorder="1" applyAlignment="1">
      <alignment horizontal="center"/>
    </xf>
    <xf numFmtId="0" fontId="11626" fillId="11630" borderId="11654" xfId="0" applyFont="1" applyFill="1" applyBorder="1" applyAlignment="1">
      <alignment horizontal="center"/>
    </xf>
    <xf numFmtId="0" fontId="11967" fillId="11971" borderId="11577" xfId="0" applyFont="1" applyFill="1" applyBorder="1" applyAlignment="1">
      <alignment horizontal="center"/>
    </xf>
    <xf numFmtId="0" fontId="11934" fillId="11938" borderId="11918" xfId="0" applyFont="1" applyFill="1" applyBorder="1" applyAlignment="1">
      <alignment horizontal="center"/>
    </xf>
    <xf numFmtId="0" fontId="11890" fillId="11894" borderId="11885" xfId="0" applyFont="1" applyFill="1" applyBorder="1" applyAlignment="1">
      <alignment horizontal="center"/>
    </xf>
    <xf numFmtId="0" fontId="11692" fillId="11696" borderId="11841" xfId="0" applyFont="1" applyFill="1" applyBorder="1" applyAlignment="1">
      <alignment horizontal="center"/>
    </xf>
    <xf numFmtId="0" fontId="11615" fillId="11619" borderId="11643" xfId="0" applyFont="1" applyFill="1" applyBorder="1" applyAlignment="1">
      <alignment horizontal="center"/>
    </xf>
    <xf numFmtId="0" fontId="11813" fillId="11817" borderId="11599" xfId="0" applyFont="1" applyFill="1" applyBorder="1" applyAlignment="1">
      <alignment horizontal="center"/>
    </xf>
    <xf numFmtId="0" fontId="11846" fillId="11850" borderId="11764" xfId="0" applyFont="1" applyFill="1" applyBorder="1" applyAlignment="1">
      <alignment horizontal="center"/>
    </xf>
    <xf numFmtId="0" fontId="11923" fillId="11927" borderId="11797" xfId="0" applyFont="1" applyFill="1" applyBorder="1" applyAlignment="1">
      <alignment horizontal="center"/>
    </xf>
    <xf numFmtId="0" fontId="11879" fillId="11883" borderId="11874" xfId="0" applyFont="1" applyFill="1" applyBorder="1" applyAlignment="1">
      <alignment horizontal="center"/>
    </xf>
    <xf numFmtId="0" fontId="11681" fillId="11685" borderId="11830" xfId="0" applyFont="1" applyFill="1" applyBorder="1" applyAlignment="1">
      <alignment horizontal="center"/>
    </xf>
    <xf numFmtId="0" fontId="12011" fillId="12015" borderId="11632" xfId="0" applyFont="1" applyFill="1" applyBorder="1" applyAlignment="1">
      <alignment horizontal="center"/>
    </xf>
    <xf numFmtId="0" fontId="11747" fillId="11751" borderId="11962" xfId="0" applyFont="1" applyFill="1" applyBorder="1" applyAlignment="1">
      <alignment horizontal="center"/>
    </xf>
    <xf numFmtId="0" fontId="12033" fillId="12037" borderId="11698" xfId="0" applyFont="1" applyFill="1" applyBorder="1" applyAlignment="1">
      <alignment horizontal="center"/>
    </xf>
    <xf numFmtId="0" fontId="11769" fillId="11773" borderId="11984" xfId="0" applyFont="1" applyFill="1" applyBorder="1" applyAlignment="1">
      <alignment horizontal="center"/>
    </xf>
    <xf numFmtId="0" fontId="12055" fillId="12059" borderId="11720" xfId="0" applyFont="1" applyFill="1" applyBorder="1" applyAlignment="1">
      <alignment horizontal="center"/>
    </xf>
    <xf numFmtId="0" fontId="11791" fillId="11795" borderId="12006" xfId="0" applyFont="1" applyFill="1" applyBorder="1" applyAlignment="1">
      <alignment horizontal="center"/>
    </xf>
    <xf numFmtId="0" fontId="11659" fillId="11663" borderId="11742" xfId="0" applyFont="1" applyFill="1" applyBorder="1" applyAlignment="1">
      <alignment horizontal="center"/>
    </xf>
    <xf numFmtId="0" fontId="11989" fillId="11993" borderId="11610" xfId="0" applyFont="1" applyFill="1" applyBorder="1" applyAlignment="1">
      <alignment horizontal="center"/>
    </xf>
    <xf numFmtId="0" fontId="11725" fillId="11729" borderId="11940" xfId="0" applyFont="1" applyFill="1" applyBorder="1" applyAlignment="1">
      <alignment horizontal="center"/>
    </xf>
    <xf numFmtId="0" fontId="11824" fillId="11828" borderId="11676" xfId="0" applyFont="1" applyFill="1" applyBorder="1" applyAlignment="1">
      <alignment horizontal="center"/>
    </xf>
    <xf numFmtId="0" fontId="11857" fillId="11861" borderId="11775" xfId="0" applyFont="1" applyFill="1" applyBorder="1" applyAlignment="1">
      <alignment horizontal="center"/>
    </xf>
    <xf numFmtId="0" fontId="12066" fillId="12070" borderId="11808" xfId="0" applyFont="1" applyFill="1" applyBorder="1" applyAlignment="1">
      <alignment horizontal="center"/>
    </xf>
    <xf numFmtId="0" fontId="11802" fillId="11806" borderId="12017" xfId="0" applyFont="1" applyFill="1" applyBorder="1" applyAlignment="1">
      <alignment horizontal="center"/>
    </xf>
    <xf numFmtId="0" fontId="11835" fillId="11839" borderId="11753" xfId="0" applyFont="1" applyFill="1" applyBorder="1" applyAlignment="1">
      <alignment horizontal="center"/>
    </xf>
    <xf numFmtId="0" fontId="11868" fillId="11872" borderId="11786" xfId="0" applyFont="1" applyFill="1" applyBorder="1" applyAlignment="1">
      <alignment horizontal="center"/>
    </xf>
    <xf numFmtId="0" fontId="11670" fillId="11674" borderId="11819" xfId="0" applyFont="1" applyFill="1" applyBorder="1" applyAlignment="1">
      <alignment horizontal="center"/>
    </xf>
    <xf numFmtId="0" fontId="12000" fillId="12004" borderId="11621" xfId="0" applyFont="1" applyFill="1" applyBorder="1" applyAlignment="1">
      <alignment horizontal="center"/>
    </xf>
    <xf numFmtId="0" fontId="11736" fillId="11740" borderId="11951" xfId="0" applyFont="1" applyFill="1" applyBorder="1" applyAlignment="1">
      <alignment horizontal="center"/>
    </xf>
    <xf numFmtId="0" fontId="12022" fillId="12026" borderId="11687" xfId="0" applyFont="1" applyFill="1" applyBorder="1" applyAlignment="1">
      <alignment horizontal="center"/>
    </xf>
    <xf numFmtId="0" fontId="11758" fillId="11762" borderId="11973" xfId="0" applyFont="1" applyFill="1" applyBorder="1" applyAlignment="1">
      <alignment horizontal="center"/>
    </xf>
    <xf numFmtId="0" fontId="12044" fillId="12048" borderId="11709" xfId="0" applyFont="1" applyFill="1" applyBorder="1" applyAlignment="1">
      <alignment horizontal="center"/>
    </xf>
    <xf numFmtId="0" fontId="11780" fillId="11784" borderId="11995" xfId="0" applyFont="1" applyFill="1" applyBorder="1" applyAlignment="1">
      <alignment horizontal="center"/>
    </xf>
    <xf numFmtId="0" fontId="11648" fillId="11652" borderId="11731" xfId="0" applyFont="1" applyFill="1" applyBorder="1" applyAlignment="1">
      <alignment horizontal="center"/>
    </xf>
    <xf numFmtId="0" fontId="11957" fillId="11961" borderId="11567" xfId="0" applyFont="1" applyFill="1" applyBorder="1"/>
    <xf numFmtId="0" fontId="11913" fillId="11917" borderId="11908" xfId="0" applyFont="1" applyFill="1" applyBorder="1"/>
    <xf numFmtId="0" fontId="11715" fillId="11719" borderId="11864" xfId="0" applyFont="1" applyFill="1" applyBorder="1"/>
    <xf numFmtId="0" fontId="11638" fillId="11642" borderId="11666" xfId="0" applyFont="1" applyFill="1" applyBorder="1"/>
    <xf numFmtId="0" fontId="11979" fillId="11983" borderId="11589" xfId="0" applyFont="1" applyFill="1" applyBorder="1"/>
    <xf numFmtId="0" fontId="11946" fillId="11950" borderId="11930" xfId="0" applyFont="1" applyFill="1" applyBorder="1"/>
    <xf numFmtId="0" fontId="11902" fillId="11906" borderId="11897" xfId="0" applyFont="1" applyFill="1" applyBorder="1"/>
    <xf numFmtId="0" fontId="11704" fillId="11708" borderId="11853" xfId="0" applyFont="1" applyFill="1" applyBorder="1"/>
    <xf numFmtId="0" fontId="11627" fillId="11631" borderId="11655" xfId="0" applyFont="1" applyFill="1" applyBorder="1"/>
    <xf numFmtId="0" fontId="11968" fillId="11972" borderId="11578" xfId="0" applyFont="1" applyFill="1" applyBorder="1"/>
    <xf numFmtId="0" fontId="11935" fillId="11939" borderId="11919" xfId="0" applyFont="1" applyFill="1" applyBorder="1"/>
    <xf numFmtId="0" fontId="11891" fillId="11895" borderId="11886" xfId="0" applyFont="1" applyFill="1" applyBorder="1"/>
    <xf numFmtId="0" fontId="11693" fillId="11697" borderId="11842" xfId="0" applyFont="1" applyFill="1" applyBorder="1"/>
    <xf numFmtId="0" fontId="11616" fillId="11620" borderId="11644" xfId="0" applyFont="1" applyFill="1" applyBorder="1"/>
    <xf numFmtId="0" fontId="11814" fillId="11818" borderId="11600" xfId="0" applyFont="1" applyFill="1" applyBorder="1"/>
    <xf numFmtId="0" fontId="11847" fillId="11851" borderId="11765" xfId="0" applyFont="1" applyFill="1" applyBorder="1"/>
    <xf numFmtId="0" fontId="11924" fillId="11928" borderId="11798" xfId="0" applyFont="1" applyFill="1" applyBorder="1"/>
    <xf numFmtId="0" fontId="11880" fillId="11884" borderId="11875" xfId="0" applyFont="1" applyFill="1" applyBorder="1"/>
    <xf numFmtId="0" fontId="11682" fillId="11686" borderId="11831" xfId="0" applyFont="1" applyFill="1" applyBorder="1"/>
    <xf numFmtId="0" fontId="12012" fillId="12016" borderId="11633" xfId="0" applyFont="1" applyFill="1" applyBorder="1"/>
    <xf numFmtId="0" fontId="11748" fillId="11752" borderId="11963" xfId="0" applyFont="1" applyFill="1" applyBorder="1"/>
    <xf numFmtId="0" fontId="12034" fillId="12038" borderId="11699" xfId="0" applyFont="1" applyFill="1" applyBorder="1"/>
    <xf numFmtId="0" fontId="11770" fillId="11774" borderId="11985" xfId="0" applyFont="1" applyFill="1" applyBorder="1"/>
    <xf numFmtId="0" fontId="12056" fillId="12060" borderId="11721" xfId="0" applyFont="1" applyFill="1" applyBorder="1"/>
    <xf numFmtId="0" fontId="11792" fillId="11796" borderId="12007" xfId="0" applyFont="1" applyFill="1" applyBorder="1"/>
    <xf numFmtId="0" fontId="11660" fillId="11664" borderId="11743" xfId="0" applyFont="1" applyFill="1" applyBorder="1"/>
    <xf numFmtId="0" fontId="11990" fillId="11994" borderId="11611" xfId="0" applyFont="1" applyFill="1" applyBorder="1"/>
    <xf numFmtId="0" fontId="11726" fillId="11730" borderId="11941" xfId="0" applyFont="1" applyFill="1" applyBorder="1"/>
    <xf numFmtId="0" fontId="11825" fillId="11829" borderId="11677" xfId="0" applyFont="1" applyFill="1" applyBorder="1"/>
    <xf numFmtId="0" fontId="11858" fillId="11862" borderId="11776" xfId="0" applyFont="1" applyFill="1" applyBorder="1"/>
    <xf numFmtId="0" fontId="12067" fillId="12071" borderId="11809" xfId="0" applyFont="1" applyFill="1" applyBorder="1"/>
    <xf numFmtId="0" fontId="11803" fillId="11807" borderId="12018" xfId="0" applyFont="1" applyFill="1" applyBorder="1"/>
    <xf numFmtId="0" fontId="11836" fillId="11840" borderId="11754" xfId="0" applyFont="1" applyFill="1" applyBorder="1"/>
    <xf numFmtId="0" fontId="11869" fillId="11873" borderId="11787" xfId="0" applyFont="1" applyFill="1" applyBorder="1"/>
    <xf numFmtId="0" fontId="11671" fillId="11675" borderId="11820" xfId="0" applyFont="1" applyFill="1" applyBorder="1"/>
    <xf numFmtId="0" fontId="12001" fillId="12005" borderId="11622" xfId="0" applyFont="1" applyFill="1" applyBorder="1"/>
    <xf numFmtId="0" fontId="11737" fillId="11741" borderId="11952" xfId="0" applyFont="1" applyFill="1" applyBorder="1"/>
    <xf numFmtId="0" fontId="12023" fillId="12027" borderId="11688" xfId="0" applyFont="1" applyFill="1" applyBorder="1"/>
    <xf numFmtId="0" fontId="11759" fillId="11763" borderId="11974" xfId="0" applyFont="1" applyFill="1" applyBorder="1"/>
    <xf numFmtId="0" fontId="12045" fillId="12049" borderId="11710" xfId="0" applyFont="1" applyFill="1" applyBorder="1"/>
    <xf numFmtId="0" fontId="11781" fillId="11785" borderId="11996" xfId="0" applyFont="1" applyFill="1" applyBorder="1"/>
    <xf numFmtId="0" fontId="11649" fillId="11653" borderId="11732" xfId="0" applyFont="1" applyFill="1" applyBorder="1"/>
    <xf numFmtId="0" fontId="11958" fillId="11962" borderId="11568" xfId="0" applyFont="1" applyFill="1" applyBorder="1" applyAlignment="1">
      <alignment horizontal="center"/>
    </xf>
    <xf numFmtId="0" fontId="11914" fillId="11918" borderId="11909" xfId="0" applyFont="1" applyFill="1" applyBorder="1" applyAlignment="1">
      <alignment horizontal="center"/>
    </xf>
    <xf numFmtId="0" fontId="11716" fillId="11720" borderId="11865" xfId="0" applyFont="1" applyFill="1" applyBorder="1" applyAlignment="1">
      <alignment horizontal="center"/>
    </xf>
    <xf numFmtId="0" fontId="11639" fillId="11643" borderId="11667" xfId="0" applyFont="1" applyFill="1" applyBorder="1" applyAlignment="1">
      <alignment horizontal="center"/>
    </xf>
    <xf numFmtId="0" fontId="11980" fillId="11984" borderId="11590" xfId="0" applyFont="1" applyFill="1" applyBorder="1" applyAlignment="1">
      <alignment horizontal="center"/>
    </xf>
    <xf numFmtId="0" fontId="11947" fillId="11951" borderId="11931" xfId="0" applyFont="1" applyFill="1" applyBorder="1" applyAlignment="1">
      <alignment horizontal="center"/>
    </xf>
    <xf numFmtId="0" fontId="11903" fillId="11907" borderId="11898" xfId="0" applyFont="1" applyFill="1" applyBorder="1" applyAlignment="1">
      <alignment horizontal="center"/>
    </xf>
    <xf numFmtId="0" fontId="11705" fillId="11709" borderId="11854" xfId="0" applyFont="1" applyFill="1" applyBorder="1" applyAlignment="1">
      <alignment horizontal="center"/>
    </xf>
    <xf numFmtId="0" fontId="11628" fillId="11632" borderId="11656" xfId="0" applyFont="1" applyFill="1" applyBorder="1" applyAlignment="1">
      <alignment horizontal="center"/>
    </xf>
    <xf numFmtId="0" fontId="11969" fillId="11973" borderId="11579" xfId="0" applyFont="1" applyFill="1" applyBorder="1" applyAlignment="1">
      <alignment horizontal="center"/>
    </xf>
    <xf numFmtId="0" fontId="11936" fillId="11940" borderId="11920" xfId="0" applyFont="1" applyFill="1" applyBorder="1" applyAlignment="1">
      <alignment horizontal="center"/>
    </xf>
    <xf numFmtId="0" fontId="11892" fillId="11896" borderId="11887" xfId="0" applyFont="1" applyFill="1" applyBorder="1" applyAlignment="1">
      <alignment horizontal="center"/>
    </xf>
    <xf numFmtId="0" fontId="11694" fillId="11698" borderId="11843" xfId="0" applyFont="1" applyFill="1" applyBorder="1" applyAlignment="1">
      <alignment horizontal="center"/>
    </xf>
    <xf numFmtId="0" fontId="11617" fillId="11621" borderId="11645" xfId="0" applyFont="1" applyFill="1" applyBorder="1" applyAlignment="1">
      <alignment horizontal="center"/>
    </xf>
    <xf numFmtId="0" fontId="11815" fillId="11819" borderId="11601" xfId="0" applyFont="1" applyFill="1" applyBorder="1" applyAlignment="1">
      <alignment horizontal="center"/>
    </xf>
    <xf numFmtId="0" fontId="11848" fillId="11852" borderId="11766" xfId="0" applyFont="1" applyFill="1" applyBorder="1" applyAlignment="1">
      <alignment horizontal="center"/>
    </xf>
    <xf numFmtId="0" fontId="11925" fillId="11929" borderId="11799" xfId="0" applyFont="1" applyFill="1" applyBorder="1" applyAlignment="1">
      <alignment horizontal="center"/>
    </xf>
    <xf numFmtId="0" fontId="11881" fillId="11885" borderId="11876" xfId="0" applyFont="1" applyFill="1" applyBorder="1" applyAlignment="1">
      <alignment horizontal="center"/>
    </xf>
    <xf numFmtId="0" fontId="11683" fillId="11687" borderId="11832" xfId="0" applyFont="1" applyFill="1" applyBorder="1" applyAlignment="1">
      <alignment horizontal="center"/>
    </xf>
    <xf numFmtId="0" fontId="12013" fillId="12017" borderId="11634" xfId="0" applyFont="1" applyFill="1" applyBorder="1" applyAlignment="1">
      <alignment horizontal="center"/>
    </xf>
    <xf numFmtId="0" fontId="11749" fillId="11753" borderId="11964" xfId="0" applyFont="1" applyFill="1" applyBorder="1" applyAlignment="1">
      <alignment horizontal="center"/>
    </xf>
    <xf numFmtId="0" fontId="12035" fillId="12039" borderId="11700" xfId="0" applyFont="1" applyFill="1" applyBorder="1" applyAlignment="1">
      <alignment horizontal="center"/>
    </xf>
    <xf numFmtId="0" fontId="11771" fillId="11775" borderId="11986" xfId="0" applyFont="1" applyFill="1" applyBorder="1" applyAlignment="1">
      <alignment horizontal="center"/>
    </xf>
    <xf numFmtId="0" fontId="12057" fillId="12061" borderId="11722" xfId="0" applyFont="1" applyFill="1" applyBorder="1" applyAlignment="1">
      <alignment horizontal="center"/>
    </xf>
    <xf numFmtId="0" fontId="11793" fillId="11797" borderId="12008" xfId="0" applyFont="1" applyFill="1" applyBorder="1" applyAlignment="1">
      <alignment horizontal="center"/>
    </xf>
    <xf numFmtId="0" fontId="11661" fillId="11665" borderId="11744" xfId="0" applyFont="1" applyFill="1" applyBorder="1" applyAlignment="1">
      <alignment horizontal="center"/>
    </xf>
    <xf numFmtId="0" fontId="11991" fillId="11995" borderId="11612" xfId="0" applyFont="1" applyFill="1" applyBorder="1" applyAlignment="1">
      <alignment horizontal="center"/>
    </xf>
    <xf numFmtId="0" fontId="11727" fillId="11731" borderId="11942" xfId="0" applyFont="1" applyFill="1" applyBorder="1" applyAlignment="1">
      <alignment horizontal="center"/>
    </xf>
    <xf numFmtId="0" fontId="11826" fillId="11830" borderId="11678" xfId="0" applyFont="1" applyFill="1" applyBorder="1" applyAlignment="1">
      <alignment horizontal="center"/>
    </xf>
    <xf numFmtId="0" fontId="11859" fillId="11863" borderId="11777" xfId="0" applyFont="1" applyFill="1" applyBorder="1" applyAlignment="1">
      <alignment horizontal="center"/>
    </xf>
    <xf numFmtId="0" fontId="12068" fillId="12072" borderId="11810" xfId="0" applyFont="1" applyFill="1" applyBorder="1" applyAlignment="1">
      <alignment horizontal="center"/>
    </xf>
    <xf numFmtId="0" fontId="11804" fillId="11808" borderId="12019" xfId="0" applyFont="1" applyFill="1" applyBorder="1" applyAlignment="1">
      <alignment horizontal="center"/>
    </xf>
    <xf numFmtId="0" fontId="11837" fillId="11841" borderId="11755" xfId="0" applyFont="1" applyFill="1" applyBorder="1" applyAlignment="1">
      <alignment horizontal="center"/>
    </xf>
    <xf numFmtId="0" fontId="11870" fillId="11874" borderId="11788" xfId="0" applyFont="1" applyFill="1" applyBorder="1" applyAlignment="1">
      <alignment horizontal="center"/>
    </xf>
    <xf numFmtId="0" fontId="11672" fillId="11676" borderId="11821" xfId="0" applyFont="1" applyFill="1" applyBorder="1" applyAlignment="1">
      <alignment horizontal="center"/>
    </xf>
    <xf numFmtId="0" fontId="12002" fillId="12006" borderId="11623" xfId="0" applyFont="1" applyFill="1" applyBorder="1" applyAlignment="1">
      <alignment horizontal="center"/>
    </xf>
    <xf numFmtId="0" fontId="11738" fillId="11742" borderId="11953" xfId="0" applyFont="1" applyFill="1" applyBorder="1" applyAlignment="1">
      <alignment horizontal="center"/>
    </xf>
    <xf numFmtId="0" fontId="12024" fillId="12028" borderId="11689" xfId="0" applyFont="1" applyFill="1" applyBorder="1" applyAlignment="1">
      <alignment horizontal="center"/>
    </xf>
    <xf numFmtId="0" fontId="11760" fillId="11764" borderId="11975" xfId="0" applyFont="1" applyFill="1" applyBorder="1" applyAlignment="1">
      <alignment horizontal="center"/>
    </xf>
    <xf numFmtId="0" fontId="12046" fillId="12050" borderId="11711" xfId="0" applyFont="1" applyFill="1" applyBorder="1" applyAlignment="1">
      <alignment horizontal="center"/>
    </xf>
    <xf numFmtId="0" fontId="11782" fillId="11786" borderId="11997" xfId="0" applyFont="1" applyFill="1" applyBorder="1" applyAlignment="1">
      <alignment horizontal="center"/>
    </xf>
    <xf numFmtId="0" fontId="11650" fillId="11654" borderId="11733" xfId="0" applyFont="1" applyFill="1" applyBorder="1" applyAlignment="1">
      <alignment horizontal="center"/>
    </xf>
    <xf numFmtId="165" fontId="11959" fillId="11963" borderId="11569" xfId="0" applyNumberFormat="1" applyFont="1" applyFill="1" applyBorder="1"/>
    <xf numFmtId="165" fontId="11915" fillId="11919" borderId="11910" xfId="0" applyNumberFormat="1" applyFont="1" applyFill="1" applyBorder="1"/>
    <xf numFmtId="165" fontId="11717" fillId="11721" borderId="11866" xfId="0" applyNumberFormat="1" applyFont="1" applyFill="1" applyBorder="1"/>
    <xf numFmtId="165" fontId="11640" fillId="11644" borderId="11668" xfId="0" applyNumberFormat="1" applyFont="1" applyFill="1" applyBorder="1"/>
    <xf numFmtId="165" fontId="11981" fillId="11985" borderId="11591" xfId="0" applyNumberFormat="1" applyFont="1" applyFill="1" applyBorder="1"/>
    <xf numFmtId="165" fontId="11948" fillId="11952" borderId="11932" xfId="0" applyNumberFormat="1" applyFont="1" applyFill="1" applyBorder="1"/>
    <xf numFmtId="165" fontId="11904" fillId="11908" borderId="11899" xfId="0" applyNumberFormat="1" applyFont="1" applyFill="1" applyBorder="1"/>
    <xf numFmtId="165" fontId="11706" fillId="11710" borderId="11855" xfId="0" applyNumberFormat="1" applyFont="1" applyFill="1" applyBorder="1"/>
    <xf numFmtId="165" fontId="11629" fillId="11633" borderId="11657" xfId="0" applyNumberFormat="1" applyFont="1" applyFill="1" applyBorder="1"/>
    <xf numFmtId="165" fontId="11970" fillId="11974" borderId="11580" xfId="0" applyNumberFormat="1" applyFont="1" applyFill="1" applyBorder="1"/>
    <xf numFmtId="165" fontId="11937" fillId="11941" borderId="11921" xfId="0" applyNumberFormat="1" applyFont="1" applyFill="1" applyBorder="1"/>
    <xf numFmtId="165" fontId="11893" fillId="11897" borderId="11888" xfId="0" applyNumberFormat="1" applyFont="1" applyFill="1" applyBorder="1"/>
    <xf numFmtId="165" fontId="11695" fillId="11699" borderId="11844" xfId="0" applyNumberFormat="1" applyFont="1" applyFill="1" applyBorder="1"/>
    <xf numFmtId="165" fontId="11618" fillId="11622" borderId="11646" xfId="0" applyNumberFormat="1" applyFont="1" applyFill="1" applyBorder="1"/>
    <xf numFmtId="165" fontId="11816" fillId="11820" borderId="11602" xfId="0" applyNumberFormat="1" applyFont="1" applyFill="1" applyBorder="1"/>
    <xf numFmtId="165" fontId="11849" fillId="11853" borderId="11767" xfId="0" applyNumberFormat="1" applyFont="1" applyFill="1" applyBorder="1"/>
    <xf numFmtId="165" fontId="11926" fillId="11930" borderId="11800" xfId="0" applyNumberFormat="1" applyFont="1" applyFill="1" applyBorder="1"/>
    <xf numFmtId="165" fontId="11882" fillId="11886" borderId="11877" xfId="0" applyNumberFormat="1" applyFont="1" applyFill="1" applyBorder="1"/>
    <xf numFmtId="165" fontId="11684" fillId="11688" borderId="11833" xfId="0" applyNumberFormat="1" applyFont="1" applyFill="1" applyBorder="1"/>
    <xf numFmtId="165" fontId="12014" fillId="12018" borderId="11635" xfId="0" applyNumberFormat="1" applyFont="1" applyFill="1" applyBorder="1"/>
    <xf numFmtId="165" fontId="11750" fillId="11754" borderId="11965" xfId="0" applyNumberFormat="1" applyFont="1" applyFill="1" applyBorder="1"/>
    <xf numFmtId="165" fontId="12036" fillId="12040" borderId="11701" xfId="0" applyNumberFormat="1" applyFont="1" applyFill="1" applyBorder="1"/>
    <xf numFmtId="165" fontId="11772" fillId="11776" borderId="11987" xfId="0" applyNumberFormat="1" applyFont="1" applyFill="1" applyBorder="1"/>
    <xf numFmtId="165" fontId="12058" fillId="12062" borderId="11723" xfId="0" applyNumberFormat="1" applyFont="1" applyFill="1" applyBorder="1"/>
    <xf numFmtId="165" fontId="11794" fillId="11798" borderId="12009" xfId="0" applyNumberFormat="1" applyFont="1" applyFill="1" applyBorder="1"/>
    <xf numFmtId="165" fontId="11662" fillId="11666" borderId="11745" xfId="0" applyNumberFormat="1" applyFont="1" applyFill="1" applyBorder="1"/>
    <xf numFmtId="165" fontId="11992" fillId="11996" borderId="11613" xfId="0" applyNumberFormat="1" applyFont="1" applyFill="1" applyBorder="1"/>
    <xf numFmtId="165" fontId="11728" fillId="11732" borderId="11943" xfId="0" applyNumberFormat="1" applyFont="1" applyFill="1" applyBorder="1"/>
    <xf numFmtId="165" fontId="11827" fillId="11831" borderId="11679" xfId="0" applyNumberFormat="1" applyFont="1" applyFill="1" applyBorder="1"/>
    <xf numFmtId="165" fontId="11860" fillId="11864" borderId="11778" xfId="0" applyNumberFormat="1" applyFont="1" applyFill="1" applyBorder="1"/>
    <xf numFmtId="165" fontId="12069" fillId="12073" borderId="11811" xfId="0" applyNumberFormat="1" applyFont="1" applyFill="1" applyBorder="1"/>
    <xf numFmtId="165" fontId="11805" fillId="11809" borderId="12020" xfId="0" applyNumberFormat="1" applyFont="1" applyFill="1" applyBorder="1"/>
    <xf numFmtId="165" fontId="11838" fillId="11842" borderId="11756" xfId="0" applyNumberFormat="1" applyFont="1" applyFill="1" applyBorder="1"/>
    <xf numFmtId="165" fontId="11871" fillId="11875" borderId="11789" xfId="0" applyNumberFormat="1" applyFont="1" applyFill="1" applyBorder="1"/>
    <xf numFmtId="165" fontId="11673" fillId="11677" borderId="11822" xfId="0" applyNumberFormat="1" applyFont="1" applyFill="1" applyBorder="1"/>
    <xf numFmtId="165" fontId="12003" fillId="12007" borderId="11624" xfId="0" applyNumberFormat="1" applyFont="1" applyFill="1" applyBorder="1"/>
    <xf numFmtId="165" fontId="11739" fillId="11743" borderId="11954" xfId="0" applyNumberFormat="1" applyFont="1" applyFill="1" applyBorder="1"/>
    <xf numFmtId="165" fontId="12025" fillId="12029" borderId="11690" xfId="0" applyNumberFormat="1" applyFont="1" applyFill="1" applyBorder="1"/>
    <xf numFmtId="165" fontId="11761" fillId="11765" borderId="11976" xfId="0" applyNumberFormat="1" applyFont="1" applyFill="1" applyBorder="1"/>
    <xf numFmtId="165" fontId="12047" fillId="12051" borderId="11712" xfId="0" applyNumberFormat="1" applyFont="1" applyFill="1" applyBorder="1"/>
    <xf numFmtId="165" fontId="11783" fillId="11787" borderId="11998" xfId="0" applyNumberFormat="1" applyFont="1" applyFill="1" applyBorder="1"/>
    <xf numFmtId="165" fontId="11651" fillId="11655" borderId="11734" xfId="0" applyNumberFormat="1" applyFont="1" applyFill="1" applyBorder="1"/>
    <xf numFmtId="165" fontId="11960" fillId="11964" borderId="11570" xfId="0" applyNumberFormat="1" applyFont="1" applyFill="1" applyBorder="1"/>
    <xf numFmtId="165" fontId="11916" fillId="11920" borderId="11911" xfId="0" applyNumberFormat="1" applyFont="1" applyFill="1" applyBorder="1"/>
    <xf numFmtId="165" fontId="11718" fillId="11722" borderId="11867" xfId="0" applyNumberFormat="1" applyFont="1" applyFill="1" applyBorder="1"/>
    <xf numFmtId="165" fontId="11641" fillId="11645" borderId="11669" xfId="0" applyNumberFormat="1" applyFont="1" applyFill="1" applyBorder="1"/>
    <xf numFmtId="165" fontId="11982" fillId="11986" borderId="11592" xfId="0" applyNumberFormat="1" applyFont="1" applyFill="1" applyBorder="1"/>
    <xf numFmtId="165" fontId="11949" fillId="11953" borderId="11933" xfId="0" applyNumberFormat="1" applyFont="1" applyFill="1" applyBorder="1"/>
    <xf numFmtId="165" fontId="11905" fillId="11909" borderId="11900" xfId="0" applyNumberFormat="1" applyFont="1" applyFill="1" applyBorder="1"/>
    <xf numFmtId="165" fontId="11707" fillId="11711" borderId="11856" xfId="0" applyNumberFormat="1" applyFont="1" applyFill="1" applyBorder="1"/>
    <xf numFmtId="165" fontId="11630" fillId="11634" borderId="11658" xfId="0" applyNumberFormat="1" applyFont="1" applyFill="1" applyBorder="1"/>
    <xf numFmtId="165" fontId="11971" fillId="11975" borderId="11581" xfId="0" applyNumberFormat="1" applyFont="1" applyFill="1" applyBorder="1"/>
    <xf numFmtId="165" fontId="11938" fillId="11942" borderId="11922" xfId="0" applyNumberFormat="1" applyFont="1" applyFill="1" applyBorder="1"/>
    <xf numFmtId="165" fontId="11894" fillId="11898" borderId="11889" xfId="0" applyNumberFormat="1" applyFont="1" applyFill="1" applyBorder="1"/>
    <xf numFmtId="165" fontId="11696" fillId="11700" borderId="11845" xfId="0" applyNumberFormat="1" applyFont="1" applyFill="1" applyBorder="1"/>
    <xf numFmtId="165" fontId="11619" fillId="11623" borderId="11647" xfId="0" applyNumberFormat="1" applyFont="1" applyFill="1" applyBorder="1"/>
    <xf numFmtId="165" fontId="11817" fillId="11821" borderId="11603" xfId="0" applyNumberFormat="1" applyFont="1" applyFill="1" applyBorder="1"/>
    <xf numFmtId="165" fontId="11850" fillId="11854" borderId="11768" xfId="0" applyNumberFormat="1" applyFont="1" applyFill="1" applyBorder="1"/>
    <xf numFmtId="165" fontId="11927" fillId="11931" borderId="11801" xfId="0" applyNumberFormat="1" applyFont="1" applyFill="1" applyBorder="1"/>
    <xf numFmtId="165" fontId="11883" fillId="11887" borderId="11878" xfId="0" applyNumberFormat="1" applyFont="1" applyFill="1" applyBorder="1"/>
    <xf numFmtId="165" fontId="11685" fillId="11689" borderId="11834" xfId="0" applyNumberFormat="1" applyFont="1" applyFill="1" applyBorder="1"/>
    <xf numFmtId="165" fontId="12015" fillId="12019" borderId="11636" xfId="0" applyNumberFormat="1" applyFont="1" applyFill="1" applyBorder="1"/>
    <xf numFmtId="165" fontId="11751" fillId="11755" borderId="11966" xfId="0" applyNumberFormat="1" applyFont="1" applyFill="1" applyBorder="1"/>
    <xf numFmtId="165" fontId="12037" fillId="12041" borderId="11702" xfId="0" applyNumberFormat="1" applyFont="1" applyFill="1" applyBorder="1"/>
    <xf numFmtId="165" fontId="11773" fillId="11777" borderId="11988" xfId="0" applyNumberFormat="1" applyFont="1" applyFill="1" applyBorder="1"/>
    <xf numFmtId="165" fontId="12059" fillId="12063" borderId="11724" xfId="0" applyNumberFormat="1" applyFont="1" applyFill="1" applyBorder="1"/>
    <xf numFmtId="165" fontId="11795" fillId="11799" borderId="12010" xfId="0" applyNumberFormat="1" applyFont="1" applyFill="1" applyBorder="1"/>
    <xf numFmtId="165" fontId="11663" fillId="11667" borderId="11746" xfId="0" applyNumberFormat="1" applyFont="1" applyFill="1" applyBorder="1"/>
    <xf numFmtId="165" fontId="11993" fillId="11997" borderId="11614" xfId="0" applyNumberFormat="1" applyFont="1" applyFill="1" applyBorder="1"/>
    <xf numFmtId="165" fontId="11729" fillId="11733" borderId="11944" xfId="0" applyNumberFormat="1" applyFont="1" applyFill="1" applyBorder="1"/>
    <xf numFmtId="165" fontId="11828" fillId="11832" borderId="11680" xfId="0" applyNumberFormat="1" applyFont="1" applyFill="1" applyBorder="1"/>
    <xf numFmtId="165" fontId="11861" fillId="11865" borderId="11779" xfId="0" applyNumberFormat="1" applyFont="1" applyFill="1" applyBorder="1"/>
    <xf numFmtId="165" fontId="12070" fillId="12074" borderId="11812" xfId="0" applyNumberFormat="1" applyFont="1" applyFill="1" applyBorder="1"/>
    <xf numFmtId="165" fontId="11806" fillId="11810" borderId="12021" xfId="0" applyNumberFormat="1" applyFont="1" applyFill="1" applyBorder="1"/>
    <xf numFmtId="165" fontId="11839" fillId="11843" borderId="11757" xfId="0" applyNumberFormat="1" applyFont="1" applyFill="1" applyBorder="1"/>
    <xf numFmtId="165" fontId="11872" fillId="11876" borderId="11790" xfId="0" applyNumberFormat="1" applyFont="1" applyFill="1" applyBorder="1"/>
    <xf numFmtId="165" fontId="11674" fillId="11678" borderId="11823" xfId="0" applyNumberFormat="1" applyFont="1" applyFill="1" applyBorder="1"/>
    <xf numFmtId="165" fontId="12004" fillId="12008" borderId="11625" xfId="0" applyNumberFormat="1" applyFont="1" applyFill="1" applyBorder="1"/>
    <xf numFmtId="165" fontId="11740" fillId="11744" borderId="11955" xfId="0" applyNumberFormat="1" applyFont="1" applyFill="1" applyBorder="1"/>
    <xf numFmtId="165" fontId="12026" fillId="12030" borderId="11691" xfId="0" applyNumberFormat="1" applyFont="1" applyFill="1" applyBorder="1"/>
    <xf numFmtId="165" fontId="11762" fillId="11766" borderId="11977" xfId="0" applyNumberFormat="1" applyFont="1" applyFill="1" applyBorder="1"/>
    <xf numFmtId="165" fontId="12048" fillId="12052" borderId="11713" xfId="0" applyNumberFormat="1" applyFont="1" applyFill="1" applyBorder="1"/>
    <xf numFmtId="165" fontId="11784" fillId="11788" borderId="11999" xfId="0" applyNumberFormat="1" applyFont="1" applyFill="1" applyBorder="1"/>
    <xf numFmtId="165" fontId="11652" fillId="11656" borderId="11735" xfId="0" applyNumberFormat="1" applyFont="1" applyFill="1" applyBorder="1"/>
    <xf numFmtId="165" fontId="11961" fillId="11965" borderId="11571" xfId="0" applyNumberFormat="1" applyFont="1" applyFill="1" applyBorder="1"/>
    <xf numFmtId="165" fontId="11917" fillId="11921" borderId="11912" xfId="0" applyNumberFormat="1" applyFont="1" applyFill="1" applyBorder="1"/>
    <xf numFmtId="165" fontId="11719" fillId="11723" borderId="11868" xfId="0" applyNumberFormat="1" applyFont="1" applyFill="1" applyBorder="1"/>
    <xf numFmtId="165" fontId="11642" fillId="11646" borderId="11670" xfId="0" applyNumberFormat="1" applyFont="1" applyFill="1" applyBorder="1"/>
    <xf numFmtId="165" fontId="11983" fillId="11987" borderId="11593" xfId="0" applyNumberFormat="1" applyFont="1" applyFill="1" applyBorder="1"/>
    <xf numFmtId="165" fontId="11950" fillId="11954" borderId="11934" xfId="0" applyNumberFormat="1" applyFont="1" applyFill="1" applyBorder="1"/>
    <xf numFmtId="165" fontId="11906" fillId="11910" borderId="11901" xfId="0" applyNumberFormat="1" applyFont="1" applyFill="1" applyBorder="1"/>
    <xf numFmtId="165" fontId="11708" fillId="11712" borderId="11857" xfId="0" applyNumberFormat="1" applyFont="1" applyFill="1" applyBorder="1"/>
    <xf numFmtId="165" fontId="11631" fillId="11635" borderId="11659" xfId="0" applyNumberFormat="1" applyFont="1" applyFill="1" applyBorder="1"/>
    <xf numFmtId="165" fontId="11972" fillId="11976" borderId="11582" xfId="0" applyNumberFormat="1" applyFont="1" applyFill="1" applyBorder="1"/>
    <xf numFmtId="165" fontId="11939" fillId="11943" borderId="11923" xfId="0" applyNumberFormat="1" applyFont="1" applyFill="1" applyBorder="1"/>
    <xf numFmtId="165" fontId="11895" fillId="11899" borderId="11890" xfId="0" applyNumberFormat="1" applyFont="1" applyFill="1" applyBorder="1"/>
    <xf numFmtId="165" fontId="11697" fillId="11701" borderId="11846" xfId="0" applyNumberFormat="1" applyFont="1" applyFill="1" applyBorder="1"/>
    <xf numFmtId="165" fontId="11620" fillId="11624" borderId="11648" xfId="0" applyNumberFormat="1" applyFont="1" applyFill="1" applyBorder="1"/>
    <xf numFmtId="165" fontId="11818" fillId="11822" borderId="11604" xfId="0" applyNumberFormat="1" applyFont="1" applyFill="1" applyBorder="1"/>
    <xf numFmtId="165" fontId="11851" fillId="11855" borderId="11769" xfId="0" applyNumberFormat="1" applyFont="1" applyFill="1" applyBorder="1"/>
    <xf numFmtId="165" fontId="11928" fillId="11932" borderId="11802" xfId="0" applyNumberFormat="1" applyFont="1" applyFill="1" applyBorder="1"/>
    <xf numFmtId="165" fontId="11884" fillId="11888" borderId="11879" xfId="0" applyNumberFormat="1" applyFont="1" applyFill="1" applyBorder="1"/>
    <xf numFmtId="165" fontId="11686" fillId="11690" borderId="11835" xfId="0" applyNumberFormat="1" applyFont="1" applyFill="1" applyBorder="1"/>
    <xf numFmtId="165" fontId="12016" fillId="12020" borderId="11637" xfId="0" applyNumberFormat="1" applyFont="1" applyFill="1" applyBorder="1"/>
    <xf numFmtId="165" fontId="11752" fillId="11756" borderId="11967" xfId="0" applyNumberFormat="1" applyFont="1" applyFill="1" applyBorder="1"/>
    <xf numFmtId="165" fontId="12038" fillId="12042" borderId="11703" xfId="0" applyNumberFormat="1" applyFont="1" applyFill="1" applyBorder="1"/>
    <xf numFmtId="165" fontId="11774" fillId="11778" borderId="11989" xfId="0" applyNumberFormat="1" applyFont="1" applyFill="1" applyBorder="1"/>
    <xf numFmtId="165" fontId="12060" fillId="12064" borderId="11725" xfId="0" applyNumberFormat="1" applyFont="1" applyFill="1" applyBorder="1"/>
    <xf numFmtId="165" fontId="11796" fillId="11800" borderId="12011" xfId="0" applyNumberFormat="1" applyFont="1" applyFill="1" applyBorder="1"/>
    <xf numFmtId="165" fontId="11664" fillId="11668" borderId="11747" xfId="0" applyNumberFormat="1" applyFont="1" applyFill="1" applyBorder="1"/>
    <xf numFmtId="165" fontId="11994" fillId="11998" borderId="11615" xfId="0" applyNumberFormat="1" applyFont="1" applyFill="1" applyBorder="1"/>
    <xf numFmtId="165" fontId="11730" fillId="11734" borderId="11945" xfId="0" applyNumberFormat="1" applyFont="1" applyFill="1" applyBorder="1"/>
    <xf numFmtId="165" fontId="11829" fillId="11833" borderId="11681" xfId="0" applyNumberFormat="1" applyFont="1" applyFill="1" applyBorder="1"/>
    <xf numFmtId="165" fontId="11862" fillId="11866" borderId="11780" xfId="0" applyNumberFormat="1" applyFont="1" applyFill="1" applyBorder="1"/>
    <xf numFmtId="165" fontId="12071" fillId="12075" borderId="11813" xfId="0" applyNumberFormat="1" applyFont="1" applyFill="1" applyBorder="1"/>
    <xf numFmtId="165" fontId="11807" fillId="11811" borderId="12022" xfId="0" applyNumberFormat="1" applyFont="1" applyFill="1" applyBorder="1"/>
    <xf numFmtId="165" fontId="11840" fillId="11844" borderId="11758" xfId="0" applyNumberFormat="1" applyFont="1" applyFill="1" applyBorder="1"/>
    <xf numFmtId="165" fontId="11873" fillId="11877" borderId="11791" xfId="0" applyNumberFormat="1" applyFont="1" applyFill="1" applyBorder="1"/>
    <xf numFmtId="165" fontId="11675" fillId="11679" borderId="11824" xfId="0" applyNumberFormat="1" applyFont="1" applyFill="1" applyBorder="1"/>
    <xf numFmtId="165" fontId="12005" fillId="12009" borderId="11626" xfId="0" applyNumberFormat="1" applyFont="1" applyFill="1" applyBorder="1"/>
    <xf numFmtId="165" fontId="11741" fillId="11745" borderId="11956" xfId="0" applyNumberFormat="1" applyFont="1" applyFill="1" applyBorder="1"/>
    <xf numFmtId="165" fontId="12027" fillId="12031" borderId="11692" xfId="0" applyNumberFormat="1" applyFont="1" applyFill="1" applyBorder="1"/>
    <xf numFmtId="165" fontId="11763" fillId="11767" borderId="11978" xfId="0" applyNumberFormat="1" applyFont="1" applyFill="1" applyBorder="1"/>
    <xf numFmtId="165" fontId="12049" fillId="12053" borderId="11714" xfId="0" applyNumberFormat="1" applyFont="1" applyFill="1" applyBorder="1"/>
    <xf numFmtId="165" fontId="11785" fillId="11789" borderId="12000" xfId="0" applyNumberFormat="1" applyFont="1" applyFill="1" applyBorder="1"/>
    <xf numFmtId="165" fontId="11653" fillId="11657" borderId="11736" xfId="0" applyNumberFormat="1" applyFont="1" applyFill="1" applyBorder="1"/>
    <xf numFmtId="4" fontId="11962" fillId="11966" borderId="11572" xfId="0" applyNumberFormat="1" applyFont="1" applyFill="1" applyBorder="1"/>
    <xf numFmtId="4" fontId="11918" fillId="11922" borderId="11913" xfId="0" applyNumberFormat="1" applyFont="1" applyFill="1" applyBorder="1"/>
    <xf numFmtId="4" fontId="11720" fillId="11724" borderId="11869" xfId="0" applyNumberFormat="1" applyFont="1" applyFill="1" applyBorder="1"/>
    <xf numFmtId="4" fontId="11643" fillId="11647" borderId="11671" xfId="0" applyNumberFormat="1" applyFont="1" applyFill="1" applyBorder="1"/>
    <xf numFmtId="4" fontId="11984" fillId="11988" borderId="11594" xfId="0" applyNumberFormat="1" applyFont="1" applyFill="1" applyBorder="1"/>
    <xf numFmtId="4" fontId="11951" fillId="11955" borderId="11935" xfId="0" applyNumberFormat="1" applyFont="1" applyFill="1" applyBorder="1"/>
    <xf numFmtId="4" fontId="11907" fillId="11911" borderId="11902" xfId="0" applyNumberFormat="1" applyFont="1" applyFill="1" applyBorder="1"/>
    <xf numFmtId="4" fontId="11709" fillId="11713" borderId="11858" xfId="0" applyNumberFormat="1" applyFont="1" applyFill="1" applyBorder="1"/>
    <xf numFmtId="4" fontId="11632" fillId="11636" borderId="11660" xfId="0" applyNumberFormat="1" applyFont="1" applyFill="1" applyBorder="1"/>
    <xf numFmtId="4" fontId="11973" fillId="11977" borderId="11583" xfId="0" applyNumberFormat="1" applyFont="1" applyFill="1" applyBorder="1"/>
    <xf numFmtId="4" fontId="11940" fillId="11944" borderId="11924" xfId="0" applyNumberFormat="1" applyFont="1" applyFill="1" applyBorder="1"/>
    <xf numFmtId="4" fontId="11896" fillId="11900" borderId="11891" xfId="0" applyNumberFormat="1" applyFont="1" applyFill="1" applyBorder="1"/>
    <xf numFmtId="4" fontId="11698" fillId="11702" borderId="11847" xfId="0" applyNumberFormat="1" applyFont="1" applyFill="1" applyBorder="1"/>
    <xf numFmtId="4" fontId="11621" fillId="11625" borderId="11649" xfId="0" applyNumberFormat="1" applyFont="1" applyFill="1" applyBorder="1"/>
    <xf numFmtId="4" fontId="11819" fillId="11823" borderId="11605" xfId="0" applyNumberFormat="1" applyFont="1" applyFill="1" applyBorder="1"/>
    <xf numFmtId="4" fontId="11852" fillId="11856" borderId="11770" xfId="0" applyNumberFormat="1" applyFont="1" applyFill="1" applyBorder="1"/>
    <xf numFmtId="4" fontId="11929" fillId="11933" borderId="11803" xfId="0" applyNumberFormat="1" applyFont="1" applyFill="1" applyBorder="1"/>
    <xf numFmtId="4" fontId="11885" fillId="11889" borderId="11880" xfId="0" applyNumberFormat="1" applyFont="1" applyFill="1" applyBorder="1"/>
    <xf numFmtId="4" fontId="11687" fillId="11691" borderId="11836" xfId="0" applyNumberFormat="1" applyFont="1" applyFill="1" applyBorder="1"/>
    <xf numFmtId="4" fontId="12017" fillId="12021" borderId="11638" xfId="0" applyNumberFormat="1" applyFont="1" applyFill="1" applyBorder="1"/>
    <xf numFmtId="4" fontId="11753" fillId="11757" borderId="11968" xfId="0" applyNumberFormat="1" applyFont="1" applyFill="1" applyBorder="1"/>
    <xf numFmtId="4" fontId="12039" fillId="12043" borderId="11704" xfId="0" applyNumberFormat="1" applyFont="1" applyFill="1" applyBorder="1"/>
    <xf numFmtId="4" fontId="11775" fillId="11779" borderId="11990" xfId="0" applyNumberFormat="1" applyFont="1" applyFill="1" applyBorder="1"/>
    <xf numFmtId="4" fontId="12061" fillId="12065" borderId="11726" xfId="0" applyNumberFormat="1" applyFont="1" applyFill="1" applyBorder="1"/>
    <xf numFmtId="4" fontId="11797" fillId="11801" borderId="12012" xfId="0" applyNumberFormat="1" applyFont="1" applyFill="1" applyBorder="1"/>
    <xf numFmtId="4" fontId="11665" fillId="11669" borderId="11748" xfId="0" applyNumberFormat="1" applyFont="1" applyFill="1" applyBorder="1"/>
    <xf numFmtId="4" fontId="11995" fillId="11999" borderId="11616" xfId="0" applyNumberFormat="1" applyFont="1" applyFill="1" applyBorder="1"/>
    <xf numFmtId="4" fontId="11731" fillId="11735" borderId="11946" xfId="0" applyNumberFormat="1" applyFont="1" applyFill="1" applyBorder="1"/>
    <xf numFmtId="4" fontId="11830" fillId="11834" borderId="11682" xfId="0" applyNumberFormat="1" applyFont="1" applyFill="1" applyBorder="1"/>
    <xf numFmtId="4" fontId="11863" fillId="11867" borderId="11781" xfId="0" applyNumberFormat="1" applyFont="1" applyFill="1" applyBorder="1"/>
    <xf numFmtId="4" fontId="12072" fillId="12076" borderId="11814" xfId="0" applyNumberFormat="1" applyFont="1" applyFill="1" applyBorder="1"/>
    <xf numFmtId="4" fontId="11808" fillId="11812" borderId="12023" xfId="0" applyNumberFormat="1" applyFont="1" applyFill="1" applyBorder="1"/>
    <xf numFmtId="4" fontId="11841" fillId="11845" borderId="11759" xfId="0" applyNumberFormat="1" applyFont="1" applyFill="1" applyBorder="1"/>
    <xf numFmtId="4" fontId="11874" fillId="11878" borderId="11792" xfId="0" applyNumberFormat="1" applyFont="1" applyFill="1" applyBorder="1"/>
    <xf numFmtId="4" fontId="11676" fillId="11680" borderId="11825" xfId="0" applyNumberFormat="1" applyFont="1" applyFill="1" applyBorder="1"/>
    <xf numFmtId="4" fontId="12006" fillId="12010" borderId="11627" xfId="0" applyNumberFormat="1" applyFont="1" applyFill="1" applyBorder="1"/>
    <xf numFmtId="4" fontId="11742" fillId="11746" borderId="11957" xfId="0" applyNumberFormat="1" applyFont="1" applyFill="1" applyBorder="1"/>
    <xf numFmtId="4" fontId="12028" fillId="12032" borderId="11693" xfId="0" applyNumberFormat="1" applyFont="1" applyFill="1" applyBorder="1"/>
    <xf numFmtId="4" fontId="11764" fillId="11768" borderId="11979" xfId="0" applyNumberFormat="1" applyFont="1" applyFill="1" applyBorder="1"/>
    <xf numFmtId="4" fontId="12050" fillId="12054" borderId="11715" xfId="0" applyNumberFormat="1" applyFont="1" applyFill="1" applyBorder="1"/>
    <xf numFmtId="4" fontId="11786" fillId="11790" borderId="12001" xfId="0" applyNumberFormat="1" applyFont="1" applyFill="1" applyBorder="1"/>
    <xf numFmtId="4" fontId="11654" fillId="11658" borderId="11737" xfId="0" applyNumberFormat="1" applyFont="1" applyFill="1" applyBorder="1"/>
    <xf numFmtId="168" fontId="11963" fillId="11967" borderId="11573" xfId="0" applyNumberFormat="1" applyFont="1" applyFill="1" applyBorder="1"/>
    <xf numFmtId="168" fontId="11919" fillId="11923" borderId="11914" xfId="0" applyNumberFormat="1" applyFont="1" applyFill="1" applyBorder="1"/>
    <xf numFmtId="168" fontId="11721" fillId="11725" borderId="11870" xfId="0" applyNumberFormat="1" applyFont="1" applyFill="1" applyBorder="1"/>
    <xf numFmtId="168" fontId="11644" fillId="11648" borderId="11672" xfId="0" applyNumberFormat="1" applyFont="1" applyFill="1" applyBorder="1"/>
    <xf numFmtId="168" fontId="11985" fillId="11989" borderId="11595" xfId="0" applyNumberFormat="1" applyFont="1" applyFill="1" applyBorder="1"/>
    <xf numFmtId="168" fontId="11952" fillId="11956" borderId="11936" xfId="0" applyNumberFormat="1" applyFont="1" applyFill="1" applyBorder="1"/>
    <xf numFmtId="168" fontId="11908" fillId="11912" borderId="11903" xfId="0" applyNumberFormat="1" applyFont="1" applyFill="1" applyBorder="1"/>
    <xf numFmtId="168" fontId="11710" fillId="11714" borderId="11859" xfId="0" applyNumberFormat="1" applyFont="1" applyFill="1" applyBorder="1"/>
    <xf numFmtId="168" fontId="11633" fillId="11637" borderId="11661" xfId="0" applyNumberFormat="1" applyFont="1" applyFill="1" applyBorder="1"/>
    <xf numFmtId="168" fontId="11974" fillId="11978" borderId="11584" xfId="0" applyNumberFormat="1" applyFont="1" applyFill="1" applyBorder="1"/>
    <xf numFmtId="168" fontId="11941" fillId="11945" borderId="11925" xfId="0" applyNumberFormat="1" applyFont="1" applyFill="1" applyBorder="1"/>
    <xf numFmtId="168" fontId="11897" fillId="11901" borderId="11892" xfId="0" applyNumberFormat="1" applyFont="1" applyFill="1" applyBorder="1"/>
    <xf numFmtId="168" fontId="11699" fillId="11703" borderId="11848" xfId="0" applyNumberFormat="1" applyFont="1" applyFill="1" applyBorder="1"/>
    <xf numFmtId="168" fontId="11622" fillId="11626" borderId="11650" xfId="0" applyNumberFormat="1" applyFont="1" applyFill="1" applyBorder="1"/>
    <xf numFmtId="168" fontId="11820" fillId="11824" borderId="11606" xfId="0" applyNumberFormat="1" applyFont="1" applyFill="1" applyBorder="1"/>
    <xf numFmtId="168" fontId="11853" fillId="11857" borderId="11771" xfId="0" applyNumberFormat="1" applyFont="1" applyFill="1" applyBorder="1"/>
    <xf numFmtId="168" fontId="11930" fillId="11934" borderId="11804" xfId="0" applyNumberFormat="1" applyFont="1" applyFill="1" applyBorder="1"/>
    <xf numFmtId="168" fontId="11886" fillId="11890" borderId="11881" xfId="0" applyNumberFormat="1" applyFont="1" applyFill="1" applyBorder="1"/>
    <xf numFmtId="168" fontId="11688" fillId="11692" borderId="11837" xfId="0" applyNumberFormat="1" applyFont="1" applyFill="1" applyBorder="1"/>
    <xf numFmtId="168" fontId="12018" fillId="12022" borderId="11639" xfId="0" applyNumberFormat="1" applyFont="1" applyFill="1" applyBorder="1"/>
    <xf numFmtId="168" fontId="11754" fillId="11758" borderId="11969" xfId="0" applyNumberFormat="1" applyFont="1" applyFill="1" applyBorder="1"/>
    <xf numFmtId="168" fontId="12040" fillId="12044" borderId="11705" xfId="0" applyNumberFormat="1" applyFont="1" applyFill="1" applyBorder="1"/>
    <xf numFmtId="168" fontId="11776" fillId="11780" borderId="11991" xfId="0" applyNumberFormat="1" applyFont="1" applyFill="1" applyBorder="1"/>
    <xf numFmtId="168" fontId="12062" fillId="12066" borderId="11727" xfId="0" applyNumberFormat="1" applyFont="1" applyFill="1" applyBorder="1"/>
    <xf numFmtId="168" fontId="11798" fillId="11802" borderId="12013" xfId="0" applyNumberFormat="1" applyFont="1" applyFill="1" applyBorder="1"/>
    <xf numFmtId="168" fontId="11666" fillId="11670" borderId="11749" xfId="0" applyNumberFormat="1" applyFont="1" applyFill="1" applyBorder="1"/>
    <xf numFmtId="168" fontId="11996" fillId="12000" borderId="11617" xfId="0" applyNumberFormat="1" applyFont="1" applyFill="1" applyBorder="1"/>
    <xf numFmtId="168" fontId="11732" fillId="11736" borderId="11947" xfId="0" applyNumberFormat="1" applyFont="1" applyFill="1" applyBorder="1"/>
    <xf numFmtId="168" fontId="11831" fillId="11835" borderId="11683" xfId="0" applyNumberFormat="1" applyFont="1" applyFill="1" applyBorder="1"/>
    <xf numFmtId="168" fontId="11864" fillId="11868" borderId="11782" xfId="0" applyNumberFormat="1" applyFont="1" applyFill="1" applyBorder="1"/>
    <xf numFmtId="168" fontId="12073" fillId="12077" borderId="11815" xfId="0" applyNumberFormat="1" applyFont="1" applyFill="1" applyBorder="1"/>
    <xf numFmtId="168" fontId="11809" fillId="11813" borderId="12024" xfId="0" applyNumberFormat="1" applyFont="1" applyFill="1" applyBorder="1"/>
    <xf numFmtId="168" fontId="11842" fillId="11846" borderId="11760" xfId="0" applyNumberFormat="1" applyFont="1" applyFill="1" applyBorder="1"/>
    <xf numFmtId="168" fontId="11875" fillId="11879" borderId="11793" xfId="0" applyNumberFormat="1" applyFont="1" applyFill="1" applyBorder="1"/>
    <xf numFmtId="168" fontId="11677" fillId="11681" borderId="11826" xfId="0" applyNumberFormat="1" applyFont="1" applyFill="1" applyBorder="1"/>
    <xf numFmtId="168" fontId="12007" fillId="12011" borderId="11628" xfId="0" applyNumberFormat="1" applyFont="1" applyFill="1" applyBorder="1"/>
    <xf numFmtId="168" fontId="11743" fillId="11747" borderId="11958" xfId="0" applyNumberFormat="1" applyFont="1" applyFill="1" applyBorder="1"/>
    <xf numFmtId="168" fontId="12029" fillId="12033" borderId="11694" xfId="0" applyNumberFormat="1" applyFont="1" applyFill="1" applyBorder="1"/>
    <xf numFmtId="168" fontId="11765" fillId="11769" borderId="11980" xfId="0" applyNumberFormat="1" applyFont="1" applyFill="1" applyBorder="1"/>
    <xf numFmtId="168" fontId="12051" fillId="12055" borderId="11716" xfId="0" applyNumberFormat="1" applyFont="1" applyFill="1" applyBorder="1"/>
    <xf numFmtId="168" fontId="11787" fillId="11791" borderId="12002" xfId="0" applyNumberFormat="1" applyFont="1" applyFill="1" applyBorder="1"/>
    <xf numFmtId="168" fontId="11655" fillId="11659" borderId="11738" xfId="0" applyNumberFormat="1" applyFont="1" applyFill="1" applyBorder="1"/>
    <xf numFmtId="0" fontId="11964" fillId="11968" borderId="11574" xfId="0" applyFont="1" applyFill="1" applyBorder="1"/>
    <xf numFmtId="0" fontId="11920" fillId="11924" borderId="11915" xfId="0" applyFont="1" applyFill="1" applyBorder="1"/>
    <xf numFmtId="0" fontId="11722" fillId="11726" borderId="11871" xfId="0" applyFont="1" applyFill="1" applyBorder="1"/>
    <xf numFmtId="0" fontId="11645" fillId="11649" borderId="11673" xfId="0" applyFont="1" applyFill="1" applyBorder="1"/>
    <xf numFmtId="0" fontId="11986" fillId="11990" borderId="11596" xfId="0" applyFont="1" applyFill="1" applyBorder="1"/>
    <xf numFmtId="0" fontId="11953" fillId="11957" borderId="11937" xfId="0" applyFont="1" applyFill="1" applyBorder="1"/>
    <xf numFmtId="0" fontId="11909" fillId="11913" borderId="11904" xfId="0" applyFont="1" applyFill="1" applyBorder="1"/>
    <xf numFmtId="0" fontId="11711" fillId="11715" borderId="11860" xfId="0" applyFont="1" applyFill="1" applyBorder="1"/>
    <xf numFmtId="0" fontId="11634" fillId="11638" borderId="11662" xfId="0" applyFont="1" applyFill="1" applyBorder="1"/>
    <xf numFmtId="0" fontId="11975" fillId="11979" borderId="11585" xfId="0" applyFont="1" applyFill="1" applyBorder="1"/>
    <xf numFmtId="0" fontId="11942" fillId="11946" borderId="11926" xfId="0" applyFont="1" applyFill="1" applyBorder="1"/>
    <xf numFmtId="0" fontId="11898" fillId="11902" borderId="11893" xfId="0" applyFont="1" applyFill="1" applyBorder="1"/>
    <xf numFmtId="0" fontId="11700" fillId="11704" borderId="11849" xfId="0" applyFont="1" applyFill="1" applyBorder="1"/>
    <xf numFmtId="0" fontId="11623" fillId="11627" borderId="11651" xfId="0" applyFont="1" applyFill="1" applyBorder="1"/>
    <xf numFmtId="0" fontId="11821" fillId="11825" borderId="11607" xfId="0" applyFont="1" applyFill="1" applyBorder="1"/>
    <xf numFmtId="0" fontId="11854" fillId="11858" borderId="11772" xfId="0" applyFont="1" applyFill="1" applyBorder="1"/>
    <xf numFmtId="0" fontId="11931" fillId="11935" borderId="11805" xfId="0" applyFont="1" applyFill="1" applyBorder="1"/>
    <xf numFmtId="0" fontId="11887" fillId="11891" borderId="11882" xfId="0" applyFont="1" applyFill="1" applyBorder="1"/>
    <xf numFmtId="0" fontId="11689" fillId="11693" borderId="11838" xfId="0" applyFont="1" applyFill="1" applyBorder="1"/>
    <xf numFmtId="0" fontId="12019" fillId="12023" borderId="11640" xfId="0" applyFont="1" applyFill="1" applyBorder="1"/>
    <xf numFmtId="0" fontId="11755" fillId="11759" borderId="11970" xfId="0" applyFont="1" applyFill="1" applyBorder="1"/>
    <xf numFmtId="0" fontId="12041" fillId="12045" borderId="11706" xfId="0" applyFont="1" applyFill="1" applyBorder="1"/>
    <xf numFmtId="0" fontId="11777" fillId="11781" borderId="11992" xfId="0" applyFont="1" applyFill="1" applyBorder="1"/>
    <xf numFmtId="0" fontId="12063" fillId="12067" borderId="11728" xfId="0" applyFont="1" applyFill="1" applyBorder="1"/>
    <xf numFmtId="0" fontId="11799" fillId="11803" borderId="12014" xfId="0" applyFont="1" applyFill="1" applyBorder="1"/>
    <xf numFmtId="0" fontId="11667" fillId="11671" borderId="11750" xfId="0" applyFont="1" applyFill="1" applyBorder="1"/>
    <xf numFmtId="0" fontId="11997" fillId="12001" borderId="11618" xfId="0" applyFont="1" applyFill="1" applyBorder="1"/>
    <xf numFmtId="0" fontId="11733" fillId="11737" borderId="11948" xfId="0" applyFont="1" applyFill="1" applyBorder="1"/>
    <xf numFmtId="0" fontId="11832" fillId="11836" borderId="11684" xfId="0" applyFont="1" applyFill="1" applyBorder="1"/>
    <xf numFmtId="0" fontId="11865" fillId="11869" borderId="11783" xfId="0" applyFont="1" applyFill="1" applyBorder="1"/>
    <xf numFmtId="0" fontId="12074" fillId="12078" borderId="11816" xfId="0" applyFont="1" applyFill="1" applyBorder="1"/>
    <xf numFmtId="0" fontId="11810" fillId="11814" borderId="12025" xfId="0" applyFont="1" applyFill="1" applyBorder="1"/>
    <xf numFmtId="0" fontId="11843" fillId="11847" borderId="11761" xfId="0" applyFont="1" applyFill="1" applyBorder="1"/>
    <xf numFmtId="0" fontId="11876" fillId="11880" borderId="11794" xfId="0" applyFont="1" applyFill="1" applyBorder="1"/>
    <xf numFmtId="0" fontId="11678" fillId="11682" borderId="11827" xfId="0" applyFont="1" applyFill="1" applyBorder="1"/>
    <xf numFmtId="0" fontId="12008" fillId="12012" borderId="11629" xfId="0" applyFont="1" applyFill="1" applyBorder="1"/>
    <xf numFmtId="0" fontId="11744" fillId="11748" borderId="11959" xfId="0" applyFont="1" applyFill="1" applyBorder="1"/>
    <xf numFmtId="0" fontId="12030" fillId="12034" borderId="11695" xfId="0" applyFont="1" applyFill="1" applyBorder="1"/>
    <xf numFmtId="0" fontId="11766" fillId="11770" borderId="11981" xfId="0" applyFont="1" applyFill="1" applyBorder="1"/>
    <xf numFmtId="0" fontId="12052" fillId="12056" borderId="11717" xfId="0" applyFont="1" applyFill="1" applyBorder="1"/>
    <xf numFmtId="0" fontId="11788" fillId="11792" borderId="12003" xfId="0" applyFont="1" applyFill="1" applyBorder="1"/>
    <xf numFmtId="0" fontId="11656" fillId="11660" borderId="11739" xfId="0" applyFont="1" applyFill="1" applyBorder="1"/>
    <xf numFmtId="0" fontId="17561" fillId="17564" borderId="17511" xfId="0" applyFont="1" applyFill="1" applyBorder="1"/>
    <xf numFmtId="165" fontId="17562" fillId="17565" borderId="17512" xfId="0" applyNumberFormat="1" applyFont="1" applyFill="1" applyBorder="1"/>
    <xf numFmtId="165" fontId="17563" fillId="17566" borderId="17513" xfId="0" applyNumberFormat="1" applyFont="1" applyFill="1" applyBorder="1"/>
    <xf numFmtId="165" fontId="17564" fillId="17567" borderId="17514" xfId="0" applyNumberFormat="1" applyFont="1" applyFill="1" applyBorder="1"/>
    <xf numFmtId="165" fontId="17565" fillId="17568" borderId="17515" xfId="0" applyNumberFormat="1" applyFont="1" applyFill="1" applyBorder="1"/>
    <xf numFmtId="165" fontId="17566" fillId="17569" borderId="17516" xfId="0" applyNumberFormat="1" applyFont="1" applyFill="1" applyBorder="1"/>
    <xf numFmtId="165" fontId="17567" fillId="17570" borderId="17517" xfId="0" applyNumberFormat="1" applyFont="1" applyFill="1" applyBorder="1"/>
    <xf numFmtId="165" fontId="17568" fillId="17571" borderId="17518" xfId="0" applyNumberFormat="1" applyFont="1" applyFill="1" applyBorder="1"/>
    <xf numFmtId="0" fontId="17569" fillId="17572" borderId="17519" xfId="0" applyFont="1" applyFill="1" applyBorder="1"/>
    <xf numFmtId="0" fontId="17570" fillId="17573" borderId="17520" xfId="0" applyFont="1" applyFill="1" applyBorder="1"/>
    <xf numFmtId="0" fontId="17571" fillId="17574" borderId="17521" xfId="0" applyFont="1" applyFill="1" applyBorder="1"/>
    <xf numFmtId="0" fontId="17572" fillId="17575" borderId="17522" xfId="0" applyFont="1" applyFill="1" applyBorder="1"/>
    <xf numFmtId="0" fontId="17573" fillId="17584" borderId="17531" xfId="0" applyFont="1" applyFill="1" applyBorder="1"/>
    <xf numFmtId="0" fontId="17574" fillId="17585" borderId="17532" xfId="0" applyFont="1" applyFill="1" applyBorder="1"/>
    <xf numFmtId="0" fontId="17575" fillId="17586" borderId="17533" xfId="0" applyFont="1" applyFill="1" applyBorder="1"/>
    <xf numFmtId="0" fontId="17576" fillId="17587" borderId="17534" xfId="0" applyFont="1" applyFill="1" applyBorder="1"/>
    <xf numFmtId="0" fontId="17585" fillId="17596" borderId="17543" xfId="0" applyFont="1" applyFill="1" applyBorder="1"/>
    <xf numFmtId="0" fontId="17586" fillId="17597" borderId="17544" xfId="0" applyFont="1" applyFill="1" applyBorder="1"/>
    <xf numFmtId="0" fontId="17587" fillId="17598" borderId="17545" xfId="0" applyFont="1" applyFill="1" applyBorder="1"/>
    <xf numFmtId="0" fontId="17588" fillId="17599" borderId="17546" xfId="0" applyFont="1" applyFill="1" applyBorder="1"/>
    <xf numFmtId="0" fontId="17589" fillId="17600" borderId="17547" xfId="0" applyFont="1" applyFill="1" applyBorder="1"/>
    <xf numFmtId="0" fontId="17590" fillId="17601" borderId="17548" xfId="0" applyFont="1" applyFill="1" applyBorder="1"/>
    <xf numFmtId="0" fontId="17591" fillId="17602" borderId="17549" xfId="0" applyFont="1" applyFill="1" applyBorder="1"/>
    <xf numFmtId="0" fontId="17592" fillId="17603" borderId="17550" xfId="0" applyFont="1" applyFill="1" applyBorder="1"/>
    <xf numFmtId="0" fontId="17593" fillId="17604" borderId="17551" xfId="0" applyFont="1" applyFill="1" applyBorder="1"/>
    <xf numFmtId="0" fontId="17594" fillId="17605" borderId="17552" xfId="0" applyFont="1" applyFill="1" applyBorder="1"/>
    <xf numFmtId="0" fontId="17595" fillId="17606" borderId="17553" xfId="0" applyFont="1" applyFill="1" applyBorder="1"/>
    <xf numFmtId="0" fontId="17596" fillId="17607" borderId="17554" xfId="0" applyFont="1" applyFill="1" applyBorder="1"/>
    <xf numFmtId="0" fontId="17597" fillId="17608" borderId="17555" xfId="0" applyFont="1" applyFill="1" applyBorder="1"/>
    <xf numFmtId="0" fontId="17598" fillId="17609" borderId="17556" xfId="0" applyFont="1" applyFill="1" applyBorder="1"/>
    <xf numFmtId="0" fontId="17599" fillId="17610" borderId="17557" xfId="0" applyFont="1" applyFill="1" applyBorder="1"/>
    <xf numFmtId="0" fontId="17600" fillId="17611" borderId="17558" xfId="0" applyFont="1" applyFill="1" applyBorder="1"/>
    <xf numFmtId="0" fontId="17601" fillId="17612" borderId="17559" xfId="0" applyFont="1" applyFill="1" applyBorder="1"/>
    <xf numFmtId="0" fontId="17602" fillId="17613" borderId="17560" xfId="0" applyFont="1" applyFill="1" applyBorder="1"/>
    <xf numFmtId="0" fontId="17603" fillId="17614" borderId="17561" xfId="0" applyFont="1" applyFill="1" applyBorder="1"/>
    <xf numFmtId="0" fontId="17604" fillId="17615" borderId="17562" xfId="0" applyFont="1" applyFill="1" applyBorder="1"/>
    <xf numFmtId="0" fontId="17605" fillId="17616" borderId="17563" xfId="0" applyFont="1" applyFill="1" applyBorder="1"/>
    <xf numFmtId="0" fontId="17606" fillId="17617" borderId="17564" xfId="0" applyFont="1" applyFill="1" applyBorder="1"/>
    <xf numFmtId="0" fontId="17607" fillId="17618" borderId="17565" xfId="0" applyFont="1" applyFill="1" applyBorder="1"/>
    <xf numFmtId="0" fontId="17608" fillId="17619" borderId="17566" xfId="0" applyFont="1" applyFill="1" applyBorder="1"/>
    <xf numFmtId="0" fontId="17609" fillId="17620" borderId="17567" xfId="0" applyFont="1" applyFill="1" applyBorder="1"/>
    <xf numFmtId="0" fontId="17610" fillId="17621" borderId="17568" xfId="0" applyFont="1" applyFill="1" applyBorder="1"/>
    <xf numFmtId="0" fontId="17611" fillId="17622" borderId="17569" xfId="0" applyFont="1" applyFill="1" applyBorder="1"/>
    <xf numFmtId="0" fontId="17612" fillId="17623" borderId="17570" xfId="0" applyFont="1" applyFill="1" applyBorder="1"/>
    <xf numFmtId="0" fontId="17613" fillId="17624" borderId="17571" xfId="0" applyFont="1" applyFill="1" applyBorder="1"/>
    <xf numFmtId="0" fontId="17614" fillId="17625" borderId="17572" xfId="0" applyFont="1" applyFill="1" applyBorder="1"/>
    <xf numFmtId="0" fontId="17615" fillId="17626" borderId="17573" xfId="0" applyFont="1" applyFill="1" applyBorder="1"/>
    <xf numFmtId="0" fontId="17616" fillId="17627" borderId="17574" xfId="0" applyFont="1" applyFill="1" applyBorder="1"/>
    <xf numFmtId="0" fontId="17617" fillId="17628" borderId="17575" xfId="0" applyFont="1" applyFill="1" applyBorder="1"/>
    <xf numFmtId="0" fontId="17618" fillId="17629" borderId="17576" xfId="0" applyFont="1" applyFill="1" applyBorder="1"/>
    <xf numFmtId="0" fontId="17619" fillId="17630" borderId="17577" xfId="0" applyFont="1" applyFill="1" applyBorder="1"/>
    <xf numFmtId="0" fontId="17620" fillId="17631" borderId="17578" xfId="0" applyFont="1" applyFill="1" applyBorder="1"/>
    <xf numFmtId="0" fontId="17621" fillId="17632" borderId="17579" xfId="0" applyFont="1" applyFill="1" applyBorder="1"/>
    <xf numFmtId="0" fontId="17622" fillId="17633" borderId="17580" xfId="0" applyFont="1" applyFill="1" applyBorder="1"/>
    <xf numFmtId="0" fontId="17623" fillId="17634" borderId="17581" xfId="0" applyFont="1" applyFill="1" applyBorder="1"/>
    <xf numFmtId="0" fontId="17624" fillId="17635" borderId="17582" xfId="0" applyFont="1" applyFill="1" applyBorder="1"/>
    <xf numFmtId="0" fontId="17625" fillId="17636" borderId="17583" xfId="0" applyFont="1" applyFill="1" applyBorder="1"/>
    <xf numFmtId="0" fontId="17626" fillId="17637" borderId="17584" xfId="0" applyFont="1" applyFill="1" applyBorder="1"/>
    <xf numFmtId="0" fontId="17627" fillId="17638" borderId="17585" xfId="0" applyFont="1" applyFill="1" applyBorder="1"/>
    <xf numFmtId="0" fontId="17628" fillId="17639" borderId="17586" xfId="0" applyFont="1" applyFill="1" applyBorder="1"/>
    <xf numFmtId="0" fontId="17629" fillId="17640" borderId="17587" xfId="0" applyFont="1" applyFill="1" applyBorder="1"/>
    <xf numFmtId="0" fontId="17630" fillId="17641" borderId="17588" xfId="0" applyFont="1" applyFill="1" applyBorder="1"/>
    <xf numFmtId="0" fontId="17631" fillId="17642" borderId="17589" xfId="0" applyFont="1" applyFill="1" applyBorder="1"/>
    <xf numFmtId="0" fontId="17632" fillId="17643" borderId="17590" xfId="0" applyFont="1" applyFill="1" applyBorder="1"/>
    <xf numFmtId="0" fontId="17633" fillId="17644" borderId="17591" xfId="0" applyFont="1" applyFill="1" applyBorder="1"/>
    <xf numFmtId="0" fontId="17634" fillId="17645" borderId="17592" xfId="0" applyFont="1" applyFill="1" applyBorder="1"/>
    <xf numFmtId="0" fontId="17635" fillId="17646" borderId="17593" xfId="0" applyFont="1" applyFill="1" applyBorder="1"/>
    <xf numFmtId="0" fontId="17636" fillId="17647" borderId="17594" xfId="0" applyFont="1" applyFill="1" applyBorder="1"/>
    <xf numFmtId="0" fontId="17637" fillId="17648" borderId="17595" xfId="0" applyFont="1" applyFill="1" applyBorder="1"/>
    <xf numFmtId="0" fontId="17638" fillId="17649" borderId="17596" xfId="0" applyFont="1" applyFill="1" applyBorder="1"/>
    <xf numFmtId="0" fontId="17639" fillId="17650" borderId="17597" xfId="0" applyFont="1" applyFill="1" applyBorder="1"/>
    <xf numFmtId="0" fontId="17640" fillId="17651" borderId="17598" xfId="0" applyFont="1" applyFill="1" applyBorder="1"/>
    <xf numFmtId="0" fontId="17641" fillId="17652" borderId="17599" xfId="0" applyFont="1" applyFill="1" applyBorder="1"/>
    <xf numFmtId="0" fontId="17642" fillId="17653" borderId="17600" xfId="0" applyFont="1" applyFill="1" applyBorder="1"/>
    <xf numFmtId="0" fontId="17643" fillId="17654" borderId="17601" xfId="0" applyFont="1" applyFill="1" applyBorder="1"/>
    <xf numFmtId="0" fontId="17644" fillId="17655" borderId="17602" xfId="0" applyFont="1" applyFill="1" applyBorder="1"/>
    <xf numFmtId="0" fontId="17645" fillId="17656" borderId="17603" xfId="0" applyFont="1" applyFill="1" applyBorder="1"/>
    <xf numFmtId="0" fontId="17646" fillId="17657" borderId="17604" xfId="0" applyFont="1" applyFill="1" applyBorder="1"/>
    <xf numFmtId="0" fontId="17647" fillId="17658" borderId="17605" xfId="0" applyFont="1" applyFill="1" applyBorder="1"/>
    <xf numFmtId="0" fontId="17648" fillId="17659" borderId="17606" xfId="0" applyFont="1" applyFill="1" applyBorder="1"/>
    <xf numFmtId="0" fontId="17649" fillId="17660" borderId="17607" xfId="0" applyFont="1" applyFill="1" applyBorder="1"/>
    <xf numFmtId="0" fontId="17650" fillId="17661" borderId="17608" xfId="0" applyFont="1" applyFill="1" applyBorder="1"/>
    <xf numFmtId="0" fontId="17651" fillId="17662" borderId="17609" xfId="0" applyFont="1" applyFill="1" applyBorder="1"/>
    <xf numFmtId="0" fontId="17652" fillId="17663" borderId="17610" xfId="0" applyFont="1" applyFill="1" applyBorder="1"/>
    <xf numFmtId="0" fontId="17653" fillId="17664" borderId="17611" xfId="0" applyFont="1" applyFill="1" applyBorder="1"/>
    <xf numFmtId="0" fontId="17654" fillId="17665" borderId="17612" xfId="0" applyFont="1" applyFill="1" applyBorder="1"/>
    <xf numFmtId="0" fontId="17655" fillId="17666" borderId="17613" xfId="0" applyFont="1" applyFill="1" applyBorder="1"/>
    <xf numFmtId="0" fontId="17656" fillId="17667" borderId="17614" xfId="0" applyFont="1" applyFill="1" applyBorder="1"/>
    <xf numFmtId="0" fontId="17657" fillId="17668" borderId="17615" xfId="0" applyFont="1" applyFill="1" applyBorder="1"/>
    <xf numFmtId="0" fontId="17658" fillId="17669" borderId="17616" xfId="0" applyFont="1" applyFill="1" applyBorder="1"/>
    <xf numFmtId="0" fontId="17659" fillId="17670" borderId="17617" xfId="0" applyFont="1" applyFill="1" applyBorder="1"/>
    <xf numFmtId="0" fontId="17660" fillId="17671" borderId="17618" xfId="0" applyFont="1" applyFill="1" applyBorder="1"/>
    <xf numFmtId="0" fontId="17661" fillId="17672" borderId="17619" xfId="0" applyFont="1" applyFill="1" applyBorder="1"/>
    <xf numFmtId="0" fontId="17662" fillId="17673" borderId="17620" xfId="0" applyFont="1" applyFill="1" applyBorder="1"/>
    <xf numFmtId="0" fontId="17663" fillId="17674" borderId="17621" xfId="0" applyFont="1" applyFill="1" applyBorder="1"/>
    <xf numFmtId="0" fontId="17664" fillId="17675" borderId="17622" xfId="0" applyFont="1" applyFill="1" applyBorder="1"/>
    <xf numFmtId="0" fontId="17665" fillId="17676" borderId="17623" xfId="0" applyFont="1" applyFill="1" applyBorder="1"/>
    <xf numFmtId="0" fontId="17666" fillId="17677" borderId="17624" xfId="0" applyFont="1" applyFill="1" applyBorder="1"/>
    <xf numFmtId="0" fontId="17667" fillId="17678" borderId="17625" xfId="0" applyFont="1" applyFill="1" applyBorder="1"/>
    <xf numFmtId="0" fontId="17668" fillId="17679" borderId="17626" xfId="0" applyFont="1" applyFill="1" applyBorder="1"/>
    <xf numFmtId="0" fontId="17669" fillId="17680" borderId="17627" xfId="0" applyFont="1" applyFill="1" applyBorder="1"/>
    <xf numFmtId="0" fontId="17670" fillId="17681" borderId="17628" xfId="0" applyFont="1" applyFill="1" applyBorder="1"/>
    <xf numFmtId="0" fontId="17671" fillId="17682" borderId="17629" xfId="0" applyFont="1" applyFill="1" applyBorder="1"/>
    <xf numFmtId="0" fontId="17672" fillId="17683" borderId="17630" xfId="0" applyFont="1" applyFill="1" applyBorder="1"/>
    <xf numFmtId="0" fontId="17673" fillId="17684" borderId="17631" xfId="0" applyFont="1" applyFill="1" applyBorder="1"/>
    <xf numFmtId="0" fontId="17674" fillId="17685" borderId="17632" xfId="0" applyFont="1" applyFill="1" applyBorder="1"/>
    <xf numFmtId="0" fontId="17675" fillId="17686" borderId="17633" xfId="0" applyFont="1" applyFill="1" applyBorder="1"/>
    <xf numFmtId="0" fontId="17676" fillId="17687" borderId="17634" xfId="0" applyFont="1" applyFill="1" applyBorder="1"/>
    <xf numFmtId="0" fontId="17677" fillId="17688" borderId="17635" xfId="0" applyFont="1" applyFill="1" applyBorder="1"/>
    <xf numFmtId="0" fontId="17678" fillId="17689" borderId="17636" xfId="0" applyFont="1" applyFill="1" applyBorder="1"/>
    <xf numFmtId="0" fontId="17679" fillId="17690" borderId="17637" xfId="0" applyFont="1" applyFill="1" applyBorder="1"/>
    <xf numFmtId="0" fontId="17680" fillId="17691" borderId="17638" xfId="0" applyFont="1" applyFill="1" applyBorder="1"/>
    <xf numFmtId="0" fontId="17681" fillId="17692" borderId="17639" xfId="0" applyFont="1" applyFill="1" applyBorder="1"/>
    <xf numFmtId="0" fontId="17682" fillId="17693" borderId="17640" xfId="0" applyFont="1" applyFill="1" applyBorder="1"/>
    <xf numFmtId="0" fontId="17683" fillId="17694" borderId="17641" xfId="0" applyFont="1" applyFill="1" applyBorder="1"/>
    <xf numFmtId="0" fontId="17684" fillId="17695" borderId="17642" xfId="0" applyFont="1" applyFill="1" applyBorder="1"/>
    <xf numFmtId="0" fontId="17685" fillId="17696" borderId="17643" xfId="0" applyFont="1" applyFill="1" applyBorder="1"/>
    <xf numFmtId="0" fontId="17686" fillId="17697" borderId="17644" xfId="0" applyFont="1" applyFill="1" applyBorder="1"/>
    <xf numFmtId="0" fontId="17687" fillId="17698" borderId="17645" xfId="0" applyFont="1" applyFill="1" applyBorder="1"/>
    <xf numFmtId="0" fontId="17688" fillId="17699" borderId="17646" xfId="0" applyFont="1" applyFill="1" applyBorder="1"/>
    <xf numFmtId="0" fontId="17689" fillId="17700" borderId="17647" xfId="0" applyFont="1" applyFill="1" applyBorder="1"/>
    <xf numFmtId="0" fontId="17690" fillId="17701" borderId="17648" xfId="0" applyFont="1" applyFill="1" applyBorder="1"/>
    <xf numFmtId="0" fontId="17691" fillId="17702" borderId="17649" xfId="0" applyFont="1" applyFill="1" applyBorder="1"/>
    <xf numFmtId="0" fontId="17692" fillId="17703" borderId="17650" xfId="0" applyFont="1" applyFill="1" applyBorder="1"/>
    <xf numFmtId="0" fontId="17693" fillId="17704" borderId="17651" xfId="0" applyFont="1" applyFill="1" applyBorder="1"/>
    <xf numFmtId="0" fontId="17694" fillId="17705" borderId="17652" xfId="0" applyFont="1" applyFill="1" applyBorder="1"/>
    <xf numFmtId="0" fontId="17695" fillId="17706" borderId="17653" xfId="0" applyFont="1" applyFill="1" applyBorder="1"/>
    <xf numFmtId="0" fontId="17696" fillId="17707" borderId="17654" xfId="0" applyFont="1" applyFill="1" applyBorder="1"/>
    <xf numFmtId="0" fontId="17697" fillId="17708" borderId="17655" xfId="0" applyFont="1" applyFill="1" applyBorder="1"/>
    <xf numFmtId="0" fontId="17698" fillId="17709" borderId="17656" xfId="0" applyFont="1" applyFill="1" applyBorder="1"/>
    <xf numFmtId="0" fontId="17699" fillId="17710" borderId="17657" xfId="0" applyFont="1" applyFill="1" applyBorder="1"/>
    <xf numFmtId="0" fontId="17700" fillId="17711" borderId="17658" xfId="0" applyFont="1" applyFill="1" applyBorder="1"/>
    <xf numFmtId="0" fontId="17701" fillId="17712" borderId="17659" xfId="0" applyFont="1" applyFill="1" applyBorder="1"/>
    <xf numFmtId="0" fontId="17702" fillId="17713" borderId="17660" xfId="0" applyFont="1" applyFill="1" applyBorder="1"/>
    <xf numFmtId="0" fontId="17703" fillId="17714" borderId="17661" xfId="0" applyFont="1" applyFill="1" applyBorder="1"/>
    <xf numFmtId="0" fontId="17704" fillId="17715" borderId="17662" xfId="0" applyFont="1" applyFill="1" applyBorder="1"/>
    <xf numFmtId="0" fontId="17705" fillId="17716" borderId="17663" xfId="0" applyFont="1" applyFill="1" applyBorder="1"/>
    <xf numFmtId="0" fontId="17706" fillId="17717" borderId="17664" xfId="0" applyFont="1" applyFill="1" applyBorder="1"/>
    <xf numFmtId="0" fontId="17707" fillId="17718" borderId="17665" xfId="0" applyFont="1" applyFill="1" applyBorder="1"/>
    <xf numFmtId="0" fontId="17708" fillId="17719" borderId="17666" xfId="0" applyFont="1" applyFill="1" applyBorder="1"/>
    <xf numFmtId="0" fontId="17709" fillId="17720" borderId="17667" xfId="0" applyFont="1" applyFill="1" applyBorder="1"/>
    <xf numFmtId="0" fontId="17710" fillId="17721" borderId="17668" xfId="0" applyFont="1" applyFill="1" applyBorder="1"/>
    <xf numFmtId="0" fontId="17711" fillId="17722" borderId="17669" xfId="0" applyFont="1" applyFill="1" applyBorder="1"/>
    <xf numFmtId="0" fontId="17712" fillId="17723" borderId="17670" xfId="0" applyFont="1" applyFill="1" applyBorder="1"/>
    <xf numFmtId="0" fontId="17713" fillId="17724" borderId="17671" xfId="0" applyFont="1" applyFill="1" applyBorder="1"/>
    <xf numFmtId="0" fontId="17714" fillId="17725" borderId="17672" xfId="0" applyFont="1" applyFill="1" applyBorder="1"/>
    <xf numFmtId="0" fontId="17715" fillId="17726" borderId="17673" xfId="0" applyFont="1" applyFill="1" applyBorder="1"/>
    <xf numFmtId="0" fontId="17716" fillId="17727" borderId="17674" xfId="0" applyFont="1" applyFill="1" applyBorder="1"/>
    <xf numFmtId="0" fontId="17717" fillId="17728" borderId="17675" xfId="0" applyFont="1" applyFill="1" applyBorder="1"/>
    <xf numFmtId="0" fontId="17718" fillId="17729" borderId="17676" xfId="0" applyFont="1" applyFill="1" applyBorder="1"/>
    <xf numFmtId="0" fontId="17719" fillId="17730" borderId="17677" xfId="0" applyFont="1" applyFill="1" applyBorder="1"/>
    <xf numFmtId="0" fontId="17720" fillId="17731" borderId="17678" xfId="0" applyFont="1" applyFill="1" applyBorder="1"/>
    <xf numFmtId="0" fontId="17721" fillId="17732" borderId="17679" xfId="0" applyFont="1" applyFill="1" applyBorder="1"/>
    <xf numFmtId="0" fontId="17722" fillId="17733" borderId="17680" xfId="0" applyFont="1" applyFill="1" applyBorder="1"/>
    <xf numFmtId="0" fontId="17723" fillId="17734" borderId="17681" xfId="0" applyFont="1" applyFill="1" applyBorder="1"/>
    <xf numFmtId="0" fontId="17724" fillId="17735" borderId="17682" xfId="0" applyFont="1" applyFill="1" applyBorder="1"/>
    <xf numFmtId="0" fontId="17725" fillId="17736" borderId="17683" xfId="0" applyFont="1" applyFill="1" applyBorder="1"/>
    <xf numFmtId="0" fontId="17726" fillId="17737" borderId="17684" xfId="0" applyFont="1" applyFill="1" applyBorder="1"/>
    <xf numFmtId="0" fontId="17727" fillId="17738" borderId="17685" xfId="0" applyFont="1" applyFill="1" applyBorder="1"/>
    <xf numFmtId="0" fontId="17728" fillId="17739" borderId="17686" xfId="0" applyFont="1" applyFill="1" applyBorder="1"/>
    <xf numFmtId="0" fontId="17729" fillId="17740" borderId="17687" xfId="0" applyFont="1" applyFill="1" applyBorder="1"/>
    <xf numFmtId="0" fontId="17730" fillId="17741" borderId="17688" xfId="0" applyFont="1" applyFill="1" applyBorder="1"/>
    <xf numFmtId="0" fontId="17731" fillId="17742" borderId="17689" xfId="0" applyFont="1" applyFill="1" applyBorder="1"/>
    <xf numFmtId="0" fontId="17732" fillId="17743" borderId="17690" xfId="0" applyFont="1" applyFill="1" applyBorder="1"/>
    <xf numFmtId="0" fontId="17733" fillId="17744" borderId="17691" xfId="0" applyFont="1" applyFill="1" applyBorder="1"/>
    <xf numFmtId="0" fontId="17734" fillId="17745" borderId="17692" xfId="0" applyFont="1" applyFill="1" applyBorder="1"/>
    <xf numFmtId="0" fontId="17735" fillId="17746" borderId="17693" xfId="0" applyFont="1" applyFill="1" applyBorder="1"/>
    <xf numFmtId="0" fontId="17736" fillId="17747" borderId="17694" xfId="0" applyFont="1" applyFill="1" applyBorder="1"/>
    <xf numFmtId="0" fontId="17737" fillId="17748" borderId="17695" xfId="0" applyFont="1" applyFill="1" applyBorder="1"/>
    <xf numFmtId="0" fontId="17738" fillId="17749" borderId="17696" xfId="0" applyFont="1" applyFill="1" applyBorder="1"/>
    <xf numFmtId="0" fontId="17739" fillId="17750" borderId="17697" xfId="0" applyFont="1" applyFill="1" applyBorder="1"/>
    <xf numFmtId="0" fontId="17740" fillId="17751" borderId="17698" xfId="0" applyFont="1" applyFill="1" applyBorder="1"/>
    <xf numFmtId="0" fontId="17741" fillId="17752" borderId="17699" xfId="0" applyFont="1" applyFill="1" applyBorder="1"/>
    <xf numFmtId="0" fontId="17742" fillId="17753" borderId="17700" xfId="0" applyFont="1" applyFill="1" applyBorder="1"/>
    <xf numFmtId="0" fontId="17743" fillId="17754" borderId="17701" xfId="0" applyFont="1" applyFill="1" applyBorder="1"/>
    <xf numFmtId="0" fontId="17744" fillId="17755" borderId="17702" xfId="0" applyFont="1" applyFill="1" applyBorder="1"/>
    <xf numFmtId="0" fontId="17745" fillId="17756" borderId="17703" xfId="0" applyFont="1" applyFill="1" applyBorder="1"/>
    <xf numFmtId="0" fontId="17746" fillId="17757" borderId="17704" xfId="0" applyFont="1" applyFill="1" applyBorder="1"/>
    <xf numFmtId="0" fontId="17747" fillId="17758" borderId="17705" xfId="0" applyFont="1" applyFill="1" applyBorder="1"/>
    <xf numFmtId="0" fontId="17748" fillId="17759" borderId="17706" xfId="0" applyFont="1" applyFill="1" applyBorder="1"/>
    <xf numFmtId="0" fontId="17749" fillId="17760" borderId="17707" xfId="0" applyFont="1" applyFill="1" applyBorder="1"/>
    <xf numFmtId="0" fontId="17750" fillId="17761" borderId="17708" xfId="0" applyFont="1" applyFill="1" applyBorder="1"/>
    <xf numFmtId="0" fontId="17751" fillId="17762" borderId="17709" xfId="0" applyFont="1" applyFill="1" applyBorder="1"/>
    <xf numFmtId="0" fontId="17752" fillId="17763" borderId="17710" xfId="0" applyFont="1" applyFill="1" applyBorder="1"/>
    <xf numFmtId="0" fontId="17753" fillId="17764" borderId="17711" xfId="0" applyFont="1" applyFill="1" applyBorder="1"/>
    <xf numFmtId="0" fontId="17754" fillId="17765" borderId="17712" xfId="0" applyFont="1" applyFill="1" applyBorder="1"/>
    <xf numFmtId="0" fontId="17755" fillId="17766" borderId="17713" xfId="0" applyFont="1" applyFill="1" applyBorder="1"/>
    <xf numFmtId="0" fontId="17756" fillId="17767" borderId="17714" xfId="0" applyFont="1" applyFill="1" applyBorder="1"/>
    <xf numFmtId="0" fontId="17757" fillId="17768" borderId="17715" xfId="0" applyFont="1" applyFill="1" applyBorder="1"/>
    <xf numFmtId="0" fontId="17766" fillId="17776" borderId="17723" xfId="0" applyFont="1" applyFill="1" applyBorder="1"/>
    <xf numFmtId="0" fontId="17767" fillId="17777" borderId="17724" xfId="0" applyFont="1" applyFill="1" applyBorder="1"/>
    <xf numFmtId="0" fontId="17768" fillId="17778" borderId="17725" xfId="0" applyFont="1" applyFill="1" applyBorder="1"/>
    <xf numFmtId="0" fontId="17769" fillId="17779" borderId="17726" xfId="0" applyFont="1" applyFill="1" applyBorder="1"/>
    <xf numFmtId="0" fontId="17770" fillId="17780" borderId="17727" xfId="0" applyFont="1" applyFill="1" applyBorder="1"/>
    <xf numFmtId="0" fontId="17771" fillId="17781" borderId="17728" xfId="0" applyFont="1" applyFill="1" applyBorder="1" applyAlignment="1">
      <alignment horizontal="center" wrapText="1"/>
    </xf>
    <xf numFmtId="0" fontId="17772" fillId="17782" borderId="17729" xfId="0" applyFont="1" applyFill="1" applyBorder="1" applyAlignment="1">
      <alignment horizontal="center" wrapText="1"/>
    </xf>
    <xf numFmtId="0" fontId="17773" fillId="17783" borderId="17730" xfId="0" applyFont="1" applyFill="1" applyBorder="1" applyAlignment="1">
      <alignment horizontal="center" wrapText="1"/>
    </xf>
    <xf numFmtId="0" fontId="17774" fillId="17784" borderId="17731" xfId="0" applyFont="1" applyFill="1" applyBorder="1" applyAlignment="1">
      <alignment horizontal="center" wrapText="1"/>
    </xf>
    <xf numFmtId="0" fontId="17775" fillId="17785" borderId="17732" xfId="0" applyFont="1" applyFill="1" applyBorder="1" applyAlignment="1">
      <alignment horizontal="center" wrapText="1"/>
    </xf>
    <xf numFmtId="0" fontId="17776" fillId="17786" borderId="17733" xfId="0" applyFont="1" applyFill="1" applyBorder="1" applyAlignment="1">
      <alignment horizontal="center" wrapText="1"/>
    </xf>
    <xf numFmtId="0" fontId="17777" fillId="17787" borderId="17734" xfId="0" applyFont="1" applyFill="1" applyBorder="1" applyAlignment="1">
      <alignment horizontal="center" wrapText="1"/>
    </xf>
    <xf numFmtId="0" fontId="17778" fillId="17788" borderId="17735" xfId="0" applyFont="1" applyFill="1" applyBorder="1" applyAlignment="1">
      <alignment horizontal="center" wrapText="1"/>
    </xf>
    <xf numFmtId="0" fontId="17779" fillId="17789" borderId="17736" xfId="0" applyFont="1" applyFill="1" applyBorder="1" applyAlignment="1">
      <alignment horizontal="center" wrapText="1"/>
    </xf>
    <xf numFmtId="0" fontId="17780" fillId="17790" borderId="17737" xfId="0" applyFont="1" applyFill="1" applyBorder="1"/>
    <xf numFmtId="0" fontId="17781" fillId="17791" borderId="17738" xfId="0" applyFont="1" applyFill="1" applyBorder="1"/>
    <xf numFmtId="0" fontId="17782" fillId="17792" borderId="17739" xfId="0" applyFont="1" applyFill="1" applyBorder="1"/>
    <xf numFmtId="0" fontId="17783" fillId="17793" borderId="17740" xfId="0" applyFont="1" applyFill="1" applyBorder="1"/>
    <xf numFmtId="4" fontId="17784" fillId="17794" borderId="17741" xfId="0" applyNumberFormat="1" applyFont="1" applyFill="1" applyBorder="1"/>
    <xf numFmtId="4" fontId="17785" fillId="17795" borderId="17742" xfId="0" applyNumberFormat="1" applyFont="1" applyFill="1" applyBorder="1"/>
    <xf numFmtId="4" fontId="17786" fillId="17796" borderId="17743" xfId="0" applyNumberFormat="1" applyFont="1" applyFill="1" applyBorder="1"/>
    <xf numFmtId="4" fontId="17787" fillId="17797" borderId="17744" xfId="0" applyNumberFormat="1" applyFont="1" applyFill="1" applyBorder="1"/>
    <xf numFmtId="4" fontId="17788" fillId="17798" borderId="17745" xfId="0" applyNumberFormat="1" applyFont="1" applyFill="1" applyBorder="1"/>
    <xf numFmtId="167" fontId="17789" fillId="17799" borderId="17746" xfId="0" applyNumberFormat="1" applyFont="1" applyFill="1" applyBorder="1"/>
    <xf numFmtId="170" fontId="17790" fillId="17800" borderId="17747" xfId="0" applyNumberFormat="1" applyFont="1" applyFill="1" applyBorder="1"/>
    <xf numFmtId="4" fontId="17791" fillId="17801" borderId="17748" xfId="0" applyNumberFormat="1" applyFont="1" applyFill="1" applyBorder="1"/>
    <xf numFmtId="0" fontId="17792" fillId="17802" borderId="17749" xfId="0" applyFont="1" applyFill="1" applyBorder="1"/>
    <xf numFmtId="0" fontId="17793" fillId="17803" borderId="17750" xfId="0" applyFont="1" applyFill="1" applyBorder="1"/>
    <xf numFmtId="0" fontId="17794" fillId="17804" borderId="17751" xfId="0" applyFont="1" applyFill="1" applyBorder="1"/>
    <xf numFmtId="0" fontId="17795" fillId="17805" borderId="17752" xfId="0" applyFont="1" applyFill="1" applyBorder="1"/>
    <xf numFmtId="4" fontId="17796" fillId="17806" borderId="17753" xfId="0" applyNumberFormat="1" applyFont="1" applyFill="1" applyBorder="1"/>
    <xf numFmtId="4" fontId="17797" fillId="17807" borderId="17754" xfId="0" applyNumberFormat="1" applyFont="1" applyFill="1" applyBorder="1"/>
    <xf numFmtId="167" fontId="17798" fillId="17808" borderId="17755" xfId="0" applyNumberFormat="1" applyFont="1" applyFill="1" applyBorder="1"/>
    <xf numFmtId="170" fontId="17799" fillId="17809" borderId="17756" xfId="0" applyNumberFormat="1" applyFont="1" applyFill="1" applyBorder="1"/>
    <xf numFmtId="4" fontId="17800" fillId="17810" borderId="17757" xfId="0" applyNumberFormat="1" applyFont="1" applyFill="1" applyBorder="1"/>
    <xf numFmtId="0" fontId="17801" fillId="17811" borderId="17758" xfId="0" applyFont="1" applyFill="1" applyBorder="1"/>
    <xf numFmtId="0" fontId="17802" fillId="17812" borderId="17759" xfId="0" applyFont="1" applyFill="1" applyBorder="1"/>
    <xf numFmtId="0" fontId="17803" fillId="17813" borderId="17760" xfId="0" applyFont="1" applyFill="1" applyBorder="1"/>
    <xf numFmtId="0" fontId="17804" fillId="17814" borderId="17761" xfId="0" applyFont="1" applyFill="1" applyBorder="1"/>
    <xf numFmtId="4" fontId="17805" fillId="17815" borderId="17762" xfId="0" applyNumberFormat="1" applyFont="1" applyFill="1" applyBorder="1"/>
    <xf numFmtId="4" fontId="17806" fillId="17816" borderId="17763" xfId="0" applyNumberFormat="1" applyFont="1" applyFill="1" applyBorder="1"/>
    <xf numFmtId="167" fontId="17807" fillId="17817" borderId="17764" xfId="0" applyNumberFormat="1" applyFont="1" applyFill="1" applyBorder="1"/>
    <xf numFmtId="170" fontId="17808" fillId="17818" borderId="17765" xfId="0" applyNumberFormat="1" applyFont="1" applyFill="1" applyBorder="1"/>
    <xf numFmtId="4" fontId="17809" fillId="17819" borderId="17766" xfId="0" applyNumberFormat="1" applyFont="1" applyFill="1" applyBorder="1"/>
    <xf numFmtId="0" fontId="17810" fillId="17820" borderId="17767" xfId="0" applyFont="1" applyFill="1" applyBorder="1"/>
    <xf numFmtId="0" fontId="17811" fillId="17821" borderId="17768" xfId="0" applyFont="1" applyFill="1" applyBorder="1"/>
    <xf numFmtId="0" fontId="17812" fillId="17822" borderId="17769" xfId="0" applyFont="1" applyFill="1" applyBorder="1"/>
    <xf numFmtId="0" fontId="17813" fillId="17823" borderId="17770" xfId="0" applyFont="1" applyFill="1" applyBorder="1"/>
    <xf numFmtId="4" fontId="17814" fillId="17824" borderId="17771" xfId="0" applyNumberFormat="1" applyFont="1" applyFill="1" applyBorder="1"/>
    <xf numFmtId="4" fontId="17815" fillId="17825" borderId="17772" xfId="0" applyNumberFormat="1" applyFont="1" applyFill="1" applyBorder="1"/>
    <xf numFmtId="4" fontId="17816" fillId="17826" borderId="17773" xfId="0" applyNumberFormat="1" applyFont="1" applyFill="1" applyBorder="1"/>
    <xf numFmtId="4" fontId="17817" fillId="17827" borderId="17774" xfId="0" applyNumberFormat="1" applyFont="1" applyFill="1" applyBorder="1"/>
    <xf numFmtId="4" fontId="17818" fillId="17828" borderId="17775" xfId="0" applyNumberFormat="1" applyFont="1" applyFill="1" applyBorder="1"/>
    <xf numFmtId="167" fontId="17819" fillId="17829" borderId="17776" xfId="0" applyNumberFormat="1" applyFont="1" applyFill="1" applyBorder="1"/>
    <xf numFmtId="170" fontId="17820" fillId="17830" borderId="17777" xfId="0" applyNumberFormat="1" applyFont="1" applyFill="1" applyBorder="1"/>
    <xf numFmtId="4" fontId="17821" fillId="17831" borderId="17778" xfId="0" applyNumberFormat="1" applyFont="1" applyFill="1" applyBorder="1"/>
    <xf numFmtId="0" fontId="17822" fillId="17832" borderId="17779" xfId="0" applyFont="1" applyFill="1" applyBorder="1"/>
    <xf numFmtId="0" fontId="17823" fillId="17833" borderId="17780" xfId="0" applyFont="1" applyFill="1" applyBorder="1"/>
    <xf numFmtId="0" fontId="17824" fillId="17834" borderId="17781" xfId="0" applyFont="1" applyFill="1" applyBorder="1"/>
    <xf numFmtId="0" fontId="17825" fillId="17835" borderId="17782" xfId="0" applyFont="1" applyFill="1" applyBorder="1"/>
    <xf numFmtId="4" fontId="17826" fillId="17836" borderId="17783" xfId="0" applyNumberFormat="1" applyFont="1" applyFill="1" applyBorder="1"/>
    <xf numFmtId="4" fontId="17827" fillId="17837" borderId="17784" xfId="0" applyNumberFormat="1" applyFont="1" applyFill="1" applyBorder="1"/>
    <xf numFmtId="4" fontId="17828" fillId="17838" borderId="17785" xfId="0" applyNumberFormat="1" applyFont="1" applyFill="1" applyBorder="1"/>
    <xf numFmtId="167" fontId="17829" fillId="17839" borderId="17786" xfId="0" applyNumberFormat="1" applyFont="1" applyFill="1" applyBorder="1"/>
    <xf numFmtId="170" fontId="17830" fillId="17840" borderId="17787" xfId="0" applyNumberFormat="1" applyFont="1" applyFill="1" applyBorder="1"/>
    <xf numFmtId="4" fontId="17831" fillId="17841" borderId="17788" xfId="0" applyNumberFormat="1" applyFont="1" applyFill="1" applyBorder="1"/>
    <xf numFmtId="0" fontId="17832" fillId="17842" borderId="17789" xfId="0" applyFont="1" applyFill="1" applyBorder="1"/>
    <xf numFmtId="0" fontId="17833" fillId="17843" borderId="17790" xfId="0" applyFont="1" applyFill="1" applyBorder="1"/>
    <xf numFmtId="0" fontId="17834" fillId="17844" borderId="17791" xfId="0" applyFont="1" applyFill="1" applyBorder="1"/>
    <xf numFmtId="0" fontId="17835" fillId="17845" borderId="17792" xfId="0" applyFont="1" applyFill="1" applyBorder="1"/>
    <xf numFmtId="0" fontId="17836" fillId="17846" borderId="17793" xfId="0" applyFont="1" applyFill="1" applyBorder="1"/>
    <xf numFmtId="0" fontId="17837" fillId="17847" borderId="17794" xfId="0" applyFont="1" applyFill="1" applyBorder="1"/>
    <xf numFmtId="0" fontId="17838" fillId="17848" borderId="17795" xfId="0" applyFont="1" applyFill="1" applyBorder="1"/>
    <xf numFmtId="0" fontId="17839" fillId="17849" borderId="17796" xfId="0" applyFont="1" applyFill="1" applyBorder="1"/>
    <xf numFmtId="0" fontId="17840" fillId="17850" borderId="17797" xfId="0" applyFont="1" applyFill="1" applyBorder="1"/>
    <xf numFmtId="0" fontId="17841" fillId="17851" borderId="17798" xfId="0" applyFont="1" applyFill="1" applyBorder="1"/>
    <xf numFmtId="0" fontId="17842" fillId="17852" borderId="17799" xfId="0" applyFont="1" applyFill="1" applyBorder="1"/>
    <xf numFmtId="0" fontId="17843" fillId="17853" borderId="17800" xfId="0" applyFont="1" applyFill="1" applyBorder="1"/>
    <xf numFmtId="0" fontId="17844" fillId="17854" borderId="17801" xfId="0" applyFont="1" applyFill="1" applyBorder="1"/>
    <xf numFmtId="0" fontId="17845" fillId="17855" borderId="17802" xfId="0" applyFont="1" applyFill="1" applyBorder="1"/>
    <xf numFmtId="0" fontId="17846" fillId="17856" borderId="17803" xfId="0" applyFont="1" applyFill="1" applyBorder="1"/>
    <xf numFmtId="0" fontId="17847" fillId="17857" borderId="17804" xfId="0" applyFont="1" applyFill="1" applyBorder="1"/>
    <xf numFmtId="0" fontId="17848" fillId="17858" borderId="17805" xfId="0" applyFont="1" applyFill="1" applyBorder="1"/>
    <xf numFmtId="0" fontId="17856" fillId="17866" borderId="17813" xfId="0" applyFont="1" applyFill="1" applyBorder="1"/>
    <xf numFmtId="0" fontId="17857" fillId="17867" borderId="17814" xfId="0" applyFont="1" applyFill="1" applyBorder="1"/>
    <xf numFmtId="0" fontId="17858" fillId="17868" borderId="17815" xfId="0" applyFont="1" applyFill="1" applyBorder="1"/>
    <xf numFmtId="0" fontId="17859" fillId="17869" borderId="17816" xfId="0" applyFont="1" applyFill="1" applyBorder="1"/>
    <xf numFmtId="0" fontId="17860" fillId="17870" borderId="17817" xfId="0" applyFont="1" applyFill="1" applyBorder="1"/>
    <xf numFmtId="0" fontId="17861" fillId="17871" borderId="17818" xfId="0" applyFont="1" applyFill="1" applyBorder="1" applyAlignment="1">
      <alignment horizontal="center" wrapText="1"/>
    </xf>
    <xf numFmtId="0" fontId="17862" fillId="17872" borderId="17819" xfId="0" applyFont="1" applyFill="1" applyBorder="1" applyAlignment="1">
      <alignment horizontal="center" wrapText="1"/>
    </xf>
    <xf numFmtId="0" fontId="17863" fillId="17873" borderId="17820" xfId="0" applyFont="1" applyFill="1" applyBorder="1" applyAlignment="1">
      <alignment horizontal="center" wrapText="1"/>
    </xf>
    <xf numFmtId="0" fontId="17864" fillId="17874" borderId="17821" xfId="0" applyFont="1" applyFill="1" applyBorder="1" applyAlignment="1">
      <alignment horizontal="center" wrapText="1"/>
    </xf>
    <xf numFmtId="0" fontId="17865" fillId="17875" borderId="17822" xfId="0" applyFont="1" applyFill="1" applyBorder="1" applyAlignment="1">
      <alignment horizontal="center" wrapText="1"/>
    </xf>
    <xf numFmtId="0" fontId="17866" fillId="17876" borderId="17823" xfId="0" applyFont="1" applyFill="1" applyBorder="1" applyAlignment="1">
      <alignment wrapText="1"/>
    </xf>
    <xf numFmtId="0" fontId="17867" fillId="17877" borderId="17824" xfId="0" applyFont="1" applyFill="1" applyBorder="1" applyAlignment="1">
      <alignment wrapText="1"/>
    </xf>
    <xf numFmtId="0" fontId="17868" fillId="17878" borderId="17825" xfId="0" applyFont="1" applyFill="1" applyBorder="1"/>
    <xf numFmtId="0" fontId="17869" fillId="17879" borderId="17826" xfId="0" applyFont="1" applyFill="1" applyBorder="1"/>
    <xf numFmtId="0" fontId="17870" fillId="17880" borderId="17827" xfId="0" applyFont="1" applyFill="1" applyBorder="1"/>
    <xf numFmtId="0" fontId="17871" fillId="17881" borderId="17828" xfId="0" applyFont="1" applyFill="1" applyBorder="1"/>
    <xf numFmtId="0" fontId="17872" fillId="17882" borderId="17829" xfId="0" applyFont="1" applyFill="1" applyBorder="1"/>
    <xf numFmtId="0" fontId="17873" fillId="17883" borderId="17830" xfId="0" applyFont="1" applyFill="1" applyBorder="1" applyAlignment="1">
      <alignment horizontal="left" wrapText="1"/>
    </xf>
    <xf numFmtId="165" fontId="17874" fillId="17884" borderId="17831" xfId="0" applyNumberFormat="1" applyFont="1" applyFill="1" applyBorder="1" applyAlignment="1">
      <alignment horizontal="right" wrapText="1"/>
    </xf>
    <xf numFmtId="165" fontId="17875" fillId="17885" borderId="17832" xfId="0" applyNumberFormat="1" applyFont="1" applyFill="1" applyBorder="1" applyAlignment="1">
      <alignment horizontal="right" wrapText="1"/>
    </xf>
    <xf numFmtId="165" fontId="17876" fillId="17886" borderId="17833" xfId="0" applyNumberFormat="1" applyFont="1" applyFill="1" applyBorder="1" applyAlignment="1">
      <alignment horizontal="right" wrapText="1"/>
    </xf>
    <xf numFmtId="165" fontId="17877" fillId="17887" borderId="17834" xfId="0" applyNumberFormat="1" applyFont="1" applyFill="1" applyBorder="1" applyAlignment="1">
      <alignment horizontal="center" wrapText="1"/>
    </xf>
    <xf numFmtId="165" fontId="17878" fillId="17888" borderId="17835" xfId="0" applyNumberFormat="1" applyFont="1" applyFill="1" applyBorder="1" applyAlignment="1">
      <alignment horizontal="right" wrapText="1"/>
    </xf>
    <xf numFmtId="0" fontId="17879" fillId="17889" borderId="17836" xfId="0" applyFont="1" applyFill="1" applyBorder="1" applyAlignment="1">
      <alignment horizontal="center" vertical="center" wrapText="1"/>
    </xf>
    <xf numFmtId="0" fontId="17880" fillId="17890" borderId="17837" xfId="0" applyFont="1" applyFill="1" applyBorder="1"/>
    <xf numFmtId="0" fontId="17881" fillId="17891" borderId="17838" xfId="0" applyFont="1" applyFill="1" applyBorder="1"/>
    <xf numFmtId="0" fontId="17882" fillId="17892" borderId="17839" xfId="0" applyFont="1" applyFill="1" applyBorder="1"/>
    <xf numFmtId="0" fontId="17883" fillId="17893" borderId="17840" xfId="0" applyFont="1" applyFill="1" applyBorder="1"/>
    <xf numFmtId="0" fontId="17884" fillId="17894" borderId="17841" xfId="0" applyFont="1" applyFill="1" applyBorder="1"/>
    <xf numFmtId="0" fontId="17885" fillId="17895" borderId="17842" xfId="0" applyFont="1" applyFill="1" applyBorder="1"/>
    <xf numFmtId="165" fontId="17886" fillId="17896" borderId="17843" xfId="0" applyNumberFormat="1" applyFont="1" applyFill="1" applyBorder="1"/>
    <xf numFmtId="165" fontId="17887" fillId="17897" borderId="17844" xfId="0" applyNumberFormat="1" applyFont="1" applyFill="1" applyBorder="1"/>
    <xf numFmtId="165" fontId="17888" fillId="17898" borderId="17845" xfId="0" applyNumberFormat="1" applyFont="1" applyFill="1" applyBorder="1" applyAlignment="1">
      <alignment horizontal="center"/>
    </xf>
    <xf numFmtId="165" fontId="17889" fillId="17899" borderId="17846" xfId="0" applyNumberFormat="1" applyFont="1" applyFill="1" applyBorder="1"/>
    <xf numFmtId="0" fontId="17890" fillId="17900" borderId="17847" xfId="0" applyFont="1" applyFill="1" applyBorder="1" applyAlignment="1">
      <alignment horizontal="center"/>
    </xf>
    <xf numFmtId="0" fontId="17891" fillId="17901" borderId="17848" xfId="0" applyFont="1" applyFill="1" applyBorder="1"/>
    <xf numFmtId="0" fontId="17892" fillId="17902" borderId="17849" xfId="0" applyFont="1" applyFill="1" applyBorder="1"/>
    <xf numFmtId="0" fontId="17893" fillId="17903" borderId="17850" xfId="0" applyFont="1" applyFill="1" applyBorder="1"/>
    <xf numFmtId="0" fontId="17894" fillId="17904" borderId="17851" xfId="0" applyFont="1" applyFill="1" applyBorder="1"/>
    <xf numFmtId="0" fontId="17895" fillId="17905" borderId="17852" xfId="0" applyFont="1" applyFill="1" applyBorder="1"/>
    <xf numFmtId="0" fontId="17896" fillId="17906" borderId="17853" xfId="0" applyFont="1" applyFill="1" applyBorder="1"/>
    <xf numFmtId="165" fontId="17897" fillId="17907" borderId="17854" xfId="0" applyNumberFormat="1" applyFont="1" applyFill="1" applyBorder="1"/>
    <xf numFmtId="165" fontId="17898" fillId="17908" borderId="17855" xfId="0" applyNumberFormat="1" applyFont="1" applyFill="1" applyBorder="1"/>
    <xf numFmtId="165" fontId="17899" fillId="17909" borderId="17856" xfId="0" applyNumberFormat="1" applyFont="1" applyFill="1" applyBorder="1" applyAlignment="1">
      <alignment horizontal="center"/>
    </xf>
    <xf numFmtId="165" fontId="17900" fillId="17910" borderId="17857" xfId="0" applyNumberFormat="1" applyFont="1" applyFill="1" applyBorder="1"/>
    <xf numFmtId="0" fontId="17901" fillId="17911" borderId="17858" xfId="0" applyFont="1" applyFill="1" applyBorder="1" applyAlignment="1">
      <alignment horizontal="center"/>
    </xf>
    <xf numFmtId="0" fontId="17902" fillId="17912" borderId="17859" xfId="0" applyFont="1" applyFill="1" applyBorder="1"/>
    <xf numFmtId="0" fontId="17903" fillId="17913" borderId="17860" xfId="0" applyFont="1" applyFill="1" applyBorder="1"/>
    <xf numFmtId="0" fontId="17904" fillId="17914" borderId="17861" xfId="0" applyFont="1" applyFill="1" applyBorder="1"/>
    <xf numFmtId="0" fontId="17905" fillId="17915" borderId="17862" xfId="0" applyFont="1" applyFill="1" applyBorder="1"/>
    <xf numFmtId="0" fontId="17906" fillId="17916" borderId="17863" xfId="0" applyFont="1" applyFill="1" applyBorder="1"/>
    <xf numFmtId="0" fontId="17907" fillId="17917" borderId="17864" xfId="0" applyFont="1" applyFill="1" applyBorder="1"/>
    <xf numFmtId="165" fontId="17908" fillId="17918" borderId="17865" xfId="0" applyNumberFormat="1" applyFont="1" applyFill="1" applyBorder="1"/>
    <xf numFmtId="165" fontId="17909" fillId="17919" borderId="17866" xfId="0" applyNumberFormat="1" applyFont="1" applyFill="1" applyBorder="1"/>
    <xf numFmtId="165" fontId="17910" fillId="17920" borderId="17867" xfId="0" applyNumberFormat="1" applyFont="1" applyFill="1" applyBorder="1"/>
    <xf numFmtId="165" fontId="17911" fillId="17921" borderId="17868" xfId="0" applyNumberFormat="1" applyFont="1" applyFill="1" applyBorder="1"/>
    <xf numFmtId="165" fontId="17912" fillId="17922" borderId="17869" xfId="0" applyNumberFormat="1" applyFont="1" applyFill="1" applyBorder="1"/>
    <xf numFmtId="0" fontId="17913" fillId="17923" borderId="17870" xfId="0" applyFont="1" applyFill="1" applyBorder="1" applyAlignment="1">
      <alignment horizontal="center"/>
    </xf>
    <xf numFmtId="0" fontId="17914" fillId="17924" borderId="17871" xfId="0" applyFont="1" applyFill="1" applyBorder="1"/>
    <xf numFmtId="0" fontId="17915" fillId="17925" borderId="17872" xfId="0" applyFont="1" applyFill="1" applyBorder="1"/>
    <xf numFmtId="0" fontId="17916" fillId="17926" borderId="17873" xfId="0" applyFont="1" applyFill="1" applyBorder="1"/>
    <xf numFmtId="0" fontId="17917" fillId="17927" borderId="17874" xfId="0" applyFont="1" applyFill="1" applyBorder="1"/>
    <xf numFmtId="0" fontId="17918" fillId="17928" borderId="17875" xfId="0" applyFont="1" applyFill="1" applyBorder="1"/>
    <xf numFmtId="0" fontId="17919" fillId="17929" borderId="17876" xfId="0" applyFont="1" applyFill="1" applyBorder="1"/>
    <xf numFmtId="165" fontId="17920" fillId="17930" borderId="17877" xfId="0" applyNumberFormat="1" applyFont="1" applyFill="1" applyBorder="1"/>
    <xf numFmtId="165" fontId="17921" fillId="17931" borderId="17878" xfId="0" applyNumberFormat="1" applyFont="1" applyFill="1" applyBorder="1"/>
    <xf numFmtId="165" fontId="17922" fillId="17932" borderId="17879" xfId="0" applyNumberFormat="1" applyFont="1" applyFill="1" applyBorder="1"/>
    <xf numFmtId="165" fontId="17923" fillId="17933" borderId="17880" xfId="0" applyNumberFormat="1" applyFont="1" applyFill="1" applyBorder="1"/>
    <xf numFmtId="165" fontId="17924" fillId="17934" borderId="17881" xfId="0" applyNumberFormat="1" applyFont="1" applyFill="1" applyBorder="1"/>
    <xf numFmtId="0" fontId="17925" fillId="17935" borderId="17882" xfId="0" applyFont="1" applyFill="1" applyBorder="1" applyAlignment="1">
      <alignment horizontal="center"/>
    </xf>
    <xf numFmtId="0" fontId="17926" fillId="17936" borderId="17883" xfId="0" applyFont="1" applyFill="1" applyBorder="1"/>
    <xf numFmtId="0" fontId="17927" fillId="17937" borderId="17884" xfId="0" applyFont="1" applyFill="1" applyBorder="1"/>
    <xf numFmtId="0" fontId="17928" fillId="17938" borderId="17885" xfId="0" applyFont="1" applyFill="1" applyBorder="1"/>
    <xf numFmtId="0" fontId="17929" fillId="17939" borderId="17886" xfId="0" applyFont="1" applyFill="1" applyBorder="1"/>
    <xf numFmtId="0" fontId="17930" fillId="17940" borderId="17887" xfId="0" applyFont="1" applyFill="1" applyBorder="1"/>
    <xf numFmtId="0" fontId="17931" fillId="17941" borderId="17888" xfId="0" applyFont="1" applyFill="1" applyBorder="1"/>
    <xf numFmtId="165" fontId="17932" fillId="17942" borderId="17889" xfId="0" applyNumberFormat="1" applyFont="1" applyFill="1" applyBorder="1"/>
    <xf numFmtId="165" fontId="17933" fillId="17943" borderId="17890" xfId="0" applyNumberFormat="1" applyFont="1" applyFill="1" applyBorder="1"/>
    <xf numFmtId="165" fontId="17934" fillId="17944" borderId="17891" xfId="0" applyNumberFormat="1" applyFont="1" applyFill="1" applyBorder="1"/>
    <xf numFmtId="165" fontId="17935" fillId="17945" borderId="17892" xfId="0" applyNumberFormat="1" applyFont="1" applyFill="1" applyBorder="1"/>
    <xf numFmtId="165" fontId="17936" fillId="17946" borderId="17893" xfId="0" applyNumberFormat="1" applyFont="1" applyFill="1" applyBorder="1"/>
    <xf numFmtId="0" fontId="17937" fillId="17947" borderId="17894" xfId="0" applyFont="1" applyFill="1" applyBorder="1"/>
    <xf numFmtId="0" fontId="17938" fillId="17948" borderId="17895" xfId="0" applyFont="1" applyFill="1" applyBorder="1"/>
    <xf numFmtId="0" fontId="17939" fillId="17949" borderId="17896" xfId="0" applyFont="1" applyFill="1" applyBorder="1"/>
    <xf numFmtId="0" fontId="17940" fillId="17950" borderId="17897" xfId="0" applyFont="1" applyFill="1" applyBorder="1"/>
    <xf numFmtId="0" fontId="17941" fillId="17951" borderId="17898" xfId="0" applyFont="1" applyFill="1" applyBorder="1"/>
    <xf numFmtId="0" fontId="17942" fillId="17952" borderId="17899" xfId="0" applyFont="1" applyFill="1" applyBorder="1"/>
    <xf numFmtId="2" fontId="3" fillId="2" borderId="0" xfId="0" applyNumberFormat="1" applyFont="1" applyFill="1" applyAlignment="1">
      <alignment horizontal="center" vertical="center" wrapText="1"/>
    </xf>
    <xf numFmtId="0" fontId="17944" fillId="17954" borderId="17901" xfId="0" applyFont="1" applyFill="1" applyBorder="1"/>
    <xf numFmtId="0" fontId="17945" fillId="17955" borderId="17902" xfId="0" applyFont="1" applyFill="1" applyBorder="1"/>
    <xf numFmtId="0" fontId="17946" fillId="17956" borderId="17903" xfId="0" applyFont="1" applyFill="1" applyBorder="1"/>
    <xf numFmtId="0" fontId="17947" fillId="17957" borderId="17904" xfId="0" applyFont="1" applyFill="1" applyBorder="1"/>
    <xf numFmtId="0" fontId="17948" fillId="17958" borderId="17905" xfId="0" applyFont="1" applyFill="1" applyBorder="1"/>
    <xf numFmtId="0" fontId="17949" fillId="17959" borderId="17906" xfId="0" applyFont="1" applyFill="1" applyBorder="1" applyAlignment="1">
      <alignment horizontal="right"/>
    </xf>
    <xf numFmtId="170" fontId="17950" fillId="17960" borderId="17907" xfId="0" applyNumberFormat="1" applyFont="1" applyFill="1" applyBorder="1"/>
    <xf numFmtId="170" fontId="17951" fillId="17961" borderId="17908" xfId="0" applyNumberFormat="1" applyFont="1" applyFill="1" applyBorder="1"/>
    <xf numFmtId="170" fontId="17952" fillId="17962" borderId="17909" xfId="0" applyNumberFormat="1" applyFont="1" applyFill="1" applyBorder="1"/>
    <xf numFmtId="170" fontId="17953" fillId="17963" borderId="17910" xfId="0" applyNumberFormat="1" applyFont="1" applyFill="1" applyBorder="1"/>
    <xf numFmtId="170" fontId="17954" fillId="17964" borderId="17911" xfId="0" applyNumberFormat="1" applyFont="1" applyFill="1" applyBorder="1"/>
    <xf numFmtId="0" fontId="17955" fillId="17965" borderId="17912" xfId="0" applyFont="1" applyFill="1" applyBorder="1"/>
    <xf numFmtId="0" fontId="17956" fillId="17966" borderId="17913" xfId="0" applyFont="1" applyFill="1" applyBorder="1"/>
    <xf numFmtId="0" fontId="17957" fillId="17967" borderId="17914" xfId="0" applyFont="1" applyFill="1" applyBorder="1" applyAlignment="1">
      <alignment horizontal="center" wrapText="1"/>
    </xf>
    <xf numFmtId="165" fontId="17958" fillId="17968" borderId="17915" xfId="0" applyNumberFormat="1" applyFont="1" applyFill="1" applyBorder="1" applyAlignment="1">
      <alignment horizontal="center" wrapText="1"/>
    </xf>
    <xf numFmtId="165" fontId="17959" fillId="17969" borderId="17916" xfId="0" applyNumberFormat="1" applyFont="1" applyFill="1" applyBorder="1" applyAlignment="1">
      <alignment horizontal="center" wrapText="1"/>
    </xf>
    <xf numFmtId="165" fontId="17960" fillId="17970" borderId="17917" xfId="0" applyNumberFormat="1" applyFont="1" applyFill="1" applyBorder="1" applyAlignment="1">
      <alignment horizontal="center" wrapText="1"/>
    </xf>
    <xf numFmtId="165" fontId="17961" fillId="17971" borderId="17918" xfId="0" applyNumberFormat="1" applyFont="1" applyFill="1" applyBorder="1" applyAlignment="1">
      <alignment horizontal="center" wrapText="1"/>
    </xf>
    <xf numFmtId="165" fontId="17962" fillId="17972" borderId="17919" xfId="0" applyNumberFormat="1" applyFont="1" applyFill="1" applyBorder="1" applyAlignment="1">
      <alignment horizontal="center" wrapText="1"/>
    </xf>
    <xf numFmtId="165" fontId="17963" fillId="17973" borderId="17920" xfId="0" applyNumberFormat="1" applyFont="1" applyFill="1" applyBorder="1" applyAlignment="1">
      <alignment horizontal="center" wrapText="1"/>
    </xf>
    <xf numFmtId="165" fontId="17964" fillId="17974" borderId="17921" xfId="0" applyNumberFormat="1" applyFont="1" applyFill="1" applyBorder="1" applyAlignment="1">
      <alignment horizontal="center" wrapText="1"/>
    </xf>
    <xf numFmtId="0" fontId="17965" fillId="17975" borderId="17922" xfId="0" applyFont="1" applyFill="1" applyBorder="1" applyAlignment="1">
      <alignment horizontal="center" wrapText="1"/>
    </xf>
    <xf numFmtId="0" fontId="17966" fillId="17976" borderId="17923" xfId="0" applyFont="1" applyFill="1" applyBorder="1" applyAlignment="1">
      <alignment horizontal="center" wrapText="1"/>
    </xf>
    <xf numFmtId="3" fontId="17967" fillId="17977" borderId="17924" xfId="0" applyNumberFormat="1" applyFont="1" applyFill="1" applyBorder="1"/>
    <xf numFmtId="3" fontId="17968" fillId="17978" borderId="17925" xfId="0" applyNumberFormat="1" applyFont="1" applyFill="1" applyBorder="1"/>
    <xf numFmtId="3" fontId="17969" fillId="17979" borderId="17926" xfId="0" applyNumberFormat="1" applyFont="1" applyFill="1" applyBorder="1"/>
    <xf numFmtId="170" fontId="17970" fillId="17980" borderId="17927" xfId="0" applyNumberFormat="1" applyFont="1" applyFill="1" applyBorder="1"/>
    <xf numFmtId="167" fontId="17971" fillId="17981" borderId="17928" xfId="0" applyNumberFormat="1" applyFont="1" applyFill="1" applyBorder="1"/>
    <xf numFmtId="167" fontId="17972" fillId="17982" borderId="17929" xfId="0" applyNumberFormat="1" applyFont="1" applyFill="1" applyBorder="1"/>
    <xf numFmtId="170" fontId="17973" fillId="17983" borderId="17930" xfId="0" applyNumberFormat="1" applyFont="1" applyFill="1" applyBorder="1"/>
    <xf numFmtId="170" fontId="17974" fillId="17984" borderId="17931" xfId="0" applyNumberFormat="1" applyFont="1" applyFill="1" applyBorder="1"/>
    <xf numFmtId="170" fontId="17975" fillId="17985" borderId="17932" xfId="0" applyNumberFormat="1" applyFont="1" applyFill="1" applyBorder="1"/>
    <xf numFmtId="3" fontId="17976" fillId="17986" borderId="17933" xfId="0" applyNumberFormat="1" applyFont="1" applyFill="1" applyBorder="1"/>
    <xf numFmtId="3" fontId="17977" fillId="17987" borderId="17934" xfId="0" applyNumberFormat="1" applyFont="1" applyFill="1" applyBorder="1"/>
    <xf numFmtId="3" fontId="17978" fillId="17988" borderId="17935" xfId="0" applyNumberFormat="1" applyFont="1" applyFill="1" applyBorder="1"/>
    <xf numFmtId="170" fontId="17979" fillId="17989" borderId="17936" xfId="0" applyNumberFormat="1" applyFont="1" applyFill="1" applyBorder="1"/>
    <xf numFmtId="167" fontId="17980" fillId="17990" borderId="17937" xfId="0" applyNumberFormat="1" applyFont="1" applyFill="1" applyBorder="1"/>
    <xf numFmtId="167" fontId="17981" fillId="17991" borderId="17938" xfId="0" applyNumberFormat="1" applyFont="1" applyFill="1" applyBorder="1"/>
    <xf numFmtId="170" fontId="17982" fillId="17992" borderId="17939" xfId="0" applyNumberFormat="1" applyFont="1" applyFill="1" applyBorder="1"/>
    <xf numFmtId="170" fontId="17983" fillId="17993" borderId="17940" xfId="0" applyNumberFormat="1" applyFont="1" applyFill="1" applyBorder="1"/>
    <xf numFmtId="170" fontId="17984" fillId="17994" borderId="17941" xfId="0" applyNumberFormat="1" applyFont="1" applyFill="1" applyBorder="1"/>
    <xf numFmtId="3" fontId="17985" fillId="17995" borderId="17942" xfId="0" applyNumberFormat="1" applyFont="1" applyFill="1" applyBorder="1"/>
    <xf numFmtId="3" fontId="17986" fillId="17996" borderId="17943" xfId="0" applyNumberFormat="1" applyFont="1" applyFill="1" applyBorder="1"/>
    <xf numFmtId="3" fontId="17987" fillId="17997" borderId="17944" xfId="0" applyNumberFormat="1" applyFont="1" applyFill="1" applyBorder="1"/>
    <xf numFmtId="170" fontId="17988" fillId="17998" borderId="17945" xfId="0" applyNumberFormat="1" applyFont="1" applyFill="1" applyBorder="1"/>
    <xf numFmtId="167" fontId="17989" fillId="17999" borderId="17946" xfId="0" applyNumberFormat="1" applyFont="1" applyFill="1" applyBorder="1"/>
    <xf numFmtId="167" fontId="17990" fillId="18000" borderId="17947" xfId="0" applyNumberFormat="1" applyFont="1" applyFill="1" applyBorder="1"/>
    <xf numFmtId="170" fontId="17991" fillId="18001" borderId="17948" xfId="0" applyNumberFormat="1" applyFont="1" applyFill="1" applyBorder="1"/>
    <xf numFmtId="170" fontId="17992" fillId="18002" borderId="17949" xfId="0" applyNumberFormat="1" applyFont="1" applyFill="1" applyBorder="1"/>
    <xf numFmtId="170" fontId="17993" fillId="18003" borderId="17950" xfId="0" applyNumberFormat="1" applyFont="1" applyFill="1" applyBorder="1"/>
    <xf numFmtId="3" fontId="17994" fillId="18004" borderId="17951" xfId="0" applyNumberFormat="1" applyFont="1" applyFill="1" applyBorder="1"/>
    <xf numFmtId="3" fontId="17995" fillId="18005" borderId="17952" xfId="0" applyNumberFormat="1" applyFont="1" applyFill="1" applyBorder="1"/>
    <xf numFmtId="3" fontId="17996" fillId="18006" borderId="17953" xfId="0" applyNumberFormat="1" applyFont="1" applyFill="1" applyBorder="1"/>
    <xf numFmtId="170" fontId="17997" fillId="18007" borderId="17954" xfId="0" applyNumberFormat="1" applyFont="1" applyFill="1" applyBorder="1"/>
    <xf numFmtId="167" fontId="17998" fillId="18008" borderId="17955" xfId="0" applyNumberFormat="1" applyFont="1" applyFill="1" applyBorder="1"/>
    <xf numFmtId="167" fontId="17999" fillId="18009" borderId="17956" xfId="0" applyNumberFormat="1" applyFont="1" applyFill="1" applyBorder="1"/>
    <xf numFmtId="170" fontId="18000" fillId="18010" borderId="17957" xfId="0" applyNumberFormat="1" applyFont="1" applyFill="1" applyBorder="1"/>
    <xf numFmtId="170" fontId="18001" fillId="18011" borderId="17958" xfId="0" applyNumberFormat="1" applyFont="1" applyFill="1" applyBorder="1"/>
    <xf numFmtId="170" fontId="18002" fillId="18012" borderId="17959" xfId="0" applyNumberFormat="1" applyFont="1" applyFill="1" applyBorder="1"/>
    <xf numFmtId="3" fontId="18003" fillId="18013" borderId="17960" xfId="0" applyNumberFormat="1" applyFont="1" applyFill="1" applyBorder="1"/>
    <xf numFmtId="3" fontId="18004" fillId="18014" borderId="17961" xfId="0" applyNumberFormat="1" applyFont="1" applyFill="1" applyBorder="1"/>
    <xf numFmtId="3" fontId="18005" fillId="18015" borderId="17962" xfId="0" applyNumberFormat="1" applyFont="1" applyFill="1" applyBorder="1"/>
    <xf numFmtId="170" fontId="18006" fillId="18016" borderId="17963" xfId="0" applyNumberFormat="1" applyFont="1" applyFill="1" applyBorder="1"/>
    <xf numFmtId="167" fontId="18007" fillId="18017" borderId="17964" xfId="0" applyNumberFormat="1" applyFont="1" applyFill="1" applyBorder="1"/>
    <xf numFmtId="167" fontId="18008" fillId="18018" borderId="17965" xfId="0" applyNumberFormat="1" applyFont="1" applyFill="1" applyBorder="1"/>
    <xf numFmtId="170" fontId="18009" fillId="18019" borderId="17966" xfId="0" applyNumberFormat="1" applyFont="1" applyFill="1" applyBorder="1"/>
    <xf numFmtId="170" fontId="18010" fillId="18020" borderId="17967" xfId="0" applyNumberFormat="1" applyFont="1" applyFill="1" applyBorder="1"/>
    <xf numFmtId="170" fontId="18011" fillId="18021" borderId="17968" xfId="0" applyNumberFormat="1" applyFont="1" applyFill="1" applyBorder="1"/>
    <xf numFmtId="170" fontId="18012" fillId="18022" borderId="17969" xfId="0" applyNumberFormat="1" applyFont="1" applyFill="1" applyBorder="1"/>
    <xf numFmtId="167" fontId="18013" fillId="18023" borderId="17970" xfId="0" applyNumberFormat="1" applyFont="1" applyFill="1" applyBorder="1"/>
    <xf numFmtId="167" fontId="18014" fillId="18024" borderId="17971" xfId="0" applyNumberFormat="1" applyFont="1" applyFill="1" applyBorder="1"/>
    <xf numFmtId="170" fontId="18015" fillId="18025" borderId="17972" xfId="0" applyNumberFormat="1" applyFont="1" applyFill="1" applyBorder="1"/>
    <xf numFmtId="0" fontId="18016" fillId="18026" borderId="17973" xfId="0" applyFont="1" applyFill="1" applyBorder="1"/>
    <xf numFmtId="0" fontId="18017" fillId="18027" borderId="17974" xfId="0" applyFont="1" applyFill="1" applyBorder="1"/>
    <xf numFmtId="0" fontId="18018" fillId="18028" borderId="17975" xfId="0" applyFont="1" applyFill="1" applyBorder="1"/>
    <xf numFmtId="0" fontId="18019" fillId="18029" borderId="17976" xfId="0" applyFont="1" applyFill="1" applyBorder="1"/>
    <xf numFmtId="0" fontId="18020" fillId="18030" borderId="17977" xfId="0" applyFont="1" applyFill="1" applyBorder="1"/>
    <xf numFmtId="0" fontId="18021" fillId="18031" borderId="17978" xfId="0" applyFont="1" applyFill="1" applyBorder="1"/>
    <xf numFmtId="0" fontId="18022" fillId="18032" borderId="17979" xfId="0" applyFont="1" applyFill="1" applyBorder="1"/>
    <xf numFmtId="0" fontId="18023" fillId="18033" borderId="17980" xfId="0" applyFont="1" applyFill="1" applyBorder="1"/>
    <xf numFmtId="0" fontId="18024" fillId="18034" borderId="17981" xfId="0" applyFont="1" applyFill="1" applyBorder="1"/>
    <xf numFmtId="0" fontId="18025" fillId="18035" borderId="17982" xfId="0" applyFont="1" applyFill="1" applyBorder="1"/>
    <xf numFmtId="0" fontId="18026" fillId="18036" borderId="17983" xfId="0" applyFont="1" applyFill="1" applyBorder="1"/>
    <xf numFmtId="0" fontId="18027" fillId="18037" borderId="17984" xfId="0" applyFont="1" applyFill="1" applyBorder="1"/>
    <xf numFmtId="0" fontId="18028" fillId="18038" borderId="17985" xfId="0" applyFont="1" applyFill="1" applyBorder="1"/>
    <xf numFmtId="14" fontId="18029" fillId="18039" borderId="17986" xfId="0" applyNumberFormat="1" applyFont="1" applyFill="1" applyBorder="1"/>
    <xf numFmtId="0" fontId="18030" fillId="18040" borderId="17987" xfId="0" applyFont="1" applyFill="1" applyBorder="1"/>
    <xf numFmtId="0" fontId="18031" fillId="18041" borderId="17988" xfId="0" applyFont="1" applyFill="1" applyBorder="1"/>
    <xf numFmtId="0" fontId="18032" fillId="18042" borderId="17989" xfId="0" applyFont="1" applyFill="1" applyBorder="1"/>
    <xf numFmtId="4" fontId="18033" fillId="18043" borderId="17990" xfId="0" applyNumberFormat="1" applyFont="1" applyFill="1" applyBorder="1"/>
    <xf numFmtId="165" fontId="18034" fillId="18044" borderId="17991" xfId="0" applyNumberFormat="1" applyFont="1" applyFill="1" applyBorder="1"/>
    <xf numFmtId="165" fontId="18035" fillId="18045" borderId="17992" xfId="0" applyNumberFormat="1" applyFont="1" applyFill="1" applyBorder="1"/>
    <xf numFmtId="0" fontId="18036" fillId="18046" borderId="17993" xfId="0" applyFont="1" applyFill="1" applyBorder="1"/>
    <xf numFmtId="0" fontId="18037" fillId="18047" borderId="17994" xfId="0" applyFont="1" applyFill="1" applyBorder="1"/>
    <xf numFmtId="0" fontId="18038" fillId="18048" borderId="17995" xfId="0" applyFont="1" applyFill="1" applyBorder="1"/>
    <xf numFmtId="0" fontId="18039" fillId="18049" borderId="17996" xfId="0" applyFont="1" applyFill="1" applyBorder="1"/>
    <xf numFmtId="14" fontId="18040" fillId="18050" borderId="17997" xfId="0" applyNumberFormat="1" applyFont="1" applyFill="1" applyBorder="1"/>
    <xf numFmtId="0" fontId="18041" fillId="18051" borderId="17998" xfId="0" applyFont="1" applyFill="1" applyBorder="1"/>
    <xf numFmtId="0" fontId="18042" fillId="18052" borderId="17999" xfId="0" applyFont="1" applyFill="1" applyBorder="1"/>
    <xf numFmtId="0" fontId="18043" fillId="18053" borderId="18000" xfId="0" applyFont="1" applyFill="1" applyBorder="1"/>
    <xf numFmtId="4" fontId="18044" fillId="18054" borderId="18001" xfId="0" applyNumberFormat="1" applyFont="1" applyFill="1" applyBorder="1"/>
    <xf numFmtId="165" fontId="18045" fillId="18055" borderId="18002" xfId="0" applyNumberFormat="1" applyFont="1" applyFill="1" applyBorder="1"/>
    <xf numFmtId="165" fontId="18046" fillId="18056" borderId="18003" xfId="0" applyNumberFormat="1" applyFont="1" applyFill="1" applyBorder="1"/>
    <xf numFmtId="0" fontId="18047" fillId="18057" borderId="18004" xfId="0" applyFont="1" applyFill="1" applyBorder="1"/>
    <xf numFmtId="0" fontId="18048" fillId="18058" borderId="18005" xfId="0" applyFont="1" applyFill="1" applyBorder="1"/>
    <xf numFmtId="0" fontId="18049" fillId="18059" borderId="18006" xfId="0" applyFont="1" applyFill="1" applyBorder="1"/>
    <xf numFmtId="0" fontId="18050" fillId="18060" borderId="18007" xfId="0" applyFont="1" applyFill="1" applyBorder="1"/>
    <xf numFmtId="14" fontId="18051" fillId="18061" borderId="18008" xfId="0" applyNumberFormat="1" applyFont="1" applyFill="1" applyBorder="1"/>
    <xf numFmtId="0" fontId="18052" fillId="18062" borderId="18009" xfId="0" applyFont="1" applyFill="1" applyBorder="1"/>
    <xf numFmtId="0" fontId="18053" fillId="18063" borderId="18010" xfId="0" applyFont="1" applyFill="1" applyBorder="1"/>
    <xf numFmtId="0" fontId="18054" fillId="18064" borderId="18011" xfId="0" applyFont="1" applyFill="1" applyBorder="1"/>
    <xf numFmtId="4" fontId="18055" fillId="18065" borderId="18012" xfId="0" applyNumberFormat="1" applyFont="1" applyFill="1" applyBorder="1"/>
    <xf numFmtId="165" fontId="18056" fillId="18066" borderId="18013" xfId="0" applyNumberFormat="1" applyFont="1" applyFill="1" applyBorder="1"/>
    <xf numFmtId="165" fontId="18057" fillId="18067" borderId="18014" xfId="0" applyNumberFormat="1" applyFont="1" applyFill="1" applyBorder="1"/>
    <xf numFmtId="0" fontId="18058" fillId="18068" borderId="18015" xfId="0" applyFont="1" applyFill="1" applyBorder="1"/>
    <xf numFmtId="0" fontId="18059" fillId="18069" borderId="18016" xfId="0" applyFont="1" applyFill="1" applyBorder="1"/>
    <xf numFmtId="0" fontId="18060" fillId="18070" borderId="18017" xfId="0" applyFont="1" applyFill="1" applyBorder="1"/>
    <xf numFmtId="0" fontId="18061" fillId="18071" borderId="18018" xfId="0" applyFont="1" applyFill="1" applyBorder="1"/>
    <xf numFmtId="14" fontId="18062" fillId="18072" borderId="18019" xfId="0" applyNumberFormat="1" applyFont="1" applyFill="1" applyBorder="1"/>
    <xf numFmtId="0" fontId="18063" fillId="18073" borderId="18020" xfId="0" applyFont="1" applyFill="1" applyBorder="1"/>
    <xf numFmtId="0" fontId="18064" fillId="18074" borderId="18021" xfId="0" applyFont="1" applyFill="1" applyBorder="1"/>
    <xf numFmtId="0" fontId="18065" fillId="18075" borderId="18022" xfId="0" applyFont="1" applyFill="1" applyBorder="1"/>
    <xf numFmtId="4" fontId="18066" fillId="18076" borderId="18023" xfId="0" applyNumberFormat="1" applyFont="1" applyFill="1" applyBorder="1"/>
    <xf numFmtId="165" fontId="18067" fillId="18077" borderId="18024" xfId="0" applyNumberFormat="1" applyFont="1" applyFill="1" applyBorder="1"/>
    <xf numFmtId="165" fontId="18068" fillId="18078" borderId="18025" xfId="0" applyNumberFormat="1" applyFont="1" applyFill="1" applyBorder="1"/>
    <xf numFmtId="0" fontId="18069" fillId="18079" borderId="18026" xfId="0" applyFont="1" applyFill="1" applyBorder="1"/>
    <xf numFmtId="0" fontId="18070" fillId="18080" borderId="18027" xfId="0" applyFont="1" applyFill="1" applyBorder="1"/>
    <xf numFmtId="0" fontId="18071" fillId="18081" borderId="18028" xfId="0" applyFont="1" applyFill="1" applyBorder="1"/>
    <xf numFmtId="0" fontId="18072" fillId="18082" borderId="18029" xfId="0" applyFont="1" applyFill="1" applyBorder="1"/>
    <xf numFmtId="14" fontId="18073" fillId="18083" borderId="18030" xfId="0" applyNumberFormat="1" applyFont="1" applyFill="1" applyBorder="1"/>
    <xf numFmtId="0" fontId="18074" fillId="18084" borderId="18031" xfId="0" applyFont="1" applyFill="1" applyBorder="1"/>
    <xf numFmtId="0" fontId="18075" fillId="18085" borderId="18032" xfId="0" applyFont="1" applyFill="1" applyBorder="1"/>
    <xf numFmtId="0" fontId="18076" fillId="18086" borderId="18033" xfId="0" applyFont="1" applyFill="1" applyBorder="1"/>
    <xf numFmtId="4" fontId="18077" fillId="18087" borderId="18034" xfId="0" applyNumberFormat="1" applyFont="1" applyFill="1" applyBorder="1"/>
    <xf numFmtId="165" fontId="18078" fillId="18088" borderId="18035" xfId="0" applyNumberFormat="1" applyFont="1" applyFill="1" applyBorder="1"/>
    <xf numFmtId="165" fontId="18079" fillId="18089" borderId="18036" xfId="0" applyNumberFormat="1" applyFont="1" applyFill="1" applyBorder="1"/>
    <xf numFmtId="0" fontId="18080" fillId="18090" borderId="18037" xfId="0" applyFont="1" applyFill="1" applyBorder="1"/>
    <xf numFmtId="0" fontId="18081" fillId="18091" borderId="18038" xfId="0" applyFont="1" applyFill="1" applyBorder="1"/>
    <xf numFmtId="0" fontId="18082" fillId="18092" borderId="18039" xfId="0" applyFont="1" applyFill="1" applyBorder="1"/>
    <xf numFmtId="0" fontId="18083" fillId="18093" borderId="18040" xfId="0" applyFont="1" applyFill="1" applyBorder="1"/>
    <xf numFmtId="14" fontId="18084" fillId="18094" borderId="18041" xfId="0" applyNumberFormat="1" applyFont="1" applyFill="1" applyBorder="1"/>
    <xf numFmtId="0" fontId="18085" fillId="18095" borderId="18042" xfId="0" applyFont="1" applyFill="1" applyBorder="1"/>
    <xf numFmtId="0" fontId="18086" fillId="18096" borderId="18043" xfId="0" applyFont="1" applyFill="1" applyBorder="1"/>
    <xf numFmtId="0" fontId="18087" fillId="18097" borderId="18044" xfId="0" applyFont="1" applyFill="1" applyBorder="1"/>
    <xf numFmtId="4" fontId="18088" fillId="18098" borderId="18045" xfId="0" applyNumberFormat="1" applyFont="1" applyFill="1" applyBorder="1"/>
    <xf numFmtId="165" fontId="18089" fillId="18099" borderId="18046" xfId="0" applyNumberFormat="1" applyFont="1" applyFill="1" applyBorder="1"/>
    <xf numFmtId="165" fontId="18090" fillId="18100" borderId="18047" xfId="0" applyNumberFormat="1" applyFont="1" applyFill="1" applyBorder="1"/>
    <xf numFmtId="0" fontId="18091" fillId="18101" borderId="18048" xfId="0" applyFont="1" applyFill="1" applyBorder="1"/>
    <xf numFmtId="0" fontId="18092" fillId="18102" borderId="18049" xfId="0" applyFont="1" applyFill="1" applyBorder="1"/>
    <xf numFmtId="0" fontId="18093" fillId="18103" borderId="18050" xfId="0" applyFont="1" applyFill="1" applyBorder="1"/>
    <xf numFmtId="0" fontId="18094" fillId="18104" borderId="18051" xfId="0" applyFont="1" applyFill="1" applyBorder="1"/>
    <xf numFmtId="14" fontId="18095" fillId="18105" borderId="18052" xfId="0" applyNumberFormat="1" applyFont="1" applyFill="1" applyBorder="1"/>
    <xf numFmtId="0" fontId="18096" fillId="18106" borderId="18053" xfId="0" applyFont="1" applyFill="1" applyBorder="1"/>
    <xf numFmtId="0" fontId="18097" fillId="18107" borderId="18054" xfId="0" applyFont="1" applyFill="1" applyBorder="1"/>
    <xf numFmtId="0" fontId="18098" fillId="18108" borderId="18055" xfId="0" applyFont="1" applyFill="1" applyBorder="1"/>
    <xf numFmtId="4" fontId="18099" fillId="18109" borderId="18056" xfId="0" applyNumberFormat="1" applyFont="1" applyFill="1" applyBorder="1"/>
    <xf numFmtId="165" fontId="18100" fillId="18110" borderId="18057" xfId="0" applyNumberFormat="1" applyFont="1" applyFill="1" applyBorder="1"/>
    <xf numFmtId="165" fontId="18101" fillId="18111" borderId="18058" xfId="0" applyNumberFormat="1" applyFont="1" applyFill="1" applyBorder="1"/>
    <xf numFmtId="0" fontId="18102" fillId="18112" borderId="18059" xfId="0" applyFont="1" applyFill="1" applyBorder="1"/>
    <xf numFmtId="0" fontId="18103" fillId="18113" borderId="18060" xfId="0" applyFont="1" applyFill="1" applyBorder="1"/>
    <xf numFmtId="0" fontId="18104" fillId="18114" borderId="18061" xfId="0" applyFont="1" applyFill="1" applyBorder="1"/>
    <xf numFmtId="0" fontId="18105" fillId="18115" borderId="18062" xfId="0" applyFont="1" applyFill="1" applyBorder="1"/>
    <xf numFmtId="14" fontId="18106" fillId="18116" borderId="18063" xfId="0" applyNumberFormat="1" applyFont="1" applyFill="1" applyBorder="1"/>
    <xf numFmtId="0" fontId="18107" fillId="18117" borderId="18064" xfId="0" applyFont="1" applyFill="1" applyBorder="1"/>
    <xf numFmtId="0" fontId="18108" fillId="18118" borderId="18065" xfId="0" applyFont="1" applyFill="1" applyBorder="1"/>
    <xf numFmtId="0" fontId="18109" fillId="18119" borderId="18066" xfId="0" applyFont="1" applyFill="1" applyBorder="1"/>
    <xf numFmtId="4" fontId="18110" fillId="18120" borderId="18067" xfId="0" applyNumberFormat="1" applyFont="1" applyFill="1" applyBorder="1"/>
    <xf numFmtId="165" fontId="18111" fillId="18121" borderId="18068" xfId="0" applyNumberFormat="1" applyFont="1" applyFill="1" applyBorder="1"/>
    <xf numFmtId="165" fontId="18112" fillId="18122" borderId="18069" xfId="0" applyNumberFormat="1" applyFont="1" applyFill="1" applyBorder="1"/>
    <xf numFmtId="0" fontId="18113" fillId="18123" borderId="18070" xfId="0" applyFont="1" applyFill="1" applyBorder="1"/>
    <xf numFmtId="0" fontId="18114" fillId="18124" borderId="18071" xfId="0" applyFont="1" applyFill="1" applyBorder="1"/>
    <xf numFmtId="0" fontId="18115" fillId="18125" borderId="18072" xfId="0" applyFont="1" applyFill="1" applyBorder="1"/>
    <xf numFmtId="0" fontId="18116" fillId="18126" borderId="18073" xfId="0" applyFont="1" applyFill="1" applyBorder="1"/>
    <xf numFmtId="14" fontId="18117" fillId="18127" borderId="18074" xfId="0" applyNumberFormat="1" applyFont="1" applyFill="1" applyBorder="1"/>
    <xf numFmtId="0" fontId="18118" fillId="18128" borderId="18075" xfId="0" applyFont="1" applyFill="1" applyBorder="1"/>
    <xf numFmtId="0" fontId="18119" fillId="18129" borderId="18076" xfId="0" applyFont="1" applyFill="1" applyBorder="1"/>
    <xf numFmtId="0" fontId="18120" fillId="18130" borderId="18077" xfId="0" applyFont="1" applyFill="1" applyBorder="1"/>
    <xf numFmtId="4" fontId="18121" fillId="18131" borderId="18078" xfId="0" applyNumberFormat="1" applyFont="1" applyFill="1" applyBorder="1"/>
    <xf numFmtId="165" fontId="18122" fillId="18132" borderId="18079" xfId="0" applyNumberFormat="1" applyFont="1" applyFill="1" applyBorder="1"/>
    <xf numFmtId="165" fontId="18123" fillId="18133" borderId="18080" xfId="0" applyNumberFormat="1" applyFont="1" applyFill="1" applyBorder="1"/>
    <xf numFmtId="0" fontId="18124" fillId="18134" borderId="18081" xfId="0" applyFont="1" applyFill="1" applyBorder="1"/>
    <xf numFmtId="0" fontId="18125" fillId="18135" borderId="18082" xfId="0" applyFont="1" applyFill="1" applyBorder="1"/>
    <xf numFmtId="0" fontId="18126" fillId="18136" borderId="18083" xfId="0" applyFont="1" applyFill="1" applyBorder="1"/>
    <xf numFmtId="0" fontId="18127" fillId="18137" borderId="18084" xfId="0" applyFont="1" applyFill="1" applyBorder="1"/>
    <xf numFmtId="14" fontId="18128" fillId="18138" borderId="18085" xfId="0" applyNumberFormat="1" applyFont="1" applyFill="1" applyBorder="1"/>
    <xf numFmtId="0" fontId="18129" fillId="18139" borderId="18086" xfId="0" applyFont="1" applyFill="1" applyBorder="1"/>
    <xf numFmtId="0" fontId="18130" fillId="18140" borderId="18087" xfId="0" applyFont="1" applyFill="1" applyBorder="1"/>
    <xf numFmtId="0" fontId="18131" fillId="18141" borderId="18088" xfId="0" applyFont="1" applyFill="1" applyBorder="1"/>
    <xf numFmtId="4" fontId="18132" fillId="18142" borderId="18089" xfId="0" applyNumberFormat="1" applyFont="1" applyFill="1" applyBorder="1"/>
    <xf numFmtId="165" fontId="18133" fillId="18143" borderId="18090" xfId="0" applyNumberFormat="1" applyFont="1" applyFill="1" applyBorder="1"/>
    <xf numFmtId="165" fontId="18134" fillId="18144" borderId="18091" xfId="0" applyNumberFormat="1" applyFont="1" applyFill="1" applyBorder="1"/>
    <xf numFmtId="0" fontId="18135" fillId="18145" borderId="18092" xfId="0" applyFont="1" applyFill="1" applyBorder="1"/>
    <xf numFmtId="0" fontId="18136" fillId="18146" borderId="18093" xfId="0" applyFont="1" applyFill="1" applyBorder="1"/>
    <xf numFmtId="0" fontId="18137" fillId="18147" borderId="18094" xfId="0" applyFont="1" applyFill="1" applyBorder="1"/>
    <xf numFmtId="0" fontId="18138" fillId="18148" borderId="18095" xfId="0" applyFont="1" applyFill="1" applyBorder="1"/>
    <xf numFmtId="14" fontId="18139" fillId="18149" borderId="18096" xfId="0" applyNumberFormat="1" applyFont="1" applyFill="1" applyBorder="1"/>
    <xf numFmtId="0" fontId="18140" fillId="18150" borderId="18097" xfId="0" applyFont="1" applyFill="1" applyBorder="1"/>
    <xf numFmtId="0" fontId="18141" fillId="18151" borderId="18098" xfId="0" applyFont="1" applyFill="1" applyBorder="1"/>
    <xf numFmtId="0" fontId="18142" fillId="18152" borderId="18099" xfId="0" applyFont="1" applyFill="1" applyBorder="1"/>
    <xf numFmtId="4" fontId="18143" fillId="18153" borderId="18100" xfId="0" applyNumberFormat="1" applyFont="1" applyFill="1" applyBorder="1"/>
    <xf numFmtId="165" fontId="18144" fillId="18154" borderId="18101" xfId="0" applyNumberFormat="1" applyFont="1" applyFill="1" applyBorder="1"/>
    <xf numFmtId="165" fontId="18145" fillId="18155" borderId="18102" xfId="0" applyNumberFormat="1" applyFont="1" applyFill="1" applyBorder="1"/>
    <xf numFmtId="0" fontId="18146" fillId="18156" borderId="18103" xfId="0" applyFont="1" applyFill="1" applyBorder="1"/>
    <xf numFmtId="0" fontId="18147" fillId="18157" borderId="18104" xfId="0" applyFont="1" applyFill="1" applyBorder="1"/>
    <xf numFmtId="0" fontId="18148" fillId="18158" borderId="18105" xfId="0" applyFont="1" applyFill="1" applyBorder="1"/>
    <xf numFmtId="0" fontId="18149" fillId="18159" borderId="18106" xfId="0" applyFont="1" applyFill="1" applyBorder="1"/>
    <xf numFmtId="14" fontId="18150" fillId="18160" borderId="18107" xfId="0" applyNumberFormat="1" applyFont="1" applyFill="1" applyBorder="1"/>
    <xf numFmtId="0" fontId="18151" fillId="18161" borderId="18108" xfId="0" applyFont="1" applyFill="1" applyBorder="1"/>
    <xf numFmtId="0" fontId="18152" fillId="18162" borderId="18109" xfId="0" applyFont="1" applyFill="1" applyBorder="1"/>
    <xf numFmtId="0" fontId="18153" fillId="18163" borderId="18110" xfId="0" applyFont="1" applyFill="1" applyBorder="1"/>
    <xf numFmtId="4" fontId="18154" fillId="18164" borderId="18111" xfId="0" applyNumberFormat="1" applyFont="1" applyFill="1" applyBorder="1"/>
    <xf numFmtId="165" fontId="18155" fillId="18165" borderId="18112" xfId="0" applyNumberFormat="1" applyFont="1" applyFill="1" applyBorder="1"/>
    <xf numFmtId="165" fontId="18156" fillId="18166" borderId="18113" xfId="0" applyNumberFormat="1" applyFont="1" applyFill="1" applyBorder="1"/>
    <xf numFmtId="0" fontId="18157" fillId="18167" borderId="18114" xfId="0" applyFont="1" applyFill="1" applyBorder="1"/>
    <xf numFmtId="0" fontId="18158" fillId="18168" borderId="18115" xfId="0" applyFont="1" applyFill="1" applyBorder="1"/>
    <xf numFmtId="0" fontId="18159" fillId="18169" borderId="18116" xfId="0" applyFont="1" applyFill="1" applyBorder="1"/>
    <xf numFmtId="0" fontId="18160" fillId="18170" borderId="18117" xfId="0" applyFont="1" applyFill="1" applyBorder="1"/>
    <xf numFmtId="14" fontId="18161" fillId="18171" borderId="18118" xfId="0" applyNumberFormat="1" applyFont="1" applyFill="1" applyBorder="1"/>
    <xf numFmtId="0" fontId="18162" fillId="18172" borderId="18119" xfId="0" applyFont="1" applyFill="1" applyBorder="1"/>
    <xf numFmtId="0" fontId="18163" fillId="18173" borderId="18120" xfId="0" applyFont="1" applyFill="1" applyBorder="1"/>
    <xf numFmtId="0" fontId="18164" fillId="18174" borderId="18121" xfId="0" applyFont="1" applyFill="1" applyBorder="1"/>
    <xf numFmtId="4" fontId="18165" fillId="18175" borderId="18122" xfId="0" applyNumberFormat="1" applyFont="1" applyFill="1" applyBorder="1"/>
    <xf numFmtId="165" fontId="18166" fillId="18176" borderId="18123" xfId="0" applyNumberFormat="1" applyFont="1" applyFill="1" applyBorder="1"/>
    <xf numFmtId="165" fontId="18167" fillId="18177" borderId="18124" xfId="0" applyNumberFormat="1" applyFont="1" applyFill="1" applyBorder="1"/>
    <xf numFmtId="0" fontId="18168" fillId="18178" borderId="18125" xfId="0" applyFont="1" applyFill="1" applyBorder="1"/>
    <xf numFmtId="0" fontId="18169" fillId="18179" borderId="18126" xfId="0" applyFont="1" applyFill="1" applyBorder="1"/>
    <xf numFmtId="0" fontId="18170" fillId="18180" borderId="18127" xfId="0" applyFont="1" applyFill="1" applyBorder="1"/>
    <xf numFmtId="0" fontId="18171" fillId="18181" borderId="18128" xfId="0" applyFont="1" applyFill="1" applyBorder="1"/>
    <xf numFmtId="14" fontId="18172" fillId="18182" borderId="18129" xfId="0" applyNumberFormat="1" applyFont="1" applyFill="1" applyBorder="1"/>
    <xf numFmtId="0" fontId="18173" fillId="18183" borderId="18130" xfId="0" applyFont="1" applyFill="1" applyBorder="1"/>
    <xf numFmtId="0" fontId="18174" fillId="18184" borderId="18131" xfId="0" applyFont="1" applyFill="1" applyBorder="1"/>
    <xf numFmtId="0" fontId="18175" fillId="18185" borderId="18132" xfId="0" applyFont="1" applyFill="1" applyBorder="1"/>
    <xf numFmtId="4" fontId="18176" fillId="18186" borderId="18133" xfId="0" applyNumberFormat="1" applyFont="1" applyFill="1" applyBorder="1"/>
    <xf numFmtId="165" fontId="18177" fillId="18187" borderId="18134" xfId="0" applyNumberFormat="1" applyFont="1" applyFill="1" applyBorder="1"/>
    <xf numFmtId="165" fontId="18178" fillId="18188" borderId="18135" xfId="0" applyNumberFormat="1" applyFont="1" applyFill="1" applyBorder="1"/>
    <xf numFmtId="0" fontId="18179" fillId="18189" borderId="18136" xfId="0" applyFont="1" applyFill="1" applyBorder="1"/>
    <xf numFmtId="0" fontId="18180" fillId="18190" borderId="18137" xfId="0" applyFont="1" applyFill="1" applyBorder="1"/>
    <xf numFmtId="0" fontId="18181" fillId="18191" borderId="18138" xfId="0" applyFont="1" applyFill="1" applyBorder="1"/>
    <xf numFmtId="0" fontId="18182" fillId="18192" borderId="18139" xfId="0" applyFont="1" applyFill="1" applyBorder="1"/>
    <xf numFmtId="14" fontId="18183" fillId="18193" borderId="18140" xfId="0" applyNumberFormat="1" applyFont="1" applyFill="1" applyBorder="1"/>
    <xf numFmtId="0" fontId="18184" fillId="18194" borderId="18141" xfId="0" applyFont="1" applyFill="1" applyBorder="1"/>
    <xf numFmtId="0" fontId="18185" fillId="18195" borderId="18142" xfId="0" applyFont="1" applyFill="1" applyBorder="1"/>
    <xf numFmtId="0" fontId="18186" fillId="18196" borderId="18143" xfId="0" applyFont="1" applyFill="1" applyBorder="1"/>
    <xf numFmtId="4" fontId="18187" fillId="18197" borderId="18144" xfId="0" applyNumberFormat="1" applyFont="1" applyFill="1" applyBorder="1"/>
    <xf numFmtId="165" fontId="18188" fillId="18198" borderId="18145" xfId="0" applyNumberFormat="1" applyFont="1" applyFill="1" applyBorder="1"/>
    <xf numFmtId="165" fontId="18189" fillId="18199" borderId="18146" xfId="0" applyNumberFormat="1" applyFont="1" applyFill="1" applyBorder="1"/>
    <xf numFmtId="0" fontId="18190" fillId="18200" borderId="18147" xfId="0" applyFont="1" applyFill="1" applyBorder="1"/>
    <xf numFmtId="0" fontId="18191" fillId="18201" borderId="18148" xfId="0" applyFont="1" applyFill="1" applyBorder="1"/>
    <xf numFmtId="0" fontId="18192" fillId="18202" borderId="18149" xfId="0" applyFont="1" applyFill="1" applyBorder="1"/>
    <xf numFmtId="0" fontId="18193" fillId="18203" borderId="18150" xfId="0" applyFont="1" applyFill="1" applyBorder="1"/>
    <xf numFmtId="14" fontId="18194" fillId="18204" borderId="18151" xfId="0" applyNumberFormat="1" applyFont="1" applyFill="1" applyBorder="1"/>
    <xf numFmtId="0" fontId="18195" fillId="18205" borderId="18152" xfId="0" applyFont="1" applyFill="1" applyBorder="1"/>
    <xf numFmtId="0" fontId="18196" fillId="18206" borderId="18153" xfId="0" applyFont="1" applyFill="1" applyBorder="1"/>
    <xf numFmtId="0" fontId="18197" fillId="18207" borderId="18154" xfId="0" applyFont="1" applyFill="1" applyBorder="1"/>
    <xf numFmtId="4" fontId="18198" fillId="18208" borderId="18155" xfId="0" applyNumberFormat="1" applyFont="1" applyFill="1" applyBorder="1"/>
    <xf numFmtId="165" fontId="18199" fillId="18209" borderId="18156" xfId="0" applyNumberFormat="1" applyFont="1" applyFill="1" applyBorder="1"/>
    <xf numFmtId="165" fontId="18200" fillId="18210" borderId="18157" xfId="0" applyNumberFormat="1" applyFont="1" applyFill="1" applyBorder="1"/>
    <xf numFmtId="0" fontId="18201" fillId="18211" borderId="18158" xfId="0" applyFont="1" applyFill="1" applyBorder="1"/>
    <xf numFmtId="0" fontId="18202" fillId="18212" borderId="18159" xfId="0" applyFont="1" applyFill="1" applyBorder="1"/>
    <xf numFmtId="0" fontId="18203" fillId="18213" borderId="18160" xfId="0" applyFont="1" applyFill="1" applyBorder="1"/>
    <xf numFmtId="0" fontId="18204" fillId="18214" borderId="18161" xfId="0" applyFont="1" applyFill="1" applyBorder="1"/>
    <xf numFmtId="14" fontId="18205" fillId="18215" borderId="18162" xfId="0" applyNumberFormat="1" applyFont="1" applyFill="1" applyBorder="1"/>
    <xf numFmtId="0" fontId="18206" fillId="18216" borderId="18163" xfId="0" applyFont="1" applyFill="1" applyBorder="1"/>
    <xf numFmtId="0" fontId="18207" fillId="18217" borderId="18164" xfId="0" applyFont="1" applyFill="1" applyBorder="1"/>
    <xf numFmtId="0" fontId="18208" fillId="18218" borderId="18165" xfId="0" applyFont="1" applyFill="1" applyBorder="1"/>
    <xf numFmtId="4" fontId="18209" fillId="18219" borderId="18166" xfId="0" applyNumberFormat="1" applyFont="1" applyFill="1" applyBorder="1"/>
    <xf numFmtId="165" fontId="18210" fillId="18220" borderId="18167" xfId="0" applyNumberFormat="1" applyFont="1" applyFill="1" applyBorder="1"/>
    <xf numFmtId="165" fontId="18211" fillId="18221" borderId="18168" xfId="0" applyNumberFormat="1" applyFont="1" applyFill="1" applyBorder="1"/>
    <xf numFmtId="0" fontId="18212" fillId="18222" borderId="18169" xfId="0" applyFont="1" applyFill="1" applyBorder="1"/>
    <xf numFmtId="0" fontId="18213" fillId="18223" borderId="18170" xfId="0" applyFont="1" applyFill="1" applyBorder="1"/>
    <xf numFmtId="0" fontId="18214" fillId="18224" borderId="18171" xfId="0" applyFont="1" applyFill="1" applyBorder="1"/>
    <xf numFmtId="0" fontId="18215" fillId="18225" borderId="18172" xfId="0" applyFont="1" applyFill="1" applyBorder="1"/>
    <xf numFmtId="14" fontId="18216" fillId="18226" borderId="18173" xfId="0" applyNumberFormat="1" applyFont="1" applyFill="1" applyBorder="1"/>
    <xf numFmtId="0" fontId="18217" fillId="18227" borderId="18174" xfId="0" applyFont="1" applyFill="1" applyBorder="1"/>
    <xf numFmtId="0" fontId="18218" fillId="18228" borderId="18175" xfId="0" applyFont="1" applyFill="1" applyBorder="1"/>
    <xf numFmtId="0" fontId="18219" fillId="18229" borderId="18176" xfId="0" applyFont="1" applyFill="1" applyBorder="1"/>
    <xf numFmtId="4" fontId="18220" fillId="18230" borderId="18177" xfId="0" applyNumberFormat="1" applyFont="1" applyFill="1" applyBorder="1"/>
    <xf numFmtId="165" fontId="18221" fillId="18231" borderId="18178" xfId="0" applyNumberFormat="1" applyFont="1" applyFill="1" applyBorder="1"/>
    <xf numFmtId="165" fontId="18222" fillId="18232" borderId="18179" xfId="0" applyNumberFormat="1" applyFont="1" applyFill="1" applyBorder="1"/>
    <xf numFmtId="0" fontId="18223" fillId="18233" borderId="18180" xfId="0" applyFont="1" applyFill="1" applyBorder="1"/>
    <xf numFmtId="0" fontId="18224" fillId="18234" borderId="18181" xfId="0" applyFont="1" applyFill="1" applyBorder="1"/>
    <xf numFmtId="0" fontId="18225" fillId="18235" borderId="18182" xfId="0" applyFont="1" applyFill="1" applyBorder="1"/>
    <xf numFmtId="0" fontId="18226" fillId="18236" borderId="18183" xfId="0" applyFont="1" applyFill="1" applyBorder="1"/>
    <xf numFmtId="14" fontId="18227" fillId="18237" borderId="18184" xfId="0" applyNumberFormat="1" applyFont="1" applyFill="1" applyBorder="1"/>
    <xf numFmtId="0" fontId="18228" fillId="18238" borderId="18185" xfId="0" applyFont="1" applyFill="1" applyBorder="1"/>
    <xf numFmtId="0" fontId="18229" fillId="18239" borderId="18186" xfId="0" applyFont="1" applyFill="1" applyBorder="1"/>
    <xf numFmtId="0" fontId="18230" fillId="18240" borderId="18187" xfId="0" applyFont="1" applyFill="1" applyBorder="1"/>
    <xf numFmtId="4" fontId="18231" fillId="18241" borderId="18188" xfId="0" applyNumberFormat="1" applyFont="1" applyFill="1" applyBorder="1"/>
    <xf numFmtId="165" fontId="18232" fillId="18242" borderId="18189" xfId="0" applyNumberFormat="1" applyFont="1" applyFill="1" applyBorder="1"/>
    <xf numFmtId="165" fontId="18233" fillId="18243" borderId="18190" xfId="0" applyNumberFormat="1" applyFont="1" applyFill="1" applyBorder="1"/>
    <xf numFmtId="0" fontId="18234" fillId="18244" borderId="18191" xfId="0" applyFont="1" applyFill="1" applyBorder="1"/>
    <xf numFmtId="0" fontId="18235" fillId="18245" borderId="18192" xfId="0" applyFont="1" applyFill="1" applyBorder="1"/>
    <xf numFmtId="0" fontId="18236" fillId="18246" borderId="18193" xfId="0" applyFont="1" applyFill="1" applyBorder="1"/>
    <xf numFmtId="0" fontId="18237" fillId="18247" borderId="18194" xfId="0" applyFont="1" applyFill="1" applyBorder="1"/>
    <xf numFmtId="14" fontId="18238" fillId="18248" borderId="18195" xfId="0" applyNumberFormat="1" applyFont="1" applyFill="1" applyBorder="1"/>
    <xf numFmtId="0" fontId="18239" fillId="18249" borderId="18196" xfId="0" applyFont="1" applyFill="1" applyBorder="1"/>
    <xf numFmtId="0" fontId="18240" fillId="18250" borderId="18197" xfId="0" applyFont="1" applyFill="1" applyBorder="1"/>
    <xf numFmtId="0" fontId="18241" fillId="18251" borderId="18198" xfId="0" applyFont="1" applyFill="1" applyBorder="1"/>
    <xf numFmtId="4" fontId="18242" fillId="18252" borderId="18199" xfId="0" applyNumberFormat="1" applyFont="1" applyFill="1" applyBorder="1"/>
    <xf numFmtId="165" fontId="18243" fillId="18253" borderId="18200" xfId="0" applyNumberFormat="1" applyFont="1" applyFill="1" applyBorder="1"/>
    <xf numFmtId="165" fontId="18244" fillId="18254" borderId="18201" xfId="0" applyNumberFormat="1" applyFont="1" applyFill="1" applyBorder="1"/>
    <xf numFmtId="0" fontId="18245" fillId="18255" borderId="18202" xfId="0" applyFont="1" applyFill="1" applyBorder="1"/>
    <xf numFmtId="0" fontId="18246" fillId="18256" borderId="18203" xfId="0" applyFont="1" applyFill="1" applyBorder="1"/>
    <xf numFmtId="0" fontId="18247" fillId="18257" borderId="18204" xfId="0" applyFont="1" applyFill="1" applyBorder="1"/>
    <xf numFmtId="0" fontId="18248" fillId="18258" borderId="18205" xfId="0" applyFont="1" applyFill="1" applyBorder="1"/>
    <xf numFmtId="14" fontId="18249" fillId="18259" borderId="18206" xfId="0" applyNumberFormat="1" applyFont="1" applyFill="1" applyBorder="1"/>
    <xf numFmtId="0" fontId="18250" fillId="18260" borderId="18207" xfId="0" applyFont="1" applyFill="1" applyBorder="1"/>
    <xf numFmtId="0" fontId="18251" fillId="18261" borderId="18208" xfId="0" applyFont="1" applyFill="1" applyBorder="1"/>
    <xf numFmtId="0" fontId="18252" fillId="18262" borderId="18209" xfId="0" applyFont="1" applyFill="1" applyBorder="1"/>
    <xf numFmtId="4" fontId="18253" fillId="18263" borderId="18210" xfId="0" applyNumberFormat="1" applyFont="1" applyFill="1" applyBorder="1"/>
    <xf numFmtId="165" fontId="18254" fillId="18264" borderId="18211" xfId="0" applyNumberFormat="1" applyFont="1" applyFill="1" applyBorder="1"/>
    <xf numFmtId="165" fontId="18255" fillId="18265" borderId="18212" xfId="0" applyNumberFormat="1" applyFont="1" applyFill="1" applyBorder="1"/>
    <xf numFmtId="0" fontId="18256" fillId="18266" borderId="18213" xfId="0" applyFont="1" applyFill="1" applyBorder="1"/>
    <xf numFmtId="0" fontId="18257" fillId="18267" borderId="18214" xfId="0" applyFont="1" applyFill="1" applyBorder="1"/>
    <xf numFmtId="0" fontId="18258" fillId="18268" borderId="18215" xfId="0" applyFont="1" applyFill="1" applyBorder="1"/>
    <xf numFmtId="0" fontId="18259" fillId="18269" borderId="18216" xfId="0" applyFont="1" applyFill="1" applyBorder="1"/>
    <xf numFmtId="14" fontId="18260" fillId="18270" borderId="18217" xfId="0" applyNumberFormat="1" applyFont="1" applyFill="1" applyBorder="1"/>
    <xf numFmtId="0" fontId="18261" fillId="18271" borderId="18218" xfId="0" applyFont="1" applyFill="1" applyBorder="1"/>
    <xf numFmtId="0" fontId="18262" fillId="18272" borderId="18219" xfId="0" applyFont="1" applyFill="1" applyBorder="1"/>
    <xf numFmtId="0" fontId="18263" fillId="18273" borderId="18220" xfId="0" applyFont="1" applyFill="1" applyBorder="1"/>
    <xf numFmtId="4" fontId="18264" fillId="18274" borderId="18221" xfId="0" applyNumberFormat="1" applyFont="1" applyFill="1" applyBorder="1"/>
    <xf numFmtId="165" fontId="18265" fillId="18275" borderId="18222" xfId="0" applyNumberFormat="1" applyFont="1" applyFill="1" applyBorder="1"/>
    <xf numFmtId="165" fontId="18266" fillId="18276" borderId="18223" xfId="0" applyNumberFormat="1" applyFont="1" applyFill="1" applyBorder="1"/>
    <xf numFmtId="0" fontId="18267" fillId="18277" borderId="18224" xfId="0" applyFont="1" applyFill="1" applyBorder="1"/>
    <xf numFmtId="0" fontId="18268" fillId="18278" borderId="18225" xfId="0" applyFont="1" applyFill="1" applyBorder="1"/>
    <xf numFmtId="0" fontId="18269" fillId="18279" borderId="18226" xfId="0" applyFont="1" applyFill="1" applyBorder="1"/>
    <xf numFmtId="0" fontId="18270" fillId="18280" borderId="18227" xfId="0" applyFont="1" applyFill="1" applyBorder="1"/>
    <xf numFmtId="14" fontId="18271" fillId="18281" borderId="18228" xfId="0" applyNumberFormat="1" applyFont="1" applyFill="1" applyBorder="1"/>
    <xf numFmtId="0" fontId="18272" fillId="18282" borderId="18229" xfId="0" applyFont="1" applyFill="1" applyBorder="1"/>
    <xf numFmtId="0" fontId="18273" fillId="18283" borderId="18230" xfId="0" applyFont="1" applyFill="1" applyBorder="1"/>
    <xf numFmtId="0" fontId="18274" fillId="18284" borderId="18231" xfId="0" applyFont="1" applyFill="1" applyBorder="1"/>
    <xf numFmtId="4" fontId="18275" fillId="18285" borderId="18232" xfId="0" applyNumberFormat="1" applyFont="1" applyFill="1" applyBorder="1"/>
    <xf numFmtId="165" fontId="18276" fillId="18286" borderId="18233" xfId="0" applyNumberFormat="1" applyFont="1" applyFill="1" applyBorder="1"/>
    <xf numFmtId="165" fontId="18277" fillId="18287" borderId="18234" xfId="0" applyNumberFormat="1" applyFont="1" applyFill="1" applyBorder="1"/>
    <xf numFmtId="0" fontId="18278" fillId="18288" borderId="18235" xfId="0" applyFont="1" applyFill="1" applyBorder="1"/>
    <xf numFmtId="0" fontId="18279" fillId="18289" borderId="18236" xfId="0" applyFont="1" applyFill="1" applyBorder="1"/>
    <xf numFmtId="0" fontId="18280" fillId="18290" borderId="18237" xfId="0" applyFont="1" applyFill="1" applyBorder="1"/>
    <xf numFmtId="0" fontId="18281" fillId="18291" borderId="18238" xfId="0" applyFont="1" applyFill="1" applyBorder="1"/>
    <xf numFmtId="14" fontId="18282" fillId="18292" borderId="18239" xfId="0" applyNumberFormat="1" applyFont="1" applyFill="1" applyBorder="1"/>
    <xf numFmtId="0" fontId="18283" fillId="18293" borderId="18240" xfId="0" applyFont="1" applyFill="1" applyBorder="1"/>
    <xf numFmtId="0" fontId="18284" fillId="18294" borderId="18241" xfId="0" applyFont="1" applyFill="1" applyBorder="1"/>
    <xf numFmtId="0" fontId="18285" fillId="18295" borderId="18242" xfId="0" applyFont="1" applyFill="1" applyBorder="1"/>
    <xf numFmtId="4" fontId="18286" fillId="18296" borderId="18243" xfId="0" applyNumberFormat="1" applyFont="1" applyFill="1" applyBorder="1"/>
    <xf numFmtId="165" fontId="18287" fillId="18297" borderId="18244" xfId="0" applyNumberFormat="1" applyFont="1" applyFill="1" applyBorder="1"/>
    <xf numFmtId="165" fontId="18288" fillId="18298" borderId="18245" xfId="0" applyNumberFormat="1" applyFont="1" applyFill="1" applyBorder="1"/>
    <xf numFmtId="0" fontId="18289" fillId="18299" borderId="18246" xfId="0" applyFont="1" applyFill="1" applyBorder="1"/>
    <xf numFmtId="0" fontId="18290" fillId="18300" borderId="18247" xfId="0" applyFont="1" applyFill="1" applyBorder="1"/>
    <xf numFmtId="0" fontId="18291" fillId="18301" borderId="18248" xfId="0" applyFont="1" applyFill="1" applyBorder="1"/>
    <xf numFmtId="0" fontId="18292" fillId="18302" borderId="18249" xfId="0" applyFont="1" applyFill="1" applyBorder="1"/>
    <xf numFmtId="14" fontId="18293" fillId="18303" borderId="18250" xfId="0" applyNumberFormat="1" applyFont="1" applyFill="1" applyBorder="1"/>
    <xf numFmtId="0" fontId="18294" fillId="18304" borderId="18251" xfId="0" applyFont="1" applyFill="1" applyBorder="1"/>
    <xf numFmtId="0" fontId="18295" fillId="18305" borderId="18252" xfId="0" applyFont="1" applyFill="1" applyBorder="1"/>
    <xf numFmtId="0" fontId="18296" fillId="18306" borderId="18253" xfId="0" applyFont="1" applyFill="1" applyBorder="1"/>
    <xf numFmtId="4" fontId="18297" fillId="18307" borderId="18254" xfId="0" applyNumberFormat="1" applyFont="1" applyFill="1" applyBorder="1"/>
    <xf numFmtId="165" fontId="18298" fillId="18308" borderId="18255" xfId="0" applyNumberFormat="1" applyFont="1" applyFill="1" applyBorder="1"/>
    <xf numFmtId="165" fontId="18299" fillId="18309" borderId="18256" xfId="0" applyNumberFormat="1" applyFont="1" applyFill="1" applyBorder="1"/>
    <xf numFmtId="0" fontId="18300" fillId="18310" borderId="18257" xfId="0" applyFont="1" applyFill="1" applyBorder="1"/>
    <xf numFmtId="0" fontId="18301" fillId="18311" borderId="18258" xfId="0" applyFont="1" applyFill="1" applyBorder="1"/>
    <xf numFmtId="0" fontId="18302" fillId="18312" borderId="18259" xfId="0" applyFont="1" applyFill="1" applyBorder="1"/>
    <xf numFmtId="0" fontId="18303" fillId="18313" borderId="18260" xfId="0" applyFont="1" applyFill="1" applyBorder="1"/>
    <xf numFmtId="14" fontId="18304" fillId="18314" borderId="18261" xfId="0" applyNumberFormat="1" applyFont="1" applyFill="1" applyBorder="1"/>
    <xf numFmtId="0" fontId="18305" fillId="18315" borderId="18262" xfId="0" applyFont="1" applyFill="1" applyBorder="1"/>
    <xf numFmtId="0" fontId="18306" fillId="18316" borderId="18263" xfId="0" applyFont="1" applyFill="1" applyBorder="1"/>
    <xf numFmtId="0" fontId="18307" fillId="18317" borderId="18264" xfId="0" applyFont="1" applyFill="1" applyBorder="1"/>
    <xf numFmtId="4" fontId="18308" fillId="18318" borderId="18265" xfId="0" applyNumberFormat="1" applyFont="1" applyFill="1" applyBorder="1"/>
    <xf numFmtId="165" fontId="18309" fillId="18319" borderId="18266" xfId="0" applyNumberFormat="1" applyFont="1" applyFill="1" applyBorder="1"/>
    <xf numFmtId="165" fontId="18310" fillId="18320" borderId="18267" xfId="0" applyNumberFormat="1" applyFont="1" applyFill="1" applyBorder="1"/>
    <xf numFmtId="0" fontId="18311" fillId="18321" borderId="18268" xfId="0" applyFont="1" applyFill="1" applyBorder="1"/>
    <xf numFmtId="0" fontId="18312" fillId="18322" borderId="18269" xfId="0" applyFont="1" applyFill="1" applyBorder="1"/>
    <xf numFmtId="0" fontId="18313" fillId="18323" borderId="18270" xfId="0" applyFont="1" applyFill="1" applyBorder="1"/>
    <xf numFmtId="0" fontId="18314" fillId="18324" borderId="18271" xfId="0" applyFont="1" applyFill="1" applyBorder="1"/>
    <xf numFmtId="14" fontId="18315" fillId="18325" borderId="18272" xfId="0" applyNumberFormat="1" applyFont="1" applyFill="1" applyBorder="1"/>
    <xf numFmtId="0" fontId="18316" fillId="18326" borderId="18273" xfId="0" applyFont="1" applyFill="1" applyBorder="1"/>
    <xf numFmtId="0" fontId="18317" fillId="18327" borderId="18274" xfId="0" applyFont="1" applyFill="1" applyBorder="1"/>
    <xf numFmtId="0" fontId="18318" fillId="18328" borderId="18275" xfId="0" applyFont="1" applyFill="1" applyBorder="1"/>
    <xf numFmtId="4" fontId="18319" fillId="18329" borderId="18276" xfId="0" applyNumberFormat="1" applyFont="1" applyFill="1" applyBorder="1"/>
    <xf numFmtId="165" fontId="18320" fillId="18330" borderId="18277" xfId="0" applyNumberFormat="1" applyFont="1" applyFill="1" applyBorder="1"/>
    <xf numFmtId="165" fontId="18321" fillId="18331" borderId="18278" xfId="0" applyNumberFormat="1" applyFont="1" applyFill="1" applyBorder="1"/>
    <xf numFmtId="0" fontId="18322" fillId="18332" borderId="18279" xfId="0" applyFont="1" applyFill="1" applyBorder="1"/>
    <xf numFmtId="0" fontId="18323" fillId="18333" borderId="18280" xfId="0" applyFont="1" applyFill="1" applyBorder="1"/>
    <xf numFmtId="0" fontId="18324" fillId="18334" borderId="18281" xfId="0" applyFont="1" applyFill="1" applyBorder="1"/>
    <xf numFmtId="0" fontId="18325" fillId="18335" borderId="18282" xfId="0" applyFont="1" applyFill="1" applyBorder="1"/>
    <xf numFmtId="14" fontId="18326" fillId="18336" borderId="18283" xfId="0" applyNumberFormat="1" applyFont="1" applyFill="1" applyBorder="1"/>
    <xf numFmtId="0" fontId="18327" fillId="18337" borderId="18284" xfId="0" applyFont="1" applyFill="1" applyBorder="1"/>
    <xf numFmtId="0" fontId="18328" fillId="18338" borderId="18285" xfId="0" applyFont="1" applyFill="1" applyBorder="1"/>
    <xf numFmtId="0" fontId="18329" fillId="18339" borderId="18286" xfId="0" applyFont="1" applyFill="1" applyBorder="1"/>
    <xf numFmtId="4" fontId="18330" fillId="18340" borderId="18287" xfId="0" applyNumberFormat="1" applyFont="1" applyFill="1" applyBorder="1"/>
    <xf numFmtId="165" fontId="18331" fillId="18341" borderId="18288" xfId="0" applyNumberFormat="1" applyFont="1" applyFill="1" applyBorder="1"/>
    <xf numFmtId="165" fontId="18332" fillId="18342" borderId="18289" xfId="0" applyNumberFormat="1" applyFont="1" applyFill="1" applyBorder="1"/>
    <xf numFmtId="0" fontId="18333" fillId="18343" borderId="18290" xfId="0" applyFont="1" applyFill="1" applyBorder="1"/>
    <xf numFmtId="0" fontId="18334" fillId="18344" borderId="18291" xfId="0" applyFont="1" applyFill="1" applyBorder="1"/>
    <xf numFmtId="0" fontId="18335" fillId="18345" borderId="18292" xfId="0" applyFont="1" applyFill="1" applyBorder="1"/>
    <xf numFmtId="0" fontId="18336" fillId="18346" borderId="18293" xfId="0" applyFont="1" applyFill="1" applyBorder="1"/>
    <xf numFmtId="14" fontId="18337" fillId="18347" borderId="18294" xfId="0" applyNumberFormat="1" applyFont="1" applyFill="1" applyBorder="1"/>
    <xf numFmtId="0" fontId="18338" fillId="18348" borderId="18295" xfId="0" applyFont="1" applyFill="1" applyBorder="1"/>
    <xf numFmtId="0" fontId="18339" fillId="18349" borderId="18296" xfId="0" applyFont="1" applyFill="1" applyBorder="1"/>
    <xf numFmtId="0" fontId="18340" fillId="18350" borderId="18297" xfId="0" applyFont="1" applyFill="1" applyBorder="1"/>
    <xf numFmtId="4" fontId="18341" fillId="18351" borderId="18298" xfId="0" applyNumberFormat="1" applyFont="1" applyFill="1" applyBorder="1"/>
    <xf numFmtId="165" fontId="18342" fillId="18352" borderId="18299" xfId="0" applyNumberFormat="1" applyFont="1" applyFill="1" applyBorder="1"/>
    <xf numFmtId="165" fontId="18343" fillId="18353" borderId="18300" xfId="0" applyNumberFormat="1" applyFont="1" applyFill="1" applyBorder="1"/>
    <xf numFmtId="0" fontId="18344" fillId="18354" borderId="18301" xfId="0" applyFont="1" applyFill="1" applyBorder="1"/>
    <xf numFmtId="0" fontId="18345" fillId="18355" borderId="18302" xfId="0" applyFont="1" applyFill="1" applyBorder="1"/>
    <xf numFmtId="0" fontId="18346" fillId="18356" borderId="18303" xfId="0" applyFont="1" applyFill="1" applyBorder="1"/>
    <xf numFmtId="0" fontId="18347" fillId="18357" borderId="18304" xfId="0" applyFont="1" applyFill="1" applyBorder="1"/>
    <xf numFmtId="14" fontId="18348" fillId="18358" borderId="18305" xfId="0" applyNumberFormat="1" applyFont="1" applyFill="1" applyBorder="1"/>
    <xf numFmtId="0" fontId="18349" fillId="18359" borderId="18306" xfId="0" applyFont="1" applyFill="1" applyBorder="1"/>
    <xf numFmtId="0" fontId="18350" fillId="18360" borderId="18307" xfId="0" applyFont="1" applyFill="1" applyBorder="1"/>
    <xf numFmtId="0" fontId="18351" fillId="18361" borderId="18308" xfId="0" applyFont="1" applyFill="1" applyBorder="1"/>
    <xf numFmtId="4" fontId="18352" fillId="18362" borderId="18309" xfId="0" applyNumberFormat="1" applyFont="1" applyFill="1" applyBorder="1"/>
    <xf numFmtId="165" fontId="18353" fillId="18363" borderId="18310" xfId="0" applyNumberFormat="1" applyFont="1" applyFill="1" applyBorder="1"/>
    <xf numFmtId="165" fontId="18354" fillId="18364" borderId="18311" xfId="0" applyNumberFormat="1" applyFont="1" applyFill="1" applyBorder="1"/>
    <xf numFmtId="0" fontId="18355" fillId="18365" borderId="18312" xfId="0" applyFont="1" applyFill="1" applyBorder="1"/>
    <xf numFmtId="0" fontId="18356" fillId="18366" borderId="18313" xfId="0" applyFont="1" applyFill="1" applyBorder="1"/>
    <xf numFmtId="0" fontId="18357" fillId="18367" borderId="18314" xfId="0" applyFont="1" applyFill="1" applyBorder="1"/>
    <xf numFmtId="0" fontId="18358" fillId="18368" borderId="18315" xfId="0" applyFont="1" applyFill="1" applyBorder="1"/>
    <xf numFmtId="14" fontId="18359" fillId="18369" borderId="18316" xfId="0" applyNumberFormat="1" applyFont="1" applyFill="1" applyBorder="1"/>
    <xf numFmtId="0" fontId="18360" fillId="18370" borderId="18317" xfId="0" applyFont="1" applyFill="1" applyBorder="1"/>
    <xf numFmtId="0" fontId="18361" fillId="18371" borderId="18318" xfId="0" applyFont="1" applyFill="1" applyBorder="1"/>
    <xf numFmtId="0" fontId="18362" fillId="18372" borderId="18319" xfId="0" applyFont="1" applyFill="1" applyBorder="1"/>
    <xf numFmtId="4" fontId="18363" fillId="18373" borderId="18320" xfId="0" applyNumberFormat="1" applyFont="1" applyFill="1" applyBorder="1"/>
    <xf numFmtId="165" fontId="18364" fillId="18374" borderId="18321" xfId="0" applyNumberFormat="1" applyFont="1" applyFill="1" applyBorder="1"/>
    <xf numFmtId="165" fontId="18365" fillId="18375" borderId="18322" xfId="0" applyNumberFormat="1" applyFont="1" applyFill="1" applyBorder="1"/>
    <xf numFmtId="0" fontId="18366" fillId="18376" borderId="18323" xfId="0" applyFont="1" applyFill="1" applyBorder="1"/>
    <xf numFmtId="0" fontId="18367" fillId="18377" borderId="18324" xfId="0" applyFont="1" applyFill="1" applyBorder="1"/>
    <xf numFmtId="0" fontId="18368" fillId="18378" borderId="18325" xfId="0" applyFont="1" applyFill="1" applyBorder="1"/>
    <xf numFmtId="0" fontId="18369" fillId="18379" borderId="18326" xfId="0" applyFont="1" applyFill="1" applyBorder="1"/>
    <xf numFmtId="14" fontId="18370" fillId="18380" borderId="18327" xfId="0" applyNumberFormat="1" applyFont="1" applyFill="1" applyBorder="1"/>
    <xf numFmtId="0" fontId="18371" fillId="18381" borderId="18328" xfId="0" applyFont="1" applyFill="1" applyBorder="1"/>
    <xf numFmtId="0" fontId="18372" fillId="18382" borderId="18329" xfId="0" applyFont="1" applyFill="1" applyBorder="1"/>
    <xf numFmtId="0" fontId="18373" fillId="18383" borderId="18330" xfId="0" applyFont="1" applyFill="1" applyBorder="1"/>
    <xf numFmtId="4" fontId="18374" fillId="18384" borderId="18331" xfId="0" applyNumberFormat="1" applyFont="1" applyFill="1" applyBorder="1"/>
    <xf numFmtId="165" fontId="18375" fillId="18385" borderId="18332" xfId="0" applyNumberFormat="1" applyFont="1" applyFill="1" applyBorder="1"/>
    <xf numFmtId="165" fontId="18376" fillId="18386" borderId="18333" xfId="0" applyNumberFormat="1" applyFont="1" applyFill="1" applyBorder="1"/>
    <xf numFmtId="0" fontId="18377" fillId="18387" borderId="18334" xfId="0" applyFont="1" applyFill="1" applyBorder="1"/>
    <xf numFmtId="0" fontId="18378" fillId="18388" borderId="18335" xfId="0" applyFont="1" applyFill="1" applyBorder="1"/>
    <xf numFmtId="0" fontId="18379" fillId="18389" borderId="18336" xfId="0" applyFont="1" applyFill="1" applyBorder="1"/>
    <xf numFmtId="0" fontId="18380" fillId="18390" borderId="18337" xfId="0" applyFont="1" applyFill="1" applyBorder="1"/>
    <xf numFmtId="14" fontId="18381" fillId="18391" borderId="18338" xfId="0" applyNumberFormat="1" applyFont="1" applyFill="1" applyBorder="1"/>
    <xf numFmtId="0" fontId="18382" fillId="18392" borderId="18339" xfId="0" applyFont="1" applyFill="1" applyBorder="1"/>
    <xf numFmtId="0" fontId="18383" fillId="18393" borderId="18340" xfId="0" applyFont="1" applyFill="1" applyBorder="1"/>
    <xf numFmtId="0" fontId="18384" fillId="18394" borderId="18341" xfId="0" applyFont="1" applyFill="1" applyBorder="1"/>
    <xf numFmtId="4" fontId="18385" fillId="18395" borderId="18342" xfId="0" applyNumberFormat="1" applyFont="1" applyFill="1" applyBorder="1"/>
    <xf numFmtId="165" fontId="18386" fillId="18396" borderId="18343" xfId="0" applyNumberFormat="1" applyFont="1" applyFill="1" applyBorder="1"/>
    <xf numFmtId="165" fontId="18387" fillId="18397" borderId="18344" xfId="0" applyNumberFormat="1" applyFont="1" applyFill="1" applyBorder="1"/>
    <xf numFmtId="0" fontId="18388" fillId="18398" borderId="18345" xfId="0" applyFont="1" applyFill="1" applyBorder="1"/>
    <xf numFmtId="0" fontId="18389" fillId="18399" borderId="18346" xfId="0" applyFont="1" applyFill="1" applyBorder="1"/>
    <xf numFmtId="0" fontId="18390" fillId="18400" borderId="18347" xfId="0" applyFont="1" applyFill="1" applyBorder="1"/>
    <xf numFmtId="0" fontId="18391" fillId="18401" borderId="18348" xfId="0" applyFont="1" applyFill="1" applyBorder="1"/>
    <xf numFmtId="14" fontId="18392" fillId="18402" borderId="18349" xfId="0" applyNumberFormat="1" applyFont="1" applyFill="1" applyBorder="1"/>
    <xf numFmtId="0" fontId="18393" fillId="18403" borderId="18350" xfId="0" applyFont="1" applyFill="1" applyBorder="1"/>
    <xf numFmtId="0" fontId="18394" fillId="18404" borderId="18351" xfId="0" applyFont="1" applyFill="1" applyBorder="1"/>
    <xf numFmtId="0" fontId="18395" fillId="18405" borderId="18352" xfId="0" applyFont="1" applyFill="1" applyBorder="1"/>
    <xf numFmtId="4" fontId="18396" fillId="18406" borderId="18353" xfId="0" applyNumberFormat="1" applyFont="1" applyFill="1" applyBorder="1"/>
    <xf numFmtId="165" fontId="18397" fillId="18407" borderId="18354" xfId="0" applyNumberFormat="1" applyFont="1" applyFill="1" applyBorder="1"/>
    <xf numFmtId="165" fontId="18398" fillId="18408" borderId="18355" xfId="0" applyNumberFormat="1" applyFont="1" applyFill="1" applyBorder="1"/>
    <xf numFmtId="0" fontId="18399" fillId="18409" borderId="18356" xfId="0" applyFont="1" applyFill="1" applyBorder="1"/>
    <xf numFmtId="0" fontId="18400" fillId="18410" borderId="18357" xfId="0" applyFont="1" applyFill="1" applyBorder="1"/>
    <xf numFmtId="0" fontId="18401" fillId="18411" borderId="18358" xfId="0" applyFont="1" applyFill="1" applyBorder="1"/>
    <xf numFmtId="0" fontId="18402" fillId="18412" borderId="18359" xfId="0" applyFont="1" applyFill="1" applyBorder="1"/>
    <xf numFmtId="14" fontId="18403" fillId="18413" borderId="18360" xfId="0" applyNumberFormat="1" applyFont="1" applyFill="1" applyBorder="1"/>
    <xf numFmtId="0" fontId="18404" fillId="18414" borderId="18361" xfId="0" applyFont="1" applyFill="1" applyBorder="1"/>
    <xf numFmtId="0" fontId="18405" fillId="18415" borderId="18362" xfId="0" applyFont="1" applyFill="1" applyBorder="1"/>
    <xf numFmtId="0" fontId="18406" fillId="18416" borderId="18363" xfId="0" applyFont="1" applyFill="1" applyBorder="1"/>
    <xf numFmtId="4" fontId="18407" fillId="18417" borderId="18364" xfId="0" applyNumberFormat="1" applyFont="1" applyFill="1" applyBorder="1"/>
    <xf numFmtId="165" fontId="18408" fillId="18418" borderId="18365" xfId="0" applyNumberFormat="1" applyFont="1" applyFill="1" applyBorder="1"/>
    <xf numFmtId="165" fontId="18409" fillId="18419" borderId="18366" xfId="0" applyNumberFormat="1" applyFont="1" applyFill="1" applyBorder="1"/>
    <xf numFmtId="0" fontId="18410" fillId="18420" borderId="18367" xfId="0" applyFont="1" applyFill="1" applyBorder="1"/>
    <xf numFmtId="0" fontId="18411" fillId="18421" borderId="18368" xfId="0" applyFont="1" applyFill="1" applyBorder="1"/>
    <xf numFmtId="0" fontId="18412" fillId="18422" borderId="18369" xfId="0" applyFont="1" applyFill="1" applyBorder="1"/>
    <xf numFmtId="0" fontId="18413" fillId="18423" borderId="18370" xfId="0" applyFont="1" applyFill="1" applyBorder="1"/>
    <xf numFmtId="14" fontId="18414" fillId="18424" borderId="18371" xfId="0" applyNumberFormat="1" applyFont="1" applyFill="1" applyBorder="1"/>
    <xf numFmtId="0" fontId="18415" fillId="18425" borderId="18372" xfId="0" applyFont="1" applyFill="1" applyBorder="1"/>
    <xf numFmtId="0" fontId="18416" fillId="18426" borderId="18373" xfId="0" applyFont="1" applyFill="1" applyBorder="1"/>
    <xf numFmtId="0" fontId="18417" fillId="18427" borderId="18374" xfId="0" applyFont="1" applyFill="1" applyBorder="1"/>
    <xf numFmtId="4" fontId="18418" fillId="18428" borderId="18375" xfId="0" applyNumberFormat="1" applyFont="1" applyFill="1" applyBorder="1"/>
    <xf numFmtId="165" fontId="18419" fillId="18429" borderId="18376" xfId="0" applyNumberFormat="1" applyFont="1" applyFill="1" applyBorder="1"/>
    <xf numFmtId="165" fontId="18420" fillId="18430" borderId="18377" xfId="0" applyNumberFormat="1" applyFont="1" applyFill="1" applyBorder="1"/>
    <xf numFmtId="0" fontId="18421" fillId="18431" borderId="18378" xfId="0" applyFont="1" applyFill="1" applyBorder="1"/>
    <xf numFmtId="0" fontId="18422" fillId="18432" borderId="18379" xfId="0" applyFont="1" applyFill="1" applyBorder="1"/>
    <xf numFmtId="0" fontId="18423" fillId="18433" borderId="18380" xfId="0" applyFont="1" applyFill="1" applyBorder="1"/>
    <xf numFmtId="0" fontId="18424" fillId="18434" borderId="18381" xfId="0" applyFont="1" applyFill="1" applyBorder="1"/>
    <xf numFmtId="14" fontId="18425" fillId="18435" borderId="18382" xfId="0" applyNumberFormat="1" applyFont="1" applyFill="1" applyBorder="1"/>
    <xf numFmtId="0" fontId="18426" fillId="18436" borderId="18383" xfId="0" applyFont="1" applyFill="1" applyBorder="1"/>
    <xf numFmtId="0" fontId="18427" fillId="18437" borderId="18384" xfId="0" applyFont="1" applyFill="1" applyBorder="1"/>
    <xf numFmtId="0" fontId="18428" fillId="18438" borderId="18385" xfId="0" applyFont="1" applyFill="1" applyBorder="1"/>
    <xf numFmtId="4" fontId="18429" fillId="18439" borderId="18386" xfId="0" applyNumberFormat="1" applyFont="1" applyFill="1" applyBorder="1"/>
    <xf numFmtId="165" fontId="18430" fillId="18440" borderId="18387" xfId="0" applyNumberFormat="1" applyFont="1" applyFill="1" applyBorder="1"/>
    <xf numFmtId="165" fontId="18431" fillId="18441" borderId="18388" xfId="0" applyNumberFormat="1" applyFont="1" applyFill="1" applyBorder="1"/>
    <xf numFmtId="0" fontId="18432" fillId="18442" borderId="18389" xfId="0" applyFont="1" applyFill="1" applyBorder="1"/>
    <xf numFmtId="0" fontId="18433" fillId="18443" borderId="18390" xfId="0" applyFont="1" applyFill="1" applyBorder="1"/>
    <xf numFmtId="0" fontId="18434" fillId="18444" borderId="18391" xfId="0" applyFont="1" applyFill="1" applyBorder="1"/>
    <xf numFmtId="0" fontId="18435" fillId="18445" borderId="18392" xfId="0" applyFont="1" applyFill="1" applyBorder="1"/>
    <xf numFmtId="14" fontId="18436" fillId="18446" borderId="18393" xfId="0" applyNumberFormat="1" applyFont="1" applyFill="1" applyBorder="1"/>
    <xf numFmtId="0" fontId="18437" fillId="18447" borderId="18394" xfId="0" applyFont="1" applyFill="1" applyBorder="1"/>
    <xf numFmtId="0" fontId="18438" fillId="18448" borderId="18395" xfId="0" applyFont="1" applyFill="1" applyBorder="1"/>
    <xf numFmtId="0" fontId="18439" fillId="18449" borderId="18396" xfId="0" applyFont="1" applyFill="1" applyBorder="1"/>
    <xf numFmtId="4" fontId="18440" fillId="18450" borderId="18397" xfId="0" applyNumberFormat="1" applyFont="1" applyFill="1" applyBorder="1"/>
    <xf numFmtId="165" fontId="18441" fillId="18451" borderId="18398" xfId="0" applyNumberFormat="1" applyFont="1" applyFill="1" applyBorder="1"/>
    <xf numFmtId="165" fontId="18442" fillId="18452" borderId="18399" xfId="0" applyNumberFormat="1" applyFont="1" applyFill="1" applyBorder="1"/>
    <xf numFmtId="0" fontId="18443" fillId="18453" borderId="18400" xfId="0" applyFont="1" applyFill="1" applyBorder="1"/>
    <xf numFmtId="0" fontId="18444" fillId="18454" borderId="18401" xfId="0" applyFont="1" applyFill="1" applyBorder="1"/>
    <xf numFmtId="0" fontId="18445" fillId="18455" borderId="18402" xfId="0" applyFont="1" applyFill="1" applyBorder="1"/>
    <xf numFmtId="0" fontId="18446" fillId="18456" borderId="18403" xfId="0" applyFont="1" applyFill="1" applyBorder="1"/>
    <xf numFmtId="14" fontId="18447" fillId="18457" borderId="18404" xfId="0" applyNumberFormat="1" applyFont="1" applyFill="1" applyBorder="1"/>
    <xf numFmtId="0" fontId="18448" fillId="18458" borderId="18405" xfId="0" applyFont="1" applyFill="1" applyBorder="1"/>
    <xf numFmtId="0" fontId="18449" fillId="18459" borderId="18406" xfId="0" applyFont="1" applyFill="1" applyBorder="1"/>
    <xf numFmtId="0" fontId="18450" fillId="18460" borderId="18407" xfId="0" applyFont="1" applyFill="1" applyBorder="1"/>
    <xf numFmtId="4" fontId="18451" fillId="18461" borderId="18408" xfId="0" applyNumberFormat="1" applyFont="1" applyFill="1" applyBorder="1"/>
    <xf numFmtId="165" fontId="18452" fillId="18462" borderId="18409" xfId="0" applyNumberFormat="1" applyFont="1" applyFill="1" applyBorder="1"/>
    <xf numFmtId="165" fontId="18453" fillId="18463" borderId="18410" xfId="0" applyNumberFormat="1" applyFont="1" applyFill="1" applyBorder="1"/>
    <xf numFmtId="0" fontId="18454" fillId="18464" borderId="18411" xfId="0" applyFont="1" applyFill="1" applyBorder="1"/>
    <xf numFmtId="0" fontId="18455" fillId="18465" borderId="18412" xfId="0" applyFont="1" applyFill="1" applyBorder="1"/>
    <xf numFmtId="0" fontId="18456" fillId="18466" borderId="18413" xfId="0" applyFont="1" applyFill="1" applyBorder="1"/>
    <xf numFmtId="0" fontId="18457" fillId="18467" borderId="18414" xfId="0" applyFont="1" applyFill="1" applyBorder="1"/>
    <xf numFmtId="14" fontId="18458" fillId="18468" borderId="18415" xfId="0" applyNumberFormat="1" applyFont="1" applyFill="1" applyBorder="1"/>
    <xf numFmtId="0" fontId="18459" fillId="18469" borderId="18416" xfId="0" applyFont="1" applyFill="1" applyBorder="1"/>
    <xf numFmtId="0" fontId="18460" fillId="18470" borderId="18417" xfId="0" applyFont="1" applyFill="1" applyBorder="1"/>
    <xf numFmtId="0" fontId="18461" fillId="18471" borderId="18418" xfId="0" applyFont="1" applyFill="1" applyBorder="1"/>
    <xf numFmtId="4" fontId="18462" fillId="18472" borderId="18419" xfId="0" applyNumberFormat="1" applyFont="1" applyFill="1" applyBorder="1"/>
    <xf numFmtId="165" fontId="18463" fillId="18473" borderId="18420" xfId="0" applyNumberFormat="1" applyFont="1" applyFill="1" applyBorder="1"/>
    <xf numFmtId="165" fontId="18464" fillId="18474" borderId="18421" xfId="0" applyNumberFormat="1" applyFont="1" applyFill="1" applyBorder="1"/>
    <xf numFmtId="0" fontId="18465" fillId="18475" borderId="18422" xfId="0" applyFont="1" applyFill="1" applyBorder="1"/>
    <xf numFmtId="0" fontId="18466" fillId="18476" borderId="18423" xfId="0" applyFont="1" applyFill="1" applyBorder="1"/>
    <xf numFmtId="0" fontId="18467" fillId="18477" borderId="18424" xfId="0" applyFont="1" applyFill="1" applyBorder="1"/>
    <xf numFmtId="0" fontId="18468" fillId="18478" borderId="18425" xfId="0" applyFont="1" applyFill="1" applyBorder="1"/>
    <xf numFmtId="14" fontId="18469" fillId="18479" borderId="18426" xfId="0" applyNumberFormat="1" applyFont="1" applyFill="1" applyBorder="1"/>
    <xf numFmtId="0" fontId="18470" fillId="18480" borderId="18427" xfId="0" applyFont="1" applyFill="1" applyBorder="1"/>
    <xf numFmtId="0" fontId="18471" fillId="18481" borderId="18428" xfId="0" applyFont="1" applyFill="1" applyBorder="1"/>
    <xf numFmtId="0" fontId="18472" fillId="18482" borderId="18429" xfId="0" applyFont="1" applyFill="1" applyBorder="1"/>
    <xf numFmtId="4" fontId="18473" fillId="18483" borderId="18430" xfId="0" applyNumberFormat="1" applyFont="1" applyFill="1" applyBorder="1"/>
    <xf numFmtId="165" fontId="18474" fillId="18484" borderId="18431" xfId="0" applyNumberFormat="1" applyFont="1" applyFill="1" applyBorder="1"/>
    <xf numFmtId="165" fontId="18475" fillId="18485" borderId="18432" xfId="0" applyNumberFormat="1" applyFont="1" applyFill="1" applyBorder="1"/>
    <xf numFmtId="0" fontId="18476" fillId="18486" borderId="18433" xfId="0" applyFont="1" applyFill="1" applyBorder="1"/>
    <xf numFmtId="0" fontId="18477" fillId="18487" borderId="18434" xfId="0" applyFont="1" applyFill="1" applyBorder="1"/>
    <xf numFmtId="0" fontId="18478" fillId="18488" borderId="18435" xfId="0" applyFont="1" applyFill="1" applyBorder="1"/>
    <xf numFmtId="0" fontId="18479" fillId="18489" borderId="18436" xfId="0" applyFont="1" applyFill="1" applyBorder="1"/>
    <xf numFmtId="14" fontId="18480" fillId="18490" borderId="18437" xfId="0" applyNumberFormat="1" applyFont="1" applyFill="1" applyBorder="1"/>
    <xf numFmtId="0" fontId="18481" fillId="18491" borderId="18438" xfId="0" applyFont="1" applyFill="1" applyBorder="1"/>
    <xf numFmtId="0" fontId="18482" fillId="18492" borderId="18439" xfId="0" applyFont="1" applyFill="1" applyBorder="1"/>
    <xf numFmtId="0" fontId="18483" fillId="18493" borderId="18440" xfId="0" applyFont="1" applyFill="1" applyBorder="1"/>
    <xf numFmtId="4" fontId="18484" fillId="18494" borderId="18441" xfId="0" applyNumberFormat="1" applyFont="1" applyFill="1" applyBorder="1"/>
    <xf numFmtId="165" fontId="18485" fillId="18495" borderId="18442" xfId="0" applyNumberFormat="1" applyFont="1" applyFill="1" applyBorder="1"/>
    <xf numFmtId="165" fontId="18486" fillId="18496" borderId="18443" xfId="0" applyNumberFormat="1" applyFont="1" applyFill="1" applyBorder="1"/>
    <xf numFmtId="0" fontId="18487" fillId="18497" borderId="18444" xfId="0" applyFont="1" applyFill="1" applyBorder="1"/>
    <xf numFmtId="0" fontId="18488" fillId="18498" borderId="18445" xfId="0" applyFont="1" applyFill="1" applyBorder="1"/>
    <xf numFmtId="0" fontId="18489" fillId="18499" borderId="18446" xfId="0" applyFont="1" applyFill="1" applyBorder="1"/>
    <xf numFmtId="0" fontId="18490" fillId="18500" borderId="18447" xfId="0" applyFont="1" applyFill="1" applyBorder="1"/>
    <xf numFmtId="14" fontId="18491" fillId="18501" borderId="18448" xfId="0" applyNumberFormat="1" applyFont="1" applyFill="1" applyBorder="1"/>
    <xf numFmtId="0" fontId="18492" fillId="18502" borderId="18449" xfId="0" applyFont="1" applyFill="1" applyBorder="1"/>
    <xf numFmtId="0" fontId="18493" fillId="18503" borderId="18450" xfId="0" applyFont="1" applyFill="1" applyBorder="1"/>
    <xf numFmtId="0" fontId="18494" fillId="18504" borderId="18451" xfId="0" applyFont="1" applyFill="1" applyBorder="1"/>
    <xf numFmtId="4" fontId="18495" fillId="18505" borderId="18452" xfId="0" applyNumberFormat="1" applyFont="1" applyFill="1" applyBorder="1"/>
    <xf numFmtId="165" fontId="18496" fillId="18506" borderId="18453" xfId="0" applyNumberFormat="1" applyFont="1" applyFill="1" applyBorder="1"/>
    <xf numFmtId="165" fontId="18497" fillId="18507" borderId="18454" xfId="0" applyNumberFormat="1" applyFont="1" applyFill="1" applyBorder="1"/>
    <xf numFmtId="0" fontId="18498" fillId="18508" borderId="18455" xfId="0" applyFont="1" applyFill="1" applyBorder="1"/>
    <xf numFmtId="0" fontId="18499" fillId="18509" borderId="18456" xfId="0" applyFont="1" applyFill="1" applyBorder="1"/>
    <xf numFmtId="0" fontId="18500" fillId="18510" borderId="18457" xfId="0" applyFont="1" applyFill="1" applyBorder="1"/>
    <xf numFmtId="0" fontId="18501" fillId="18511" borderId="18458" xfId="0" applyFont="1" applyFill="1" applyBorder="1"/>
    <xf numFmtId="14" fontId="18502" fillId="18512" borderId="18459" xfId="0" applyNumberFormat="1" applyFont="1" applyFill="1" applyBorder="1"/>
    <xf numFmtId="0" fontId="18503" fillId="18513" borderId="18460" xfId="0" applyFont="1" applyFill="1" applyBorder="1"/>
    <xf numFmtId="0" fontId="18504" fillId="18514" borderId="18461" xfId="0" applyFont="1" applyFill="1" applyBorder="1"/>
    <xf numFmtId="0" fontId="18505" fillId="18515" borderId="18462" xfId="0" applyFont="1" applyFill="1" applyBorder="1"/>
    <xf numFmtId="4" fontId="18506" fillId="18516" borderId="18463" xfId="0" applyNumberFormat="1" applyFont="1" applyFill="1" applyBorder="1"/>
    <xf numFmtId="165" fontId="18507" fillId="18517" borderId="18464" xfId="0" applyNumberFormat="1" applyFont="1" applyFill="1" applyBorder="1"/>
    <xf numFmtId="165" fontId="18508" fillId="18518" borderId="18465" xfId="0" applyNumberFormat="1" applyFont="1" applyFill="1" applyBorder="1"/>
    <xf numFmtId="0" fontId="18509" fillId="18519" borderId="18466" xfId="0" applyFont="1" applyFill="1" applyBorder="1"/>
    <xf numFmtId="0" fontId="18510" fillId="18520" borderId="18467" xfId="0" applyFont="1" applyFill="1" applyBorder="1"/>
    <xf numFmtId="0" fontId="18511" fillId="18521" borderId="18468" xfId="0" applyFont="1" applyFill="1" applyBorder="1"/>
    <xf numFmtId="0" fontId="18512" fillId="18522" borderId="18469" xfId="0" applyFont="1" applyFill="1" applyBorder="1"/>
    <xf numFmtId="14" fontId="18513" fillId="18523" borderId="18470" xfId="0" applyNumberFormat="1" applyFont="1" applyFill="1" applyBorder="1"/>
    <xf numFmtId="0" fontId="18514" fillId="18524" borderId="18471" xfId="0" applyFont="1" applyFill="1" applyBorder="1"/>
    <xf numFmtId="0" fontId="18515" fillId="18525" borderId="18472" xfId="0" applyFont="1" applyFill="1" applyBorder="1"/>
    <xf numFmtId="0" fontId="18516" fillId="18526" borderId="18473" xfId="0" applyFont="1" applyFill="1" applyBorder="1"/>
    <xf numFmtId="4" fontId="18517" fillId="18527" borderId="18474" xfId="0" applyNumberFormat="1" applyFont="1" applyFill="1" applyBorder="1"/>
    <xf numFmtId="165" fontId="18518" fillId="18528" borderId="18475" xfId="0" applyNumberFormat="1" applyFont="1" applyFill="1" applyBorder="1"/>
    <xf numFmtId="165" fontId="18519" fillId="18529" borderId="18476" xfId="0" applyNumberFormat="1" applyFont="1" applyFill="1" applyBorder="1"/>
    <xf numFmtId="0" fontId="18520" fillId="18530" borderId="18477" xfId="0" applyFont="1" applyFill="1" applyBorder="1"/>
    <xf numFmtId="0" fontId="18521" fillId="18531" borderId="18478" xfId="0" applyFont="1" applyFill="1" applyBorder="1"/>
    <xf numFmtId="0" fontId="18522" fillId="18532" borderId="18479" xfId="0" applyFont="1" applyFill="1" applyBorder="1"/>
    <xf numFmtId="0" fontId="18523" fillId="18533" borderId="18480" xfId="0" applyFont="1" applyFill="1" applyBorder="1"/>
    <xf numFmtId="14" fontId="18524" fillId="18534" borderId="18481" xfId="0" applyNumberFormat="1" applyFont="1" applyFill="1" applyBorder="1"/>
    <xf numFmtId="0" fontId="18525" fillId="18535" borderId="18482" xfId="0" applyFont="1" applyFill="1" applyBorder="1"/>
    <xf numFmtId="0" fontId="18526" fillId="18536" borderId="18483" xfId="0" applyFont="1" applyFill="1" applyBorder="1"/>
    <xf numFmtId="0" fontId="18527" fillId="18537" borderId="18484" xfId="0" applyFont="1" applyFill="1" applyBorder="1"/>
    <xf numFmtId="4" fontId="18528" fillId="18538" borderId="18485" xfId="0" applyNumberFormat="1" applyFont="1" applyFill="1" applyBorder="1"/>
    <xf numFmtId="165" fontId="18529" fillId="18539" borderId="18486" xfId="0" applyNumberFormat="1" applyFont="1" applyFill="1" applyBorder="1"/>
    <xf numFmtId="165" fontId="18530" fillId="18540" borderId="18487" xfId="0" applyNumberFormat="1" applyFont="1" applyFill="1" applyBorder="1"/>
    <xf numFmtId="0" fontId="18531" fillId="18541" borderId="18488" xfId="0" applyFont="1" applyFill="1" applyBorder="1"/>
    <xf numFmtId="0" fontId="18532" fillId="18542" borderId="18489" xfId="0" applyFont="1" applyFill="1" applyBorder="1"/>
    <xf numFmtId="0" fontId="18533" fillId="18543" borderId="18490" xfId="0" applyFont="1" applyFill="1" applyBorder="1"/>
    <xf numFmtId="0" fontId="18534" fillId="18544" borderId="18491" xfId="0" applyFont="1" applyFill="1" applyBorder="1"/>
    <xf numFmtId="14" fontId="18535" fillId="18545" borderId="18492" xfId="0" applyNumberFormat="1" applyFont="1" applyFill="1" applyBorder="1"/>
    <xf numFmtId="0" fontId="18536" fillId="18546" borderId="18493" xfId="0" applyFont="1" applyFill="1" applyBorder="1"/>
    <xf numFmtId="0" fontId="18537" fillId="18547" borderId="18494" xfId="0" applyFont="1" applyFill="1" applyBorder="1"/>
    <xf numFmtId="0" fontId="18538" fillId="18548" borderId="18495" xfId="0" applyFont="1" applyFill="1" applyBorder="1"/>
    <xf numFmtId="4" fontId="18539" fillId="18549" borderId="18496" xfId="0" applyNumberFormat="1" applyFont="1" applyFill="1" applyBorder="1"/>
    <xf numFmtId="165" fontId="18540" fillId="18550" borderId="18497" xfId="0" applyNumberFormat="1" applyFont="1" applyFill="1" applyBorder="1"/>
    <xf numFmtId="165" fontId="18541" fillId="18551" borderId="18498" xfId="0" applyNumberFormat="1" applyFont="1" applyFill="1" applyBorder="1"/>
    <xf numFmtId="0" fontId="18542" fillId="18552" borderId="18499" xfId="0" applyFont="1" applyFill="1" applyBorder="1"/>
    <xf numFmtId="0" fontId="18543" fillId="18553" borderId="18500" xfId="0" applyFont="1" applyFill="1" applyBorder="1"/>
    <xf numFmtId="0" fontId="18544" fillId="18554" borderId="18501" xfId="0" applyFont="1" applyFill="1" applyBorder="1"/>
    <xf numFmtId="0" fontId="18545" fillId="18555" borderId="18502" xfId="0" applyFont="1" applyFill="1" applyBorder="1"/>
    <xf numFmtId="14" fontId="18546" fillId="18556" borderId="18503" xfId="0" applyNumberFormat="1" applyFont="1" applyFill="1" applyBorder="1"/>
    <xf numFmtId="0" fontId="18547" fillId="18557" borderId="18504" xfId="0" applyFont="1" applyFill="1" applyBorder="1"/>
    <xf numFmtId="0" fontId="18548" fillId="18558" borderId="18505" xfId="0" applyFont="1" applyFill="1" applyBorder="1"/>
    <xf numFmtId="0" fontId="18549" fillId="18559" borderId="18506" xfId="0" applyFont="1" applyFill="1" applyBorder="1"/>
    <xf numFmtId="4" fontId="18550" fillId="18560" borderId="18507" xfId="0" applyNumberFormat="1" applyFont="1" applyFill="1" applyBorder="1"/>
    <xf numFmtId="165" fontId="18551" fillId="18561" borderId="18508" xfId="0" applyNumberFormat="1" applyFont="1" applyFill="1" applyBorder="1"/>
    <xf numFmtId="165" fontId="18552" fillId="18562" borderId="18509" xfId="0" applyNumberFormat="1" applyFont="1" applyFill="1" applyBorder="1"/>
    <xf numFmtId="0" fontId="18553" fillId="18563" borderId="18510" xfId="0" applyFont="1" applyFill="1" applyBorder="1"/>
    <xf numFmtId="0" fontId="18554" fillId="18564" borderId="18511" xfId="0" applyFont="1" applyFill="1" applyBorder="1"/>
    <xf numFmtId="0" fontId="18555" fillId="18565" borderId="18512" xfId="0" applyFont="1" applyFill="1" applyBorder="1"/>
    <xf numFmtId="0" fontId="18556" fillId="18566" borderId="18513" xfId="0" applyFont="1" applyFill="1" applyBorder="1"/>
    <xf numFmtId="14" fontId="18557" fillId="18567" borderId="18514" xfId="0" applyNumberFormat="1" applyFont="1" applyFill="1" applyBorder="1"/>
    <xf numFmtId="0" fontId="18558" fillId="18568" borderId="18515" xfId="0" applyFont="1" applyFill="1" applyBorder="1"/>
    <xf numFmtId="0" fontId="18559" fillId="18569" borderId="18516" xfId="0" applyFont="1" applyFill="1" applyBorder="1"/>
    <xf numFmtId="0" fontId="18560" fillId="18570" borderId="18517" xfId="0" applyFont="1" applyFill="1" applyBorder="1"/>
    <xf numFmtId="4" fontId="18561" fillId="18571" borderId="18518" xfId="0" applyNumberFormat="1" applyFont="1" applyFill="1" applyBorder="1"/>
    <xf numFmtId="165" fontId="18562" fillId="18572" borderId="18519" xfId="0" applyNumberFormat="1" applyFont="1" applyFill="1" applyBorder="1"/>
    <xf numFmtId="165" fontId="18563" fillId="18573" borderId="18520" xfId="0" applyNumberFormat="1" applyFont="1" applyFill="1" applyBorder="1"/>
    <xf numFmtId="0" fontId="18564" fillId="18574" borderId="18521" xfId="0" applyFont="1" applyFill="1" applyBorder="1"/>
    <xf numFmtId="0" fontId="18565" fillId="18575" borderId="18522" xfId="0" applyFont="1" applyFill="1" applyBorder="1"/>
    <xf numFmtId="0" fontId="18566" fillId="18576" borderId="18523" xfId="0" applyFont="1" applyFill="1" applyBorder="1"/>
    <xf numFmtId="0" fontId="18567" fillId="18577" borderId="18524" xfId="0" applyFont="1" applyFill="1" applyBorder="1"/>
    <xf numFmtId="14" fontId="18568" fillId="18578" borderId="18525" xfId="0" applyNumberFormat="1" applyFont="1" applyFill="1" applyBorder="1"/>
    <xf numFmtId="0" fontId="18569" fillId="18579" borderId="18526" xfId="0" applyFont="1" applyFill="1" applyBorder="1"/>
    <xf numFmtId="0" fontId="18570" fillId="18580" borderId="18527" xfId="0" applyFont="1" applyFill="1" applyBorder="1"/>
    <xf numFmtId="0" fontId="18571" fillId="18581" borderId="18528" xfId="0" applyFont="1" applyFill="1" applyBorder="1"/>
    <xf numFmtId="4" fontId="18572" fillId="18582" borderId="18529" xfId="0" applyNumberFormat="1" applyFont="1" applyFill="1" applyBorder="1"/>
    <xf numFmtId="165" fontId="18573" fillId="18583" borderId="18530" xfId="0" applyNumberFormat="1" applyFont="1" applyFill="1" applyBorder="1"/>
    <xf numFmtId="165" fontId="18574" fillId="18584" borderId="18531" xfId="0" applyNumberFormat="1" applyFont="1" applyFill="1" applyBorder="1"/>
    <xf numFmtId="0" fontId="18575" fillId="18585" borderId="18532" xfId="0" applyFont="1" applyFill="1" applyBorder="1"/>
    <xf numFmtId="0" fontId="18576" fillId="18586" borderId="18533" xfId="0" applyFont="1" applyFill="1" applyBorder="1"/>
    <xf numFmtId="0" fontId="18577" fillId="18587" borderId="18534" xfId="0" applyFont="1" applyFill="1" applyBorder="1"/>
    <xf numFmtId="0" fontId="18578" fillId="18588" borderId="18535" xfId="0" applyFont="1" applyFill="1" applyBorder="1"/>
    <xf numFmtId="14" fontId="18579" fillId="18589" borderId="18536" xfId="0" applyNumberFormat="1" applyFont="1" applyFill="1" applyBorder="1"/>
    <xf numFmtId="0" fontId="18580" fillId="18590" borderId="18537" xfId="0" applyFont="1" applyFill="1" applyBorder="1"/>
    <xf numFmtId="0" fontId="18581" fillId="18591" borderId="18538" xfId="0" applyFont="1" applyFill="1" applyBorder="1"/>
    <xf numFmtId="0" fontId="18582" fillId="18592" borderId="18539" xfId="0" applyFont="1" applyFill="1" applyBorder="1"/>
    <xf numFmtId="4" fontId="18583" fillId="18593" borderId="18540" xfId="0" applyNumberFormat="1" applyFont="1" applyFill="1" applyBorder="1"/>
    <xf numFmtId="165" fontId="18584" fillId="18594" borderId="18541" xfId="0" applyNumberFormat="1" applyFont="1" applyFill="1" applyBorder="1"/>
    <xf numFmtId="165" fontId="18585" fillId="18595" borderId="18542" xfId="0" applyNumberFormat="1" applyFont="1" applyFill="1" applyBorder="1"/>
    <xf numFmtId="0" fontId="18586" fillId="18596" borderId="18543" xfId="0" applyFont="1" applyFill="1" applyBorder="1"/>
    <xf numFmtId="0" fontId="18587" fillId="18597" borderId="18544" xfId="0" applyFont="1" applyFill="1" applyBorder="1"/>
    <xf numFmtId="0" fontId="18588" fillId="18598" borderId="18545" xfId="0" applyFont="1" applyFill="1" applyBorder="1"/>
    <xf numFmtId="0" fontId="18589" fillId="18599" borderId="18546" xfId="0" applyFont="1" applyFill="1" applyBorder="1"/>
    <xf numFmtId="14" fontId="18590" fillId="18600" borderId="18547" xfId="0" applyNumberFormat="1" applyFont="1" applyFill="1" applyBorder="1"/>
    <xf numFmtId="0" fontId="18591" fillId="18601" borderId="18548" xfId="0" applyFont="1" applyFill="1" applyBorder="1"/>
    <xf numFmtId="0" fontId="18592" fillId="18602" borderId="18549" xfId="0" applyFont="1" applyFill="1" applyBorder="1"/>
    <xf numFmtId="0" fontId="18593" fillId="18603" borderId="18550" xfId="0" applyFont="1" applyFill="1" applyBorder="1"/>
    <xf numFmtId="4" fontId="18594" fillId="18604" borderId="18551" xfId="0" applyNumberFormat="1" applyFont="1" applyFill="1" applyBorder="1"/>
    <xf numFmtId="165" fontId="18595" fillId="18605" borderId="18552" xfId="0" applyNumberFormat="1" applyFont="1" applyFill="1" applyBorder="1"/>
    <xf numFmtId="165" fontId="18596" fillId="18606" borderId="18553" xfId="0" applyNumberFormat="1" applyFont="1" applyFill="1" applyBorder="1"/>
    <xf numFmtId="0" fontId="18597" fillId="18607" borderId="18554" xfId="0" applyFont="1" applyFill="1" applyBorder="1"/>
    <xf numFmtId="0" fontId="18598" fillId="18608" borderId="18555" xfId="0" applyFont="1" applyFill="1" applyBorder="1"/>
    <xf numFmtId="0" fontId="18599" fillId="18609" borderId="18556" xfId="0" applyFont="1" applyFill="1" applyBorder="1"/>
    <xf numFmtId="0" fontId="18600" fillId="18610" borderId="18557" xfId="0" applyFont="1" applyFill="1" applyBorder="1"/>
    <xf numFmtId="14" fontId="18601" fillId="18611" borderId="18558" xfId="0" applyNumberFormat="1" applyFont="1" applyFill="1" applyBorder="1"/>
    <xf numFmtId="0" fontId="18602" fillId="18612" borderId="18559" xfId="0" applyFont="1" applyFill="1" applyBorder="1"/>
    <xf numFmtId="0" fontId="18603" fillId="18613" borderId="18560" xfId="0" applyFont="1" applyFill="1" applyBorder="1"/>
    <xf numFmtId="0" fontId="18604" fillId="18614" borderId="18561" xfId="0" applyFont="1" applyFill="1" applyBorder="1"/>
    <xf numFmtId="4" fontId="18605" fillId="18615" borderId="18562" xfId="0" applyNumberFormat="1" applyFont="1" applyFill="1" applyBorder="1"/>
    <xf numFmtId="165" fontId="18606" fillId="18616" borderId="18563" xfId="0" applyNumberFormat="1" applyFont="1" applyFill="1" applyBorder="1"/>
    <xf numFmtId="165" fontId="18607" fillId="18617" borderId="18564" xfId="0" applyNumberFormat="1" applyFont="1" applyFill="1" applyBorder="1"/>
    <xf numFmtId="0" fontId="18608" fillId="18618" borderId="18565" xfId="0" applyFont="1" applyFill="1" applyBorder="1"/>
    <xf numFmtId="0" fontId="18609" fillId="18619" borderId="18566" xfId="0" applyFont="1" applyFill="1" applyBorder="1"/>
    <xf numFmtId="0" fontId="18610" fillId="18620" borderId="18567" xfId="0" applyFont="1" applyFill="1" applyBorder="1"/>
    <xf numFmtId="0" fontId="18611" fillId="18621" borderId="18568" xfId="0" applyFont="1" applyFill="1" applyBorder="1"/>
    <xf numFmtId="14" fontId="18612" fillId="18622" borderId="18569" xfId="0" applyNumberFormat="1" applyFont="1" applyFill="1" applyBorder="1"/>
    <xf numFmtId="0" fontId="18613" fillId="18623" borderId="18570" xfId="0" applyFont="1" applyFill="1" applyBorder="1"/>
    <xf numFmtId="0" fontId="18614" fillId="18624" borderId="18571" xfId="0" applyFont="1" applyFill="1" applyBorder="1"/>
    <xf numFmtId="0" fontId="18615" fillId="18625" borderId="18572" xfId="0" applyFont="1" applyFill="1" applyBorder="1"/>
    <xf numFmtId="4" fontId="18616" fillId="18626" borderId="18573" xfId="0" applyNumberFormat="1" applyFont="1" applyFill="1" applyBorder="1"/>
    <xf numFmtId="165" fontId="18617" fillId="18627" borderId="18574" xfId="0" applyNumberFormat="1" applyFont="1" applyFill="1" applyBorder="1"/>
    <xf numFmtId="165" fontId="18618" fillId="18628" borderId="18575" xfId="0" applyNumberFormat="1" applyFont="1" applyFill="1" applyBorder="1"/>
    <xf numFmtId="0" fontId="18619" fillId="18629" borderId="18576" xfId="0" applyFont="1" applyFill="1" applyBorder="1"/>
    <xf numFmtId="0" fontId="18620" fillId="18630" borderId="18577" xfId="0" applyFont="1" applyFill="1" applyBorder="1"/>
    <xf numFmtId="0" fontId="18621" fillId="18631" borderId="18578" xfId="0" applyFont="1" applyFill="1" applyBorder="1"/>
    <xf numFmtId="0" fontId="18622" fillId="18632" borderId="18579" xfId="0" applyFont="1" applyFill="1" applyBorder="1"/>
    <xf numFmtId="14" fontId="18623" fillId="18633" borderId="18580" xfId="0" applyNumberFormat="1" applyFont="1" applyFill="1" applyBorder="1"/>
    <xf numFmtId="0" fontId="18624" fillId="18634" borderId="18581" xfId="0" applyFont="1" applyFill="1" applyBorder="1"/>
    <xf numFmtId="0" fontId="18625" fillId="18635" borderId="18582" xfId="0" applyFont="1" applyFill="1" applyBorder="1"/>
    <xf numFmtId="0" fontId="18626" fillId="18636" borderId="18583" xfId="0" applyFont="1" applyFill="1" applyBorder="1"/>
    <xf numFmtId="4" fontId="18627" fillId="18637" borderId="18584" xfId="0" applyNumberFormat="1" applyFont="1" applyFill="1" applyBorder="1"/>
    <xf numFmtId="165" fontId="18628" fillId="18638" borderId="18585" xfId="0" applyNumberFormat="1" applyFont="1" applyFill="1" applyBorder="1"/>
    <xf numFmtId="165" fontId="18629" fillId="18639" borderId="18586" xfId="0" applyNumberFormat="1" applyFont="1" applyFill="1" applyBorder="1"/>
    <xf numFmtId="0" fontId="18630" fillId="18640" borderId="18587" xfId="0" applyFont="1" applyFill="1" applyBorder="1"/>
    <xf numFmtId="0" fontId="18631" fillId="18641" borderId="18588" xfId="0" applyFont="1" applyFill="1" applyBorder="1"/>
    <xf numFmtId="0" fontId="18632" fillId="18642" borderId="18589" xfId="0" applyFont="1" applyFill="1" applyBorder="1"/>
    <xf numFmtId="0" fontId="18633" fillId="18643" borderId="18590" xfId="0" applyFont="1" applyFill="1" applyBorder="1"/>
    <xf numFmtId="14" fontId="18634" fillId="18644" borderId="18591" xfId="0" applyNumberFormat="1" applyFont="1" applyFill="1" applyBorder="1"/>
    <xf numFmtId="0" fontId="18635" fillId="18645" borderId="18592" xfId="0" applyFont="1" applyFill="1" applyBorder="1"/>
    <xf numFmtId="0" fontId="18636" fillId="18646" borderId="18593" xfId="0" applyFont="1" applyFill="1" applyBorder="1"/>
    <xf numFmtId="0" fontId="18637" fillId="18647" borderId="18594" xfId="0" applyFont="1" applyFill="1" applyBorder="1"/>
    <xf numFmtId="4" fontId="18638" fillId="18648" borderId="18595" xfId="0" applyNumberFormat="1" applyFont="1" applyFill="1" applyBorder="1"/>
    <xf numFmtId="165" fontId="18639" fillId="18649" borderId="18596" xfId="0" applyNumberFormat="1" applyFont="1" applyFill="1" applyBorder="1"/>
    <xf numFmtId="165" fontId="18640" fillId="18650" borderId="18597" xfId="0" applyNumberFormat="1" applyFont="1" applyFill="1" applyBorder="1"/>
    <xf numFmtId="0" fontId="18641" fillId="18651" borderId="18598" xfId="0" applyFont="1" applyFill="1" applyBorder="1"/>
    <xf numFmtId="0" fontId="18642" fillId="18652" borderId="18599" xfId="0" applyFont="1" applyFill="1" applyBorder="1"/>
    <xf numFmtId="0" fontId="18643" fillId="18653" borderId="18600" xfId="0" applyFont="1" applyFill="1" applyBorder="1"/>
    <xf numFmtId="0" fontId="18644" fillId="18654" borderId="18601" xfId="0" applyFont="1" applyFill="1" applyBorder="1"/>
    <xf numFmtId="14" fontId="18645" fillId="18655" borderId="18602" xfId="0" applyNumberFormat="1" applyFont="1" applyFill="1" applyBorder="1"/>
    <xf numFmtId="0" fontId="18646" fillId="18656" borderId="18603" xfId="0" applyFont="1" applyFill="1" applyBorder="1"/>
    <xf numFmtId="0" fontId="18647" fillId="18657" borderId="18604" xfId="0" applyFont="1" applyFill="1" applyBorder="1"/>
    <xf numFmtId="0" fontId="18648" fillId="18658" borderId="18605" xfId="0" applyFont="1" applyFill="1" applyBorder="1"/>
    <xf numFmtId="4" fontId="18649" fillId="18659" borderId="18606" xfId="0" applyNumberFormat="1" applyFont="1" applyFill="1" applyBorder="1"/>
    <xf numFmtId="165" fontId="18650" fillId="18660" borderId="18607" xfId="0" applyNumberFormat="1" applyFont="1" applyFill="1" applyBorder="1"/>
    <xf numFmtId="165" fontId="18651" fillId="18661" borderId="18608" xfId="0" applyNumberFormat="1" applyFont="1" applyFill="1" applyBorder="1"/>
    <xf numFmtId="0" fontId="18652" fillId="18662" borderId="18609" xfId="0" applyFont="1" applyFill="1" applyBorder="1"/>
    <xf numFmtId="0" fontId="18653" fillId="18663" borderId="18610" xfId="0" applyFont="1" applyFill="1" applyBorder="1"/>
    <xf numFmtId="0" fontId="18654" fillId="18664" borderId="18611" xfId="0" applyFont="1" applyFill="1" applyBorder="1"/>
    <xf numFmtId="0" fontId="18655" fillId="18665" borderId="18612" xfId="0" applyFont="1" applyFill="1" applyBorder="1"/>
    <xf numFmtId="14" fontId="18656" fillId="18666" borderId="18613" xfId="0" applyNumberFormat="1" applyFont="1" applyFill="1" applyBorder="1"/>
    <xf numFmtId="0" fontId="18657" fillId="18667" borderId="18614" xfId="0" applyFont="1" applyFill="1" applyBorder="1"/>
    <xf numFmtId="0" fontId="18658" fillId="18668" borderId="18615" xfId="0" applyFont="1" applyFill="1" applyBorder="1"/>
    <xf numFmtId="0" fontId="18659" fillId="18669" borderId="18616" xfId="0" applyFont="1" applyFill="1" applyBorder="1"/>
    <xf numFmtId="4" fontId="18660" fillId="18670" borderId="18617" xfId="0" applyNumberFormat="1" applyFont="1" applyFill="1" applyBorder="1"/>
    <xf numFmtId="165" fontId="18661" fillId="18671" borderId="18618" xfId="0" applyNumberFormat="1" applyFont="1" applyFill="1" applyBorder="1"/>
    <xf numFmtId="165" fontId="18662" fillId="18672" borderId="18619" xfId="0" applyNumberFormat="1" applyFont="1" applyFill="1" applyBorder="1"/>
    <xf numFmtId="0" fontId="18663" fillId="18673" borderId="18620" xfId="0" applyFont="1" applyFill="1" applyBorder="1"/>
    <xf numFmtId="0" fontId="18664" fillId="18674" borderId="18621" xfId="0" applyFont="1" applyFill="1" applyBorder="1"/>
    <xf numFmtId="0" fontId="18665" fillId="18675" borderId="18622" xfId="0" applyFont="1" applyFill="1" applyBorder="1"/>
    <xf numFmtId="0" fontId="18666" fillId="18676" borderId="18623" xfId="0" applyFont="1" applyFill="1" applyBorder="1"/>
    <xf numFmtId="14" fontId="18667" fillId="18677" borderId="18624" xfId="0" applyNumberFormat="1" applyFont="1" applyFill="1" applyBorder="1"/>
    <xf numFmtId="0" fontId="18668" fillId="18678" borderId="18625" xfId="0" applyFont="1" applyFill="1" applyBorder="1"/>
    <xf numFmtId="0" fontId="18669" fillId="18679" borderId="18626" xfId="0" applyFont="1" applyFill="1" applyBorder="1"/>
    <xf numFmtId="0" fontId="18670" fillId="18680" borderId="18627" xfId="0" applyFont="1" applyFill="1" applyBorder="1"/>
    <xf numFmtId="4" fontId="18671" fillId="18681" borderId="18628" xfId="0" applyNumberFormat="1" applyFont="1" applyFill="1" applyBorder="1"/>
    <xf numFmtId="165" fontId="18672" fillId="18682" borderId="18629" xfId="0" applyNumberFormat="1" applyFont="1" applyFill="1" applyBorder="1"/>
    <xf numFmtId="165" fontId="18673" fillId="18683" borderId="18630" xfId="0" applyNumberFormat="1" applyFont="1" applyFill="1" applyBorder="1"/>
    <xf numFmtId="0" fontId="18674" fillId="18684" borderId="18631" xfId="0" applyFont="1" applyFill="1" applyBorder="1"/>
    <xf numFmtId="0" fontId="18675" fillId="18685" borderId="18632" xfId="0" applyFont="1" applyFill="1" applyBorder="1"/>
    <xf numFmtId="0" fontId="18676" fillId="18686" borderId="18633" xfId="0" applyFont="1" applyFill="1" applyBorder="1"/>
    <xf numFmtId="0" fontId="18677" fillId="18687" borderId="18634" xfId="0" applyFont="1" applyFill="1" applyBorder="1"/>
    <xf numFmtId="14" fontId="18678" fillId="18688" borderId="18635" xfId="0" applyNumberFormat="1" applyFont="1" applyFill="1" applyBorder="1"/>
    <xf numFmtId="0" fontId="18679" fillId="18689" borderId="18636" xfId="0" applyFont="1" applyFill="1" applyBorder="1"/>
    <xf numFmtId="0" fontId="18680" fillId="18690" borderId="18637" xfId="0" applyFont="1" applyFill="1" applyBorder="1"/>
    <xf numFmtId="0" fontId="18681" fillId="18691" borderId="18638" xfId="0" applyFont="1" applyFill="1" applyBorder="1"/>
    <xf numFmtId="4" fontId="18682" fillId="18692" borderId="18639" xfId="0" applyNumberFormat="1" applyFont="1" applyFill="1" applyBorder="1"/>
    <xf numFmtId="165" fontId="18683" fillId="18693" borderId="18640" xfId="0" applyNumberFormat="1" applyFont="1" applyFill="1" applyBorder="1"/>
    <xf numFmtId="165" fontId="18684" fillId="18694" borderId="18641" xfId="0" applyNumberFormat="1" applyFont="1" applyFill="1" applyBorder="1"/>
    <xf numFmtId="0" fontId="18685" fillId="18695" borderId="18642" xfId="0" applyFont="1" applyFill="1" applyBorder="1"/>
    <xf numFmtId="0" fontId="18686" fillId="18696" borderId="18643" xfId="0" applyFont="1" applyFill="1" applyBorder="1"/>
    <xf numFmtId="0" fontId="18687" fillId="18697" borderId="18644" xfId="0" applyFont="1" applyFill="1" applyBorder="1"/>
    <xf numFmtId="0" fontId="18688" fillId="18698" borderId="18645" xfId="0" applyFont="1" applyFill="1" applyBorder="1"/>
    <xf numFmtId="14" fontId="18689" fillId="18699" borderId="18646" xfId="0" applyNumberFormat="1" applyFont="1" applyFill="1" applyBorder="1"/>
    <xf numFmtId="0" fontId="18690" fillId="18700" borderId="18647" xfId="0" applyFont="1" applyFill="1" applyBorder="1"/>
    <xf numFmtId="0" fontId="18691" fillId="18701" borderId="18648" xfId="0" applyFont="1" applyFill="1" applyBorder="1"/>
    <xf numFmtId="0" fontId="18692" fillId="18702" borderId="18649" xfId="0" applyFont="1" applyFill="1" applyBorder="1"/>
    <xf numFmtId="4" fontId="18693" fillId="18703" borderId="18650" xfId="0" applyNumberFormat="1" applyFont="1" applyFill="1" applyBorder="1"/>
    <xf numFmtId="165" fontId="18694" fillId="18704" borderId="18651" xfId="0" applyNumberFormat="1" applyFont="1" applyFill="1" applyBorder="1"/>
    <xf numFmtId="165" fontId="18695" fillId="18705" borderId="18652" xfId="0" applyNumberFormat="1" applyFont="1" applyFill="1" applyBorder="1"/>
    <xf numFmtId="0" fontId="18696" fillId="18706" borderId="18653" xfId="0" applyFont="1" applyFill="1" applyBorder="1"/>
    <xf numFmtId="0" fontId="18697" fillId="18707" borderId="18654" xfId="0" applyFont="1" applyFill="1" applyBorder="1"/>
    <xf numFmtId="0" fontId="18698" fillId="18708" borderId="18655" xfId="0" applyFont="1" applyFill="1" applyBorder="1"/>
    <xf numFmtId="0" fontId="18699" fillId="18709" borderId="18656" xfId="0" applyFont="1" applyFill="1" applyBorder="1"/>
    <xf numFmtId="14" fontId="18700" fillId="18710" borderId="18657" xfId="0" applyNumberFormat="1" applyFont="1" applyFill="1" applyBorder="1"/>
    <xf numFmtId="0" fontId="18701" fillId="18711" borderId="18658" xfId="0" applyFont="1" applyFill="1" applyBorder="1"/>
    <xf numFmtId="0" fontId="18702" fillId="18712" borderId="18659" xfId="0" applyFont="1" applyFill="1" applyBorder="1"/>
    <xf numFmtId="0" fontId="18703" fillId="18713" borderId="18660" xfId="0" applyFont="1" applyFill="1" applyBorder="1"/>
    <xf numFmtId="4" fontId="18704" fillId="18714" borderId="18661" xfId="0" applyNumberFormat="1" applyFont="1" applyFill="1" applyBorder="1"/>
    <xf numFmtId="165" fontId="18705" fillId="18715" borderId="18662" xfId="0" applyNumberFormat="1" applyFont="1" applyFill="1" applyBorder="1"/>
    <xf numFmtId="165" fontId="18706" fillId="18716" borderId="18663" xfId="0" applyNumberFormat="1" applyFont="1" applyFill="1" applyBorder="1"/>
    <xf numFmtId="0" fontId="18707" fillId="18717" borderId="18664" xfId="0" applyFont="1" applyFill="1" applyBorder="1"/>
    <xf numFmtId="0" fontId="18708" fillId="18718" borderId="18665" xfId="0" applyFont="1" applyFill="1" applyBorder="1"/>
    <xf numFmtId="0" fontId="18709" fillId="18719" borderId="18666" xfId="0" applyFont="1" applyFill="1" applyBorder="1"/>
    <xf numFmtId="0" fontId="18710" fillId="18720" borderId="18667" xfId="0" applyFont="1" applyFill="1" applyBorder="1"/>
    <xf numFmtId="14" fontId="18711" fillId="18721" borderId="18668" xfId="0" applyNumberFormat="1" applyFont="1" applyFill="1" applyBorder="1"/>
    <xf numFmtId="0" fontId="18712" fillId="18722" borderId="18669" xfId="0" applyFont="1" applyFill="1" applyBorder="1"/>
    <xf numFmtId="0" fontId="18713" fillId="18723" borderId="18670" xfId="0" applyFont="1" applyFill="1" applyBorder="1"/>
    <xf numFmtId="0" fontId="18714" fillId="18724" borderId="18671" xfId="0" applyFont="1" applyFill="1" applyBorder="1"/>
    <xf numFmtId="4" fontId="18715" fillId="18725" borderId="18672" xfId="0" applyNumberFormat="1" applyFont="1" applyFill="1" applyBorder="1"/>
    <xf numFmtId="165" fontId="18716" fillId="18726" borderId="18673" xfId="0" applyNumberFormat="1" applyFont="1" applyFill="1" applyBorder="1"/>
    <xf numFmtId="165" fontId="18717" fillId="18727" borderId="18674" xfId="0" applyNumberFormat="1" applyFont="1" applyFill="1" applyBorder="1"/>
    <xf numFmtId="0" fontId="18718" fillId="18728" borderId="18675" xfId="0" applyFont="1" applyFill="1" applyBorder="1"/>
    <xf numFmtId="0" fontId="18719" fillId="18729" borderId="18676" xfId="0" applyFont="1" applyFill="1" applyBorder="1"/>
    <xf numFmtId="0" fontId="18720" fillId="18730" borderId="18677" xfId="0" applyFont="1" applyFill="1" applyBorder="1"/>
    <xf numFmtId="0" fontId="18721" fillId="18731" borderId="18678" xfId="0" applyFont="1" applyFill="1" applyBorder="1"/>
    <xf numFmtId="14" fontId="18722" fillId="18732" borderId="18679" xfId="0" applyNumberFormat="1" applyFont="1" applyFill="1" applyBorder="1"/>
    <xf numFmtId="0" fontId="18723" fillId="18733" borderId="18680" xfId="0" applyFont="1" applyFill="1" applyBorder="1"/>
    <xf numFmtId="0" fontId="18724" fillId="18734" borderId="18681" xfId="0" applyFont="1" applyFill="1" applyBorder="1"/>
    <xf numFmtId="0" fontId="18725" fillId="18735" borderId="18682" xfId="0" applyFont="1" applyFill="1" applyBorder="1"/>
    <xf numFmtId="4" fontId="18726" fillId="18736" borderId="18683" xfId="0" applyNumberFormat="1" applyFont="1" applyFill="1" applyBorder="1"/>
    <xf numFmtId="165" fontId="18727" fillId="18737" borderId="18684" xfId="0" applyNumberFormat="1" applyFont="1" applyFill="1" applyBorder="1"/>
    <xf numFmtId="165" fontId="18728" fillId="18738" borderId="18685" xfId="0" applyNumberFormat="1" applyFont="1" applyFill="1" applyBorder="1"/>
    <xf numFmtId="0" fontId="18729" fillId="18739" borderId="18686" xfId="0" applyFont="1" applyFill="1" applyBorder="1"/>
    <xf numFmtId="0" fontId="18730" fillId="18740" borderId="18687" xfId="0" applyFont="1" applyFill="1" applyBorder="1"/>
    <xf numFmtId="0" fontId="18731" fillId="18741" borderId="18688" xfId="0" applyFont="1" applyFill="1" applyBorder="1"/>
    <xf numFmtId="0" fontId="18732" fillId="18742" borderId="18689" xfId="0" applyFont="1" applyFill="1" applyBorder="1"/>
    <xf numFmtId="14" fontId="18733" fillId="18743" borderId="18690" xfId="0" applyNumberFormat="1" applyFont="1" applyFill="1" applyBorder="1"/>
    <xf numFmtId="0" fontId="18734" fillId="18744" borderId="18691" xfId="0" applyFont="1" applyFill="1" applyBorder="1"/>
    <xf numFmtId="0" fontId="18735" fillId="18745" borderId="18692" xfId="0" applyFont="1" applyFill="1" applyBorder="1"/>
    <xf numFmtId="0" fontId="18736" fillId="18746" borderId="18693" xfId="0" applyFont="1" applyFill="1" applyBorder="1"/>
    <xf numFmtId="4" fontId="18737" fillId="18747" borderId="18694" xfId="0" applyNumberFormat="1" applyFont="1" applyFill="1" applyBorder="1"/>
    <xf numFmtId="165" fontId="18738" fillId="18748" borderId="18695" xfId="0" applyNumberFormat="1" applyFont="1" applyFill="1" applyBorder="1"/>
    <xf numFmtId="165" fontId="18739" fillId="18749" borderId="18696" xfId="0" applyNumberFormat="1" applyFont="1" applyFill="1" applyBorder="1"/>
    <xf numFmtId="0" fontId="18740" fillId="18750" borderId="18697" xfId="0" applyFont="1" applyFill="1" applyBorder="1"/>
    <xf numFmtId="0" fontId="18741" fillId="18751" borderId="18698" xfId="0" applyFont="1" applyFill="1" applyBorder="1"/>
    <xf numFmtId="0" fontId="18742" fillId="18752" borderId="18699" xfId="0" applyFont="1" applyFill="1" applyBorder="1"/>
    <xf numFmtId="0" fontId="18743" fillId="18753" borderId="18700" xfId="0" applyFont="1" applyFill="1" applyBorder="1"/>
    <xf numFmtId="14" fontId="18744" fillId="18754" borderId="18701" xfId="0" applyNumberFormat="1" applyFont="1" applyFill="1" applyBorder="1"/>
    <xf numFmtId="0" fontId="18745" fillId="18755" borderId="18702" xfId="0" applyFont="1" applyFill="1" applyBorder="1"/>
    <xf numFmtId="0" fontId="18746" fillId="18756" borderId="18703" xfId="0" applyFont="1" applyFill="1" applyBorder="1"/>
    <xf numFmtId="0" fontId="18747" fillId="18757" borderId="18704" xfId="0" applyFont="1" applyFill="1" applyBorder="1"/>
    <xf numFmtId="4" fontId="18748" fillId="18758" borderId="18705" xfId="0" applyNumberFormat="1" applyFont="1" applyFill="1" applyBorder="1"/>
    <xf numFmtId="165" fontId="18749" fillId="18759" borderId="18706" xfId="0" applyNumberFormat="1" applyFont="1" applyFill="1" applyBorder="1"/>
    <xf numFmtId="165" fontId="18750" fillId="18760" borderId="18707" xfId="0" applyNumberFormat="1" applyFont="1" applyFill="1" applyBorder="1"/>
    <xf numFmtId="0" fontId="18751" fillId="18761" borderId="18708" xfId="0" applyFont="1" applyFill="1" applyBorder="1"/>
    <xf numFmtId="0" fontId="18752" fillId="18762" borderId="18709" xfId="0" applyFont="1" applyFill="1" applyBorder="1"/>
    <xf numFmtId="0" fontId="18753" fillId="18763" borderId="18710" xfId="0" applyFont="1" applyFill="1" applyBorder="1"/>
    <xf numFmtId="0" fontId="18754" fillId="18764" borderId="18711" xfId="0" applyFont="1" applyFill="1" applyBorder="1"/>
    <xf numFmtId="14" fontId="18755" fillId="18765" borderId="18712" xfId="0" applyNumberFormat="1" applyFont="1" applyFill="1" applyBorder="1"/>
    <xf numFmtId="0" fontId="18756" fillId="18766" borderId="18713" xfId="0" applyFont="1" applyFill="1" applyBorder="1"/>
    <xf numFmtId="0" fontId="18757" fillId="18767" borderId="18714" xfId="0" applyFont="1" applyFill="1" applyBorder="1"/>
    <xf numFmtId="0" fontId="18758" fillId="18768" borderId="18715" xfId="0" applyFont="1" applyFill="1" applyBorder="1"/>
    <xf numFmtId="4" fontId="18759" fillId="18769" borderId="18716" xfId="0" applyNumberFormat="1" applyFont="1" applyFill="1" applyBorder="1"/>
    <xf numFmtId="165" fontId="18760" fillId="18770" borderId="18717" xfId="0" applyNumberFormat="1" applyFont="1" applyFill="1" applyBorder="1"/>
    <xf numFmtId="165" fontId="18761" fillId="18771" borderId="18718" xfId="0" applyNumberFormat="1" applyFont="1" applyFill="1" applyBorder="1"/>
    <xf numFmtId="0" fontId="18762" fillId="18772" borderId="18719" xfId="0" applyFont="1" applyFill="1" applyBorder="1"/>
    <xf numFmtId="0" fontId="18763" fillId="18773" borderId="18720" xfId="0" applyFont="1" applyFill="1" applyBorder="1"/>
    <xf numFmtId="0" fontId="18764" fillId="18774" borderId="18721" xfId="0" applyFont="1" applyFill="1" applyBorder="1"/>
    <xf numFmtId="0" fontId="18765" fillId="18775" borderId="18722" xfId="0" applyFont="1" applyFill="1" applyBorder="1"/>
    <xf numFmtId="14" fontId="18766" fillId="18776" borderId="18723" xfId="0" applyNumberFormat="1" applyFont="1" applyFill="1" applyBorder="1"/>
    <xf numFmtId="0" fontId="18767" fillId="18777" borderId="18724" xfId="0" applyFont="1" applyFill="1" applyBorder="1"/>
    <xf numFmtId="0" fontId="18768" fillId="18778" borderId="18725" xfId="0" applyFont="1" applyFill="1" applyBorder="1"/>
    <xf numFmtId="0" fontId="18769" fillId="18779" borderId="18726" xfId="0" applyFont="1" applyFill="1" applyBorder="1"/>
    <xf numFmtId="4" fontId="18770" fillId="18780" borderId="18727" xfId="0" applyNumberFormat="1" applyFont="1" applyFill="1" applyBorder="1"/>
    <xf numFmtId="165" fontId="18771" fillId="18781" borderId="18728" xfId="0" applyNumberFormat="1" applyFont="1" applyFill="1" applyBorder="1"/>
    <xf numFmtId="165" fontId="18772" fillId="18782" borderId="18729" xfId="0" applyNumberFormat="1" applyFont="1" applyFill="1" applyBorder="1"/>
    <xf numFmtId="0" fontId="18773" fillId="18783" borderId="18730" xfId="0" applyFont="1" applyFill="1" applyBorder="1"/>
    <xf numFmtId="0" fontId="18774" fillId="18784" borderId="18731" xfId="0" applyFont="1" applyFill="1" applyBorder="1"/>
    <xf numFmtId="0" fontId="18775" fillId="18785" borderId="18732" xfId="0" applyFont="1" applyFill="1" applyBorder="1"/>
    <xf numFmtId="0" fontId="18776" fillId="18786" borderId="18733" xfId="0" applyFont="1" applyFill="1" applyBorder="1"/>
    <xf numFmtId="14" fontId="18777" fillId="18787" borderId="18734" xfId="0" applyNumberFormat="1" applyFont="1" applyFill="1" applyBorder="1"/>
    <xf numFmtId="0" fontId="18778" fillId="18788" borderId="18735" xfId="0" applyFont="1" applyFill="1" applyBorder="1"/>
    <xf numFmtId="0" fontId="18779" fillId="18789" borderId="18736" xfId="0" applyFont="1" applyFill="1" applyBorder="1"/>
    <xf numFmtId="0" fontId="18780" fillId="18790" borderId="18737" xfId="0" applyFont="1" applyFill="1" applyBorder="1"/>
    <xf numFmtId="4" fontId="18781" fillId="18791" borderId="18738" xfId="0" applyNumberFormat="1" applyFont="1" applyFill="1" applyBorder="1"/>
    <xf numFmtId="165" fontId="18782" fillId="18792" borderId="18739" xfId="0" applyNumberFormat="1" applyFont="1" applyFill="1" applyBorder="1"/>
    <xf numFmtId="165" fontId="18783" fillId="18793" borderId="18740" xfId="0" applyNumberFormat="1" applyFont="1" applyFill="1" applyBorder="1"/>
    <xf numFmtId="0" fontId="18784" fillId="18794" borderId="18741" xfId="0" applyFont="1" applyFill="1" applyBorder="1"/>
    <xf numFmtId="0" fontId="18785" fillId="18795" borderId="18742" xfId="0" applyFont="1" applyFill="1" applyBorder="1"/>
    <xf numFmtId="0" fontId="18786" fillId="18796" borderId="18743" xfId="0" applyFont="1" applyFill="1" applyBorder="1"/>
    <xf numFmtId="0" fontId="18787" fillId="18797" borderId="18744" xfId="0" applyFont="1" applyFill="1" applyBorder="1"/>
    <xf numFmtId="14" fontId="18788" fillId="18798" borderId="18745" xfId="0" applyNumberFormat="1" applyFont="1" applyFill="1" applyBorder="1"/>
    <xf numFmtId="0" fontId="18789" fillId="18799" borderId="18746" xfId="0" applyFont="1" applyFill="1" applyBorder="1"/>
    <xf numFmtId="0" fontId="18790" fillId="18800" borderId="18747" xfId="0" applyFont="1" applyFill="1" applyBorder="1"/>
    <xf numFmtId="0" fontId="18791" fillId="18801" borderId="18748" xfId="0" applyFont="1" applyFill="1" applyBorder="1"/>
    <xf numFmtId="4" fontId="18792" fillId="18802" borderId="18749" xfId="0" applyNumberFormat="1" applyFont="1" applyFill="1" applyBorder="1"/>
    <xf numFmtId="165" fontId="18793" fillId="18803" borderId="18750" xfId="0" applyNumberFormat="1" applyFont="1" applyFill="1" applyBorder="1"/>
    <xf numFmtId="165" fontId="18794" fillId="18804" borderId="18751" xfId="0" applyNumberFormat="1" applyFont="1" applyFill="1" applyBorder="1"/>
    <xf numFmtId="0" fontId="18795" fillId="18805" borderId="18752" xfId="0" applyFont="1" applyFill="1" applyBorder="1"/>
    <xf numFmtId="0" fontId="18796" fillId="18806" borderId="18753" xfId="0" applyFont="1" applyFill="1" applyBorder="1"/>
    <xf numFmtId="0" fontId="18797" fillId="18807" borderId="18754" xfId="0" applyFont="1" applyFill="1" applyBorder="1"/>
    <xf numFmtId="0" fontId="18798" fillId="18808" borderId="18755" xfId="0" applyFont="1" applyFill="1" applyBorder="1"/>
    <xf numFmtId="14" fontId="18799" fillId="18809" borderId="18756" xfId="0" applyNumberFormat="1" applyFont="1" applyFill="1" applyBorder="1"/>
    <xf numFmtId="0" fontId="18800" fillId="18810" borderId="18757" xfId="0" applyFont="1" applyFill="1" applyBorder="1"/>
    <xf numFmtId="0" fontId="18801" fillId="18811" borderId="18758" xfId="0" applyFont="1" applyFill="1" applyBorder="1"/>
    <xf numFmtId="0" fontId="18802" fillId="18812" borderId="18759" xfId="0" applyFont="1" applyFill="1" applyBorder="1"/>
    <xf numFmtId="4" fontId="18803" fillId="18813" borderId="18760" xfId="0" applyNumberFormat="1" applyFont="1" applyFill="1" applyBorder="1"/>
    <xf numFmtId="165" fontId="18804" fillId="18814" borderId="18761" xfId="0" applyNumberFormat="1" applyFont="1" applyFill="1" applyBorder="1"/>
    <xf numFmtId="165" fontId="18805" fillId="18815" borderId="18762" xfId="0" applyNumberFormat="1" applyFont="1" applyFill="1" applyBorder="1"/>
    <xf numFmtId="0" fontId="18806" fillId="18816" borderId="18763" xfId="0" applyFont="1" applyFill="1" applyBorder="1"/>
    <xf numFmtId="0" fontId="18807" fillId="18817" borderId="18764" xfId="0" applyFont="1" applyFill="1" applyBorder="1"/>
    <xf numFmtId="0" fontId="18808" fillId="18818" borderId="18765" xfId="0" applyFont="1" applyFill="1" applyBorder="1"/>
    <xf numFmtId="0" fontId="18809" fillId="18819" borderId="18766" xfId="0" applyFont="1" applyFill="1" applyBorder="1"/>
    <xf numFmtId="14" fontId="18810" fillId="18820" borderId="18767" xfId="0" applyNumberFormat="1" applyFont="1" applyFill="1" applyBorder="1"/>
    <xf numFmtId="0" fontId="18811" fillId="18821" borderId="18768" xfId="0" applyFont="1" applyFill="1" applyBorder="1"/>
    <xf numFmtId="0" fontId="18812" fillId="18822" borderId="18769" xfId="0" applyFont="1" applyFill="1" applyBorder="1"/>
    <xf numFmtId="0" fontId="18813" fillId="18823" borderId="18770" xfId="0" applyFont="1" applyFill="1" applyBorder="1"/>
    <xf numFmtId="4" fontId="18814" fillId="18824" borderId="18771" xfId="0" applyNumberFormat="1" applyFont="1" applyFill="1" applyBorder="1"/>
    <xf numFmtId="165" fontId="18815" fillId="18825" borderId="18772" xfId="0" applyNumberFormat="1" applyFont="1" applyFill="1" applyBorder="1"/>
    <xf numFmtId="165" fontId="18816" fillId="18826" borderId="18773" xfId="0" applyNumberFormat="1" applyFont="1" applyFill="1" applyBorder="1"/>
    <xf numFmtId="0" fontId="18817" fillId="18827" borderId="18774" xfId="0" applyFont="1" applyFill="1" applyBorder="1"/>
    <xf numFmtId="0" fontId="18818" fillId="18828" borderId="18775" xfId="0" applyFont="1" applyFill="1" applyBorder="1"/>
    <xf numFmtId="0" fontId="18819" fillId="18829" borderId="18776" xfId="0" applyFont="1" applyFill="1" applyBorder="1"/>
    <xf numFmtId="0" fontId="18820" fillId="18830" borderId="18777" xfId="0" applyFont="1" applyFill="1" applyBorder="1"/>
    <xf numFmtId="14" fontId="18821" fillId="18831" borderId="18778" xfId="0" applyNumberFormat="1" applyFont="1" applyFill="1" applyBorder="1"/>
    <xf numFmtId="0" fontId="18822" fillId="18832" borderId="18779" xfId="0" applyFont="1" applyFill="1" applyBorder="1"/>
    <xf numFmtId="0" fontId="18823" fillId="18833" borderId="18780" xfId="0" applyFont="1" applyFill="1" applyBorder="1"/>
    <xf numFmtId="0" fontId="18824" fillId="18834" borderId="18781" xfId="0" applyFont="1" applyFill="1" applyBorder="1"/>
    <xf numFmtId="4" fontId="18825" fillId="18835" borderId="18782" xfId="0" applyNumberFormat="1" applyFont="1" applyFill="1" applyBorder="1"/>
    <xf numFmtId="165" fontId="18826" fillId="18836" borderId="18783" xfId="0" applyNumberFormat="1" applyFont="1" applyFill="1" applyBorder="1"/>
    <xf numFmtId="165" fontId="18827" fillId="18837" borderId="18784" xfId="0" applyNumberFormat="1" applyFont="1" applyFill="1" applyBorder="1"/>
    <xf numFmtId="0" fontId="18828" fillId="18838" borderId="18785" xfId="0" applyFont="1" applyFill="1" applyBorder="1"/>
    <xf numFmtId="0" fontId="18829" fillId="18839" borderId="18786" xfId="0" applyFont="1" applyFill="1" applyBorder="1"/>
    <xf numFmtId="0" fontId="18830" fillId="18840" borderId="18787" xfId="0" applyFont="1" applyFill="1" applyBorder="1"/>
    <xf numFmtId="0" fontId="18831" fillId="18841" borderId="18788" xfId="0" applyFont="1" applyFill="1" applyBorder="1"/>
    <xf numFmtId="14" fontId="18832" fillId="18842" borderId="18789" xfId="0" applyNumberFormat="1" applyFont="1" applyFill="1" applyBorder="1"/>
    <xf numFmtId="0" fontId="18833" fillId="18843" borderId="18790" xfId="0" applyFont="1" applyFill="1" applyBorder="1"/>
    <xf numFmtId="0" fontId="18834" fillId="18844" borderId="18791" xfId="0" applyFont="1" applyFill="1" applyBorder="1"/>
    <xf numFmtId="0" fontId="18835" fillId="18845" borderId="18792" xfId="0" applyFont="1" applyFill="1" applyBorder="1"/>
    <xf numFmtId="4" fontId="18836" fillId="18846" borderId="18793" xfId="0" applyNumberFormat="1" applyFont="1" applyFill="1" applyBorder="1"/>
    <xf numFmtId="165" fontId="18837" fillId="18847" borderId="18794" xfId="0" applyNumberFormat="1" applyFont="1" applyFill="1" applyBorder="1"/>
    <xf numFmtId="165" fontId="18838" fillId="18848" borderId="18795" xfId="0" applyNumberFormat="1" applyFont="1" applyFill="1" applyBorder="1"/>
    <xf numFmtId="0" fontId="18839" fillId="18849" borderId="18796" xfId="0" applyFont="1" applyFill="1" applyBorder="1"/>
    <xf numFmtId="0" fontId="18840" fillId="18850" borderId="18797" xfId="0" applyFont="1" applyFill="1" applyBorder="1"/>
    <xf numFmtId="0" fontId="18841" fillId="18851" borderId="18798" xfId="0" applyFont="1" applyFill="1" applyBorder="1"/>
    <xf numFmtId="0" fontId="18842" fillId="18852" borderId="18799" xfId="0" applyFont="1" applyFill="1" applyBorder="1"/>
    <xf numFmtId="14" fontId="18843" fillId="18853" borderId="18800" xfId="0" applyNumberFormat="1" applyFont="1" applyFill="1" applyBorder="1"/>
    <xf numFmtId="0" fontId="18844" fillId="18854" borderId="18801" xfId="0" applyFont="1" applyFill="1" applyBorder="1"/>
    <xf numFmtId="0" fontId="18845" fillId="18855" borderId="18802" xfId="0" applyFont="1" applyFill="1" applyBorder="1"/>
    <xf numFmtId="0" fontId="18846" fillId="18856" borderId="18803" xfId="0" applyFont="1" applyFill="1" applyBorder="1"/>
    <xf numFmtId="4" fontId="18847" fillId="18857" borderId="18804" xfId="0" applyNumberFormat="1" applyFont="1" applyFill="1" applyBorder="1"/>
    <xf numFmtId="165" fontId="18848" fillId="18858" borderId="18805" xfId="0" applyNumberFormat="1" applyFont="1" applyFill="1" applyBorder="1"/>
    <xf numFmtId="165" fontId="18849" fillId="18859" borderId="18806" xfId="0" applyNumberFormat="1" applyFont="1" applyFill="1" applyBorder="1"/>
    <xf numFmtId="0" fontId="18850" fillId="18860" borderId="18807" xfId="0" applyFont="1" applyFill="1" applyBorder="1"/>
    <xf numFmtId="0" fontId="18851" fillId="18861" borderId="18808" xfId="0" applyFont="1" applyFill="1" applyBorder="1"/>
    <xf numFmtId="0" fontId="18852" fillId="18862" borderId="18809" xfId="0" applyFont="1" applyFill="1" applyBorder="1"/>
    <xf numFmtId="0" fontId="18853" fillId="18863" borderId="18810" xfId="0" applyFont="1" applyFill="1" applyBorder="1"/>
    <xf numFmtId="14" fontId="18854" fillId="18864" borderId="18811" xfId="0" applyNumberFormat="1" applyFont="1" applyFill="1" applyBorder="1"/>
    <xf numFmtId="0" fontId="18855" fillId="18865" borderId="18812" xfId="0" applyFont="1" applyFill="1" applyBorder="1"/>
    <xf numFmtId="0" fontId="18856" fillId="18866" borderId="18813" xfId="0" applyFont="1" applyFill="1" applyBorder="1"/>
    <xf numFmtId="0" fontId="18857" fillId="18867" borderId="18814" xfId="0" applyFont="1" applyFill="1" applyBorder="1"/>
    <xf numFmtId="4" fontId="18858" fillId="18868" borderId="18815" xfId="0" applyNumberFormat="1" applyFont="1" applyFill="1" applyBorder="1"/>
    <xf numFmtId="165" fontId="18859" fillId="18869" borderId="18816" xfId="0" applyNumberFormat="1" applyFont="1" applyFill="1" applyBorder="1"/>
    <xf numFmtId="165" fontId="18860" fillId="18870" borderId="18817" xfId="0" applyNumberFormat="1" applyFont="1" applyFill="1" applyBorder="1"/>
    <xf numFmtId="0" fontId="18861" fillId="18871" borderId="18818" xfId="0" applyFont="1" applyFill="1" applyBorder="1"/>
    <xf numFmtId="0" fontId="18862" fillId="18872" borderId="18819" xfId="0" applyFont="1" applyFill="1" applyBorder="1"/>
    <xf numFmtId="0" fontId="18863" fillId="18873" borderId="18820" xfId="0" applyFont="1" applyFill="1" applyBorder="1"/>
    <xf numFmtId="0" fontId="18864" fillId="18874" borderId="18821" xfId="0" applyFont="1" applyFill="1" applyBorder="1"/>
    <xf numFmtId="14" fontId="18865" fillId="18875" borderId="18822" xfId="0" applyNumberFormat="1" applyFont="1" applyFill="1" applyBorder="1"/>
    <xf numFmtId="0" fontId="18866" fillId="18876" borderId="18823" xfId="0" applyFont="1" applyFill="1" applyBorder="1"/>
    <xf numFmtId="0" fontId="18867" fillId="18877" borderId="18824" xfId="0" applyFont="1" applyFill="1" applyBorder="1"/>
    <xf numFmtId="0" fontId="18868" fillId="18878" borderId="18825" xfId="0" applyFont="1" applyFill="1" applyBorder="1"/>
    <xf numFmtId="4" fontId="18869" fillId="18879" borderId="18826" xfId="0" applyNumberFormat="1" applyFont="1" applyFill="1" applyBorder="1"/>
    <xf numFmtId="165" fontId="18870" fillId="18880" borderId="18827" xfId="0" applyNumberFormat="1" applyFont="1" applyFill="1" applyBorder="1"/>
    <xf numFmtId="165" fontId="18871" fillId="18881" borderId="18828" xfId="0" applyNumberFormat="1" applyFont="1" applyFill="1" applyBorder="1"/>
    <xf numFmtId="0" fontId="18872" fillId="18882" borderId="18829" xfId="0" applyFont="1" applyFill="1" applyBorder="1"/>
    <xf numFmtId="0" fontId="18873" fillId="18883" borderId="18830" xfId="0" applyFont="1" applyFill="1" applyBorder="1"/>
    <xf numFmtId="0" fontId="18874" fillId="18884" borderId="18831" xfId="0" applyFont="1" applyFill="1" applyBorder="1"/>
    <xf numFmtId="0" fontId="18875" fillId="18885" borderId="18832" xfId="0" applyFont="1" applyFill="1" applyBorder="1"/>
    <xf numFmtId="14" fontId="18876" fillId="18886" borderId="18833" xfId="0" applyNumberFormat="1" applyFont="1" applyFill="1" applyBorder="1"/>
    <xf numFmtId="0" fontId="18877" fillId="18887" borderId="18834" xfId="0" applyFont="1" applyFill="1" applyBorder="1"/>
    <xf numFmtId="0" fontId="18878" fillId="18888" borderId="18835" xfId="0" applyFont="1" applyFill="1" applyBorder="1"/>
    <xf numFmtId="0" fontId="18879" fillId="18889" borderId="18836" xfId="0" applyFont="1" applyFill="1" applyBorder="1"/>
    <xf numFmtId="4" fontId="18880" fillId="18890" borderId="18837" xfId="0" applyNumberFormat="1" applyFont="1" applyFill="1" applyBorder="1"/>
    <xf numFmtId="165" fontId="18881" fillId="18891" borderId="18838" xfId="0" applyNumberFormat="1" applyFont="1" applyFill="1" applyBorder="1"/>
    <xf numFmtId="165" fontId="18882" fillId="18892" borderId="18839" xfId="0" applyNumberFormat="1" applyFont="1" applyFill="1" applyBorder="1"/>
    <xf numFmtId="0" fontId="18883" fillId="18893" borderId="18840" xfId="0" applyFont="1" applyFill="1" applyBorder="1"/>
    <xf numFmtId="0" fontId="18884" fillId="18894" borderId="18841" xfId="0" applyFont="1" applyFill="1" applyBorder="1"/>
    <xf numFmtId="0" fontId="18885" fillId="18895" borderId="18842" xfId="0" applyFont="1" applyFill="1" applyBorder="1"/>
    <xf numFmtId="0" fontId="18886" fillId="18896" borderId="18843" xfId="0" applyFont="1" applyFill="1" applyBorder="1"/>
    <xf numFmtId="14" fontId="18887" fillId="18897" borderId="18844" xfId="0" applyNumberFormat="1" applyFont="1" applyFill="1" applyBorder="1"/>
    <xf numFmtId="0" fontId="18888" fillId="18898" borderId="18845" xfId="0" applyFont="1" applyFill="1" applyBorder="1"/>
    <xf numFmtId="0" fontId="18889" fillId="18899" borderId="18846" xfId="0" applyFont="1" applyFill="1" applyBorder="1"/>
    <xf numFmtId="0" fontId="18890" fillId="18900" borderId="18847" xfId="0" applyFont="1" applyFill="1" applyBorder="1"/>
    <xf numFmtId="4" fontId="18891" fillId="18901" borderId="18848" xfId="0" applyNumberFormat="1" applyFont="1" applyFill="1" applyBorder="1"/>
    <xf numFmtId="165" fontId="18892" fillId="18902" borderId="18849" xfId="0" applyNumberFormat="1" applyFont="1" applyFill="1" applyBorder="1"/>
    <xf numFmtId="165" fontId="18893" fillId="18903" borderId="18850" xfId="0" applyNumberFormat="1" applyFont="1" applyFill="1" applyBorder="1"/>
    <xf numFmtId="0" fontId="18894" fillId="18904" borderId="18851" xfId="0" applyFont="1" applyFill="1" applyBorder="1"/>
    <xf numFmtId="0" fontId="18895" fillId="18905" borderId="18852" xfId="0" applyFont="1" applyFill="1" applyBorder="1"/>
    <xf numFmtId="0" fontId="18896" fillId="18906" borderId="18853" xfId="0" applyFont="1" applyFill="1" applyBorder="1"/>
    <xf numFmtId="0" fontId="18897" fillId="18907" borderId="18854" xfId="0" applyFont="1" applyFill="1" applyBorder="1"/>
    <xf numFmtId="14" fontId="18898" fillId="18908" borderId="18855" xfId="0" applyNumberFormat="1" applyFont="1" applyFill="1" applyBorder="1"/>
    <xf numFmtId="0" fontId="18899" fillId="18909" borderId="18856" xfId="0" applyFont="1" applyFill="1" applyBorder="1"/>
    <xf numFmtId="0" fontId="18900" fillId="18910" borderId="18857" xfId="0" applyFont="1" applyFill="1" applyBorder="1"/>
    <xf numFmtId="0" fontId="18901" fillId="18911" borderId="18858" xfId="0" applyFont="1" applyFill="1" applyBorder="1"/>
    <xf numFmtId="4" fontId="18902" fillId="18912" borderId="18859" xfId="0" applyNumberFormat="1" applyFont="1" applyFill="1" applyBorder="1"/>
    <xf numFmtId="165" fontId="18903" fillId="18913" borderId="18860" xfId="0" applyNumberFormat="1" applyFont="1" applyFill="1" applyBorder="1"/>
    <xf numFmtId="165" fontId="18904" fillId="18914" borderId="18861" xfId="0" applyNumberFormat="1" applyFont="1" applyFill="1" applyBorder="1"/>
    <xf numFmtId="0" fontId="18905" fillId="18915" borderId="18862" xfId="0" applyFont="1" applyFill="1" applyBorder="1"/>
    <xf numFmtId="0" fontId="18906" fillId="18916" borderId="18863" xfId="0" applyFont="1" applyFill="1" applyBorder="1"/>
    <xf numFmtId="0" fontId="18907" fillId="18917" borderId="18864" xfId="0" applyFont="1" applyFill="1" applyBorder="1"/>
    <xf numFmtId="0" fontId="18908" fillId="18918" borderId="18865" xfId="0" applyFont="1" applyFill="1" applyBorder="1"/>
    <xf numFmtId="14" fontId="18909" fillId="18919" borderId="18866" xfId="0" applyNumberFormat="1" applyFont="1" applyFill="1" applyBorder="1"/>
    <xf numFmtId="0" fontId="18910" fillId="18920" borderId="18867" xfId="0" applyFont="1" applyFill="1" applyBorder="1"/>
    <xf numFmtId="0" fontId="18911" fillId="18921" borderId="18868" xfId="0" applyFont="1" applyFill="1" applyBorder="1"/>
    <xf numFmtId="0" fontId="18912" fillId="18922" borderId="18869" xfId="0" applyFont="1" applyFill="1" applyBorder="1"/>
    <xf numFmtId="4" fontId="18913" fillId="18923" borderId="18870" xfId="0" applyNumberFormat="1" applyFont="1" applyFill="1" applyBorder="1"/>
    <xf numFmtId="165" fontId="18914" fillId="18924" borderId="18871" xfId="0" applyNumberFormat="1" applyFont="1" applyFill="1" applyBorder="1"/>
    <xf numFmtId="165" fontId="18915" fillId="18925" borderId="18872" xfId="0" applyNumberFormat="1" applyFont="1" applyFill="1" applyBorder="1"/>
    <xf numFmtId="0" fontId="18916" fillId="18926" borderId="18873" xfId="0" applyFont="1" applyFill="1" applyBorder="1"/>
    <xf numFmtId="0" fontId="18917" fillId="18927" borderId="18874" xfId="0" applyFont="1" applyFill="1" applyBorder="1"/>
    <xf numFmtId="0" fontId="18918" fillId="18928" borderId="18875" xfId="0" applyFont="1" applyFill="1" applyBorder="1"/>
    <xf numFmtId="0" fontId="18919" fillId="18929" borderId="18876" xfId="0" applyFont="1" applyFill="1" applyBorder="1"/>
    <xf numFmtId="14" fontId="18920" fillId="18930" borderId="18877" xfId="0" applyNumberFormat="1" applyFont="1" applyFill="1" applyBorder="1"/>
    <xf numFmtId="0" fontId="18921" fillId="18931" borderId="18878" xfId="0" applyFont="1" applyFill="1" applyBorder="1"/>
    <xf numFmtId="0" fontId="18922" fillId="18932" borderId="18879" xfId="0" applyFont="1" applyFill="1" applyBorder="1"/>
    <xf numFmtId="0" fontId="18923" fillId="18933" borderId="18880" xfId="0" applyFont="1" applyFill="1" applyBorder="1"/>
    <xf numFmtId="4" fontId="18924" fillId="18934" borderId="18881" xfId="0" applyNumberFormat="1" applyFont="1" applyFill="1" applyBorder="1"/>
    <xf numFmtId="165" fontId="18925" fillId="18935" borderId="18882" xfId="0" applyNumberFormat="1" applyFont="1" applyFill="1" applyBorder="1"/>
    <xf numFmtId="165" fontId="18926" fillId="18936" borderId="18883" xfId="0" applyNumberFormat="1" applyFont="1" applyFill="1" applyBorder="1"/>
    <xf numFmtId="0" fontId="18927" fillId="18937" borderId="18884" xfId="0" applyFont="1" applyFill="1" applyBorder="1"/>
    <xf numFmtId="0" fontId="18928" fillId="18938" borderId="18885" xfId="0" applyFont="1" applyFill="1" applyBorder="1"/>
    <xf numFmtId="0" fontId="18929" fillId="18939" borderId="18886" xfId="0" applyFont="1" applyFill="1" applyBorder="1"/>
    <xf numFmtId="0" fontId="18930" fillId="18940" borderId="18887" xfId="0" applyFont="1" applyFill="1" applyBorder="1"/>
    <xf numFmtId="14" fontId="18931" fillId="18941" borderId="18888" xfId="0" applyNumberFormat="1" applyFont="1" applyFill="1" applyBorder="1"/>
    <xf numFmtId="0" fontId="18932" fillId="18942" borderId="18889" xfId="0" applyFont="1" applyFill="1" applyBorder="1"/>
    <xf numFmtId="0" fontId="18933" fillId="18943" borderId="18890" xfId="0" applyFont="1" applyFill="1" applyBorder="1"/>
    <xf numFmtId="0" fontId="18934" fillId="18944" borderId="18891" xfId="0" applyFont="1" applyFill="1" applyBorder="1"/>
    <xf numFmtId="4" fontId="18935" fillId="18945" borderId="18892" xfId="0" applyNumberFormat="1" applyFont="1" applyFill="1" applyBorder="1"/>
    <xf numFmtId="165" fontId="18936" fillId="18946" borderId="18893" xfId="0" applyNumberFormat="1" applyFont="1" applyFill="1" applyBorder="1"/>
    <xf numFmtId="165" fontId="18937" fillId="18947" borderId="18894" xfId="0" applyNumberFormat="1" applyFont="1" applyFill="1" applyBorder="1"/>
    <xf numFmtId="0" fontId="18938" fillId="18948" borderId="18895" xfId="0" applyFont="1" applyFill="1" applyBorder="1"/>
    <xf numFmtId="0" fontId="18939" fillId="18949" borderId="18896" xfId="0" applyFont="1" applyFill="1" applyBorder="1"/>
    <xf numFmtId="0" fontId="18940" fillId="18950" borderId="18897" xfId="0" applyFont="1" applyFill="1" applyBorder="1"/>
    <xf numFmtId="0" fontId="18941" fillId="18951" borderId="18898" xfId="0" applyFont="1" applyFill="1" applyBorder="1"/>
    <xf numFmtId="14" fontId="18942" fillId="18952" borderId="18899" xfId="0" applyNumberFormat="1" applyFont="1" applyFill="1" applyBorder="1"/>
    <xf numFmtId="0" fontId="18943" fillId="18953" borderId="18900" xfId="0" applyFont="1" applyFill="1" applyBorder="1"/>
    <xf numFmtId="0" fontId="18944" fillId="18954" borderId="18901" xfId="0" applyFont="1" applyFill="1" applyBorder="1"/>
    <xf numFmtId="0" fontId="18945" fillId="18955" borderId="18902" xfId="0" applyFont="1" applyFill="1" applyBorder="1"/>
    <xf numFmtId="4" fontId="18946" fillId="18956" borderId="18903" xfId="0" applyNumberFormat="1" applyFont="1" applyFill="1" applyBorder="1"/>
    <xf numFmtId="165" fontId="18947" fillId="18957" borderId="18904" xfId="0" applyNumberFormat="1" applyFont="1" applyFill="1" applyBorder="1"/>
    <xf numFmtId="165" fontId="18948" fillId="18958" borderId="18905" xfId="0" applyNumberFormat="1" applyFont="1" applyFill="1" applyBorder="1"/>
    <xf numFmtId="0" fontId="18949" fillId="18959" borderId="18906" xfId="0" applyFont="1" applyFill="1" applyBorder="1"/>
    <xf numFmtId="0" fontId="18950" fillId="18960" borderId="18907" xfId="0" applyFont="1" applyFill="1" applyBorder="1"/>
    <xf numFmtId="0" fontId="18951" fillId="18961" borderId="18908" xfId="0" applyFont="1" applyFill="1" applyBorder="1"/>
    <xf numFmtId="0" fontId="18952" fillId="18962" borderId="18909" xfId="0" applyFont="1" applyFill="1" applyBorder="1"/>
    <xf numFmtId="14" fontId="18953" fillId="18963" borderId="18910" xfId="0" applyNumberFormat="1" applyFont="1" applyFill="1" applyBorder="1"/>
    <xf numFmtId="0" fontId="18954" fillId="18964" borderId="18911" xfId="0" applyFont="1" applyFill="1" applyBorder="1"/>
    <xf numFmtId="0" fontId="18955" fillId="18965" borderId="18912" xfId="0" applyFont="1" applyFill="1" applyBorder="1"/>
    <xf numFmtId="0" fontId="18956" fillId="18966" borderId="18913" xfId="0" applyFont="1" applyFill="1" applyBorder="1"/>
    <xf numFmtId="4" fontId="18957" fillId="18967" borderId="18914" xfId="0" applyNumberFormat="1" applyFont="1" applyFill="1" applyBorder="1"/>
    <xf numFmtId="165" fontId="18958" fillId="18968" borderId="18915" xfId="0" applyNumberFormat="1" applyFont="1" applyFill="1" applyBorder="1"/>
    <xf numFmtId="165" fontId="18959" fillId="18969" borderId="18916" xfId="0" applyNumberFormat="1" applyFont="1" applyFill="1" applyBorder="1"/>
    <xf numFmtId="0" fontId="18960" fillId="18970" borderId="18917" xfId="0" applyFont="1" applyFill="1" applyBorder="1"/>
    <xf numFmtId="0" fontId="18961" fillId="18971" borderId="18918" xfId="0" applyFont="1" applyFill="1" applyBorder="1"/>
    <xf numFmtId="0" fontId="18962" fillId="18972" borderId="18919" xfId="0" applyFont="1" applyFill="1" applyBorder="1"/>
    <xf numFmtId="0" fontId="18963" fillId="18973" borderId="18920" xfId="0" applyFont="1" applyFill="1" applyBorder="1"/>
    <xf numFmtId="14" fontId="18964" fillId="18974" borderId="18921" xfId="0" applyNumberFormat="1" applyFont="1" applyFill="1" applyBorder="1"/>
    <xf numFmtId="0" fontId="18965" fillId="18975" borderId="18922" xfId="0" applyFont="1" applyFill="1" applyBorder="1"/>
    <xf numFmtId="0" fontId="18966" fillId="18976" borderId="18923" xfId="0" applyFont="1" applyFill="1" applyBorder="1"/>
    <xf numFmtId="0" fontId="18967" fillId="18977" borderId="18924" xfId="0" applyFont="1" applyFill="1" applyBorder="1"/>
    <xf numFmtId="4" fontId="18968" fillId="18978" borderId="18925" xfId="0" applyNumberFormat="1" applyFont="1" applyFill="1" applyBorder="1"/>
    <xf numFmtId="165" fontId="18969" fillId="18979" borderId="18926" xfId="0" applyNumberFormat="1" applyFont="1" applyFill="1" applyBorder="1"/>
    <xf numFmtId="165" fontId="18970" fillId="18980" borderId="18927" xfId="0" applyNumberFormat="1" applyFont="1" applyFill="1" applyBorder="1"/>
    <xf numFmtId="0" fontId="18971" fillId="18981" borderId="18928" xfId="0" applyFont="1" applyFill="1" applyBorder="1"/>
    <xf numFmtId="0" fontId="18972" fillId="18982" borderId="18929" xfId="0" applyFont="1" applyFill="1" applyBorder="1"/>
    <xf numFmtId="0" fontId="18973" fillId="18983" borderId="18930" xfId="0" applyFont="1" applyFill="1" applyBorder="1"/>
    <xf numFmtId="0" fontId="18974" fillId="18984" borderId="18931" xfId="0" applyFont="1" applyFill="1" applyBorder="1"/>
    <xf numFmtId="14" fontId="18975" fillId="18985" borderId="18932" xfId="0" applyNumberFormat="1" applyFont="1" applyFill="1" applyBorder="1"/>
    <xf numFmtId="0" fontId="18976" fillId="18986" borderId="18933" xfId="0" applyFont="1" applyFill="1" applyBorder="1"/>
    <xf numFmtId="0" fontId="18977" fillId="18987" borderId="18934" xfId="0" applyFont="1" applyFill="1" applyBorder="1"/>
    <xf numFmtId="0" fontId="18978" fillId="18988" borderId="18935" xfId="0" applyFont="1" applyFill="1" applyBorder="1"/>
    <xf numFmtId="4" fontId="18979" fillId="18989" borderId="18936" xfId="0" applyNumberFormat="1" applyFont="1" applyFill="1" applyBorder="1"/>
    <xf numFmtId="165" fontId="18980" fillId="18990" borderId="18937" xfId="0" applyNumberFormat="1" applyFont="1" applyFill="1" applyBorder="1"/>
    <xf numFmtId="165" fontId="18981" fillId="18991" borderId="18938" xfId="0" applyNumberFormat="1" applyFont="1" applyFill="1" applyBorder="1"/>
    <xf numFmtId="0" fontId="18982" fillId="18992" borderId="18939" xfId="0" applyFont="1" applyFill="1" applyBorder="1"/>
    <xf numFmtId="0" fontId="18983" fillId="18993" borderId="18940" xfId="0" applyFont="1" applyFill="1" applyBorder="1"/>
    <xf numFmtId="0" fontId="18984" fillId="18994" borderId="18941" xfId="0" applyFont="1" applyFill="1" applyBorder="1"/>
    <xf numFmtId="0" fontId="18985" fillId="18995" borderId="18942" xfId="0" applyFont="1" applyFill="1" applyBorder="1"/>
    <xf numFmtId="14" fontId="18986" fillId="18996" borderId="18943" xfId="0" applyNumberFormat="1" applyFont="1" applyFill="1" applyBorder="1"/>
    <xf numFmtId="0" fontId="18987" fillId="18997" borderId="18944" xfId="0" applyFont="1" applyFill="1" applyBorder="1"/>
    <xf numFmtId="0" fontId="18988" fillId="18998" borderId="18945" xfId="0" applyFont="1" applyFill="1" applyBorder="1"/>
    <xf numFmtId="0" fontId="18989" fillId="18999" borderId="18946" xfId="0" applyFont="1" applyFill="1" applyBorder="1"/>
    <xf numFmtId="4" fontId="18990" fillId="19000" borderId="18947" xfId="0" applyNumberFormat="1" applyFont="1" applyFill="1" applyBorder="1"/>
    <xf numFmtId="165" fontId="18991" fillId="19001" borderId="18948" xfId="0" applyNumberFormat="1" applyFont="1" applyFill="1" applyBorder="1"/>
    <xf numFmtId="165" fontId="18992" fillId="19002" borderId="18949" xfId="0" applyNumberFormat="1" applyFont="1" applyFill="1" applyBorder="1"/>
    <xf numFmtId="0" fontId="18993" fillId="19003" borderId="18950" xfId="0" applyFont="1" applyFill="1" applyBorder="1"/>
    <xf numFmtId="0" fontId="18994" fillId="19004" borderId="18951" xfId="0" applyFont="1" applyFill="1" applyBorder="1"/>
    <xf numFmtId="0" fontId="18995" fillId="19005" borderId="18952" xfId="0" applyFont="1" applyFill="1" applyBorder="1"/>
    <xf numFmtId="0" fontId="18996" fillId="19006" borderId="18953" xfId="0" applyFont="1" applyFill="1" applyBorder="1"/>
    <xf numFmtId="14" fontId="18997" fillId="19007" borderId="18954" xfId="0" applyNumberFormat="1" applyFont="1" applyFill="1" applyBorder="1"/>
    <xf numFmtId="0" fontId="18998" fillId="19008" borderId="18955" xfId="0" applyFont="1" applyFill="1" applyBorder="1"/>
    <xf numFmtId="0" fontId="18999" fillId="19009" borderId="18956" xfId="0" applyFont="1" applyFill="1" applyBorder="1"/>
    <xf numFmtId="0" fontId="19000" fillId="19010" borderId="18957" xfId="0" applyFont="1" applyFill="1" applyBorder="1"/>
    <xf numFmtId="4" fontId="19001" fillId="19011" borderId="18958" xfId="0" applyNumberFormat="1" applyFont="1" applyFill="1" applyBorder="1"/>
    <xf numFmtId="165" fontId="19002" fillId="19012" borderId="18959" xfId="0" applyNumberFormat="1" applyFont="1" applyFill="1" applyBorder="1"/>
    <xf numFmtId="165" fontId="19003" fillId="19013" borderId="18960" xfId="0" applyNumberFormat="1" applyFont="1" applyFill="1" applyBorder="1"/>
    <xf numFmtId="0" fontId="19004" fillId="19014" borderId="18961" xfId="0" applyFont="1" applyFill="1" applyBorder="1"/>
    <xf numFmtId="0" fontId="19005" fillId="19015" borderId="18962" xfId="0" applyFont="1" applyFill="1" applyBorder="1"/>
    <xf numFmtId="0" fontId="19006" fillId="19016" borderId="18963" xfId="0" applyFont="1" applyFill="1" applyBorder="1"/>
    <xf numFmtId="0" fontId="19007" fillId="19017" borderId="18964" xfId="0" applyFont="1" applyFill="1" applyBorder="1"/>
    <xf numFmtId="14" fontId="19008" fillId="19018" borderId="18965" xfId="0" applyNumberFormat="1" applyFont="1" applyFill="1" applyBorder="1"/>
    <xf numFmtId="0" fontId="19009" fillId="19019" borderId="18966" xfId="0" applyFont="1" applyFill="1" applyBorder="1"/>
    <xf numFmtId="0" fontId="19010" fillId="19020" borderId="18967" xfId="0" applyFont="1" applyFill="1" applyBorder="1"/>
    <xf numFmtId="0" fontId="19011" fillId="19021" borderId="18968" xfId="0" applyFont="1" applyFill="1" applyBorder="1"/>
    <xf numFmtId="4" fontId="19012" fillId="19022" borderId="18969" xfId="0" applyNumberFormat="1" applyFont="1" applyFill="1" applyBorder="1"/>
    <xf numFmtId="165" fontId="19013" fillId="19023" borderId="18970" xfId="0" applyNumberFormat="1" applyFont="1" applyFill="1" applyBorder="1"/>
    <xf numFmtId="165" fontId="19014" fillId="19024" borderId="18971" xfId="0" applyNumberFormat="1" applyFont="1" applyFill="1" applyBorder="1"/>
    <xf numFmtId="0" fontId="19015" fillId="19025" borderId="18972" xfId="0" applyFont="1" applyFill="1" applyBorder="1"/>
    <xf numFmtId="0" fontId="19016" fillId="19026" borderId="18973" xfId="0" applyFont="1" applyFill="1" applyBorder="1"/>
    <xf numFmtId="0" fontId="19017" fillId="19027" borderId="18974" xfId="0" applyFont="1" applyFill="1" applyBorder="1"/>
    <xf numFmtId="0" fontId="19018" fillId="19028" borderId="18975" xfId="0" applyFont="1" applyFill="1" applyBorder="1"/>
    <xf numFmtId="14" fontId="19019" fillId="19029" borderId="18976" xfId="0" applyNumberFormat="1" applyFont="1" applyFill="1" applyBorder="1"/>
    <xf numFmtId="0" fontId="19020" fillId="19030" borderId="18977" xfId="0" applyFont="1" applyFill="1" applyBorder="1"/>
    <xf numFmtId="0" fontId="19021" fillId="19031" borderId="18978" xfId="0" applyFont="1" applyFill="1" applyBorder="1"/>
    <xf numFmtId="0" fontId="19022" fillId="19032" borderId="18979" xfId="0" applyFont="1" applyFill="1" applyBorder="1"/>
    <xf numFmtId="4" fontId="19023" fillId="19033" borderId="18980" xfId="0" applyNumberFormat="1" applyFont="1" applyFill="1" applyBorder="1"/>
    <xf numFmtId="165" fontId="19024" fillId="19034" borderId="18981" xfId="0" applyNumberFormat="1" applyFont="1" applyFill="1" applyBorder="1"/>
    <xf numFmtId="165" fontId="19025" fillId="19035" borderId="18982" xfId="0" applyNumberFormat="1" applyFont="1" applyFill="1" applyBorder="1"/>
    <xf numFmtId="0" fontId="19026" fillId="19036" borderId="18983" xfId="0" applyFont="1" applyFill="1" applyBorder="1"/>
    <xf numFmtId="0" fontId="19027" fillId="19037" borderId="18984" xfId="0" applyFont="1" applyFill="1" applyBorder="1"/>
    <xf numFmtId="0" fontId="19028" fillId="19038" borderId="18985" xfId="0" applyFont="1" applyFill="1" applyBorder="1"/>
    <xf numFmtId="0" fontId="19029" fillId="19039" borderId="18986" xfId="0" applyFont="1" applyFill="1" applyBorder="1"/>
    <xf numFmtId="14" fontId="19030" fillId="19040" borderId="18987" xfId="0" applyNumberFormat="1" applyFont="1" applyFill="1" applyBorder="1"/>
    <xf numFmtId="0" fontId="19031" fillId="19041" borderId="18988" xfId="0" applyFont="1" applyFill="1" applyBorder="1"/>
    <xf numFmtId="0" fontId="19032" fillId="19042" borderId="18989" xfId="0" applyFont="1" applyFill="1" applyBorder="1"/>
    <xf numFmtId="0" fontId="19033" fillId="19043" borderId="18990" xfId="0" applyFont="1" applyFill="1" applyBorder="1"/>
    <xf numFmtId="4" fontId="19034" fillId="19044" borderId="18991" xfId="0" applyNumberFormat="1" applyFont="1" applyFill="1" applyBorder="1"/>
    <xf numFmtId="165" fontId="19035" fillId="19045" borderId="18992" xfId="0" applyNumberFormat="1" applyFont="1" applyFill="1" applyBorder="1"/>
    <xf numFmtId="165" fontId="19036" fillId="19046" borderId="18993" xfId="0" applyNumberFormat="1" applyFont="1" applyFill="1" applyBorder="1"/>
    <xf numFmtId="0" fontId="19037" fillId="19047" borderId="18994" xfId="0" applyFont="1" applyFill="1" applyBorder="1"/>
    <xf numFmtId="0" fontId="19038" fillId="19048" borderId="18995" xfId="0" applyFont="1" applyFill="1" applyBorder="1"/>
    <xf numFmtId="0" fontId="19039" fillId="19049" borderId="18996" xfId="0" applyFont="1" applyFill="1" applyBorder="1"/>
    <xf numFmtId="0" fontId="19040" fillId="19050" borderId="18997" xfId="0" applyFont="1" applyFill="1" applyBorder="1"/>
    <xf numFmtId="14" fontId="19041" fillId="19051" borderId="18998" xfId="0" applyNumberFormat="1" applyFont="1" applyFill="1" applyBorder="1"/>
    <xf numFmtId="0" fontId="19042" fillId="19052" borderId="18999" xfId="0" applyFont="1" applyFill="1" applyBorder="1"/>
    <xf numFmtId="0" fontId="19043" fillId="19053" borderId="19000" xfId="0" applyFont="1" applyFill="1" applyBorder="1"/>
    <xf numFmtId="0" fontId="19044" fillId="19054" borderId="19001" xfId="0" applyFont="1" applyFill="1" applyBorder="1"/>
    <xf numFmtId="4" fontId="19045" fillId="19055" borderId="19002" xfId="0" applyNumberFormat="1" applyFont="1" applyFill="1" applyBorder="1"/>
    <xf numFmtId="165" fontId="19046" fillId="19056" borderId="19003" xfId="0" applyNumberFormat="1" applyFont="1" applyFill="1" applyBorder="1"/>
    <xf numFmtId="165" fontId="19047" fillId="19057" borderId="19004" xfId="0" applyNumberFormat="1" applyFont="1" applyFill="1" applyBorder="1"/>
    <xf numFmtId="0" fontId="19048" fillId="19058" borderId="19005" xfId="0" applyFont="1" applyFill="1" applyBorder="1"/>
    <xf numFmtId="0" fontId="19049" fillId="19059" borderId="19006" xfId="0" applyFont="1" applyFill="1" applyBorder="1"/>
    <xf numFmtId="0" fontId="19050" fillId="19060" borderId="19007" xfId="0" applyFont="1" applyFill="1" applyBorder="1"/>
    <xf numFmtId="0" fontId="19051" fillId="19061" borderId="19008" xfId="0" applyFont="1" applyFill="1" applyBorder="1"/>
    <xf numFmtId="14" fontId="19052" fillId="19062" borderId="19009" xfId="0" applyNumberFormat="1" applyFont="1" applyFill="1" applyBorder="1"/>
    <xf numFmtId="0" fontId="19053" fillId="19063" borderId="19010" xfId="0" applyFont="1" applyFill="1" applyBorder="1"/>
    <xf numFmtId="0" fontId="19054" fillId="19064" borderId="19011" xfId="0" applyFont="1" applyFill="1" applyBorder="1"/>
    <xf numFmtId="0" fontId="19055" fillId="19065" borderId="19012" xfId="0" applyFont="1" applyFill="1" applyBorder="1"/>
    <xf numFmtId="4" fontId="19056" fillId="19066" borderId="19013" xfId="0" applyNumberFormat="1" applyFont="1" applyFill="1" applyBorder="1"/>
    <xf numFmtId="165" fontId="19057" fillId="19067" borderId="19014" xfId="0" applyNumberFormat="1" applyFont="1" applyFill="1" applyBorder="1"/>
    <xf numFmtId="165" fontId="19058" fillId="19068" borderId="19015" xfId="0" applyNumberFormat="1" applyFont="1" applyFill="1" applyBorder="1"/>
    <xf numFmtId="0" fontId="19059" fillId="19069" borderId="19016" xfId="0" applyFont="1" applyFill="1" applyBorder="1"/>
    <xf numFmtId="0" fontId="19060" fillId="19070" borderId="19017" xfId="0" applyFont="1" applyFill="1" applyBorder="1"/>
    <xf numFmtId="0" fontId="19061" fillId="19071" borderId="19018" xfId="0" applyFont="1" applyFill="1" applyBorder="1"/>
    <xf numFmtId="0" fontId="19062" fillId="19072" borderId="19019" xfId="0" applyFont="1" applyFill="1" applyBorder="1"/>
    <xf numFmtId="14" fontId="19063" fillId="19073" borderId="19020" xfId="0" applyNumberFormat="1" applyFont="1" applyFill="1" applyBorder="1"/>
    <xf numFmtId="0" fontId="19064" fillId="19074" borderId="19021" xfId="0" applyFont="1" applyFill="1" applyBorder="1"/>
    <xf numFmtId="0" fontId="19065" fillId="19075" borderId="19022" xfId="0" applyFont="1" applyFill="1" applyBorder="1"/>
    <xf numFmtId="0" fontId="19066" fillId="19076" borderId="19023" xfId="0" applyFont="1" applyFill="1" applyBorder="1"/>
    <xf numFmtId="4" fontId="19067" fillId="19077" borderId="19024" xfId="0" applyNumberFormat="1" applyFont="1" applyFill="1" applyBorder="1"/>
    <xf numFmtId="165" fontId="19068" fillId="19078" borderId="19025" xfId="0" applyNumberFormat="1" applyFont="1" applyFill="1" applyBorder="1"/>
    <xf numFmtId="165" fontId="19069" fillId="19079" borderId="19026" xfId="0" applyNumberFormat="1" applyFont="1" applyFill="1" applyBorder="1"/>
    <xf numFmtId="0" fontId="19070" fillId="19080" borderId="19027" xfId="0" applyFont="1" applyFill="1" applyBorder="1"/>
    <xf numFmtId="0" fontId="19071" fillId="19081" borderId="19028" xfId="0" applyFont="1" applyFill="1" applyBorder="1"/>
    <xf numFmtId="0" fontId="19072" fillId="19082" borderId="19029" xfId="0" applyFont="1" applyFill="1" applyBorder="1"/>
    <xf numFmtId="0" fontId="19073" fillId="19083" borderId="19030" xfId="0" applyFont="1" applyFill="1" applyBorder="1"/>
    <xf numFmtId="14" fontId="19074" fillId="19084" borderId="19031" xfId="0" applyNumberFormat="1" applyFont="1" applyFill="1" applyBorder="1"/>
    <xf numFmtId="0" fontId="19075" fillId="19085" borderId="19032" xfId="0" applyFont="1" applyFill="1" applyBorder="1"/>
    <xf numFmtId="0" fontId="19076" fillId="19086" borderId="19033" xfId="0" applyFont="1" applyFill="1" applyBorder="1"/>
    <xf numFmtId="0" fontId="19077" fillId="19087" borderId="19034" xfId="0" applyFont="1" applyFill="1" applyBorder="1"/>
    <xf numFmtId="4" fontId="19078" fillId="19088" borderId="19035" xfId="0" applyNumberFormat="1" applyFont="1" applyFill="1" applyBorder="1"/>
    <xf numFmtId="165" fontId="19079" fillId="19089" borderId="19036" xfId="0" applyNumberFormat="1" applyFont="1" applyFill="1" applyBorder="1"/>
    <xf numFmtId="165" fontId="19080" fillId="19090" borderId="19037" xfId="0" applyNumberFormat="1" applyFont="1" applyFill="1" applyBorder="1"/>
    <xf numFmtId="0" fontId="19081" fillId="19091" borderId="19038" xfId="0" applyFont="1" applyFill="1" applyBorder="1"/>
    <xf numFmtId="0" fontId="19082" fillId="19092" borderId="19039" xfId="0" applyFont="1" applyFill="1" applyBorder="1"/>
    <xf numFmtId="0" fontId="19083" fillId="19093" borderId="19040" xfId="0" applyFont="1" applyFill="1" applyBorder="1"/>
    <xf numFmtId="0" fontId="19084" fillId="19094" borderId="19041" xfId="0" applyFont="1" applyFill="1" applyBorder="1"/>
    <xf numFmtId="14" fontId="19085" fillId="19095" borderId="19042" xfId="0" applyNumberFormat="1" applyFont="1" applyFill="1" applyBorder="1"/>
    <xf numFmtId="0" fontId="19086" fillId="19096" borderId="19043" xfId="0" applyFont="1" applyFill="1" applyBorder="1"/>
    <xf numFmtId="0" fontId="19087" fillId="19097" borderId="19044" xfId="0" applyFont="1" applyFill="1" applyBorder="1"/>
    <xf numFmtId="0" fontId="19088" fillId="19098" borderId="19045" xfId="0" applyFont="1" applyFill="1" applyBorder="1"/>
    <xf numFmtId="4" fontId="19089" fillId="19099" borderId="19046" xfId="0" applyNumberFormat="1" applyFont="1" applyFill="1" applyBorder="1"/>
    <xf numFmtId="165" fontId="19090" fillId="19100" borderId="19047" xfId="0" applyNumberFormat="1" applyFont="1" applyFill="1" applyBorder="1"/>
    <xf numFmtId="165" fontId="19091" fillId="19101" borderId="19048" xfId="0" applyNumberFormat="1" applyFont="1" applyFill="1" applyBorder="1"/>
    <xf numFmtId="0" fontId="19092" fillId="19102" borderId="19049" xfId="0" applyFont="1" applyFill="1" applyBorder="1"/>
    <xf numFmtId="0" fontId="19093" fillId="19103" borderId="19050" xfId="0" applyFont="1" applyFill="1" applyBorder="1"/>
    <xf numFmtId="0" fontId="19094" fillId="19104" borderId="19051" xfId="0" applyFont="1" applyFill="1" applyBorder="1"/>
    <xf numFmtId="0" fontId="19095" fillId="19105" borderId="19052" xfId="0" applyFont="1" applyFill="1" applyBorder="1"/>
    <xf numFmtId="14" fontId="19096" fillId="19106" borderId="19053" xfId="0" applyNumberFormat="1" applyFont="1" applyFill="1" applyBorder="1"/>
    <xf numFmtId="0" fontId="19097" fillId="19107" borderId="19054" xfId="0" applyFont="1" applyFill="1" applyBorder="1"/>
    <xf numFmtId="0" fontId="19098" fillId="19108" borderId="19055" xfId="0" applyFont="1" applyFill="1" applyBorder="1"/>
    <xf numFmtId="0" fontId="19099" fillId="19109" borderId="19056" xfId="0" applyFont="1" applyFill="1" applyBorder="1"/>
    <xf numFmtId="4" fontId="19100" fillId="19110" borderId="19057" xfId="0" applyNumberFormat="1" applyFont="1" applyFill="1" applyBorder="1"/>
    <xf numFmtId="165" fontId="19101" fillId="19111" borderId="19058" xfId="0" applyNumberFormat="1" applyFont="1" applyFill="1" applyBorder="1"/>
    <xf numFmtId="165" fontId="19102" fillId="19112" borderId="19059" xfId="0" applyNumberFormat="1" applyFont="1" applyFill="1" applyBorder="1"/>
    <xf numFmtId="0" fontId="19103" fillId="19113" borderId="19060" xfId="0" applyFont="1" applyFill="1" applyBorder="1"/>
    <xf numFmtId="0" fontId="19104" fillId="19114" borderId="19061" xfId="0" applyFont="1" applyFill="1" applyBorder="1"/>
    <xf numFmtId="0" fontId="19105" fillId="19115" borderId="19062" xfId="0" applyFont="1" applyFill="1" applyBorder="1"/>
    <xf numFmtId="0" fontId="19106" fillId="19116" borderId="19063" xfId="0" applyFont="1" applyFill="1" applyBorder="1"/>
    <xf numFmtId="14" fontId="19107" fillId="19117" borderId="19064" xfId="0" applyNumberFormat="1" applyFont="1" applyFill="1" applyBorder="1"/>
    <xf numFmtId="0" fontId="19108" fillId="19118" borderId="19065" xfId="0" applyFont="1" applyFill="1" applyBorder="1"/>
    <xf numFmtId="0" fontId="19109" fillId="19119" borderId="19066" xfId="0" applyFont="1" applyFill="1" applyBorder="1"/>
    <xf numFmtId="0" fontId="19110" fillId="19120" borderId="19067" xfId="0" applyFont="1" applyFill="1" applyBorder="1"/>
    <xf numFmtId="4" fontId="19111" fillId="19121" borderId="19068" xfId="0" applyNumberFormat="1" applyFont="1" applyFill="1" applyBorder="1"/>
    <xf numFmtId="165" fontId="19112" fillId="19122" borderId="19069" xfId="0" applyNumberFormat="1" applyFont="1" applyFill="1" applyBorder="1"/>
    <xf numFmtId="165" fontId="19113" fillId="19123" borderId="19070" xfId="0" applyNumberFormat="1" applyFont="1" applyFill="1" applyBorder="1"/>
    <xf numFmtId="0" fontId="19114" fillId="19124" borderId="19071" xfId="0" applyFont="1" applyFill="1" applyBorder="1"/>
    <xf numFmtId="0" fontId="19115" fillId="19125" borderId="19072" xfId="0" applyFont="1" applyFill="1" applyBorder="1"/>
    <xf numFmtId="0" fontId="19116" fillId="19126" borderId="19073" xfId="0" applyFont="1" applyFill="1" applyBorder="1"/>
    <xf numFmtId="0" fontId="19117" fillId="19127" borderId="19074" xfId="0" applyFont="1" applyFill="1" applyBorder="1"/>
    <xf numFmtId="14" fontId="19118" fillId="19128" borderId="19075" xfId="0" applyNumberFormat="1" applyFont="1" applyFill="1" applyBorder="1"/>
    <xf numFmtId="0" fontId="19119" fillId="19129" borderId="19076" xfId="0" applyFont="1" applyFill="1" applyBorder="1"/>
    <xf numFmtId="0" fontId="19120" fillId="19130" borderId="19077" xfId="0" applyFont="1" applyFill="1" applyBorder="1"/>
    <xf numFmtId="0" fontId="19121" fillId="19131" borderId="19078" xfId="0" applyFont="1" applyFill="1" applyBorder="1"/>
    <xf numFmtId="4" fontId="19122" fillId="19132" borderId="19079" xfId="0" applyNumberFormat="1" applyFont="1" applyFill="1" applyBorder="1"/>
    <xf numFmtId="165" fontId="19123" fillId="19133" borderId="19080" xfId="0" applyNumberFormat="1" applyFont="1" applyFill="1" applyBorder="1"/>
    <xf numFmtId="165" fontId="19124" fillId="19134" borderId="19081" xfId="0" applyNumberFormat="1" applyFont="1" applyFill="1" applyBorder="1"/>
    <xf numFmtId="0" fontId="19125" fillId="19135" borderId="19082" xfId="0" applyFont="1" applyFill="1" applyBorder="1"/>
    <xf numFmtId="0" fontId="19126" fillId="19136" borderId="19083" xfId="0" applyFont="1" applyFill="1" applyBorder="1"/>
    <xf numFmtId="0" fontId="19127" fillId="19137" borderId="19084" xfId="0" applyFont="1" applyFill="1" applyBorder="1"/>
    <xf numFmtId="0" fontId="19128" fillId="19138" borderId="19085" xfId="0" applyFont="1" applyFill="1" applyBorder="1"/>
    <xf numFmtId="14" fontId="19129" fillId="19139" borderId="19086" xfId="0" applyNumberFormat="1" applyFont="1" applyFill="1" applyBorder="1"/>
    <xf numFmtId="0" fontId="19130" fillId="19140" borderId="19087" xfId="0" applyFont="1" applyFill="1" applyBorder="1"/>
    <xf numFmtId="0" fontId="19131" fillId="19141" borderId="19088" xfId="0" applyFont="1" applyFill="1" applyBorder="1"/>
    <xf numFmtId="0" fontId="19132" fillId="19142" borderId="19089" xfId="0" applyFont="1" applyFill="1" applyBorder="1"/>
    <xf numFmtId="4" fontId="19133" fillId="19143" borderId="19090" xfId="0" applyNumberFormat="1" applyFont="1" applyFill="1" applyBorder="1"/>
    <xf numFmtId="165" fontId="19134" fillId="19144" borderId="19091" xfId="0" applyNumberFormat="1" applyFont="1" applyFill="1" applyBorder="1"/>
    <xf numFmtId="165" fontId="19135" fillId="19145" borderId="19092" xfId="0" applyNumberFormat="1" applyFont="1" applyFill="1" applyBorder="1"/>
    <xf numFmtId="0" fontId="19136" fillId="19146" borderId="19093" xfId="0" applyFont="1" applyFill="1" applyBorder="1"/>
    <xf numFmtId="0" fontId="19137" fillId="19147" borderId="19094" xfId="0" applyFont="1" applyFill="1" applyBorder="1"/>
    <xf numFmtId="0" fontId="19138" fillId="19148" borderId="19095" xfId="0" applyFont="1" applyFill="1" applyBorder="1"/>
    <xf numFmtId="0" fontId="19139" fillId="19149" borderId="19096" xfId="0" applyFont="1" applyFill="1" applyBorder="1"/>
    <xf numFmtId="14" fontId="19140" fillId="19150" borderId="19097" xfId="0" applyNumberFormat="1" applyFont="1" applyFill="1" applyBorder="1"/>
    <xf numFmtId="0" fontId="19141" fillId="19151" borderId="19098" xfId="0" applyFont="1" applyFill="1" applyBorder="1"/>
    <xf numFmtId="0" fontId="19142" fillId="19152" borderId="19099" xfId="0" applyFont="1" applyFill="1" applyBorder="1"/>
    <xf numFmtId="0" fontId="19143" fillId="19153" borderId="19100" xfId="0" applyFont="1" applyFill="1" applyBorder="1"/>
    <xf numFmtId="4" fontId="19144" fillId="19154" borderId="19101" xfId="0" applyNumberFormat="1" applyFont="1" applyFill="1" applyBorder="1"/>
    <xf numFmtId="165" fontId="19145" fillId="19155" borderId="19102" xfId="0" applyNumberFormat="1" applyFont="1" applyFill="1" applyBorder="1"/>
    <xf numFmtId="165" fontId="19146" fillId="19156" borderId="19103" xfId="0" applyNumberFormat="1" applyFont="1" applyFill="1" applyBorder="1"/>
    <xf numFmtId="0" fontId="19147" fillId="19157" borderId="19104" xfId="0" applyFont="1" applyFill="1" applyBorder="1"/>
    <xf numFmtId="0" fontId="19148" fillId="19158" borderId="19105" xfId="0" applyFont="1" applyFill="1" applyBorder="1"/>
    <xf numFmtId="0" fontId="19149" fillId="19159" borderId="19106" xfId="0" applyFont="1" applyFill="1" applyBorder="1"/>
    <xf numFmtId="0" fontId="19150" fillId="19160" borderId="19107" xfId="0" applyFont="1" applyFill="1" applyBorder="1"/>
    <xf numFmtId="14" fontId="19151" fillId="19161" borderId="19108" xfId="0" applyNumberFormat="1" applyFont="1" applyFill="1" applyBorder="1"/>
    <xf numFmtId="0" fontId="19152" fillId="19162" borderId="19109" xfId="0" applyFont="1" applyFill="1" applyBorder="1"/>
    <xf numFmtId="0" fontId="19153" fillId="19163" borderId="19110" xfId="0" applyFont="1" applyFill="1" applyBorder="1"/>
    <xf numFmtId="0" fontId="19154" fillId="19164" borderId="19111" xfId="0" applyFont="1" applyFill="1" applyBorder="1"/>
    <xf numFmtId="4" fontId="19155" fillId="19165" borderId="19112" xfId="0" applyNumberFormat="1" applyFont="1" applyFill="1" applyBorder="1"/>
    <xf numFmtId="165" fontId="19156" fillId="19166" borderId="19113" xfId="0" applyNumberFormat="1" applyFont="1" applyFill="1" applyBorder="1"/>
    <xf numFmtId="165" fontId="19157" fillId="19167" borderId="19114" xfId="0" applyNumberFormat="1" applyFont="1" applyFill="1" applyBorder="1"/>
    <xf numFmtId="0" fontId="19158" fillId="19168" borderId="19115" xfId="0" applyFont="1" applyFill="1" applyBorder="1"/>
    <xf numFmtId="0" fontId="19159" fillId="19169" borderId="19116" xfId="0" applyFont="1" applyFill="1" applyBorder="1"/>
    <xf numFmtId="0" fontId="19160" fillId="19170" borderId="19117" xfId="0" applyFont="1" applyFill="1" applyBorder="1"/>
    <xf numFmtId="0" fontId="19161" fillId="19171" borderId="19118" xfId="0" applyFont="1" applyFill="1" applyBorder="1"/>
    <xf numFmtId="14" fontId="19162" fillId="19172" borderId="19119" xfId="0" applyNumberFormat="1" applyFont="1" applyFill="1" applyBorder="1"/>
    <xf numFmtId="0" fontId="19163" fillId="19173" borderId="19120" xfId="0" applyFont="1" applyFill="1" applyBorder="1"/>
    <xf numFmtId="0" fontId="19164" fillId="19174" borderId="19121" xfId="0" applyFont="1" applyFill="1" applyBorder="1"/>
    <xf numFmtId="0" fontId="19165" fillId="19175" borderId="19122" xfId="0" applyFont="1" applyFill="1" applyBorder="1"/>
    <xf numFmtId="4" fontId="19166" fillId="19176" borderId="19123" xfId="0" applyNumberFormat="1" applyFont="1" applyFill="1" applyBorder="1"/>
    <xf numFmtId="165" fontId="19167" fillId="19177" borderId="19124" xfId="0" applyNumberFormat="1" applyFont="1" applyFill="1" applyBorder="1"/>
    <xf numFmtId="165" fontId="19168" fillId="19178" borderId="19125" xfId="0" applyNumberFormat="1" applyFont="1" applyFill="1" applyBorder="1"/>
    <xf numFmtId="0" fontId="19169" fillId="19179" borderId="19126" xfId="0" applyFont="1" applyFill="1" applyBorder="1"/>
    <xf numFmtId="0" fontId="19170" fillId="19180" borderId="19127" xfId="0" applyFont="1" applyFill="1" applyBorder="1"/>
    <xf numFmtId="0" fontId="19171" fillId="19181" borderId="19128" xfId="0" applyFont="1" applyFill="1" applyBorder="1"/>
    <xf numFmtId="0" fontId="19172" fillId="19182" borderId="19129" xfId="0" applyFont="1" applyFill="1" applyBorder="1"/>
    <xf numFmtId="14" fontId="19173" fillId="19183" borderId="19130" xfId="0" applyNumberFormat="1" applyFont="1" applyFill="1" applyBorder="1"/>
    <xf numFmtId="0" fontId="19174" fillId="19184" borderId="19131" xfId="0" applyFont="1" applyFill="1" applyBorder="1"/>
    <xf numFmtId="0" fontId="19175" fillId="19185" borderId="19132" xfId="0" applyFont="1" applyFill="1" applyBorder="1"/>
    <xf numFmtId="0" fontId="19176" fillId="19186" borderId="19133" xfId="0" applyFont="1" applyFill="1" applyBorder="1"/>
    <xf numFmtId="4" fontId="19177" fillId="19187" borderId="19134" xfId="0" applyNumberFormat="1" applyFont="1" applyFill="1" applyBorder="1"/>
    <xf numFmtId="165" fontId="19178" fillId="19188" borderId="19135" xfId="0" applyNumberFormat="1" applyFont="1" applyFill="1" applyBorder="1"/>
    <xf numFmtId="165" fontId="19179" fillId="19189" borderId="19136" xfId="0" applyNumberFormat="1" applyFont="1" applyFill="1" applyBorder="1"/>
    <xf numFmtId="0" fontId="19180" fillId="19190" borderId="19137" xfId="0" applyFont="1" applyFill="1" applyBorder="1"/>
    <xf numFmtId="0" fontId="19181" fillId="19191" borderId="19138" xfId="0" applyFont="1" applyFill="1" applyBorder="1"/>
    <xf numFmtId="0" fontId="19182" fillId="19192" borderId="19139" xfId="0" applyFont="1" applyFill="1" applyBorder="1"/>
    <xf numFmtId="0" fontId="19183" fillId="19193" borderId="19140" xfId="0" applyFont="1" applyFill="1" applyBorder="1"/>
    <xf numFmtId="14" fontId="19184" fillId="19194" borderId="19141" xfId="0" applyNumberFormat="1" applyFont="1" applyFill="1" applyBorder="1"/>
    <xf numFmtId="0" fontId="19185" fillId="19195" borderId="19142" xfId="0" applyFont="1" applyFill="1" applyBorder="1"/>
    <xf numFmtId="0" fontId="19186" fillId="19196" borderId="19143" xfId="0" applyFont="1" applyFill="1" applyBorder="1"/>
    <xf numFmtId="0" fontId="19187" fillId="19197" borderId="19144" xfId="0" applyFont="1" applyFill="1" applyBorder="1"/>
    <xf numFmtId="4" fontId="19188" fillId="19198" borderId="19145" xfId="0" applyNumberFormat="1" applyFont="1" applyFill="1" applyBorder="1"/>
    <xf numFmtId="165" fontId="19189" fillId="19199" borderId="19146" xfId="0" applyNumberFormat="1" applyFont="1" applyFill="1" applyBorder="1"/>
    <xf numFmtId="165" fontId="19190" fillId="19200" borderId="19147" xfId="0" applyNumberFormat="1" applyFont="1" applyFill="1" applyBorder="1"/>
    <xf numFmtId="0" fontId="19191" fillId="19201" borderId="19148" xfId="0" applyFont="1" applyFill="1" applyBorder="1"/>
    <xf numFmtId="0" fontId="19192" fillId="19202" borderId="19149" xfId="0" applyFont="1" applyFill="1" applyBorder="1"/>
    <xf numFmtId="0" fontId="19193" fillId="19203" borderId="19150" xfId="0" applyFont="1" applyFill="1" applyBorder="1"/>
    <xf numFmtId="0" fontId="19194" fillId="19204" borderId="19151" xfId="0" applyFont="1" applyFill="1" applyBorder="1"/>
    <xf numFmtId="14" fontId="19195" fillId="19205" borderId="19152" xfId="0" applyNumberFormat="1" applyFont="1" applyFill="1" applyBorder="1"/>
    <xf numFmtId="0" fontId="19196" fillId="19206" borderId="19153" xfId="0" applyFont="1" applyFill="1" applyBorder="1"/>
    <xf numFmtId="0" fontId="19197" fillId="19207" borderId="19154" xfId="0" applyFont="1" applyFill="1" applyBorder="1"/>
    <xf numFmtId="0" fontId="19198" fillId="19208" borderId="19155" xfId="0" applyFont="1" applyFill="1" applyBorder="1"/>
    <xf numFmtId="4" fontId="19199" fillId="19209" borderId="19156" xfId="0" applyNumberFormat="1" applyFont="1" applyFill="1" applyBorder="1"/>
    <xf numFmtId="165" fontId="19200" fillId="19210" borderId="19157" xfId="0" applyNumberFormat="1" applyFont="1" applyFill="1" applyBorder="1"/>
    <xf numFmtId="165" fontId="19201" fillId="19211" borderId="19158" xfId="0" applyNumberFormat="1" applyFont="1" applyFill="1" applyBorder="1"/>
    <xf numFmtId="0" fontId="19202" fillId="19212" borderId="19159" xfId="0" applyFont="1" applyFill="1" applyBorder="1"/>
    <xf numFmtId="0" fontId="19203" fillId="19213" borderId="19160" xfId="0" applyFont="1" applyFill="1" applyBorder="1"/>
    <xf numFmtId="0" fontId="19204" fillId="19214" borderId="19161" xfId="0" applyFont="1" applyFill="1" applyBorder="1"/>
    <xf numFmtId="0" fontId="19205" fillId="19215" borderId="19162" xfId="0" applyFont="1" applyFill="1" applyBorder="1"/>
    <xf numFmtId="14" fontId="19206" fillId="19216" borderId="19163" xfId="0" applyNumberFormat="1" applyFont="1" applyFill="1" applyBorder="1"/>
    <xf numFmtId="0" fontId="19207" fillId="19217" borderId="19164" xfId="0" applyFont="1" applyFill="1" applyBorder="1"/>
    <xf numFmtId="0" fontId="19208" fillId="19218" borderId="19165" xfId="0" applyFont="1" applyFill="1" applyBorder="1"/>
    <xf numFmtId="0" fontId="19209" fillId="19219" borderId="19166" xfId="0" applyFont="1" applyFill="1" applyBorder="1"/>
    <xf numFmtId="4" fontId="19210" fillId="19220" borderId="19167" xfId="0" applyNumberFormat="1" applyFont="1" applyFill="1" applyBorder="1"/>
    <xf numFmtId="165" fontId="19211" fillId="19221" borderId="19168" xfId="0" applyNumberFormat="1" applyFont="1" applyFill="1" applyBorder="1"/>
    <xf numFmtId="165" fontId="19212" fillId="19222" borderId="19169" xfId="0" applyNumberFormat="1" applyFont="1" applyFill="1" applyBorder="1"/>
    <xf numFmtId="0" fontId="19213" fillId="19223" borderId="19170" xfId="0" applyFont="1" applyFill="1" applyBorder="1"/>
    <xf numFmtId="0" fontId="19214" fillId="19224" borderId="19171" xfId="0" applyFont="1" applyFill="1" applyBorder="1"/>
    <xf numFmtId="0" fontId="19215" fillId="19225" borderId="19172" xfId="0" applyFont="1" applyFill="1" applyBorder="1"/>
    <xf numFmtId="0" fontId="19216" fillId="19226" borderId="19173" xfId="0" applyFont="1" applyFill="1" applyBorder="1"/>
    <xf numFmtId="14" fontId="19217" fillId="19227" borderId="19174" xfId="0" applyNumberFormat="1" applyFont="1" applyFill="1" applyBorder="1"/>
    <xf numFmtId="0" fontId="19218" fillId="19228" borderId="19175" xfId="0" applyFont="1" applyFill="1" applyBorder="1"/>
    <xf numFmtId="0" fontId="19219" fillId="19229" borderId="19176" xfId="0" applyFont="1" applyFill="1" applyBorder="1"/>
    <xf numFmtId="0" fontId="19220" fillId="19230" borderId="19177" xfId="0" applyFont="1" applyFill="1" applyBorder="1"/>
    <xf numFmtId="4" fontId="19221" fillId="19231" borderId="19178" xfId="0" applyNumberFormat="1" applyFont="1" applyFill="1" applyBorder="1"/>
    <xf numFmtId="165" fontId="19222" fillId="19232" borderId="19179" xfId="0" applyNumberFormat="1" applyFont="1" applyFill="1" applyBorder="1"/>
    <xf numFmtId="165" fontId="19223" fillId="19233" borderId="19180" xfId="0" applyNumberFormat="1" applyFont="1" applyFill="1" applyBorder="1"/>
    <xf numFmtId="0" fontId="19224" fillId="19234" borderId="19181" xfId="0" applyFont="1" applyFill="1" applyBorder="1"/>
    <xf numFmtId="0" fontId="19225" fillId="19235" borderId="19182" xfId="0" applyFont="1" applyFill="1" applyBorder="1"/>
    <xf numFmtId="0" fontId="19226" fillId="19236" borderId="19183" xfId="0" applyFont="1" applyFill="1" applyBorder="1"/>
    <xf numFmtId="0" fontId="19227" fillId="19237" borderId="19184" xfId="0" applyFont="1" applyFill="1" applyBorder="1"/>
    <xf numFmtId="14" fontId="19228" fillId="19238" borderId="19185" xfId="0" applyNumberFormat="1" applyFont="1" applyFill="1" applyBorder="1"/>
    <xf numFmtId="0" fontId="19229" fillId="19239" borderId="19186" xfId="0" applyFont="1" applyFill="1" applyBorder="1"/>
    <xf numFmtId="0" fontId="19230" fillId="19240" borderId="19187" xfId="0" applyFont="1" applyFill="1" applyBorder="1"/>
    <xf numFmtId="0" fontId="19231" fillId="19241" borderId="19188" xfId="0" applyFont="1" applyFill="1" applyBorder="1"/>
    <xf numFmtId="4" fontId="19232" fillId="19242" borderId="19189" xfId="0" applyNumberFormat="1" applyFont="1" applyFill="1" applyBorder="1"/>
    <xf numFmtId="165" fontId="19233" fillId="19243" borderId="19190" xfId="0" applyNumberFormat="1" applyFont="1" applyFill="1" applyBorder="1"/>
    <xf numFmtId="165" fontId="19234" fillId="19244" borderId="19191" xfId="0" applyNumberFormat="1" applyFont="1" applyFill="1" applyBorder="1"/>
    <xf numFmtId="0" fontId="19235" fillId="19245" borderId="19192" xfId="0" applyFont="1" applyFill="1" applyBorder="1"/>
    <xf numFmtId="0" fontId="19236" fillId="19246" borderId="19193" xfId="0" applyFont="1" applyFill="1" applyBorder="1"/>
    <xf numFmtId="0" fontId="19237" fillId="19247" borderId="19194" xfId="0" applyFont="1" applyFill="1" applyBorder="1"/>
    <xf numFmtId="0" fontId="19238" fillId="19248" borderId="19195" xfId="0" applyFont="1" applyFill="1" applyBorder="1"/>
    <xf numFmtId="14" fontId="19239" fillId="19249" borderId="19196" xfId="0" applyNumberFormat="1" applyFont="1" applyFill="1" applyBorder="1"/>
    <xf numFmtId="0" fontId="19240" fillId="19250" borderId="19197" xfId="0" applyFont="1" applyFill="1" applyBorder="1"/>
    <xf numFmtId="0" fontId="19241" fillId="19251" borderId="19198" xfId="0" applyFont="1" applyFill="1" applyBorder="1"/>
    <xf numFmtId="0" fontId="19242" fillId="19252" borderId="19199" xfId="0" applyFont="1" applyFill="1" applyBorder="1"/>
    <xf numFmtId="4" fontId="19243" fillId="19253" borderId="19200" xfId="0" applyNumberFormat="1" applyFont="1" applyFill="1" applyBorder="1"/>
    <xf numFmtId="165" fontId="19244" fillId="19254" borderId="19201" xfId="0" applyNumberFormat="1" applyFont="1" applyFill="1" applyBorder="1"/>
    <xf numFmtId="165" fontId="19245" fillId="19255" borderId="19202" xfId="0" applyNumberFormat="1" applyFont="1" applyFill="1" applyBorder="1"/>
    <xf numFmtId="0" fontId="19246" fillId="19256" borderId="19203" xfId="0" applyFont="1" applyFill="1" applyBorder="1"/>
    <xf numFmtId="0" fontId="19247" fillId="19257" borderId="19204" xfId="0" applyFont="1" applyFill="1" applyBorder="1"/>
    <xf numFmtId="0" fontId="19248" fillId="19258" borderId="19205" xfId="0" applyFont="1" applyFill="1" applyBorder="1"/>
    <xf numFmtId="0" fontId="19249" fillId="19259" borderId="19206" xfId="0" applyFont="1" applyFill="1" applyBorder="1"/>
    <xf numFmtId="14" fontId="19250" fillId="19260" borderId="19207" xfId="0" applyNumberFormat="1" applyFont="1" applyFill="1" applyBorder="1"/>
    <xf numFmtId="0" fontId="19251" fillId="19261" borderId="19208" xfId="0" applyFont="1" applyFill="1" applyBorder="1"/>
    <xf numFmtId="0" fontId="19252" fillId="19262" borderId="19209" xfId="0" applyFont="1" applyFill="1" applyBorder="1"/>
    <xf numFmtId="0" fontId="19253" fillId="19263" borderId="19210" xfId="0" applyFont="1" applyFill="1" applyBorder="1"/>
    <xf numFmtId="4" fontId="19254" fillId="19264" borderId="19211" xfId="0" applyNumberFormat="1" applyFont="1" applyFill="1" applyBorder="1"/>
    <xf numFmtId="165" fontId="19255" fillId="19265" borderId="19212" xfId="0" applyNumberFormat="1" applyFont="1" applyFill="1" applyBorder="1"/>
    <xf numFmtId="165" fontId="19256" fillId="19266" borderId="19213" xfId="0" applyNumberFormat="1" applyFont="1" applyFill="1" applyBorder="1"/>
    <xf numFmtId="0" fontId="19257" fillId="19267" borderId="19214" xfId="0" applyFont="1" applyFill="1" applyBorder="1"/>
    <xf numFmtId="0" fontId="19258" fillId="19268" borderId="19215" xfId="0" applyFont="1" applyFill="1" applyBorder="1"/>
    <xf numFmtId="0" fontId="19259" fillId="19269" borderId="19216" xfId="0" applyFont="1" applyFill="1" applyBorder="1"/>
    <xf numFmtId="0" fontId="19260" fillId="19270" borderId="19217" xfId="0" applyFont="1" applyFill="1" applyBorder="1"/>
    <xf numFmtId="14" fontId="19261" fillId="19271" borderId="19218" xfId="0" applyNumberFormat="1" applyFont="1" applyFill="1" applyBorder="1"/>
    <xf numFmtId="0" fontId="19262" fillId="19272" borderId="19219" xfId="0" applyFont="1" applyFill="1" applyBorder="1"/>
    <xf numFmtId="0" fontId="19263" fillId="19273" borderId="19220" xfId="0" applyFont="1" applyFill="1" applyBorder="1"/>
    <xf numFmtId="0" fontId="19264" fillId="19274" borderId="19221" xfId="0" applyFont="1" applyFill="1" applyBorder="1"/>
    <xf numFmtId="4" fontId="19265" fillId="19275" borderId="19222" xfId="0" applyNumberFormat="1" applyFont="1" applyFill="1" applyBorder="1"/>
    <xf numFmtId="165" fontId="19266" fillId="19276" borderId="19223" xfId="0" applyNumberFormat="1" applyFont="1" applyFill="1" applyBorder="1"/>
    <xf numFmtId="165" fontId="19267" fillId="19277" borderId="19224" xfId="0" applyNumberFormat="1" applyFont="1" applyFill="1" applyBorder="1"/>
    <xf numFmtId="0" fontId="19268" fillId="19278" borderId="19225" xfId="0" applyFont="1" applyFill="1" applyBorder="1"/>
    <xf numFmtId="0" fontId="19269" fillId="19279" borderId="19226" xfId="0" applyFont="1" applyFill="1" applyBorder="1"/>
    <xf numFmtId="0" fontId="19270" fillId="19280" borderId="19227" xfId="0" applyFont="1" applyFill="1" applyBorder="1"/>
    <xf numFmtId="0" fontId="19271" fillId="19281" borderId="19228" xfId="0" applyFont="1" applyFill="1" applyBorder="1"/>
    <xf numFmtId="14" fontId="19272" fillId="19282" borderId="19229" xfId="0" applyNumberFormat="1" applyFont="1" applyFill="1" applyBorder="1"/>
    <xf numFmtId="0" fontId="19273" fillId="19283" borderId="19230" xfId="0" applyFont="1" applyFill="1" applyBorder="1"/>
    <xf numFmtId="0" fontId="19274" fillId="19284" borderId="19231" xfId="0" applyFont="1" applyFill="1" applyBorder="1"/>
    <xf numFmtId="0" fontId="19275" fillId="19285" borderId="19232" xfId="0" applyFont="1" applyFill="1" applyBorder="1"/>
    <xf numFmtId="4" fontId="19276" fillId="19286" borderId="19233" xfId="0" applyNumberFormat="1" applyFont="1" applyFill="1" applyBorder="1"/>
    <xf numFmtId="165" fontId="19277" fillId="19287" borderId="19234" xfId="0" applyNumberFormat="1" applyFont="1" applyFill="1" applyBorder="1"/>
    <xf numFmtId="165" fontId="19278" fillId="19288" borderId="19235" xfId="0" applyNumberFormat="1" applyFont="1" applyFill="1" applyBorder="1"/>
    <xf numFmtId="0" fontId="19279" fillId="19289" borderId="19236" xfId="0" applyFont="1" applyFill="1" applyBorder="1"/>
    <xf numFmtId="0" fontId="19280" fillId="19290" borderId="19237" xfId="0" applyFont="1" applyFill="1" applyBorder="1"/>
    <xf numFmtId="0" fontId="19281" fillId="19291" borderId="19238" xfId="0" applyFont="1" applyFill="1" applyBorder="1"/>
    <xf numFmtId="0" fontId="19282" fillId="19292" borderId="19239" xfId="0" applyFont="1" applyFill="1" applyBorder="1"/>
    <xf numFmtId="14" fontId="19283" fillId="19293" borderId="19240" xfId="0" applyNumberFormat="1" applyFont="1" applyFill="1" applyBorder="1"/>
    <xf numFmtId="0" fontId="19284" fillId="19294" borderId="19241" xfId="0" applyFont="1" applyFill="1" applyBorder="1"/>
    <xf numFmtId="0" fontId="19285" fillId="19295" borderId="19242" xfId="0" applyFont="1" applyFill="1" applyBorder="1"/>
    <xf numFmtId="0" fontId="19286" fillId="19296" borderId="19243" xfId="0" applyFont="1" applyFill="1" applyBorder="1"/>
    <xf numFmtId="4" fontId="19287" fillId="19297" borderId="19244" xfId="0" applyNumberFormat="1" applyFont="1" applyFill="1" applyBorder="1"/>
    <xf numFmtId="165" fontId="19288" fillId="19298" borderId="19245" xfId="0" applyNumberFormat="1" applyFont="1" applyFill="1" applyBorder="1"/>
    <xf numFmtId="165" fontId="19289" fillId="19299" borderId="19246" xfId="0" applyNumberFormat="1" applyFont="1" applyFill="1" applyBorder="1"/>
    <xf numFmtId="0" fontId="19290" fillId="19300" borderId="19247" xfId="0" applyFont="1" applyFill="1" applyBorder="1"/>
    <xf numFmtId="0" fontId="19291" fillId="19301" borderId="19248" xfId="0" applyFont="1" applyFill="1" applyBorder="1"/>
    <xf numFmtId="0" fontId="19292" fillId="19302" borderId="19249" xfId="0" applyFont="1" applyFill="1" applyBorder="1"/>
    <xf numFmtId="0" fontId="19293" fillId="19303" borderId="19250" xfId="0" applyFont="1" applyFill="1" applyBorder="1"/>
    <xf numFmtId="14" fontId="19294" fillId="19304" borderId="19251" xfId="0" applyNumberFormat="1" applyFont="1" applyFill="1" applyBorder="1"/>
    <xf numFmtId="0" fontId="19295" fillId="19305" borderId="19252" xfId="0" applyFont="1" applyFill="1" applyBorder="1"/>
    <xf numFmtId="0" fontId="19296" fillId="19306" borderId="19253" xfId="0" applyFont="1" applyFill="1" applyBorder="1"/>
    <xf numFmtId="0" fontId="19297" fillId="19307" borderId="19254" xfId="0" applyFont="1" applyFill="1" applyBorder="1"/>
    <xf numFmtId="4" fontId="19298" fillId="19308" borderId="19255" xfId="0" applyNumberFormat="1" applyFont="1" applyFill="1" applyBorder="1"/>
    <xf numFmtId="165" fontId="19299" fillId="19309" borderId="19256" xfId="0" applyNumberFormat="1" applyFont="1" applyFill="1" applyBorder="1"/>
    <xf numFmtId="165" fontId="19300" fillId="19310" borderId="19257" xfId="0" applyNumberFormat="1" applyFont="1" applyFill="1" applyBorder="1"/>
    <xf numFmtId="0" fontId="19301" fillId="19311" borderId="19258" xfId="0" applyFont="1" applyFill="1" applyBorder="1"/>
    <xf numFmtId="0" fontId="19302" fillId="19312" borderId="19259" xfId="0" applyFont="1" applyFill="1" applyBorder="1"/>
    <xf numFmtId="0" fontId="19303" fillId="19313" borderId="19260" xfId="0" applyFont="1" applyFill="1" applyBorder="1"/>
    <xf numFmtId="0" fontId="19304" fillId="19314" borderId="19261" xfId="0" applyFont="1" applyFill="1" applyBorder="1"/>
    <xf numFmtId="14" fontId="19305" fillId="19315" borderId="19262" xfId="0" applyNumberFormat="1" applyFont="1" applyFill="1" applyBorder="1"/>
    <xf numFmtId="0" fontId="19306" fillId="19316" borderId="19263" xfId="0" applyFont="1" applyFill="1" applyBorder="1"/>
    <xf numFmtId="0" fontId="19307" fillId="19317" borderId="19264" xfId="0" applyFont="1" applyFill="1" applyBorder="1"/>
    <xf numFmtId="0" fontId="19308" fillId="19318" borderId="19265" xfId="0" applyFont="1" applyFill="1" applyBorder="1"/>
    <xf numFmtId="4" fontId="19309" fillId="19319" borderId="19266" xfId="0" applyNumberFormat="1" applyFont="1" applyFill="1" applyBorder="1"/>
    <xf numFmtId="165" fontId="19310" fillId="19320" borderId="19267" xfId="0" applyNumberFormat="1" applyFont="1" applyFill="1" applyBorder="1"/>
    <xf numFmtId="165" fontId="19311" fillId="19321" borderId="19268" xfId="0" applyNumberFormat="1" applyFont="1" applyFill="1" applyBorder="1"/>
    <xf numFmtId="0" fontId="19312" fillId="19322" borderId="19269" xfId="0" applyFont="1" applyFill="1" applyBorder="1"/>
    <xf numFmtId="0" fontId="19313" fillId="19323" borderId="19270" xfId="0" applyFont="1" applyFill="1" applyBorder="1"/>
    <xf numFmtId="0" fontId="19314" fillId="19324" borderId="19271" xfId="0" applyFont="1" applyFill="1" applyBorder="1"/>
    <xf numFmtId="0" fontId="19315" fillId="19325" borderId="19272" xfId="0" applyFont="1" applyFill="1" applyBorder="1"/>
    <xf numFmtId="14" fontId="19316" fillId="19326" borderId="19273" xfId="0" applyNumberFormat="1" applyFont="1" applyFill="1" applyBorder="1"/>
    <xf numFmtId="0" fontId="19317" fillId="19327" borderId="19274" xfId="0" applyFont="1" applyFill="1" applyBorder="1"/>
    <xf numFmtId="0" fontId="19318" fillId="19328" borderId="19275" xfId="0" applyFont="1" applyFill="1" applyBorder="1"/>
    <xf numFmtId="0" fontId="19319" fillId="19329" borderId="19276" xfId="0" applyFont="1" applyFill="1" applyBorder="1"/>
    <xf numFmtId="4" fontId="19320" fillId="19330" borderId="19277" xfId="0" applyNumberFormat="1" applyFont="1" applyFill="1" applyBorder="1"/>
    <xf numFmtId="165" fontId="19321" fillId="19331" borderId="19278" xfId="0" applyNumberFormat="1" applyFont="1" applyFill="1" applyBorder="1"/>
    <xf numFmtId="165" fontId="19322" fillId="19332" borderId="19279" xfId="0" applyNumberFormat="1" applyFont="1" applyFill="1" applyBorder="1"/>
    <xf numFmtId="0" fontId="19323" fillId="19333" borderId="19280" xfId="0" applyFont="1" applyFill="1" applyBorder="1"/>
    <xf numFmtId="0" fontId="19324" fillId="19334" borderId="19281" xfId="0" applyFont="1" applyFill="1" applyBorder="1"/>
    <xf numFmtId="0" fontId="19325" fillId="19335" borderId="19282" xfId="0" applyFont="1" applyFill="1" applyBorder="1"/>
    <xf numFmtId="0" fontId="19326" fillId="19336" borderId="19283" xfId="0" applyFont="1" applyFill="1" applyBorder="1"/>
    <xf numFmtId="14" fontId="19327" fillId="19337" borderId="19284" xfId="0" applyNumberFormat="1" applyFont="1" applyFill="1" applyBorder="1"/>
    <xf numFmtId="0" fontId="19328" fillId="19338" borderId="19285" xfId="0" applyFont="1" applyFill="1" applyBorder="1"/>
    <xf numFmtId="0" fontId="19329" fillId="19339" borderId="19286" xfId="0" applyFont="1" applyFill="1" applyBorder="1"/>
    <xf numFmtId="0" fontId="19330" fillId="19340" borderId="19287" xfId="0" applyFont="1" applyFill="1" applyBorder="1"/>
    <xf numFmtId="4" fontId="19331" fillId="19341" borderId="19288" xfId="0" applyNumberFormat="1" applyFont="1" applyFill="1" applyBorder="1"/>
    <xf numFmtId="165" fontId="19332" fillId="19342" borderId="19289" xfId="0" applyNumberFormat="1" applyFont="1" applyFill="1" applyBorder="1"/>
    <xf numFmtId="165" fontId="19333" fillId="19343" borderId="19290" xfId="0" applyNumberFormat="1" applyFont="1" applyFill="1" applyBorder="1"/>
    <xf numFmtId="0" fontId="19334" fillId="19344" borderId="19291" xfId="0" applyFont="1" applyFill="1" applyBorder="1"/>
    <xf numFmtId="0" fontId="19335" fillId="19345" borderId="19292" xfId="0" applyFont="1" applyFill="1" applyBorder="1"/>
    <xf numFmtId="0" fontId="19336" fillId="19346" borderId="19293" xfId="0" applyFont="1" applyFill="1" applyBorder="1"/>
    <xf numFmtId="0" fontId="19337" fillId="19347" borderId="19294" xfId="0" applyFont="1" applyFill="1" applyBorder="1"/>
    <xf numFmtId="14" fontId="19338" fillId="19348" borderId="19295" xfId="0" applyNumberFormat="1" applyFont="1" applyFill="1" applyBorder="1"/>
    <xf numFmtId="0" fontId="19339" fillId="19349" borderId="19296" xfId="0" applyFont="1" applyFill="1" applyBorder="1"/>
    <xf numFmtId="0" fontId="19340" fillId="19350" borderId="19297" xfId="0" applyFont="1" applyFill="1" applyBorder="1"/>
    <xf numFmtId="0" fontId="19341" fillId="19351" borderId="19298" xfId="0" applyFont="1" applyFill="1" applyBorder="1"/>
    <xf numFmtId="4" fontId="19342" fillId="19352" borderId="19299" xfId="0" applyNumberFormat="1" applyFont="1" applyFill="1" applyBorder="1"/>
    <xf numFmtId="165" fontId="19343" fillId="19353" borderId="19300" xfId="0" applyNumberFormat="1" applyFont="1" applyFill="1" applyBorder="1"/>
    <xf numFmtId="165" fontId="19344" fillId="19354" borderId="19301" xfId="0" applyNumberFormat="1" applyFont="1" applyFill="1" applyBorder="1"/>
    <xf numFmtId="0" fontId="19345" fillId="19355" borderId="19302" xfId="0" applyFont="1" applyFill="1" applyBorder="1"/>
    <xf numFmtId="0" fontId="19346" fillId="19356" borderId="19303" xfId="0" applyFont="1" applyFill="1" applyBorder="1"/>
    <xf numFmtId="0" fontId="19347" fillId="19357" borderId="19304" xfId="0" applyFont="1" applyFill="1" applyBorder="1"/>
    <xf numFmtId="0" fontId="19348" fillId="19358" borderId="19305" xfId="0" applyFont="1" applyFill="1" applyBorder="1"/>
    <xf numFmtId="14" fontId="19349" fillId="19359" borderId="19306" xfId="0" applyNumberFormat="1" applyFont="1" applyFill="1" applyBorder="1"/>
    <xf numFmtId="0" fontId="19350" fillId="19360" borderId="19307" xfId="0" applyFont="1" applyFill="1" applyBorder="1"/>
    <xf numFmtId="0" fontId="19351" fillId="19361" borderId="19308" xfId="0" applyFont="1" applyFill="1" applyBorder="1"/>
    <xf numFmtId="0" fontId="19352" fillId="19362" borderId="19309" xfId="0" applyFont="1" applyFill="1" applyBorder="1"/>
    <xf numFmtId="4" fontId="19353" fillId="19363" borderId="19310" xfId="0" applyNumberFormat="1" applyFont="1" applyFill="1" applyBorder="1"/>
    <xf numFmtId="165" fontId="19354" fillId="19364" borderId="19311" xfId="0" applyNumberFormat="1" applyFont="1" applyFill="1" applyBorder="1"/>
    <xf numFmtId="165" fontId="19355" fillId="19365" borderId="19312" xfId="0" applyNumberFormat="1" applyFont="1" applyFill="1" applyBorder="1"/>
    <xf numFmtId="0" fontId="19356" fillId="19366" borderId="19313" xfId="0" applyFont="1" applyFill="1" applyBorder="1"/>
    <xf numFmtId="0" fontId="19357" fillId="19367" borderId="19314" xfId="0" applyFont="1" applyFill="1" applyBorder="1"/>
    <xf numFmtId="0" fontId="19358" fillId="19368" borderId="19315" xfId="0" applyFont="1" applyFill="1" applyBorder="1"/>
    <xf numFmtId="0" fontId="19359" fillId="19369" borderId="19316" xfId="0" applyFont="1" applyFill="1" applyBorder="1"/>
    <xf numFmtId="14" fontId="19360" fillId="19370" borderId="19317" xfId="0" applyNumberFormat="1" applyFont="1" applyFill="1" applyBorder="1"/>
    <xf numFmtId="0" fontId="19361" fillId="19371" borderId="19318" xfId="0" applyFont="1" applyFill="1" applyBorder="1"/>
    <xf numFmtId="0" fontId="19362" fillId="19372" borderId="19319" xfId="0" applyFont="1" applyFill="1" applyBorder="1"/>
    <xf numFmtId="0" fontId="19363" fillId="19373" borderId="19320" xfId="0" applyFont="1" applyFill="1" applyBorder="1"/>
    <xf numFmtId="4" fontId="19364" fillId="19374" borderId="19321" xfId="0" applyNumberFormat="1" applyFont="1" applyFill="1" applyBorder="1"/>
    <xf numFmtId="165" fontId="19365" fillId="19375" borderId="19322" xfId="0" applyNumberFormat="1" applyFont="1" applyFill="1" applyBorder="1"/>
    <xf numFmtId="165" fontId="19366" fillId="19376" borderId="19323" xfId="0" applyNumberFormat="1" applyFont="1" applyFill="1" applyBorder="1"/>
    <xf numFmtId="0" fontId="19367" fillId="19377" borderId="19324" xfId="0" applyFont="1" applyFill="1" applyBorder="1"/>
    <xf numFmtId="0" fontId="19368" fillId="19378" borderId="19325" xfId="0" applyFont="1" applyFill="1" applyBorder="1"/>
    <xf numFmtId="0" fontId="19369" fillId="19379" borderId="19326" xfId="0" applyFont="1" applyFill="1" applyBorder="1"/>
    <xf numFmtId="0" fontId="19370" fillId="19380" borderId="19327" xfId="0" applyFont="1" applyFill="1" applyBorder="1"/>
    <xf numFmtId="14" fontId="19371" fillId="19381" borderId="19328" xfId="0" applyNumberFormat="1" applyFont="1" applyFill="1" applyBorder="1"/>
    <xf numFmtId="0" fontId="19372" fillId="19382" borderId="19329" xfId="0" applyFont="1" applyFill="1" applyBorder="1"/>
    <xf numFmtId="0" fontId="19373" fillId="19383" borderId="19330" xfId="0" applyFont="1" applyFill="1" applyBorder="1"/>
    <xf numFmtId="0" fontId="19374" fillId="19384" borderId="19331" xfId="0" applyFont="1" applyFill="1" applyBorder="1"/>
    <xf numFmtId="4" fontId="19375" fillId="19385" borderId="19332" xfId="0" applyNumberFormat="1" applyFont="1" applyFill="1" applyBorder="1"/>
    <xf numFmtId="165" fontId="19376" fillId="19386" borderId="19333" xfId="0" applyNumberFormat="1" applyFont="1" applyFill="1" applyBorder="1"/>
    <xf numFmtId="165" fontId="19377" fillId="19387" borderId="19334" xfId="0" applyNumberFormat="1" applyFont="1" applyFill="1" applyBorder="1"/>
    <xf numFmtId="0" fontId="19378" fillId="19388" borderId="19335" xfId="0" applyFont="1" applyFill="1" applyBorder="1"/>
    <xf numFmtId="0" fontId="19379" fillId="19389" borderId="19336" xfId="0" applyFont="1" applyFill="1" applyBorder="1"/>
    <xf numFmtId="0" fontId="19380" fillId="19390" borderId="19337" xfId="0" applyFont="1" applyFill="1" applyBorder="1"/>
    <xf numFmtId="0" fontId="19381" fillId="19391" borderId="19338" xfId="0" applyFont="1" applyFill="1" applyBorder="1"/>
    <xf numFmtId="14" fontId="19382" fillId="19392" borderId="19339" xfId="0" applyNumberFormat="1" applyFont="1" applyFill="1" applyBorder="1"/>
    <xf numFmtId="0" fontId="19383" fillId="19393" borderId="19340" xfId="0" applyFont="1" applyFill="1" applyBorder="1"/>
    <xf numFmtId="0" fontId="19384" fillId="19394" borderId="19341" xfId="0" applyFont="1" applyFill="1" applyBorder="1"/>
    <xf numFmtId="0" fontId="19385" fillId="19395" borderId="19342" xfId="0" applyFont="1" applyFill="1" applyBorder="1"/>
    <xf numFmtId="4" fontId="19386" fillId="19396" borderId="19343" xfId="0" applyNumberFormat="1" applyFont="1" applyFill="1" applyBorder="1"/>
    <xf numFmtId="165" fontId="19387" fillId="19397" borderId="19344" xfId="0" applyNumberFormat="1" applyFont="1" applyFill="1" applyBorder="1"/>
    <xf numFmtId="165" fontId="19388" fillId="19398" borderId="19345" xfId="0" applyNumberFormat="1" applyFont="1" applyFill="1" applyBorder="1"/>
    <xf numFmtId="0" fontId="19389" fillId="19399" borderId="19346" xfId="0" applyFont="1" applyFill="1" applyBorder="1"/>
    <xf numFmtId="0" fontId="19390" fillId="19400" borderId="19347" xfId="0" applyFont="1" applyFill="1" applyBorder="1"/>
    <xf numFmtId="0" fontId="19391" fillId="19401" borderId="19348" xfId="0" applyFont="1" applyFill="1" applyBorder="1"/>
    <xf numFmtId="0" fontId="19392" fillId="19402" borderId="19349" xfId="0" applyFont="1" applyFill="1" applyBorder="1"/>
    <xf numFmtId="14" fontId="19393" fillId="19403" borderId="19350" xfId="0" applyNumberFormat="1" applyFont="1" applyFill="1" applyBorder="1"/>
    <xf numFmtId="0" fontId="19394" fillId="19404" borderId="19351" xfId="0" applyFont="1" applyFill="1" applyBorder="1"/>
    <xf numFmtId="0" fontId="19395" fillId="19405" borderId="19352" xfId="0" applyFont="1" applyFill="1" applyBorder="1"/>
    <xf numFmtId="0" fontId="19396" fillId="19406" borderId="19353" xfId="0" applyFont="1" applyFill="1" applyBorder="1"/>
    <xf numFmtId="4" fontId="19397" fillId="19407" borderId="19354" xfId="0" applyNumberFormat="1" applyFont="1" applyFill="1" applyBorder="1"/>
    <xf numFmtId="165" fontId="19398" fillId="19408" borderId="19355" xfId="0" applyNumberFormat="1" applyFont="1" applyFill="1" applyBorder="1"/>
    <xf numFmtId="165" fontId="19399" fillId="19409" borderId="19356" xfId="0" applyNumberFormat="1" applyFont="1" applyFill="1" applyBorder="1"/>
    <xf numFmtId="0" fontId="19400" fillId="19410" borderId="19357" xfId="0" applyFont="1" applyFill="1" applyBorder="1"/>
    <xf numFmtId="0" fontId="19401" fillId="19411" borderId="19358" xfId="0" applyFont="1" applyFill="1" applyBorder="1"/>
    <xf numFmtId="0" fontId="19402" fillId="19412" borderId="19359" xfId="0" applyFont="1" applyFill="1" applyBorder="1"/>
    <xf numFmtId="0" fontId="19403" fillId="19413" borderId="19360" xfId="0" applyFont="1" applyFill="1" applyBorder="1"/>
    <xf numFmtId="14" fontId="19404" fillId="19414" borderId="19361" xfId="0" applyNumberFormat="1" applyFont="1" applyFill="1" applyBorder="1"/>
    <xf numFmtId="0" fontId="19405" fillId="19415" borderId="19362" xfId="0" applyFont="1" applyFill="1" applyBorder="1"/>
    <xf numFmtId="0" fontId="19406" fillId="19416" borderId="19363" xfId="0" applyFont="1" applyFill="1" applyBorder="1"/>
    <xf numFmtId="0" fontId="19407" fillId="19417" borderId="19364" xfId="0" applyFont="1" applyFill="1" applyBorder="1"/>
    <xf numFmtId="4" fontId="19408" fillId="19418" borderId="19365" xfId="0" applyNumberFormat="1" applyFont="1" applyFill="1" applyBorder="1"/>
    <xf numFmtId="165" fontId="19409" fillId="19419" borderId="19366" xfId="0" applyNumberFormat="1" applyFont="1" applyFill="1" applyBorder="1"/>
    <xf numFmtId="165" fontId="19410" fillId="19420" borderId="19367" xfId="0" applyNumberFormat="1" applyFont="1" applyFill="1" applyBorder="1"/>
    <xf numFmtId="0" fontId="19411" fillId="19421" borderId="19368" xfId="0" applyFont="1" applyFill="1" applyBorder="1"/>
    <xf numFmtId="0" fontId="19412" fillId="19422" borderId="19369" xfId="0" applyFont="1" applyFill="1" applyBorder="1"/>
    <xf numFmtId="0" fontId="19413" fillId="19423" borderId="19370" xfId="0" applyFont="1" applyFill="1" applyBorder="1"/>
    <xf numFmtId="0" fontId="19414" fillId="19424" borderId="19371" xfId="0" applyFont="1" applyFill="1" applyBorder="1"/>
    <xf numFmtId="14" fontId="19415" fillId="19425" borderId="19372" xfId="0" applyNumberFormat="1" applyFont="1" applyFill="1" applyBorder="1"/>
    <xf numFmtId="0" fontId="19416" fillId="19426" borderId="19373" xfId="0" applyFont="1" applyFill="1" applyBorder="1"/>
    <xf numFmtId="0" fontId="19417" fillId="19427" borderId="19374" xfId="0" applyFont="1" applyFill="1" applyBorder="1"/>
    <xf numFmtId="0" fontId="19418" fillId="19428" borderId="19375" xfId="0" applyFont="1" applyFill="1" applyBorder="1"/>
    <xf numFmtId="4" fontId="19419" fillId="19429" borderId="19376" xfId="0" applyNumberFormat="1" applyFont="1" applyFill="1" applyBorder="1"/>
    <xf numFmtId="165" fontId="19420" fillId="19430" borderId="19377" xfId="0" applyNumberFormat="1" applyFont="1" applyFill="1" applyBorder="1"/>
    <xf numFmtId="165" fontId="19421" fillId="19431" borderId="19378" xfId="0" applyNumberFormat="1" applyFont="1" applyFill="1" applyBorder="1"/>
    <xf numFmtId="0" fontId="19422" fillId="19432" borderId="19379" xfId="0" applyFont="1" applyFill="1" applyBorder="1"/>
    <xf numFmtId="0" fontId="19423" fillId="19433" borderId="19380" xfId="0" applyFont="1" applyFill="1" applyBorder="1"/>
    <xf numFmtId="0" fontId="19424" fillId="19434" borderId="19381" xfId="0" applyFont="1" applyFill="1" applyBorder="1"/>
    <xf numFmtId="0" fontId="19425" fillId="19435" borderId="19382" xfId="0" applyFont="1" applyFill="1" applyBorder="1"/>
    <xf numFmtId="14" fontId="19426" fillId="19436" borderId="19383" xfId="0" applyNumberFormat="1" applyFont="1" applyFill="1" applyBorder="1"/>
    <xf numFmtId="0" fontId="19427" fillId="19437" borderId="19384" xfId="0" applyFont="1" applyFill="1" applyBorder="1"/>
    <xf numFmtId="0" fontId="19428" fillId="19438" borderId="19385" xfId="0" applyFont="1" applyFill="1" applyBorder="1"/>
    <xf numFmtId="0" fontId="19429" fillId="19439" borderId="19386" xfId="0" applyFont="1" applyFill="1" applyBorder="1"/>
    <xf numFmtId="4" fontId="19430" fillId="19440" borderId="19387" xfId="0" applyNumberFormat="1" applyFont="1" applyFill="1" applyBorder="1"/>
    <xf numFmtId="165" fontId="19431" fillId="19441" borderId="19388" xfId="0" applyNumberFormat="1" applyFont="1" applyFill="1" applyBorder="1"/>
    <xf numFmtId="165" fontId="19432" fillId="19442" borderId="19389" xfId="0" applyNumberFormat="1" applyFont="1" applyFill="1" applyBorder="1"/>
    <xf numFmtId="0" fontId="19433" fillId="19443" borderId="19390" xfId="0" applyFont="1" applyFill="1" applyBorder="1"/>
    <xf numFmtId="0" fontId="19434" fillId="19444" borderId="19391" xfId="0" applyFont="1" applyFill="1" applyBorder="1"/>
    <xf numFmtId="0" fontId="19435" fillId="19445" borderId="19392" xfId="0" applyFont="1" applyFill="1" applyBorder="1"/>
    <xf numFmtId="0" fontId="19436" fillId="19446" borderId="19393" xfId="0" applyFont="1" applyFill="1" applyBorder="1"/>
    <xf numFmtId="14" fontId="19437" fillId="19447" borderId="19394" xfId="0" applyNumberFormat="1" applyFont="1" applyFill="1" applyBorder="1"/>
    <xf numFmtId="0" fontId="19438" fillId="19448" borderId="19395" xfId="0" applyFont="1" applyFill="1" applyBorder="1"/>
    <xf numFmtId="0" fontId="19439" fillId="19449" borderId="19396" xfId="0" applyFont="1" applyFill="1" applyBorder="1"/>
    <xf numFmtId="0" fontId="19440" fillId="19450" borderId="19397" xfId="0" applyFont="1" applyFill="1" applyBorder="1"/>
    <xf numFmtId="4" fontId="19441" fillId="19451" borderId="19398" xfId="0" applyNumberFormat="1" applyFont="1" applyFill="1" applyBorder="1"/>
    <xf numFmtId="165" fontId="19442" fillId="19452" borderId="19399" xfId="0" applyNumberFormat="1" applyFont="1" applyFill="1" applyBorder="1"/>
    <xf numFmtId="165" fontId="19443" fillId="19453" borderId="19400" xfId="0" applyNumberFormat="1" applyFont="1" applyFill="1" applyBorder="1"/>
    <xf numFmtId="0" fontId="19444" fillId="19454" borderId="19401" xfId="0" applyFont="1" applyFill="1" applyBorder="1"/>
    <xf numFmtId="0" fontId="19445" fillId="19455" borderId="19402" xfId="0" applyFont="1" applyFill="1" applyBorder="1"/>
    <xf numFmtId="0" fontId="19446" fillId="19456" borderId="19403" xfId="0" applyFont="1" applyFill="1" applyBorder="1"/>
    <xf numFmtId="0" fontId="19447" fillId="19457" borderId="19404" xfId="0" applyFont="1" applyFill="1" applyBorder="1"/>
    <xf numFmtId="14" fontId="19448" fillId="19458" borderId="19405" xfId="0" applyNumberFormat="1" applyFont="1" applyFill="1" applyBorder="1"/>
    <xf numFmtId="0" fontId="19449" fillId="19459" borderId="19406" xfId="0" applyFont="1" applyFill="1" applyBorder="1"/>
    <xf numFmtId="0" fontId="19450" fillId="19460" borderId="19407" xfId="0" applyFont="1" applyFill="1" applyBorder="1"/>
    <xf numFmtId="0" fontId="19451" fillId="19461" borderId="19408" xfId="0" applyFont="1" applyFill="1" applyBorder="1"/>
    <xf numFmtId="4" fontId="19452" fillId="19462" borderId="19409" xfId="0" applyNumberFormat="1" applyFont="1" applyFill="1" applyBorder="1"/>
    <xf numFmtId="165" fontId="19453" fillId="19463" borderId="19410" xfId="0" applyNumberFormat="1" applyFont="1" applyFill="1" applyBorder="1"/>
    <xf numFmtId="165" fontId="19454" fillId="19464" borderId="19411" xfId="0" applyNumberFormat="1" applyFont="1" applyFill="1" applyBorder="1"/>
    <xf numFmtId="0" fontId="19455" fillId="19465" borderId="19412" xfId="0" applyFont="1" applyFill="1" applyBorder="1"/>
    <xf numFmtId="0" fontId="19456" fillId="19466" borderId="19413" xfId="0" applyFont="1" applyFill="1" applyBorder="1"/>
    <xf numFmtId="0" fontId="19457" fillId="19467" borderId="19414" xfId="0" applyFont="1" applyFill="1" applyBorder="1"/>
    <xf numFmtId="0" fontId="19458" fillId="19468" borderId="19415" xfId="0" applyFont="1" applyFill="1" applyBorder="1"/>
    <xf numFmtId="14" fontId="19459" fillId="19469" borderId="19416" xfId="0" applyNumberFormat="1" applyFont="1" applyFill="1" applyBorder="1"/>
    <xf numFmtId="0" fontId="19460" fillId="19470" borderId="19417" xfId="0" applyFont="1" applyFill="1" applyBorder="1"/>
    <xf numFmtId="0" fontId="19461" fillId="19471" borderId="19418" xfId="0" applyFont="1" applyFill="1" applyBorder="1"/>
    <xf numFmtId="0" fontId="19462" fillId="19472" borderId="19419" xfId="0" applyFont="1" applyFill="1" applyBorder="1"/>
    <xf numFmtId="4" fontId="19463" fillId="19473" borderId="19420" xfId="0" applyNumberFormat="1" applyFont="1" applyFill="1" applyBorder="1"/>
    <xf numFmtId="165" fontId="19464" fillId="19474" borderId="19421" xfId="0" applyNumberFormat="1" applyFont="1" applyFill="1" applyBorder="1"/>
    <xf numFmtId="165" fontId="19465" fillId="19475" borderId="19422" xfId="0" applyNumberFormat="1" applyFont="1" applyFill="1" applyBorder="1"/>
    <xf numFmtId="0" fontId="19466" fillId="19476" borderId="19423" xfId="0" applyFont="1" applyFill="1" applyBorder="1"/>
    <xf numFmtId="0" fontId="19467" fillId="19477" borderId="19424" xfId="0" applyFont="1" applyFill="1" applyBorder="1"/>
    <xf numFmtId="0" fontId="19468" fillId="19478" borderId="19425" xfId="0" applyFont="1" applyFill="1" applyBorder="1"/>
    <xf numFmtId="0" fontId="19469" fillId="19479" borderId="19426" xfId="0" applyFont="1" applyFill="1" applyBorder="1"/>
    <xf numFmtId="14" fontId="19470" fillId="19480" borderId="19427" xfId="0" applyNumberFormat="1" applyFont="1" applyFill="1" applyBorder="1"/>
    <xf numFmtId="0" fontId="19471" fillId="19481" borderId="19428" xfId="0" applyFont="1" applyFill="1" applyBorder="1"/>
    <xf numFmtId="0" fontId="19472" fillId="19482" borderId="19429" xfId="0" applyFont="1" applyFill="1" applyBorder="1"/>
    <xf numFmtId="0" fontId="19473" fillId="19483" borderId="19430" xfId="0" applyFont="1" applyFill="1" applyBorder="1"/>
    <xf numFmtId="4" fontId="19474" fillId="19484" borderId="19431" xfId="0" applyNumberFormat="1" applyFont="1" applyFill="1" applyBorder="1"/>
    <xf numFmtId="165" fontId="19475" fillId="19485" borderId="19432" xfId="0" applyNumberFormat="1" applyFont="1" applyFill="1" applyBorder="1"/>
    <xf numFmtId="165" fontId="19476" fillId="19486" borderId="19433" xfId="0" applyNumberFormat="1" applyFont="1" applyFill="1" applyBorder="1"/>
    <xf numFmtId="0" fontId="19477" fillId="19487" borderId="19434" xfId="0" applyFont="1" applyFill="1" applyBorder="1"/>
    <xf numFmtId="0" fontId="19478" fillId="19488" borderId="19435" xfId="0" applyFont="1" applyFill="1" applyBorder="1"/>
    <xf numFmtId="0" fontId="19479" fillId="19489" borderId="19436" xfId="0" applyFont="1" applyFill="1" applyBorder="1"/>
    <xf numFmtId="0" fontId="19480" fillId="19490" borderId="19437" xfId="0" applyFont="1" applyFill="1" applyBorder="1"/>
    <xf numFmtId="14" fontId="19481" fillId="19491" borderId="19438" xfId="0" applyNumberFormat="1" applyFont="1" applyFill="1" applyBorder="1"/>
    <xf numFmtId="0" fontId="19482" fillId="19492" borderId="19439" xfId="0" applyFont="1" applyFill="1" applyBorder="1"/>
    <xf numFmtId="0" fontId="19483" fillId="19493" borderId="19440" xfId="0" applyFont="1" applyFill="1" applyBorder="1"/>
    <xf numFmtId="0" fontId="19484" fillId="19494" borderId="19441" xfId="0" applyFont="1" applyFill="1" applyBorder="1"/>
    <xf numFmtId="4" fontId="19485" fillId="19495" borderId="19442" xfId="0" applyNumberFormat="1" applyFont="1" applyFill="1" applyBorder="1"/>
    <xf numFmtId="165" fontId="19486" fillId="19496" borderId="19443" xfId="0" applyNumberFormat="1" applyFont="1" applyFill="1" applyBorder="1"/>
    <xf numFmtId="165" fontId="19487" fillId="19497" borderId="19444" xfId="0" applyNumberFormat="1" applyFont="1" applyFill="1" applyBorder="1"/>
    <xf numFmtId="0" fontId="19488" fillId="19498" borderId="19445" xfId="0" applyFont="1" applyFill="1" applyBorder="1"/>
    <xf numFmtId="0" fontId="19489" fillId="19499" borderId="19446" xfId="0" applyFont="1" applyFill="1" applyBorder="1"/>
    <xf numFmtId="0" fontId="19490" fillId="19500" borderId="19447" xfId="0" applyFont="1" applyFill="1" applyBorder="1"/>
    <xf numFmtId="0" fontId="19491" fillId="19501" borderId="19448" xfId="0" applyFont="1" applyFill="1" applyBorder="1"/>
    <xf numFmtId="14" fontId="19492" fillId="19502" borderId="19449" xfId="0" applyNumberFormat="1" applyFont="1" applyFill="1" applyBorder="1"/>
    <xf numFmtId="0" fontId="19493" fillId="19503" borderId="19450" xfId="0" applyFont="1" applyFill="1" applyBorder="1"/>
    <xf numFmtId="0" fontId="19494" fillId="19504" borderId="19451" xfId="0" applyFont="1" applyFill="1" applyBorder="1"/>
    <xf numFmtId="0" fontId="19495" fillId="19505" borderId="19452" xfId="0" applyFont="1" applyFill="1" applyBorder="1"/>
    <xf numFmtId="4" fontId="19496" fillId="19506" borderId="19453" xfId="0" applyNumberFormat="1" applyFont="1" applyFill="1" applyBorder="1"/>
    <xf numFmtId="165" fontId="19497" fillId="19507" borderId="19454" xfId="0" applyNumberFormat="1" applyFont="1" applyFill="1" applyBorder="1"/>
    <xf numFmtId="165" fontId="19498" fillId="19508" borderId="19455" xfId="0" applyNumberFormat="1" applyFont="1" applyFill="1" applyBorder="1"/>
    <xf numFmtId="0" fontId="19499" fillId="19509" borderId="19456" xfId="0" applyFont="1" applyFill="1" applyBorder="1"/>
    <xf numFmtId="0" fontId="19500" fillId="19510" borderId="19457" xfId="0" applyFont="1" applyFill="1" applyBorder="1"/>
    <xf numFmtId="0" fontId="19501" fillId="19511" borderId="19458" xfId="0" applyFont="1" applyFill="1" applyBorder="1"/>
    <xf numFmtId="0" fontId="19502" fillId="19512" borderId="19459" xfId="0" applyFont="1" applyFill="1" applyBorder="1"/>
    <xf numFmtId="14" fontId="19503" fillId="19513" borderId="19460" xfId="0" applyNumberFormat="1" applyFont="1" applyFill="1" applyBorder="1"/>
    <xf numFmtId="0" fontId="19504" fillId="19514" borderId="19461" xfId="0" applyFont="1" applyFill="1" applyBorder="1"/>
    <xf numFmtId="0" fontId="19505" fillId="19515" borderId="19462" xfId="0" applyFont="1" applyFill="1" applyBorder="1"/>
    <xf numFmtId="0" fontId="19506" fillId="19516" borderId="19463" xfId="0" applyFont="1" applyFill="1" applyBorder="1"/>
    <xf numFmtId="4" fontId="19507" fillId="19517" borderId="19464" xfId="0" applyNumberFormat="1" applyFont="1" applyFill="1" applyBorder="1"/>
    <xf numFmtId="165" fontId="19508" fillId="19518" borderId="19465" xfId="0" applyNumberFormat="1" applyFont="1" applyFill="1" applyBorder="1"/>
    <xf numFmtId="165" fontId="19509" fillId="19519" borderId="19466" xfId="0" applyNumberFormat="1" applyFont="1" applyFill="1" applyBorder="1"/>
    <xf numFmtId="0" fontId="19510" fillId="19520" borderId="19467" xfId="0" applyFont="1" applyFill="1" applyBorder="1"/>
    <xf numFmtId="0" fontId="19511" fillId="19521" borderId="19468" xfId="0" applyFont="1" applyFill="1" applyBorder="1"/>
    <xf numFmtId="0" fontId="19512" fillId="19522" borderId="19469" xfId="0" applyFont="1" applyFill="1" applyBorder="1"/>
    <xf numFmtId="0" fontId="19513" fillId="19523" borderId="19470" xfId="0" applyFont="1" applyFill="1" applyBorder="1"/>
    <xf numFmtId="14" fontId="19514" fillId="19524" borderId="19471" xfId="0" applyNumberFormat="1" applyFont="1" applyFill="1" applyBorder="1"/>
    <xf numFmtId="0" fontId="19515" fillId="19525" borderId="19472" xfId="0" applyFont="1" applyFill="1" applyBorder="1"/>
    <xf numFmtId="0" fontId="19516" fillId="19526" borderId="19473" xfId="0" applyFont="1" applyFill="1" applyBorder="1"/>
    <xf numFmtId="0" fontId="19517" fillId="19527" borderId="19474" xfId="0" applyFont="1" applyFill="1" applyBorder="1"/>
    <xf numFmtId="4" fontId="19518" fillId="19528" borderId="19475" xfId="0" applyNumberFormat="1" applyFont="1" applyFill="1" applyBorder="1"/>
    <xf numFmtId="165" fontId="19519" fillId="19529" borderId="19476" xfId="0" applyNumberFormat="1" applyFont="1" applyFill="1" applyBorder="1"/>
    <xf numFmtId="165" fontId="19520" fillId="19530" borderId="19477" xfId="0" applyNumberFormat="1" applyFont="1" applyFill="1" applyBorder="1"/>
    <xf numFmtId="0" fontId="19521" fillId="19531" borderId="19478" xfId="0" applyFont="1" applyFill="1" applyBorder="1"/>
    <xf numFmtId="0" fontId="19522" fillId="19532" borderId="19479" xfId="0" applyFont="1" applyFill="1" applyBorder="1"/>
    <xf numFmtId="0" fontId="19523" fillId="19533" borderId="19480" xfId="0" applyFont="1" applyFill="1" applyBorder="1"/>
    <xf numFmtId="0" fontId="19524" fillId="19534" borderId="19481" xfId="0" applyFont="1" applyFill="1" applyBorder="1"/>
    <xf numFmtId="14" fontId="19525" fillId="19535" borderId="19482" xfId="0" applyNumberFormat="1" applyFont="1" applyFill="1" applyBorder="1"/>
    <xf numFmtId="0" fontId="19526" fillId="19536" borderId="19483" xfId="0" applyFont="1" applyFill="1" applyBorder="1"/>
    <xf numFmtId="0" fontId="19527" fillId="19537" borderId="19484" xfId="0" applyFont="1" applyFill="1" applyBorder="1"/>
    <xf numFmtId="0" fontId="19528" fillId="19538" borderId="19485" xfId="0" applyFont="1" applyFill="1" applyBorder="1"/>
    <xf numFmtId="4" fontId="19529" fillId="19539" borderId="19486" xfId="0" applyNumberFormat="1" applyFont="1" applyFill="1" applyBorder="1"/>
    <xf numFmtId="165" fontId="19530" fillId="19540" borderId="19487" xfId="0" applyNumberFormat="1" applyFont="1" applyFill="1" applyBorder="1"/>
    <xf numFmtId="165" fontId="19531" fillId="19541" borderId="19488" xfId="0" applyNumberFormat="1" applyFont="1" applyFill="1" applyBorder="1"/>
    <xf numFmtId="0" fontId="19532" fillId="19542" borderId="19489" xfId="0" applyFont="1" applyFill="1" applyBorder="1"/>
    <xf numFmtId="0" fontId="19533" fillId="19543" borderId="19490" xfId="0" applyFont="1" applyFill="1" applyBorder="1"/>
    <xf numFmtId="0" fontId="19534" fillId="19544" borderId="19491" xfId="0" applyFont="1" applyFill="1" applyBorder="1"/>
    <xf numFmtId="0" fontId="19535" fillId="19545" borderId="19492" xfId="0" applyFont="1" applyFill="1" applyBorder="1"/>
    <xf numFmtId="14" fontId="19536" fillId="19546" borderId="19493" xfId="0" applyNumberFormat="1" applyFont="1" applyFill="1" applyBorder="1"/>
    <xf numFmtId="0" fontId="19537" fillId="19547" borderId="19494" xfId="0" applyFont="1" applyFill="1" applyBorder="1"/>
    <xf numFmtId="0" fontId="19538" fillId="19548" borderId="19495" xfId="0" applyFont="1" applyFill="1" applyBorder="1"/>
    <xf numFmtId="0" fontId="19539" fillId="19549" borderId="19496" xfId="0" applyFont="1" applyFill="1" applyBorder="1"/>
    <xf numFmtId="4" fontId="19540" fillId="19550" borderId="19497" xfId="0" applyNumberFormat="1" applyFont="1" applyFill="1" applyBorder="1"/>
    <xf numFmtId="165" fontId="19541" fillId="19551" borderId="19498" xfId="0" applyNumberFormat="1" applyFont="1" applyFill="1" applyBorder="1"/>
    <xf numFmtId="165" fontId="19542" fillId="19552" borderId="19499" xfId="0" applyNumberFormat="1" applyFont="1" applyFill="1" applyBorder="1"/>
    <xf numFmtId="0" fontId="19543" fillId="19553" borderId="19500" xfId="0" applyFont="1" applyFill="1" applyBorder="1"/>
    <xf numFmtId="0" fontId="19544" fillId="19554" borderId="19501" xfId="0" applyFont="1" applyFill="1" applyBorder="1"/>
    <xf numFmtId="0" fontId="19545" fillId="19555" borderId="19502" xfId="0" applyFont="1" applyFill="1" applyBorder="1"/>
    <xf numFmtId="0" fontId="19546" fillId="19556" borderId="19503" xfId="0" applyFont="1" applyFill="1" applyBorder="1"/>
    <xf numFmtId="14" fontId="19547" fillId="19557" borderId="19504" xfId="0" applyNumberFormat="1" applyFont="1" applyFill="1" applyBorder="1"/>
    <xf numFmtId="0" fontId="19548" fillId="19558" borderId="19505" xfId="0" applyFont="1" applyFill="1" applyBorder="1"/>
    <xf numFmtId="0" fontId="19549" fillId="19559" borderId="19506" xfId="0" applyFont="1" applyFill="1" applyBorder="1"/>
    <xf numFmtId="0" fontId="19550" fillId="19560" borderId="19507" xfId="0" applyFont="1" applyFill="1" applyBorder="1"/>
    <xf numFmtId="4" fontId="19551" fillId="19561" borderId="19508" xfId="0" applyNumberFormat="1" applyFont="1" applyFill="1" applyBorder="1"/>
    <xf numFmtId="165" fontId="19552" fillId="19562" borderId="19509" xfId="0" applyNumberFormat="1" applyFont="1" applyFill="1" applyBorder="1"/>
    <xf numFmtId="165" fontId="19553" fillId="19563" borderId="19510" xfId="0" applyNumberFormat="1" applyFont="1" applyFill="1" applyBorder="1"/>
    <xf numFmtId="0" fontId="19554" fillId="19564" borderId="19511" xfId="0" applyFont="1" applyFill="1" applyBorder="1"/>
    <xf numFmtId="0" fontId="19555" fillId="19565" borderId="19512" xfId="0" applyFont="1" applyFill="1" applyBorder="1"/>
    <xf numFmtId="0" fontId="19556" fillId="19566" borderId="19513" xfId="0" applyFont="1" applyFill="1" applyBorder="1"/>
    <xf numFmtId="0" fontId="19557" fillId="19567" borderId="19514" xfId="0" applyFont="1" applyFill="1" applyBorder="1"/>
    <xf numFmtId="14" fontId="19558" fillId="19568" borderId="19515" xfId="0" applyNumberFormat="1" applyFont="1" applyFill="1" applyBorder="1"/>
    <xf numFmtId="0" fontId="19559" fillId="19569" borderId="19516" xfId="0" applyFont="1" applyFill="1" applyBorder="1"/>
    <xf numFmtId="0" fontId="19560" fillId="19570" borderId="19517" xfId="0" applyFont="1" applyFill="1" applyBorder="1"/>
    <xf numFmtId="0" fontId="19561" fillId="19571" borderId="19518" xfId="0" applyFont="1" applyFill="1" applyBorder="1"/>
    <xf numFmtId="4" fontId="19562" fillId="19572" borderId="19519" xfId="0" applyNumberFormat="1" applyFont="1" applyFill="1" applyBorder="1"/>
    <xf numFmtId="165" fontId="19563" fillId="19573" borderId="19520" xfId="0" applyNumberFormat="1" applyFont="1" applyFill="1" applyBorder="1"/>
    <xf numFmtId="165" fontId="19564" fillId="19574" borderId="19521" xfId="0" applyNumberFormat="1" applyFont="1" applyFill="1" applyBorder="1"/>
    <xf numFmtId="0" fontId="19565" fillId="19575" borderId="19522" xfId="0" applyFont="1" applyFill="1" applyBorder="1"/>
    <xf numFmtId="0" fontId="19566" fillId="19576" borderId="19523" xfId="0" applyFont="1" applyFill="1" applyBorder="1"/>
    <xf numFmtId="0" fontId="19567" fillId="19577" borderId="19524" xfId="0" applyFont="1" applyFill="1" applyBorder="1"/>
    <xf numFmtId="0" fontId="19568" fillId="19578" borderId="19525" xfId="0" applyFont="1" applyFill="1" applyBorder="1"/>
    <xf numFmtId="14" fontId="19569" fillId="19579" borderId="19526" xfId="0" applyNumberFormat="1" applyFont="1" applyFill="1" applyBorder="1"/>
    <xf numFmtId="0" fontId="19570" fillId="19580" borderId="19527" xfId="0" applyFont="1" applyFill="1" applyBorder="1"/>
    <xf numFmtId="0" fontId="19571" fillId="19581" borderId="19528" xfId="0" applyFont="1" applyFill="1" applyBorder="1"/>
    <xf numFmtId="0" fontId="19572" fillId="19582" borderId="19529" xfId="0" applyFont="1" applyFill="1" applyBorder="1"/>
    <xf numFmtId="4" fontId="19573" fillId="19583" borderId="19530" xfId="0" applyNumberFormat="1" applyFont="1" applyFill="1" applyBorder="1"/>
    <xf numFmtId="165" fontId="19574" fillId="19584" borderId="19531" xfId="0" applyNumberFormat="1" applyFont="1" applyFill="1" applyBorder="1"/>
    <xf numFmtId="165" fontId="19575" fillId="19585" borderId="19532" xfId="0" applyNumberFormat="1" applyFont="1" applyFill="1" applyBorder="1"/>
    <xf numFmtId="0" fontId="19576" fillId="19586" borderId="19533" xfId="0" applyFont="1" applyFill="1" applyBorder="1"/>
    <xf numFmtId="0" fontId="19577" fillId="19587" borderId="19534" xfId="0" applyFont="1" applyFill="1" applyBorder="1"/>
    <xf numFmtId="0" fontId="19578" fillId="19588" borderId="19535" xfId="0" applyFont="1" applyFill="1" applyBorder="1"/>
    <xf numFmtId="0" fontId="19579" fillId="19589" borderId="19536" xfId="0" applyFont="1" applyFill="1" applyBorder="1"/>
    <xf numFmtId="14" fontId="19580" fillId="19590" borderId="19537" xfId="0" applyNumberFormat="1" applyFont="1" applyFill="1" applyBorder="1"/>
    <xf numFmtId="0" fontId="19581" fillId="19591" borderId="19538" xfId="0" applyFont="1" applyFill="1" applyBorder="1"/>
    <xf numFmtId="0" fontId="19582" fillId="19592" borderId="19539" xfId="0" applyFont="1" applyFill="1" applyBorder="1"/>
    <xf numFmtId="0" fontId="19583" fillId="19593" borderId="19540" xfId="0" applyFont="1" applyFill="1" applyBorder="1"/>
    <xf numFmtId="4" fontId="19584" fillId="19594" borderId="19541" xfId="0" applyNumberFormat="1" applyFont="1" applyFill="1" applyBorder="1"/>
    <xf numFmtId="165" fontId="19585" fillId="19595" borderId="19542" xfId="0" applyNumberFormat="1" applyFont="1" applyFill="1" applyBorder="1"/>
    <xf numFmtId="165" fontId="19586" fillId="19596" borderId="19543" xfId="0" applyNumberFormat="1" applyFont="1" applyFill="1" applyBorder="1"/>
    <xf numFmtId="0" fontId="19587" fillId="19597" borderId="19544" xfId="0" applyFont="1" applyFill="1" applyBorder="1"/>
    <xf numFmtId="0" fontId="19588" fillId="19598" borderId="19545" xfId="0" applyFont="1" applyFill="1" applyBorder="1"/>
    <xf numFmtId="0" fontId="19589" fillId="19599" borderId="19546" xfId="0" applyFont="1" applyFill="1" applyBorder="1"/>
    <xf numFmtId="0" fontId="19590" fillId="19600" borderId="19547" xfId="0" applyFont="1" applyFill="1" applyBorder="1"/>
    <xf numFmtId="14" fontId="19591" fillId="19601" borderId="19548" xfId="0" applyNumberFormat="1" applyFont="1" applyFill="1" applyBorder="1"/>
    <xf numFmtId="0" fontId="19592" fillId="19602" borderId="19549" xfId="0" applyFont="1" applyFill="1" applyBorder="1"/>
    <xf numFmtId="0" fontId="19593" fillId="19603" borderId="19550" xfId="0" applyFont="1" applyFill="1" applyBorder="1"/>
    <xf numFmtId="0" fontId="19594" fillId="19604" borderId="19551" xfId="0" applyFont="1" applyFill="1" applyBorder="1"/>
    <xf numFmtId="4" fontId="19595" fillId="19605" borderId="19552" xfId="0" applyNumberFormat="1" applyFont="1" applyFill="1" applyBorder="1"/>
    <xf numFmtId="165" fontId="19596" fillId="19606" borderId="19553" xfId="0" applyNumberFormat="1" applyFont="1" applyFill="1" applyBorder="1"/>
    <xf numFmtId="165" fontId="19597" fillId="19607" borderId="19554" xfId="0" applyNumberFormat="1" applyFont="1" applyFill="1" applyBorder="1"/>
    <xf numFmtId="0" fontId="19598" fillId="19608" borderId="19555" xfId="0" applyFont="1" applyFill="1" applyBorder="1"/>
    <xf numFmtId="0" fontId="19599" fillId="19609" borderId="19556" xfId="0" applyFont="1" applyFill="1" applyBorder="1"/>
    <xf numFmtId="0" fontId="19600" fillId="19610" borderId="19557" xfId="0" applyFont="1" applyFill="1" applyBorder="1"/>
    <xf numFmtId="0" fontId="19601" fillId="19611" borderId="19558" xfId="0" applyFont="1" applyFill="1" applyBorder="1"/>
    <xf numFmtId="14" fontId="19602" fillId="19612" borderId="19559" xfId="0" applyNumberFormat="1" applyFont="1" applyFill="1" applyBorder="1"/>
    <xf numFmtId="0" fontId="19603" fillId="19613" borderId="19560" xfId="0" applyFont="1" applyFill="1" applyBorder="1"/>
    <xf numFmtId="0" fontId="19604" fillId="19614" borderId="19561" xfId="0" applyFont="1" applyFill="1" applyBorder="1"/>
    <xf numFmtId="0" fontId="19605" fillId="19615" borderId="19562" xfId="0" applyFont="1" applyFill="1" applyBorder="1"/>
    <xf numFmtId="4" fontId="19606" fillId="19616" borderId="19563" xfId="0" applyNumberFormat="1" applyFont="1" applyFill="1" applyBorder="1"/>
    <xf numFmtId="165" fontId="19607" fillId="19617" borderId="19564" xfId="0" applyNumberFormat="1" applyFont="1" applyFill="1" applyBorder="1"/>
    <xf numFmtId="165" fontId="19608" fillId="19618" borderId="19565" xfId="0" applyNumberFormat="1" applyFont="1" applyFill="1" applyBorder="1"/>
    <xf numFmtId="0" fontId="19609" fillId="19619" borderId="19566" xfId="0" applyFont="1" applyFill="1" applyBorder="1"/>
    <xf numFmtId="0" fontId="19610" fillId="19620" borderId="19567" xfId="0" applyFont="1" applyFill="1" applyBorder="1"/>
    <xf numFmtId="0" fontId="19611" fillId="19621" borderId="19568" xfId="0" applyFont="1" applyFill="1" applyBorder="1"/>
    <xf numFmtId="0" fontId="19612" fillId="19622" borderId="19569" xfId="0" applyFont="1" applyFill="1" applyBorder="1"/>
    <xf numFmtId="14" fontId="19613" fillId="19623" borderId="19570" xfId="0" applyNumberFormat="1" applyFont="1" applyFill="1" applyBorder="1"/>
    <xf numFmtId="0" fontId="19614" fillId="19624" borderId="19571" xfId="0" applyFont="1" applyFill="1" applyBorder="1"/>
    <xf numFmtId="0" fontId="19615" fillId="19625" borderId="19572" xfId="0" applyFont="1" applyFill="1" applyBorder="1"/>
    <xf numFmtId="0" fontId="19616" fillId="19626" borderId="19573" xfId="0" applyFont="1" applyFill="1" applyBorder="1"/>
    <xf numFmtId="4" fontId="19617" fillId="19627" borderId="19574" xfId="0" applyNumberFormat="1" applyFont="1" applyFill="1" applyBorder="1"/>
    <xf numFmtId="165" fontId="19618" fillId="19628" borderId="19575" xfId="0" applyNumberFormat="1" applyFont="1" applyFill="1" applyBorder="1"/>
    <xf numFmtId="165" fontId="19619" fillId="19629" borderId="19576" xfId="0" applyNumberFormat="1" applyFont="1" applyFill="1" applyBorder="1"/>
    <xf numFmtId="0" fontId="19620" fillId="19630" borderId="19577" xfId="0" applyFont="1" applyFill="1" applyBorder="1"/>
    <xf numFmtId="0" fontId="19621" fillId="19631" borderId="19578" xfId="0" applyFont="1" applyFill="1" applyBorder="1"/>
    <xf numFmtId="0" fontId="19622" fillId="19632" borderId="19579" xfId="0" applyFont="1" applyFill="1" applyBorder="1"/>
    <xf numFmtId="0" fontId="19623" fillId="19633" borderId="19580" xfId="0" applyFont="1" applyFill="1" applyBorder="1"/>
    <xf numFmtId="14" fontId="19624" fillId="19634" borderId="19581" xfId="0" applyNumberFormat="1" applyFont="1" applyFill="1" applyBorder="1"/>
    <xf numFmtId="0" fontId="19625" fillId="19635" borderId="19582" xfId="0" applyFont="1" applyFill="1" applyBorder="1"/>
    <xf numFmtId="0" fontId="19626" fillId="19636" borderId="19583" xfId="0" applyFont="1" applyFill="1" applyBorder="1"/>
    <xf numFmtId="0" fontId="19627" fillId="19637" borderId="19584" xfId="0" applyFont="1" applyFill="1" applyBorder="1"/>
    <xf numFmtId="4" fontId="19628" fillId="19638" borderId="19585" xfId="0" applyNumberFormat="1" applyFont="1" applyFill="1" applyBorder="1"/>
    <xf numFmtId="165" fontId="19629" fillId="19639" borderId="19586" xfId="0" applyNumberFormat="1" applyFont="1" applyFill="1" applyBorder="1"/>
    <xf numFmtId="165" fontId="19630" fillId="19640" borderId="19587" xfId="0" applyNumberFormat="1" applyFont="1" applyFill="1" applyBorder="1"/>
    <xf numFmtId="0" fontId="19631" fillId="19641" borderId="19588" xfId="0" applyFont="1" applyFill="1" applyBorder="1"/>
    <xf numFmtId="0" fontId="19632" fillId="19642" borderId="19589" xfId="0" applyFont="1" applyFill="1" applyBorder="1"/>
    <xf numFmtId="0" fontId="19633" fillId="19643" borderId="19590" xfId="0" applyFont="1" applyFill="1" applyBorder="1"/>
    <xf numFmtId="0" fontId="19634" fillId="19644" borderId="19591" xfId="0" applyFont="1" applyFill="1" applyBorder="1"/>
    <xf numFmtId="14" fontId="19635" fillId="19645" borderId="19592" xfId="0" applyNumberFormat="1" applyFont="1" applyFill="1" applyBorder="1"/>
    <xf numFmtId="0" fontId="19636" fillId="19646" borderId="19593" xfId="0" applyFont="1" applyFill="1" applyBorder="1"/>
    <xf numFmtId="0" fontId="19637" fillId="19647" borderId="19594" xfId="0" applyFont="1" applyFill="1" applyBorder="1"/>
    <xf numFmtId="0" fontId="19638" fillId="19648" borderId="19595" xfId="0" applyFont="1" applyFill="1" applyBorder="1"/>
    <xf numFmtId="4" fontId="19639" fillId="19649" borderId="19596" xfId="0" applyNumberFormat="1" applyFont="1" applyFill="1" applyBorder="1"/>
    <xf numFmtId="165" fontId="19640" fillId="19650" borderId="19597" xfId="0" applyNumberFormat="1" applyFont="1" applyFill="1" applyBorder="1"/>
    <xf numFmtId="165" fontId="19641" fillId="19651" borderId="19598" xfId="0" applyNumberFormat="1" applyFont="1" applyFill="1" applyBorder="1"/>
    <xf numFmtId="0" fontId="19642" fillId="19652" borderId="19599" xfId="0" applyFont="1" applyFill="1" applyBorder="1"/>
    <xf numFmtId="0" fontId="19643" fillId="19653" borderId="19600" xfId="0" applyFont="1" applyFill="1" applyBorder="1"/>
    <xf numFmtId="0" fontId="19644" fillId="19654" borderId="19601" xfId="0" applyFont="1" applyFill="1" applyBorder="1"/>
    <xf numFmtId="0" fontId="19645" fillId="19655" borderId="19602" xfId="0" applyFont="1" applyFill="1" applyBorder="1"/>
    <xf numFmtId="14" fontId="19646" fillId="19656" borderId="19603" xfId="0" applyNumberFormat="1" applyFont="1" applyFill="1" applyBorder="1"/>
    <xf numFmtId="0" fontId="19647" fillId="19657" borderId="19604" xfId="0" applyFont="1" applyFill="1" applyBorder="1"/>
    <xf numFmtId="0" fontId="19648" fillId="19658" borderId="19605" xfId="0" applyFont="1" applyFill="1" applyBorder="1"/>
    <xf numFmtId="0" fontId="19649" fillId="19659" borderId="19606" xfId="0" applyFont="1" applyFill="1" applyBorder="1"/>
    <xf numFmtId="4" fontId="19650" fillId="19660" borderId="19607" xfId="0" applyNumberFormat="1" applyFont="1" applyFill="1" applyBorder="1"/>
    <xf numFmtId="165" fontId="19651" fillId="19661" borderId="19608" xfId="0" applyNumberFormat="1" applyFont="1" applyFill="1" applyBorder="1"/>
    <xf numFmtId="165" fontId="19652" fillId="19662" borderId="19609" xfId="0" applyNumberFormat="1" applyFont="1" applyFill="1" applyBorder="1"/>
    <xf numFmtId="0" fontId="19653" fillId="19663" borderId="19610" xfId="0" applyFont="1" applyFill="1" applyBorder="1"/>
    <xf numFmtId="0" fontId="19654" fillId="19664" borderId="19611" xfId="0" applyFont="1" applyFill="1" applyBorder="1"/>
    <xf numFmtId="0" fontId="19655" fillId="19665" borderId="19612" xfId="0" applyFont="1" applyFill="1" applyBorder="1"/>
    <xf numFmtId="0" fontId="19656" fillId="19666" borderId="19613" xfId="0" applyFont="1" applyFill="1" applyBorder="1"/>
    <xf numFmtId="14" fontId="19657" fillId="19667" borderId="19614" xfId="0" applyNumberFormat="1" applyFont="1" applyFill="1" applyBorder="1"/>
    <xf numFmtId="0" fontId="19658" fillId="19668" borderId="19615" xfId="0" applyFont="1" applyFill="1" applyBorder="1"/>
    <xf numFmtId="0" fontId="19659" fillId="19669" borderId="19616" xfId="0" applyFont="1" applyFill="1" applyBorder="1"/>
    <xf numFmtId="0" fontId="19660" fillId="19670" borderId="19617" xfId="0" applyFont="1" applyFill="1" applyBorder="1"/>
    <xf numFmtId="4" fontId="19661" fillId="19671" borderId="19618" xfId="0" applyNumberFormat="1" applyFont="1" applyFill="1" applyBorder="1"/>
    <xf numFmtId="165" fontId="19662" fillId="19672" borderId="19619" xfId="0" applyNumberFormat="1" applyFont="1" applyFill="1" applyBorder="1"/>
    <xf numFmtId="165" fontId="19663" fillId="19673" borderId="19620" xfId="0" applyNumberFormat="1" applyFont="1" applyFill="1" applyBorder="1"/>
    <xf numFmtId="0" fontId="19664" fillId="19674" borderId="19621" xfId="0" applyFont="1" applyFill="1" applyBorder="1"/>
    <xf numFmtId="0" fontId="19665" fillId="19675" borderId="19622" xfId="0" applyFont="1" applyFill="1" applyBorder="1"/>
    <xf numFmtId="0" fontId="19666" fillId="19676" borderId="19623" xfId="0" applyFont="1" applyFill="1" applyBorder="1"/>
    <xf numFmtId="0" fontId="19667" fillId="19677" borderId="19624" xfId="0" applyFont="1" applyFill="1" applyBorder="1"/>
    <xf numFmtId="14" fontId="19668" fillId="19678" borderId="19625" xfId="0" applyNumberFormat="1" applyFont="1" applyFill="1" applyBorder="1"/>
    <xf numFmtId="0" fontId="19669" fillId="19679" borderId="19626" xfId="0" applyFont="1" applyFill="1" applyBorder="1"/>
    <xf numFmtId="0" fontId="19670" fillId="19680" borderId="19627" xfId="0" applyFont="1" applyFill="1" applyBorder="1"/>
    <xf numFmtId="0" fontId="19671" fillId="19681" borderId="19628" xfId="0" applyFont="1" applyFill="1" applyBorder="1"/>
    <xf numFmtId="4" fontId="19672" fillId="19682" borderId="19629" xfId="0" applyNumberFormat="1" applyFont="1" applyFill="1" applyBorder="1"/>
    <xf numFmtId="165" fontId="19673" fillId="19683" borderId="19630" xfId="0" applyNumberFormat="1" applyFont="1" applyFill="1" applyBorder="1"/>
    <xf numFmtId="165" fontId="19674" fillId="19684" borderId="19631" xfId="0" applyNumberFormat="1" applyFont="1" applyFill="1" applyBorder="1"/>
    <xf numFmtId="0" fontId="19675" fillId="19685" borderId="19632" xfId="0" applyFont="1" applyFill="1" applyBorder="1"/>
    <xf numFmtId="0" fontId="19676" fillId="19686" borderId="19633" xfId="0" applyFont="1" applyFill="1" applyBorder="1"/>
    <xf numFmtId="0" fontId="19677" fillId="19687" borderId="19634" xfId="0" applyFont="1" applyFill="1" applyBorder="1"/>
    <xf numFmtId="0" fontId="19678" fillId="19688" borderId="19635" xfId="0" applyFont="1" applyFill="1" applyBorder="1"/>
    <xf numFmtId="14" fontId="19679" fillId="19689" borderId="19636" xfId="0" applyNumberFormat="1" applyFont="1" applyFill="1" applyBorder="1"/>
    <xf numFmtId="0" fontId="19680" fillId="19690" borderId="19637" xfId="0" applyFont="1" applyFill="1" applyBorder="1"/>
    <xf numFmtId="0" fontId="19681" fillId="19691" borderId="19638" xfId="0" applyFont="1" applyFill="1" applyBorder="1"/>
    <xf numFmtId="0" fontId="19682" fillId="19692" borderId="19639" xfId="0" applyFont="1" applyFill="1" applyBorder="1"/>
    <xf numFmtId="4" fontId="19683" fillId="19693" borderId="19640" xfId="0" applyNumberFormat="1" applyFont="1" applyFill="1" applyBorder="1"/>
    <xf numFmtId="165" fontId="19684" fillId="19694" borderId="19641" xfId="0" applyNumberFormat="1" applyFont="1" applyFill="1" applyBorder="1"/>
    <xf numFmtId="165" fontId="19685" fillId="19695" borderId="19642" xfId="0" applyNumberFormat="1" applyFont="1" applyFill="1" applyBorder="1"/>
    <xf numFmtId="0" fontId="19686" fillId="19696" borderId="19643" xfId="0" applyFont="1" applyFill="1" applyBorder="1"/>
    <xf numFmtId="0" fontId="19687" fillId="19697" borderId="19644" xfId="0" applyFont="1" applyFill="1" applyBorder="1"/>
    <xf numFmtId="0" fontId="19688" fillId="19698" borderId="19645" xfId="0" applyFont="1" applyFill="1" applyBorder="1"/>
    <xf numFmtId="0" fontId="19689" fillId="19699" borderId="19646" xfId="0" applyFont="1" applyFill="1" applyBorder="1"/>
    <xf numFmtId="14" fontId="19690" fillId="19700" borderId="19647" xfId="0" applyNumberFormat="1" applyFont="1" applyFill="1" applyBorder="1"/>
    <xf numFmtId="0" fontId="19691" fillId="19701" borderId="19648" xfId="0" applyFont="1" applyFill="1" applyBorder="1"/>
    <xf numFmtId="0" fontId="19692" fillId="19702" borderId="19649" xfId="0" applyFont="1" applyFill="1" applyBorder="1"/>
    <xf numFmtId="0" fontId="19693" fillId="19703" borderId="19650" xfId="0" applyFont="1" applyFill="1" applyBorder="1"/>
    <xf numFmtId="4" fontId="19694" fillId="19704" borderId="19651" xfId="0" applyNumberFormat="1" applyFont="1" applyFill="1" applyBorder="1"/>
    <xf numFmtId="165" fontId="19695" fillId="19705" borderId="19652" xfId="0" applyNumberFormat="1" applyFont="1" applyFill="1" applyBorder="1"/>
    <xf numFmtId="165" fontId="19696" fillId="19706" borderId="19653" xfId="0" applyNumberFormat="1" applyFont="1" applyFill="1" applyBorder="1"/>
    <xf numFmtId="0" fontId="19697" fillId="19707" borderId="19654" xfId="0" applyFont="1" applyFill="1" applyBorder="1"/>
    <xf numFmtId="0" fontId="19698" fillId="19708" borderId="19655" xfId="0" applyFont="1" applyFill="1" applyBorder="1"/>
    <xf numFmtId="0" fontId="19699" fillId="19709" borderId="19656" xfId="0" applyFont="1" applyFill="1" applyBorder="1"/>
    <xf numFmtId="0" fontId="19700" fillId="19710" borderId="19657" xfId="0" applyFont="1" applyFill="1" applyBorder="1"/>
    <xf numFmtId="14" fontId="19701" fillId="19711" borderId="19658" xfId="0" applyNumberFormat="1" applyFont="1" applyFill="1" applyBorder="1"/>
    <xf numFmtId="0" fontId="19702" fillId="19712" borderId="19659" xfId="0" applyFont="1" applyFill="1" applyBorder="1"/>
    <xf numFmtId="0" fontId="19703" fillId="19713" borderId="19660" xfId="0" applyFont="1" applyFill="1" applyBorder="1"/>
    <xf numFmtId="0" fontId="19704" fillId="19714" borderId="19661" xfId="0" applyFont="1" applyFill="1" applyBorder="1"/>
    <xf numFmtId="4" fontId="19705" fillId="19715" borderId="19662" xfId="0" applyNumberFormat="1" applyFont="1" applyFill="1" applyBorder="1"/>
    <xf numFmtId="165" fontId="19706" fillId="19716" borderId="19663" xfId="0" applyNumberFormat="1" applyFont="1" applyFill="1" applyBorder="1"/>
    <xf numFmtId="165" fontId="19707" fillId="19717" borderId="19664" xfId="0" applyNumberFormat="1" applyFont="1" applyFill="1" applyBorder="1"/>
    <xf numFmtId="0" fontId="19708" fillId="19718" borderId="19665" xfId="0" applyFont="1" applyFill="1" applyBorder="1"/>
    <xf numFmtId="0" fontId="19709" fillId="19719" borderId="19666" xfId="0" applyFont="1" applyFill="1" applyBorder="1"/>
    <xf numFmtId="0" fontId="19710" fillId="19720" borderId="19667" xfId="0" applyFont="1" applyFill="1" applyBorder="1"/>
    <xf numFmtId="0" fontId="19711" fillId="19721" borderId="19668" xfId="0" applyFont="1" applyFill="1" applyBorder="1"/>
    <xf numFmtId="14" fontId="19712" fillId="19722" borderId="19669" xfId="0" applyNumberFormat="1" applyFont="1" applyFill="1" applyBorder="1"/>
    <xf numFmtId="0" fontId="19713" fillId="19723" borderId="19670" xfId="0" applyFont="1" applyFill="1" applyBorder="1"/>
    <xf numFmtId="0" fontId="19714" fillId="19724" borderId="19671" xfId="0" applyFont="1" applyFill="1" applyBorder="1"/>
    <xf numFmtId="0" fontId="19715" fillId="19725" borderId="19672" xfId="0" applyFont="1" applyFill="1" applyBorder="1"/>
    <xf numFmtId="4" fontId="19716" fillId="19726" borderId="19673" xfId="0" applyNumberFormat="1" applyFont="1" applyFill="1" applyBorder="1"/>
    <xf numFmtId="165" fontId="19717" fillId="19727" borderId="19674" xfId="0" applyNumberFormat="1" applyFont="1" applyFill="1" applyBorder="1"/>
    <xf numFmtId="165" fontId="19718" fillId="19728" borderId="19675" xfId="0" applyNumberFormat="1" applyFont="1" applyFill="1" applyBorder="1"/>
    <xf numFmtId="0" fontId="19719" fillId="19729" borderId="19676" xfId="0" applyFont="1" applyFill="1" applyBorder="1"/>
    <xf numFmtId="0" fontId="19720" fillId="19730" borderId="19677" xfId="0" applyFont="1" applyFill="1" applyBorder="1"/>
    <xf numFmtId="0" fontId="19721" fillId="19731" borderId="19678" xfId="0" applyFont="1" applyFill="1" applyBorder="1"/>
    <xf numFmtId="0" fontId="19722" fillId="19732" borderId="19679" xfId="0" applyFont="1" applyFill="1" applyBorder="1"/>
    <xf numFmtId="14" fontId="19723" fillId="19733" borderId="19680" xfId="0" applyNumberFormat="1" applyFont="1" applyFill="1" applyBorder="1"/>
    <xf numFmtId="0" fontId="19724" fillId="19734" borderId="19681" xfId="0" applyFont="1" applyFill="1" applyBorder="1"/>
    <xf numFmtId="0" fontId="19725" fillId="19735" borderId="19682" xfId="0" applyFont="1" applyFill="1" applyBorder="1"/>
    <xf numFmtId="0" fontId="19726" fillId="19736" borderId="19683" xfId="0" applyFont="1" applyFill="1" applyBorder="1"/>
    <xf numFmtId="4" fontId="19727" fillId="19737" borderId="19684" xfId="0" applyNumberFormat="1" applyFont="1" applyFill="1" applyBorder="1"/>
    <xf numFmtId="165" fontId="19728" fillId="19738" borderId="19685" xfId="0" applyNumberFormat="1" applyFont="1" applyFill="1" applyBorder="1"/>
    <xf numFmtId="165" fontId="19729" fillId="19739" borderId="19686" xfId="0" applyNumberFormat="1" applyFont="1" applyFill="1" applyBorder="1"/>
    <xf numFmtId="0" fontId="19730" fillId="19740" borderId="19687" xfId="0" applyFont="1" applyFill="1" applyBorder="1"/>
    <xf numFmtId="0" fontId="19731" fillId="19741" borderId="19688" xfId="0" applyFont="1" applyFill="1" applyBorder="1"/>
    <xf numFmtId="0" fontId="19732" fillId="19742" borderId="19689" xfId="0" applyFont="1" applyFill="1" applyBorder="1"/>
    <xf numFmtId="0" fontId="19733" fillId="19743" borderId="19690" xfId="0" applyFont="1" applyFill="1" applyBorder="1"/>
    <xf numFmtId="14" fontId="19734" fillId="19744" borderId="19691" xfId="0" applyNumberFormat="1" applyFont="1" applyFill="1" applyBorder="1"/>
    <xf numFmtId="0" fontId="19735" fillId="19745" borderId="19692" xfId="0" applyFont="1" applyFill="1" applyBorder="1"/>
    <xf numFmtId="0" fontId="19736" fillId="19746" borderId="19693" xfId="0" applyFont="1" applyFill="1" applyBorder="1"/>
    <xf numFmtId="0" fontId="19737" fillId="19747" borderId="19694" xfId="0" applyFont="1" applyFill="1" applyBorder="1"/>
    <xf numFmtId="4" fontId="19738" fillId="19748" borderId="19695" xfId="0" applyNumberFormat="1" applyFont="1" applyFill="1" applyBorder="1"/>
    <xf numFmtId="165" fontId="19739" fillId="19749" borderId="19696" xfId="0" applyNumberFormat="1" applyFont="1" applyFill="1" applyBorder="1"/>
    <xf numFmtId="165" fontId="19740" fillId="19750" borderId="19697" xfId="0" applyNumberFormat="1" applyFont="1" applyFill="1" applyBorder="1"/>
    <xf numFmtId="0" fontId="19741" fillId="19751" borderId="19698" xfId="0" applyFont="1" applyFill="1" applyBorder="1"/>
    <xf numFmtId="0" fontId="19742" fillId="19752" borderId="19699" xfId="0" applyFont="1" applyFill="1" applyBorder="1"/>
    <xf numFmtId="0" fontId="19743" fillId="19753" borderId="19700" xfId="0" applyFont="1" applyFill="1" applyBorder="1"/>
    <xf numFmtId="0" fontId="19744" fillId="19754" borderId="19701" xfId="0" applyFont="1" applyFill="1" applyBorder="1"/>
    <xf numFmtId="14" fontId="19745" fillId="19755" borderId="19702" xfId="0" applyNumberFormat="1" applyFont="1" applyFill="1" applyBorder="1"/>
    <xf numFmtId="0" fontId="19746" fillId="19756" borderId="19703" xfId="0" applyFont="1" applyFill="1" applyBorder="1"/>
    <xf numFmtId="0" fontId="19747" fillId="19757" borderId="19704" xfId="0" applyFont="1" applyFill="1" applyBorder="1"/>
    <xf numFmtId="0" fontId="19748" fillId="19758" borderId="19705" xfId="0" applyFont="1" applyFill="1" applyBorder="1"/>
    <xf numFmtId="4" fontId="19749" fillId="19759" borderId="19706" xfId="0" applyNumberFormat="1" applyFont="1" applyFill="1" applyBorder="1"/>
    <xf numFmtId="165" fontId="19750" fillId="19760" borderId="19707" xfId="0" applyNumberFormat="1" applyFont="1" applyFill="1" applyBorder="1"/>
    <xf numFmtId="165" fontId="19751" fillId="19761" borderId="19708" xfId="0" applyNumberFormat="1" applyFont="1" applyFill="1" applyBorder="1"/>
    <xf numFmtId="0" fontId="19752" fillId="19762" borderId="19709" xfId="0" applyFont="1" applyFill="1" applyBorder="1"/>
    <xf numFmtId="0" fontId="19753" fillId="19763" borderId="19710" xfId="0" applyFont="1" applyFill="1" applyBorder="1"/>
    <xf numFmtId="0" fontId="19754" fillId="19764" borderId="19711" xfId="0" applyFont="1" applyFill="1" applyBorder="1"/>
    <xf numFmtId="0" fontId="19755" fillId="19765" borderId="19712" xfId="0" applyFont="1" applyFill="1" applyBorder="1"/>
    <xf numFmtId="14" fontId="19756" fillId="19766" borderId="19713" xfId="0" applyNumberFormat="1" applyFont="1" applyFill="1" applyBorder="1"/>
    <xf numFmtId="0" fontId="19757" fillId="19767" borderId="19714" xfId="0" applyFont="1" applyFill="1" applyBorder="1"/>
    <xf numFmtId="0" fontId="19758" fillId="19768" borderId="19715" xfId="0" applyFont="1" applyFill="1" applyBorder="1"/>
    <xf numFmtId="0" fontId="19759" fillId="19769" borderId="19716" xfId="0" applyFont="1" applyFill="1" applyBorder="1"/>
    <xf numFmtId="4" fontId="19760" fillId="19770" borderId="19717" xfId="0" applyNumberFormat="1" applyFont="1" applyFill="1" applyBorder="1"/>
    <xf numFmtId="165" fontId="19761" fillId="19771" borderId="19718" xfId="0" applyNumberFormat="1" applyFont="1" applyFill="1" applyBorder="1"/>
    <xf numFmtId="165" fontId="19762" fillId="19772" borderId="19719" xfId="0" applyNumberFormat="1" applyFont="1" applyFill="1" applyBorder="1"/>
    <xf numFmtId="0" fontId="19763" fillId="19773" borderId="19720" xfId="0" applyFont="1" applyFill="1" applyBorder="1"/>
    <xf numFmtId="0" fontId="19764" fillId="19774" borderId="19721" xfId="0" applyFont="1" applyFill="1" applyBorder="1"/>
    <xf numFmtId="0" fontId="19765" fillId="19775" borderId="19722" xfId="0" applyFont="1" applyFill="1" applyBorder="1"/>
    <xf numFmtId="0" fontId="19766" fillId="19776" borderId="19723" xfId="0" applyFont="1" applyFill="1" applyBorder="1"/>
    <xf numFmtId="14" fontId="19767" fillId="19777" borderId="19724" xfId="0" applyNumberFormat="1" applyFont="1" applyFill="1" applyBorder="1"/>
    <xf numFmtId="0" fontId="19768" fillId="19778" borderId="19725" xfId="0" applyFont="1" applyFill="1" applyBorder="1"/>
    <xf numFmtId="0" fontId="19769" fillId="19779" borderId="19726" xfId="0" applyFont="1" applyFill="1" applyBorder="1"/>
    <xf numFmtId="0" fontId="19770" fillId="19780" borderId="19727" xfId="0" applyFont="1" applyFill="1" applyBorder="1"/>
    <xf numFmtId="4" fontId="19771" fillId="19781" borderId="19728" xfId="0" applyNumberFormat="1" applyFont="1" applyFill="1" applyBorder="1"/>
    <xf numFmtId="165" fontId="19772" fillId="19782" borderId="19729" xfId="0" applyNumberFormat="1" applyFont="1" applyFill="1" applyBorder="1"/>
    <xf numFmtId="165" fontId="19773" fillId="19783" borderId="19730" xfId="0" applyNumberFormat="1" applyFont="1" applyFill="1" applyBorder="1"/>
    <xf numFmtId="0" fontId="19774" fillId="19784" borderId="19731" xfId="0" applyFont="1" applyFill="1" applyBorder="1"/>
    <xf numFmtId="0" fontId="19775" fillId="19785" borderId="19732" xfId="0" applyFont="1" applyFill="1" applyBorder="1"/>
    <xf numFmtId="0" fontId="19776" fillId="19786" borderId="19733" xfId="0" applyFont="1" applyFill="1" applyBorder="1"/>
    <xf numFmtId="0" fontId="19777" fillId="19787" borderId="19734" xfId="0" applyFont="1" applyFill="1" applyBorder="1"/>
    <xf numFmtId="14" fontId="19778" fillId="19788" borderId="19735" xfId="0" applyNumberFormat="1" applyFont="1" applyFill="1" applyBorder="1"/>
    <xf numFmtId="0" fontId="19779" fillId="19789" borderId="19736" xfId="0" applyFont="1" applyFill="1" applyBorder="1"/>
    <xf numFmtId="0" fontId="19780" fillId="19790" borderId="19737" xfId="0" applyFont="1" applyFill="1" applyBorder="1"/>
    <xf numFmtId="0" fontId="19781" fillId="19791" borderId="19738" xfId="0" applyFont="1" applyFill="1" applyBorder="1"/>
    <xf numFmtId="4" fontId="19782" fillId="19792" borderId="19739" xfId="0" applyNumberFormat="1" applyFont="1" applyFill="1" applyBorder="1"/>
    <xf numFmtId="165" fontId="19783" fillId="19793" borderId="19740" xfId="0" applyNumberFormat="1" applyFont="1" applyFill="1" applyBorder="1"/>
    <xf numFmtId="165" fontId="19784" fillId="19794" borderId="19741" xfId="0" applyNumberFormat="1" applyFont="1" applyFill="1" applyBorder="1"/>
    <xf numFmtId="0" fontId="19785" fillId="19795" borderId="19742" xfId="0" applyFont="1" applyFill="1" applyBorder="1"/>
    <xf numFmtId="0" fontId="19786" fillId="19796" borderId="19743" xfId="0" applyFont="1" applyFill="1" applyBorder="1"/>
    <xf numFmtId="0" fontId="19787" fillId="19797" borderId="19744" xfId="0" applyFont="1" applyFill="1" applyBorder="1"/>
    <xf numFmtId="0" fontId="19788" fillId="19798" borderId="19745" xfId="0" applyFont="1" applyFill="1" applyBorder="1"/>
    <xf numFmtId="14" fontId="19789" fillId="19799" borderId="19746" xfId="0" applyNumberFormat="1" applyFont="1" applyFill="1" applyBorder="1"/>
    <xf numFmtId="0" fontId="19790" fillId="19800" borderId="19747" xfId="0" applyFont="1" applyFill="1" applyBorder="1"/>
    <xf numFmtId="0" fontId="19791" fillId="19801" borderId="19748" xfId="0" applyFont="1" applyFill="1" applyBorder="1"/>
    <xf numFmtId="0" fontId="19792" fillId="19802" borderId="19749" xfId="0" applyFont="1" applyFill="1" applyBorder="1"/>
    <xf numFmtId="4" fontId="19793" fillId="19803" borderId="19750" xfId="0" applyNumberFormat="1" applyFont="1" applyFill="1" applyBorder="1"/>
    <xf numFmtId="165" fontId="19794" fillId="19804" borderId="19751" xfId="0" applyNumberFormat="1" applyFont="1" applyFill="1" applyBorder="1"/>
    <xf numFmtId="165" fontId="19795" fillId="19805" borderId="19752" xfId="0" applyNumberFormat="1" applyFont="1" applyFill="1" applyBorder="1"/>
    <xf numFmtId="0" fontId="19796" fillId="19806" borderId="19753" xfId="0" applyFont="1" applyFill="1" applyBorder="1"/>
    <xf numFmtId="0" fontId="19797" fillId="19807" borderId="19754" xfId="0" applyFont="1" applyFill="1" applyBorder="1"/>
    <xf numFmtId="0" fontId="19798" fillId="19808" borderId="19755" xfId="0" applyFont="1" applyFill="1" applyBorder="1"/>
    <xf numFmtId="0" fontId="19799" fillId="19809" borderId="19756" xfId="0" applyFont="1" applyFill="1" applyBorder="1"/>
    <xf numFmtId="14" fontId="19800" fillId="19810" borderId="19757" xfId="0" applyNumberFormat="1" applyFont="1" applyFill="1" applyBorder="1"/>
    <xf numFmtId="0" fontId="19801" fillId="19811" borderId="19758" xfId="0" applyFont="1" applyFill="1" applyBorder="1"/>
    <xf numFmtId="0" fontId="19802" fillId="19812" borderId="19759" xfId="0" applyFont="1" applyFill="1" applyBorder="1"/>
    <xf numFmtId="0" fontId="19803" fillId="19813" borderId="19760" xfId="0" applyFont="1" applyFill="1" applyBorder="1"/>
    <xf numFmtId="4" fontId="19804" fillId="19814" borderId="19761" xfId="0" applyNumberFormat="1" applyFont="1" applyFill="1" applyBorder="1"/>
    <xf numFmtId="165" fontId="19805" fillId="19815" borderId="19762" xfId="0" applyNumberFormat="1" applyFont="1" applyFill="1" applyBorder="1"/>
    <xf numFmtId="165" fontId="19806" fillId="19816" borderId="19763" xfId="0" applyNumberFormat="1" applyFont="1" applyFill="1" applyBorder="1"/>
    <xf numFmtId="0" fontId="19807" fillId="19817" borderId="19764" xfId="0" applyFont="1" applyFill="1" applyBorder="1"/>
    <xf numFmtId="0" fontId="19808" fillId="19818" borderId="19765" xfId="0" applyFont="1" applyFill="1" applyBorder="1"/>
    <xf numFmtId="0" fontId="19809" fillId="19819" borderId="19766" xfId="0" applyFont="1" applyFill="1" applyBorder="1"/>
    <xf numFmtId="0" fontId="19810" fillId="19820" borderId="19767" xfId="0" applyFont="1" applyFill="1" applyBorder="1"/>
    <xf numFmtId="14" fontId="19811" fillId="19821" borderId="19768" xfId="0" applyNumberFormat="1" applyFont="1" applyFill="1" applyBorder="1"/>
    <xf numFmtId="0" fontId="19812" fillId="19822" borderId="19769" xfId="0" applyFont="1" applyFill="1" applyBorder="1"/>
    <xf numFmtId="0" fontId="19813" fillId="19823" borderId="19770" xfId="0" applyFont="1" applyFill="1" applyBorder="1"/>
    <xf numFmtId="0" fontId="19814" fillId="19824" borderId="19771" xfId="0" applyFont="1" applyFill="1" applyBorder="1"/>
    <xf numFmtId="4" fontId="19815" fillId="19825" borderId="19772" xfId="0" applyNumberFormat="1" applyFont="1" applyFill="1" applyBorder="1"/>
    <xf numFmtId="165" fontId="19816" fillId="19826" borderId="19773" xfId="0" applyNumberFormat="1" applyFont="1" applyFill="1" applyBorder="1"/>
    <xf numFmtId="165" fontId="19817" fillId="19827" borderId="19774" xfId="0" applyNumberFormat="1" applyFont="1" applyFill="1" applyBorder="1"/>
    <xf numFmtId="0" fontId="19818" fillId="19828" borderId="19775" xfId="0" applyFont="1" applyFill="1" applyBorder="1"/>
    <xf numFmtId="0" fontId="19819" fillId="19829" borderId="19776" xfId="0" applyFont="1" applyFill="1" applyBorder="1"/>
    <xf numFmtId="0" fontId="19820" fillId="19830" borderId="19777" xfId="0" applyFont="1" applyFill="1" applyBorder="1"/>
    <xf numFmtId="0" fontId="19821" fillId="19831" borderId="19778" xfId="0" applyFont="1" applyFill="1" applyBorder="1"/>
    <xf numFmtId="14" fontId="19822" fillId="19832" borderId="19779" xfId="0" applyNumberFormat="1" applyFont="1" applyFill="1" applyBorder="1"/>
    <xf numFmtId="0" fontId="19823" fillId="19833" borderId="19780" xfId="0" applyFont="1" applyFill="1" applyBorder="1"/>
    <xf numFmtId="0" fontId="19824" fillId="19834" borderId="19781" xfId="0" applyFont="1" applyFill="1" applyBorder="1"/>
    <xf numFmtId="0" fontId="19825" fillId="19835" borderId="19782" xfId="0" applyFont="1" applyFill="1" applyBorder="1"/>
    <xf numFmtId="4" fontId="19826" fillId="19836" borderId="19783" xfId="0" applyNumberFormat="1" applyFont="1" applyFill="1" applyBorder="1"/>
    <xf numFmtId="165" fontId="19827" fillId="19837" borderId="19784" xfId="0" applyNumberFormat="1" applyFont="1" applyFill="1" applyBorder="1"/>
    <xf numFmtId="165" fontId="19828" fillId="19838" borderId="19785" xfId="0" applyNumberFormat="1" applyFont="1" applyFill="1" applyBorder="1"/>
    <xf numFmtId="0" fontId="19829" fillId="19839" borderId="19786" xfId="0" applyFont="1" applyFill="1" applyBorder="1"/>
    <xf numFmtId="0" fontId="19830" fillId="19840" borderId="19787" xfId="0" applyFont="1" applyFill="1" applyBorder="1"/>
    <xf numFmtId="0" fontId="19831" fillId="19841" borderId="19788" xfId="0" applyFont="1" applyFill="1" applyBorder="1"/>
    <xf numFmtId="0" fontId="19832" fillId="19842" borderId="19789" xfId="0" applyFont="1" applyFill="1" applyBorder="1"/>
    <xf numFmtId="14" fontId="19833" fillId="19843" borderId="19790" xfId="0" applyNumberFormat="1" applyFont="1" applyFill="1" applyBorder="1"/>
    <xf numFmtId="0" fontId="19834" fillId="19844" borderId="19791" xfId="0" applyFont="1" applyFill="1" applyBorder="1"/>
    <xf numFmtId="0" fontId="19835" fillId="19845" borderId="19792" xfId="0" applyFont="1" applyFill="1" applyBorder="1"/>
    <xf numFmtId="0" fontId="19836" fillId="19846" borderId="19793" xfId="0" applyFont="1" applyFill="1" applyBorder="1"/>
    <xf numFmtId="4" fontId="19837" fillId="19847" borderId="19794" xfId="0" applyNumberFormat="1" applyFont="1" applyFill="1" applyBorder="1"/>
    <xf numFmtId="165" fontId="19838" fillId="19848" borderId="19795" xfId="0" applyNumberFormat="1" applyFont="1" applyFill="1" applyBorder="1"/>
    <xf numFmtId="165" fontId="19839" fillId="19849" borderId="19796" xfId="0" applyNumberFormat="1" applyFont="1" applyFill="1" applyBorder="1"/>
    <xf numFmtId="0" fontId="19840" fillId="19850" borderId="19797" xfId="0" applyFont="1" applyFill="1" applyBorder="1"/>
    <xf numFmtId="0" fontId="19841" fillId="19851" borderId="19798" xfId="0" applyFont="1" applyFill="1" applyBorder="1"/>
    <xf numFmtId="0" fontId="19842" fillId="19852" borderId="19799" xfId="0" applyFont="1" applyFill="1" applyBorder="1"/>
    <xf numFmtId="0" fontId="19843" fillId="19853" borderId="19800" xfId="0" applyFont="1" applyFill="1" applyBorder="1"/>
    <xf numFmtId="14" fontId="19844" fillId="19854" borderId="19801" xfId="0" applyNumberFormat="1" applyFont="1" applyFill="1" applyBorder="1"/>
    <xf numFmtId="0" fontId="19845" fillId="19855" borderId="19802" xfId="0" applyFont="1" applyFill="1" applyBorder="1"/>
    <xf numFmtId="0" fontId="19846" fillId="19856" borderId="19803" xfId="0" applyFont="1" applyFill="1" applyBorder="1"/>
    <xf numFmtId="0" fontId="19847" fillId="19857" borderId="19804" xfId="0" applyFont="1" applyFill="1" applyBorder="1"/>
    <xf numFmtId="4" fontId="19848" fillId="19858" borderId="19805" xfId="0" applyNumberFormat="1" applyFont="1" applyFill="1" applyBorder="1"/>
    <xf numFmtId="165" fontId="19849" fillId="19859" borderId="19806" xfId="0" applyNumberFormat="1" applyFont="1" applyFill="1" applyBorder="1"/>
    <xf numFmtId="165" fontId="19850" fillId="19860" borderId="19807" xfId="0" applyNumberFormat="1" applyFont="1" applyFill="1" applyBorder="1"/>
    <xf numFmtId="0" fontId="19851" fillId="19861" borderId="19808" xfId="0" applyFont="1" applyFill="1" applyBorder="1"/>
    <xf numFmtId="0" fontId="19852" fillId="19862" borderId="19809" xfId="0" applyFont="1" applyFill="1" applyBorder="1"/>
    <xf numFmtId="0" fontId="19853" fillId="19863" borderId="19810" xfId="0" applyFont="1" applyFill="1" applyBorder="1"/>
    <xf numFmtId="0" fontId="19854" fillId="19864" borderId="19811" xfId="0" applyFont="1" applyFill="1" applyBorder="1"/>
    <xf numFmtId="14" fontId="19855" fillId="19865" borderId="19812" xfId="0" applyNumberFormat="1" applyFont="1" applyFill="1" applyBorder="1"/>
    <xf numFmtId="0" fontId="19856" fillId="19866" borderId="19813" xfId="0" applyFont="1" applyFill="1" applyBorder="1"/>
    <xf numFmtId="0" fontId="19857" fillId="19867" borderId="19814" xfId="0" applyFont="1" applyFill="1" applyBorder="1"/>
    <xf numFmtId="0" fontId="19858" fillId="19868" borderId="19815" xfId="0" applyFont="1" applyFill="1" applyBorder="1"/>
    <xf numFmtId="4" fontId="19859" fillId="19869" borderId="19816" xfId="0" applyNumberFormat="1" applyFont="1" applyFill="1" applyBorder="1"/>
    <xf numFmtId="165" fontId="19860" fillId="19870" borderId="19817" xfId="0" applyNumberFormat="1" applyFont="1" applyFill="1" applyBorder="1"/>
    <xf numFmtId="165" fontId="19861" fillId="19871" borderId="19818" xfId="0" applyNumberFormat="1" applyFont="1" applyFill="1" applyBorder="1"/>
    <xf numFmtId="0" fontId="19862" fillId="19872" borderId="19819" xfId="0" applyFont="1" applyFill="1" applyBorder="1"/>
    <xf numFmtId="0" fontId="19863" fillId="19873" borderId="19820" xfId="0" applyFont="1" applyFill="1" applyBorder="1"/>
    <xf numFmtId="0" fontId="19864" fillId="19874" borderId="19821" xfId="0" applyFont="1" applyFill="1" applyBorder="1"/>
    <xf numFmtId="0" fontId="19865" fillId="19875" borderId="19822" xfId="0" applyFont="1" applyFill="1" applyBorder="1"/>
    <xf numFmtId="14" fontId="19866" fillId="19876" borderId="19823" xfId="0" applyNumberFormat="1" applyFont="1" applyFill="1" applyBorder="1"/>
    <xf numFmtId="0" fontId="19867" fillId="19877" borderId="19824" xfId="0" applyFont="1" applyFill="1" applyBorder="1"/>
    <xf numFmtId="0" fontId="19868" fillId="19878" borderId="19825" xfId="0" applyFont="1" applyFill="1" applyBorder="1"/>
    <xf numFmtId="0" fontId="19869" fillId="19879" borderId="19826" xfId="0" applyFont="1" applyFill="1" applyBorder="1"/>
    <xf numFmtId="4" fontId="19870" fillId="19880" borderId="19827" xfId="0" applyNumberFormat="1" applyFont="1" applyFill="1" applyBorder="1"/>
    <xf numFmtId="165" fontId="19871" fillId="19881" borderId="19828" xfId="0" applyNumberFormat="1" applyFont="1" applyFill="1" applyBorder="1"/>
    <xf numFmtId="165" fontId="19872" fillId="19882" borderId="19829" xfId="0" applyNumberFormat="1" applyFont="1" applyFill="1" applyBorder="1"/>
    <xf numFmtId="0" fontId="19873" fillId="19883" borderId="19830" xfId="0" applyFont="1" applyFill="1" applyBorder="1"/>
    <xf numFmtId="0" fontId="19874" fillId="19884" borderId="19831" xfId="0" applyFont="1" applyFill="1" applyBorder="1"/>
    <xf numFmtId="0" fontId="19875" fillId="19885" borderId="19832" xfId="0" applyFont="1" applyFill="1" applyBorder="1"/>
    <xf numFmtId="0" fontId="19876" fillId="19886" borderId="19833" xfId="0" applyFont="1" applyFill="1" applyBorder="1"/>
    <xf numFmtId="14" fontId="19877" fillId="19887" borderId="19834" xfId="0" applyNumberFormat="1" applyFont="1" applyFill="1" applyBorder="1"/>
    <xf numFmtId="0" fontId="19878" fillId="19888" borderId="19835" xfId="0" applyFont="1" applyFill="1" applyBorder="1"/>
    <xf numFmtId="0" fontId="19879" fillId="19889" borderId="19836" xfId="0" applyFont="1" applyFill="1" applyBorder="1"/>
    <xf numFmtId="0" fontId="19880" fillId="19890" borderId="19837" xfId="0" applyFont="1" applyFill="1" applyBorder="1"/>
    <xf numFmtId="4" fontId="19881" fillId="19891" borderId="19838" xfId="0" applyNumberFormat="1" applyFont="1" applyFill="1" applyBorder="1"/>
    <xf numFmtId="165" fontId="19882" fillId="19892" borderId="19839" xfId="0" applyNumberFormat="1" applyFont="1" applyFill="1" applyBorder="1"/>
    <xf numFmtId="165" fontId="19883" fillId="19893" borderId="19840" xfId="0" applyNumberFormat="1" applyFont="1" applyFill="1" applyBorder="1"/>
    <xf numFmtId="0" fontId="19884" fillId="19894" borderId="19841" xfId="0" applyFont="1" applyFill="1" applyBorder="1"/>
    <xf numFmtId="0" fontId="19885" fillId="19895" borderId="19842" xfId="0" applyFont="1" applyFill="1" applyBorder="1"/>
    <xf numFmtId="0" fontId="19886" fillId="19896" borderId="19843" xfId="0" applyFont="1" applyFill="1" applyBorder="1"/>
    <xf numFmtId="0" fontId="19887" fillId="19897" borderId="19844" xfId="0" applyFont="1" applyFill="1" applyBorder="1"/>
    <xf numFmtId="14" fontId="19888" fillId="19898" borderId="19845" xfId="0" applyNumberFormat="1" applyFont="1" applyFill="1" applyBorder="1"/>
    <xf numFmtId="0" fontId="19889" fillId="19899" borderId="19846" xfId="0" applyFont="1" applyFill="1" applyBorder="1"/>
    <xf numFmtId="0" fontId="19890" fillId="19900" borderId="19847" xfId="0" applyFont="1" applyFill="1" applyBorder="1"/>
    <xf numFmtId="0" fontId="19891" fillId="19901" borderId="19848" xfId="0" applyFont="1" applyFill="1" applyBorder="1"/>
    <xf numFmtId="4" fontId="19892" fillId="19902" borderId="19849" xfId="0" applyNumberFormat="1" applyFont="1" applyFill="1" applyBorder="1"/>
    <xf numFmtId="165" fontId="19893" fillId="19903" borderId="19850" xfId="0" applyNumberFormat="1" applyFont="1" applyFill="1" applyBorder="1"/>
    <xf numFmtId="165" fontId="19894" fillId="19904" borderId="19851" xfId="0" applyNumberFormat="1" applyFont="1" applyFill="1" applyBorder="1"/>
    <xf numFmtId="0" fontId="19895" fillId="19905" borderId="19852" xfId="0" applyFont="1" applyFill="1" applyBorder="1"/>
    <xf numFmtId="0" fontId="19896" fillId="19906" borderId="19853" xfId="0" applyFont="1" applyFill="1" applyBorder="1"/>
    <xf numFmtId="0" fontId="19897" fillId="19907" borderId="19854" xfId="0" applyFont="1" applyFill="1" applyBorder="1"/>
    <xf numFmtId="0" fontId="19898" fillId="19908" borderId="19855" xfId="0" applyFont="1" applyFill="1" applyBorder="1"/>
    <xf numFmtId="14" fontId="19899" fillId="19909" borderId="19856" xfId="0" applyNumberFormat="1" applyFont="1" applyFill="1" applyBorder="1"/>
    <xf numFmtId="0" fontId="19900" fillId="19910" borderId="19857" xfId="0" applyFont="1" applyFill="1" applyBorder="1"/>
    <xf numFmtId="0" fontId="19901" fillId="19911" borderId="19858" xfId="0" applyFont="1" applyFill="1" applyBorder="1"/>
    <xf numFmtId="0" fontId="19902" fillId="19912" borderId="19859" xfId="0" applyFont="1" applyFill="1" applyBorder="1"/>
    <xf numFmtId="4" fontId="19903" fillId="19913" borderId="19860" xfId="0" applyNumberFormat="1" applyFont="1" applyFill="1" applyBorder="1"/>
    <xf numFmtId="165" fontId="19904" fillId="19914" borderId="19861" xfId="0" applyNumberFormat="1" applyFont="1" applyFill="1" applyBorder="1"/>
    <xf numFmtId="165" fontId="19905" fillId="19915" borderId="19862" xfId="0" applyNumberFormat="1" applyFont="1" applyFill="1" applyBorder="1"/>
    <xf numFmtId="0" fontId="19906" fillId="19916" borderId="19863" xfId="0" applyFont="1" applyFill="1" applyBorder="1"/>
    <xf numFmtId="0" fontId="19907" fillId="19917" borderId="19864" xfId="0" applyFont="1" applyFill="1" applyBorder="1"/>
    <xf numFmtId="0" fontId="19908" fillId="19918" borderId="19865" xfId="0" applyFont="1" applyFill="1" applyBorder="1"/>
    <xf numFmtId="0" fontId="19909" fillId="19919" borderId="19866" xfId="0" applyFont="1" applyFill="1" applyBorder="1"/>
    <xf numFmtId="14" fontId="19910" fillId="19920" borderId="19867" xfId="0" applyNumberFormat="1" applyFont="1" applyFill="1" applyBorder="1"/>
    <xf numFmtId="0" fontId="19911" fillId="19921" borderId="19868" xfId="0" applyFont="1" applyFill="1" applyBorder="1"/>
    <xf numFmtId="0" fontId="19912" fillId="19922" borderId="19869" xfId="0" applyFont="1" applyFill="1" applyBorder="1"/>
    <xf numFmtId="0" fontId="19913" fillId="19923" borderId="19870" xfId="0" applyFont="1" applyFill="1" applyBorder="1"/>
    <xf numFmtId="4" fontId="19914" fillId="19924" borderId="19871" xfId="0" applyNumberFormat="1" applyFont="1" applyFill="1" applyBorder="1"/>
    <xf numFmtId="165" fontId="19915" fillId="19925" borderId="19872" xfId="0" applyNumberFormat="1" applyFont="1" applyFill="1" applyBorder="1"/>
    <xf numFmtId="165" fontId="19916" fillId="19926" borderId="19873" xfId="0" applyNumberFormat="1" applyFont="1" applyFill="1" applyBorder="1"/>
    <xf numFmtId="0" fontId="19917" fillId="19927" borderId="19874" xfId="0" applyFont="1" applyFill="1" applyBorder="1"/>
    <xf numFmtId="0" fontId="19918" fillId="19928" borderId="19875" xfId="0" applyFont="1" applyFill="1" applyBorder="1"/>
    <xf numFmtId="0" fontId="19919" fillId="19929" borderId="19876" xfId="0" applyFont="1" applyFill="1" applyBorder="1"/>
    <xf numFmtId="0" fontId="19920" fillId="19930" borderId="19877" xfId="0" applyFont="1" applyFill="1" applyBorder="1"/>
    <xf numFmtId="14" fontId="19921" fillId="19931" borderId="19878" xfId="0" applyNumberFormat="1" applyFont="1" applyFill="1" applyBorder="1"/>
    <xf numFmtId="0" fontId="19922" fillId="19932" borderId="19879" xfId="0" applyFont="1" applyFill="1" applyBorder="1"/>
    <xf numFmtId="0" fontId="19923" fillId="19933" borderId="19880" xfId="0" applyFont="1" applyFill="1" applyBorder="1"/>
    <xf numFmtId="0" fontId="19924" fillId="19934" borderId="19881" xfId="0" applyFont="1" applyFill="1" applyBorder="1"/>
    <xf numFmtId="4" fontId="19925" fillId="19935" borderId="19882" xfId="0" applyNumberFormat="1" applyFont="1" applyFill="1" applyBorder="1"/>
    <xf numFmtId="165" fontId="19926" fillId="19936" borderId="19883" xfId="0" applyNumberFormat="1" applyFont="1" applyFill="1" applyBorder="1"/>
    <xf numFmtId="165" fontId="19927" fillId="19937" borderId="19884" xfId="0" applyNumberFormat="1" applyFont="1" applyFill="1" applyBorder="1"/>
    <xf numFmtId="0" fontId="19928" fillId="19938" borderId="19885" xfId="0" applyFont="1" applyFill="1" applyBorder="1"/>
    <xf numFmtId="0" fontId="19929" fillId="19939" borderId="19886" xfId="0" applyFont="1" applyFill="1" applyBorder="1"/>
    <xf numFmtId="0" fontId="19930" fillId="19940" borderId="19887" xfId="0" applyFont="1" applyFill="1" applyBorder="1"/>
    <xf numFmtId="0" fontId="19931" fillId="19941" borderId="19888" xfId="0" applyFont="1" applyFill="1" applyBorder="1"/>
    <xf numFmtId="14" fontId="19932" fillId="19942" borderId="19889" xfId="0" applyNumberFormat="1" applyFont="1" applyFill="1" applyBorder="1"/>
    <xf numFmtId="0" fontId="19933" fillId="19943" borderId="19890" xfId="0" applyFont="1" applyFill="1" applyBorder="1"/>
    <xf numFmtId="0" fontId="19934" fillId="19944" borderId="19891" xfId="0" applyFont="1" applyFill="1" applyBorder="1"/>
    <xf numFmtId="0" fontId="19935" fillId="19945" borderId="19892" xfId="0" applyFont="1" applyFill="1" applyBorder="1"/>
    <xf numFmtId="4" fontId="19936" fillId="19946" borderId="19893" xfId="0" applyNumberFormat="1" applyFont="1" applyFill="1" applyBorder="1"/>
    <xf numFmtId="165" fontId="19937" fillId="19947" borderId="19894" xfId="0" applyNumberFormat="1" applyFont="1" applyFill="1" applyBorder="1"/>
    <xf numFmtId="165" fontId="19938" fillId="19948" borderId="19895" xfId="0" applyNumberFormat="1" applyFont="1" applyFill="1" applyBorder="1"/>
    <xf numFmtId="0" fontId="19939" fillId="19949" borderId="19896" xfId="0" applyFont="1" applyFill="1" applyBorder="1"/>
    <xf numFmtId="0" fontId="19940" fillId="19950" borderId="19897" xfId="0" applyFont="1" applyFill="1" applyBorder="1"/>
    <xf numFmtId="0" fontId="19941" fillId="19951" borderId="19898" xfId="0" applyFont="1" applyFill="1" applyBorder="1"/>
    <xf numFmtId="0" fontId="19942" fillId="19952" borderId="19899" xfId="0" applyFont="1" applyFill="1" applyBorder="1"/>
    <xf numFmtId="14" fontId="19943" fillId="19953" borderId="19900" xfId="0" applyNumberFormat="1" applyFont="1" applyFill="1" applyBorder="1"/>
    <xf numFmtId="0" fontId="19944" fillId="19954" borderId="19901" xfId="0" applyFont="1" applyFill="1" applyBorder="1"/>
    <xf numFmtId="0" fontId="19945" fillId="19955" borderId="19902" xfId="0" applyFont="1" applyFill="1" applyBorder="1"/>
    <xf numFmtId="0" fontId="19946" fillId="19956" borderId="19903" xfId="0" applyFont="1" applyFill="1" applyBorder="1"/>
    <xf numFmtId="4" fontId="19947" fillId="19957" borderId="19904" xfId="0" applyNumberFormat="1" applyFont="1" applyFill="1" applyBorder="1"/>
    <xf numFmtId="165" fontId="19948" fillId="19958" borderId="19905" xfId="0" applyNumberFormat="1" applyFont="1" applyFill="1" applyBorder="1"/>
    <xf numFmtId="165" fontId="19949" fillId="19959" borderId="19906" xfId="0" applyNumberFormat="1" applyFont="1" applyFill="1" applyBorder="1"/>
    <xf numFmtId="0" fontId="19950" fillId="19960" borderId="19907" xfId="0" applyFont="1" applyFill="1" applyBorder="1"/>
    <xf numFmtId="0" fontId="19951" fillId="19961" borderId="19908" xfId="0" applyFont="1" applyFill="1" applyBorder="1"/>
    <xf numFmtId="0" fontId="19952" fillId="19962" borderId="19909" xfId="0" applyFont="1" applyFill="1" applyBorder="1"/>
    <xf numFmtId="0" fontId="19953" fillId="19963" borderId="19910" xfId="0" applyFont="1" applyFill="1" applyBorder="1"/>
    <xf numFmtId="14" fontId="19954" fillId="19964" borderId="19911" xfId="0" applyNumberFormat="1" applyFont="1" applyFill="1" applyBorder="1"/>
    <xf numFmtId="0" fontId="19955" fillId="19965" borderId="19912" xfId="0" applyFont="1" applyFill="1" applyBorder="1"/>
    <xf numFmtId="0" fontId="19956" fillId="19966" borderId="19913" xfId="0" applyFont="1" applyFill="1" applyBorder="1"/>
    <xf numFmtId="0" fontId="19957" fillId="19967" borderId="19914" xfId="0" applyFont="1" applyFill="1" applyBorder="1"/>
    <xf numFmtId="4" fontId="19958" fillId="19968" borderId="19915" xfId="0" applyNumberFormat="1" applyFont="1" applyFill="1" applyBorder="1"/>
    <xf numFmtId="165" fontId="19959" fillId="19969" borderId="19916" xfId="0" applyNumberFormat="1" applyFont="1" applyFill="1" applyBorder="1"/>
    <xf numFmtId="165" fontId="19960" fillId="19970" borderId="19917" xfId="0" applyNumberFormat="1" applyFont="1" applyFill="1" applyBorder="1"/>
    <xf numFmtId="0" fontId="19961" fillId="19971" borderId="19918" xfId="0" applyFont="1" applyFill="1" applyBorder="1"/>
    <xf numFmtId="0" fontId="19962" fillId="19972" borderId="19919" xfId="0" applyFont="1" applyFill="1" applyBorder="1"/>
    <xf numFmtId="0" fontId="19963" fillId="19973" borderId="19920" xfId="0" applyFont="1" applyFill="1" applyBorder="1"/>
    <xf numFmtId="0" fontId="19964" fillId="19974" borderId="19921" xfId="0" applyFont="1" applyFill="1" applyBorder="1"/>
    <xf numFmtId="14" fontId="19965" fillId="19975" borderId="19922" xfId="0" applyNumberFormat="1" applyFont="1" applyFill="1" applyBorder="1"/>
    <xf numFmtId="0" fontId="19966" fillId="19976" borderId="19923" xfId="0" applyFont="1" applyFill="1" applyBorder="1"/>
    <xf numFmtId="0" fontId="19967" fillId="19977" borderId="19924" xfId="0" applyFont="1" applyFill="1" applyBorder="1"/>
    <xf numFmtId="0" fontId="19968" fillId="19978" borderId="19925" xfId="0" applyFont="1" applyFill="1" applyBorder="1"/>
    <xf numFmtId="4" fontId="19969" fillId="19979" borderId="19926" xfId="0" applyNumberFormat="1" applyFont="1" applyFill="1" applyBorder="1"/>
    <xf numFmtId="165" fontId="19970" fillId="19980" borderId="19927" xfId="0" applyNumberFormat="1" applyFont="1" applyFill="1" applyBorder="1"/>
    <xf numFmtId="165" fontId="19971" fillId="19981" borderId="19928" xfId="0" applyNumberFormat="1" applyFont="1" applyFill="1" applyBorder="1"/>
    <xf numFmtId="0" fontId="19972" fillId="19982" borderId="19929" xfId="0" applyFont="1" applyFill="1" applyBorder="1"/>
    <xf numFmtId="0" fontId="19973" fillId="19983" borderId="19930" xfId="0" applyFont="1" applyFill="1" applyBorder="1"/>
    <xf numFmtId="0" fontId="19974" fillId="19984" borderId="19931" xfId="0" applyFont="1" applyFill="1" applyBorder="1"/>
    <xf numFmtId="0" fontId="19975" fillId="19985" borderId="19932" xfId="0" applyFont="1" applyFill="1" applyBorder="1"/>
    <xf numFmtId="14" fontId="19976" fillId="19986" borderId="19933" xfId="0" applyNumberFormat="1" applyFont="1" applyFill="1" applyBorder="1"/>
    <xf numFmtId="0" fontId="19977" fillId="19987" borderId="19934" xfId="0" applyFont="1" applyFill="1" applyBorder="1"/>
    <xf numFmtId="0" fontId="19978" fillId="19988" borderId="19935" xfId="0" applyFont="1" applyFill="1" applyBorder="1"/>
    <xf numFmtId="0" fontId="19979" fillId="19989" borderId="19936" xfId="0" applyFont="1" applyFill="1" applyBorder="1"/>
    <xf numFmtId="4" fontId="19980" fillId="19990" borderId="19937" xfId="0" applyNumberFormat="1" applyFont="1" applyFill="1" applyBorder="1"/>
    <xf numFmtId="165" fontId="19981" fillId="19991" borderId="19938" xfId="0" applyNumberFormat="1" applyFont="1" applyFill="1" applyBorder="1"/>
    <xf numFmtId="165" fontId="19982" fillId="19992" borderId="19939" xfId="0" applyNumberFormat="1" applyFont="1" applyFill="1" applyBorder="1"/>
    <xf numFmtId="0" fontId="19983" fillId="19993" borderId="19940" xfId="0" applyFont="1" applyFill="1" applyBorder="1"/>
    <xf numFmtId="0" fontId="19984" fillId="19994" borderId="19941" xfId="0" applyFont="1" applyFill="1" applyBorder="1"/>
    <xf numFmtId="0" fontId="19985" fillId="19995" borderId="19942" xfId="0" applyFont="1" applyFill="1" applyBorder="1"/>
    <xf numFmtId="0" fontId="19986" fillId="19996" borderId="19943" xfId="0" applyFont="1" applyFill="1" applyBorder="1"/>
    <xf numFmtId="14" fontId="19987" fillId="19997" borderId="19944" xfId="0" applyNumberFormat="1" applyFont="1" applyFill="1" applyBorder="1"/>
    <xf numFmtId="0" fontId="19988" fillId="19998" borderId="19945" xfId="0" applyFont="1" applyFill="1" applyBorder="1"/>
    <xf numFmtId="0" fontId="19989" fillId="19999" borderId="19946" xfId="0" applyFont="1" applyFill="1" applyBorder="1"/>
    <xf numFmtId="0" fontId="19990" fillId="20000" borderId="19947" xfId="0" applyFont="1" applyFill="1" applyBorder="1"/>
    <xf numFmtId="4" fontId="19991" fillId="20001" borderId="19948" xfId="0" applyNumberFormat="1" applyFont="1" applyFill="1" applyBorder="1"/>
    <xf numFmtId="165" fontId="19992" fillId="20002" borderId="19949" xfId="0" applyNumberFormat="1" applyFont="1" applyFill="1" applyBorder="1"/>
    <xf numFmtId="165" fontId="19993" fillId="20003" borderId="19950" xfId="0" applyNumberFormat="1" applyFont="1" applyFill="1" applyBorder="1"/>
    <xf numFmtId="0" fontId="19994" fillId="20004" borderId="19951" xfId="0" applyFont="1" applyFill="1" applyBorder="1"/>
    <xf numFmtId="0" fontId="19995" fillId="20005" borderId="19952" xfId="0" applyFont="1" applyFill="1" applyBorder="1"/>
    <xf numFmtId="0" fontId="19996" fillId="20006" borderId="19953" xfId="0" applyFont="1" applyFill="1" applyBorder="1"/>
    <xf numFmtId="0" fontId="19997" fillId="20007" borderId="19954" xfId="0" applyFont="1" applyFill="1" applyBorder="1"/>
    <xf numFmtId="14" fontId="19998" fillId="20008" borderId="19955" xfId="0" applyNumberFormat="1" applyFont="1" applyFill="1" applyBorder="1"/>
    <xf numFmtId="0" fontId="19999" fillId="20009" borderId="19956" xfId="0" applyFont="1" applyFill="1" applyBorder="1"/>
    <xf numFmtId="0" fontId="20000" fillId="20010" borderId="19957" xfId="0" applyFont="1" applyFill="1" applyBorder="1"/>
    <xf numFmtId="0" fontId="20001" fillId="20011" borderId="19958" xfId="0" applyFont="1" applyFill="1" applyBorder="1"/>
    <xf numFmtId="4" fontId="20002" fillId="20012" borderId="19959" xfId="0" applyNumberFormat="1" applyFont="1" applyFill="1" applyBorder="1"/>
    <xf numFmtId="165" fontId="20003" fillId="20013" borderId="19960" xfId="0" applyNumberFormat="1" applyFont="1" applyFill="1" applyBorder="1"/>
    <xf numFmtId="165" fontId="20004" fillId="20014" borderId="19961" xfId="0" applyNumberFormat="1" applyFont="1" applyFill="1" applyBorder="1"/>
    <xf numFmtId="0" fontId="20005" fillId="20015" borderId="19962" xfId="0" applyFont="1" applyFill="1" applyBorder="1"/>
    <xf numFmtId="0" fontId="20006" fillId="20016" borderId="19963" xfId="0" applyFont="1" applyFill="1" applyBorder="1"/>
    <xf numFmtId="0" fontId="20007" fillId="20017" borderId="19964" xfId="0" applyFont="1" applyFill="1" applyBorder="1"/>
    <xf numFmtId="0" fontId="20008" fillId="20018" borderId="19965" xfId="0" applyFont="1" applyFill="1" applyBorder="1"/>
    <xf numFmtId="14" fontId="20009" fillId="20019" borderId="19966" xfId="0" applyNumberFormat="1" applyFont="1" applyFill="1" applyBorder="1"/>
    <xf numFmtId="0" fontId="20010" fillId="20020" borderId="19967" xfId="0" applyFont="1" applyFill="1" applyBorder="1"/>
    <xf numFmtId="0" fontId="20011" fillId="20021" borderId="19968" xfId="0" applyFont="1" applyFill="1" applyBorder="1"/>
    <xf numFmtId="0" fontId="20012" fillId="20022" borderId="19969" xfId="0" applyFont="1" applyFill="1" applyBorder="1"/>
    <xf numFmtId="4" fontId="20013" fillId="20023" borderId="19970" xfId="0" applyNumberFormat="1" applyFont="1" applyFill="1" applyBorder="1"/>
    <xf numFmtId="165" fontId="20014" fillId="20024" borderId="19971" xfId="0" applyNumberFormat="1" applyFont="1" applyFill="1" applyBorder="1"/>
    <xf numFmtId="165" fontId="20015" fillId="20025" borderId="19972" xfId="0" applyNumberFormat="1" applyFont="1" applyFill="1" applyBorder="1"/>
    <xf numFmtId="0" fontId="20016" fillId="20026" borderId="19973" xfId="0" applyFont="1" applyFill="1" applyBorder="1"/>
    <xf numFmtId="0" fontId="20017" fillId="20027" borderId="19974" xfId="0" applyFont="1" applyFill="1" applyBorder="1"/>
    <xf numFmtId="0" fontId="20018" fillId="20028" borderId="19975" xfId="0" applyFont="1" applyFill="1" applyBorder="1"/>
    <xf numFmtId="0" fontId="20019" fillId="20029" borderId="19976" xfId="0" applyFont="1" applyFill="1" applyBorder="1"/>
    <xf numFmtId="14" fontId="20020" fillId="20030" borderId="19977" xfId="0" applyNumberFormat="1" applyFont="1" applyFill="1" applyBorder="1"/>
    <xf numFmtId="0" fontId="20021" fillId="20031" borderId="19978" xfId="0" applyFont="1" applyFill="1" applyBorder="1"/>
    <xf numFmtId="0" fontId="20022" fillId="20032" borderId="19979" xfId="0" applyFont="1" applyFill="1" applyBorder="1"/>
    <xf numFmtId="0" fontId="20023" fillId="20033" borderId="19980" xfId="0" applyFont="1" applyFill="1" applyBorder="1"/>
    <xf numFmtId="4" fontId="20024" fillId="20034" borderId="19981" xfId="0" applyNumberFormat="1" applyFont="1" applyFill="1" applyBorder="1"/>
    <xf numFmtId="165" fontId="20025" fillId="20035" borderId="19982" xfId="0" applyNumberFormat="1" applyFont="1" applyFill="1" applyBorder="1"/>
    <xf numFmtId="165" fontId="20026" fillId="20036" borderId="19983" xfId="0" applyNumberFormat="1" applyFont="1" applyFill="1" applyBorder="1"/>
    <xf numFmtId="0" fontId="20027" fillId="20037" borderId="19984" xfId="0" applyFont="1" applyFill="1" applyBorder="1"/>
    <xf numFmtId="0" fontId="20028" fillId="20038" borderId="19985" xfId="0" applyFont="1" applyFill="1" applyBorder="1"/>
    <xf numFmtId="0" fontId="20029" fillId="20039" borderId="19986" xfId="0" applyFont="1" applyFill="1" applyBorder="1"/>
    <xf numFmtId="0" fontId="20030" fillId="20040" borderId="19987" xfId="0" applyFont="1" applyFill="1" applyBorder="1"/>
    <xf numFmtId="14" fontId="20031" fillId="20041" borderId="19988" xfId="0" applyNumberFormat="1" applyFont="1" applyFill="1" applyBorder="1"/>
    <xf numFmtId="0" fontId="20032" fillId="20042" borderId="19989" xfId="0" applyFont="1" applyFill="1" applyBorder="1"/>
    <xf numFmtId="0" fontId="20033" fillId="20043" borderId="19990" xfId="0" applyFont="1" applyFill="1" applyBorder="1"/>
    <xf numFmtId="0" fontId="20034" fillId="20044" borderId="19991" xfId="0" applyFont="1" applyFill="1" applyBorder="1"/>
    <xf numFmtId="4" fontId="20035" fillId="20045" borderId="19992" xfId="0" applyNumberFormat="1" applyFont="1" applyFill="1" applyBorder="1"/>
    <xf numFmtId="165" fontId="20036" fillId="20046" borderId="19993" xfId="0" applyNumberFormat="1" applyFont="1" applyFill="1" applyBorder="1"/>
    <xf numFmtId="165" fontId="20037" fillId="20047" borderId="19994" xfId="0" applyNumberFormat="1" applyFont="1" applyFill="1" applyBorder="1"/>
    <xf numFmtId="0" fontId="20038" fillId="20048" borderId="19995" xfId="0" applyFont="1" applyFill="1" applyBorder="1"/>
    <xf numFmtId="0" fontId="20039" fillId="20049" borderId="19996" xfId="0" applyFont="1" applyFill="1" applyBorder="1"/>
    <xf numFmtId="0" fontId="20040" fillId="20050" borderId="19997" xfId="0" applyFont="1" applyFill="1" applyBorder="1"/>
    <xf numFmtId="0" fontId="20041" fillId="20051" borderId="19998" xfId="0" applyFont="1" applyFill="1" applyBorder="1"/>
    <xf numFmtId="14" fontId="20042" fillId="20052" borderId="19999" xfId="0" applyNumberFormat="1" applyFont="1" applyFill="1" applyBorder="1"/>
    <xf numFmtId="0" fontId="20043" fillId="20053" borderId="20000" xfId="0" applyFont="1" applyFill="1" applyBorder="1"/>
    <xf numFmtId="0" fontId="20044" fillId="20054" borderId="20001" xfId="0" applyFont="1" applyFill="1" applyBorder="1"/>
    <xf numFmtId="0" fontId="20045" fillId="20055" borderId="20002" xfId="0" applyFont="1" applyFill="1" applyBorder="1"/>
    <xf numFmtId="4" fontId="20046" fillId="20056" borderId="20003" xfId="0" applyNumberFormat="1" applyFont="1" applyFill="1" applyBorder="1"/>
    <xf numFmtId="165" fontId="20047" fillId="20057" borderId="20004" xfId="0" applyNumberFormat="1" applyFont="1" applyFill="1" applyBorder="1"/>
    <xf numFmtId="165" fontId="20048" fillId="20058" borderId="20005" xfId="0" applyNumberFormat="1" applyFont="1" applyFill="1" applyBorder="1"/>
    <xf numFmtId="0" fontId="20049" fillId="20059" borderId="20006" xfId="0" applyFont="1" applyFill="1" applyBorder="1"/>
    <xf numFmtId="0" fontId="20050" fillId="20060" borderId="20007" xfId="0" applyFont="1" applyFill="1" applyBorder="1"/>
    <xf numFmtId="0" fontId="20051" fillId="20061" borderId="20008" xfId="0" applyFont="1" applyFill="1" applyBorder="1"/>
    <xf numFmtId="0" fontId="20052" fillId="20062" borderId="20009" xfId="0" applyFont="1" applyFill="1" applyBorder="1"/>
    <xf numFmtId="14" fontId="20053" fillId="20063" borderId="20010" xfId="0" applyNumberFormat="1" applyFont="1" applyFill="1" applyBorder="1"/>
    <xf numFmtId="0" fontId="20054" fillId="20064" borderId="20011" xfId="0" applyFont="1" applyFill="1" applyBorder="1"/>
    <xf numFmtId="0" fontId="20055" fillId="20065" borderId="20012" xfId="0" applyFont="1" applyFill="1" applyBorder="1"/>
    <xf numFmtId="0" fontId="20056" fillId="20066" borderId="20013" xfId="0" applyFont="1" applyFill="1" applyBorder="1"/>
    <xf numFmtId="4" fontId="20057" fillId="20067" borderId="20014" xfId="0" applyNumberFormat="1" applyFont="1" applyFill="1" applyBorder="1"/>
    <xf numFmtId="165" fontId="20058" fillId="20068" borderId="20015" xfId="0" applyNumberFormat="1" applyFont="1" applyFill="1" applyBorder="1"/>
    <xf numFmtId="165" fontId="20059" fillId="20069" borderId="20016" xfId="0" applyNumberFormat="1" applyFont="1" applyFill="1" applyBorder="1"/>
    <xf numFmtId="0" fontId="20060" fillId="20070" borderId="20017" xfId="0" applyFont="1" applyFill="1" applyBorder="1"/>
    <xf numFmtId="0" fontId="20061" fillId="20071" borderId="20018" xfId="0" applyFont="1" applyFill="1" applyBorder="1"/>
    <xf numFmtId="0" fontId="20062" fillId="20072" borderId="20019" xfId="0" applyFont="1" applyFill="1" applyBorder="1"/>
    <xf numFmtId="0" fontId="20063" fillId="20073" borderId="20020" xfId="0" applyFont="1" applyFill="1" applyBorder="1"/>
    <xf numFmtId="14" fontId="20064" fillId="20074" borderId="20021" xfId="0" applyNumberFormat="1" applyFont="1" applyFill="1" applyBorder="1"/>
    <xf numFmtId="0" fontId="20065" fillId="20075" borderId="20022" xfId="0" applyFont="1" applyFill="1" applyBorder="1"/>
    <xf numFmtId="0" fontId="20066" fillId="20076" borderId="20023" xfId="0" applyFont="1" applyFill="1" applyBorder="1"/>
    <xf numFmtId="0" fontId="20067" fillId="20077" borderId="20024" xfId="0" applyFont="1" applyFill="1" applyBorder="1"/>
    <xf numFmtId="4" fontId="20068" fillId="20078" borderId="20025" xfId="0" applyNumberFormat="1" applyFont="1" applyFill="1" applyBorder="1"/>
    <xf numFmtId="165" fontId="20069" fillId="20079" borderId="20026" xfId="0" applyNumberFormat="1" applyFont="1" applyFill="1" applyBorder="1"/>
    <xf numFmtId="165" fontId="20070" fillId="20080" borderId="20027" xfId="0" applyNumberFormat="1" applyFont="1" applyFill="1" applyBorder="1"/>
    <xf numFmtId="0" fontId="20071" fillId="20081" borderId="20028" xfId="0" applyFont="1" applyFill="1" applyBorder="1"/>
    <xf numFmtId="0" fontId="20072" fillId="20082" borderId="20029" xfId="0" applyFont="1" applyFill="1" applyBorder="1"/>
    <xf numFmtId="0" fontId="20073" fillId="20083" borderId="20030" xfId="0" applyFont="1" applyFill="1" applyBorder="1"/>
    <xf numFmtId="0" fontId="20074" fillId="20084" borderId="20031" xfId="0" applyFont="1" applyFill="1" applyBorder="1"/>
    <xf numFmtId="14" fontId="20075" fillId="20085" borderId="20032" xfId="0" applyNumberFormat="1" applyFont="1" applyFill="1" applyBorder="1"/>
    <xf numFmtId="0" fontId="20076" fillId="20086" borderId="20033" xfId="0" applyFont="1" applyFill="1" applyBorder="1"/>
    <xf numFmtId="0" fontId="20077" fillId="20087" borderId="20034" xfId="0" applyFont="1" applyFill="1" applyBorder="1"/>
    <xf numFmtId="0" fontId="20078" fillId="20088" borderId="20035" xfId="0" applyFont="1" applyFill="1" applyBorder="1"/>
    <xf numFmtId="4" fontId="20079" fillId="20089" borderId="20036" xfId="0" applyNumberFormat="1" applyFont="1" applyFill="1" applyBorder="1"/>
    <xf numFmtId="165" fontId="20080" fillId="20090" borderId="20037" xfId="0" applyNumberFormat="1" applyFont="1" applyFill="1" applyBorder="1"/>
    <xf numFmtId="165" fontId="20081" fillId="20091" borderId="20038" xfId="0" applyNumberFormat="1" applyFont="1" applyFill="1" applyBorder="1"/>
    <xf numFmtId="0" fontId="20082" fillId="20092" borderId="20039" xfId="0" applyFont="1" applyFill="1" applyBorder="1"/>
    <xf numFmtId="0" fontId="20083" fillId="20093" borderId="20040" xfId="0" applyFont="1" applyFill="1" applyBorder="1"/>
    <xf numFmtId="0" fontId="20084" fillId="20094" borderId="20041" xfId="0" applyFont="1" applyFill="1" applyBorder="1"/>
    <xf numFmtId="0" fontId="20085" fillId="20095" borderId="20042" xfId="0" applyFont="1" applyFill="1" applyBorder="1"/>
    <xf numFmtId="14" fontId="20086" fillId="20096" borderId="20043" xfId="0" applyNumberFormat="1" applyFont="1" applyFill="1" applyBorder="1"/>
    <xf numFmtId="0" fontId="20087" fillId="20097" borderId="20044" xfId="0" applyFont="1" applyFill="1" applyBorder="1"/>
    <xf numFmtId="0" fontId="20088" fillId="20098" borderId="20045" xfId="0" applyFont="1" applyFill="1" applyBorder="1"/>
    <xf numFmtId="0" fontId="20089" fillId="20099" borderId="20046" xfId="0" applyFont="1" applyFill="1" applyBorder="1"/>
    <xf numFmtId="4" fontId="20090" fillId="20100" borderId="20047" xfId="0" applyNumberFormat="1" applyFont="1" applyFill="1" applyBorder="1"/>
    <xf numFmtId="165" fontId="20091" fillId="20101" borderId="20048" xfId="0" applyNumberFormat="1" applyFont="1" applyFill="1" applyBorder="1"/>
    <xf numFmtId="165" fontId="20092" fillId="20102" borderId="20049" xfId="0" applyNumberFormat="1" applyFont="1" applyFill="1" applyBorder="1"/>
    <xf numFmtId="0" fontId="20093" fillId="20103" borderId="20050" xfId="0" applyFont="1" applyFill="1" applyBorder="1"/>
    <xf numFmtId="0" fontId="20094" fillId="20104" borderId="20051" xfId="0" applyFont="1" applyFill="1" applyBorder="1"/>
    <xf numFmtId="0" fontId="20095" fillId="20105" borderId="20052" xfId="0" applyFont="1" applyFill="1" applyBorder="1"/>
    <xf numFmtId="0" fontId="20096" fillId="20106" borderId="20053" xfId="0" applyFont="1" applyFill="1" applyBorder="1"/>
    <xf numFmtId="14" fontId="20097" fillId="20107" borderId="20054" xfId="0" applyNumberFormat="1" applyFont="1" applyFill="1" applyBorder="1"/>
    <xf numFmtId="0" fontId="20098" fillId="20108" borderId="20055" xfId="0" applyFont="1" applyFill="1" applyBorder="1"/>
    <xf numFmtId="0" fontId="20099" fillId="20109" borderId="20056" xfId="0" applyFont="1" applyFill="1" applyBorder="1"/>
    <xf numFmtId="0" fontId="20100" fillId="20110" borderId="20057" xfId="0" applyFont="1" applyFill="1" applyBorder="1"/>
    <xf numFmtId="4" fontId="20101" fillId="20111" borderId="20058" xfId="0" applyNumberFormat="1" applyFont="1" applyFill="1" applyBorder="1"/>
    <xf numFmtId="165" fontId="20102" fillId="20112" borderId="20059" xfId="0" applyNumberFormat="1" applyFont="1" applyFill="1" applyBorder="1"/>
    <xf numFmtId="165" fontId="20103" fillId="20113" borderId="20060" xfId="0" applyNumberFormat="1" applyFont="1" applyFill="1" applyBorder="1"/>
    <xf numFmtId="0" fontId="20104" fillId="20114" borderId="20061" xfId="0" applyFont="1" applyFill="1" applyBorder="1"/>
    <xf numFmtId="0" fontId="20105" fillId="20115" borderId="20062" xfId="0" applyFont="1" applyFill="1" applyBorder="1"/>
    <xf numFmtId="0" fontId="20106" fillId="20116" borderId="20063" xfId="0" applyFont="1" applyFill="1" applyBorder="1"/>
    <xf numFmtId="0" fontId="20107" fillId="20117" borderId="20064" xfId="0" applyFont="1" applyFill="1" applyBorder="1"/>
    <xf numFmtId="14" fontId="20108" fillId="20118" borderId="20065" xfId="0" applyNumberFormat="1" applyFont="1" applyFill="1" applyBorder="1"/>
    <xf numFmtId="0" fontId="20109" fillId="20119" borderId="20066" xfId="0" applyFont="1" applyFill="1" applyBorder="1"/>
    <xf numFmtId="0" fontId="20110" fillId="20120" borderId="20067" xfId="0" applyFont="1" applyFill="1" applyBorder="1"/>
    <xf numFmtId="0" fontId="20111" fillId="20121" borderId="20068" xfId="0" applyFont="1" applyFill="1" applyBorder="1"/>
    <xf numFmtId="4" fontId="20112" fillId="20122" borderId="20069" xfId="0" applyNumberFormat="1" applyFont="1" applyFill="1" applyBorder="1"/>
    <xf numFmtId="165" fontId="20113" fillId="20123" borderId="20070" xfId="0" applyNumberFormat="1" applyFont="1" applyFill="1" applyBorder="1"/>
    <xf numFmtId="165" fontId="20114" fillId="20124" borderId="20071" xfId="0" applyNumberFormat="1" applyFont="1" applyFill="1" applyBorder="1"/>
    <xf numFmtId="0" fontId="20115" fillId="20125" borderId="20072" xfId="0" applyFont="1" applyFill="1" applyBorder="1"/>
    <xf numFmtId="0" fontId="20116" fillId="20126" borderId="20073" xfId="0" applyFont="1" applyFill="1" applyBorder="1"/>
    <xf numFmtId="0" fontId="20117" fillId="20127" borderId="20074" xfId="0" applyFont="1" applyFill="1" applyBorder="1"/>
    <xf numFmtId="0" fontId="20118" fillId="20128" borderId="20075" xfId="0" applyFont="1" applyFill="1" applyBorder="1"/>
    <xf numFmtId="14" fontId="20119" fillId="20129" borderId="20076" xfId="0" applyNumberFormat="1" applyFont="1" applyFill="1" applyBorder="1"/>
    <xf numFmtId="0" fontId="20120" fillId="20130" borderId="20077" xfId="0" applyFont="1" applyFill="1" applyBorder="1"/>
    <xf numFmtId="0" fontId="20121" fillId="20131" borderId="20078" xfId="0" applyFont="1" applyFill="1" applyBorder="1"/>
    <xf numFmtId="0" fontId="20122" fillId="20132" borderId="20079" xfId="0" applyFont="1" applyFill="1" applyBorder="1"/>
    <xf numFmtId="4" fontId="20123" fillId="20133" borderId="20080" xfId="0" applyNumberFormat="1" applyFont="1" applyFill="1" applyBorder="1"/>
    <xf numFmtId="165" fontId="20124" fillId="20134" borderId="20081" xfId="0" applyNumberFormat="1" applyFont="1" applyFill="1" applyBorder="1"/>
    <xf numFmtId="165" fontId="20125" fillId="20135" borderId="20082" xfId="0" applyNumberFormat="1" applyFont="1" applyFill="1" applyBorder="1"/>
    <xf numFmtId="0" fontId="20126" fillId="20136" borderId="20083" xfId="0" applyFont="1" applyFill="1" applyBorder="1"/>
    <xf numFmtId="0" fontId="20127" fillId="20137" borderId="20084" xfId="0" applyFont="1" applyFill="1" applyBorder="1"/>
    <xf numFmtId="0" fontId="20128" fillId="20138" borderId="20085" xfId="0" applyFont="1" applyFill="1" applyBorder="1"/>
    <xf numFmtId="0" fontId="20129" fillId="20139" borderId="20086" xfId="0" applyFont="1" applyFill="1" applyBorder="1"/>
    <xf numFmtId="14" fontId="20130" fillId="20140" borderId="20087" xfId="0" applyNumberFormat="1" applyFont="1" applyFill="1" applyBorder="1"/>
    <xf numFmtId="0" fontId="20131" fillId="20141" borderId="20088" xfId="0" applyFont="1" applyFill="1" applyBorder="1"/>
    <xf numFmtId="0" fontId="20132" fillId="20142" borderId="20089" xfId="0" applyFont="1" applyFill="1" applyBorder="1"/>
    <xf numFmtId="0" fontId="20133" fillId="20143" borderId="20090" xfId="0" applyFont="1" applyFill="1" applyBorder="1"/>
    <xf numFmtId="4" fontId="20134" fillId="20144" borderId="20091" xfId="0" applyNumberFormat="1" applyFont="1" applyFill="1" applyBorder="1"/>
    <xf numFmtId="165" fontId="20135" fillId="20145" borderId="20092" xfId="0" applyNumberFormat="1" applyFont="1" applyFill="1" applyBorder="1"/>
    <xf numFmtId="165" fontId="20136" fillId="20146" borderId="20093" xfId="0" applyNumberFormat="1" applyFont="1" applyFill="1" applyBorder="1"/>
    <xf numFmtId="0" fontId="20137" fillId="20147" borderId="20094" xfId="0" applyFont="1" applyFill="1" applyBorder="1"/>
    <xf numFmtId="0" fontId="20138" fillId="20148" borderId="20095" xfId="0" applyFont="1" applyFill="1" applyBorder="1"/>
    <xf numFmtId="0" fontId="20139" fillId="20149" borderId="20096" xfId="0" applyFont="1" applyFill="1" applyBorder="1"/>
    <xf numFmtId="0" fontId="20140" fillId="20150" borderId="20097" xfId="0" applyFont="1" applyFill="1" applyBorder="1"/>
    <xf numFmtId="14" fontId="20141" fillId="20151" borderId="20098" xfId="0" applyNumberFormat="1" applyFont="1" applyFill="1" applyBorder="1"/>
    <xf numFmtId="0" fontId="20142" fillId="20152" borderId="20099" xfId="0" applyFont="1" applyFill="1" applyBorder="1"/>
    <xf numFmtId="0" fontId="20143" fillId="20153" borderId="20100" xfId="0" applyFont="1" applyFill="1" applyBorder="1"/>
    <xf numFmtId="0" fontId="20144" fillId="20154" borderId="20101" xfId="0" applyFont="1" applyFill="1" applyBorder="1"/>
    <xf numFmtId="4" fontId="20145" fillId="20155" borderId="20102" xfId="0" applyNumberFormat="1" applyFont="1" applyFill="1" applyBorder="1"/>
    <xf numFmtId="165" fontId="20146" fillId="20156" borderId="20103" xfId="0" applyNumberFormat="1" applyFont="1" applyFill="1" applyBorder="1"/>
    <xf numFmtId="165" fontId="20147" fillId="20157" borderId="20104" xfId="0" applyNumberFormat="1" applyFont="1" applyFill="1" applyBorder="1"/>
    <xf numFmtId="0" fontId="20148" fillId="20158" borderId="20105" xfId="0" applyFont="1" applyFill="1" applyBorder="1"/>
    <xf numFmtId="0" fontId="20149" fillId="20159" borderId="20106" xfId="0" applyFont="1" applyFill="1" applyBorder="1"/>
    <xf numFmtId="0" fontId="20150" fillId="20160" borderId="20107" xfId="0" applyFont="1" applyFill="1" applyBorder="1"/>
    <xf numFmtId="0" fontId="20151" fillId="20161" borderId="20108" xfId="0" applyFont="1" applyFill="1" applyBorder="1"/>
    <xf numFmtId="14" fontId="20152" fillId="20162" borderId="20109" xfId="0" applyNumberFormat="1" applyFont="1" applyFill="1" applyBorder="1"/>
    <xf numFmtId="0" fontId="20153" fillId="20163" borderId="20110" xfId="0" applyFont="1" applyFill="1" applyBorder="1"/>
    <xf numFmtId="0" fontId="20154" fillId="20164" borderId="20111" xfId="0" applyFont="1" applyFill="1" applyBorder="1"/>
    <xf numFmtId="0" fontId="20155" fillId="20165" borderId="20112" xfId="0" applyFont="1" applyFill="1" applyBorder="1"/>
    <xf numFmtId="4" fontId="20156" fillId="20166" borderId="20113" xfId="0" applyNumberFormat="1" applyFont="1" applyFill="1" applyBorder="1"/>
    <xf numFmtId="165" fontId="20157" fillId="20167" borderId="20114" xfId="0" applyNumberFormat="1" applyFont="1" applyFill="1" applyBorder="1"/>
    <xf numFmtId="165" fontId="20158" fillId="20168" borderId="20115" xfId="0" applyNumberFormat="1" applyFont="1" applyFill="1" applyBorder="1"/>
    <xf numFmtId="0" fontId="20159" fillId="20169" borderId="20116" xfId="0" applyFont="1" applyFill="1" applyBorder="1"/>
    <xf numFmtId="0" fontId="20160" fillId="20170" borderId="20117" xfId="0" applyFont="1" applyFill="1" applyBorder="1"/>
    <xf numFmtId="0" fontId="20161" fillId="20171" borderId="20118" xfId="0" applyFont="1" applyFill="1" applyBorder="1"/>
    <xf numFmtId="0" fontId="20162" fillId="20172" borderId="20119" xfId="0" applyFont="1" applyFill="1" applyBorder="1"/>
    <xf numFmtId="14" fontId="20163" fillId="20173" borderId="20120" xfId="0" applyNumberFormat="1" applyFont="1" applyFill="1" applyBorder="1"/>
    <xf numFmtId="0" fontId="20164" fillId="20174" borderId="20121" xfId="0" applyFont="1" applyFill="1" applyBorder="1"/>
    <xf numFmtId="0" fontId="20165" fillId="20175" borderId="20122" xfId="0" applyFont="1" applyFill="1" applyBorder="1"/>
    <xf numFmtId="0" fontId="20166" fillId="20176" borderId="20123" xfId="0" applyFont="1" applyFill="1" applyBorder="1"/>
    <xf numFmtId="4" fontId="20167" fillId="20177" borderId="20124" xfId="0" applyNumberFormat="1" applyFont="1" applyFill="1" applyBorder="1"/>
    <xf numFmtId="165" fontId="20168" fillId="20178" borderId="20125" xfId="0" applyNumberFormat="1" applyFont="1" applyFill="1" applyBorder="1"/>
    <xf numFmtId="165" fontId="20169" fillId="20179" borderId="20126" xfId="0" applyNumberFormat="1" applyFont="1" applyFill="1" applyBorder="1"/>
    <xf numFmtId="0" fontId="20170" fillId="20180" borderId="20127" xfId="0" applyFont="1" applyFill="1" applyBorder="1"/>
    <xf numFmtId="0" fontId="20171" fillId="20181" borderId="20128" xfId="0" applyFont="1" applyFill="1" applyBorder="1"/>
    <xf numFmtId="0" fontId="20172" fillId="20182" borderId="20129" xfId="0" applyFont="1" applyFill="1" applyBorder="1"/>
    <xf numFmtId="0" fontId="20173" fillId="20183" borderId="20130" xfId="0" applyFont="1" applyFill="1" applyBorder="1"/>
    <xf numFmtId="14" fontId="20174" fillId="20184" borderId="20131" xfId="0" applyNumberFormat="1" applyFont="1" applyFill="1" applyBorder="1"/>
    <xf numFmtId="0" fontId="20175" fillId="20185" borderId="20132" xfId="0" applyFont="1" applyFill="1" applyBorder="1"/>
    <xf numFmtId="0" fontId="20176" fillId="20186" borderId="20133" xfId="0" applyFont="1" applyFill="1" applyBorder="1"/>
    <xf numFmtId="0" fontId="20177" fillId="20187" borderId="20134" xfId="0" applyFont="1" applyFill="1" applyBorder="1"/>
    <xf numFmtId="4" fontId="20178" fillId="20188" borderId="20135" xfId="0" applyNumberFormat="1" applyFont="1" applyFill="1" applyBorder="1"/>
    <xf numFmtId="165" fontId="20179" fillId="20189" borderId="20136" xfId="0" applyNumberFormat="1" applyFont="1" applyFill="1" applyBorder="1"/>
    <xf numFmtId="165" fontId="20180" fillId="20190" borderId="20137" xfId="0" applyNumberFormat="1" applyFont="1" applyFill="1" applyBorder="1"/>
    <xf numFmtId="0" fontId="20181" fillId="20191" borderId="20138" xfId="0" applyFont="1" applyFill="1" applyBorder="1"/>
    <xf numFmtId="0" fontId="20182" fillId="20192" borderId="20139" xfId="0" applyFont="1" applyFill="1" applyBorder="1"/>
    <xf numFmtId="0" fontId="20183" fillId="20193" borderId="20140" xfId="0" applyFont="1" applyFill="1" applyBorder="1"/>
    <xf numFmtId="0" fontId="20184" fillId="20194" borderId="20141" xfId="0" applyFont="1" applyFill="1" applyBorder="1"/>
    <xf numFmtId="14" fontId="20185" fillId="20195" borderId="20142" xfId="0" applyNumberFormat="1" applyFont="1" applyFill="1" applyBorder="1"/>
    <xf numFmtId="0" fontId="20186" fillId="20196" borderId="20143" xfId="0" applyFont="1" applyFill="1" applyBorder="1"/>
    <xf numFmtId="0" fontId="20187" fillId="20197" borderId="20144" xfId="0" applyFont="1" applyFill="1" applyBorder="1"/>
    <xf numFmtId="0" fontId="20188" fillId="20198" borderId="20145" xfId="0" applyFont="1" applyFill="1" applyBorder="1"/>
    <xf numFmtId="4" fontId="20189" fillId="20199" borderId="20146" xfId="0" applyNumberFormat="1" applyFont="1" applyFill="1" applyBorder="1"/>
    <xf numFmtId="165" fontId="20190" fillId="20200" borderId="20147" xfId="0" applyNumberFormat="1" applyFont="1" applyFill="1" applyBorder="1"/>
    <xf numFmtId="165" fontId="20191" fillId="20201" borderId="20148" xfId="0" applyNumberFormat="1" applyFont="1" applyFill="1" applyBorder="1"/>
    <xf numFmtId="0" fontId="20192" fillId="20202" borderId="20149" xfId="0" applyFont="1" applyFill="1" applyBorder="1"/>
    <xf numFmtId="0" fontId="20193" fillId="20203" borderId="20150" xfId="0" applyFont="1" applyFill="1" applyBorder="1"/>
    <xf numFmtId="0" fontId="20194" fillId="20204" borderId="20151" xfId="0" applyFont="1" applyFill="1" applyBorder="1"/>
    <xf numFmtId="0" fontId="20195" fillId="20205" borderId="20152" xfId="0" applyFont="1" applyFill="1" applyBorder="1"/>
    <xf numFmtId="14" fontId="20196" fillId="20206" borderId="20153" xfId="0" applyNumberFormat="1" applyFont="1" applyFill="1" applyBorder="1"/>
    <xf numFmtId="0" fontId="20197" fillId="20207" borderId="20154" xfId="0" applyFont="1" applyFill="1" applyBorder="1"/>
    <xf numFmtId="0" fontId="20198" fillId="20208" borderId="20155" xfId="0" applyFont="1" applyFill="1" applyBorder="1"/>
    <xf numFmtId="0" fontId="20199" fillId="20209" borderId="20156" xfId="0" applyFont="1" applyFill="1" applyBorder="1"/>
    <xf numFmtId="4" fontId="20200" fillId="20210" borderId="20157" xfId="0" applyNumberFormat="1" applyFont="1" applyFill="1" applyBorder="1"/>
    <xf numFmtId="165" fontId="20201" fillId="20211" borderId="20158" xfId="0" applyNumberFormat="1" applyFont="1" applyFill="1" applyBorder="1"/>
    <xf numFmtId="165" fontId="20202" fillId="20212" borderId="20159" xfId="0" applyNumberFormat="1" applyFont="1" applyFill="1" applyBorder="1"/>
    <xf numFmtId="0" fontId="20203" fillId="20213" borderId="20160" xfId="0" applyFont="1" applyFill="1" applyBorder="1"/>
    <xf numFmtId="0" fontId="20204" fillId="20214" borderId="20161" xfId="0" applyFont="1" applyFill="1" applyBorder="1"/>
    <xf numFmtId="0" fontId="20205" fillId="20215" borderId="20162" xfId="0" applyFont="1" applyFill="1" applyBorder="1"/>
    <xf numFmtId="0" fontId="20206" fillId="20216" borderId="20163" xfId="0" applyFont="1" applyFill="1" applyBorder="1"/>
    <xf numFmtId="14" fontId="20207" fillId="20217" borderId="20164" xfId="0" applyNumberFormat="1" applyFont="1" applyFill="1" applyBorder="1"/>
    <xf numFmtId="0" fontId="20208" fillId="20218" borderId="20165" xfId="0" applyFont="1" applyFill="1" applyBorder="1"/>
    <xf numFmtId="0" fontId="20209" fillId="20219" borderId="20166" xfId="0" applyFont="1" applyFill="1" applyBorder="1"/>
    <xf numFmtId="0" fontId="20210" fillId="20220" borderId="20167" xfId="0" applyFont="1" applyFill="1" applyBorder="1"/>
    <xf numFmtId="4" fontId="20211" fillId="20221" borderId="20168" xfId="0" applyNumberFormat="1" applyFont="1" applyFill="1" applyBorder="1"/>
    <xf numFmtId="165" fontId="20212" fillId="20222" borderId="20169" xfId="0" applyNumberFormat="1" applyFont="1" applyFill="1" applyBorder="1"/>
    <xf numFmtId="165" fontId="20213" fillId="20223" borderId="20170" xfId="0" applyNumberFormat="1" applyFont="1" applyFill="1" applyBorder="1"/>
    <xf numFmtId="0" fontId="20214" fillId="20224" borderId="20171" xfId="0" applyFont="1" applyFill="1" applyBorder="1"/>
    <xf numFmtId="0" fontId="20215" fillId="20225" borderId="20172" xfId="0" applyFont="1" applyFill="1" applyBorder="1"/>
    <xf numFmtId="0" fontId="20216" fillId="20226" borderId="20173" xfId="0" applyFont="1" applyFill="1" applyBorder="1"/>
    <xf numFmtId="0" fontId="20217" fillId="20227" borderId="20174" xfId="0" applyFont="1" applyFill="1" applyBorder="1"/>
    <xf numFmtId="14" fontId="20218" fillId="20228" borderId="20175" xfId="0" applyNumberFormat="1" applyFont="1" applyFill="1" applyBorder="1"/>
    <xf numFmtId="0" fontId="20219" fillId="20229" borderId="20176" xfId="0" applyFont="1" applyFill="1" applyBorder="1"/>
    <xf numFmtId="0" fontId="20220" fillId="20230" borderId="20177" xfId="0" applyFont="1" applyFill="1" applyBorder="1"/>
    <xf numFmtId="0" fontId="20221" fillId="20231" borderId="20178" xfId="0" applyFont="1" applyFill="1" applyBorder="1"/>
    <xf numFmtId="4" fontId="20222" fillId="20232" borderId="20179" xfId="0" applyNumberFormat="1" applyFont="1" applyFill="1" applyBorder="1"/>
    <xf numFmtId="165" fontId="20223" fillId="20233" borderId="20180" xfId="0" applyNumberFormat="1" applyFont="1" applyFill="1" applyBorder="1"/>
    <xf numFmtId="165" fontId="20224" fillId="20234" borderId="20181" xfId="0" applyNumberFormat="1" applyFont="1" applyFill="1" applyBorder="1"/>
    <xf numFmtId="0" fontId="20225" fillId="20235" borderId="20182" xfId="0" applyFont="1" applyFill="1" applyBorder="1"/>
    <xf numFmtId="0" fontId="20226" fillId="20236" borderId="20183" xfId="0" applyFont="1" applyFill="1" applyBorder="1"/>
    <xf numFmtId="0" fontId="20227" fillId="20237" borderId="20184" xfId="0" applyFont="1" applyFill="1" applyBorder="1"/>
    <xf numFmtId="0" fontId="20228" fillId="20238" borderId="20185" xfId="0" applyFont="1" applyFill="1" applyBorder="1"/>
    <xf numFmtId="14" fontId="20229" fillId="20239" borderId="20186" xfId="0" applyNumberFormat="1" applyFont="1" applyFill="1" applyBorder="1"/>
    <xf numFmtId="0" fontId="20230" fillId="20240" borderId="20187" xfId="0" applyFont="1" applyFill="1" applyBorder="1"/>
    <xf numFmtId="0" fontId="20231" fillId="20241" borderId="20188" xfId="0" applyFont="1" applyFill="1" applyBorder="1"/>
    <xf numFmtId="0" fontId="20232" fillId="20242" borderId="20189" xfId="0" applyFont="1" applyFill="1" applyBorder="1"/>
    <xf numFmtId="4" fontId="20233" fillId="20243" borderId="20190" xfId="0" applyNumberFormat="1" applyFont="1" applyFill="1" applyBorder="1"/>
    <xf numFmtId="165" fontId="20234" fillId="20244" borderId="20191" xfId="0" applyNumberFormat="1" applyFont="1" applyFill="1" applyBorder="1"/>
    <xf numFmtId="165" fontId="20235" fillId="20245" borderId="20192" xfId="0" applyNumberFormat="1" applyFont="1" applyFill="1" applyBorder="1"/>
    <xf numFmtId="0" fontId="20236" fillId="20246" borderId="20193" xfId="0" applyFont="1" applyFill="1" applyBorder="1"/>
    <xf numFmtId="0" fontId="20237" fillId="20247" borderId="20194" xfId="0" applyFont="1" applyFill="1" applyBorder="1"/>
    <xf numFmtId="0" fontId="20238" fillId="20248" borderId="20195" xfId="0" applyFont="1" applyFill="1" applyBorder="1"/>
    <xf numFmtId="0" fontId="20239" fillId="20249" borderId="20196" xfId="0" applyFont="1" applyFill="1" applyBorder="1"/>
    <xf numFmtId="14" fontId="20240" fillId="20250" borderId="20197" xfId="0" applyNumberFormat="1" applyFont="1" applyFill="1" applyBorder="1"/>
    <xf numFmtId="0" fontId="20241" fillId="20251" borderId="20198" xfId="0" applyFont="1" applyFill="1" applyBorder="1"/>
    <xf numFmtId="0" fontId="20242" fillId="20252" borderId="20199" xfId="0" applyFont="1" applyFill="1" applyBorder="1"/>
    <xf numFmtId="0" fontId="20243" fillId="20253" borderId="20200" xfId="0" applyFont="1" applyFill="1" applyBorder="1"/>
    <xf numFmtId="4" fontId="20244" fillId="20254" borderId="20201" xfId="0" applyNumberFormat="1" applyFont="1" applyFill="1" applyBorder="1"/>
    <xf numFmtId="165" fontId="20245" fillId="20255" borderId="20202" xfId="0" applyNumberFormat="1" applyFont="1" applyFill="1" applyBorder="1"/>
    <xf numFmtId="165" fontId="20246" fillId="20256" borderId="20203" xfId="0" applyNumberFormat="1" applyFont="1" applyFill="1" applyBorder="1"/>
    <xf numFmtId="0" fontId="20247" fillId="20257" borderId="20204" xfId="0" applyFont="1" applyFill="1" applyBorder="1"/>
    <xf numFmtId="0" fontId="20248" fillId="20258" borderId="20205" xfId="0" applyFont="1" applyFill="1" applyBorder="1"/>
    <xf numFmtId="0" fontId="20249" fillId="20259" borderId="20206" xfId="0" applyFont="1" applyFill="1" applyBorder="1"/>
    <xf numFmtId="0" fontId="20250" fillId="20260" borderId="20207" xfId="0" applyFont="1" applyFill="1" applyBorder="1"/>
    <xf numFmtId="14" fontId="20251" fillId="20261" borderId="20208" xfId="0" applyNumberFormat="1" applyFont="1" applyFill="1" applyBorder="1"/>
    <xf numFmtId="0" fontId="20252" fillId="20262" borderId="20209" xfId="0" applyFont="1" applyFill="1" applyBorder="1"/>
    <xf numFmtId="0" fontId="20253" fillId="20263" borderId="20210" xfId="0" applyFont="1" applyFill="1" applyBorder="1"/>
    <xf numFmtId="0" fontId="20254" fillId="20264" borderId="20211" xfId="0" applyFont="1" applyFill="1" applyBorder="1"/>
    <xf numFmtId="4" fontId="20255" fillId="20265" borderId="20212" xfId="0" applyNumberFormat="1" applyFont="1" applyFill="1" applyBorder="1"/>
    <xf numFmtId="165" fontId="20256" fillId="20266" borderId="20213" xfId="0" applyNumberFormat="1" applyFont="1" applyFill="1" applyBorder="1"/>
    <xf numFmtId="165" fontId="20257" fillId="20267" borderId="20214" xfId="0" applyNumberFormat="1" applyFont="1" applyFill="1" applyBorder="1"/>
    <xf numFmtId="0" fontId="20258" fillId="20268" borderId="20215" xfId="0" applyFont="1" applyFill="1" applyBorder="1"/>
    <xf numFmtId="0" fontId="20259" fillId="20269" borderId="20216" xfId="0" applyFont="1" applyFill="1" applyBorder="1"/>
    <xf numFmtId="0" fontId="20260" fillId="20270" borderId="20217" xfId="0" applyFont="1" applyFill="1" applyBorder="1"/>
    <xf numFmtId="0" fontId="20261" fillId="20271" borderId="20218" xfId="0" applyFont="1" applyFill="1" applyBorder="1"/>
    <xf numFmtId="14" fontId="20262" fillId="20272" borderId="20219" xfId="0" applyNumberFormat="1" applyFont="1" applyFill="1" applyBorder="1"/>
    <xf numFmtId="0" fontId="20263" fillId="20273" borderId="20220" xfId="0" applyFont="1" applyFill="1" applyBorder="1"/>
    <xf numFmtId="0" fontId="20264" fillId="20274" borderId="20221" xfId="0" applyFont="1" applyFill="1" applyBorder="1"/>
    <xf numFmtId="0" fontId="20265" fillId="20275" borderId="20222" xfId="0" applyFont="1" applyFill="1" applyBorder="1"/>
    <xf numFmtId="4" fontId="20266" fillId="20276" borderId="20223" xfId="0" applyNumberFormat="1" applyFont="1" applyFill="1" applyBorder="1"/>
    <xf numFmtId="165" fontId="20267" fillId="20277" borderId="20224" xfId="0" applyNumberFormat="1" applyFont="1" applyFill="1" applyBorder="1"/>
    <xf numFmtId="165" fontId="20268" fillId="20278" borderId="20225" xfId="0" applyNumberFormat="1" applyFont="1" applyFill="1" applyBorder="1"/>
    <xf numFmtId="0" fontId="20269" fillId="20279" borderId="20226" xfId="0" applyFont="1" applyFill="1" applyBorder="1"/>
    <xf numFmtId="0" fontId="20270" fillId="20280" borderId="20227" xfId="0" applyFont="1" applyFill="1" applyBorder="1"/>
    <xf numFmtId="0" fontId="20271" fillId="20281" borderId="20228" xfId="0" applyFont="1" applyFill="1" applyBorder="1"/>
    <xf numFmtId="0" fontId="20272" fillId="20282" borderId="20229" xfId="0" applyFont="1" applyFill="1" applyBorder="1"/>
    <xf numFmtId="14" fontId="20273" fillId="20283" borderId="20230" xfId="0" applyNumberFormat="1" applyFont="1" applyFill="1" applyBorder="1"/>
    <xf numFmtId="0" fontId="20274" fillId="20284" borderId="20231" xfId="0" applyFont="1" applyFill="1" applyBorder="1"/>
    <xf numFmtId="0" fontId="20275" fillId="20285" borderId="20232" xfId="0" applyFont="1" applyFill="1" applyBorder="1"/>
    <xf numFmtId="0" fontId="20276" fillId="20286" borderId="20233" xfId="0" applyFont="1" applyFill="1" applyBorder="1"/>
    <xf numFmtId="4" fontId="20277" fillId="20287" borderId="20234" xfId="0" applyNumberFormat="1" applyFont="1" applyFill="1" applyBorder="1"/>
    <xf numFmtId="165" fontId="20278" fillId="20288" borderId="20235" xfId="0" applyNumberFormat="1" applyFont="1" applyFill="1" applyBorder="1"/>
    <xf numFmtId="165" fontId="20279" fillId="20289" borderId="20236" xfId="0" applyNumberFormat="1" applyFont="1" applyFill="1" applyBorder="1"/>
    <xf numFmtId="0" fontId="20280" fillId="20290" borderId="20237" xfId="0" applyFont="1" applyFill="1" applyBorder="1"/>
    <xf numFmtId="0" fontId="20281" fillId="20291" borderId="20238" xfId="0" applyFont="1" applyFill="1" applyBorder="1"/>
    <xf numFmtId="0" fontId="20282" fillId="20292" borderId="20239" xfId="0" applyFont="1" applyFill="1" applyBorder="1"/>
    <xf numFmtId="0" fontId="20283" fillId="20293" borderId="20240" xfId="0" applyFont="1" applyFill="1" applyBorder="1"/>
    <xf numFmtId="14" fontId="20284" fillId="20294" borderId="20241" xfId="0" applyNumberFormat="1" applyFont="1" applyFill="1" applyBorder="1"/>
    <xf numFmtId="0" fontId="20285" fillId="20295" borderId="20242" xfId="0" applyFont="1" applyFill="1" applyBorder="1"/>
    <xf numFmtId="0" fontId="20286" fillId="20296" borderId="20243" xfId="0" applyFont="1" applyFill="1" applyBorder="1"/>
    <xf numFmtId="0" fontId="20287" fillId="20297" borderId="20244" xfId="0" applyFont="1" applyFill="1" applyBorder="1"/>
    <xf numFmtId="4" fontId="20288" fillId="20298" borderId="20245" xfId="0" applyNumberFormat="1" applyFont="1" applyFill="1" applyBorder="1"/>
    <xf numFmtId="165" fontId="20289" fillId="20299" borderId="20246" xfId="0" applyNumberFormat="1" applyFont="1" applyFill="1" applyBorder="1"/>
    <xf numFmtId="165" fontId="20290" fillId="20300" borderId="20247" xfId="0" applyNumberFormat="1" applyFont="1" applyFill="1" applyBorder="1"/>
    <xf numFmtId="0" fontId="20291" fillId="20301" borderId="20248" xfId="0" applyFont="1" applyFill="1" applyBorder="1"/>
    <xf numFmtId="0" fontId="20292" fillId="20302" borderId="20249" xfId="0" applyFont="1" applyFill="1" applyBorder="1"/>
    <xf numFmtId="0" fontId="20293" fillId="20303" borderId="20250" xfId="0" applyFont="1" applyFill="1" applyBorder="1"/>
    <xf numFmtId="0" fontId="20294" fillId="20304" borderId="20251" xfId="0" applyFont="1" applyFill="1" applyBorder="1"/>
    <xf numFmtId="14" fontId="20295" fillId="20305" borderId="20252" xfId="0" applyNumberFormat="1" applyFont="1" applyFill="1" applyBorder="1"/>
    <xf numFmtId="0" fontId="20296" fillId="20306" borderId="20253" xfId="0" applyFont="1" applyFill="1" applyBorder="1"/>
    <xf numFmtId="0" fontId="20297" fillId="20307" borderId="20254" xfId="0" applyFont="1" applyFill="1" applyBorder="1"/>
    <xf numFmtId="0" fontId="20298" fillId="20308" borderId="20255" xfId="0" applyFont="1" applyFill="1" applyBorder="1"/>
    <xf numFmtId="4" fontId="20299" fillId="20309" borderId="20256" xfId="0" applyNumberFormat="1" applyFont="1" applyFill="1" applyBorder="1"/>
    <xf numFmtId="165" fontId="20300" fillId="20310" borderId="20257" xfId="0" applyNumberFormat="1" applyFont="1" applyFill="1" applyBorder="1"/>
    <xf numFmtId="165" fontId="20301" fillId="20311" borderId="20258" xfId="0" applyNumberFormat="1" applyFont="1" applyFill="1" applyBorder="1"/>
    <xf numFmtId="0" fontId="20302" fillId="20312" borderId="20259" xfId="0" applyFont="1" applyFill="1" applyBorder="1"/>
    <xf numFmtId="0" fontId="20303" fillId="20313" borderId="20260" xfId="0" applyFont="1" applyFill="1" applyBorder="1"/>
    <xf numFmtId="0" fontId="20304" fillId="20314" borderId="20261" xfId="0" applyFont="1" applyFill="1" applyBorder="1"/>
    <xf numFmtId="0" fontId="20305" fillId="20315" borderId="20262" xfId="0" applyFont="1" applyFill="1" applyBorder="1"/>
    <xf numFmtId="14" fontId="20306" fillId="20316" borderId="20263" xfId="0" applyNumberFormat="1" applyFont="1" applyFill="1" applyBorder="1"/>
    <xf numFmtId="0" fontId="20307" fillId="20317" borderId="20264" xfId="0" applyFont="1" applyFill="1" applyBorder="1"/>
    <xf numFmtId="0" fontId="20308" fillId="20318" borderId="20265" xfId="0" applyFont="1" applyFill="1" applyBorder="1"/>
    <xf numFmtId="0" fontId="20309" fillId="20319" borderId="20266" xfId="0" applyFont="1" applyFill="1" applyBorder="1"/>
    <xf numFmtId="4" fontId="20310" fillId="20320" borderId="20267" xfId="0" applyNumberFormat="1" applyFont="1" applyFill="1" applyBorder="1"/>
    <xf numFmtId="165" fontId="20311" fillId="20321" borderId="20268" xfId="0" applyNumberFormat="1" applyFont="1" applyFill="1" applyBorder="1"/>
    <xf numFmtId="165" fontId="20312" fillId="20322" borderId="20269" xfId="0" applyNumberFormat="1" applyFont="1" applyFill="1" applyBorder="1"/>
    <xf numFmtId="0" fontId="20313" fillId="20323" borderId="20270" xfId="0" applyFont="1" applyFill="1" applyBorder="1"/>
    <xf numFmtId="0" fontId="20314" fillId="20324" borderId="20271" xfId="0" applyFont="1" applyFill="1" applyBorder="1"/>
    <xf numFmtId="0" fontId="20315" fillId="20325" borderId="20272" xfId="0" applyFont="1" applyFill="1" applyBorder="1"/>
    <xf numFmtId="0" fontId="20316" fillId="20326" borderId="20273" xfId="0" applyFont="1" applyFill="1" applyBorder="1"/>
    <xf numFmtId="14" fontId="20317" fillId="20327" borderId="20274" xfId="0" applyNumberFormat="1" applyFont="1" applyFill="1" applyBorder="1"/>
    <xf numFmtId="0" fontId="20318" fillId="20328" borderId="20275" xfId="0" applyFont="1" applyFill="1" applyBorder="1"/>
    <xf numFmtId="0" fontId="20319" fillId="20329" borderId="20276" xfId="0" applyFont="1" applyFill="1" applyBorder="1"/>
    <xf numFmtId="0" fontId="20320" fillId="20330" borderId="20277" xfId="0" applyFont="1" applyFill="1" applyBorder="1"/>
    <xf numFmtId="4" fontId="20321" fillId="20331" borderId="20278" xfId="0" applyNumberFormat="1" applyFont="1" applyFill="1" applyBorder="1"/>
    <xf numFmtId="165" fontId="20322" fillId="20332" borderId="20279" xfId="0" applyNumberFormat="1" applyFont="1" applyFill="1" applyBorder="1"/>
    <xf numFmtId="165" fontId="20323" fillId="20333" borderId="20280" xfId="0" applyNumberFormat="1" applyFont="1" applyFill="1" applyBorder="1"/>
    <xf numFmtId="0" fontId="20324" fillId="20334" borderId="20281" xfId="0" applyFont="1" applyFill="1" applyBorder="1"/>
    <xf numFmtId="0" fontId="20325" fillId="20335" borderId="20282" xfId="0" applyFont="1" applyFill="1" applyBorder="1"/>
    <xf numFmtId="0" fontId="20326" fillId="20336" borderId="20283" xfId="0" applyFont="1" applyFill="1" applyBorder="1"/>
    <xf numFmtId="0" fontId="20327" fillId="20337" borderId="20284" xfId="0" applyFont="1" applyFill="1" applyBorder="1"/>
    <xf numFmtId="14" fontId="20328" fillId="20338" borderId="20285" xfId="0" applyNumberFormat="1" applyFont="1" applyFill="1" applyBorder="1"/>
    <xf numFmtId="0" fontId="20329" fillId="20339" borderId="20286" xfId="0" applyFont="1" applyFill="1" applyBorder="1"/>
    <xf numFmtId="0" fontId="20330" fillId="20340" borderId="20287" xfId="0" applyFont="1" applyFill="1" applyBorder="1"/>
    <xf numFmtId="0" fontId="20331" fillId="20341" borderId="20288" xfId="0" applyFont="1" applyFill="1" applyBorder="1"/>
    <xf numFmtId="4" fontId="20332" fillId="20342" borderId="20289" xfId="0" applyNumberFormat="1" applyFont="1" applyFill="1" applyBorder="1"/>
    <xf numFmtId="165" fontId="20333" fillId="20343" borderId="20290" xfId="0" applyNumberFormat="1" applyFont="1" applyFill="1" applyBorder="1"/>
    <xf numFmtId="165" fontId="20334" fillId="20344" borderId="20291" xfId="0" applyNumberFormat="1" applyFont="1" applyFill="1" applyBorder="1"/>
    <xf numFmtId="0" fontId="20335" fillId="20345" borderId="20292" xfId="0" applyFont="1" applyFill="1" applyBorder="1"/>
    <xf numFmtId="0" fontId="20336" fillId="20346" borderId="20293" xfId="0" applyFont="1" applyFill="1" applyBorder="1"/>
    <xf numFmtId="0" fontId="20337" fillId="20347" borderId="20294" xfId="0" applyFont="1" applyFill="1" applyBorder="1"/>
    <xf numFmtId="0" fontId="20338" fillId="20348" borderId="20295" xfId="0" applyFont="1" applyFill="1" applyBorder="1"/>
    <xf numFmtId="14" fontId="20339" fillId="20349" borderId="20296" xfId="0" applyNumberFormat="1" applyFont="1" applyFill="1" applyBorder="1"/>
    <xf numFmtId="0" fontId="20340" fillId="20350" borderId="20297" xfId="0" applyFont="1" applyFill="1" applyBorder="1"/>
    <xf numFmtId="0" fontId="20341" fillId="20351" borderId="20298" xfId="0" applyFont="1" applyFill="1" applyBorder="1"/>
    <xf numFmtId="0" fontId="20342" fillId="20352" borderId="20299" xfId="0" applyFont="1" applyFill="1" applyBorder="1"/>
    <xf numFmtId="4" fontId="20343" fillId="20353" borderId="20300" xfId="0" applyNumberFormat="1" applyFont="1" applyFill="1" applyBorder="1"/>
    <xf numFmtId="165" fontId="20344" fillId="20354" borderId="20301" xfId="0" applyNumberFormat="1" applyFont="1" applyFill="1" applyBorder="1"/>
    <xf numFmtId="165" fontId="20345" fillId="20355" borderId="20302" xfId="0" applyNumberFormat="1" applyFont="1" applyFill="1" applyBorder="1"/>
    <xf numFmtId="0" fontId="20346" fillId="20356" borderId="20303" xfId="0" applyFont="1" applyFill="1" applyBorder="1"/>
    <xf numFmtId="0" fontId="20347" fillId="20357" borderId="20304" xfId="0" applyFont="1" applyFill="1" applyBorder="1"/>
    <xf numFmtId="0" fontId="20348" fillId="20358" borderId="20305" xfId="0" applyFont="1" applyFill="1" applyBorder="1"/>
    <xf numFmtId="0" fontId="20349" fillId="20359" borderId="20306" xfId="0" applyFont="1" applyFill="1" applyBorder="1"/>
    <xf numFmtId="14" fontId="20350" fillId="20360" borderId="20307" xfId="0" applyNumberFormat="1" applyFont="1" applyFill="1" applyBorder="1"/>
    <xf numFmtId="0" fontId="20351" fillId="20361" borderId="20308" xfId="0" applyFont="1" applyFill="1" applyBorder="1"/>
    <xf numFmtId="0" fontId="20352" fillId="20362" borderId="20309" xfId="0" applyFont="1" applyFill="1" applyBorder="1"/>
    <xf numFmtId="0" fontId="20353" fillId="20363" borderId="20310" xfId="0" applyFont="1" applyFill="1" applyBorder="1"/>
    <xf numFmtId="4" fontId="20354" fillId="20364" borderId="20311" xfId="0" applyNumberFormat="1" applyFont="1" applyFill="1" applyBorder="1"/>
    <xf numFmtId="165" fontId="20355" fillId="20365" borderId="20312" xfId="0" applyNumberFormat="1" applyFont="1" applyFill="1" applyBorder="1"/>
    <xf numFmtId="165" fontId="20356" fillId="20366" borderId="20313" xfId="0" applyNumberFormat="1" applyFont="1" applyFill="1" applyBorder="1"/>
    <xf numFmtId="0" fontId="20357" fillId="20367" borderId="20314" xfId="0" applyFont="1" applyFill="1" applyBorder="1"/>
    <xf numFmtId="0" fontId="20358" fillId="20368" borderId="20315" xfId="0" applyFont="1" applyFill="1" applyBorder="1"/>
    <xf numFmtId="0" fontId="20359" fillId="20369" borderId="20316" xfId="0" applyFont="1" applyFill="1" applyBorder="1"/>
    <xf numFmtId="0" fontId="20360" fillId="20370" borderId="20317" xfId="0" applyFont="1" applyFill="1" applyBorder="1"/>
    <xf numFmtId="14" fontId="20361" fillId="20371" borderId="20318" xfId="0" applyNumberFormat="1" applyFont="1" applyFill="1" applyBorder="1"/>
    <xf numFmtId="0" fontId="20362" fillId="20372" borderId="20319" xfId="0" applyFont="1" applyFill="1" applyBorder="1"/>
    <xf numFmtId="0" fontId="20363" fillId="20373" borderId="20320" xfId="0" applyFont="1" applyFill="1" applyBorder="1"/>
    <xf numFmtId="0" fontId="20364" fillId="20374" borderId="20321" xfId="0" applyFont="1" applyFill="1" applyBorder="1"/>
    <xf numFmtId="4" fontId="20365" fillId="20375" borderId="20322" xfId="0" applyNumberFormat="1" applyFont="1" applyFill="1" applyBorder="1"/>
    <xf numFmtId="165" fontId="20366" fillId="20376" borderId="20323" xfId="0" applyNumberFormat="1" applyFont="1" applyFill="1" applyBorder="1"/>
    <xf numFmtId="165" fontId="20367" fillId="20377" borderId="20324" xfId="0" applyNumberFormat="1" applyFont="1" applyFill="1" applyBorder="1"/>
    <xf numFmtId="0" fontId="20368" fillId="20378" borderId="20325" xfId="0" applyFont="1" applyFill="1" applyBorder="1"/>
    <xf numFmtId="0" fontId="20369" fillId="20379" borderId="20326" xfId="0" applyFont="1" applyFill="1" applyBorder="1"/>
    <xf numFmtId="0" fontId="20370" fillId="20380" borderId="20327" xfId="0" applyFont="1" applyFill="1" applyBorder="1"/>
    <xf numFmtId="0" fontId="20371" fillId="20381" borderId="20328" xfId="0" applyFont="1" applyFill="1" applyBorder="1"/>
    <xf numFmtId="14" fontId="20372" fillId="20382" borderId="20329" xfId="0" applyNumberFormat="1" applyFont="1" applyFill="1" applyBorder="1"/>
    <xf numFmtId="0" fontId="20373" fillId="20383" borderId="20330" xfId="0" applyFont="1" applyFill="1" applyBorder="1"/>
    <xf numFmtId="0" fontId="20374" fillId="20384" borderId="20331" xfId="0" applyFont="1" applyFill="1" applyBorder="1"/>
    <xf numFmtId="0" fontId="20375" fillId="20385" borderId="20332" xfId="0" applyFont="1" applyFill="1" applyBorder="1"/>
    <xf numFmtId="4" fontId="20376" fillId="20386" borderId="20333" xfId="0" applyNumberFormat="1" applyFont="1" applyFill="1" applyBorder="1"/>
    <xf numFmtId="165" fontId="20377" fillId="20387" borderId="20334" xfId="0" applyNumberFormat="1" applyFont="1" applyFill="1" applyBorder="1"/>
    <xf numFmtId="165" fontId="20378" fillId="20388" borderId="20335" xfId="0" applyNumberFormat="1" applyFont="1" applyFill="1" applyBorder="1"/>
    <xf numFmtId="0" fontId="20379" fillId="20389" borderId="20336" xfId="0" applyFont="1" applyFill="1" applyBorder="1"/>
    <xf numFmtId="0" fontId="20380" fillId="20390" borderId="20337" xfId="0" applyFont="1" applyFill="1" applyBorder="1"/>
    <xf numFmtId="0" fontId="20381" fillId="20391" borderId="20338" xfId="0" applyFont="1" applyFill="1" applyBorder="1"/>
    <xf numFmtId="0" fontId="20382" fillId="20392" borderId="20339" xfId="0" applyFont="1" applyFill="1" applyBorder="1"/>
    <xf numFmtId="14" fontId="20383" fillId="20393" borderId="20340" xfId="0" applyNumberFormat="1" applyFont="1" applyFill="1" applyBorder="1"/>
    <xf numFmtId="0" fontId="20384" fillId="20394" borderId="20341" xfId="0" applyFont="1" applyFill="1" applyBorder="1"/>
    <xf numFmtId="0" fontId="20385" fillId="20395" borderId="20342" xfId="0" applyFont="1" applyFill="1" applyBorder="1"/>
    <xf numFmtId="0" fontId="20386" fillId="20396" borderId="20343" xfId="0" applyFont="1" applyFill="1" applyBorder="1"/>
    <xf numFmtId="4" fontId="20387" fillId="20397" borderId="20344" xfId="0" applyNumberFormat="1" applyFont="1" applyFill="1" applyBorder="1"/>
    <xf numFmtId="165" fontId="20388" fillId="20398" borderId="20345" xfId="0" applyNumberFormat="1" applyFont="1" applyFill="1" applyBorder="1"/>
    <xf numFmtId="165" fontId="20389" fillId="20399" borderId="20346" xfId="0" applyNumberFormat="1" applyFont="1" applyFill="1" applyBorder="1"/>
    <xf numFmtId="0" fontId="20390" fillId="20400" borderId="20347" xfId="0" applyFont="1" applyFill="1" applyBorder="1"/>
    <xf numFmtId="0" fontId="20391" fillId="20401" borderId="20348" xfId="0" applyFont="1" applyFill="1" applyBorder="1"/>
    <xf numFmtId="0" fontId="20392" fillId="20402" borderId="20349" xfId="0" applyFont="1" applyFill="1" applyBorder="1"/>
    <xf numFmtId="0" fontId="20393" fillId="20403" borderId="20350" xfId="0" applyFont="1" applyFill="1" applyBorder="1"/>
    <xf numFmtId="14" fontId="20394" fillId="20404" borderId="20351" xfId="0" applyNumberFormat="1" applyFont="1" applyFill="1" applyBorder="1"/>
    <xf numFmtId="0" fontId="20395" fillId="20405" borderId="20352" xfId="0" applyFont="1" applyFill="1" applyBorder="1"/>
    <xf numFmtId="0" fontId="20396" fillId="20406" borderId="20353" xfId="0" applyFont="1" applyFill="1" applyBorder="1"/>
    <xf numFmtId="0" fontId="20397" fillId="20407" borderId="20354" xfId="0" applyFont="1" applyFill="1" applyBorder="1"/>
    <xf numFmtId="4" fontId="20398" fillId="20408" borderId="20355" xfId="0" applyNumberFormat="1" applyFont="1" applyFill="1" applyBorder="1"/>
    <xf numFmtId="165" fontId="20399" fillId="20409" borderId="20356" xfId="0" applyNumberFormat="1" applyFont="1" applyFill="1" applyBorder="1"/>
    <xf numFmtId="165" fontId="20400" fillId="20410" borderId="20357" xfId="0" applyNumberFormat="1" applyFont="1" applyFill="1" applyBorder="1"/>
    <xf numFmtId="0" fontId="20401" fillId="20411" borderId="20358" xfId="0" applyFont="1" applyFill="1" applyBorder="1"/>
    <xf numFmtId="0" fontId="20402" fillId="20412" borderId="20359" xfId="0" applyFont="1" applyFill="1" applyBorder="1"/>
    <xf numFmtId="0" fontId="20403" fillId="20413" borderId="20360" xfId="0" applyFont="1" applyFill="1" applyBorder="1"/>
    <xf numFmtId="0" fontId="20404" fillId="20414" borderId="20361" xfId="0" applyFont="1" applyFill="1" applyBorder="1"/>
    <xf numFmtId="14" fontId="20405" fillId="20415" borderId="20362" xfId="0" applyNumberFormat="1" applyFont="1" applyFill="1" applyBorder="1"/>
    <xf numFmtId="0" fontId="20406" fillId="20416" borderId="20363" xfId="0" applyFont="1" applyFill="1" applyBorder="1"/>
    <xf numFmtId="0" fontId="20407" fillId="20417" borderId="20364" xfId="0" applyFont="1" applyFill="1" applyBorder="1"/>
    <xf numFmtId="0" fontId="20408" fillId="20418" borderId="20365" xfId="0" applyFont="1" applyFill="1" applyBorder="1"/>
    <xf numFmtId="4" fontId="20409" fillId="20419" borderId="20366" xfId="0" applyNumberFormat="1" applyFont="1" applyFill="1" applyBorder="1"/>
    <xf numFmtId="165" fontId="20410" fillId="20420" borderId="20367" xfId="0" applyNumberFormat="1" applyFont="1" applyFill="1" applyBorder="1"/>
    <xf numFmtId="165" fontId="20411" fillId="20421" borderId="20368" xfId="0" applyNumberFormat="1" applyFont="1" applyFill="1" applyBorder="1"/>
    <xf numFmtId="0" fontId="20412" fillId="20422" borderId="20369" xfId="0" applyFont="1" applyFill="1" applyBorder="1"/>
    <xf numFmtId="0" fontId="20413" fillId="20423" borderId="20370" xfId="0" applyFont="1" applyFill="1" applyBorder="1"/>
    <xf numFmtId="0" fontId="20414" fillId="20424" borderId="20371" xfId="0" applyFont="1" applyFill="1" applyBorder="1"/>
    <xf numFmtId="0" fontId="20415" fillId="20425" borderId="20372" xfId="0" applyFont="1" applyFill="1" applyBorder="1"/>
    <xf numFmtId="14" fontId="20416" fillId="20426" borderId="20373" xfId="0" applyNumberFormat="1" applyFont="1" applyFill="1" applyBorder="1"/>
    <xf numFmtId="0" fontId="20417" fillId="20427" borderId="20374" xfId="0" applyFont="1" applyFill="1" applyBorder="1"/>
    <xf numFmtId="0" fontId="20418" fillId="20428" borderId="20375" xfId="0" applyFont="1" applyFill="1" applyBorder="1"/>
    <xf numFmtId="0" fontId="20419" fillId="20429" borderId="20376" xfId="0" applyFont="1" applyFill="1" applyBorder="1"/>
    <xf numFmtId="4" fontId="20420" fillId="20430" borderId="20377" xfId="0" applyNumberFormat="1" applyFont="1" applyFill="1" applyBorder="1"/>
    <xf numFmtId="165" fontId="20421" fillId="20431" borderId="20378" xfId="0" applyNumberFormat="1" applyFont="1" applyFill="1" applyBorder="1"/>
    <xf numFmtId="165" fontId="20422" fillId="20432" borderId="20379" xfId="0" applyNumberFormat="1" applyFont="1" applyFill="1" applyBorder="1"/>
    <xf numFmtId="0" fontId="20423" fillId="20433" borderId="20380" xfId="0" applyFont="1" applyFill="1" applyBorder="1"/>
    <xf numFmtId="0" fontId="20424" fillId="20434" borderId="20381" xfId="0" applyFont="1" applyFill="1" applyBorder="1"/>
    <xf numFmtId="0" fontId="20425" fillId="20435" borderId="20382" xfId="0" applyFont="1" applyFill="1" applyBorder="1"/>
    <xf numFmtId="0" fontId="20426" fillId="20436" borderId="20383" xfId="0" applyFont="1" applyFill="1" applyBorder="1"/>
    <xf numFmtId="14" fontId="20427" fillId="20437" borderId="20384" xfId="0" applyNumberFormat="1" applyFont="1" applyFill="1" applyBorder="1"/>
    <xf numFmtId="0" fontId="20428" fillId="20438" borderId="20385" xfId="0" applyFont="1" applyFill="1" applyBorder="1"/>
    <xf numFmtId="0" fontId="20429" fillId="20439" borderId="20386" xfId="0" applyFont="1" applyFill="1" applyBorder="1"/>
    <xf numFmtId="0" fontId="20430" fillId="20440" borderId="20387" xfId="0" applyFont="1" applyFill="1" applyBorder="1"/>
    <xf numFmtId="4" fontId="20431" fillId="20441" borderId="20388" xfId="0" applyNumberFormat="1" applyFont="1" applyFill="1" applyBorder="1"/>
    <xf numFmtId="165" fontId="20432" fillId="20442" borderId="20389" xfId="0" applyNumberFormat="1" applyFont="1" applyFill="1" applyBorder="1"/>
    <xf numFmtId="165" fontId="20433" fillId="20443" borderId="20390" xfId="0" applyNumberFormat="1" applyFont="1" applyFill="1" applyBorder="1"/>
    <xf numFmtId="0" fontId="20434" fillId="20444" borderId="20391" xfId="0" applyFont="1" applyFill="1" applyBorder="1"/>
    <xf numFmtId="0" fontId="20435" fillId="20445" borderId="20392" xfId="0" applyFont="1" applyFill="1" applyBorder="1"/>
    <xf numFmtId="0" fontId="20436" fillId="20446" borderId="20393" xfId="0" applyFont="1" applyFill="1" applyBorder="1"/>
    <xf numFmtId="0" fontId="20437" fillId="20447" borderId="20394" xfId="0" applyFont="1" applyFill="1" applyBorder="1"/>
    <xf numFmtId="14" fontId="20438" fillId="20448" borderId="20395" xfId="0" applyNumberFormat="1" applyFont="1" applyFill="1" applyBorder="1"/>
    <xf numFmtId="0" fontId="20439" fillId="20449" borderId="20396" xfId="0" applyFont="1" applyFill="1" applyBorder="1"/>
    <xf numFmtId="0" fontId="20440" fillId="20450" borderId="20397" xfId="0" applyFont="1" applyFill="1" applyBorder="1"/>
    <xf numFmtId="0" fontId="20441" fillId="20451" borderId="20398" xfId="0" applyFont="1" applyFill="1" applyBorder="1"/>
    <xf numFmtId="4" fontId="20442" fillId="20452" borderId="20399" xfId="0" applyNumberFormat="1" applyFont="1" applyFill="1" applyBorder="1"/>
    <xf numFmtId="165" fontId="20443" fillId="20453" borderId="20400" xfId="0" applyNumberFormat="1" applyFont="1" applyFill="1" applyBorder="1"/>
    <xf numFmtId="165" fontId="20444" fillId="20454" borderId="20401" xfId="0" applyNumberFormat="1" applyFont="1" applyFill="1" applyBorder="1"/>
    <xf numFmtId="0" fontId="20445" fillId="20455" borderId="20402" xfId="0" applyFont="1" applyFill="1" applyBorder="1"/>
    <xf numFmtId="0" fontId="20446" fillId="20456" borderId="20403" xfId="0" applyFont="1" applyFill="1" applyBorder="1"/>
    <xf numFmtId="0" fontId="20447" fillId="20457" borderId="20404" xfId="0" applyFont="1" applyFill="1" applyBorder="1"/>
    <xf numFmtId="0" fontId="20448" fillId="20458" borderId="20405" xfId="0" applyFont="1" applyFill="1" applyBorder="1"/>
    <xf numFmtId="14" fontId="20449" fillId="20459" borderId="20406" xfId="0" applyNumberFormat="1" applyFont="1" applyFill="1" applyBorder="1"/>
    <xf numFmtId="0" fontId="20450" fillId="20460" borderId="20407" xfId="0" applyFont="1" applyFill="1" applyBorder="1"/>
    <xf numFmtId="0" fontId="20451" fillId="20461" borderId="20408" xfId="0" applyFont="1" applyFill="1" applyBorder="1"/>
    <xf numFmtId="0" fontId="20452" fillId="20462" borderId="20409" xfId="0" applyFont="1" applyFill="1" applyBorder="1"/>
    <xf numFmtId="4" fontId="20453" fillId="20463" borderId="20410" xfId="0" applyNumberFormat="1" applyFont="1" applyFill="1" applyBorder="1"/>
    <xf numFmtId="165" fontId="20454" fillId="20464" borderId="20411" xfId="0" applyNumberFormat="1" applyFont="1" applyFill="1" applyBorder="1"/>
    <xf numFmtId="165" fontId="20455" fillId="20465" borderId="20412" xfId="0" applyNumberFormat="1" applyFont="1" applyFill="1" applyBorder="1"/>
    <xf numFmtId="0" fontId="20456" fillId="20466" borderId="20413" xfId="0" applyFont="1" applyFill="1" applyBorder="1"/>
    <xf numFmtId="0" fontId="20457" fillId="20467" borderId="20414" xfId="0" applyFont="1" applyFill="1" applyBorder="1"/>
    <xf numFmtId="0" fontId="20458" fillId="20468" borderId="20415" xfId="0" applyFont="1" applyFill="1" applyBorder="1"/>
    <xf numFmtId="0" fontId="20459" fillId="20469" borderId="20416" xfId="0" applyFont="1" applyFill="1" applyBorder="1"/>
    <xf numFmtId="14" fontId="20460" fillId="20470" borderId="20417" xfId="0" applyNumberFormat="1" applyFont="1" applyFill="1" applyBorder="1"/>
    <xf numFmtId="0" fontId="20461" fillId="20471" borderId="20418" xfId="0" applyFont="1" applyFill="1" applyBorder="1"/>
    <xf numFmtId="0" fontId="20462" fillId="20472" borderId="20419" xfId="0" applyFont="1" applyFill="1" applyBorder="1"/>
    <xf numFmtId="0" fontId="20463" fillId="20473" borderId="20420" xfId="0" applyFont="1" applyFill="1" applyBorder="1"/>
    <xf numFmtId="4" fontId="20464" fillId="20474" borderId="20421" xfId="0" applyNumberFormat="1" applyFont="1" applyFill="1" applyBorder="1"/>
    <xf numFmtId="165" fontId="20465" fillId="20475" borderId="20422" xfId="0" applyNumberFormat="1" applyFont="1" applyFill="1" applyBorder="1"/>
    <xf numFmtId="165" fontId="20466" fillId="20476" borderId="20423" xfId="0" applyNumberFormat="1" applyFont="1" applyFill="1" applyBorder="1"/>
    <xf numFmtId="0" fontId="20467" fillId="20477" borderId="20424" xfId="0" applyFont="1" applyFill="1" applyBorder="1"/>
    <xf numFmtId="0" fontId="20468" fillId="20478" borderId="20425" xfId="0" applyFont="1" applyFill="1" applyBorder="1"/>
    <xf numFmtId="0" fontId="20469" fillId="20479" borderId="20426" xfId="0" applyFont="1" applyFill="1" applyBorder="1"/>
    <xf numFmtId="0" fontId="20470" fillId="20480" borderId="20427" xfId="0" applyFont="1" applyFill="1" applyBorder="1"/>
    <xf numFmtId="14" fontId="20471" fillId="20481" borderId="20428" xfId="0" applyNumberFormat="1" applyFont="1" applyFill="1" applyBorder="1"/>
    <xf numFmtId="0" fontId="20472" fillId="20482" borderId="20429" xfId="0" applyFont="1" applyFill="1" applyBorder="1"/>
    <xf numFmtId="0" fontId="20473" fillId="20483" borderId="20430" xfId="0" applyFont="1" applyFill="1" applyBorder="1"/>
    <xf numFmtId="0" fontId="20474" fillId="20484" borderId="20431" xfId="0" applyFont="1" applyFill="1" applyBorder="1"/>
    <xf numFmtId="4" fontId="20475" fillId="20485" borderId="20432" xfId="0" applyNumberFormat="1" applyFont="1" applyFill="1" applyBorder="1"/>
    <xf numFmtId="165" fontId="20476" fillId="20486" borderId="20433" xfId="0" applyNumberFormat="1" applyFont="1" applyFill="1" applyBorder="1"/>
    <xf numFmtId="165" fontId="20477" fillId="20487" borderId="20434" xfId="0" applyNumberFormat="1" applyFont="1" applyFill="1" applyBorder="1"/>
    <xf numFmtId="0" fontId="20478" fillId="20488" borderId="20435" xfId="0" applyFont="1" applyFill="1" applyBorder="1"/>
    <xf numFmtId="0" fontId="20479" fillId="20489" borderId="20436" xfId="0" applyFont="1" applyFill="1" applyBorder="1"/>
    <xf numFmtId="0" fontId="20480" fillId="20490" borderId="20437" xfId="0" applyFont="1" applyFill="1" applyBorder="1"/>
    <xf numFmtId="0" fontId="20481" fillId="20491" borderId="20438" xfId="0" applyFont="1" applyFill="1" applyBorder="1"/>
    <xf numFmtId="14" fontId="20482" fillId="20492" borderId="20439" xfId="0" applyNumberFormat="1" applyFont="1" applyFill="1" applyBorder="1"/>
    <xf numFmtId="0" fontId="20483" fillId="20493" borderId="20440" xfId="0" applyFont="1" applyFill="1" applyBorder="1"/>
    <xf numFmtId="0" fontId="20484" fillId="20494" borderId="20441" xfId="0" applyFont="1" applyFill="1" applyBorder="1"/>
    <xf numFmtId="0" fontId="20485" fillId="20495" borderId="20442" xfId="0" applyFont="1" applyFill="1" applyBorder="1"/>
    <xf numFmtId="4" fontId="20486" fillId="20496" borderId="20443" xfId="0" applyNumberFormat="1" applyFont="1" applyFill="1" applyBorder="1"/>
    <xf numFmtId="165" fontId="20487" fillId="20497" borderId="20444" xfId="0" applyNumberFormat="1" applyFont="1" applyFill="1" applyBorder="1"/>
    <xf numFmtId="165" fontId="20488" fillId="20498" borderId="20445" xfId="0" applyNumberFormat="1" applyFont="1" applyFill="1" applyBorder="1"/>
    <xf numFmtId="0" fontId="20489" fillId="20499" borderId="20446" xfId="0" applyFont="1" applyFill="1" applyBorder="1"/>
    <xf numFmtId="0" fontId="20490" fillId="20500" borderId="20447" xfId="0" applyFont="1" applyFill="1" applyBorder="1"/>
    <xf numFmtId="0" fontId="20491" fillId="20501" borderId="20448" xfId="0" applyFont="1" applyFill="1" applyBorder="1"/>
    <xf numFmtId="0" fontId="20492" fillId="20502" borderId="20449" xfId="0" applyFont="1" applyFill="1" applyBorder="1"/>
    <xf numFmtId="14" fontId="20493" fillId="20503" borderId="20450" xfId="0" applyNumberFormat="1" applyFont="1" applyFill="1" applyBorder="1"/>
    <xf numFmtId="0" fontId="20494" fillId="20504" borderId="20451" xfId="0" applyFont="1" applyFill="1" applyBorder="1"/>
    <xf numFmtId="0" fontId="20495" fillId="20505" borderId="20452" xfId="0" applyFont="1" applyFill="1" applyBorder="1"/>
    <xf numFmtId="0" fontId="20496" fillId="20506" borderId="20453" xfId="0" applyFont="1" applyFill="1" applyBorder="1"/>
    <xf numFmtId="4" fontId="20497" fillId="20507" borderId="20454" xfId="0" applyNumberFormat="1" applyFont="1" applyFill="1" applyBorder="1"/>
    <xf numFmtId="165" fontId="20498" fillId="20508" borderId="20455" xfId="0" applyNumberFormat="1" applyFont="1" applyFill="1" applyBorder="1"/>
    <xf numFmtId="165" fontId="20499" fillId="20509" borderId="20456" xfId="0" applyNumberFormat="1" applyFont="1" applyFill="1" applyBorder="1"/>
    <xf numFmtId="0" fontId="20500" fillId="20510" borderId="20457" xfId="0" applyFont="1" applyFill="1" applyBorder="1"/>
    <xf numFmtId="0" fontId="20501" fillId="20511" borderId="20458" xfId="0" applyFont="1" applyFill="1" applyBorder="1"/>
    <xf numFmtId="0" fontId="20502" fillId="20512" borderId="20459" xfId="0" applyFont="1" applyFill="1" applyBorder="1"/>
    <xf numFmtId="0" fontId="20503" fillId="20513" borderId="20460" xfId="0" applyFont="1" applyFill="1" applyBorder="1"/>
    <xf numFmtId="14" fontId="20504" fillId="20514" borderId="20461" xfId="0" applyNumberFormat="1" applyFont="1" applyFill="1" applyBorder="1"/>
    <xf numFmtId="0" fontId="20505" fillId="20515" borderId="20462" xfId="0" applyFont="1" applyFill="1" applyBorder="1"/>
    <xf numFmtId="0" fontId="20506" fillId="20516" borderId="20463" xfId="0" applyFont="1" applyFill="1" applyBorder="1"/>
    <xf numFmtId="0" fontId="20507" fillId="20517" borderId="20464" xfId="0" applyFont="1" applyFill="1" applyBorder="1"/>
    <xf numFmtId="4" fontId="20508" fillId="20518" borderId="20465" xfId="0" applyNumberFormat="1" applyFont="1" applyFill="1" applyBorder="1"/>
    <xf numFmtId="165" fontId="20509" fillId="20519" borderId="20466" xfId="0" applyNumberFormat="1" applyFont="1" applyFill="1" applyBorder="1"/>
    <xf numFmtId="165" fontId="20510" fillId="20520" borderId="20467" xfId="0" applyNumberFormat="1" applyFont="1" applyFill="1" applyBorder="1"/>
    <xf numFmtId="0" fontId="20511" fillId="20521" borderId="20468" xfId="0" applyFont="1" applyFill="1" applyBorder="1"/>
    <xf numFmtId="0" fontId="20512" fillId="20522" borderId="20469" xfId="0" applyFont="1" applyFill="1" applyBorder="1"/>
    <xf numFmtId="0" fontId="20513" fillId="20523" borderId="20470" xfId="0" applyFont="1" applyFill="1" applyBorder="1"/>
    <xf numFmtId="0" fontId="20514" fillId="20524" borderId="20471" xfId="0" applyFont="1" applyFill="1" applyBorder="1"/>
    <xf numFmtId="14" fontId="20515" fillId="20525" borderId="20472" xfId="0" applyNumberFormat="1" applyFont="1" applyFill="1" applyBorder="1"/>
    <xf numFmtId="0" fontId="20516" fillId="20526" borderId="20473" xfId="0" applyFont="1" applyFill="1" applyBorder="1"/>
    <xf numFmtId="0" fontId="20517" fillId="20527" borderId="20474" xfId="0" applyFont="1" applyFill="1" applyBorder="1"/>
    <xf numFmtId="0" fontId="20518" fillId="20528" borderId="20475" xfId="0" applyFont="1" applyFill="1" applyBorder="1"/>
    <xf numFmtId="4" fontId="20519" fillId="20529" borderId="20476" xfId="0" applyNumberFormat="1" applyFont="1" applyFill="1" applyBorder="1"/>
    <xf numFmtId="165" fontId="20520" fillId="20530" borderId="20477" xfId="0" applyNumberFormat="1" applyFont="1" applyFill="1" applyBorder="1"/>
    <xf numFmtId="165" fontId="20521" fillId="20531" borderId="20478" xfId="0" applyNumberFormat="1" applyFont="1" applyFill="1" applyBorder="1"/>
    <xf numFmtId="0" fontId="20522" fillId="20532" borderId="20479" xfId="0" applyFont="1" applyFill="1" applyBorder="1"/>
    <xf numFmtId="0" fontId="20523" fillId="20533" borderId="20480" xfId="0" applyFont="1" applyFill="1" applyBorder="1"/>
    <xf numFmtId="0" fontId="20524" fillId="20534" borderId="20481" xfId="0" applyFont="1" applyFill="1" applyBorder="1"/>
    <xf numFmtId="0" fontId="20525" fillId="20535" borderId="20482" xfId="0" applyFont="1" applyFill="1" applyBorder="1"/>
    <xf numFmtId="14" fontId="20526" fillId="20536" borderId="20483" xfId="0" applyNumberFormat="1" applyFont="1" applyFill="1" applyBorder="1"/>
    <xf numFmtId="0" fontId="20527" fillId="20537" borderId="20484" xfId="0" applyFont="1" applyFill="1" applyBorder="1"/>
    <xf numFmtId="0" fontId="20528" fillId="20538" borderId="20485" xfId="0" applyFont="1" applyFill="1" applyBorder="1"/>
    <xf numFmtId="0" fontId="20529" fillId="20539" borderId="20486" xfId="0" applyFont="1" applyFill="1" applyBorder="1"/>
    <xf numFmtId="4" fontId="20530" fillId="20540" borderId="20487" xfId="0" applyNumberFormat="1" applyFont="1" applyFill="1" applyBorder="1"/>
    <xf numFmtId="165" fontId="20531" fillId="20541" borderId="20488" xfId="0" applyNumberFormat="1" applyFont="1" applyFill="1" applyBorder="1"/>
    <xf numFmtId="165" fontId="20532" fillId="20542" borderId="20489" xfId="0" applyNumberFormat="1" applyFont="1" applyFill="1" applyBorder="1"/>
    <xf numFmtId="0" fontId="20533" fillId="20543" borderId="20490" xfId="0" applyFont="1" applyFill="1" applyBorder="1"/>
    <xf numFmtId="0" fontId="20534" fillId="20544" borderId="20491" xfId="0" applyFont="1" applyFill="1" applyBorder="1"/>
    <xf numFmtId="0" fontId="20535" fillId="20545" borderId="20492" xfId="0" applyFont="1" applyFill="1" applyBorder="1"/>
    <xf numFmtId="0" fontId="20536" fillId="20546" borderId="20493" xfId="0" applyFont="1" applyFill="1" applyBorder="1"/>
    <xf numFmtId="14" fontId="20537" fillId="20547" borderId="20494" xfId="0" applyNumberFormat="1" applyFont="1" applyFill="1" applyBorder="1"/>
    <xf numFmtId="0" fontId="20538" fillId="20548" borderId="20495" xfId="0" applyFont="1" applyFill="1" applyBorder="1"/>
    <xf numFmtId="0" fontId="20539" fillId="20549" borderId="20496" xfId="0" applyFont="1" applyFill="1" applyBorder="1"/>
    <xf numFmtId="0" fontId="20540" fillId="20550" borderId="20497" xfId="0" applyFont="1" applyFill="1" applyBorder="1"/>
    <xf numFmtId="4" fontId="20541" fillId="20551" borderId="20498" xfId="0" applyNumberFormat="1" applyFont="1" applyFill="1" applyBorder="1"/>
    <xf numFmtId="165" fontId="20542" fillId="20552" borderId="20499" xfId="0" applyNumberFormat="1" applyFont="1" applyFill="1" applyBorder="1"/>
    <xf numFmtId="165" fontId="20543" fillId="20553" borderId="20500" xfId="0" applyNumberFormat="1" applyFont="1" applyFill="1" applyBorder="1"/>
    <xf numFmtId="0" fontId="20544" fillId="20554" borderId="20501" xfId="0" applyFont="1" applyFill="1" applyBorder="1"/>
    <xf numFmtId="0" fontId="20545" fillId="20555" borderId="20502" xfId="0" applyFont="1" applyFill="1" applyBorder="1"/>
    <xf numFmtId="0" fontId="20546" fillId="20556" borderId="20503" xfId="0" applyFont="1" applyFill="1" applyBorder="1"/>
    <xf numFmtId="0" fontId="20547" fillId="20557" borderId="20504" xfId="0" applyFont="1" applyFill="1" applyBorder="1"/>
    <xf numFmtId="14" fontId="20548" fillId="20558" borderId="20505" xfId="0" applyNumberFormat="1" applyFont="1" applyFill="1" applyBorder="1"/>
    <xf numFmtId="0" fontId="20549" fillId="20559" borderId="20506" xfId="0" applyFont="1" applyFill="1" applyBorder="1"/>
    <xf numFmtId="0" fontId="20550" fillId="20560" borderId="20507" xfId="0" applyFont="1" applyFill="1" applyBorder="1"/>
    <xf numFmtId="0" fontId="20551" fillId="20561" borderId="20508" xfId="0" applyFont="1" applyFill="1" applyBorder="1"/>
    <xf numFmtId="4" fontId="20552" fillId="20562" borderId="20509" xfId="0" applyNumberFormat="1" applyFont="1" applyFill="1" applyBorder="1"/>
    <xf numFmtId="165" fontId="20553" fillId="20563" borderId="20510" xfId="0" applyNumberFormat="1" applyFont="1" applyFill="1" applyBorder="1"/>
    <xf numFmtId="165" fontId="20554" fillId="20564" borderId="20511" xfId="0" applyNumberFormat="1" applyFont="1" applyFill="1" applyBorder="1"/>
    <xf numFmtId="0" fontId="20555" fillId="20565" borderId="20512" xfId="0" applyFont="1" applyFill="1" applyBorder="1"/>
    <xf numFmtId="0" fontId="20556" fillId="20566" borderId="20513" xfId="0" applyFont="1" applyFill="1" applyBorder="1"/>
    <xf numFmtId="0" fontId="20557" fillId="20567" borderId="20514" xfId="0" applyFont="1" applyFill="1" applyBorder="1"/>
    <xf numFmtId="0" fontId="20558" fillId="20568" borderId="20515" xfId="0" applyFont="1" applyFill="1" applyBorder="1"/>
    <xf numFmtId="14" fontId="20559" fillId="20569" borderId="20516" xfId="0" applyNumberFormat="1" applyFont="1" applyFill="1" applyBorder="1"/>
    <xf numFmtId="0" fontId="20560" fillId="20570" borderId="20517" xfId="0" applyFont="1" applyFill="1" applyBorder="1"/>
    <xf numFmtId="0" fontId="20561" fillId="20571" borderId="20518" xfId="0" applyFont="1" applyFill="1" applyBorder="1"/>
    <xf numFmtId="0" fontId="20562" fillId="20572" borderId="20519" xfId="0" applyFont="1" applyFill="1" applyBorder="1"/>
    <xf numFmtId="4" fontId="20563" fillId="20573" borderId="20520" xfId="0" applyNumberFormat="1" applyFont="1" applyFill="1" applyBorder="1"/>
    <xf numFmtId="165" fontId="20564" fillId="20574" borderId="20521" xfId="0" applyNumberFormat="1" applyFont="1" applyFill="1" applyBorder="1"/>
    <xf numFmtId="165" fontId="20565" fillId="20575" borderId="20522" xfId="0" applyNumberFormat="1" applyFont="1" applyFill="1" applyBorder="1"/>
    <xf numFmtId="0" fontId="20566" fillId="20576" borderId="20523" xfId="0" applyFont="1" applyFill="1" applyBorder="1"/>
    <xf numFmtId="0" fontId="20567" fillId="20577" borderId="20524" xfId="0" applyFont="1" applyFill="1" applyBorder="1"/>
    <xf numFmtId="0" fontId="20568" fillId="20578" borderId="20525" xfId="0" applyFont="1" applyFill="1" applyBorder="1"/>
    <xf numFmtId="0" fontId="20569" fillId="20579" borderId="20526" xfId="0" applyFont="1" applyFill="1" applyBorder="1"/>
    <xf numFmtId="14" fontId="20570" fillId="20580" borderId="20527" xfId="0" applyNumberFormat="1" applyFont="1" applyFill="1" applyBorder="1"/>
    <xf numFmtId="0" fontId="20571" fillId="20581" borderId="20528" xfId="0" applyFont="1" applyFill="1" applyBorder="1"/>
    <xf numFmtId="0" fontId="20572" fillId="20582" borderId="20529" xfId="0" applyFont="1" applyFill="1" applyBorder="1"/>
    <xf numFmtId="0" fontId="20573" fillId="20583" borderId="20530" xfId="0" applyFont="1" applyFill="1" applyBorder="1"/>
    <xf numFmtId="4" fontId="20574" fillId="20584" borderId="20531" xfId="0" applyNumberFormat="1" applyFont="1" applyFill="1" applyBorder="1"/>
    <xf numFmtId="165" fontId="20575" fillId="20585" borderId="20532" xfId="0" applyNumberFormat="1" applyFont="1" applyFill="1" applyBorder="1"/>
    <xf numFmtId="165" fontId="20576" fillId="20586" borderId="20533" xfId="0" applyNumberFormat="1" applyFont="1" applyFill="1" applyBorder="1"/>
    <xf numFmtId="0" fontId="20577" fillId="20587" borderId="20534" xfId="0" applyFont="1" applyFill="1" applyBorder="1"/>
    <xf numFmtId="0" fontId="20578" fillId="20588" borderId="20535" xfId="0" applyFont="1" applyFill="1" applyBorder="1"/>
    <xf numFmtId="0" fontId="20579" fillId="20589" borderId="20536" xfId="0" applyFont="1" applyFill="1" applyBorder="1"/>
    <xf numFmtId="0" fontId="20580" fillId="20590" borderId="20537" xfId="0" applyFont="1" applyFill="1" applyBorder="1"/>
    <xf numFmtId="14" fontId="20581" fillId="20591" borderId="20538" xfId="0" applyNumberFormat="1" applyFont="1" applyFill="1" applyBorder="1"/>
    <xf numFmtId="0" fontId="20582" fillId="20592" borderId="20539" xfId="0" applyFont="1" applyFill="1" applyBorder="1"/>
    <xf numFmtId="0" fontId="20583" fillId="20593" borderId="20540" xfId="0" applyFont="1" applyFill="1" applyBorder="1"/>
    <xf numFmtId="0" fontId="20584" fillId="20594" borderId="20541" xfId="0" applyFont="1" applyFill="1" applyBorder="1"/>
    <xf numFmtId="4" fontId="20585" fillId="20595" borderId="20542" xfId="0" applyNumberFormat="1" applyFont="1" applyFill="1" applyBorder="1"/>
    <xf numFmtId="165" fontId="20586" fillId="20596" borderId="20543" xfId="0" applyNumberFormat="1" applyFont="1" applyFill="1" applyBorder="1"/>
    <xf numFmtId="165" fontId="20587" fillId="20597" borderId="20544" xfId="0" applyNumberFormat="1" applyFont="1" applyFill="1" applyBorder="1"/>
    <xf numFmtId="0" fontId="20588" fillId="20598" borderId="20545" xfId="0" applyFont="1" applyFill="1" applyBorder="1"/>
    <xf numFmtId="0" fontId="20589" fillId="20599" borderId="20546" xfId="0" applyFont="1" applyFill="1" applyBorder="1"/>
    <xf numFmtId="0" fontId="20590" fillId="20600" borderId="20547" xfId="0" applyFont="1" applyFill="1" applyBorder="1"/>
    <xf numFmtId="0" fontId="20591" fillId="20601" borderId="20548" xfId="0" applyFont="1" applyFill="1" applyBorder="1"/>
    <xf numFmtId="14" fontId="20592" fillId="20602" borderId="20549" xfId="0" applyNumberFormat="1" applyFont="1" applyFill="1" applyBorder="1"/>
    <xf numFmtId="0" fontId="20593" fillId="20603" borderId="20550" xfId="0" applyFont="1" applyFill="1" applyBorder="1"/>
    <xf numFmtId="0" fontId="20594" fillId="20604" borderId="20551" xfId="0" applyFont="1" applyFill="1" applyBorder="1"/>
    <xf numFmtId="0" fontId="20595" fillId="20605" borderId="20552" xfId="0" applyFont="1" applyFill="1" applyBorder="1"/>
    <xf numFmtId="4" fontId="20596" fillId="20606" borderId="20553" xfId="0" applyNumberFormat="1" applyFont="1" applyFill="1" applyBorder="1"/>
    <xf numFmtId="165" fontId="20597" fillId="20607" borderId="20554" xfId="0" applyNumberFormat="1" applyFont="1" applyFill="1" applyBorder="1"/>
    <xf numFmtId="165" fontId="20598" fillId="20608" borderId="20555" xfId="0" applyNumberFormat="1" applyFont="1" applyFill="1" applyBorder="1"/>
    <xf numFmtId="0" fontId="20599" fillId="20609" borderId="20556" xfId="0" applyFont="1" applyFill="1" applyBorder="1"/>
    <xf numFmtId="0" fontId="20600" fillId="20610" borderId="20557" xfId="0" applyFont="1" applyFill="1" applyBorder="1"/>
    <xf numFmtId="0" fontId="20601" fillId="20611" borderId="20558" xfId="0" applyFont="1" applyFill="1" applyBorder="1"/>
    <xf numFmtId="0" fontId="20602" fillId="20612" borderId="20559" xfId="0" applyFont="1" applyFill="1" applyBorder="1"/>
    <xf numFmtId="14" fontId="20603" fillId="20613" borderId="20560" xfId="0" applyNumberFormat="1" applyFont="1" applyFill="1" applyBorder="1"/>
    <xf numFmtId="0" fontId="20604" fillId="20614" borderId="20561" xfId="0" applyFont="1" applyFill="1" applyBorder="1"/>
    <xf numFmtId="0" fontId="20605" fillId="20615" borderId="20562" xfId="0" applyFont="1" applyFill="1" applyBorder="1"/>
    <xf numFmtId="0" fontId="20606" fillId="20616" borderId="20563" xfId="0" applyFont="1" applyFill="1" applyBorder="1"/>
    <xf numFmtId="4" fontId="20607" fillId="20617" borderId="20564" xfId="0" applyNumberFormat="1" applyFont="1" applyFill="1" applyBorder="1"/>
    <xf numFmtId="165" fontId="20608" fillId="20618" borderId="20565" xfId="0" applyNumberFormat="1" applyFont="1" applyFill="1" applyBorder="1"/>
    <xf numFmtId="165" fontId="20609" fillId="20619" borderId="20566" xfId="0" applyNumberFormat="1" applyFont="1" applyFill="1" applyBorder="1"/>
    <xf numFmtId="0" fontId="20610" fillId="20620" borderId="20567" xfId="0" applyFont="1" applyFill="1" applyBorder="1"/>
    <xf numFmtId="0" fontId="20611" fillId="20621" borderId="20568" xfId="0" applyFont="1" applyFill="1" applyBorder="1"/>
    <xf numFmtId="0" fontId="20612" fillId="20622" borderId="20569" xfId="0" applyFont="1" applyFill="1" applyBorder="1"/>
    <xf numFmtId="0" fontId="20613" fillId="20623" borderId="20570" xfId="0" applyFont="1" applyFill="1" applyBorder="1"/>
    <xf numFmtId="14" fontId="20614" fillId="20624" borderId="20571" xfId="0" applyNumberFormat="1" applyFont="1" applyFill="1" applyBorder="1"/>
    <xf numFmtId="0" fontId="20615" fillId="20625" borderId="20572" xfId="0" applyFont="1" applyFill="1" applyBorder="1"/>
    <xf numFmtId="0" fontId="20616" fillId="20626" borderId="20573" xfId="0" applyFont="1" applyFill="1" applyBorder="1"/>
    <xf numFmtId="0" fontId="20617" fillId="20627" borderId="20574" xfId="0" applyFont="1" applyFill="1" applyBorder="1"/>
    <xf numFmtId="4" fontId="20618" fillId="20628" borderId="20575" xfId="0" applyNumberFormat="1" applyFont="1" applyFill="1" applyBorder="1"/>
    <xf numFmtId="165" fontId="20619" fillId="20629" borderId="20576" xfId="0" applyNumberFormat="1" applyFont="1" applyFill="1" applyBorder="1"/>
    <xf numFmtId="165" fontId="20620" fillId="20630" borderId="20577" xfId="0" applyNumberFormat="1" applyFont="1" applyFill="1" applyBorder="1"/>
    <xf numFmtId="0" fontId="20621" fillId="20631" borderId="20578" xfId="0" applyFont="1" applyFill="1" applyBorder="1"/>
    <xf numFmtId="0" fontId="20622" fillId="20632" borderId="20579" xfId="0" applyFont="1" applyFill="1" applyBorder="1"/>
    <xf numFmtId="0" fontId="20623" fillId="20633" borderId="20580" xfId="0" applyFont="1" applyFill="1" applyBorder="1"/>
    <xf numFmtId="0" fontId="20624" fillId="20634" borderId="20581" xfId="0" applyFont="1" applyFill="1" applyBorder="1"/>
    <xf numFmtId="14" fontId="20625" fillId="20635" borderId="20582" xfId="0" applyNumberFormat="1" applyFont="1" applyFill="1" applyBorder="1"/>
    <xf numFmtId="0" fontId="20626" fillId="20636" borderId="20583" xfId="0" applyFont="1" applyFill="1" applyBorder="1"/>
    <xf numFmtId="0" fontId="20627" fillId="20637" borderId="20584" xfId="0" applyFont="1" applyFill="1" applyBorder="1"/>
    <xf numFmtId="0" fontId="20628" fillId="20638" borderId="20585" xfId="0" applyFont="1" applyFill="1" applyBorder="1"/>
    <xf numFmtId="4" fontId="20629" fillId="20639" borderId="20586" xfId="0" applyNumberFormat="1" applyFont="1" applyFill="1" applyBorder="1"/>
    <xf numFmtId="165" fontId="20630" fillId="20640" borderId="20587" xfId="0" applyNumberFormat="1" applyFont="1" applyFill="1" applyBorder="1"/>
    <xf numFmtId="165" fontId="20631" fillId="20641" borderId="20588" xfId="0" applyNumberFormat="1" applyFont="1" applyFill="1" applyBorder="1"/>
    <xf numFmtId="0" fontId="20632" fillId="20642" borderId="20589" xfId="0" applyFont="1" applyFill="1" applyBorder="1"/>
    <xf numFmtId="0" fontId="20633" fillId="20643" borderId="20590" xfId="0" applyFont="1" applyFill="1" applyBorder="1"/>
    <xf numFmtId="0" fontId="20634" fillId="20644" borderId="20591" xfId="0" applyFont="1" applyFill="1" applyBorder="1"/>
    <xf numFmtId="0" fontId="20635" fillId="20645" borderId="20592" xfId="0" applyFont="1" applyFill="1" applyBorder="1"/>
    <xf numFmtId="14" fontId="20636" fillId="20646" borderId="20593" xfId="0" applyNumberFormat="1" applyFont="1" applyFill="1" applyBorder="1"/>
    <xf numFmtId="0" fontId="20637" fillId="20647" borderId="20594" xfId="0" applyFont="1" applyFill="1" applyBorder="1"/>
    <xf numFmtId="0" fontId="20638" fillId="20648" borderId="20595" xfId="0" applyFont="1" applyFill="1" applyBorder="1"/>
    <xf numFmtId="0" fontId="20639" fillId="20649" borderId="20596" xfId="0" applyFont="1" applyFill="1" applyBorder="1"/>
    <xf numFmtId="4" fontId="20640" fillId="20650" borderId="20597" xfId="0" applyNumberFormat="1" applyFont="1" applyFill="1" applyBorder="1"/>
    <xf numFmtId="165" fontId="20641" fillId="20651" borderId="20598" xfId="0" applyNumberFormat="1" applyFont="1" applyFill="1" applyBorder="1"/>
    <xf numFmtId="165" fontId="20642" fillId="20652" borderId="20599" xfId="0" applyNumberFormat="1" applyFont="1" applyFill="1" applyBorder="1"/>
    <xf numFmtId="0" fontId="20643" fillId="20653" borderId="20600" xfId="0" applyFont="1" applyFill="1" applyBorder="1"/>
    <xf numFmtId="0" fontId="20644" fillId="20654" borderId="20601" xfId="0" applyFont="1" applyFill="1" applyBorder="1"/>
    <xf numFmtId="0" fontId="20645" fillId="20655" borderId="20602" xfId="0" applyFont="1" applyFill="1" applyBorder="1"/>
    <xf numFmtId="0" fontId="20646" fillId="20656" borderId="20603" xfId="0" applyFont="1" applyFill="1" applyBorder="1"/>
    <xf numFmtId="14" fontId="20647" fillId="20657" borderId="20604" xfId="0" applyNumberFormat="1" applyFont="1" applyFill="1" applyBorder="1"/>
    <xf numFmtId="0" fontId="20648" fillId="20658" borderId="20605" xfId="0" applyFont="1" applyFill="1" applyBorder="1"/>
    <xf numFmtId="0" fontId="20649" fillId="20659" borderId="20606" xfId="0" applyFont="1" applyFill="1" applyBorder="1"/>
    <xf numFmtId="0" fontId="20650" fillId="20660" borderId="20607" xfId="0" applyFont="1" applyFill="1" applyBorder="1"/>
    <xf numFmtId="4" fontId="20651" fillId="20661" borderId="20608" xfId="0" applyNumberFormat="1" applyFont="1" applyFill="1" applyBorder="1"/>
    <xf numFmtId="165" fontId="20652" fillId="20662" borderId="20609" xfId="0" applyNumberFormat="1" applyFont="1" applyFill="1" applyBorder="1"/>
    <xf numFmtId="165" fontId="20653" fillId="20663" borderId="20610" xfId="0" applyNumberFormat="1" applyFont="1" applyFill="1" applyBorder="1"/>
    <xf numFmtId="0" fontId="20654" fillId="20664" borderId="20611" xfId="0" applyFont="1" applyFill="1" applyBorder="1"/>
    <xf numFmtId="0" fontId="20655" fillId="20665" borderId="20612" xfId="0" applyFont="1" applyFill="1" applyBorder="1"/>
    <xf numFmtId="0" fontId="20656" fillId="20666" borderId="20613" xfId="0" applyFont="1" applyFill="1" applyBorder="1"/>
    <xf numFmtId="0" fontId="20657" fillId="20667" borderId="20614" xfId="0" applyFont="1" applyFill="1" applyBorder="1"/>
    <xf numFmtId="14" fontId="20658" fillId="20668" borderId="20615" xfId="0" applyNumberFormat="1" applyFont="1" applyFill="1" applyBorder="1"/>
    <xf numFmtId="0" fontId="20659" fillId="20669" borderId="20616" xfId="0" applyFont="1" applyFill="1" applyBorder="1"/>
    <xf numFmtId="0" fontId="20660" fillId="20670" borderId="20617" xfId="0" applyFont="1" applyFill="1" applyBorder="1"/>
    <xf numFmtId="0" fontId="20661" fillId="20671" borderId="20618" xfId="0" applyFont="1" applyFill="1" applyBorder="1"/>
    <xf numFmtId="4" fontId="20662" fillId="20672" borderId="20619" xfId="0" applyNumberFormat="1" applyFont="1" applyFill="1" applyBorder="1"/>
    <xf numFmtId="165" fontId="20663" fillId="20673" borderId="20620" xfId="0" applyNumberFormat="1" applyFont="1" applyFill="1" applyBorder="1"/>
    <xf numFmtId="165" fontId="20664" fillId="20674" borderId="20621" xfId="0" applyNumberFormat="1" applyFont="1" applyFill="1" applyBorder="1"/>
    <xf numFmtId="0" fontId="20665" fillId="20675" borderId="20622" xfId="0" applyFont="1" applyFill="1" applyBorder="1"/>
    <xf numFmtId="0" fontId="20666" fillId="20676" borderId="20623" xfId="0" applyFont="1" applyFill="1" applyBorder="1"/>
    <xf numFmtId="0" fontId="20667" fillId="20677" borderId="20624" xfId="0" applyFont="1" applyFill="1" applyBorder="1"/>
    <xf numFmtId="0" fontId="20668" fillId="20678" borderId="20625" xfId="0" applyFont="1" applyFill="1" applyBorder="1"/>
    <xf numFmtId="14" fontId="20669" fillId="20679" borderId="20626" xfId="0" applyNumberFormat="1" applyFont="1" applyFill="1" applyBorder="1"/>
    <xf numFmtId="0" fontId="20670" fillId="20680" borderId="20627" xfId="0" applyFont="1" applyFill="1" applyBorder="1"/>
    <xf numFmtId="0" fontId="20671" fillId="20681" borderId="20628" xfId="0" applyFont="1" applyFill="1" applyBorder="1"/>
    <xf numFmtId="0" fontId="20672" fillId="20682" borderId="20629" xfId="0" applyFont="1" applyFill="1" applyBorder="1"/>
    <xf numFmtId="4" fontId="20673" fillId="20683" borderId="20630" xfId="0" applyNumberFormat="1" applyFont="1" applyFill="1" applyBorder="1"/>
    <xf numFmtId="165" fontId="20674" fillId="20684" borderId="20631" xfId="0" applyNumberFormat="1" applyFont="1" applyFill="1" applyBorder="1"/>
    <xf numFmtId="165" fontId="20675" fillId="20685" borderId="20632" xfId="0" applyNumberFormat="1" applyFont="1" applyFill="1" applyBorder="1"/>
    <xf numFmtId="0" fontId="20676" fillId="20686" borderId="20633" xfId="0" applyFont="1" applyFill="1" applyBorder="1"/>
    <xf numFmtId="0" fontId="20677" fillId="20687" borderId="20634" xfId="0" applyFont="1" applyFill="1" applyBorder="1"/>
    <xf numFmtId="0" fontId="20678" fillId="20688" borderId="20635" xfId="0" applyFont="1" applyFill="1" applyBorder="1"/>
    <xf numFmtId="0" fontId="20679" fillId="20689" borderId="20636" xfId="0" applyFont="1" applyFill="1" applyBorder="1"/>
    <xf numFmtId="14" fontId="20680" fillId="20690" borderId="20637" xfId="0" applyNumberFormat="1" applyFont="1" applyFill="1" applyBorder="1"/>
    <xf numFmtId="0" fontId="20681" fillId="20691" borderId="20638" xfId="0" applyFont="1" applyFill="1" applyBorder="1"/>
    <xf numFmtId="0" fontId="20682" fillId="20692" borderId="20639" xfId="0" applyFont="1" applyFill="1" applyBorder="1"/>
    <xf numFmtId="0" fontId="20683" fillId="20693" borderId="20640" xfId="0" applyFont="1" applyFill="1" applyBorder="1"/>
    <xf numFmtId="4" fontId="20684" fillId="20694" borderId="20641" xfId="0" applyNumberFormat="1" applyFont="1" applyFill="1" applyBorder="1"/>
    <xf numFmtId="165" fontId="20685" fillId="20695" borderId="20642" xfId="0" applyNumberFormat="1" applyFont="1" applyFill="1" applyBorder="1"/>
    <xf numFmtId="165" fontId="20686" fillId="20696" borderId="20643" xfId="0" applyNumberFormat="1" applyFont="1" applyFill="1" applyBorder="1"/>
    <xf numFmtId="0" fontId="20687" fillId="20697" borderId="20644" xfId="0" applyFont="1" applyFill="1" applyBorder="1"/>
    <xf numFmtId="0" fontId="20688" fillId="20698" borderId="20645" xfId="0" applyFont="1" applyFill="1" applyBorder="1"/>
    <xf numFmtId="0" fontId="20689" fillId="20699" borderId="20646" xfId="0" applyFont="1" applyFill="1" applyBorder="1"/>
    <xf numFmtId="0" fontId="20690" fillId="20700" borderId="20647" xfId="0" applyFont="1" applyFill="1" applyBorder="1"/>
    <xf numFmtId="14" fontId="20691" fillId="20701" borderId="20648" xfId="0" applyNumberFormat="1" applyFont="1" applyFill="1" applyBorder="1"/>
    <xf numFmtId="0" fontId="20692" fillId="20702" borderId="20649" xfId="0" applyFont="1" applyFill="1" applyBorder="1"/>
    <xf numFmtId="0" fontId="20693" fillId="20703" borderId="20650" xfId="0" applyFont="1" applyFill="1" applyBorder="1"/>
    <xf numFmtId="0" fontId="20694" fillId="20704" borderId="20651" xfId="0" applyFont="1" applyFill="1" applyBorder="1"/>
    <xf numFmtId="4" fontId="20695" fillId="20705" borderId="20652" xfId="0" applyNumberFormat="1" applyFont="1" applyFill="1" applyBorder="1"/>
    <xf numFmtId="165" fontId="20696" fillId="20706" borderId="20653" xfId="0" applyNumberFormat="1" applyFont="1" applyFill="1" applyBorder="1"/>
    <xf numFmtId="165" fontId="20697" fillId="20707" borderId="20654" xfId="0" applyNumberFormat="1" applyFont="1" applyFill="1" applyBorder="1"/>
    <xf numFmtId="0" fontId="20698" fillId="20708" borderId="20655" xfId="0" applyFont="1" applyFill="1" applyBorder="1"/>
    <xf numFmtId="0" fontId="20699" fillId="20709" borderId="20656" xfId="0" applyFont="1" applyFill="1" applyBorder="1"/>
    <xf numFmtId="0" fontId="20700" fillId="20710" borderId="20657" xfId="0" applyFont="1" applyFill="1" applyBorder="1"/>
    <xf numFmtId="0" fontId="20701" fillId="20711" borderId="20658" xfId="0" applyFont="1" applyFill="1" applyBorder="1"/>
    <xf numFmtId="14" fontId="20702" fillId="20712" borderId="20659" xfId="0" applyNumberFormat="1" applyFont="1" applyFill="1" applyBorder="1"/>
    <xf numFmtId="0" fontId="20703" fillId="20713" borderId="20660" xfId="0" applyFont="1" applyFill="1" applyBorder="1"/>
    <xf numFmtId="0" fontId="20704" fillId="20714" borderId="20661" xfId="0" applyFont="1" applyFill="1" applyBorder="1"/>
    <xf numFmtId="0" fontId="20705" fillId="20715" borderId="20662" xfId="0" applyFont="1" applyFill="1" applyBorder="1"/>
    <xf numFmtId="4" fontId="20706" fillId="20716" borderId="20663" xfId="0" applyNumberFormat="1" applyFont="1" applyFill="1" applyBorder="1"/>
    <xf numFmtId="165" fontId="20707" fillId="20717" borderId="20664" xfId="0" applyNumberFormat="1" applyFont="1" applyFill="1" applyBorder="1"/>
    <xf numFmtId="165" fontId="20708" fillId="20718" borderId="20665" xfId="0" applyNumberFormat="1" applyFont="1" applyFill="1" applyBorder="1"/>
    <xf numFmtId="0" fontId="20709" fillId="20719" borderId="20666" xfId="0" applyFont="1" applyFill="1" applyBorder="1"/>
    <xf numFmtId="0" fontId="20710" fillId="20720" borderId="20667" xfId="0" applyFont="1" applyFill="1" applyBorder="1"/>
    <xf numFmtId="0" fontId="20711" fillId="20721" borderId="20668" xfId="0" applyFont="1" applyFill="1" applyBorder="1"/>
    <xf numFmtId="0" fontId="20712" fillId="20722" borderId="20669" xfId="0" applyFont="1" applyFill="1" applyBorder="1"/>
    <xf numFmtId="14" fontId="20713" fillId="20723" borderId="20670" xfId="0" applyNumberFormat="1" applyFont="1" applyFill="1" applyBorder="1"/>
    <xf numFmtId="0" fontId="20714" fillId="20724" borderId="20671" xfId="0" applyFont="1" applyFill="1" applyBorder="1"/>
    <xf numFmtId="0" fontId="20715" fillId="20725" borderId="20672" xfId="0" applyFont="1" applyFill="1" applyBorder="1"/>
    <xf numFmtId="0" fontId="20716" fillId="20726" borderId="20673" xfId="0" applyFont="1" applyFill="1" applyBorder="1"/>
    <xf numFmtId="4" fontId="20717" fillId="20727" borderId="20674" xfId="0" applyNumberFormat="1" applyFont="1" applyFill="1" applyBorder="1"/>
    <xf numFmtId="165" fontId="20718" fillId="20728" borderId="20675" xfId="0" applyNumberFormat="1" applyFont="1" applyFill="1" applyBorder="1"/>
    <xf numFmtId="165" fontId="20719" fillId="20729" borderId="20676" xfId="0" applyNumberFormat="1" applyFont="1" applyFill="1" applyBorder="1"/>
    <xf numFmtId="0" fontId="20720" fillId="20730" borderId="20677" xfId="0" applyFont="1" applyFill="1" applyBorder="1"/>
    <xf numFmtId="0" fontId="20721" fillId="20731" borderId="20678" xfId="0" applyFont="1" applyFill="1" applyBorder="1"/>
    <xf numFmtId="0" fontId="20722" fillId="20732" borderId="20679" xfId="0" applyFont="1" applyFill="1" applyBorder="1"/>
    <xf numFmtId="0" fontId="20723" fillId="20733" borderId="20680" xfId="0" applyFont="1" applyFill="1" applyBorder="1"/>
    <xf numFmtId="14" fontId="20724" fillId="20734" borderId="20681" xfId="0" applyNumberFormat="1" applyFont="1" applyFill="1" applyBorder="1"/>
    <xf numFmtId="0" fontId="20725" fillId="20735" borderId="20682" xfId="0" applyFont="1" applyFill="1" applyBorder="1"/>
    <xf numFmtId="0" fontId="20726" fillId="20736" borderId="20683" xfId="0" applyFont="1" applyFill="1" applyBorder="1"/>
    <xf numFmtId="0" fontId="20727" fillId="20737" borderId="20684" xfId="0" applyFont="1" applyFill="1" applyBorder="1"/>
    <xf numFmtId="4" fontId="20728" fillId="20738" borderId="20685" xfId="0" applyNumberFormat="1" applyFont="1" applyFill="1" applyBorder="1"/>
    <xf numFmtId="165" fontId="20729" fillId="20739" borderId="20686" xfId="0" applyNumberFormat="1" applyFont="1" applyFill="1" applyBorder="1"/>
    <xf numFmtId="165" fontId="20730" fillId="20740" borderId="20687" xfId="0" applyNumberFormat="1" applyFont="1" applyFill="1" applyBorder="1"/>
    <xf numFmtId="0" fontId="20731" fillId="20741" borderId="20688" xfId="0" applyFont="1" applyFill="1" applyBorder="1"/>
    <xf numFmtId="0" fontId="20732" fillId="20742" borderId="20689" xfId="0" applyFont="1" applyFill="1" applyBorder="1"/>
    <xf numFmtId="0" fontId="20733" fillId="20743" borderId="20690" xfId="0" applyFont="1" applyFill="1" applyBorder="1"/>
    <xf numFmtId="0" fontId="20734" fillId="20744" borderId="20691" xfId="0" applyFont="1" applyFill="1" applyBorder="1"/>
    <xf numFmtId="14" fontId="20735" fillId="20745" borderId="20692" xfId="0" applyNumberFormat="1" applyFont="1" applyFill="1" applyBorder="1"/>
    <xf numFmtId="0" fontId="20736" fillId="20746" borderId="20693" xfId="0" applyFont="1" applyFill="1" applyBorder="1"/>
    <xf numFmtId="0" fontId="20737" fillId="20747" borderId="20694" xfId="0" applyFont="1" applyFill="1" applyBorder="1"/>
    <xf numFmtId="0" fontId="20738" fillId="20748" borderId="20695" xfId="0" applyFont="1" applyFill="1" applyBorder="1"/>
    <xf numFmtId="4" fontId="20739" fillId="20749" borderId="20696" xfId="0" applyNumberFormat="1" applyFont="1" applyFill="1" applyBorder="1"/>
    <xf numFmtId="165" fontId="20740" fillId="20750" borderId="20697" xfId="0" applyNumberFormat="1" applyFont="1" applyFill="1" applyBorder="1"/>
    <xf numFmtId="165" fontId="20741" fillId="20751" borderId="20698" xfId="0" applyNumberFormat="1" applyFont="1" applyFill="1" applyBorder="1"/>
    <xf numFmtId="0" fontId="20742" fillId="20752" borderId="20699" xfId="0" applyFont="1" applyFill="1" applyBorder="1"/>
    <xf numFmtId="0" fontId="20743" fillId="20753" borderId="20700" xfId="0" applyFont="1" applyFill="1" applyBorder="1"/>
    <xf numFmtId="0" fontId="20744" fillId="20754" borderId="20701" xfId="0" applyFont="1" applyFill="1" applyBorder="1"/>
    <xf numFmtId="0" fontId="20745" fillId="20755" borderId="20702" xfId="0" applyFont="1" applyFill="1" applyBorder="1"/>
    <xf numFmtId="14" fontId="20746" fillId="20756" borderId="20703" xfId="0" applyNumberFormat="1" applyFont="1" applyFill="1" applyBorder="1"/>
    <xf numFmtId="0" fontId="20747" fillId="20757" borderId="20704" xfId="0" applyFont="1" applyFill="1" applyBorder="1"/>
    <xf numFmtId="0" fontId="20748" fillId="20758" borderId="20705" xfId="0" applyFont="1" applyFill="1" applyBorder="1"/>
    <xf numFmtId="0" fontId="20749" fillId="20759" borderId="20706" xfId="0" applyFont="1" applyFill="1" applyBorder="1"/>
    <xf numFmtId="4" fontId="20750" fillId="20760" borderId="20707" xfId="0" applyNumberFormat="1" applyFont="1" applyFill="1" applyBorder="1"/>
    <xf numFmtId="165" fontId="20751" fillId="20761" borderId="20708" xfId="0" applyNumberFormat="1" applyFont="1" applyFill="1" applyBorder="1"/>
    <xf numFmtId="165" fontId="20752" fillId="20762" borderId="20709" xfId="0" applyNumberFormat="1" applyFont="1" applyFill="1" applyBorder="1"/>
    <xf numFmtId="0" fontId="20753" fillId="20763" borderId="20710" xfId="0" applyFont="1" applyFill="1" applyBorder="1"/>
    <xf numFmtId="0" fontId="20754" fillId="20764" borderId="20711" xfId="0" applyFont="1" applyFill="1" applyBorder="1"/>
    <xf numFmtId="0" fontId="20755" fillId="20765" borderId="20712" xfId="0" applyFont="1" applyFill="1" applyBorder="1"/>
    <xf numFmtId="0" fontId="20756" fillId="20766" borderId="20713" xfId="0" applyFont="1" applyFill="1" applyBorder="1"/>
    <xf numFmtId="14" fontId="20757" fillId="20767" borderId="20714" xfId="0" applyNumberFormat="1" applyFont="1" applyFill="1" applyBorder="1"/>
    <xf numFmtId="0" fontId="20758" fillId="20768" borderId="20715" xfId="0" applyFont="1" applyFill="1" applyBorder="1"/>
    <xf numFmtId="0" fontId="20759" fillId="20769" borderId="20716" xfId="0" applyFont="1" applyFill="1" applyBorder="1"/>
    <xf numFmtId="0" fontId="20760" fillId="20770" borderId="20717" xfId="0" applyFont="1" applyFill="1" applyBorder="1"/>
    <xf numFmtId="4" fontId="20761" fillId="20771" borderId="20718" xfId="0" applyNumberFormat="1" applyFont="1" applyFill="1" applyBorder="1"/>
    <xf numFmtId="165" fontId="20762" fillId="20772" borderId="20719" xfId="0" applyNumberFormat="1" applyFont="1" applyFill="1" applyBorder="1"/>
    <xf numFmtId="165" fontId="20763" fillId="20773" borderId="20720" xfId="0" applyNumberFormat="1" applyFont="1" applyFill="1" applyBorder="1"/>
    <xf numFmtId="0" fontId="20764" fillId="20774" borderId="20721" xfId="0" applyFont="1" applyFill="1" applyBorder="1"/>
    <xf numFmtId="0" fontId="20765" fillId="20775" borderId="20722" xfId="0" applyFont="1" applyFill="1" applyBorder="1"/>
    <xf numFmtId="0" fontId="20766" fillId="20776" borderId="20723" xfId="0" applyFont="1" applyFill="1" applyBorder="1"/>
    <xf numFmtId="0" fontId="20767" fillId="20777" borderId="20724" xfId="0" applyFont="1" applyFill="1" applyBorder="1"/>
    <xf numFmtId="14" fontId="20768" fillId="20778" borderId="20725" xfId="0" applyNumberFormat="1" applyFont="1" applyFill="1" applyBorder="1"/>
    <xf numFmtId="0" fontId="20769" fillId="20779" borderId="20726" xfId="0" applyFont="1" applyFill="1" applyBorder="1"/>
    <xf numFmtId="0" fontId="20770" fillId="20780" borderId="20727" xfId="0" applyFont="1" applyFill="1" applyBorder="1"/>
    <xf numFmtId="0" fontId="20771" fillId="20781" borderId="20728" xfId="0" applyFont="1" applyFill="1" applyBorder="1"/>
    <xf numFmtId="4" fontId="20772" fillId="20782" borderId="20729" xfId="0" applyNumberFormat="1" applyFont="1" applyFill="1" applyBorder="1"/>
    <xf numFmtId="165" fontId="20773" fillId="20783" borderId="20730" xfId="0" applyNumberFormat="1" applyFont="1" applyFill="1" applyBorder="1"/>
    <xf numFmtId="165" fontId="20774" fillId="20784" borderId="20731" xfId="0" applyNumberFormat="1" applyFont="1" applyFill="1" applyBorder="1"/>
    <xf numFmtId="0" fontId="20775" fillId="20785" borderId="20732" xfId="0" applyFont="1" applyFill="1" applyBorder="1"/>
    <xf numFmtId="0" fontId="20776" fillId="20786" borderId="20733" xfId="0" applyFont="1" applyFill="1" applyBorder="1"/>
    <xf numFmtId="0" fontId="20777" fillId="20787" borderId="20734" xfId="0" applyFont="1" applyFill="1" applyBorder="1"/>
    <xf numFmtId="0" fontId="20778" fillId="20788" borderId="20735" xfId="0" applyFont="1" applyFill="1" applyBorder="1"/>
    <xf numFmtId="14" fontId="20779" fillId="20789" borderId="20736" xfId="0" applyNumberFormat="1" applyFont="1" applyFill="1" applyBorder="1"/>
    <xf numFmtId="0" fontId="20780" fillId="20790" borderId="20737" xfId="0" applyFont="1" applyFill="1" applyBorder="1"/>
    <xf numFmtId="0" fontId="20781" fillId="20791" borderId="20738" xfId="0" applyFont="1" applyFill="1" applyBorder="1"/>
    <xf numFmtId="0" fontId="20782" fillId="20792" borderId="20739" xfId="0" applyFont="1" applyFill="1" applyBorder="1"/>
    <xf numFmtId="4" fontId="20783" fillId="20793" borderId="20740" xfId="0" applyNumberFormat="1" applyFont="1" applyFill="1" applyBorder="1"/>
    <xf numFmtId="165" fontId="20784" fillId="20794" borderId="20741" xfId="0" applyNumberFormat="1" applyFont="1" applyFill="1" applyBorder="1"/>
    <xf numFmtId="165" fontId="20785" fillId="20795" borderId="20742" xfId="0" applyNumberFormat="1" applyFont="1" applyFill="1" applyBorder="1"/>
    <xf numFmtId="0" fontId="20786" fillId="20796" borderId="20743" xfId="0" applyFont="1" applyFill="1" applyBorder="1"/>
    <xf numFmtId="0" fontId="20787" fillId="20797" borderId="20744" xfId="0" applyFont="1" applyFill="1" applyBorder="1"/>
    <xf numFmtId="0" fontId="20788" fillId="20798" borderId="20745" xfId="0" applyFont="1" applyFill="1" applyBorder="1"/>
    <xf numFmtId="0" fontId="20789" fillId="20799" borderId="20746" xfId="0" applyFont="1" applyFill="1" applyBorder="1"/>
    <xf numFmtId="14" fontId="20790" fillId="20800" borderId="20747" xfId="0" applyNumberFormat="1" applyFont="1" applyFill="1" applyBorder="1"/>
    <xf numFmtId="0" fontId="20791" fillId="20801" borderId="20748" xfId="0" applyFont="1" applyFill="1" applyBorder="1"/>
    <xf numFmtId="0" fontId="20792" fillId="20802" borderId="20749" xfId="0" applyFont="1" applyFill="1" applyBorder="1"/>
    <xf numFmtId="0" fontId="20793" fillId="20803" borderId="20750" xfId="0" applyFont="1" applyFill="1" applyBorder="1"/>
    <xf numFmtId="4" fontId="20794" fillId="20804" borderId="20751" xfId="0" applyNumberFormat="1" applyFont="1" applyFill="1" applyBorder="1"/>
    <xf numFmtId="165" fontId="20795" fillId="20805" borderId="20752" xfId="0" applyNumberFormat="1" applyFont="1" applyFill="1" applyBorder="1"/>
    <xf numFmtId="165" fontId="20796" fillId="20806" borderId="20753" xfId="0" applyNumberFormat="1" applyFont="1" applyFill="1" applyBorder="1"/>
    <xf numFmtId="0" fontId="20797" fillId="20807" borderId="20754" xfId="0" applyFont="1" applyFill="1" applyBorder="1"/>
    <xf numFmtId="0" fontId="20798" fillId="20808" borderId="20755" xfId="0" applyFont="1" applyFill="1" applyBorder="1"/>
    <xf numFmtId="0" fontId="20799" fillId="20809" borderId="20756" xfId="0" applyFont="1" applyFill="1" applyBorder="1"/>
    <xf numFmtId="0" fontId="20800" fillId="20810" borderId="20757" xfId="0" applyFont="1" applyFill="1" applyBorder="1"/>
    <xf numFmtId="14" fontId="20801" fillId="20811" borderId="20758" xfId="0" applyNumberFormat="1" applyFont="1" applyFill="1" applyBorder="1"/>
    <xf numFmtId="0" fontId="20802" fillId="20812" borderId="20759" xfId="0" applyFont="1" applyFill="1" applyBorder="1"/>
    <xf numFmtId="0" fontId="20803" fillId="20813" borderId="20760" xfId="0" applyFont="1" applyFill="1" applyBorder="1"/>
    <xf numFmtId="0" fontId="20804" fillId="20814" borderId="20761" xfId="0" applyFont="1" applyFill="1" applyBorder="1"/>
    <xf numFmtId="4" fontId="20805" fillId="20815" borderId="20762" xfId="0" applyNumberFormat="1" applyFont="1" applyFill="1" applyBorder="1"/>
    <xf numFmtId="165" fontId="20806" fillId="20816" borderId="20763" xfId="0" applyNumberFormat="1" applyFont="1" applyFill="1" applyBorder="1"/>
    <xf numFmtId="165" fontId="20807" fillId="20817" borderId="20764" xfId="0" applyNumberFormat="1" applyFont="1" applyFill="1" applyBorder="1"/>
    <xf numFmtId="0" fontId="20808" fillId="20818" borderId="20765" xfId="0" applyFont="1" applyFill="1" applyBorder="1"/>
    <xf numFmtId="0" fontId="20809" fillId="20819" borderId="20766" xfId="0" applyFont="1" applyFill="1" applyBorder="1"/>
    <xf numFmtId="0" fontId="20810" fillId="20820" borderId="20767" xfId="0" applyFont="1" applyFill="1" applyBorder="1"/>
    <xf numFmtId="0" fontId="20811" fillId="20821" borderId="20768" xfId="0" applyFont="1" applyFill="1" applyBorder="1"/>
    <xf numFmtId="14" fontId="20812" fillId="20822" borderId="20769" xfId="0" applyNumberFormat="1" applyFont="1" applyFill="1" applyBorder="1"/>
    <xf numFmtId="0" fontId="20813" fillId="20823" borderId="20770" xfId="0" applyFont="1" applyFill="1" applyBorder="1"/>
    <xf numFmtId="0" fontId="20814" fillId="20824" borderId="20771" xfId="0" applyFont="1" applyFill="1" applyBorder="1"/>
    <xf numFmtId="0" fontId="20815" fillId="20825" borderId="20772" xfId="0" applyFont="1" applyFill="1" applyBorder="1"/>
    <xf numFmtId="4" fontId="20816" fillId="20826" borderId="20773" xfId="0" applyNumberFormat="1" applyFont="1" applyFill="1" applyBorder="1"/>
    <xf numFmtId="165" fontId="20817" fillId="20827" borderId="20774" xfId="0" applyNumberFormat="1" applyFont="1" applyFill="1" applyBorder="1"/>
    <xf numFmtId="165" fontId="20818" fillId="20828" borderId="20775" xfId="0" applyNumberFormat="1" applyFont="1" applyFill="1" applyBorder="1"/>
    <xf numFmtId="0" fontId="20819" fillId="20829" borderId="20776" xfId="0" applyFont="1" applyFill="1" applyBorder="1"/>
    <xf numFmtId="0" fontId="20820" fillId="20830" borderId="20777" xfId="0" applyFont="1" applyFill="1" applyBorder="1"/>
    <xf numFmtId="0" fontId="20821" fillId="20831" borderId="20778" xfId="0" applyFont="1" applyFill="1" applyBorder="1"/>
    <xf numFmtId="0" fontId="20822" fillId="20832" borderId="20779" xfId="0" applyFont="1" applyFill="1" applyBorder="1"/>
    <xf numFmtId="14" fontId="20823" fillId="20833" borderId="20780" xfId="0" applyNumberFormat="1" applyFont="1" applyFill="1" applyBorder="1"/>
    <xf numFmtId="0" fontId="20824" fillId="20834" borderId="20781" xfId="0" applyFont="1" applyFill="1" applyBorder="1"/>
    <xf numFmtId="0" fontId="20825" fillId="20835" borderId="20782" xfId="0" applyFont="1" applyFill="1" applyBorder="1"/>
    <xf numFmtId="0" fontId="20826" fillId="20836" borderId="20783" xfId="0" applyFont="1" applyFill="1" applyBorder="1"/>
    <xf numFmtId="4" fontId="20827" fillId="20837" borderId="20784" xfId="0" applyNumberFormat="1" applyFont="1" applyFill="1" applyBorder="1"/>
    <xf numFmtId="165" fontId="20828" fillId="20838" borderId="20785" xfId="0" applyNumberFormat="1" applyFont="1" applyFill="1" applyBorder="1"/>
    <xf numFmtId="165" fontId="20829" fillId="20839" borderId="20786" xfId="0" applyNumberFormat="1" applyFont="1" applyFill="1" applyBorder="1"/>
    <xf numFmtId="0" fontId="20830" fillId="20840" borderId="20787" xfId="0" applyFont="1" applyFill="1" applyBorder="1"/>
    <xf numFmtId="0" fontId="20831" fillId="20841" borderId="20788" xfId="0" applyFont="1" applyFill="1" applyBorder="1"/>
    <xf numFmtId="0" fontId="20832" fillId="20842" borderId="20789" xfId="0" applyFont="1" applyFill="1" applyBorder="1"/>
    <xf numFmtId="0" fontId="20833" fillId="20843" borderId="20790" xfId="0" applyFont="1" applyFill="1" applyBorder="1"/>
    <xf numFmtId="14" fontId="20834" fillId="20844" borderId="20791" xfId="0" applyNumberFormat="1" applyFont="1" applyFill="1" applyBorder="1"/>
    <xf numFmtId="0" fontId="20835" fillId="20845" borderId="20792" xfId="0" applyFont="1" applyFill="1" applyBorder="1"/>
    <xf numFmtId="0" fontId="20836" fillId="20846" borderId="20793" xfId="0" applyFont="1" applyFill="1" applyBorder="1"/>
    <xf numFmtId="0" fontId="20837" fillId="20847" borderId="20794" xfId="0" applyFont="1" applyFill="1" applyBorder="1"/>
    <xf numFmtId="4" fontId="20838" fillId="20848" borderId="20795" xfId="0" applyNumberFormat="1" applyFont="1" applyFill="1" applyBorder="1"/>
    <xf numFmtId="165" fontId="20839" fillId="20849" borderId="20796" xfId="0" applyNumberFormat="1" applyFont="1" applyFill="1" applyBorder="1"/>
    <xf numFmtId="165" fontId="20840" fillId="20850" borderId="20797" xfId="0" applyNumberFormat="1" applyFont="1" applyFill="1" applyBorder="1"/>
    <xf numFmtId="0" fontId="20841" fillId="20851" borderId="20798" xfId="0" applyFont="1" applyFill="1" applyBorder="1"/>
    <xf numFmtId="0" fontId="20842" fillId="20852" borderId="20799" xfId="0" applyFont="1" applyFill="1" applyBorder="1"/>
    <xf numFmtId="0" fontId="20843" fillId="20853" borderId="20800" xfId="0" applyFont="1" applyFill="1" applyBorder="1"/>
    <xf numFmtId="0" fontId="20844" fillId="20854" borderId="20801" xfId="0" applyFont="1" applyFill="1" applyBorder="1"/>
    <xf numFmtId="14" fontId="20845" fillId="20855" borderId="20802" xfId="0" applyNumberFormat="1" applyFont="1" applyFill="1" applyBorder="1"/>
    <xf numFmtId="0" fontId="20846" fillId="20856" borderId="20803" xfId="0" applyFont="1" applyFill="1" applyBorder="1"/>
    <xf numFmtId="0" fontId="20847" fillId="20857" borderId="20804" xfId="0" applyFont="1" applyFill="1" applyBorder="1"/>
    <xf numFmtId="0" fontId="20848" fillId="20858" borderId="20805" xfId="0" applyFont="1" applyFill="1" applyBorder="1"/>
    <xf numFmtId="4" fontId="20849" fillId="20859" borderId="20806" xfId="0" applyNumberFormat="1" applyFont="1" applyFill="1" applyBorder="1"/>
    <xf numFmtId="165" fontId="20850" fillId="20860" borderId="20807" xfId="0" applyNumberFormat="1" applyFont="1" applyFill="1" applyBorder="1"/>
    <xf numFmtId="165" fontId="20851" fillId="20861" borderId="20808" xfId="0" applyNumberFormat="1" applyFont="1" applyFill="1" applyBorder="1"/>
    <xf numFmtId="0" fontId="20852" fillId="20862" borderId="20809" xfId="0" applyFont="1" applyFill="1" applyBorder="1"/>
    <xf numFmtId="0" fontId="20853" fillId="20863" borderId="20810" xfId="0" applyFont="1" applyFill="1" applyBorder="1"/>
    <xf numFmtId="0" fontId="20854" fillId="20864" borderId="20811" xfId="0" applyFont="1" applyFill="1" applyBorder="1"/>
    <xf numFmtId="0" fontId="20855" fillId="20865" borderId="20812" xfId="0" applyFont="1" applyFill="1" applyBorder="1"/>
    <xf numFmtId="14" fontId="20856" fillId="20866" borderId="20813" xfId="0" applyNumberFormat="1" applyFont="1" applyFill="1" applyBorder="1"/>
    <xf numFmtId="0" fontId="20857" fillId="20867" borderId="20814" xfId="0" applyFont="1" applyFill="1" applyBorder="1"/>
    <xf numFmtId="0" fontId="20858" fillId="20868" borderId="20815" xfId="0" applyFont="1" applyFill="1" applyBorder="1"/>
    <xf numFmtId="0" fontId="20859" fillId="20869" borderId="20816" xfId="0" applyFont="1" applyFill="1" applyBorder="1"/>
    <xf numFmtId="4" fontId="20860" fillId="20870" borderId="20817" xfId="0" applyNumberFormat="1" applyFont="1" applyFill="1" applyBorder="1"/>
    <xf numFmtId="165" fontId="20861" fillId="20871" borderId="20818" xfId="0" applyNumberFormat="1" applyFont="1" applyFill="1" applyBorder="1"/>
    <xf numFmtId="165" fontId="20862" fillId="20872" borderId="20819" xfId="0" applyNumberFormat="1" applyFont="1" applyFill="1" applyBorder="1"/>
    <xf numFmtId="0" fontId="20863" fillId="20873" borderId="20820" xfId="0" applyFont="1" applyFill="1" applyBorder="1"/>
    <xf numFmtId="0" fontId="20864" fillId="20874" borderId="20821" xfId="0" applyFont="1" applyFill="1" applyBorder="1"/>
    <xf numFmtId="0" fontId="20865" fillId="20875" borderId="20822" xfId="0" applyFont="1" applyFill="1" applyBorder="1"/>
    <xf numFmtId="0" fontId="20866" fillId="20876" borderId="20823" xfId="0" applyFont="1" applyFill="1" applyBorder="1"/>
    <xf numFmtId="14" fontId="20867" fillId="20877" borderId="20824" xfId="0" applyNumberFormat="1" applyFont="1" applyFill="1" applyBorder="1"/>
    <xf numFmtId="0" fontId="20868" fillId="20878" borderId="20825" xfId="0" applyFont="1" applyFill="1" applyBorder="1"/>
    <xf numFmtId="0" fontId="20869" fillId="20879" borderId="20826" xfId="0" applyFont="1" applyFill="1" applyBorder="1"/>
    <xf numFmtId="0" fontId="20870" fillId="20880" borderId="20827" xfId="0" applyFont="1" applyFill="1" applyBorder="1"/>
    <xf numFmtId="4" fontId="20871" fillId="20881" borderId="20828" xfId="0" applyNumberFormat="1" applyFont="1" applyFill="1" applyBorder="1"/>
    <xf numFmtId="165" fontId="20872" fillId="20882" borderId="20829" xfId="0" applyNumberFormat="1" applyFont="1" applyFill="1" applyBorder="1"/>
    <xf numFmtId="165" fontId="20873" fillId="20883" borderId="20830" xfId="0" applyNumberFormat="1" applyFont="1" applyFill="1" applyBorder="1"/>
    <xf numFmtId="0" fontId="20874" fillId="20884" borderId="20831" xfId="0" applyFont="1" applyFill="1" applyBorder="1"/>
    <xf numFmtId="0" fontId="20875" fillId="20885" borderId="20832" xfId="0" applyFont="1" applyFill="1" applyBorder="1"/>
    <xf numFmtId="0" fontId="20876" fillId="20886" borderId="20833" xfId="0" applyFont="1" applyFill="1" applyBorder="1"/>
    <xf numFmtId="0" fontId="20877" fillId="20887" borderId="20834" xfId="0" applyFont="1" applyFill="1" applyBorder="1"/>
    <xf numFmtId="14" fontId="20878" fillId="20888" borderId="20835" xfId="0" applyNumberFormat="1" applyFont="1" applyFill="1" applyBorder="1"/>
    <xf numFmtId="0" fontId="20879" fillId="20889" borderId="20836" xfId="0" applyFont="1" applyFill="1" applyBorder="1"/>
    <xf numFmtId="0" fontId="20880" fillId="20890" borderId="20837" xfId="0" applyFont="1" applyFill="1" applyBorder="1"/>
    <xf numFmtId="0" fontId="20881" fillId="20891" borderId="20838" xfId="0" applyFont="1" applyFill="1" applyBorder="1"/>
    <xf numFmtId="4" fontId="20882" fillId="20892" borderId="20839" xfId="0" applyNumberFormat="1" applyFont="1" applyFill="1" applyBorder="1"/>
    <xf numFmtId="165" fontId="20883" fillId="20893" borderId="20840" xfId="0" applyNumberFormat="1" applyFont="1" applyFill="1" applyBorder="1"/>
    <xf numFmtId="165" fontId="20884" fillId="20894" borderId="20841" xfId="0" applyNumberFormat="1" applyFont="1" applyFill="1" applyBorder="1"/>
    <xf numFmtId="0" fontId="20885" fillId="20895" borderId="20842" xfId="0" applyFont="1" applyFill="1" applyBorder="1"/>
    <xf numFmtId="0" fontId="20886" fillId="20896" borderId="20843" xfId="0" applyFont="1" applyFill="1" applyBorder="1"/>
    <xf numFmtId="0" fontId="20887" fillId="20897" borderId="20844" xfId="0" applyFont="1" applyFill="1" applyBorder="1"/>
    <xf numFmtId="0" fontId="20888" fillId="20898" borderId="20845" xfId="0" applyFont="1" applyFill="1" applyBorder="1"/>
    <xf numFmtId="14" fontId="20889" fillId="20899" borderId="20846" xfId="0" applyNumberFormat="1" applyFont="1" applyFill="1" applyBorder="1"/>
    <xf numFmtId="0" fontId="20890" fillId="20900" borderId="20847" xfId="0" applyFont="1" applyFill="1" applyBorder="1"/>
    <xf numFmtId="0" fontId="20891" fillId="20901" borderId="20848" xfId="0" applyFont="1" applyFill="1" applyBorder="1"/>
    <xf numFmtId="0" fontId="20892" fillId="20902" borderId="20849" xfId="0" applyFont="1" applyFill="1" applyBorder="1"/>
    <xf numFmtId="4" fontId="20893" fillId="20903" borderId="20850" xfId="0" applyNumberFormat="1" applyFont="1" applyFill="1" applyBorder="1"/>
    <xf numFmtId="165" fontId="20894" fillId="20904" borderId="20851" xfId="0" applyNumberFormat="1" applyFont="1" applyFill="1" applyBorder="1"/>
    <xf numFmtId="165" fontId="20895" fillId="20905" borderId="20852" xfId="0" applyNumberFormat="1" applyFont="1" applyFill="1" applyBorder="1"/>
    <xf numFmtId="0" fontId="20896" fillId="20906" borderId="20853" xfId="0" applyFont="1" applyFill="1" applyBorder="1"/>
    <xf numFmtId="0" fontId="20897" fillId="20907" borderId="20854" xfId="0" applyFont="1" applyFill="1" applyBorder="1"/>
    <xf numFmtId="0" fontId="20898" fillId="20908" borderId="20855" xfId="0" applyFont="1" applyFill="1" applyBorder="1"/>
    <xf numFmtId="0" fontId="20899" fillId="20909" borderId="20856" xfId="0" applyFont="1" applyFill="1" applyBorder="1"/>
    <xf numFmtId="14" fontId="20900" fillId="20910" borderId="20857" xfId="0" applyNumberFormat="1" applyFont="1" applyFill="1" applyBorder="1"/>
    <xf numFmtId="0" fontId="20901" fillId="20911" borderId="20858" xfId="0" applyFont="1" applyFill="1" applyBorder="1"/>
    <xf numFmtId="0" fontId="20902" fillId="20912" borderId="20859" xfId="0" applyFont="1" applyFill="1" applyBorder="1"/>
    <xf numFmtId="0" fontId="20903" fillId="20913" borderId="20860" xfId="0" applyFont="1" applyFill="1" applyBorder="1"/>
    <xf numFmtId="4" fontId="20904" fillId="20914" borderId="20861" xfId="0" applyNumberFormat="1" applyFont="1" applyFill="1" applyBorder="1"/>
    <xf numFmtId="165" fontId="20905" fillId="20915" borderId="20862" xfId="0" applyNumberFormat="1" applyFont="1" applyFill="1" applyBorder="1"/>
    <xf numFmtId="165" fontId="20906" fillId="20916" borderId="20863" xfId="0" applyNumberFormat="1" applyFont="1" applyFill="1" applyBorder="1"/>
    <xf numFmtId="0" fontId="20907" fillId="20917" borderId="20864" xfId="0" applyFont="1" applyFill="1" applyBorder="1"/>
    <xf numFmtId="0" fontId="20908" fillId="20918" borderId="20865" xfId="0" applyFont="1" applyFill="1" applyBorder="1"/>
    <xf numFmtId="0" fontId="20909" fillId="20919" borderId="20866" xfId="0" applyFont="1" applyFill="1" applyBorder="1"/>
    <xf numFmtId="0" fontId="20910" fillId="20920" borderId="20867" xfId="0" applyFont="1" applyFill="1" applyBorder="1"/>
    <xf numFmtId="14" fontId="20911" fillId="20921" borderId="20868" xfId="0" applyNumberFormat="1" applyFont="1" applyFill="1" applyBorder="1"/>
    <xf numFmtId="0" fontId="20912" fillId="20922" borderId="20869" xfId="0" applyFont="1" applyFill="1" applyBorder="1"/>
    <xf numFmtId="0" fontId="20913" fillId="20923" borderId="20870" xfId="0" applyFont="1" applyFill="1" applyBorder="1"/>
    <xf numFmtId="0" fontId="20914" fillId="20924" borderId="20871" xfId="0" applyFont="1" applyFill="1" applyBorder="1"/>
    <xf numFmtId="4" fontId="20915" fillId="20925" borderId="20872" xfId="0" applyNumberFormat="1" applyFont="1" applyFill="1" applyBorder="1"/>
    <xf numFmtId="165" fontId="20916" fillId="20926" borderId="20873" xfId="0" applyNumberFormat="1" applyFont="1" applyFill="1" applyBorder="1"/>
    <xf numFmtId="165" fontId="20917" fillId="20927" borderId="20874" xfId="0" applyNumberFormat="1" applyFont="1" applyFill="1" applyBorder="1"/>
    <xf numFmtId="0" fontId="20918" fillId="20928" borderId="20875" xfId="0" applyFont="1" applyFill="1" applyBorder="1"/>
    <xf numFmtId="0" fontId="20919" fillId="20929" borderId="20876" xfId="0" applyFont="1" applyFill="1" applyBorder="1"/>
    <xf numFmtId="0" fontId="20920" fillId="20930" borderId="20877" xfId="0" applyFont="1" applyFill="1" applyBorder="1"/>
    <xf numFmtId="0" fontId="20921" fillId="20931" borderId="20878" xfId="0" applyFont="1" applyFill="1" applyBorder="1"/>
    <xf numFmtId="14" fontId="20922" fillId="20932" borderId="20879" xfId="0" applyNumberFormat="1" applyFont="1" applyFill="1" applyBorder="1"/>
    <xf numFmtId="0" fontId="20923" fillId="20933" borderId="20880" xfId="0" applyFont="1" applyFill="1" applyBorder="1"/>
    <xf numFmtId="0" fontId="20924" fillId="20934" borderId="20881" xfId="0" applyFont="1" applyFill="1" applyBorder="1"/>
    <xf numFmtId="0" fontId="20925" fillId="20935" borderId="20882" xfId="0" applyFont="1" applyFill="1" applyBorder="1"/>
    <xf numFmtId="4" fontId="20926" fillId="20936" borderId="20883" xfId="0" applyNumberFormat="1" applyFont="1" applyFill="1" applyBorder="1"/>
    <xf numFmtId="165" fontId="20927" fillId="20937" borderId="20884" xfId="0" applyNumberFormat="1" applyFont="1" applyFill="1" applyBorder="1"/>
    <xf numFmtId="165" fontId="20928" fillId="20938" borderId="20885" xfId="0" applyNumberFormat="1" applyFont="1" applyFill="1" applyBorder="1"/>
    <xf numFmtId="0" fontId="20929" fillId="20939" borderId="20886" xfId="0" applyFont="1" applyFill="1" applyBorder="1"/>
    <xf numFmtId="0" fontId="20930" fillId="20940" borderId="20887" xfId="0" applyFont="1" applyFill="1" applyBorder="1"/>
    <xf numFmtId="0" fontId="20931" fillId="20941" borderId="20888" xfId="0" applyFont="1" applyFill="1" applyBorder="1"/>
    <xf numFmtId="0" fontId="20932" fillId="20942" borderId="20889" xfId="0" applyFont="1" applyFill="1" applyBorder="1"/>
    <xf numFmtId="14" fontId="20933" fillId="20943" borderId="20890" xfId="0" applyNumberFormat="1" applyFont="1" applyFill="1" applyBorder="1"/>
    <xf numFmtId="0" fontId="20934" fillId="20944" borderId="20891" xfId="0" applyFont="1" applyFill="1" applyBorder="1"/>
    <xf numFmtId="0" fontId="20935" fillId="20945" borderId="20892" xfId="0" applyFont="1" applyFill="1" applyBorder="1"/>
    <xf numFmtId="0" fontId="20936" fillId="20946" borderId="20893" xfId="0" applyFont="1" applyFill="1" applyBorder="1"/>
    <xf numFmtId="4" fontId="20937" fillId="20947" borderId="20894" xfId="0" applyNumberFormat="1" applyFont="1" applyFill="1" applyBorder="1"/>
    <xf numFmtId="165" fontId="20938" fillId="20948" borderId="20895" xfId="0" applyNumberFormat="1" applyFont="1" applyFill="1" applyBorder="1"/>
    <xf numFmtId="165" fontId="20939" fillId="20949" borderId="20896" xfId="0" applyNumberFormat="1" applyFont="1" applyFill="1" applyBorder="1"/>
    <xf numFmtId="0" fontId="20940" fillId="20950" borderId="20897" xfId="0" applyFont="1" applyFill="1" applyBorder="1"/>
    <xf numFmtId="0" fontId="20941" fillId="20951" borderId="20898" xfId="0" applyFont="1" applyFill="1" applyBorder="1"/>
    <xf numFmtId="0" fontId="20942" fillId="20952" borderId="20899" xfId="0" applyFont="1" applyFill="1" applyBorder="1"/>
    <xf numFmtId="0" fontId="20943" fillId="20953" borderId="20900" xfId="0" applyFont="1" applyFill="1" applyBorder="1"/>
    <xf numFmtId="14" fontId="20944" fillId="20954" borderId="20901" xfId="0" applyNumberFormat="1" applyFont="1" applyFill="1" applyBorder="1"/>
    <xf numFmtId="0" fontId="20945" fillId="20955" borderId="20902" xfId="0" applyFont="1" applyFill="1" applyBorder="1"/>
    <xf numFmtId="0" fontId="20946" fillId="20956" borderId="20903" xfId="0" applyFont="1" applyFill="1" applyBorder="1"/>
    <xf numFmtId="0" fontId="20947" fillId="20957" borderId="20904" xfId="0" applyFont="1" applyFill="1" applyBorder="1"/>
    <xf numFmtId="4" fontId="20948" fillId="20958" borderId="20905" xfId="0" applyNumberFormat="1" applyFont="1" applyFill="1" applyBorder="1"/>
    <xf numFmtId="165" fontId="20949" fillId="20959" borderId="20906" xfId="0" applyNumberFormat="1" applyFont="1" applyFill="1" applyBorder="1"/>
    <xf numFmtId="165" fontId="20950" fillId="20960" borderId="20907" xfId="0" applyNumberFormat="1" applyFont="1" applyFill="1" applyBorder="1"/>
    <xf numFmtId="0" fontId="20951" fillId="20961" borderId="20908" xfId="0" applyFont="1" applyFill="1" applyBorder="1"/>
    <xf numFmtId="0" fontId="20952" fillId="20962" borderId="20909" xfId="0" applyFont="1" applyFill="1" applyBorder="1"/>
    <xf numFmtId="0" fontId="20953" fillId="20963" borderId="20910" xfId="0" applyFont="1" applyFill="1" applyBorder="1"/>
    <xf numFmtId="0" fontId="20954" fillId="20964" borderId="20911" xfId="0" applyFont="1" applyFill="1" applyBorder="1"/>
    <xf numFmtId="14" fontId="20955" fillId="20965" borderId="20912" xfId="0" applyNumberFormat="1" applyFont="1" applyFill="1" applyBorder="1"/>
    <xf numFmtId="0" fontId="20956" fillId="20966" borderId="20913" xfId="0" applyFont="1" applyFill="1" applyBorder="1"/>
    <xf numFmtId="0" fontId="20957" fillId="20967" borderId="20914" xfId="0" applyFont="1" applyFill="1" applyBorder="1"/>
    <xf numFmtId="0" fontId="20958" fillId="20968" borderId="20915" xfId="0" applyFont="1" applyFill="1" applyBorder="1"/>
    <xf numFmtId="4" fontId="20959" fillId="20969" borderId="20916" xfId="0" applyNumberFormat="1" applyFont="1" applyFill="1" applyBorder="1"/>
    <xf numFmtId="165" fontId="20960" fillId="20970" borderId="20917" xfId="0" applyNumberFormat="1" applyFont="1" applyFill="1" applyBorder="1"/>
    <xf numFmtId="165" fontId="20961" fillId="20971" borderId="20918" xfId="0" applyNumberFormat="1" applyFont="1" applyFill="1" applyBorder="1"/>
    <xf numFmtId="0" fontId="20962" fillId="20972" borderId="20919" xfId="0" applyFont="1" applyFill="1" applyBorder="1"/>
    <xf numFmtId="0" fontId="20963" fillId="20973" borderId="20920" xfId="0" applyFont="1" applyFill="1" applyBorder="1"/>
    <xf numFmtId="0" fontId="20964" fillId="20974" borderId="20921" xfId="0" applyFont="1" applyFill="1" applyBorder="1"/>
    <xf numFmtId="0" fontId="20965" fillId="20975" borderId="20922" xfId="0" applyFont="1" applyFill="1" applyBorder="1"/>
    <xf numFmtId="14" fontId="20966" fillId="20976" borderId="20923" xfId="0" applyNumberFormat="1" applyFont="1" applyFill="1" applyBorder="1"/>
    <xf numFmtId="0" fontId="20967" fillId="20977" borderId="20924" xfId="0" applyFont="1" applyFill="1" applyBorder="1"/>
    <xf numFmtId="0" fontId="20968" fillId="20978" borderId="20925" xfId="0" applyFont="1" applyFill="1" applyBorder="1"/>
    <xf numFmtId="0" fontId="20969" fillId="20979" borderId="20926" xfId="0" applyFont="1" applyFill="1" applyBorder="1"/>
    <xf numFmtId="4" fontId="20970" fillId="20980" borderId="20927" xfId="0" applyNumberFormat="1" applyFont="1" applyFill="1" applyBorder="1"/>
    <xf numFmtId="165" fontId="20971" fillId="20981" borderId="20928" xfId="0" applyNumberFormat="1" applyFont="1" applyFill="1" applyBorder="1"/>
    <xf numFmtId="165" fontId="20972" fillId="20982" borderId="20929" xfId="0" applyNumberFormat="1" applyFont="1" applyFill="1" applyBorder="1"/>
    <xf numFmtId="0" fontId="20973" fillId="20983" borderId="20930" xfId="0" applyFont="1" applyFill="1" applyBorder="1"/>
    <xf numFmtId="0" fontId="20974" fillId="20984" borderId="20931" xfId="0" applyFont="1" applyFill="1" applyBorder="1"/>
    <xf numFmtId="0" fontId="20975" fillId="20985" borderId="20932" xfId="0" applyFont="1" applyFill="1" applyBorder="1"/>
    <xf numFmtId="0" fontId="20976" fillId="20986" borderId="20933" xfId="0" applyFont="1" applyFill="1" applyBorder="1"/>
    <xf numFmtId="14" fontId="20977" fillId="20987" borderId="20934" xfId="0" applyNumberFormat="1" applyFont="1" applyFill="1" applyBorder="1"/>
    <xf numFmtId="0" fontId="20978" fillId="20988" borderId="20935" xfId="0" applyFont="1" applyFill="1" applyBorder="1"/>
    <xf numFmtId="0" fontId="20979" fillId="20989" borderId="20936" xfId="0" applyFont="1" applyFill="1" applyBorder="1"/>
    <xf numFmtId="0" fontId="20980" fillId="20990" borderId="20937" xfId="0" applyFont="1" applyFill="1" applyBorder="1"/>
    <xf numFmtId="4" fontId="20981" fillId="20991" borderId="20938" xfId="0" applyNumberFormat="1" applyFont="1" applyFill="1" applyBorder="1"/>
    <xf numFmtId="165" fontId="20982" fillId="20992" borderId="20939" xfId="0" applyNumberFormat="1" applyFont="1" applyFill="1" applyBorder="1"/>
    <xf numFmtId="165" fontId="20983" fillId="20993" borderId="20940" xfId="0" applyNumberFormat="1" applyFont="1" applyFill="1" applyBorder="1"/>
    <xf numFmtId="0" fontId="20984" fillId="20994" borderId="20941" xfId="0" applyFont="1" applyFill="1" applyBorder="1"/>
    <xf numFmtId="0" fontId="20985" fillId="20995" borderId="20942" xfId="0" applyFont="1" applyFill="1" applyBorder="1"/>
    <xf numFmtId="0" fontId="20986" fillId="20996" borderId="20943" xfId="0" applyFont="1" applyFill="1" applyBorder="1"/>
    <xf numFmtId="0" fontId="20987" fillId="20997" borderId="20944" xfId="0" applyFont="1" applyFill="1" applyBorder="1"/>
    <xf numFmtId="14" fontId="20988" fillId="20998" borderId="20945" xfId="0" applyNumberFormat="1" applyFont="1" applyFill="1" applyBorder="1"/>
    <xf numFmtId="0" fontId="20989" fillId="20999" borderId="20946" xfId="0" applyFont="1" applyFill="1" applyBorder="1"/>
    <xf numFmtId="0" fontId="20990" fillId="21000" borderId="20947" xfId="0" applyFont="1" applyFill="1" applyBorder="1"/>
    <xf numFmtId="0" fontId="20991" fillId="21001" borderId="20948" xfId="0" applyFont="1" applyFill="1" applyBorder="1"/>
    <xf numFmtId="4" fontId="20992" fillId="21002" borderId="20949" xfId="0" applyNumberFormat="1" applyFont="1" applyFill="1" applyBorder="1"/>
    <xf numFmtId="165" fontId="20993" fillId="21003" borderId="20950" xfId="0" applyNumberFormat="1" applyFont="1" applyFill="1" applyBorder="1"/>
    <xf numFmtId="165" fontId="20994" fillId="21004" borderId="20951" xfId="0" applyNumberFormat="1" applyFont="1" applyFill="1" applyBorder="1"/>
    <xf numFmtId="0" fontId="20995" fillId="21005" borderId="20952" xfId="0" applyFont="1" applyFill="1" applyBorder="1"/>
    <xf numFmtId="0" fontId="20996" fillId="21006" borderId="20953" xfId="0" applyFont="1" applyFill="1" applyBorder="1"/>
    <xf numFmtId="0" fontId="20997" fillId="21007" borderId="20954" xfId="0" applyFont="1" applyFill="1" applyBorder="1"/>
    <xf numFmtId="0" fontId="20998" fillId="21008" borderId="20955" xfId="0" applyFont="1" applyFill="1" applyBorder="1"/>
    <xf numFmtId="14" fontId="20999" fillId="21009" borderId="20956" xfId="0" applyNumberFormat="1" applyFont="1" applyFill="1" applyBorder="1"/>
    <xf numFmtId="0" fontId="21000" fillId="21010" borderId="20957" xfId="0" applyFont="1" applyFill="1" applyBorder="1"/>
    <xf numFmtId="0" fontId="21001" fillId="21011" borderId="20958" xfId="0" applyFont="1" applyFill="1" applyBorder="1"/>
    <xf numFmtId="0" fontId="21002" fillId="21012" borderId="20959" xfId="0" applyFont="1" applyFill="1" applyBorder="1"/>
    <xf numFmtId="4" fontId="21003" fillId="21013" borderId="20960" xfId="0" applyNumberFormat="1" applyFont="1" applyFill="1" applyBorder="1"/>
    <xf numFmtId="165" fontId="21004" fillId="21014" borderId="20961" xfId="0" applyNumberFormat="1" applyFont="1" applyFill="1" applyBorder="1"/>
    <xf numFmtId="165" fontId="21005" fillId="21015" borderId="20962" xfId="0" applyNumberFormat="1" applyFont="1" applyFill="1" applyBorder="1"/>
    <xf numFmtId="0" fontId="21006" fillId="21016" borderId="20963" xfId="0" applyFont="1" applyFill="1" applyBorder="1"/>
    <xf numFmtId="0" fontId="21007" fillId="21017" borderId="20964" xfId="0" applyFont="1" applyFill="1" applyBorder="1"/>
    <xf numFmtId="0" fontId="21008" fillId="21018" borderId="20965" xfId="0" applyFont="1" applyFill="1" applyBorder="1"/>
    <xf numFmtId="0" fontId="21009" fillId="21019" borderId="20966" xfId="0" applyFont="1" applyFill="1" applyBorder="1"/>
    <xf numFmtId="14" fontId="21010" fillId="21020" borderId="20967" xfId="0" applyNumberFormat="1" applyFont="1" applyFill="1" applyBorder="1"/>
    <xf numFmtId="0" fontId="21011" fillId="21021" borderId="20968" xfId="0" applyFont="1" applyFill="1" applyBorder="1"/>
    <xf numFmtId="0" fontId="21012" fillId="21022" borderId="20969" xfId="0" applyFont="1" applyFill="1" applyBorder="1"/>
    <xf numFmtId="0" fontId="21013" fillId="21023" borderId="20970" xfId="0" applyFont="1" applyFill="1" applyBorder="1"/>
    <xf numFmtId="4" fontId="21014" fillId="21024" borderId="20971" xfId="0" applyNumberFormat="1" applyFont="1" applyFill="1" applyBorder="1"/>
    <xf numFmtId="165" fontId="21015" fillId="21025" borderId="20972" xfId="0" applyNumberFormat="1" applyFont="1" applyFill="1" applyBorder="1"/>
    <xf numFmtId="165" fontId="21016" fillId="21026" borderId="20973" xfId="0" applyNumberFormat="1" applyFont="1" applyFill="1" applyBorder="1"/>
    <xf numFmtId="0" fontId="21017" fillId="21027" borderId="20974" xfId="0" applyFont="1" applyFill="1" applyBorder="1"/>
    <xf numFmtId="0" fontId="21018" fillId="21028" borderId="20975" xfId="0" applyFont="1" applyFill="1" applyBorder="1"/>
    <xf numFmtId="0" fontId="21019" fillId="21029" borderId="20976" xfId="0" applyFont="1" applyFill="1" applyBorder="1"/>
    <xf numFmtId="0" fontId="21020" fillId="21030" borderId="20977" xfId="0" applyFont="1" applyFill="1" applyBorder="1"/>
    <xf numFmtId="14" fontId="21021" fillId="21031" borderId="20978" xfId="0" applyNumberFormat="1" applyFont="1" applyFill="1" applyBorder="1"/>
    <xf numFmtId="0" fontId="21022" fillId="21032" borderId="20979" xfId="0" applyFont="1" applyFill="1" applyBorder="1"/>
    <xf numFmtId="0" fontId="21023" fillId="21033" borderId="20980" xfId="0" applyFont="1" applyFill="1" applyBorder="1"/>
    <xf numFmtId="0" fontId="21024" fillId="21034" borderId="20981" xfId="0" applyFont="1" applyFill="1" applyBorder="1"/>
    <xf numFmtId="4" fontId="21025" fillId="21035" borderId="20982" xfId="0" applyNumberFormat="1" applyFont="1" applyFill="1" applyBorder="1"/>
    <xf numFmtId="165" fontId="21026" fillId="21036" borderId="20983" xfId="0" applyNumberFormat="1" applyFont="1" applyFill="1" applyBorder="1"/>
    <xf numFmtId="165" fontId="21027" fillId="21037" borderId="20984" xfId="0" applyNumberFormat="1" applyFont="1" applyFill="1" applyBorder="1"/>
    <xf numFmtId="0" fontId="21028" fillId="21038" borderId="20985" xfId="0" applyFont="1" applyFill="1" applyBorder="1"/>
    <xf numFmtId="0" fontId="21029" fillId="21039" borderId="20986" xfId="0" applyFont="1" applyFill="1" applyBorder="1"/>
    <xf numFmtId="0" fontId="21030" fillId="21040" borderId="20987" xfId="0" applyFont="1" applyFill="1" applyBorder="1"/>
    <xf numFmtId="0" fontId="21031" fillId="21041" borderId="20988" xfId="0" applyFont="1" applyFill="1" applyBorder="1"/>
    <xf numFmtId="14" fontId="21032" fillId="21042" borderId="20989" xfId="0" applyNumberFormat="1" applyFont="1" applyFill="1" applyBorder="1"/>
    <xf numFmtId="0" fontId="21033" fillId="21043" borderId="20990" xfId="0" applyFont="1" applyFill="1" applyBorder="1"/>
    <xf numFmtId="0" fontId="21034" fillId="21044" borderId="20991" xfId="0" applyFont="1" applyFill="1" applyBorder="1"/>
    <xf numFmtId="0" fontId="21035" fillId="21045" borderId="20992" xfId="0" applyFont="1" applyFill="1" applyBorder="1"/>
    <xf numFmtId="4" fontId="21036" fillId="21046" borderId="20993" xfId="0" applyNumberFormat="1" applyFont="1" applyFill="1" applyBorder="1"/>
    <xf numFmtId="165" fontId="21037" fillId="21047" borderId="20994" xfId="0" applyNumberFormat="1" applyFont="1" applyFill="1" applyBorder="1"/>
    <xf numFmtId="165" fontId="21038" fillId="21048" borderId="20995" xfId="0" applyNumberFormat="1" applyFont="1" applyFill="1" applyBorder="1"/>
    <xf numFmtId="0" fontId="21039" fillId="21049" borderId="20996" xfId="0" applyFont="1" applyFill="1" applyBorder="1"/>
    <xf numFmtId="0" fontId="21040" fillId="21050" borderId="20997" xfId="0" applyFont="1" applyFill="1" applyBorder="1"/>
    <xf numFmtId="0" fontId="21041" fillId="21051" borderId="20998" xfId="0" applyFont="1" applyFill="1" applyBorder="1"/>
    <xf numFmtId="0" fontId="21042" fillId="21052" borderId="20999" xfId="0" applyFont="1" applyFill="1" applyBorder="1"/>
    <xf numFmtId="14" fontId="21043" fillId="21053" borderId="21000" xfId="0" applyNumberFormat="1" applyFont="1" applyFill="1" applyBorder="1"/>
    <xf numFmtId="0" fontId="21044" fillId="21054" borderId="21001" xfId="0" applyFont="1" applyFill="1" applyBorder="1"/>
    <xf numFmtId="0" fontId="21045" fillId="21055" borderId="21002" xfId="0" applyFont="1" applyFill="1" applyBorder="1"/>
    <xf numFmtId="0" fontId="21046" fillId="21056" borderId="21003" xfId="0" applyFont="1" applyFill="1" applyBorder="1"/>
    <xf numFmtId="4" fontId="21047" fillId="21057" borderId="21004" xfId="0" applyNumberFormat="1" applyFont="1" applyFill="1" applyBorder="1"/>
    <xf numFmtId="165" fontId="21048" fillId="21058" borderId="21005" xfId="0" applyNumberFormat="1" applyFont="1" applyFill="1" applyBorder="1"/>
    <xf numFmtId="165" fontId="21049" fillId="21059" borderId="21006" xfId="0" applyNumberFormat="1" applyFont="1" applyFill="1" applyBorder="1"/>
    <xf numFmtId="0" fontId="21050" fillId="21060" borderId="21007" xfId="0" applyFont="1" applyFill="1" applyBorder="1"/>
    <xf numFmtId="0" fontId="21051" fillId="21061" borderId="21008" xfId="0" applyFont="1" applyFill="1" applyBorder="1"/>
    <xf numFmtId="0" fontId="21052" fillId="21062" borderId="21009" xfId="0" applyFont="1" applyFill="1" applyBorder="1"/>
    <xf numFmtId="0" fontId="21053" fillId="21063" borderId="21010" xfId="0" applyFont="1" applyFill="1" applyBorder="1"/>
    <xf numFmtId="14" fontId="21054" fillId="21064" borderId="21011" xfId="0" applyNumberFormat="1" applyFont="1" applyFill="1" applyBorder="1"/>
    <xf numFmtId="0" fontId="21055" fillId="21065" borderId="21012" xfId="0" applyFont="1" applyFill="1" applyBorder="1"/>
    <xf numFmtId="0" fontId="21056" fillId="21066" borderId="21013" xfId="0" applyFont="1" applyFill="1" applyBorder="1"/>
    <xf numFmtId="0" fontId="21057" fillId="21067" borderId="21014" xfId="0" applyFont="1" applyFill="1" applyBorder="1"/>
    <xf numFmtId="4" fontId="21058" fillId="21068" borderId="21015" xfId="0" applyNumberFormat="1" applyFont="1" applyFill="1" applyBorder="1"/>
    <xf numFmtId="165" fontId="21059" fillId="21069" borderId="21016" xfId="0" applyNumberFormat="1" applyFont="1" applyFill="1" applyBorder="1"/>
    <xf numFmtId="165" fontId="21060" fillId="21070" borderId="21017" xfId="0" applyNumberFormat="1" applyFont="1" applyFill="1" applyBorder="1"/>
    <xf numFmtId="0" fontId="21061" fillId="21071" borderId="21018" xfId="0" applyFont="1" applyFill="1" applyBorder="1"/>
    <xf numFmtId="0" fontId="21062" fillId="21072" borderId="21019" xfId="0" applyFont="1" applyFill="1" applyBorder="1"/>
    <xf numFmtId="0" fontId="21063" fillId="21073" borderId="21020" xfId="0" applyFont="1" applyFill="1" applyBorder="1"/>
    <xf numFmtId="0" fontId="21064" fillId="21074" borderId="21021" xfId="0" applyFont="1" applyFill="1" applyBorder="1"/>
    <xf numFmtId="14" fontId="21065" fillId="21075" borderId="21022" xfId="0" applyNumberFormat="1" applyFont="1" applyFill="1" applyBorder="1"/>
    <xf numFmtId="0" fontId="21066" fillId="21076" borderId="21023" xfId="0" applyFont="1" applyFill="1" applyBorder="1"/>
    <xf numFmtId="0" fontId="21067" fillId="21077" borderId="21024" xfId="0" applyFont="1" applyFill="1" applyBorder="1"/>
    <xf numFmtId="0" fontId="21068" fillId="21078" borderId="21025" xfId="0" applyFont="1" applyFill="1" applyBorder="1"/>
    <xf numFmtId="4" fontId="21069" fillId="21079" borderId="21026" xfId="0" applyNumberFormat="1" applyFont="1" applyFill="1" applyBorder="1"/>
    <xf numFmtId="165" fontId="21070" fillId="21080" borderId="21027" xfId="0" applyNumberFormat="1" applyFont="1" applyFill="1" applyBorder="1"/>
    <xf numFmtId="165" fontId="21071" fillId="21081" borderId="21028" xfId="0" applyNumberFormat="1" applyFont="1" applyFill="1" applyBorder="1"/>
    <xf numFmtId="0" fontId="21072" fillId="21082" borderId="21029" xfId="0" applyFont="1" applyFill="1" applyBorder="1"/>
    <xf numFmtId="0" fontId="21073" fillId="21083" borderId="21030" xfId="0" applyFont="1" applyFill="1" applyBorder="1"/>
    <xf numFmtId="0" fontId="21074" fillId="21084" borderId="21031" xfId="0" applyFont="1" applyFill="1" applyBorder="1"/>
    <xf numFmtId="0" fontId="21075" fillId="21085" borderId="21032" xfId="0" applyFont="1" applyFill="1" applyBorder="1"/>
    <xf numFmtId="14" fontId="21076" fillId="21086" borderId="21033" xfId="0" applyNumberFormat="1" applyFont="1" applyFill="1" applyBorder="1"/>
    <xf numFmtId="0" fontId="21077" fillId="21087" borderId="21034" xfId="0" applyFont="1" applyFill="1" applyBorder="1"/>
    <xf numFmtId="0" fontId="21078" fillId="21088" borderId="21035" xfId="0" applyFont="1" applyFill="1" applyBorder="1"/>
    <xf numFmtId="0" fontId="21079" fillId="21089" borderId="21036" xfId="0" applyFont="1" applyFill="1" applyBorder="1"/>
    <xf numFmtId="4" fontId="21080" fillId="21090" borderId="21037" xfId="0" applyNumberFormat="1" applyFont="1" applyFill="1" applyBorder="1"/>
    <xf numFmtId="165" fontId="21081" fillId="21091" borderId="21038" xfId="0" applyNumberFormat="1" applyFont="1" applyFill="1" applyBorder="1"/>
    <xf numFmtId="165" fontId="21082" fillId="21092" borderId="21039" xfId="0" applyNumberFormat="1" applyFont="1" applyFill="1" applyBorder="1"/>
    <xf numFmtId="0" fontId="21083" fillId="21093" borderId="21040" xfId="0" applyFont="1" applyFill="1" applyBorder="1"/>
    <xf numFmtId="0" fontId="21084" fillId="21094" borderId="21041" xfId="0" applyFont="1" applyFill="1" applyBorder="1"/>
    <xf numFmtId="0" fontId="21085" fillId="21095" borderId="21042" xfId="0" applyFont="1" applyFill="1" applyBorder="1"/>
    <xf numFmtId="0" fontId="21086" fillId="21096" borderId="21043" xfId="0" applyFont="1" applyFill="1" applyBorder="1"/>
    <xf numFmtId="14" fontId="21087" fillId="21097" borderId="21044" xfId="0" applyNumberFormat="1" applyFont="1" applyFill="1" applyBorder="1"/>
    <xf numFmtId="0" fontId="21088" fillId="21098" borderId="21045" xfId="0" applyFont="1" applyFill="1" applyBorder="1"/>
    <xf numFmtId="0" fontId="21089" fillId="21099" borderId="21046" xfId="0" applyFont="1" applyFill="1" applyBorder="1"/>
    <xf numFmtId="0" fontId="21090" fillId="21100" borderId="21047" xfId="0" applyFont="1" applyFill="1" applyBorder="1"/>
    <xf numFmtId="4" fontId="21091" fillId="21101" borderId="21048" xfId="0" applyNumberFormat="1" applyFont="1" applyFill="1" applyBorder="1"/>
    <xf numFmtId="165" fontId="21092" fillId="21102" borderId="21049" xfId="0" applyNumberFormat="1" applyFont="1" applyFill="1" applyBorder="1"/>
    <xf numFmtId="165" fontId="21093" fillId="21103" borderId="21050" xfId="0" applyNumberFormat="1" applyFont="1" applyFill="1" applyBorder="1"/>
    <xf numFmtId="0" fontId="21094" fillId="21104" borderId="21051" xfId="0" applyFont="1" applyFill="1" applyBorder="1"/>
    <xf numFmtId="0" fontId="21095" fillId="21105" borderId="21052" xfId="0" applyFont="1" applyFill="1" applyBorder="1"/>
    <xf numFmtId="0" fontId="21096" fillId="21106" borderId="21053" xfId="0" applyFont="1" applyFill="1" applyBorder="1"/>
    <xf numFmtId="0" fontId="21097" fillId="21107" borderId="21054" xfId="0" applyFont="1" applyFill="1" applyBorder="1"/>
    <xf numFmtId="14" fontId="21098" fillId="21108" borderId="21055" xfId="0" applyNumberFormat="1" applyFont="1" applyFill="1" applyBorder="1"/>
    <xf numFmtId="0" fontId="21099" fillId="21109" borderId="21056" xfId="0" applyFont="1" applyFill="1" applyBorder="1"/>
    <xf numFmtId="0" fontId="21100" fillId="21110" borderId="21057" xfId="0" applyFont="1" applyFill="1" applyBorder="1"/>
    <xf numFmtId="0" fontId="21101" fillId="21111" borderId="21058" xfId="0" applyFont="1" applyFill="1" applyBorder="1"/>
    <xf numFmtId="4" fontId="21102" fillId="21112" borderId="21059" xfId="0" applyNumberFormat="1" applyFont="1" applyFill="1" applyBorder="1"/>
    <xf numFmtId="165" fontId="21103" fillId="21113" borderId="21060" xfId="0" applyNumberFormat="1" applyFont="1" applyFill="1" applyBorder="1"/>
    <xf numFmtId="165" fontId="21104" fillId="21114" borderId="21061" xfId="0" applyNumberFormat="1" applyFont="1" applyFill="1" applyBorder="1"/>
    <xf numFmtId="0" fontId="21105" fillId="21115" borderId="21062" xfId="0" applyFont="1" applyFill="1" applyBorder="1"/>
    <xf numFmtId="0" fontId="21106" fillId="21116" borderId="21063" xfId="0" applyFont="1" applyFill="1" applyBorder="1"/>
    <xf numFmtId="0" fontId="21107" fillId="21117" borderId="21064" xfId="0" applyFont="1" applyFill="1" applyBorder="1"/>
    <xf numFmtId="0" fontId="21108" fillId="21118" borderId="21065" xfId="0" applyFont="1" applyFill="1" applyBorder="1"/>
    <xf numFmtId="14" fontId="21109" fillId="21119" borderId="21066" xfId="0" applyNumberFormat="1" applyFont="1" applyFill="1" applyBorder="1"/>
    <xf numFmtId="0" fontId="21110" fillId="21120" borderId="21067" xfId="0" applyFont="1" applyFill="1" applyBorder="1"/>
    <xf numFmtId="0" fontId="21111" fillId="21121" borderId="21068" xfId="0" applyFont="1" applyFill="1" applyBorder="1"/>
    <xf numFmtId="0" fontId="21112" fillId="21122" borderId="21069" xfId="0" applyFont="1" applyFill="1" applyBorder="1"/>
    <xf numFmtId="4" fontId="21113" fillId="21123" borderId="21070" xfId="0" applyNumberFormat="1" applyFont="1" applyFill="1" applyBorder="1"/>
    <xf numFmtId="165" fontId="21114" fillId="21124" borderId="21071" xfId="0" applyNumberFormat="1" applyFont="1" applyFill="1" applyBorder="1"/>
    <xf numFmtId="165" fontId="21115" fillId="21125" borderId="21072" xfId="0" applyNumberFormat="1" applyFont="1" applyFill="1" applyBorder="1"/>
    <xf numFmtId="0" fontId="21116" fillId="21126" borderId="21073" xfId="0" applyFont="1" applyFill="1" applyBorder="1"/>
    <xf numFmtId="0" fontId="21117" fillId="21127" borderId="21074" xfId="0" applyFont="1" applyFill="1" applyBorder="1"/>
    <xf numFmtId="0" fontId="21118" fillId="21128" borderId="21075" xfId="0" applyFont="1" applyFill="1" applyBorder="1"/>
    <xf numFmtId="0" fontId="21119" fillId="21129" borderId="21076" xfId="0" applyFont="1" applyFill="1" applyBorder="1"/>
    <xf numFmtId="14" fontId="21120" fillId="21130" borderId="21077" xfId="0" applyNumberFormat="1" applyFont="1" applyFill="1" applyBorder="1"/>
    <xf numFmtId="0" fontId="21121" fillId="21131" borderId="21078" xfId="0" applyFont="1" applyFill="1" applyBorder="1"/>
    <xf numFmtId="0" fontId="21122" fillId="21132" borderId="21079" xfId="0" applyFont="1" applyFill="1" applyBorder="1"/>
    <xf numFmtId="0" fontId="21123" fillId="21133" borderId="21080" xfId="0" applyFont="1" applyFill="1" applyBorder="1"/>
    <xf numFmtId="4" fontId="21124" fillId="21134" borderId="21081" xfId="0" applyNumberFormat="1" applyFont="1" applyFill="1" applyBorder="1"/>
    <xf numFmtId="165" fontId="21125" fillId="21135" borderId="21082" xfId="0" applyNumberFormat="1" applyFont="1" applyFill="1" applyBorder="1"/>
    <xf numFmtId="165" fontId="21126" fillId="21136" borderId="21083" xfId="0" applyNumberFormat="1" applyFont="1" applyFill="1" applyBorder="1"/>
    <xf numFmtId="0" fontId="21127" fillId="21137" borderId="21084" xfId="0" applyFont="1" applyFill="1" applyBorder="1"/>
    <xf numFmtId="0" fontId="21128" fillId="21138" borderId="21085" xfId="0" applyFont="1" applyFill="1" applyBorder="1"/>
    <xf numFmtId="0" fontId="21129" fillId="21139" borderId="21086" xfId="0" applyFont="1" applyFill="1" applyBorder="1"/>
    <xf numFmtId="0" fontId="21130" fillId="21140" borderId="21087" xfId="0" applyFont="1" applyFill="1" applyBorder="1"/>
    <xf numFmtId="14" fontId="21131" fillId="21141" borderId="21088" xfId="0" applyNumberFormat="1" applyFont="1" applyFill="1" applyBorder="1"/>
    <xf numFmtId="0" fontId="21132" fillId="21142" borderId="21089" xfId="0" applyFont="1" applyFill="1" applyBorder="1"/>
    <xf numFmtId="0" fontId="21133" fillId="21143" borderId="21090" xfId="0" applyFont="1" applyFill="1" applyBorder="1"/>
    <xf numFmtId="0" fontId="21134" fillId="21144" borderId="21091" xfId="0" applyFont="1" applyFill="1" applyBorder="1"/>
    <xf numFmtId="4" fontId="21135" fillId="21145" borderId="21092" xfId="0" applyNumberFormat="1" applyFont="1" applyFill="1" applyBorder="1"/>
    <xf numFmtId="165" fontId="21136" fillId="21146" borderId="21093" xfId="0" applyNumberFormat="1" applyFont="1" applyFill="1" applyBorder="1"/>
    <xf numFmtId="165" fontId="21137" fillId="21147" borderId="21094" xfId="0" applyNumberFormat="1" applyFont="1" applyFill="1" applyBorder="1"/>
    <xf numFmtId="0" fontId="21138" fillId="21148" borderId="21095" xfId="0" applyFont="1" applyFill="1" applyBorder="1"/>
    <xf numFmtId="0" fontId="21139" fillId="21149" borderId="21096" xfId="0" applyFont="1" applyFill="1" applyBorder="1"/>
    <xf numFmtId="0" fontId="21140" fillId="21150" borderId="21097" xfId="0" applyFont="1" applyFill="1" applyBorder="1"/>
    <xf numFmtId="0" fontId="21141" fillId="21151" borderId="21098" xfId="0" applyFont="1" applyFill="1" applyBorder="1"/>
    <xf numFmtId="14" fontId="21142" fillId="21152" borderId="21099" xfId="0" applyNumberFormat="1" applyFont="1" applyFill="1" applyBorder="1"/>
    <xf numFmtId="0" fontId="21143" fillId="21153" borderId="21100" xfId="0" applyFont="1" applyFill="1" applyBorder="1"/>
    <xf numFmtId="0" fontId="21144" fillId="21154" borderId="21101" xfId="0" applyFont="1" applyFill="1" applyBorder="1"/>
    <xf numFmtId="0" fontId="21145" fillId="21155" borderId="21102" xfId="0" applyFont="1" applyFill="1" applyBorder="1"/>
    <xf numFmtId="4" fontId="21146" fillId="21156" borderId="21103" xfId="0" applyNumberFormat="1" applyFont="1" applyFill="1" applyBorder="1"/>
    <xf numFmtId="165" fontId="21147" fillId="21157" borderId="21104" xfId="0" applyNumberFormat="1" applyFont="1" applyFill="1" applyBorder="1"/>
    <xf numFmtId="165" fontId="21148" fillId="21158" borderId="21105" xfId="0" applyNumberFormat="1" applyFont="1" applyFill="1" applyBorder="1"/>
    <xf numFmtId="0" fontId="21149" fillId="21159" borderId="21106" xfId="0" applyFont="1" applyFill="1" applyBorder="1"/>
    <xf numFmtId="0" fontId="21150" fillId="21160" borderId="21107" xfId="0" applyFont="1" applyFill="1" applyBorder="1"/>
    <xf numFmtId="0" fontId="21151" fillId="21161" borderId="21108" xfId="0" applyFont="1" applyFill="1" applyBorder="1"/>
    <xf numFmtId="0" fontId="21152" fillId="21162" borderId="21109" xfId="0" applyFont="1" applyFill="1" applyBorder="1"/>
    <xf numFmtId="14" fontId="21153" fillId="21163" borderId="21110" xfId="0" applyNumberFormat="1" applyFont="1" applyFill="1" applyBorder="1"/>
    <xf numFmtId="0" fontId="21154" fillId="21164" borderId="21111" xfId="0" applyFont="1" applyFill="1" applyBorder="1"/>
    <xf numFmtId="0" fontId="21155" fillId="21165" borderId="21112" xfId="0" applyFont="1" applyFill="1" applyBorder="1"/>
    <xf numFmtId="0" fontId="21156" fillId="21166" borderId="21113" xfId="0" applyFont="1" applyFill="1" applyBorder="1"/>
    <xf numFmtId="4" fontId="21157" fillId="21167" borderId="21114" xfId="0" applyNumberFormat="1" applyFont="1" applyFill="1" applyBorder="1"/>
    <xf numFmtId="165" fontId="21158" fillId="21168" borderId="21115" xfId="0" applyNumberFormat="1" applyFont="1" applyFill="1" applyBorder="1"/>
    <xf numFmtId="165" fontId="21159" fillId="21169" borderId="21116" xfId="0" applyNumberFormat="1" applyFont="1" applyFill="1" applyBorder="1"/>
    <xf numFmtId="0" fontId="21160" fillId="21170" borderId="21117" xfId="0" applyFont="1" applyFill="1" applyBorder="1"/>
    <xf numFmtId="0" fontId="21161" fillId="21171" borderId="21118" xfId="0" applyFont="1" applyFill="1" applyBorder="1"/>
    <xf numFmtId="0" fontId="21162" fillId="21172" borderId="21119" xfId="0" applyFont="1" applyFill="1" applyBorder="1"/>
    <xf numFmtId="0" fontId="21163" fillId="21173" borderId="21120" xfId="0" applyFont="1" applyFill="1" applyBorder="1"/>
    <xf numFmtId="14" fontId="21164" fillId="21174" borderId="21121" xfId="0" applyNumberFormat="1" applyFont="1" applyFill="1" applyBorder="1"/>
    <xf numFmtId="0" fontId="21165" fillId="21175" borderId="21122" xfId="0" applyFont="1" applyFill="1" applyBorder="1"/>
    <xf numFmtId="0" fontId="21166" fillId="21176" borderId="21123" xfId="0" applyFont="1" applyFill="1" applyBorder="1"/>
    <xf numFmtId="0" fontId="21167" fillId="21177" borderId="21124" xfId="0" applyFont="1" applyFill="1" applyBorder="1"/>
    <xf numFmtId="4" fontId="21168" fillId="21178" borderId="21125" xfId="0" applyNumberFormat="1" applyFont="1" applyFill="1" applyBorder="1"/>
    <xf numFmtId="165" fontId="21169" fillId="21179" borderId="21126" xfId="0" applyNumberFormat="1" applyFont="1" applyFill="1" applyBorder="1"/>
    <xf numFmtId="165" fontId="21170" fillId="21180" borderId="21127" xfId="0" applyNumberFormat="1" applyFont="1" applyFill="1" applyBorder="1"/>
    <xf numFmtId="0" fontId="21171" fillId="21181" borderId="21128" xfId="0" applyFont="1" applyFill="1" applyBorder="1"/>
    <xf numFmtId="0" fontId="21172" fillId="21182" borderId="21129" xfId="0" applyFont="1" applyFill="1" applyBorder="1"/>
    <xf numFmtId="0" fontId="21173" fillId="21183" borderId="21130" xfId="0" applyFont="1" applyFill="1" applyBorder="1"/>
    <xf numFmtId="0" fontId="21174" fillId="21184" borderId="21131" xfId="0" applyFont="1" applyFill="1" applyBorder="1"/>
    <xf numFmtId="14" fontId="21175" fillId="21185" borderId="21132" xfId="0" applyNumberFormat="1" applyFont="1" applyFill="1" applyBorder="1"/>
    <xf numFmtId="0" fontId="21176" fillId="21186" borderId="21133" xfId="0" applyFont="1" applyFill="1" applyBorder="1"/>
    <xf numFmtId="0" fontId="21177" fillId="21187" borderId="21134" xfId="0" applyFont="1" applyFill="1" applyBorder="1"/>
    <xf numFmtId="0" fontId="21178" fillId="21188" borderId="21135" xfId="0" applyFont="1" applyFill="1" applyBorder="1"/>
    <xf numFmtId="4" fontId="21179" fillId="21189" borderId="21136" xfId="0" applyNumberFormat="1" applyFont="1" applyFill="1" applyBorder="1"/>
    <xf numFmtId="165" fontId="21180" fillId="21190" borderId="21137" xfId="0" applyNumberFormat="1" applyFont="1" applyFill="1" applyBorder="1"/>
    <xf numFmtId="165" fontId="21181" fillId="21191" borderId="21138" xfId="0" applyNumberFormat="1" applyFont="1" applyFill="1" applyBorder="1"/>
    <xf numFmtId="0" fontId="21182" fillId="21192" borderId="21139" xfId="0" applyFont="1" applyFill="1" applyBorder="1"/>
    <xf numFmtId="0" fontId="21183" fillId="21193" borderId="21140" xfId="0" applyFont="1" applyFill="1" applyBorder="1"/>
    <xf numFmtId="0" fontId="21184" fillId="21194" borderId="21141" xfId="0" applyFont="1" applyFill="1" applyBorder="1"/>
    <xf numFmtId="0" fontId="21185" fillId="21195" borderId="21142" xfId="0" applyFont="1" applyFill="1" applyBorder="1"/>
    <xf numFmtId="14" fontId="21186" fillId="21196" borderId="21143" xfId="0" applyNumberFormat="1" applyFont="1" applyFill="1" applyBorder="1"/>
    <xf numFmtId="0" fontId="21187" fillId="21197" borderId="21144" xfId="0" applyFont="1" applyFill="1" applyBorder="1"/>
    <xf numFmtId="0" fontId="21188" fillId="21198" borderId="21145" xfId="0" applyFont="1" applyFill="1" applyBorder="1"/>
    <xf numFmtId="0" fontId="21189" fillId="21199" borderId="21146" xfId="0" applyFont="1" applyFill="1" applyBorder="1"/>
    <xf numFmtId="4" fontId="21190" fillId="21200" borderId="21147" xfId="0" applyNumberFormat="1" applyFont="1" applyFill="1" applyBorder="1"/>
    <xf numFmtId="165" fontId="21191" fillId="21201" borderId="21148" xfId="0" applyNumberFormat="1" applyFont="1" applyFill="1" applyBorder="1"/>
    <xf numFmtId="165" fontId="21192" fillId="21202" borderId="21149" xfId="0" applyNumberFormat="1" applyFont="1" applyFill="1" applyBorder="1"/>
    <xf numFmtId="0" fontId="21193" fillId="21203" borderId="21150" xfId="0" applyFont="1" applyFill="1" applyBorder="1"/>
    <xf numFmtId="0" fontId="21194" fillId="21204" borderId="21151" xfId="0" applyFont="1" applyFill="1" applyBorder="1"/>
    <xf numFmtId="0" fontId="21195" fillId="21205" borderId="21152" xfId="0" applyFont="1" applyFill="1" applyBorder="1"/>
    <xf numFmtId="0" fontId="21196" fillId="21206" borderId="21153" xfId="0" applyFont="1" applyFill="1" applyBorder="1"/>
    <xf numFmtId="14" fontId="21197" fillId="21207" borderId="21154" xfId="0" applyNumberFormat="1" applyFont="1" applyFill="1" applyBorder="1"/>
    <xf numFmtId="0" fontId="21198" fillId="21208" borderId="21155" xfId="0" applyFont="1" applyFill="1" applyBorder="1"/>
    <xf numFmtId="0" fontId="21199" fillId="21209" borderId="21156" xfId="0" applyFont="1" applyFill="1" applyBorder="1"/>
    <xf numFmtId="0" fontId="21200" fillId="21210" borderId="21157" xfId="0" applyFont="1" applyFill="1" applyBorder="1"/>
    <xf numFmtId="4" fontId="21201" fillId="21211" borderId="21158" xfId="0" applyNumberFormat="1" applyFont="1" applyFill="1" applyBorder="1"/>
    <xf numFmtId="165" fontId="21202" fillId="21212" borderId="21159" xfId="0" applyNumberFormat="1" applyFont="1" applyFill="1" applyBorder="1"/>
    <xf numFmtId="165" fontId="21203" fillId="21213" borderId="21160" xfId="0" applyNumberFormat="1" applyFont="1" applyFill="1" applyBorder="1"/>
    <xf numFmtId="0" fontId="21204" fillId="21214" borderId="21161" xfId="0" applyFont="1" applyFill="1" applyBorder="1"/>
    <xf numFmtId="0" fontId="21205" fillId="21215" borderId="21162" xfId="0" applyFont="1" applyFill="1" applyBorder="1"/>
    <xf numFmtId="0" fontId="21206" fillId="21216" borderId="21163" xfId="0" applyFont="1" applyFill="1" applyBorder="1"/>
    <xf numFmtId="0" fontId="21207" fillId="21217" borderId="21164" xfId="0" applyFont="1" applyFill="1" applyBorder="1"/>
    <xf numFmtId="14" fontId="21208" fillId="21218" borderId="21165" xfId="0" applyNumberFormat="1" applyFont="1" applyFill="1" applyBorder="1"/>
    <xf numFmtId="0" fontId="21209" fillId="21219" borderId="21166" xfId="0" applyFont="1" applyFill="1" applyBorder="1"/>
    <xf numFmtId="0" fontId="21210" fillId="21220" borderId="21167" xfId="0" applyFont="1" applyFill="1" applyBorder="1"/>
    <xf numFmtId="0" fontId="21211" fillId="21221" borderId="21168" xfId="0" applyFont="1" applyFill="1" applyBorder="1"/>
    <xf numFmtId="4" fontId="21212" fillId="21222" borderId="21169" xfId="0" applyNumberFormat="1" applyFont="1" applyFill="1" applyBorder="1"/>
    <xf numFmtId="165" fontId="21213" fillId="21223" borderId="21170" xfId="0" applyNumberFormat="1" applyFont="1" applyFill="1" applyBorder="1"/>
    <xf numFmtId="165" fontId="21214" fillId="21224" borderId="21171" xfId="0" applyNumberFormat="1" applyFont="1" applyFill="1" applyBorder="1"/>
    <xf numFmtId="0" fontId="21215" fillId="21225" borderId="21172" xfId="0" applyFont="1" applyFill="1" applyBorder="1"/>
    <xf numFmtId="0" fontId="21216" fillId="21226" borderId="21173" xfId="0" applyFont="1" applyFill="1" applyBorder="1"/>
    <xf numFmtId="0" fontId="21217" fillId="21227" borderId="21174" xfId="0" applyFont="1" applyFill="1" applyBorder="1"/>
    <xf numFmtId="0" fontId="21218" fillId="21228" borderId="21175" xfId="0" applyFont="1" applyFill="1" applyBorder="1"/>
    <xf numFmtId="14" fontId="21219" fillId="21229" borderId="21176" xfId="0" applyNumberFormat="1" applyFont="1" applyFill="1" applyBorder="1"/>
    <xf numFmtId="0" fontId="21220" fillId="21230" borderId="21177" xfId="0" applyFont="1" applyFill="1" applyBorder="1"/>
    <xf numFmtId="0" fontId="21221" fillId="21231" borderId="21178" xfId="0" applyFont="1" applyFill="1" applyBorder="1"/>
    <xf numFmtId="0" fontId="21222" fillId="21232" borderId="21179" xfId="0" applyFont="1" applyFill="1" applyBorder="1"/>
    <xf numFmtId="4" fontId="21223" fillId="21233" borderId="21180" xfId="0" applyNumberFormat="1" applyFont="1" applyFill="1" applyBorder="1"/>
    <xf numFmtId="165" fontId="21224" fillId="21234" borderId="21181" xfId="0" applyNumberFormat="1" applyFont="1" applyFill="1" applyBorder="1"/>
    <xf numFmtId="165" fontId="21225" fillId="21235" borderId="21182" xfId="0" applyNumberFormat="1" applyFont="1" applyFill="1" applyBorder="1"/>
    <xf numFmtId="0" fontId="21226" fillId="21236" borderId="21183" xfId="0" applyFont="1" applyFill="1" applyBorder="1"/>
    <xf numFmtId="0" fontId="21227" fillId="21237" borderId="21184" xfId="0" applyFont="1" applyFill="1" applyBorder="1"/>
    <xf numFmtId="0" fontId="21228" fillId="21238" borderId="21185" xfId="0" applyFont="1" applyFill="1" applyBorder="1"/>
    <xf numFmtId="0" fontId="21229" fillId="21239" borderId="21186" xfId="0" applyFont="1" applyFill="1" applyBorder="1"/>
    <xf numFmtId="14" fontId="21230" fillId="21240" borderId="21187" xfId="0" applyNumberFormat="1" applyFont="1" applyFill="1" applyBorder="1"/>
    <xf numFmtId="0" fontId="21231" fillId="21241" borderId="21188" xfId="0" applyFont="1" applyFill="1" applyBorder="1"/>
    <xf numFmtId="0" fontId="21232" fillId="21242" borderId="21189" xfId="0" applyFont="1" applyFill="1" applyBorder="1"/>
    <xf numFmtId="0" fontId="21233" fillId="21243" borderId="21190" xfId="0" applyFont="1" applyFill="1" applyBorder="1"/>
    <xf numFmtId="4" fontId="21234" fillId="21244" borderId="21191" xfId="0" applyNumberFormat="1" applyFont="1" applyFill="1" applyBorder="1"/>
    <xf numFmtId="165" fontId="21235" fillId="21245" borderId="21192" xfId="0" applyNumberFormat="1" applyFont="1" applyFill="1" applyBorder="1"/>
    <xf numFmtId="165" fontId="21236" fillId="21246" borderId="21193" xfId="0" applyNumberFormat="1" applyFont="1" applyFill="1" applyBorder="1"/>
    <xf numFmtId="0" fontId="21237" fillId="21247" borderId="21194" xfId="0" applyFont="1" applyFill="1" applyBorder="1"/>
    <xf numFmtId="0" fontId="21238" fillId="21248" borderId="21195" xfId="0" applyFont="1" applyFill="1" applyBorder="1"/>
    <xf numFmtId="0" fontId="21239" fillId="21249" borderId="21196" xfId="0" applyFont="1" applyFill="1" applyBorder="1"/>
    <xf numFmtId="0" fontId="21240" fillId="21250" borderId="21197" xfId="0" applyFont="1" applyFill="1" applyBorder="1"/>
    <xf numFmtId="14" fontId="21241" fillId="21251" borderId="21198" xfId="0" applyNumberFormat="1" applyFont="1" applyFill="1" applyBorder="1"/>
    <xf numFmtId="0" fontId="21242" fillId="21252" borderId="21199" xfId="0" applyFont="1" applyFill="1" applyBorder="1"/>
    <xf numFmtId="0" fontId="21243" fillId="21253" borderId="21200" xfId="0" applyFont="1" applyFill="1" applyBorder="1"/>
    <xf numFmtId="0" fontId="21244" fillId="21254" borderId="21201" xfId="0" applyFont="1" applyFill="1" applyBorder="1"/>
    <xf numFmtId="4" fontId="21245" fillId="21255" borderId="21202" xfId="0" applyNumberFormat="1" applyFont="1" applyFill="1" applyBorder="1"/>
    <xf numFmtId="165" fontId="21246" fillId="21256" borderId="21203" xfId="0" applyNumberFormat="1" applyFont="1" applyFill="1" applyBorder="1"/>
    <xf numFmtId="165" fontId="21247" fillId="21257" borderId="21204" xfId="0" applyNumberFormat="1" applyFont="1" applyFill="1" applyBorder="1"/>
    <xf numFmtId="0" fontId="21248" fillId="21258" borderId="21205" xfId="0" applyFont="1" applyFill="1" applyBorder="1"/>
    <xf numFmtId="0" fontId="21249" fillId="21259" borderId="21206" xfId="0" applyFont="1" applyFill="1" applyBorder="1"/>
    <xf numFmtId="0" fontId="21250" fillId="21260" borderId="21207" xfId="0" applyFont="1" applyFill="1" applyBorder="1"/>
    <xf numFmtId="0" fontId="21251" fillId="21261" borderId="21208" xfId="0" applyFont="1" applyFill="1" applyBorder="1"/>
    <xf numFmtId="14" fontId="21252" fillId="21262" borderId="21209" xfId="0" applyNumberFormat="1" applyFont="1" applyFill="1" applyBorder="1"/>
    <xf numFmtId="0" fontId="21253" fillId="21263" borderId="21210" xfId="0" applyFont="1" applyFill="1" applyBorder="1"/>
    <xf numFmtId="0" fontId="21254" fillId="21264" borderId="21211" xfId="0" applyFont="1" applyFill="1" applyBorder="1"/>
    <xf numFmtId="0" fontId="21255" fillId="21265" borderId="21212" xfId="0" applyFont="1" applyFill="1" applyBorder="1"/>
    <xf numFmtId="4" fontId="21256" fillId="21266" borderId="21213" xfId="0" applyNumberFormat="1" applyFont="1" applyFill="1" applyBorder="1"/>
    <xf numFmtId="165" fontId="21257" fillId="21267" borderId="21214" xfId="0" applyNumberFormat="1" applyFont="1" applyFill="1" applyBorder="1"/>
    <xf numFmtId="165" fontId="21258" fillId="21268" borderId="21215" xfId="0" applyNumberFormat="1" applyFont="1" applyFill="1" applyBorder="1"/>
    <xf numFmtId="0" fontId="21259" fillId="21269" borderId="21216" xfId="0" applyFont="1" applyFill="1" applyBorder="1"/>
    <xf numFmtId="0" fontId="21260" fillId="21270" borderId="21217" xfId="0" applyFont="1" applyFill="1" applyBorder="1"/>
    <xf numFmtId="0" fontId="21261" fillId="21271" borderId="21218" xfId="0" applyFont="1" applyFill="1" applyBorder="1"/>
    <xf numFmtId="0" fontId="21262" fillId="21272" borderId="21219" xfId="0" applyFont="1" applyFill="1" applyBorder="1"/>
    <xf numFmtId="14" fontId="21263" fillId="21273" borderId="21220" xfId="0" applyNumberFormat="1" applyFont="1" applyFill="1" applyBorder="1"/>
    <xf numFmtId="0" fontId="21264" fillId="21274" borderId="21221" xfId="0" applyFont="1" applyFill="1" applyBorder="1"/>
    <xf numFmtId="0" fontId="21265" fillId="21275" borderId="21222" xfId="0" applyFont="1" applyFill="1" applyBorder="1"/>
    <xf numFmtId="0" fontId="21266" fillId="21276" borderId="21223" xfId="0" applyFont="1" applyFill="1" applyBorder="1"/>
    <xf numFmtId="4" fontId="21267" fillId="21277" borderId="21224" xfId="0" applyNumberFormat="1" applyFont="1" applyFill="1" applyBorder="1"/>
    <xf numFmtId="165" fontId="21268" fillId="21278" borderId="21225" xfId="0" applyNumberFormat="1" applyFont="1" applyFill="1" applyBorder="1"/>
    <xf numFmtId="165" fontId="21269" fillId="21279" borderId="21226" xfId="0" applyNumberFormat="1" applyFont="1" applyFill="1" applyBorder="1"/>
    <xf numFmtId="0" fontId="21270" fillId="21280" borderId="21227" xfId="0" applyFont="1" applyFill="1" applyBorder="1"/>
    <xf numFmtId="0" fontId="21271" fillId="21281" borderId="21228" xfId="0" applyFont="1" applyFill="1" applyBorder="1"/>
    <xf numFmtId="0" fontId="21272" fillId="21282" borderId="21229" xfId="0" applyFont="1" applyFill="1" applyBorder="1"/>
    <xf numFmtId="0" fontId="21273" fillId="21283" borderId="21230" xfId="0" applyFont="1" applyFill="1" applyBorder="1"/>
    <xf numFmtId="14" fontId="21274" fillId="21284" borderId="21231" xfId="0" applyNumberFormat="1" applyFont="1" applyFill="1" applyBorder="1"/>
    <xf numFmtId="0" fontId="21275" fillId="21285" borderId="21232" xfId="0" applyFont="1" applyFill="1" applyBorder="1"/>
    <xf numFmtId="0" fontId="21276" fillId="21286" borderId="21233" xfId="0" applyFont="1" applyFill="1" applyBorder="1"/>
    <xf numFmtId="0" fontId="21277" fillId="21287" borderId="21234" xfId="0" applyFont="1" applyFill="1" applyBorder="1"/>
    <xf numFmtId="4" fontId="21278" fillId="21288" borderId="21235" xfId="0" applyNumberFormat="1" applyFont="1" applyFill="1" applyBorder="1"/>
    <xf numFmtId="165" fontId="21279" fillId="21289" borderId="21236" xfId="0" applyNumberFormat="1" applyFont="1" applyFill="1" applyBorder="1"/>
    <xf numFmtId="165" fontId="21280" fillId="21290" borderId="21237" xfId="0" applyNumberFormat="1" applyFont="1" applyFill="1" applyBorder="1"/>
    <xf numFmtId="0" fontId="21281" fillId="21291" borderId="21238" xfId="0" applyFont="1" applyFill="1" applyBorder="1"/>
    <xf numFmtId="0" fontId="21282" fillId="21292" borderId="21239" xfId="0" applyFont="1" applyFill="1" applyBorder="1"/>
    <xf numFmtId="0" fontId="21283" fillId="21293" borderId="21240" xfId="0" applyFont="1" applyFill="1" applyBorder="1"/>
    <xf numFmtId="0" fontId="21284" fillId="21294" borderId="21241" xfId="0" applyFont="1" applyFill="1" applyBorder="1"/>
    <xf numFmtId="14" fontId="21285" fillId="21295" borderId="21242" xfId="0" applyNumberFormat="1" applyFont="1" applyFill="1" applyBorder="1"/>
    <xf numFmtId="0" fontId="21286" fillId="21296" borderId="21243" xfId="0" applyFont="1" applyFill="1" applyBorder="1"/>
    <xf numFmtId="0" fontId="21287" fillId="21297" borderId="21244" xfId="0" applyFont="1" applyFill="1" applyBorder="1"/>
    <xf numFmtId="0" fontId="21288" fillId="21298" borderId="21245" xfId="0" applyFont="1" applyFill="1" applyBorder="1"/>
    <xf numFmtId="4" fontId="21289" fillId="21299" borderId="21246" xfId="0" applyNumberFormat="1" applyFont="1" applyFill="1" applyBorder="1"/>
    <xf numFmtId="165" fontId="21290" fillId="21300" borderId="21247" xfId="0" applyNumberFormat="1" applyFont="1" applyFill="1" applyBorder="1"/>
    <xf numFmtId="165" fontId="21291" fillId="21301" borderId="21248" xfId="0" applyNumberFormat="1" applyFont="1" applyFill="1" applyBorder="1"/>
    <xf numFmtId="0" fontId="21292" fillId="21302" borderId="21249" xfId="0" applyFont="1" applyFill="1" applyBorder="1"/>
    <xf numFmtId="0" fontId="21293" fillId="21303" borderId="21250" xfId="0" applyFont="1" applyFill="1" applyBorder="1"/>
    <xf numFmtId="0" fontId="21294" fillId="21304" borderId="21251" xfId="0" applyFont="1" applyFill="1" applyBorder="1"/>
    <xf numFmtId="0" fontId="21295" fillId="21305" borderId="21252" xfId="0" applyFont="1" applyFill="1" applyBorder="1"/>
    <xf numFmtId="14" fontId="21296" fillId="21306" borderId="21253" xfId="0" applyNumberFormat="1" applyFont="1" applyFill="1" applyBorder="1"/>
    <xf numFmtId="0" fontId="21297" fillId="21307" borderId="21254" xfId="0" applyFont="1" applyFill="1" applyBorder="1"/>
    <xf numFmtId="0" fontId="21298" fillId="21308" borderId="21255" xfId="0" applyFont="1" applyFill="1" applyBorder="1"/>
    <xf numFmtId="0" fontId="21299" fillId="21309" borderId="21256" xfId="0" applyFont="1" applyFill="1" applyBorder="1"/>
    <xf numFmtId="4" fontId="21300" fillId="21310" borderId="21257" xfId="0" applyNumberFormat="1" applyFont="1" applyFill="1" applyBorder="1"/>
    <xf numFmtId="165" fontId="21301" fillId="21311" borderId="21258" xfId="0" applyNumberFormat="1" applyFont="1" applyFill="1" applyBorder="1"/>
    <xf numFmtId="165" fontId="21302" fillId="21312" borderId="21259" xfId="0" applyNumberFormat="1" applyFont="1" applyFill="1" applyBorder="1"/>
    <xf numFmtId="0" fontId="21303" fillId="21313" borderId="21260" xfId="0" applyFont="1" applyFill="1" applyBorder="1"/>
    <xf numFmtId="0" fontId="21304" fillId="21314" borderId="21261" xfId="0" applyFont="1" applyFill="1" applyBorder="1"/>
    <xf numFmtId="0" fontId="21305" fillId="21315" borderId="21262" xfId="0" applyFont="1" applyFill="1" applyBorder="1"/>
    <xf numFmtId="0" fontId="21306" fillId="21316" borderId="21263" xfId="0" applyFont="1" applyFill="1" applyBorder="1"/>
    <xf numFmtId="14" fontId="21307" fillId="21317" borderId="21264" xfId="0" applyNumberFormat="1" applyFont="1" applyFill="1" applyBorder="1"/>
    <xf numFmtId="0" fontId="21308" fillId="21318" borderId="21265" xfId="0" applyFont="1" applyFill="1" applyBorder="1"/>
    <xf numFmtId="0" fontId="21309" fillId="21319" borderId="21266" xfId="0" applyFont="1" applyFill="1" applyBorder="1"/>
    <xf numFmtId="0" fontId="21310" fillId="21320" borderId="21267" xfId="0" applyFont="1" applyFill="1" applyBorder="1"/>
    <xf numFmtId="4" fontId="21311" fillId="21321" borderId="21268" xfId="0" applyNumberFormat="1" applyFont="1" applyFill="1" applyBorder="1"/>
    <xf numFmtId="165" fontId="21312" fillId="21322" borderId="21269" xfId="0" applyNumberFormat="1" applyFont="1" applyFill="1" applyBorder="1"/>
    <xf numFmtId="165" fontId="21313" fillId="21323" borderId="21270" xfId="0" applyNumberFormat="1" applyFont="1" applyFill="1" applyBorder="1"/>
    <xf numFmtId="0" fontId="21314" fillId="21324" borderId="21271" xfId="0" applyFont="1" applyFill="1" applyBorder="1"/>
    <xf numFmtId="0" fontId="21315" fillId="21325" borderId="21272" xfId="0" applyFont="1" applyFill="1" applyBorder="1"/>
    <xf numFmtId="0" fontId="21316" fillId="21326" borderId="21273" xfId="0" applyFont="1" applyFill="1" applyBorder="1"/>
    <xf numFmtId="0" fontId="21317" fillId="21327" borderId="21274" xfId="0" applyFont="1" applyFill="1" applyBorder="1"/>
    <xf numFmtId="14" fontId="21318" fillId="21328" borderId="21275" xfId="0" applyNumberFormat="1" applyFont="1" applyFill="1" applyBorder="1"/>
    <xf numFmtId="0" fontId="21319" fillId="21329" borderId="21276" xfId="0" applyFont="1" applyFill="1" applyBorder="1"/>
    <xf numFmtId="0" fontId="21320" fillId="21330" borderId="21277" xfId="0" applyFont="1" applyFill="1" applyBorder="1"/>
    <xf numFmtId="0" fontId="21321" fillId="21331" borderId="21278" xfId="0" applyFont="1" applyFill="1" applyBorder="1"/>
    <xf numFmtId="4" fontId="21322" fillId="21332" borderId="21279" xfId="0" applyNumberFormat="1" applyFont="1" applyFill="1" applyBorder="1"/>
    <xf numFmtId="165" fontId="21323" fillId="21333" borderId="21280" xfId="0" applyNumberFormat="1" applyFont="1" applyFill="1" applyBorder="1"/>
    <xf numFmtId="165" fontId="21324" fillId="21334" borderId="21281" xfId="0" applyNumberFormat="1" applyFont="1" applyFill="1" applyBorder="1"/>
    <xf numFmtId="0" fontId="21325" fillId="21335" borderId="21282" xfId="0" applyFont="1" applyFill="1" applyBorder="1"/>
    <xf numFmtId="0" fontId="21326" fillId="21336" borderId="21283" xfId="0" applyFont="1" applyFill="1" applyBorder="1"/>
    <xf numFmtId="0" fontId="21327" fillId="21337" borderId="21284" xfId="0" applyFont="1" applyFill="1" applyBorder="1"/>
    <xf numFmtId="0" fontId="21328" fillId="21338" borderId="21285" xfId="0" applyFont="1" applyFill="1" applyBorder="1"/>
    <xf numFmtId="14" fontId="21329" fillId="21339" borderId="21286" xfId="0" applyNumberFormat="1" applyFont="1" applyFill="1" applyBorder="1"/>
    <xf numFmtId="0" fontId="21330" fillId="21340" borderId="21287" xfId="0" applyFont="1" applyFill="1" applyBorder="1"/>
    <xf numFmtId="0" fontId="21331" fillId="21341" borderId="21288" xfId="0" applyFont="1" applyFill="1" applyBorder="1"/>
    <xf numFmtId="0" fontId="21332" fillId="21342" borderId="21289" xfId="0" applyFont="1" applyFill="1" applyBorder="1"/>
    <xf numFmtId="4" fontId="21333" fillId="21343" borderId="21290" xfId="0" applyNumberFormat="1" applyFont="1" applyFill="1" applyBorder="1"/>
    <xf numFmtId="165" fontId="21334" fillId="21344" borderId="21291" xfId="0" applyNumberFormat="1" applyFont="1" applyFill="1" applyBorder="1"/>
    <xf numFmtId="165" fontId="21335" fillId="21345" borderId="21292" xfId="0" applyNumberFormat="1" applyFont="1" applyFill="1" applyBorder="1"/>
    <xf numFmtId="0" fontId="21336" fillId="21346" borderId="21293" xfId="0" applyFont="1" applyFill="1" applyBorder="1"/>
    <xf numFmtId="0" fontId="21337" fillId="21347" borderId="21294" xfId="0" applyFont="1" applyFill="1" applyBorder="1"/>
    <xf numFmtId="0" fontId="21338" fillId="21348" borderId="21295" xfId="0" applyFont="1" applyFill="1" applyBorder="1"/>
    <xf numFmtId="0" fontId="21339" fillId="21349" borderId="21296" xfId="0" applyFont="1" applyFill="1" applyBorder="1"/>
    <xf numFmtId="14" fontId="21340" fillId="21350" borderId="21297" xfId="0" applyNumberFormat="1" applyFont="1" applyFill="1" applyBorder="1"/>
    <xf numFmtId="0" fontId="21341" fillId="21351" borderId="21298" xfId="0" applyFont="1" applyFill="1" applyBorder="1"/>
    <xf numFmtId="0" fontId="21342" fillId="21352" borderId="21299" xfId="0" applyFont="1" applyFill="1" applyBorder="1"/>
    <xf numFmtId="0" fontId="21343" fillId="21353" borderId="21300" xfId="0" applyFont="1" applyFill="1" applyBorder="1"/>
    <xf numFmtId="4" fontId="21344" fillId="21354" borderId="21301" xfId="0" applyNumberFormat="1" applyFont="1" applyFill="1" applyBorder="1"/>
    <xf numFmtId="165" fontId="21345" fillId="21355" borderId="21302" xfId="0" applyNumberFormat="1" applyFont="1" applyFill="1" applyBorder="1"/>
    <xf numFmtId="165" fontId="21346" fillId="21356" borderId="21303" xfId="0" applyNumberFormat="1" applyFont="1" applyFill="1" applyBorder="1"/>
    <xf numFmtId="0" fontId="21347" fillId="21357" borderId="21304" xfId="0" applyFont="1" applyFill="1" applyBorder="1"/>
    <xf numFmtId="0" fontId="21348" fillId="21358" borderId="21305" xfId="0" applyFont="1" applyFill="1" applyBorder="1"/>
    <xf numFmtId="0" fontId="21349" fillId="21359" borderId="21306" xfId="0" applyFont="1" applyFill="1" applyBorder="1"/>
    <xf numFmtId="0" fontId="21350" fillId="21360" borderId="21307" xfId="0" applyFont="1" applyFill="1" applyBorder="1"/>
    <xf numFmtId="14" fontId="21351" fillId="21361" borderId="21308" xfId="0" applyNumberFormat="1" applyFont="1" applyFill="1" applyBorder="1"/>
    <xf numFmtId="0" fontId="21352" fillId="21362" borderId="21309" xfId="0" applyFont="1" applyFill="1" applyBorder="1"/>
    <xf numFmtId="0" fontId="21353" fillId="21363" borderId="21310" xfId="0" applyFont="1" applyFill="1" applyBorder="1"/>
    <xf numFmtId="0" fontId="21354" fillId="21364" borderId="21311" xfId="0" applyFont="1" applyFill="1" applyBorder="1"/>
    <xf numFmtId="4" fontId="21355" fillId="21365" borderId="21312" xfId="0" applyNumberFormat="1" applyFont="1" applyFill="1" applyBorder="1"/>
    <xf numFmtId="165" fontId="21356" fillId="21366" borderId="21313" xfId="0" applyNumberFormat="1" applyFont="1" applyFill="1" applyBorder="1"/>
    <xf numFmtId="165" fontId="21357" fillId="21367" borderId="21314" xfId="0" applyNumberFormat="1" applyFont="1" applyFill="1" applyBorder="1"/>
    <xf numFmtId="0" fontId="21358" fillId="21368" borderId="21315" xfId="0" applyFont="1" applyFill="1" applyBorder="1"/>
    <xf numFmtId="0" fontId="21359" fillId="21369" borderId="21316" xfId="0" applyFont="1" applyFill="1" applyBorder="1"/>
    <xf numFmtId="0" fontId="21360" fillId="21370" borderId="21317" xfId="0" applyFont="1" applyFill="1" applyBorder="1"/>
    <xf numFmtId="0" fontId="21361" fillId="21371" borderId="21318" xfId="0" applyFont="1" applyFill="1" applyBorder="1"/>
    <xf numFmtId="14" fontId="21362" fillId="21372" borderId="21319" xfId="0" applyNumberFormat="1" applyFont="1" applyFill="1" applyBorder="1"/>
    <xf numFmtId="0" fontId="21363" fillId="21373" borderId="21320" xfId="0" applyFont="1" applyFill="1" applyBorder="1"/>
    <xf numFmtId="0" fontId="21364" fillId="21374" borderId="21321" xfId="0" applyFont="1" applyFill="1" applyBorder="1"/>
    <xf numFmtId="0" fontId="21365" fillId="21375" borderId="21322" xfId="0" applyFont="1" applyFill="1" applyBorder="1"/>
    <xf numFmtId="4" fontId="21366" fillId="21376" borderId="21323" xfId="0" applyNumberFormat="1" applyFont="1" applyFill="1" applyBorder="1"/>
    <xf numFmtId="165" fontId="21367" fillId="21377" borderId="21324" xfId="0" applyNumberFormat="1" applyFont="1" applyFill="1" applyBorder="1"/>
    <xf numFmtId="165" fontId="21368" fillId="21378" borderId="21325" xfId="0" applyNumberFormat="1" applyFont="1" applyFill="1" applyBorder="1"/>
    <xf numFmtId="0" fontId="21369" fillId="21379" borderId="21326" xfId="0" applyFont="1" applyFill="1" applyBorder="1"/>
    <xf numFmtId="0" fontId="21370" fillId="21380" borderId="21327" xfId="0" applyFont="1" applyFill="1" applyBorder="1"/>
    <xf numFmtId="0" fontId="21371" fillId="21381" borderId="21328" xfId="0" applyFont="1" applyFill="1" applyBorder="1"/>
    <xf numFmtId="0" fontId="21372" fillId="21382" borderId="21329" xfId="0" applyFont="1" applyFill="1" applyBorder="1"/>
    <xf numFmtId="14" fontId="21373" fillId="21383" borderId="21330" xfId="0" applyNumberFormat="1" applyFont="1" applyFill="1" applyBorder="1"/>
    <xf numFmtId="0" fontId="21374" fillId="21384" borderId="21331" xfId="0" applyFont="1" applyFill="1" applyBorder="1"/>
    <xf numFmtId="0" fontId="21375" fillId="21385" borderId="21332" xfId="0" applyFont="1" applyFill="1" applyBorder="1"/>
    <xf numFmtId="0" fontId="21376" fillId="21386" borderId="21333" xfId="0" applyFont="1" applyFill="1" applyBorder="1"/>
    <xf numFmtId="4" fontId="21377" fillId="21387" borderId="21334" xfId="0" applyNumberFormat="1" applyFont="1" applyFill="1" applyBorder="1"/>
    <xf numFmtId="165" fontId="21378" fillId="21388" borderId="21335" xfId="0" applyNumberFormat="1" applyFont="1" applyFill="1" applyBorder="1"/>
    <xf numFmtId="165" fontId="21379" fillId="21389" borderId="21336" xfId="0" applyNumberFormat="1" applyFont="1" applyFill="1" applyBorder="1"/>
    <xf numFmtId="0" fontId="21380" fillId="21390" borderId="21337" xfId="0" applyFont="1" applyFill="1" applyBorder="1"/>
    <xf numFmtId="0" fontId="21381" fillId="21391" borderId="21338" xfId="0" applyFont="1" applyFill="1" applyBorder="1"/>
    <xf numFmtId="0" fontId="21382" fillId="21392" borderId="21339" xfId="0" applyFont="1" applyFill="1" applyBorder="1"/>
    <xf numFmtId="0" fontId="21383" fillId="21393" borderId="21340" xfId="0" applyFont="1" applyFill="1" applyBorder="1"/>
    <xf numFmtId="14" fontId="21384" fillId="21394" borderId="21341" xfId="0" applyNumberFormat="1" applyFont="1" applyFill="1" applyBorder="1"/>
    <xf numFmtId="0" fontId="21385" fillId="21395" borderId="21342" xfId="0" applyFont="1" applyFill="1" applyBorder="1"/>
    <xf numFmtId="0" fontId="21386" fillId="21396" borderId="21343" xfId="0" applyFont="1" applyFill="1" applyBorder="1"/>
    <xf numFmtId="0" fontId="21387" fillId="21397" borderId="21344" xfId="0" applyFont="1" applyFill="1" applyBorder="1"/>
    <xf numFmtId="4" fontId="21388" fillId="21398" borderId="21345" xfId="0" applyNumberFormat="1" applyFont="1" applyFill="1" applyBorder="1"/>
    <xf numFmtId="165" fontId="21389" fillId="21399" borderId="21346" xfId="0" applyNumberFormat="1" applyFont="1" applyFill="1" applyBorder="1"/>
    <xf numFmtId="165" fontId="21390" fillId="21400" borderId="21347" xfId="0" applyNumberFormat="1" applyFont="1" applyFill="1" applyBorder="1"/>
    <xf numFmtId="0" fontId="21391" fillId="21401" borderId="21348" xfId="0" applyFont="1" applyFill="1" applyBorder="1"/>
    <xf numFmtId="0" fontId="21392" fillId="21402" borderId="21349" xfId="0" applyFont="1" applyFill="1" applyBorder="1"/>
    <xf numFmtId="0" fontId="21393" fillId="21403" borderId="21350" xfId="0" applyFont="1" applyFill="1" applyBorder="1"/>
    <xf numFmtId="0" fontId="21394" fillId="21404" borderId="21351" xfId="0" applyFont="1" applyFill="1" applyBorder="1"/>
    <xf numFmtId="14" fontId="21395" fillId="21405" borderId="21352" xfId="0" applyNumberFormat="1" applyFont="1" applyFill="1" applyBorder="1"/>
    <xf numFmtId="0" fontId="21396" fillId="21406" borderId="21353" xfId="0" applyFont="1" applyFill="1" applyBorder="1"/>
    <xf numFmtId="0" fontId="21397" fillId="21407" borderId="21354" xfId="0" applyFont="1" applyFill="1" applyBorder="1"/>
    <xf numFmtId="0" fontId="21398" fillId="21408" borderId="21355" xfId="0" applyFont="1" applyFill="1" applyBorder="1"/>
    <xf numFmtId="4" fontId="21399" fillId="21409" borderId="21356" xfId="0" applyNumberFormat="1" applyFont="1" applyFill="1" applyBorder="1"/>
    <xf numFmtId="165" fontId="21400" fillId="21410" borderId="21357" xfId="0" applyNumberFormat="1" applyFont="1" applyFill="1" applyBorder="1"/>
    <xf numFmtId="165" fontId="21401" fillId="21411" borderId="21358" xfId="0" applyNumberFormat="1" applyFont="1" applyFill="1" applyBorder="1"/>
    <xf numFmtId="0" fontId="21402" fillId="21412" borderId="21359" xfId="0" applyFont="1" applyFill="1" applyBorder="1"/>
    <xf numFmtId="0" fontId="21403" fillId="21413" borderId="21360" xfId="0" applyFont="1" applyFill="1" applyBorder="1"/>
    <xf numFmtId="0" fontId="21404" fillId="21414" borderId="21361" xfId="0" applyFont="1" applyFill="1" applyBorder="1"/>
    <xf numFmtId="0" fontId="21405" fillId="21415" borderId="21362" xfId="0" applyFont="1" applyFill="1" applyBorder="1"/>
    <xf numFmtId="14" fontId="21406" fillId="21416" borderId="21363" xfId="0" applyNumberFormat="1" applyFont="1" applyFill="1" applyBorder="1"/>
    <xf numFmtId="0" fontId="21407" fillId="21417" borderId="21364" xfId="0" applyFont="1" applyFill="1" applyBorder="1"/>
    <xf numFmtId="0" fontId="21408" fillId="21418" borderId="21365" xfId="0" applyFont="1" applyFill="1" applyBorder="1"/>
    <xf numFmtId="0" fontId="21409" fillId="21419" borderId="21366" xfId="0" applyFont="1" applyFill="1" applyBorder="1"/>
    <xf numFmtId="4" fontId="21410" fillId="21420" borderId="21367" xfId="0" applyNumberFormat="1" applyFont="1" applyFill="1" applyBorder="1"/>
    <xf numFmtId="165" fontId="21411" fillId="21421" borderId="21368" xfId="0" applyNumberFormat="1" applyFont="1" applyFill="1" applyBorder="1"/>
    <xf numFmtId="165" fontId="21412" fillId="21422" borderId="21369" xfId="0" applyNumberFormat="1" applyFont="1" applyFill="1" applyBorder="1"/>
    <xf numFmtId="0" fontId="21413" fillId="21423" borderId="21370" xfId="0" applyFont="1" applyFill="1" applyBorder="1"/>
    <xf numFmtId="0" fontId="21414" fillId="21424" borderId="21371" xfId="0" applyFont="1" applyFill="1" applyBorder="1"/>
    <xf numFmtId="0" fontId="21415" fillId="21425" borderId="21372" xfId="0" applyFont="1" applyFill="1" applyBorder="1"/>
    <xf numFmtId="0" fontId="21416" fillId="21426" borderId="21373" xfId="0" applyFont="1" applyFill="1" applyBorder="1"/>
    <xf numFmtId="14" fontId="21417" fillId="21427" borderId="21374" xfId="0" applyNumberFormat="1" applyFont="1" applyFill="1" applyBorder="1"/>
    <xf numFmtId="0" fontId="21418" fillId="21428" borderId="21375" xfId="0" applyFont="1" applyFill="1" applyBorder="1"/>
    <xf numFmtId="0" fontId="21419" fillId="21429" borderId="21376" xfId="0" applyFont="1" applyFill="1" applyBorder="1"/>
    <xf numFmtId="0" fontId="21420" fillId="21430" borderId="21377" xfId="0" applyFont="1" applyFill="1" applyBorder="1"/>
    <xf numFmtId="4" fontId="21421" fillId="21431" borderId="21378" xfId="0" applyNumberFormat="1" applyFont="1" applyFill="1" applyBorder="1"/>
    <xf numFmtId="165" fontId="21422" fillId="21432" borderId="21379" xfId="0" applyNumberFormat="1" applyFont="1" applyFill="1" applyBorder="1"/>
    <xf numFmtId="165" fontId="21423" fillId="21433" borderId="21380" xfId="0" applyNumberFormat="1" applyFont="1" applyFill="1" applyBorder="1"/>
    <xf numFmtId="0" fontId="21424" fillId="21434" borderId="21381" xfId="0" applyFont="1" applyFill="1" applyBorder="1"/>
    <xf numFmtId="0" fontId="21425" fillId="21435" borderId="21382" xfId="0" applyFont="1" applyFill="1" applyBorder="1"/>
    <xf numFmtId="0" fontId="21426" fillId="21436" borderId="21383" xfId="0" applyFont="1" applyFill="1" applyBorder="1"/>
    <xf numFmtId="0" fontId="21427" fillId="21437" borderId="21384" xfId="0" applyFont="1" applyFill="1" applyBorder="1"/>
    <xf numFmtId="14" fontId="21428" fillId="21438" borderId="21385" xfId="0" applyNumberFormat="1" applyFont="1" applyFill="1" applyBorder="1"/>
    <xf numFmtId="0" fontId="21429" fillId="21439" borderId="21386" xfId="0" applyFont="1" applyFill="1" applyBorder="1"/>
    <xf numFmtId="0" fontId="21430" fillId="21440" borderId="21387" xfId="0" applyFont="1" applyFill="1" applyBorder="1"/>
    <xf numFmtId="0" fontId="21431" fillId="21441" borderId="21388" xfId="0" applyFont="1" applyFill="1" applyBorder="1"/>
    <xf numFmtId="4" fontId="21432" fillId="21442" borderId="21389" xfId="0" applyNumberFormat="1" applyFont="1" applyFill="1" applyBorder="1"/>
    <xf numFmtId="165" fontId="21433" fillId="21443" borderId="21390" xfId="0" applyNumberFormat="1" applyFont="1" applyFill="1" applyBorder="1"/>
    <xf numFmtId="165" fontId="21434" fillId="21444" borderId="21391" xfId="0" applyNumberFormat="1" applyFont="1" applyFill="1" applyBorder="1"/>
    <xf numFmtId="0" fontId="21435" fillId="21445" borderId="21392" xfId="0" applyFont="1" applyFill="1" applyBorder="1"/>
    <xf numFmtId="0" fontId="21436" fillId="21446" borderId="21393" xfId="0" applyFont="1" applyFill="1" applyBorder="1"/>
    <xf numFmtId="0" fontId="21437" fillId="21447" borderId="21394" xfId="0" applyFont="1" applyFill="1" applyBorder="1"/>
    <xf numFmtId="0" fontId="21438" fillId="21448" borderId="21395" xfId="0" applyFont="1" applyFill="1" applyBorder="1"/>
    <xf numFmtId="14" fontId="21439" fillId="21449" borderId="21396" xfId="0" applyNumberFormat="1" applyFont="1" applyFill="1" applyBorder="1"/>
    <xf numFmtId="0" fontId="21440" fillId="21450" borderId="21397" xfId="0" applyFont="1" applyFill="1" applyBorder="1"/>
    <xf numFmtId="0" fontId="21441" fillId="21451" borderId="21398" xfId="0" applyFont="1" applyFill="1" applyBorder="1"/>
    <xf numFmtId="0" fontId="21442" fillId="21452" borderId="21399" xfId="0" applyFont="1" applyFill="1" applyBorder="1"/>
    <xf numFmtId="4" fontId="21443" fillId="21453" borderId="21400" xfId="0" applyNumberFormat="1" applyFont="1" applyFill="1" applyBorder="1"/>
    <xf numFmtId="165" fontId="21444" fillId="21454" borderId="21401" xfId="0" applyNumberFormat="1" applyFont="1" applyFill="1" applyBorder="1"/>
    <xf numFmtId="165" fontId="21445" fillId="21455" borderId="21402" xfId="0" applyNumberFormat="1" applyFont="1" applyFill="1" applyBorder="1"/>
    <xf numFmtId="0" fontId="21446" fillId="21456" borderId="21403" xfId="0" applyFont="1" applyFill="1" applyBorder="1"/>
    <xf numFmtId="0" fontId="21447" fillId="21457" borderId="21404" xfId="0" applyFont="1" applyFill="1" applyBorder="1"/>
    <xf numFmtId="0" fontId="21448" fillId="21458" borderId="21405" xfId="0" applyFont="1" applyFill="1" applyBorder="1"/>
    <xf numFmtId="0" fontId="21449" fillId="21459" borderId="21406" xfId="0" applyFont="1" applyFill="1" applyBorder="1"/>
    <xf numFmtId="14" fontId="21450" fillId="21460" borderId="21407" xfId="0" applyNumberFormat="1" applyFont="1" applyFill="1" applyBorder="1"/>
    <xf numFmtId="0" fontId="21451" fillId="21461" borderId="21408" xfId="0" applyFont="1" applyFill="1" applyBorder="1"/>
    <xf numFmtId="0" fontId="21452" fillId="21462" borderId="21409" xfId="0" applyFont="1" applyFill="1" applyBorder="1"/>
    <xf numFmtId="0" fontId="21453" fillId="21463" borderId="21410" xfId="0" applyFont="1" applyFill="1" applyBorder="1"/>
    <xf numFmtId="4" fontId="21454" fillId="21464" borderId="21411" xfId="0" applyNumberFormat="1" applyFont="1" applyFill="1" applyBorder="1"/>
    <xf numFmtId="165" fontId="21455" fillId="21465" borderId="21412" xfId="0" applyNumberFormat="1" applyFont="1" applyFill="1" applyBorder="1"/>
    <xf numFmtId="165" fontId="21456" fillId="21466" borderId="21413" xfId="0" applyNumberFormat="1" applyFont="1" applyFill="1" applyBorder="1"/>
    <xf numFmtId="0" fontId="21457" fillId="21467" borderId="21414" xfId="0" applyFont="1" applyFill="1" applyBorder="1"/>
    <xf numFmtId="0" fontId="21458" fillId="21468" borderId="21415" xfId="0" applyFont="1" applyFill="1" applyBorder="1"/>
    <xf numFmtId="0" fontId="21459" fillId="21469" borderId="21416" xfId="0" applyFont="1" applyFill="1" applyBorder="1"/>
    <xf numFmtId="0" fontId="21460" fillId="21470" borderId="21417" xfId="0" applyFont="1" applyFill="1" applyBorder="1"/>
    <xf numFmtId="14" fontId="21461" fillId="21471" borderId="21418" xfId="0" applyNumberFormat="1" applyFont="1" applyFill="1" applyBorder="1"/>
    <xf numFmtId="0" fontId="21462" fillId="21472" borderId="21419" xfId="0" applyFont="1" applyFill="1" applyBorder="1"/>
    <xf numFmtId="0" fontId="21463" fillId="21473" borderId="21420" xfId="0" applyFont="1" applyFill="1" applyBorder="1"/>
    <xf numFmtId="0" fontId="21464" fillId="21474" borderId="21421" xfId="0" applyFont="1" applyFill="1" applyBorder="1"/>
    <xf numFmtId="4" fontId="21465" fillId="21475" borderId="21422" xfId="0" applyNumberFormat="1" applyFont="1" applyFill="1" applyBorder="1"/>
    <xf numFmtId="165" fontId="21466" fillId="21476" borderId="21423" xfId="0" applyNumberFormat="1" applyFont="1" applyFill="1" applyBorder="1"/>
    <xf numFmtId="165" fontId="21467" fillId="21477" borderId="21424" xfId="0" applyNumberFormat="1" applyFont="1" applyFill="1" applyBorder="1"/>
    <xf numFmtId="0" fontId="21468" fillId="21478" borderId="21425" xfId="0" applyFont="1" applyFill="1" applyBorder="1"/>
    <xf numFmtId="0" fontId="21469" fillId="21479" borderId="21426" xfId="0" applyFont="1" applyFill="1" applyBorder="1"/>
    <xf numFmtId="0" fontId="21470" fillId="21480" borderId="21427" xfId="0" applyFont="1" applyFill="1" applyBorder="1"/>
    <xf numFmtId="0" fontId="21471" fillId="21481" borderId="21428" xfId="0" applyFont="1" applyFill="1" applyBorder="1"/>
    <xf numFmtId="14" fontId="21472" fillId="21482" borderId="21429" xfId="0" applyNumberFormat="1" applyFont="1" applyFill="1" applyBorder="1"/>
    <xf numFmtId="0" fontId="21473" fillId="21483" borderId="21430" xfId="0" applyFont="1" applyFill="1" applyBorder="1"/>
    <xf numFmtId="0" fontId="21474" fillId="21484" borderId="21431" xfId="0" applyFont="1" applyFill="1" applyBorder="1"/>
    <xf numFmtId="0" fontId="21475" fillId="21485" borderId="21432" xfId="0" applyFont="1" applyFill="1" applyBorder="1"/>
    <xf numFmtId="4" fontId="21476" fillId="21486" borderId="21433" xfId="0" applyNumberFormat="1" applyFont="1" applyFill="1" applyBorder="1"/>
    <xf numFmtId="165" fontId="21477" fillId="21487" borderId="21434" xfId="0" applyNumberFormat="1" applyFont="1" applyFill="1" applyBorder="1"/>
    <xf numFmtId="165" fontId="21478" fillId="21488" borderId="21435" xfId="0" applyNumberFormat="1" applyFont="1" applyFill="1" applyBorder="1"/>
    <xf numFmtId="0" fontId="21479" fillId="21489" borderId="21436" xfId="0" applyFont="1" applyFill="1" applyBorder="1"/>
    <xf numFmtId="0" fontId="21480" fillId="21490" borderId="21437" xfId="0" applyFont="1" applyFill="1" applyBorder="1"/>
    <xf numFmtId="0" fontId="21481" fillId="21491" borderId="21438" xfId="0" applyFont="1" applyFill="1" applyBorder="1"/>
    <xf numFmtId="0" fontId="21482" fillId="21492" borderId="21439" xfId="0" applyFont="1" applyFill="1" applyBorder="1"/>
    <xf numFmtId="14" fontId="21483" fillId="21493" borderId="21440" xfId="0" applyNumberFormat="1" applyFont="1" applyFill="1" applyBorder="1"/>
    <xf numFmtId="0" fontId="21484" fillId="21494" borderId="21441" xfId="0" applyFont="1" applyFill="1" applyBorder="1"/>
    <xf numFmtId="0" fontId="21485" fillId="21495" borderId="21442" xfId="0" applyFont="1" applyFill="1" applyBorder="1"/>
    <xf numFmtId="0" fontId="21486" fillId="21496" borderId="21443" xfId="0" applyFont="1" applyFill="1" applyBorder="1"/>
    <xf numFmtId="4" fontId="21487" fillId="21497" borderId="21444" xfId="0" applyNumberFormat="1" applyFont="1" applyFill="1" applyBorder="1"/>
    <xf numFmtId="165" fontId="21488" fillId="21498" borderId="21445" xfId="0" applyNumberFormat="1" applyFont="1" applyFill="1" applyBorder="1"/>
    <xf numFmtId="165" fontId="21489" fillId="21499" borderId="21446" xfId="0" applyNumberFormat="1" applyFont="1" applyFill="1" applyBorder="1"/>
    <xf numFmtId="0" fontId="21490" fillId="21500" borderId="21447" xfId="0" applyFont="1" applyFill="1" applyBorder="1"/>
    <xf numFmtId="0" fontId="21491" fillId="21501" borderId="21448" xfId="0" applyFont="1" applyFill="1" applyBorder="1"/>
    <xf numFmtId="0" fontId="21492" fillId="21502" borderId="21449" xfId="0" applyFont="1" applyFill="1" applyBorder="1"/>
    <xf numFmtId="0" fontId="21493" fillId="21503" borderId="21450" xfId="0" applyFont="1" applyFill="1" applyBorder="1"/>
    <xf numFmtId="14" fontId="21494" fillId="21504" borderId="21451" xfId="0" applyNumberFormat="1" applyFont="1" applyFill="1" applyBorder="1"/>
    <xf numFmtId="0" fontId="21495" fillId="21505" borderId="21452" xfId="0" applyFont="1" applyFill="1" applyBorder="1"/>
    <xf numFmtId="0" fontId="21496" fillId="21506" borderId="21453" xfId="0" applyFont="1" applyFill="1" applyBorder="1"/>
    <xf numFmtId="0" fontId="21497" fillId="21507" borderId="21454" xfId="0" applyFont="1" applyFill="1" applyBorder="1"/>
    <xf numFmtId="4" fontId="21498" fillId="21508" borderId="21455" xfId="0" applyNumberFormat="1" applyFont="1" applyFill="1" applyBorder="1"/>
    <xf numFmtId="165" fontId="21499" fillId="21509" borderId="21456" xfId="0" applyNumberFormat="1" applyFont="1" applyFill="1" applyBorder="1"/>
    <xf numFmtId="165" fontId="21500" fillId="21510" borderId="21457" xfId="0" applyNumberFormat="1" applyFont="1" applyFill="1" applyBorder="1"/>
    <xf numFmtId="0" fontId="21501" fillId="21511" borderId="21458" xfId="0" applyFont="1" applyFill="1" applyBorder="1"/>
    <xf numFmtId="0" fontId="21502" fillId="21512" borderId="21459" xfId="0" applyFont="1" applyFill="1" applyBorder="1"/>
    <xf numFmtId="0" fontId="21503" fillId="21513" borderId="21460" xfId="0" applyFont="1" applyFill="1" applyBorder="1"/>
    <xf numFmtId="0" fontId="21504" fillId="21514" borderId="21461" xfId="0" applyFont="1" applyFill="1" applyBorder="1"/>
    <xf numFmtId="14" fontId="21505" fillId="21515" borderId="21462" xfId="0" applyNumberFormat="1" applyFont="1" applyFill="1" applyBorder="1"/>
    <xf numFmtId="0" fontId="21506" fillId="21516" borderId="21463" xfId="0" applyFont="1" applyFill="1" applyBorder="1"/>
    <xf numFmtId="0" fontId="21507" fillId="21517" borderId="21464" xfId="0" applyFont="1" applyFill="1" applyBorder="1"/>
    <xf numFmtId="0" fontId="21508" fillId="21518" borderId="21465" xfId="0" applyFont="1" applyFill="1" applyBorder="1"/>
    <xf numFmtId="4" fontId="21509" fillId="21519" borderId="21466" xfId="0" applyNumberFormat="1" applyFont="1" applyFill="1" applyBorder="1"/>
    <xf numFmtId="165" fontId="21510" fillId="21520" borderId="21467" xfId="0" applyNumberFormat="1" applyFont="1" applyFill="1" applyBorder="1"/>
    <xf numFmtId="165" fontId="21511" fillId="21521" borderId="21468" xfId="0" applyNumberFormat="1" applyFont="1" applyFill="1" applyBorder="1"/>
    <xf numFmtId="0" fontId="21512" fillId="21522" borderId="21469" xfId="0" applyFont="1" applyFill="1" applyBorder="1"/>
    <xf numFmtId="0" fontId="21513" fillId="21523" borderId="21470" xfId="0" applyFont="1" applyFill="1" applyBorder="1"/>
    <xf numFmtId="0" fontId="21514" fillId="21524" borderId="21471" xfId="0" applyFont="1" applyFill="1" applyBorder="1"/>
    <xf numFmtId="0" fontId="21515" fillId="21525" borderId="21472" xfId="0" applyFont="1" applyFill="1" applyBorder="1"/>
    <xf numFmtId="14" fontId="21516" fillId="21526" borderId="21473" xfId="0" applyNumberFormat="1" applyFont="1" applyFill="1" applyBorder="1"/>
    <xf numFmtId="0" fontId="21517" fillId="21527" borderId="21474" xfId="0" applyFont="1" applyFill="1" applyBorder="1"/>
    <xf numFmtId="0" fontId="21518" fillId="21528" borderId="21475" xfId="0" applyFont="1" applyFill="1" applyBorder="1"/>
    <xf numFmtId="0" fontId="21519" fillId="21529" borderId="21476" xfId="0" applyFont="1" applyFill="1" applyBorder="1"/>
    <xf numFmtId="4" fontId="21520" fillId="21530" borderId="21477" xfId="0" applyNumberFormat="1" applyFont="1" applyFill="1" applyBorder="1"/>
    <xf numFmtId="165" fontId="21521" fillId="21531" borderId="21478" xfId="0" applyNumberFormat="1" applyFont="1" applyFill="1" applyBorder="1"/>
    <xf numFmtId="165" fontId="21522" fillId="21532" borderId="21479" xfId="0" applyNumberFormat="1" applyFont="1" applyFill="1" applyBorder="1"/>
    <xf numFmtId="0" fontId="21523" fillId="21533" borderId="21480" xfId="0" applyFont="1" applyFill="1" applyBorder="1"/>
    <xf numFmtId="0" fontId="21524" fillId="21534" borderId="21481" xfId="0" applyFont="1" applyFill="1" applyBorder="1"/>
    <xf numFmtId="0" fontId="21525" fillId="21535" borderId="21482" xfId="0" applyFont="1" applyFill="1" applyBorder="1"/>
    <xf numFmtId="0" fontId="21526" fillId="21536" borderId="21483" xfId="0" applyFont="1" applyFill="1" applyBorder="1"/>
    <xf numFmtId="14" fontId="21527" fillId="21537" borderId="21484" xfId="0" applyNumberFormat="1" applyFont="1" applyFill="1" applyBorder="1"/>
    <xf numFmtId="0" fontId="21528" fillId="21538" borderId="21485" xfId="0" applyFont="1" applyFill="1" applyBorder="1"/>
    <xf numFmtId="0" fontId="21529" fillId="21539" borderId="21486" xfId="0" applyFont="1" applyFill="1" applyBorder="1"/>
    <xf numFmtId="0" fontId="21530" fillId="21540" borderId="21487" xfId="0" applyFont="1" applyFill="1" applyBorder="1"/>
    <xf numFmtId="4" fontId="21531" fillId="21541" borderId="21488" xfId="0" applyNumberFormat="1" applyFont="1" applyFill="1" applyBorder="1"/>
    <xf numFmtId="165" fontId="21532" fillId="21542" borderId="21489" xfId="0" applyNumberFormat="1" applyFont="1" applyFill="1" applyBorder="1"/>
    <xf numFmtId="165" fontId="21533" fillId="21543" borderId="21490" xfId="0" applyNumberFormat="1" applyFont="1" applyFill="1" applyBorder="1"/>
    <xf numFmtId="0" fontId="21534" fillId="21544" borderId="21491" xfId="0" applyFont="1" applyFill="1" applyBorder="1"/>
    <xf numFmtId="0" fontId="21535" fillId="21545" borderId="21492" xfId="0" applyFont="1" applyFill="1" applyBorder="1"/>
    <xf numFmtId="0" fontId="21536" fillId="21546" borderId="21493" xfId="0" applyFont="1" applyFill="1" applyBorder="1"/>
    <xf numFmtId="0" fontId="21537" fillId="21547" borderId="21494" xfId="0" applyFont="1" applyFill="1" applyBorder="1"/>
    <xf numFmtId="14" fontId="21538" fillId="21548" borderId="21495" xfId="0" applyNumberFormat="1" applyFont="1" applyFill="1" applyBorder="1"/>
    <xf numFmtId="0" fontId="21539" fillId="21549" borderId="21496" xfId="0" applyFont="1" applyFill="1" applyBorder="1"/>
    <xf numFmtId="0" fontId="21540" fillId="21550" borderId="21497" xfId="0" applyFont="1" applyFill="1" applyBorder="1"/>
    <xf numFmtId="0" fontId="21541" fillId="21551" borderId="21498" xfId="0" applyFont="1" applyFill="1" applyBorder="1"/>
    <xf numFmtId="4" fontId="21542" fillId="21552" borderId="21499" xfId="0" applyNumberFormat="1" applyFont="1" applyFill="1" applyBorder="1"/>
    <xf numFmtId="165" fontId="21543" fillId="21553" borderId="21500" xfId="0" applyNumberFormat="1" applyFont="1" applyFill="1" applyBorder="1"/>
    <xf numFmtId="165" fontId="21544" fillId="21554" borderId="21501" xfId="0" applyNumberFormat="1" applyFont="1" applyFill="1" applyBorder="1"/>
    <xf numFmtId="0" fontId="21545" fillId="21555" borderId="21502" xfId="0" applyFont="1" applyFill="1" applyBorder="1"/>
    <xf numFmtId="0" fontId="21546" fillId="21556" borderId="21503" xfId="0" applyFont="1" applyFill="1" applyBorder="1"/>
    <xf numFmtId="0" fontId="21547" fillId="21557" borderId="21504" xfId="0" applyFont="1" applyFill="1" applyBorder="1"/>
    <xf numFmtId="0" fontId="21548" fillId="21558" borderId="21505" xfId="0" applyFont="1" applyFill="1" applyBorder="1"/>
    <xf numFmtId="14" fontId="21549" fillId="21559" borderId="21506" xfId="0" applyNumberFormat="1" applyFont="1" applyFill="1" applyBorder="1"/>
    <xf numFmtId="0" fontId="21550" fillId="21560" borderId="21507" xfId="0" applyFont="1" applyFill="1" applyBorder="1"/>
    <xf numFmtId="0" fontId="21551" fillId="21561" borderId="21508" xfId="0" applyFont="1" applyFill="1" applyBorder="1"/>
    <xf numFmtId="0" fontId="21552" fillId="21562" borderId="21509" xfId="0" applyFont="1" applyFill="1" applyBorder="1"/>
    <xf numFmtId="4" fontId="21553" fillId="21563" borderId="21510" xfId="0" applyNumberFormat="1" applyFont="1" applyFill="1" applyBorder="1"/>
    <xf numFmtId="165" fontId="21554" fillId="21564" borderId="21511" xfId="0" applyNumberFormat="1" applyFont="1" applyFill="1" applyBorder="1"/>
    <xf numFmtId="165" fontId="21555" fillId="21565" borderId="21512" xfId="0" applyNumberFormat="1" applyFont="1" applyFill="1" applyBorder="1"/>
    <xf numFmtId="0" fontId="21556" fillId="21566" borderId="21513" xfId="0" applyFont="1" applyFill="1" applyBorder="1"/>
    <xf numFmtId="0" fontId="21557" fillId="21567" borderId="21514" xfId="0" applyFont="1" applyFill="1" applyBorder="1"/>
    <xf numFmtId="0" fontId="21558" fillId="21568" borderId="21515" xfId="0" applyFont="1" applyFill="1" applyBorder="1"/>
    <xf numFmtId="0" fontId="21559" fillId="21569" borderId="21516" xfId="0" applyFont="1" applyFill="1" applyBorder="1"/>
    <xf numFmtId="14" fontId="21560" fillId="21570" borderId="21517" xfId="0" applyNumberFormat="1" applyFont="1" applyFill="1" applyBorder="1"/>
    <xf numFmtId="0" fontId="21561" fillId="21571" borderId="21518" xfId="0" applyFont="1" applyFill="1" applyBorder="1"/>
    <xf numFmtId="0" fontId="21562" fillId="21572" borderId="21519" xfId="0" applyFont="1" applyFill="1" applyBorder="1"/>
    <xf numFmtId="0" fontId="21563" fillId="21573" borderId="21520" xfId="0" applyFont="1" applyFill="1" applyBorder="1"/>
    <xf numFmtId="4" fontId="21564" fillId="21574" borderId="21521" xfId="0" applyNumberFormat="1" applyFont="1" applyFill="1" applyBorder="1"/>
    <xf numFmtId="165" fontId="21565" fillId="21575" borderId="21522" xfId="0" applyNumberFormat="1" applyFont="1" applyFill="1" applyBorder="1"/>
    <xf numFmtId="165" fontId="21566" fillId="21576" borderId="21523" xfId="0" applyNumberFormat="1" applyFont="1" applyFill="1" applyBorder="1"/>
    <xf numFmtId="0" fontId="21567" fillId="21577" borderId="21524" xfId="0" applyFont="1" applyFill="1" applyBorder="1"/>
    <xf numFmtId="0" fontId="21568" fillId="21578" borderId="21525" xfId="0" applyFont="1" applyFill="1" applyBorder="1"/>
    <xf numFmtId="0" fontId="21569" fillId="21579" borderId="21526" xfId="0" applyFont="1" applyFill="1" applyBorder="1"/>
    <xf numFmtId="0" fontId="21570" fillId="21580" borderId="21527" xfId="0" applyFont="1" applyFill="1" applyBorder="1"/>
    <xf numFmtId="14" fontId="21571" fillId="21581" borderId="21528" xfId="0" applyNumberFormat="1" applyFont="1" applyFill="1" applyBorder="1"/>
    <xf numFmtId="0" fontId="21572" fillId="21582" borderId="21529" xfId="0" applyFont="1" applyFill="1" applyBorder="1"/>
    <xf numFmtId="0" fontId="21573" fillId="21583" borderId="21530" xfId="0" applyFont="1" applyFill="1" applyBorder="1"/>
    <xf numFmtId="0" fontId="21574" fillId="21584" borderId="21531" xfId="0" applyFont="1" applyFill="1" applyBorder="1"/>
    <xf numFmtId="4" fontId="21575" fillId="21585" borderId="21532" xfId="0" applyNumberFormat="1" applyFont="1" applyFill="1" applyBorder="1"/>
    <xf numFmtId="165" fontId="21576" fillId="21586" borderId="21533" xfId="0" applyNumberFormat="1" applyFont="1" applyFill="1" applyBorder="1"/>
    <xf numFmtId="165" fontId="21577" fillId="21587" borderId="21534" xfId="0" applyNumberFormat="1" applyFont="1" applyFill="1" applyBorder="1"/>
    <xf numFmtId="0" fontId="21578" fillId="21588" borderId="21535" xfId="0" applyFont="1" applyFill="1" applyBorder="1"/>
    <xf numFmtId="0" fontId="21579" fillId="21589" borderId="21536" xfId="0" applyFont="1" applyFill="1" applyBorder="1"/>
    <xf numFmtId="0" fontId="21580" fillId="21590" borderId="21537" xfId="0" applyFont="1" applyFill="1" applyBorder="1"/>
    <xf numFmtId="0" fontId="21581" fillId="21591" borderId="21538" xfId="0" applyFont="1" applyFill="1" applyBorder="1"/>
    <xf numFmtId="14" fontId="21582" fillId="21592" borderId="21539" xfId="0" applyNumberFormat="1" applyFont="1" applyFill="1" applyBorder="1"/>
    <xf numFmtId="0" fontId="21583" fillId="21593" borderId="21540" xfId="0" applyFont="1" applyFill="1" applyBorder="1"/>
    <xf numFmtId="0" fontId="21584" fillId="21594" borderId="21541" xfId="0" applyFont="1" applyFill="1" applyBorder="1"/>
    <xf numFmtId="0" fontId="21585" fillId="21595" borderId="21542" xfId="0" applyFont="1" applyFill="1" applyBorder="1"/>
    <xf numFmtId="4" fontId="21586" fillId="21596" borderId="21543" xfId="0" applyNumberFormat="1" applyFont="1" applyFill="1" applyBorder="1"/>
    <xf numFmtId="165" fontId="21587" fillId="21597" borderId="21544" xfId="0" applyNumberFormat="1" applyFont="1" applyFill="1" applyBorder="1"/>
    <xf numFmtId="165" fontId="21588" fillId="21598" borderId="21545" xfId="0" applyNumberFormat="1" applyFont="1" applyFill="1" applyBorder="1"/>
    <xf numFmtId="0" fontId="21589" fillId="21599" borderId="21546" xfId="0" applyFont="1" applyFill="1" applyBorder="1"/>
    <xf numFmtId="0" fontId="21590" fillId="21600" borderId="21547" xfId="0" applyFont="1" applyFill="1" applyBorder="1"/>
    <xf numFmtId="0" fontId="21591" fillId="21601" borderId="21548" xfId="0" applyFont="1" applyFill="1" applyBorder="1"/>
    <xf numFmtId="0" fontId="21592" fillId="21602" borderId="21549" xfId="0" applyFont="1" applyFill="1" applyBorder="1"/>
    <xf numFmtId="14" fontId="21593" fillId="21603" borderId="21550" xfId="0" applyNumberFormat="1" applyFont="1" applyFill="1" applyBorder="1"/>
    <xf numFmtId="0" fontId="21594" fillId="21604" borderId="21551" xfId="0" applyFont="1" applyFill="1" applyBorder="1"/>
    <xf numFmtId="0" fontId="21595" fillId="21605" borderId="21552" xfId="0" applyFont="1" applyFill="1" applyBorder="1"/>
    <xf numFmtId="0" fontId="21596" fillId="21606" borderId="21553" xfId="0" applyFont="1" applyFill="1" applyBorder="1"/>
    <xf numFmtId="4" fontId="21597" fillId="21607" borderId="21554" xfId="0" applyNumberFormat="1" applyFont="1" applyFill="1" applyBorder="1"/>
    <xf numFmtId="165" fontId="21598" fillId="21608" borderId="21555" xfId="0" applyNumberFormat="1" applyFont="1" applyFill="1" applyBorder="1"/>
    <xf numFmtId="165" fontId="21599" fillId="21609" borderId="21556" xfId="0" applyNumberFormat="1" applyFont="1" applyFill="1" applyBorder="1"/>
    <xf numFmtId="0" fontId="21600" fillId="21610" borderId="21557" xfId="0" applyFont="1" applyFill="1" applyBorder="1"/>
    <xf numFmtId="0" fontId="21601" fillId="21611" borderId="21558" xfId="0" applyFont="1" applyFill="1" applyBorder="1"/>
    <xf numFmtId="0" fontId="21602" fillId="21612" borderId="21559" xfId="0" applyFont="1" applyFill="1" applyBorder="1"/>
    <xf numFmtId="0" fontId="21603" fillId="21613" borderId="21560" xfId="0" applyFont="1" applyFill="1" applyBorder="1"/>
    <xf numFmtId="14" fontId="21604" fillId="21614" borderId="21561" xfId="0" applyNumberFormat="1" applyFont="1" applyFill="1" applyBorder="1"/>
    <xf numFmtId="0" fontId="21605" fillId="21615" borderId="21562" xfId="0" applyFont="1" applyFill="1" applyBorder="1"/>
    <xf numFmtId="0" fontId="21606" fillId="21616" borderId="21563" xfId="0" applyFont="1" applyFill="1" applyBorder="1"/>
    <xf numFmtId="0" fontId="21607" fillId="21617" borderId="21564" xfId="0" applyFont="1" applyFill="1" applyBorder="1"/>
    <xf numFmtId="4" fontId="21608" fillId="21618" borderId="21565" xfId="0" applyNumberFormat="1" applyFont="1" applyFill="1" applyBorder="1"/>
    <xf numFmtId="165" fontId="21609" fillId="21619" borderId="21566" xfId="0" applyNumberFormat="1" applyFont="1" applyFill="1" applyBorder="1"/>
    <xf numFmtId="165" fontId="21610" fillId="21620" borderId="21567" xfId="0" applyNumberFormat="1" applyFont="1" applyFill="1" applyBorder="1"/>
    <xf numFmtId="0" fontId="21611" fillId="21621" borderId="21568" xfId="0" applyFont="1" applyFill="1" applyBorder="1"/>
    <xf numFmtId="0" fontId="21612" fillId="21622" borderId="21569" xfId="0" applyFont="1" applyFill="1" applyBorder="1"/>
    <xf numFmtId="0" fontId="21613" fillId="21623" borderId="21570" xfId="0" applyFont="1" applyFill="1" applyBorder="1"/>
    <xf numFmtId="0" fontId="21614" fillId="21624" borderId="21571" xfId="0" applyFont="1" applyFill="1" applyBorder="1"/>
    <xf numFmtId="14" fontId="21615" fillId="21625" borderId="21572" xfId="0" applyNumberFormat="1" applyFont="1" applyFill="1" applyBorder="1"/>
    <xf numFmtId="0" fontId="21616" fillId="21626" borderId="21573" xfId="0" applyFont="1" applyFill="1" applyBorder="1"/>
    <xf numFmtId="0" fontId="21617" fillId="21627" borderId="21574" xfId="0" applyFont="1" applyFill="1" applyBorder="1"/>
    <xf numFmtId="0" fontId="21618" fillId="21628" borderId="21575" xfId="0" applyFont="1" applyFill="1" applyBorder="1"/>
    <xf numFmtId="4" fontId="21619" fillId="21629" borderId="21576" xfId="0" applyNumberFormat="1" applyFont="1" applyFill="1" applyBorder="1"/>
    <xf numFmtId="165" fontId="21620" fillId="21630" borderId="21577" xfId="0" applyNumberFormat="1" applyFont="1" applyFill="1" applyBorder="1"/>
    <xf numFmtId="165" fontId="21621" fillId="21631" borderId="21578" xfId="0" applyNumberFormat="1" applyFont="1" applyFill="1" applyBorder="1"/>
    <xf numFmtId="0" fontId="21622" fillId="21632" borderId="21579" xfId="0" applyFont="1" applyFill="1" applyBorder="1"/>
    <xf numFmtId="0" fontId="21623" fillId="21633" borderId="21580" xfId="0" applyFont="1" applyFill="1" applyBorder="1"/>
    <xf numFmtId="0" fontId="21624" fillId="21634" borderId="21581" xfId="0" applyFont="1" applyFill="1" applyBorder="1"/>
    <xf numFmtId="0" fontId="21625" fillId="21635" borderId="21582" xfId="0" applyFont="1" applyFill="1" applyBorder="1"/>
    <xf numFmtId="14" fontId="21626" fillId="21636" borderId="21583" xfId="0" applyNumberFormat="1" applyFont="1" applyFill="1" applyBorder="1"/>
    <xf numFmtId="0" fontId="21627" fillId="21637" borderId="21584" xfId="0" applyFont="1" applyFill="1" applyBorder="1"/>
    <xf numFmtId="0" fontId="21628" fillId="21638" borderId="21585" xfId="0" applyFont="1" applyFill="1" applyBorder="1"/>
    <xf numFmtId="0" fontId="21629" fillId="21639" borderId="21586" xfId="0" applyFont="1" applyFill="1" applyBorder="1"/>
    <xf numFmtId="4" fontId="21630" fillId="21640" borderId="21587" xfId="0" applyNumberFormat="1" applyFont="1" applyFill="1" applyBorder="1"/>
    <xf numFmtId="165" fontId="21631" fillId="21641" borderId="21588" xfId="0" applyNumberFormat="1" applyFont="1" applyFill="1" applyBorder="1"/>
    <xf numFmtId="165" fontId="21632" fillId="21642" borderId="21589" xfId="0" applyNumberFormat="1" applyFont="1" applyFill="1" applyBorder="1"/>
    <xf numFmtId="0" fontId="21633" fillId="21643" borderId="21590" xfId="0" applyFont="1" applyFill="1" applyBorder="1"/>
    <xf numFmtId="0" fontId="21634" fillId="21644" borderId="21591" xfId="0" applyFont="1" applyFill="1" applyBorder="1"/>
    <xf numFmtId="0" fontId="21635" fillId="21645" borderId="21592" xfId="0" applyFont="1" applyFill="1" applyBorder="1"/>
    <xf numFmtId="0" fontId="21636" fillId="21646" borderId="21593" xfId="0" applyFont="1" applyFill="1" applyBorder="1"/>
    <xf numFmtId="14" fontId="21637" fillId="21647" borderId="21594" xfId="0" applyNumberFormat="1" applyFont="1" applyFill="1" applyBorder="1"/>
    <xf numFmtId="0" fontId="21638" fillId="21648" borderId="21595" xfId="0" applyFont="1" applyFill="1" applyBorder="1"/>
    <xf numFmtId="0" fontId="21639" fillId="21649" borderId="21596" xfId="0" applyFont="1" applyFill="1" applyBorder="1"/>
    <xf numFmtId="0" fontId="21640" fillId="21650" borderId="21597" xfId="0" applyFont="1" applyFill="1" applyBorder="1"/>
    <xf numFmtId="4" fontId="21641" fillId="21651" borderId="21598" xfId="0" applyNumberFormat="1" applyFont="1" applyFill="1" applyBorder="1"/>
    <xf numFmtId="165" fontId="21642" fillId="21652" borderId="21599" xfId="0" applyNumberFormat="1" applyFont="1" applyFill="1" applyBorder="1"/>
    <xf numFmtId="165" fontId="21643" fillId="21653" borderId="21600" xfId="0" applyNumberFormat="1" applyFont="1" applyFill="1" applyBorder="1"/>
    <xf numFmtId="0" fontId="21644" fillId="21654" borderId="21601" xfId="0" applyFont="1" applyFill="1" applyBorder="1"/>
    <xf numFmtId="0" fontId="21645" fillId="21655" borderId="21602" xfId="0" applyFont="1" applyFill="1" applyBorder="1"/>
    <xf numFmtId="0" fontId="21646" fillId="21656" borderId="21603" xfId="0" applyFont="1" applyFill="1" applyBorder="1"/>
    <xf numFmtId="0" fontId="21647" fillId="21657" borderId="21604" xfId="0" applyFont="1" applyFill="1" applyBorder="1"/>
    <xf numFmtId="14" fontId="21648" fillId="21658" borderId="21605" xfId="0" applyNumberFormat="1" applyFont="1" applyFill="1" applyBorder="1"/>
    <xf numFmtId="0" fontId="21649" fillId="21659" borderId="21606" xfId="0" applyFont="1" applyFill="1" applyBorder="1"/>
    <xf numFmtId="0" fontId="21650" fillId="21660" borderId="21607" xfId="0" applyFont="1" applyFill="1" applyBorder="1"/>
    <xf numFmtId="0" fontId="21651" fillId="21661" borderId="21608" xfId="0" applyFont="1" applyFill="1" applyBorder="1"/>
    <xf numFmtId="4" fontId="21652" fillId="21662" borderId="21609" xfId="0" applyNumberFormat="1" applyFont="1" applyFill="1" applyBorder="1"/>
    <xf numFmtId="165" fontId="21653" fillId="21663" borderId="21610" xfId="0" applyNumberFormat="1" applyFont="1" applyFill="1" applyBorder="1"/>
    <xf numFmtId="165" fontId="21654" fillId="21664" borderId="21611" xfId="0" applyNumberFormat="1" applyFont="1" applyFill="1" applyBorder="1"/>
    <xf numFmtId="0" fontId="21655" fillId="21665" borderId="21612" xfId="0" applyFont="1" applyFill="1" applyBorder="1"/>
    <xf numFmtId="0" fontId="21656" fillId="21666" borderId="21613" xfId="0" applyFont="1" applyFill="1" applyBorder="1"/>
    <xf numFmtId="0" fontId="21657" fillId="21667" borderId="21614" xfId="0" applyFont="1" applyFill="1" applyBorder="1"/>
    <xf numFmtId="0" fontId="21658" fillId="21668" borderId="21615" xfId="0" applyFont="1" applyFill="1" applyBorder="1"/>
    <xf numFmtId="14" fontId="21659" fillId="21669" borderId="21616" xfId="0" applyNumberFormat="1" applyFont="1" applyFill="1" applyBorder="1"/>
    <xf numFmtId="0" fontId="21660" fillId="21670" borderId="21617" xfId="0" applyFont="1" applyFill="1" applyBorder="1"/>
    <xf numFmtId="0" fontId="21661" fillId="21671" borderId="21618" xfId="0" applyFont="1" applyFill="1" applyBorder="1"/>
    <xf numFmtId="0" fontId="21662" fillId="21672" borderId="21619" xfId="0" applyFont="1" applyFill="1" applyBorder="1"/>
    <xf numFmtId="4" fontId="21663" fillId="21673" borderId="21620" xfId="0" applyNumberFormat="1" applyFont="1" applyFill="1" applyBorder="1"/>
    <xf numFmtId="165" fontId="21664" fillId="21674" borderId="21621" xfId="0" applyNumberFormat="1" applyFont="1" applyFill="1" applyBorder="1"/>
    <xf numFmtId="165" fontId="21665" fillId="21675" borderId="21622" xfId="0" applyNumberFormat="1" applyFont="1" applyFill="1" applyBorder="1"/>
    <xf numFmtId="0" fontId="21666" fillId="21676" borderId="21623" xfId="0" applyFont="1" applyFill="1" applyBorder="1"/>
    <xf numFmtId="0" fontId="21667" fillId="21677" borderId="21624" xfId="0" applyFont="1" applyFill="1" applyBorder="1"/>
    <xf numFmtId="0" fontId="21668" fillId="21678" borderId="21625" xfId="0" applyFont="1" applyFill="1" applyBorder="1"/>
    <xf numFmtId="0" fontId="21669" fillId="21679" borderId="21626" xfId="0" applyFont="1" applyFill="1" applyBorder="1"/>
    <xf numFmtId="14" fontId="21670" fillId="21680" borderId="21627" xfId="0" applyNumberFormat="1" applyFont="1" applyFill="1" applyBorder="1"/>
    <xf numFmtId="0" fontId="21671" fillId="21681" borderId="21628" xfId="0" applyFont="1" applyFill="1" applyBorder="1"/>
    <xf numFmtId="0" fontId="21672" fillId="21682" borderId="21629" xfId="0" applyFont="1" applyFill="1" applyBorder="1"/>
    <xf numFmtId="0" fontId="21673" fillId="21683" borderId="21630" xfId="0" applyFont="1" applyFill="1" applyBorder="1"/>
    <xf numFmtId="4" fontId="21674" fillId="21684" borderId="21631" xfId="0" applyNumberFormat="1" applyFont="1" applyFill="1" applyBorder="1"/>
    <xf numFmtId="165" fontId="21675" fillId="21685" borderId="21632" xfId="0" applyNumberFormat="1" applyFont="1" applyFill="1" applyBorder="1"/>
    <xf numFmtId="165" fontId="21676" fillId="21686" borderId="21633" xfId="0" applyNumberFormat="1" applyFont="1" applyFill="1" applyBorder="1"/>
    <xf numFmtId="0" fontId="21677" fillId="21687" borderId="21634" xfId="0" applyFont="1" applyFill="1" applyBorder="1"/>
    <xf numFmtId="0" fontId="21678" fillId="21688" borderId="21635" xfId="0" applyFont="1" applyFill="1" applyBorder="1"/>
    <xf numFmtId="0" fontId="21679" fillId="21689" borderId="21636" xfId="0" applyFont="1" applyFill="1" applyBorder="1"/>
    <xf numFmtId="0" fontId="21680" fillId="21690" borderId="21637" xfId="0" applyFont="1" applyFill="1" applyBorder="1"/>
    <xf numFmtId="14" fontId="21681" fillId="21691" borderId="21638" xfId="0" applyNumberFormat="1" applyFont="1" applyFill="1" applyBorder="1"/>
    <xf numFmtId="0" fontId="21682" fillId="21692" borderId="21639" xfId="0" applyFont="1" applyFill="1" applyBorder="1"/>
    <xf numFmtId="0" fontId="21683" fillId="21693" borderId="21640" xfId="0" applyFont="1" applyFill="1" applyBorder="1"/>
    <xf numFmtId="0" fontId="21684" fillId="21694" borderId="21641" xfId="0" applyFont="1" applyFill="1" applyBorder="1"/>
    <xf numFmtId="4" fontId="21685" fillId="21695" borderId="21642" xfId="0" applyNumberFormat="1" applyFont="1" applyFill="1" applyBorder="1"/>
    <xf numFmtId="165" fontId="21686" fillId="21696" borderId="21643" xfId="0" applyNumberFormat="1" applyFont="1" applyFill="1" applyBorder="1"/>
    <xf numFmtId="165" fontId="21687" fillId="21697" borderId="21644" xfId="0" applyNumberFormat="1" applyFont="1" applyFill="1" applyBorder="1"/>
    <xf numFmtId="0" fontId="21688" fillId="21698" borderId="21645" xfId="0" applyFont="1" applyFill="1" applyBorder="1"/>
    <xf numFmtId="0" fontId="21689" fillId="21699" borderId="21646" xfId="0" applyFont="1" applyFill="1" applyBorder="1"/>
    <xf numFmtId="0" fontId="21690" fillId="21700" borderId="21647" xfId="0" applyFont="1" applyFill="1" applyBorder="1"/>
    <xf numFmtId="0" fontId="21691" fillId="21701" borderId="21648" xfId="0" applyFont="1" applyFill="1" applyBorder="1"/>
    <xf numFmtId="14" fontId="21692" fillId="21702" borderId="21649" xfId="0" applyNumberFormat="1" applyFont="1" applyFill="1" applyBorder="1"/>
    <xf numFmtId="0" fontId="21693" fillId="21703" borderId="21650" xfId="0" applyFont="1" applyFill="1" applyBorder="1"/>
    <xf numFmtId="0" fontId="21694" fillId="21704" borderId="21651" xfId="0" applyFont="1" applyFill="1" applyBorder="1"/>
    <xf numFmtId="0" fontId="21695" fillId="21705" borderId="21652" xfId="0" applyFont="1" applyFill="1" applyBorder="1"/>
    <xf numFmtId="4" fontId="21696" fillId="21706" borderId="21653" xfId="0" applyNumberFormat="1" applyFont="1" applyFill="1" applyBorder="1"/>
    <xf numFmtId="165" fontId="21697" fillId="21707" borderId="21654" xfId="0" applyNumberFormat="1" applyFont="1" applyFill="1" applyBorder="1"/>
    <xf numFmtId="165" fontId="21698" fillId="21708" borderId="21655" xfId="0" applyNumberFormat="1" applyFont="1" applyFill="1" applyBorder="1"/>
    <xf numFmtId="0" fontId="21699" fillId="21709" borderId="21656" xfId="0" applyFont="1" applyFill="1" applyBorder="1"/>
    <xf numFmtId="0" fontId="21700" fillId="21710" borderId="21657" xfId="0" applyFont="1" applyFill="1" applyBorder="1"/>
    <xf numFmtId="0" fontId="21701" fillId="21711" borderId="21658" xfId="0" applyFont="1" applyFill="1" applyBorder="1"/>
    <xf numFmtId="0" fontId="21702" fillId="21712" borderId="21659" xfId="0" applyFont="1" applyFill="1" applyBorder="1"/>
    <xf numFmtId="14" fontId="21703" fillId="21713" borderId="21660" xfId="0" applyNumberFormat="1" applyFont="1" applyFill="1" applyBorder="1"/>
    <xf numFmtId="0" fontId="21704" fillId="21714" borderId="21661" xfId="0" applyFont="1" applyFill="1" applyBorder="1"/>
    <xf numFmtId="0" fontId="21705" fillId="21715" borderId="21662" xfId="0" applyFont="1" applyFill="1" applyBorder="1"/>
    <xf numFmtId="0" fontId="21706" fillId="21716" borderId="21663" xfId="0" applyFont="1" applyFill="1" applyBorder="1"/>
    <xf numFmtId="4" fontId="21707" fillId="21717" borderId="21664" xfId="0" applyNumberFormat="1" applyFont="1" applyFill="1" applyBorder="1"/>
    <xf numFmtId="165" fontId="21708" fillId="21718" borderId="21665" xfId="0" applyNumberFormat="1" applyFont="1" applyFill="1" applyBorder="1"/>
    <xf numFmtId="165" fontId="21709" fillId="21719" borderId="21666" xfId="0" applyNumberFormat="1" applyFont="1" applyFill="1" applyBorder="1"/>
    <xf numFmtId="0" fontId="21710" fillId="21720" borderId="21667" xfId="0" applyFont="1" applyFill="1" applyBorder="1"/>
    <xf numFmtId="0" fontId="21711" fillId="21721" borderId="21668" xfId="0" applyFont="1" applyFill="1" applyBorder="1"/>
    <xf numFmtId="0" fontId="21712" fillId="21722" borderId="21669" xfId="0" applyFont="1" applyFill="1" applyBorder="1"/>
    <xf numFmtId="0" fontId="21713" fillId="21723" borderId="21670" xfId="0" applyFont="1" applyFill="1" applyBorder="1"/>
    <xf numFmtId="14" fontId="21714" fillId="21724" borderId="21671" xfId="0" applyNumberFormat="1" applyFont="1" applyFill="1" applyBorder="1"/>
    <xf numFmtId="0" fontId="21715" fillId="21725" borderId="21672" xfId="0" applyFont="1" applyFill="1" applyBorder="1"/>
    <xf numFmtId="0" fontId="21716" fillId="21726" borderId="21673" xfId="0" applyFont="1" applyFill="1" applyBorder="1"/>
    <xf numFmtId="0" fontId="21717" fillId="21727" borderId="21674" xfId="0" applyFont="1" applyFill="1" applyBorder="1"/>
    <xf numFmtId="4" fontId="21718" fillId="21728" borderId="21675" xfId="0" applyNumberFormat="1" applyFont="1" applyFill="1" applyBorder="1"/>
    <xf numFmtId="165" fontId="21719" fillId="21729" borderId="21676" xfId="0" applyNumberFormat="1" applyFont="1" applyFill="1" applyBorder="1"/>
    <xf numFmtId="165" fontId="21720" fillId="21730" borderId="21677" xfId="0" applyNumberFormat="1" applyFont="1" applyFill="1" applyBorder="1"/>
    <xf numFmtId="0" fontId="21721" fillId="21731" borderId="21678" xfId="0" applyFont="1" applyFill="1" applyBorder="1"/>
    <xf numFmtId="0" fontId="21722" fillId="21732" borderId="21679" xfId="0" applyFont="1" applyFill="1" applyBorder="1"/>
    <xf numFmtId="0" fontId="21723" fillId="21733" borderId="21680" xfId="0" applyFont="1" applyFill="1" applyBorder="1"/>
    <xf numFmtId="0" fontId="21724" fillId="21734" borderId="21681" xfId="0" applyFont="1" applyFill="1" applyBorder="1"/>
    <xf numFmtId="14" fontId="21725" fillId="21735" borderId="21682" xfId="0" applyNumberFormat="1" applyFont="1" applyFill="1" applyBorder="1"/>
    <xf numFmtId="0" fontId="21726" fillId="21736" borderId="21683" xfId="0" applyFont="1" applyFill="1" applyBorder="1"/>
    <xf numFmtId="0" fontId="21727" fillId="21737" borderId="21684" xfId="0" applyFont="1" applyFill="1" applyBorder="1"/>
    <xf numFmtId="0" fontId="21728" fillId="21738" borderId="21685" xfId="0" applyFont="1" applyFill="1" applyBorder="1"/>
    <xf numFmtId="4" fontId="21729" fillId="21739" borderId="21686" xfId="0" applyNumberFormat="1" applyFont="1" applyFill="1" applyBorder="1"/>
    <xf numFmtId="165" fontId="21730" fillId="21740" borderId="21687" xfId="0" applyNumberFormat="1" applyFont="1" applyFill="1" applyBorder="1"/>
    <xf numFmtId="165" fontId="21731" fillId="21741" borderId="21688" xfId="0" applyNumberFormat="1" applyFont="1" applyFill="1" applyBorder="1"/>
    <xf numFmtId="0" fontId="21732" fillId="21742" borderId="21689" xfId="0" applyFont="1" applyFill="1" applyBorder="1"/>
    <xf numFmtId="0" fontId="21733" fillId="21743" borderId="21690" xfId="0" applyFont="1" applyFill="1" applyBorder="1"/>
    <xf numFmtId="0" fontId="21734" fillId="21744" borderId="21691" xfId="0" applyFont="1" applyFill="1" applyBorder="1"/>
    <xf numFmtId="0" fontId="21735" fillId="21745" borderId="21692" xfId="0" applyFont="1" applyFill="1" applyBorder="1"/>
    <xf numFmtId="14" fontId="21736" fillId="21746" borderId="21693" xfId="0" applyNumberFormat="1" applyFont="1" applyFill="1" applyBorder="1"/>
    <xf numFmtId="0" fontId="21737" fillId="21747" borderId="21694" xfId="0" applyFont="1" applyFill="1" applyBorder="1"/>
    <xf numFmtId="0" fontId="21738" fillId="21748" borderId="21695" xfId="0" applyFont="1" applyFill="1" applyBorder="1"/>
    <xf numFmtId="0" fontId="21739" fillId="21749" borderId="21696" xfId="0" applyFont="1" applyFill="1" applyBorder="1"/>
    <xf numFmtId="4" fontId="21740" fillId="21750" borderId="21697" xfId="0" applyNumberFormat="1" applyFont="1" applyFill="1" applyBorder="1"/>
    <xf numFmtId="165" fontId="21741" fillId="21751" borderId="21698" xfId="0" applyNumberFormat="1" applyFont="1" applyFill="1" applyBorder="1"/>
    <xf numFmtId="165" fontId="21742" fillId="21752" borderId="21699" xfId="0" applyNumberFormat="1" applyFont="1" applyFill="1" applyBorder="1"/>
    <xf numFmtId="0" fontId="21743" fillId="21753" borderId="21700" xfId="0" applyFont="1" applyFill="1" applyBorder="1"/>
    <xf numFmtId="0" fontId="21744" fillId="21754" borderId="21701" xfId="0" applyFont="1" applyFill="1" applyBorder="1"/>
    <xf numFmtId="0" fontId="21745" fillId="21755" borderId="21702" xfId="0" applyFont="1" applyFill="1" applyBorder="1"/>
    <xf numFmtId="0" fontId="21746" fillId="21756" borderId="21703" xfId="0" applyFont="1" applyFill="1" applyBorder="1"/>
    <xf numFmtId="14" fontId="21747" fillId="21757" borderId="21704" xfId="0" applyNumberFormat="1" applyFont="1" applyFill="1" applyBorder="1"/>
    <xf numFmtId="0" fontId="21748" fillId="21758" borderId="21705" xfId="0" applyFont="1" applyFill="1" applyBorder="1"/>
    <xf numFmtId="0" fontId="21749" fillId="21759" borderId="21706" xfId="0" applyFont="1" applyFill="1" applyBorder="1"/>
    <xf numFmtId="0" fontId="21750" fillId="21760" borderId="21707" xfId="0" applyFont="1" applyFill="1" applyBorder="1"/>
    <xf numFmtId="4" fontId="21751" fillId="21761" borderId="21708" xfId="0" applyNumberFormat="1" applyFont="1" applyFill="1" applyBorder="1"/>
    <xf numFmtId="165" fontId="21752" fillId="21762" borderId="21709" xfId="0" applyNumberFormat="1" applyFont="1" applyFill="1" applyBorder="1"/>
    <xf numFmtId="165" fontId="21753" fillId="21763" borderId="21710" xfId="0" applyNumberFormat="1" applyFont="1" applyFill="1" applyBorder="1"/>
    <xf numFmtId="0" fontId="21754" fillId="21764" borderId="21711" xfId="0" applyFont="1" applyFill="1" applyBorder="1"/>
    <xf numFmtId="0" fontId="21755" fillId="21765" borderId="21712" xfId="0" applyFont="1" applyFill="1" applyBorder="1"/>
    <xf numFmtId="0" fontId="21756" fillId="21766" borderId="21713" xfId="0" applyFont="1" applyFill="1" applyBorder="1"/>
    <xf numFmtId="0" fontId="21757" fillId="21767" borderId="21714" xfId="0" applyFont="1" applyFill="1" applyBorder="1"/>
    <xf numFmtId="14" fontId="21758" fillId="21768" borderId="21715" xfId="0" applyNumberFormat="1" applyFont="1" applyFill="1" applyBorder="1"/>
    <xf numFmtId="0" fontId="21759" fillId="21769" borderId="21716" xfId="0" applyFont="1" applyFill="1" applyBorder="1"/>
    <xf numFmtId="0" fontId="21760" fillId="21770" borderId="21717" xfId="0" applyFont="1" applyFill="1" applyBorder="1"/>
    <xf numFmtId="0" fontId="21761" fillId="21771" borderId="21718" xfId="0" applyFont="1" applyFill="1" applyBorder="1"/>
    <xf numFmtId="4" fontId="21762" fillId="21772" borderId="21719" xfId="0" applyNumberFormat="1" applyFont="1" applyFill="1" applyBorder="1"/>
    <xf numFmtId="165" fontId="21763" fillId="21773" borderId="21720" xfId="0" applyNumberFormat="1" applyFont="1" applyFill="1" applyBorder="1"/>
    <xf numFmtId="165" fontId="21764" fillId="21774" borderId="21721" xfId="0" applyNumberFormat="1" applyFont="1" applyFill="1" applyBorder="1"/>
    <xf numFmtId="0" fontId="21765" fillId="21775" borderId="21722" xfId="0" applyFont="1" applyFill="1" applyBorder="1"/>
    <xf numFmtId="0" fontId="21766" fillId="21776" borderId="21723" xfId="0" applyFont="1" applyFill="1" applyBorder="1"/>
    <xf numFmtId="0" fontId="21767" fillId="21777" borderId="21724" xfId="0" applyFont="1" applyFill="1" applyBorder="1"/>
    <xf numFmtId="0" fontId="21768" fillId="21778" borderId="21725" xfId="0" applyFont="1" applyFill="1" applyBorder="1"/>
    <xf numFmtId="14" fontId="21769" fillId="21779" borderId="21726" xfId="0" applyNumberFormat="1" applyFont="1" applyFill="1" applyBorder="1"/>
    <xf numFmtId="0" fontId="21770" fillId="21780" borderId="21727" xfId="0" applyFont="1" applyFill="1" applyBorder="1"/>
    <xf numFmtId="0" fontId="21771" fillId="21781" borderId="21728" xfId="0" applyFont="1" applyFill="1" applyBorder="1"/>
    <xf numFmtId="0" fontId="21772" fillId="21782" borderId="21729" xfId="0" applyFont="1" applyFill="1" applyBorder="1"/>
    <xf numFmtId="4" fontId="21773" fillId="21783" borderId="21730" xfId="0" applyNumberFormat="1" applyFont="1" applyFill="1" applyBorder="1"/>
    <xf numFmtId="165" fontId="21774" fillId="21784" borderId="21731" xfId="0" applyNumberFormat="1" applyFont="1" applyFill="1" applyBorder="1"/>
    <xf numFmtId="165" fontId="21775" fillId="21785" borderId="21732" xfId="0" applyNumberFormat="1" applyFont="1" applyFill="1" applyBorder="1"/>
    <xf numFmtId="0" fontId="21776" fillId="21786" borderId="21733" xfId="0" applyFont="1" applyFill="1" applyBorder="1"/>
    <xf numFmtId="0" fontId="21777" fillId="21787" borderId="21734" xfId="0" applyFont="1" applyFill="1" applyBorder="1"/>
    <xf numFmtId="0" fontId="21778" fillId="21788" borderId="21735" xfId="0" applyFont="1" applyFill="1" applyBorder="1"/>
    <xf numFmtId="0" fontId="21779" fillId="21789" borderId="21736" xfId="0" applyFont="1" applyFill="1" applyBorder="1"/>
    <xf numFmtId="14" fontId="21780" fillId="21790" borderId="21737" xfId="0" applyNumberFormat="1" applyFont="1" applyFill="1" applyBorder="1"/>
    <xf numFmtId="0" fontId="21781" fillId="21791" borderId="21738" xfId="0" applyFont="1" applyFill="1" applyBorder="1"/>
    <xf numFmtId="0" fontId="21782" fillId="21792" borderId="21739" xfId="0" applyFont="1" applyFill="1" applyBorder="1"/>
    <xf numFmtId="0" fontId="21783" fillId="21793" borderId="21740" xfId="0" applyFont="1" applyFill="1" applyBorder="1"/>
    <xf numFmtId="4" fontId="21784" fillId="21794" borderId="21741" xfId="0" applyNumberFormat="1" applyFont="1" applyFill="1" applyBorder="1"/>
    <xf numFmtId="165" fontId="21785" fillId="21795" borderId="21742" xfId="0" applyNumberFormat="1" applyFont="1" applyFill="1" applyBorder="1"/>
    <xf numFmtId="165" fontId="21786" fillId="21796" borderId="21743" xfId="0" applyNumberFormat="1" applyFont="1" applyFill="1" applyBorder="1"/>
    <xf numFmtId="0" fontId="21787" fillId="21797" borderId="21744" xfId="0" applyFont="1" applyFill="1" applyBorder="1"/>
    <xf numFmtId="0" fontId="21788" fillId="21798" borderId="21745" xfId="0" applyFont="1" applyFill="1" applyBorder="1"/>
    <xf numFmtId="0" fontId="21789" fillId="21799" borderId="21746" xfId="0" applyFont="1" applyFill="1" applyBorder="1"/>
    <xf numFmtId="0" fontId="21790" fillId="21800" borderId="21747" xfId="0" applyFont="1" applyFill="1" applyBorder="1"/>
    <xf numFmtId="14" fontId="21791" fillId="21801" borderId="21748" xfId="0" applyNumberFormat="1" applyFont="1" applyFill="1" applyBorder="1"/>
    <xf numFmtId="0" fontId="21792" fillId="21802" borderId="21749" xfId="0" applyFont="1" applyFill="1" applyBorder="1"/>
    <xf numFmtId="0" fontId="21793" fillId="21803" borderId="21750" xfId="0" applyFont="1" applyFill="1" applyBorder="1"/>
    <xf numFmtId="0" fontId="21794" fillId="21804" borderId="21751" xfId="0" applyFont="1" applyFill="1" applyBorder="1"/>
    <xf numFmtId="4" fontId="21795" fillId="21805" borderId="21752" xfId="0" applyNumberFormat="1" applyFont="1" applyFill="1" applyBorder="1"/>
    <xf numFmtId="165" fontId="21796" fillId="21806" borderId="21753" xfId="0" applyNumberFormat="1" applyFont="1" applyFill="1" applyBorder="1"/>
    <xf numFmtId="165" fontId="21797" fillId="21807" borderId="21754" xfId="0" applyNumberFormat="1" applyFont="1" applyFill="1" applyBorder="1"/>
    <xf numFmtId="0" fontId="21798" fillId="21808" borderId="21755" xfId="0" applyFont="1" applyFill="1" applyBorder="1"/>
    <xf numFmtId="0" fontId="21799" fillId="21809" borderId="21756" xfId="0" applyFont="1" applyFill="1" applyBorder="1"/>
    <xf numFmtId="0" fontId="21800" fillId="21810" borderId="21757" xfId="0" applyFont="1" applyFill="1" applyBorder="1"/>
    <xf numFmtId="0" fontId="21801" fillId="21811" borderId="21758" xfId="0" applyFont="1" applyFill="1" applyBorder="1"/>
    <xf numFmtId="14" fontId="21802" fillId="21812" borderId="21759" xfId="0" applyNumberFormat="1" applyFont="1" applyFill="1" applyBorder="1"/>
    <xf numFmtId="0" fontId="21803" fillId="21813" borderId="21760" xfId="0" applyFont="1" applyFill="1" applyBorder="1"/>
    <xf numFmtId="0" fontId="21804" fillId="21814" borderId="21761" xfId="0" applyFont="1" applyFill="1" applyBorder="1"/>
    <xf numFmtId="0" fontId="21805" fillId="21815" borderId="21762" xfId="0" applyFont="1" applyFill="1" applyBorder="1"/>
    <xf numFmtId="4" fontId="21806" fillId="21816" borderId="21763" xfId="0" applyNumberFormat="1" applyFont="1" applyFill="1" applyBorder="1"/>
    <xf numFmtId="165" fontId="21807" fillId="21817" borderId="21764" xfId="0" applyNumberFormat="1" applyFont="1" applyFill="1" applyBorder="1"/>
    <xf numFmtId="165" fontId="21808" fillId="21818" borderId="21765" xfId="0" applyNumberFormat="1" applyFont="1" applyFill="1" applyBorder="1"/>
    <xf numFmtId="0" fontId="21809" fillId="21819" borderId="21766" xfId="0" applyFont="1" applyFill="1" applyBorder="1"/>
    <xf numFmtId="0" fontId="21810" fillId="21820" borderId="21767" xfId="0" applyFont="1" applyFill="1" applyBorder="1"/>
    <xf numFmtId="0" fontId="21811" fillId="21821" borderId="21768" xfId="0" applyFont="1" applyFill="1" applyBorder="1"/>
    <xf numFmtId="0" fontId="21812" fillId="21822" borderId="21769" xfId="0" applyFont="1" applyFill="1" applyBorder="1"/>
    <xf numFmtId="14" fontId="21813" fillId="21823" borderId="21770" xfId="0" applyNumberFormat="1" applyFont="1" applyFill="1" applyBorder="1"/>
    <xf numFmtId="0" fontId="21814" fillId="21824" borderId="21771" xfId="0" applyFont="1" applyFill="1" applyBorder="1"/>
    <xf numFmtId="0" fontId="21815" fillId="21825" borderId="21772" xfId="0" applyFont="1" applyFill="1" applyBorder="1"/>
    <xf numFmtId="0" fontId="21816" fillId="21826" borderId="21773" xfId="0" applyFont="1" applyFill="1" applyBorder="1"/>
    <xf numFmtId="4" fontId="21817" fillId="21827" borderId="21774" xfId="0" applyNumberFormat="1" applyFont="1" applyFill="1" applyBorder="1"/>
    <xf numFmtId="165" fontId="21818" fillId="21828" borderId="21775" xfId="0" applyNumberFormat="1" applyFont="1" applyFill="1" applyBorder="1"/>
    <xf numFmtId="165" fontId="21819" fillId="21829" borderId="21776" xfId="0" applyNumberFormat="1" applyFont="1" applyFill="1" applyBorder="1"/>
    <xf numFmtId="0" fontId="21820" fillId="21830" borderId="21777" xfId="0" applyFont="1" applyFill="1" applyBorder="1"/>
    <xf numFmtId="0" fontId="21821" fillId="21831" borderId="21778" xfId="0" applyFont="1" applyFill="1" applyBorder="1"/>
    <xf numFmtId="0" fontId="21822" fillId="21832" borderId="21779" xfId="0" applyFont="1" applyFill="1" applyBorder="1"/>
    <xf numFmtId="0" fontId="21823" fillId="21833" borderId="21780" xfId="0" applyFont="1" applyFill="1" applyBorder="1"/>
    <xf numFmtId="14" fontId="21824" fillId="21834" borderId="21781" xfId="0" applyNumberFormat="1" applyFont="1" applyFill="1" applyBorder="1"/>
    <xf numFmtId="0" fontId="21825" fillId="21835" borderId="21782" xfId="0" applyFont="1" applyFill="1" applyBorder="1"/>
    <xf numFmtId="0" fontId="21826" fillId="21836" borderId="21783" xfId="0" applyFont="1" applyFill="1" applyBorder="1"/>
    <xf numFmtId="0" fontId="21827" fillId="21837" borderId="21784" xfId="0" applyFont="1" applyFill="1" applyBorder="1"/>
    <xf numFmtId="4" fontId="21828" fillId="21838" borderId="21785" xfId="0" applyNumberFormat="1" applyFont="1" applyFill="1" applyBorder="1"/>
    <xf numFmtId="165" fontId="21829" fillId="21839" borderId="21786" xfId="0" applyNumberFormat="1" applyFont="1" applyFill="1" applyBorder="1"/>
    <xf numFmtId="165" fontId="21830" fillId="21840" borderId="21787" xfId="0" applyNumberFormat="1" applyFont="1" applyFill="1" applyBorder="1"/>
    <xf numFmtId="0" fontId="21831" fillId="21841" borderId="21788" xfId="0" applyFont="1" applyFill="1" applyBorder="1"/>
    <xf numFmtId="0" fontId="21832" fillId="21842" borderId="21789" xfId="0" applyFont="1" applyFill="1" applyBorder="1"/>
    <xf numFmtId="0" fontId="21833" fillId="21843" borderId="21790" xfId="0" applyFont="1" applyFill="1" applyBorder="1"/>
    <xf numFmtId="0" fontId="21834" fillId="21844" borderId="21791" xfId="0" applyFont="1" applyFill="1" applyBorder="1"/>
    <xf numFmtId="14" fontId="21835" fillId="21845" borderId="21792" xfId="0" applyNumberFormat="1" applyFont="1" applyFill="1" applyBorder="1"/>
    <xf numFmtId="0" fontId="21836" fillId="21846" borderId="21793" xfId="0" applyFont="1" applyFill="1" applyBorder="1"/>
    <xf numFmtId="0" fontId="21837" fillId="21847" borderId="21794" xfId="0" applyFont="1" applyFill="1" applyBorder="1"/>
    <xf numFmtId="0" fontId="21838" fillId="21848" borderId="21795" xfId="0" applyFont="1" applyFill="1" applyBorder="1"/>
    <xf numFmtId="4" fontId="21839" fillId="21849" borderId="21796" xfId="0" applyNumberFormat="1" applyFont="1" applyFill="1" applyBorder="1"/>
    <xf numFmtId="165" fontId="21840" fillId="21850" borderId="21797" xfId="0" applyNumberFormat="1" applyFont="1" applyFill="1" applyBorder="1"/>
    <xf numFmtId="165" fontId="21841" fillId="21851" borderId="21798" xfId="0" applyNumberFormat="1" applyFont="1" applyFill="1" applyBorder="1"/>
    <xf numFmtId="0" fontId="21842" fillId="21852" borderId="21799" xfId="0" applyFont="1" applyFill="1" applyBorder="1"/>
    <xf numFmtId="0" fontId="21843" fillId="21853" borderId="21800" xfId="0" applyFont="1" applyFill="1" applyBorder="1"/>
    <xf numFmtId="0" fontId="21844" fillId="21854" borderId="21801" xfId="0" applyFont="1" applyFill="1" applyBorder="1"/>
    <xf numFmtId="0" fontId="21845" fillId="21855" borderId="21802" xfId="0" applyFont="1" applyFill="1" applyBorder="1"/>
    <xf numFmtId="14" fontId="21846" fillId="21856" borderId="21803" xfId="0" applyNumberFormat="1" applyFont="1" applyFill="1" applyBorder="1"/>
    <xf numFmtId="0" fontId="21847" fillId="21857" borderId="21804" xfId="0" applyFont="1" applyFill="1" applyBorder="1"/>
    <xf numFmtId="0" fontId="21848" fillId="21858" borderId="21805" xfId="0" applyFont="1" applyFill="1" applyBorder="1"/>
    <xf numFmtId="0" fontId="21849" fillId="21859" borderId="21806" xfId="0" applyFont="1" applyFill="1" applyBorder="1"/>
    <xf numFmtId="4" fontId="21850" fillId="21860" borderId="21807" xfId="0" applyNumberFormat="1" applyFont="1" applyFill="1" applyBorder="1"/>
    <xf numFmtId="165" fontId="21851" fillId="21861" borderId="21808" xfId="0" applyNumberFormat="1" applyFont="1" applyFill="1" applyBorder="1"/>
    <xf numFmtId="165" fontId="21852" fillId="21862" borderId="21809" xfId="0" applyNumberFormat="1" applyFont="1" applyFill="1" applyBorder="1"/>
    <xf numFmtId="0" fontId="21853" fillId="21863" borderId="21810" xfId="0" applyFont="1" applyFill="1" applyBorder="1"/>
    <xf numFmtId="0" fontId="21854" fillId="21864" borderId="21811" xfId="0" applyFont="1" applyFill="1" applyBorder="1"/>
    <xf numFmtId="0" fontId="21855" fillId="21865" borderId="21812" xfId="0" applyFont="1" applyFill="1" applyBorder="1"/>
    <xf numFmtId="0" fontId="21856" fillId="21866" borderId="21813" xfId="0" applyFont="1" applyFill="1" applyBorder="1"/>
    <xf numFmtId="14" fontId="21857" fillId="21867" borderId="21814" xfId="0" applyNumberFormat="1" applyFont="1" applyFill="1" applyBorder="1"/>
    <xf numFmtId="0" fontId="21858" fillId="21868" borderId="21815" xfId="0" applyFont="1" applyFill="1" applyBorder="1"/>
    <xf numFmtId="0" fontId="21859" fillId="21869" borderId="21816" xfId="0" applyFont="1" applyFill="1" applyBorder="1"/>
    <xf numFmtId="0" fontId="21860" fillId="21870" borderId="21817" xfId="0" applyFont="1" applyFill="1" applyBorder="1"/>
    <xf numFmtId="4" fontId="21861" fillId="21871" borderId="21818" xfId="0" applyNumberFormat="1" applyFont="1" applyFill="1" applyBorder="1"/>
    <xf numFmtId="165" fontId="21862" fillId="21872" borderId="21819" xfId="0" applyNumberFormat="1" applyFont="1" applyFill="1" applyBorder="1"/>
    <xf numFmtId="165" fontId="21863" fillId="21873" borderId="21820" xfId="0" applyNumberFormat="1" applyFont="1" applyFill="1" applyBorder="1"/>
    <xf numFmtId="0" fontId="21864" fillId="21874" borderId="21821" xfId="0" applyFont="1" applyFill="1" applyBorder="1"/>
    <xf numFmtId="0" fontId="21865" fillId="21875" borderId="21822" xfId="0" applyFont="1" applyFill="1" applyBorder="1"/>
    <xf numFmtId="0" fontId="21866" fillId="21876" borderId="21823" xfId="0" applyFont="1" applyFill="1" applyBorder="1"/>
    <xf numFmtId="0" fontId="21867" fillId="21877" borderId="21824" xfId="0" applyFont="1" applyFill="1" applyBorder="1"/>
    <xf numFmtId="14" fontId="21868" fillId="21878" borderId="21825" xfId="0" applyNumberFormat="1" applyFont="1" applyFill="1" applyBorder="1"/>
    <xf numFmtId="0" fontId="21869" fillId="21879" borderId="21826" xfId="0" applyFont="1" applyFill="1" applyBorder="1"/>
    <xf numFmtId="0" fontId="21870" fillId="21880" borderId="21827" xfId="0" applyFont="1" applyFill="1" applyBorder="1"/>
    <xf numFmtId="0" fontId="21871" fillId="21881" borderId="21828" xfId="0" applyFont="1" applyFill="1" applyBorder="1"/>
    <xf numFmtId="4" fontId="21872" fillId="21882" borderId="21829" xfId="0" applyNumberFormat="1" applyFont="1" applyFill="1" applyBorder="1"/>
    <xf numFmtId="165" fontId="21873" fillId="21883" borderId="21830" xfId="0" applyNumberFormat="1" applyFont="1" applyFill="1" applyBorder="1"/>
    <xf numFmtId="165" fontId="21874" fillId="21884" borderId="21831" xfId="0" applyNumberFormat="1" applyFont="1" applyFill="1" applyBorder="1"/>
    <xf numFmtId="0" fontId="21875" fillId="21885" borderId="21832" xfId="0" applyFont="1" applyFill="1" applyBorder="1"/>
    <xf numFmtId="0" fontId="21876" fillId="21886" borderId="21833" xfId="0" applyFont="1" applyFill="1" applyBorder="1"/>
    <xf numFmtId="0" fontId="21877" fillId="21887" borderId="21834" xfId="0" applyFont="1" applyFill="1" applyBorder="1"/>
    <xf numFmtId="0" fontId="21878" fillId="21888" borderId="21835" xfId="0" applyFont="1" applyFill="1" applyBorder="1"/>
    <xf numFmtId="14" fontId="21879" fillId="21889" borderId="21836" xfId="0" applyNumberFormat="1" applyFont="1" applyFill="1" applyBorder="1"/>
    <xf numFmtId="0" fontId="21880" fillId="21890" borderId="21837" xfId="0" applyFont="1" applyFill="1" applyBorder="1"/>
    <xf numFmtId="0" fontId="21881" fillId="21891" borderId="21838" xfId="0" applyFont="1" applyFill="1" applyBorder="1"/>
    <xf numFmtId="0" fontId="21882" fillId="21892" borderId="21839" xfId="0" applyFont="1" applyFill="1" applyBorder="1"/>
    <xf numFmtId="4" fontId="21883" fillId="21893" borderId="21840" xfId="0" applyNumberFormat="1" applyFont="1" applyFill="1" applyBorder="1"/>
    <xf numFmtId="165" fontId="21884" fillId="21894" borderId="21841" xfId="0" applyNumberFormat="1" applyFont="1" applyFill="1" applyBorder="1"/>
    <xf numFmtId="165" fontId="21885" fillId="21895" borderId="21842" xfId="0" applyNumberFormat="1" applyFont="1" applyFill="1" applyBorder="1"/>
    <xf numFmtId="0" fontId="21886" fillId="21896" borderId="21843" xfId="0" applyFont="1" applyFill="1" applyBorder="1"/>
    <xf numFmtId="0" fontId="21887" fillId="21897" borderId="21844" xfId="0" applyFont="1" applyFill="1" applyBorder="1"/>
    <xf numFmtId="0" fontId="21888" fillId="21898" borderId="21845" xfId="0" applyFont="1" applyFill="1" applyBorder="1"/>
    <xf numFmtId="0" fontId="21889" fillId="21899" borderId="21846" xfId="0" applyFont="1" applyFill="1" applyBorder="1"/>
    <xf numFmtId="14" fontId="21890" fillId="21900" borderId="21847" xfId="0" applyNumberFormat="1" applyFont="1" applyFill="1" applyBorder="1"/>
    <xf numFmtId="0" fontId="21891" fillId="21901" borderId="21848" xfId="0" applyFont="1" applyFill="1" applyBorder="1"/>
    <xf numFmtId="0" fontId="21892" fillId="21902" borderId="21849" xfId="0" applyFont="1" applyFill="1" applyBorder="1"/>
    <xf numFmtId="0" fontId="21893" fillId="21903" borderId="21850" xfId="0" applyFont="1" applyFill="1" applyBorder="1"/>
    <xf numFmtId="4" fontId="21894" fillId="21904" borderId="21851" xfId="0" applyNumberFormat="1" applyFont="1" applyFill="1" applyBorder="1"/>
    <xf numFmtId="165" fontId="21895" fillId="21905" borderId="21852" xfId="0" applyNumberFormat="1" applyFont="1" applyFill="1" applyBorder="1"/>
    <xf numFmtId="165" fontId="21896" fillId="21906" borderId="21853" xfId="0" applyNumberFormat="1" applyFont="1" applyFill="1" applyBorder="1"/>
    <xf numFmtId="0" fontId="21897" fillId="21907" borderId="21854" xfId="0" applyFont="1" applyFill="1" applyBorder="1"/>
    <xf numFmtId="0" fontId="21898" fillId="21908" borderId="21855" xfId="0" applyFont="1" applyFill="1" applyBorder="1"/>
    <xf numFmtId="0" fontId="21899" fillId="21909" borderId="21856" xfId="0" applyFont="1" applyFill="1" applyBorder="1"/>
    <xf numFmtId="0" fontId="21900" fillId="21910" borderId="21857" xfId="0" applyFont="1" applyFill="1" applyBorder="1"/>
    <xf numFmtId="14" fontId="21901" fillId="21911" borderId="21858" xfId="0" applyNumberFormat="1" applyFont="1" applyFill="1" applyBorder="1"/>
    <xf numFmtId="0" fontId="21902" fillId="21912" borderId="21859" xfId="0" applyFont="1" applyFill="1" applyBorder="1"/>
    <xf numFmtId="0" fontId="21903" fillId="21913" borderId="21860" xfId="0" applyFont="1" applyFill="1" applyBorder="1"/>
    <xf numFmtId="0" fontId="21904" fillId="21914" borderId="21861" xfId="0" applyFont="1" applyFill="1" applyBorder="1"/>
    <xf numFmtId="4" fontId="21905" fillId="21915" borderId="21862" xfId="0" applyNumberFormat="1" applyFont="1" applyFill="1" applyBorder="1"/>
    <xf numFmtId="165" fontId="21906" fillId="21916" borderId="21863" xfId="0" applyNumberFormat="1" applyFont="1" applyFill="1" applyBorder="1"/>
    <xf numFmtId="165" fontId="21907" fillId="21917" borderId="21864" xfId="0" applyNumberFormat="1" applyFont="1" applyFill="1" applyBorder="1"/>
    <xf numFmtId="0" fontId="21908" fillId="21918" borderId="21865" xfId="0" applyFont="1" applyFill="1" applyBorder="1"/>
    <xf numFmtId="0" fontId="21909" fillId="21919" borderId="21866" xfId="0" applyFont="1" applyFill="1" applyBorder="1"/>
    <xf numFmtId="0" fontId="21910" fillId="21920" borderId="21867" xfId="0" applyFont="1" applyFill="1" applyBorder="1"/>
    <xf numFmtId="0" fontId="21911" fillId="21921" borderId="21868" xfId="0" applyFont="1" applyFill="1" applyBorder="1"/>
    <xf numFmtId="14" fontId="21912" fillId="21922" borderId="21869" xfId="0" applyNumberFormat="1" applyFont="1" applyFill="1" applyBorder="1"/>
    <xf numFmtId="0" fontId="21913" fillId="21923" borderId="21870" xfId="0" applyFont="1" applyFill="1" applyBorder="1"/>
    <xf numFmtId="0" fontId="21914" fillId="21924" borderId="21871" xfId="0" applyFont="1" applyFill="1" applyBorder="1"/>
    <xf numFmtId="0" fontId="21915" fillId="21925" borderId="21872" xfId="0" applyFont="1" applyFill="1" applyBorder="1"/>
    <xf numFmtId="4" fontId="21916" fillId="21926" borderId="21873" xfId="0" applyNumberFormat="1" applyFont="1" applyFill="1" applyBorder="1"/>
    <xf numFmtId="165" fontId="21917" fillId="21927" borderId="21874" xfId="0" applyNumberFormat="1" applyFont="1" applyFill="1" applyBorder="1"/>
    <xf numFmtId="165" fontId="21918" fillId="21928" borderId="21875" xfId="0" applyNumberFormat="1" applyFont="1" applyFill="1" applyBorder="1"/>
    <xf numFmtId="0" fontId="21919" fillId="21929" borderId="21876" xfId="0" applyFont="1" applyFill="1" applyBorder="1"/>
    <xf numFmtId="0" fontId="21920" fillId="21930" borderId="21877" xfId="0" applyFont="1" applyFill="1" applyBorder="1"/>
    <xf numFmtId="0" fontId="21921" fillId="21931" borderId="21878" xfId="0" applyFont="1" applyFill="1" applyBorder="1"/>
    <xf numFmtId="0" fontId="21922" fillId="21932" borderId="21879" xfId="0" applyFont="1" applyFill="1" applyBorder="1"/>
    <xf numFmtId="14" fontId="21923" fillId="21933" borderId="21880" xfId="0" applyNumberFormat="1" applyFont="1" applyFill="1" applyBorder="1"/>
    <xf numFmtId="0" fontId="21924" fillId="21934" borderId="21881" xfId="0" applyFont="1" applyFill="1" applyBorder="1"/>
    <xf numFmtId="0" fontId="21925" fillId="21935" borderId="21882" xfId="0" applyFont="1" applyFill="1" applyBorder="1"/>
    <xf numFmtId="0" fontId="21926" fillId="21936" borderId="21883" xfId="0" applyFont="1" applyFill="1" applyBorder="1"/>
    <xf numFmtId="4" fontId="21927" fillId="21937" borderId="21884" xfId="0" applyNumberFormat="1" applyFont="1" applyFill="1" applyBorder="1"/>
    <xf numFmtId="165" fontId="21928" fillId="21938" borderId="21885" xfId="0" applyNumberFormat="1" applyFont="1" applyFill="1" applyBorder="1"/>
    <xf numFmtId="165" fontId="21929" fillId="21939" borderId="21886" xfId="0" applyNumberFormat="1" applyFont="1" applyFill="1" applyBorder="1"/>
    <xf numFmtId="0" fontId="21930" fillId="21940" borderId="21887" xfId="0" applyFont="1" applyFill="1" applyBorder="1"/>
    <xf numFmtId="0" fontId="21931" fillId="21941" borderId="21888" xfId="0" applyFont="1" applyFill="1" applyBorder="1"/>
    <xf numFmtId="0" fontId="21932" fillId="21942" borderId="21889" xfId="0" applyFont="1" applyFill="1" applyBorder="1"/>
    <xf numFmtId="0" fontId="21933" fillId="21943" borderId="21890" xfId="0" applyFont="1" applyFill="1" applyBorder="1"/>
    <xf numFmtId="14" fontId="21934" fillId="21944" borderId="21891" xfId="0" applyNumberFormat="1" applyFont="1" applyFill="1" applyBorder="1"/>
    <xf numFmtId="0" fontId="21935" fillId="21945" borderId="21892" xfId="0" applyFont="1" applyFill="1" applyBorder="1"/>
    <xf numFmtId="0" fontId="21936" fillId="21946" borderId="21893" xfId="0" applyFont="1" applyFill="1" applyBorder="1"/>
    <xf numFmtId="0" fontId="21937" fillId="21947" borderId="21894" xfId="0" applyFont="1" applyFill="1" applyBorder="1"/>
    <xf numFmtId="4" fontId="21938" fillId="21948" borderId="21895" xfId="0" applyNumberFormat="1" applyFont="1" applyFill="1" applyBorder="1"/>
    <xf numFmtId="165" fontId="21939" fillId="21949" borderId="21896" xfId="0" applyNumberFormat="1" applyFont="1" applyFill="1" applyBorder="1"/>
    <xf numFmtId="165" fontId="21940" fillId="21950" borderId="21897" xfId="0" applyNumberFormat="1" applyFont="1" applyFill="1" applyBorder="1"/>
    <xf numFmtId="0" fontId="21941" fillId="21951" borderId="21898" xfId="0" applyFont="1" applyFill="1" applyBorder="1"/>
    <xf numFmtId="0" fontId="21942" fillId="21952" borderId="21899" xfId="0" applyFont="1" applyFill="1" applyBorder="1"/>
    <xf numFmtId="0" fontId="21943" fillId="21953" borderId="21900" xfId="0" applyFont="1" applyFill="1" applyBorder="1"/>
    <xf numFmtId="0" fontId="21944" fillId="21954" borderId="21901" xfId="0" applyFont="1" applyFill="1" applyBorder="1"/>
    <xf numFmtId="14" fontId="21945" fillId="21955" borderId="21902" xfId="0" applyNumberFormat="1" applyFont="1" applyFill="1" applyBorder="1"/>
    <xf numFmtId="0" fontId="21946" fillId="21956" borderId="21903" xfId="0" applyFont="1" applyFill="1" applyBorder="1"/>
    <xf numFmtId="0" fontId="21947" fillId="21957" borderId="21904" xfId="0" applyFont="1" applyFill="1" applyBorder="1"/>
    <xf numFmtId="0" fontId="21948" fillId="21958" borderId="21905" xfId="0" applyFont="1" applyFill="1" applyBorder="1"/>
    <xf numFmtId="4" fontId="21949" fillId="21959" borderId="21906" xfId="0" applyNumberFormat="1" applyFont="1" applyFill="1" applyBorder="1"/>
    <xf numFmtId="165" fontId="21950" fillId="21960" borderId="21907" xfId="0" applyNumberFormat="1" applyFont="1" applyFill="1" applyBorder="1"/>
    <xf numFmtId="165" fontId="21951" fillId="21961" borderId="21908" xfId="0" applyNumberFormat="1" applyFont="1" applyFill="1" applyBorder="1"/>
    <xf numFmtId="0" fontId="21952" fillId="21962" borderId="21909" xfId="0" applyFont="1" applyFill="1" applyBorder="1"/>
    <xf numFmtId="0" fontId="21953" fillId="21963" borderId="21910" xfId="0" applyFont="1" applyFill="1" applyBorder="1"/>
    <xf numFmtId="0" fontId="21954" fillId="21964" borderId="21911" xfId="0" applyFont="1" applyFill="1" applyBorder="1"/>
    <xf numFmtId="0" fontId="21955" fillId="21965" borderId="21912" xfId="0" applyFont="1" applyFill="1" applyBorder="1"/>
    <xf numFmtId="14" fontId="21956" fillId="21966" borderId="21913" xfId="0" applyNumberFormat="1" applyFont="1" applyFill="1" applyBorder="1"/>
    <xf numFmtId="0" fontId="21957" fillId="21967" borderId="21914" xfId="0" applyFont="1" applyFill="1" applyBorder="1"/>
    <xf numFmtId="0" fontId="21958" fillId="21968" borderId="21915" xfId="0" applyFont="1" applyFill="1" applyBorder="1"/>
    <xf numFmtId="0" fontId="21959" fillId="21969" borderId="21916" xfId="0" applyFont="1" applyFill="1" applyBorder="1"/>
    <xf numFmtId="4" fontId="21960" fillId="21970" borderId="21917" xfId="0" applyNumberFormat="1" applyFont="1" applyFill="1" applyBorder="1"/>
    <xf numFmtId="165" fontId="21961" fillId="21971" borderId="21918" xfId="0" applyNumberFormat="1" applyFont="1" applyFill="1" applyBorder="1"/>
    <xf numFmtId="165" fontId="21962" fillId="21972" borderId="21919" xfId="0" applyNumberFormat="1" applyFont="1" applyFill="1" applyBorder="1"/>
    <xf numFmtId="0" fontId="21963" fillId="21973" borderId="21920" xfId="0" applyFont="1" applyFill="1" applyBorder="1"/>
    <xf numFmtId="0" fontId="21964" fillId="21974" borderId="21921" xfId="0" applyFont="1" applyFill="1" applyBorder="1"/>
    <xf numFmtId="0" fontId="21965" fillId="21975" borderId="21922" xfId="0" applyFont="1" applyFill="1" applyBorder="1"/>
    <xf numFmtId="0" fontId="21966" fillId="21976" borderId="21923" xfId="0" applyFont="1" applyFill="1" applyBorder="1"/>
    <xf numFmtId="14" fontId="21967" fillId="21977" borderId="21924" xfId="0" applyNumberFormat="1" applyFont="1" applyFill="1" applyBorder="1"/>
    <xf numFmtId="0" fontId="21968" fillId="21978" borderId="21925" xfId="0" applyFont="1" applyFill="1" applyBorder="1"/>
    <xf numFmtId="0" fontId="21969" fillId="21979" borderId="21926" xfId="0" applyFont="1" applyFill="1" applyBorder="1"/>
    <xf numFmtId="0" fontId="21970" fillId="21980" borderId="21927" xfId="0" applyFont="1" applyFill="1" applyBorder="1"/>
    <xf numFmtId="4" fontId="21971" fillId="21981" borderId="21928" xfId="0" applyNumberFormat="1" applyFont="1" applyFill="1" applyBorder="1"/>
    <xf numFmtId="165" fontId="21972" fillId="21982" borderId="21929" xfId="0" applyNumberFormat="1" applyFont="1" applyFill="1" applyBorder="1"/>
    <xf numFmtId="165" fontId="21973" fillId="21983" borderId="21930" xfId="0" applyNumberFormat="1" applyFont="1" applyFill="1" applyBorder="1"/>
    <xf numFmtId="0" fontId="21974" fillId="21984" borderId="21931" xfId="0" applyFont="1" applyFill="1" applyBorder="1"/>
    <xf numFmtId="0" fontId="21975" fillId="21985" borderId="21932" xfId="0" applyFont="1" applyFill="1" applyBorder="1"/>
    <xf numFmtId="0" fontId="21976" fillId="21986" borderId="21933" xfId="0" applyFont="1" applyFill="1" applyBorder="1"/>
    <xf numFmtId="0" fontId="21977" fillId="21987" borderId="21934" xfId="0" applyFont="1" applyFill="1" applyBorder="1"/>
    <xf numFmtId="14" fontId="21978" fillId="21988" borderId="21935" xfId="0" applyNumberFormat="1" applyFont="1" applyFill="1" applyBorder="1"/>
    <xf numFmtId="0" fontId="21979" fillId="21989" borderId="21936" xfId="0" applyFont="1" applyFill="1" applyBorder="1"/>
    <xf numFmtId="0" fontId="21980" fillId="21990" borderId="21937" xfId="0" applyFont="1" applyFill="1" applyBorder="1"/>
    <xf numFmtId="0" fontId="21981" fillId="21991" borderId="21938" xfId="0" applyFont="1" applyFill="1" applyBorder="1"/>
    <xf numFmtId="4" fontId="21982" fillId="21992" borderId="21939" xfId="0" applyNumberFormat="1" applyFont="1" applyFill="1" applyBorder="1"/>
    <xf numFmtId="165" fontId="21983" fillId="21993" borderId="21940" xfId="0" applyNumberFormat="1" applyFont="1" applyFill="1" applyBorder="1"/>
    <xf numFmtId="165" fontId="21984" fillId="21994" borderId="21941" xfId="0" applyNumberFormat="1" applyFont="1" applyFill="1" applyBorder="1"/>
    <xf numFmtId="0" fontId="21985" fillId="21995" borderId="21942" xfId="0" applyFont="1" applyFill="1" applyBorder="1"/>
    <xf numFmtId="0" fontId="21986" fillId="21996" borderId="21943" xfId="0" applyFont="1" applyFill="1" applyBorder="1"/>
    <xf numFmtId="0" fontId="21987" fillId="21997" borderId="21944" xfId="0" applyFont="1" applyFill="1" applyBorder="1"/>
    <xf numFmtId="0" fontId="21988" fillId="21998" borderId="21945" xfId="0" applyFont="1" applyFill="1" applyBorder="1"/>
    <xf numFmtId="14" fontId="21989" fillId="21999" borderId="21946" xfId="0" applyNumberFormat="1" applyFont="1" applyFill="1" applyBorder="1"/>
    <xf numFmtId="0" fontId="21990" fillId="22000" borderId="21947" xfId="0" applyFont="1" applyFill="1" applyBorder="1"/>
    <xf numFmtId="0" fontId="21991" fillId="22001" borderId="21948" xfId="0" applyFont="1" applyFill="1" applyBorder="1"/>
    <xf numFmtId="0" fontId="21992" fillId="22002" borderId="21949" xfId="0" applyFont="1" applyFill="1" applyBorder="1"/>
    <xf numFmtId="4" fontId="21993" fillId="22003" borderId="21950" xfId="0" applyNumberFormat="1" applyFont="1" applyFill="1" applyBorder="1"/>
    <xf numFmtId="165" fontId="21994" fillId="22004" borderId="21951" xfId="0" applyNumberFormat="1" applyFont="1" applyFill="1" applyBorder="1"/>
    <xf numFmtId="165" fontId="21995" fillId="22005" borderId="21952" xfId="0" applyNumberFormat="1" applyFont="1" applyFill="1" applyBorder="1"/>
    <xf numFmtId="0" fontId="21996" fillId="22006" borderId="21953" xfId="0" applyFont="1" applyFill="1" applyBorder="1"/>
    <xf numFmtId="0" fontId="21997" fillId="22007" borderId="21954" xfId="0" applyFont="1" applyFill="1" applyBorder="1"/>
    <xf numFmtId="0" fontId="21998" fillId="22008" borderId="21955" xfId="0" applyFont="1" applyFill="1" applyBorder="1"/>
    <xf numFmtId="0" fontId="21999" fillId="22009" borderId="21956" xfId="0" applyFont="1" applyFill="1" applyBorder="1"/>
    <xf numFmtId="14" fontId="22000" fillId="22010" borderId="21957" xfId="0" applyNumberFormat="1" applyFont="1" applyFill="1" applyBorder="1"/>
    <xf numFmtId="0" fontId="22001" fillId="22011" borderId="21958" xfId="0" applyFont="1" applyFill="1" applyBorder="1"/>
    <xf numFmtId="0" fontId="22002" fillId="22012" borderId="21959" xfId="0" applyFont="1" applyFill="1" applyBorder="1"/>
    <xf numFmtId="0" fontId="22003" fillId="22013" borderId="21960" xfId="0" applyFont="1" applyFill="1" applyBorder="1"/>
    <xf numFmtId="4" fontId="22004" fillId="22014" borderId="21961" xfId="0" applyNumberFormat="1" applyFont="1" applyFill="1" applyBorder="1"/>
    <xf numFmtId="165" fontId="22005" fillId="22015" borderId="21962" xfId="0" applyNumberFormat="1" applyFont="1" applyFill="1" applyBorder="1"/>
    <xf numFmtId="165" fontId="22006" fillId="22016" borderId="21963" xfId="0" applyNumberFormat="1" applyFont="1" applyFill="1" applyBorder="1"/>
    <xf numFmtId="0" fontId="22007" fillId="22017" borderId="21964" xfId="0" applyFont="1" applyFill="1" applyBorder="1"/>
    <xf numFmtId="0" fontId="22008" fillId="22018" borderId="21965" xfId="0" applyFont="1" applyFill="1" applyBorder="1"/>
    <xf numFmtId="0" fontId="22009" fillId="22019" borderId="21966" xfId="0" applyFont="1" applyFill="1" applyBorder="1"/>
    <xf numFmtId="0" fontId="22010" fillId="22020" borderId="21967" xfId="0" applyFont="1" applyFill="1" applyBorder="1"/>
    <xf numFmtId="14" fontId="22011" fillId="22021" borderId="21968" xfId="0" applyNumberFormat="1" applyFont="1" applyFill="1" applyBorder="1"/>
    <xf numFmtId="0" fontId="22012" fillId="22022" borderId="21969" xfId="0" applyFont="1" applyFill="1" applyBorder="1"/>
    <xf numFmtId="0" fontId="22013" fillId="22023" borderId="21970" xfId="0" applyFont="1" applyFill="1" applyBorder="1"/>
    <xf numFmtId="0" fontId="22014" fillId="22024" borderId="21971" xfId="0" applyFont="1" applyFill="1" applyBorder="1"/>
    <xf numFmtId="4" fontId="22015" fillId="22025" borderId="21972" xfId="0" applyNumberFormat="1" applyFont="1" applyFill="1" applyBorder="1"/>
    <xf numFmtId="165" fontId="22016" fillId="22026" borderId="21973" xfId="0" applyNumberFormat="1" applyFont="1" applyFill="1" applyBorder="1"/>
    <xf numFmtId="165" fontId="22017" fillId="22027" borderId="21974" xfId="0" applyNumberFormat="1" applyFont="1" applyFill="1" applyBorder="1"/>
    <xf numFmtId="0" fontId="22018" fillId="22028" borderId="21975" xfId="0" applyFont="1" applyFill="1" applyBorder="1"/>
    <xf numFmtId="0" fontId="22019" fillId="22029" borderId="21976" xfId="0" applyFont="1" applyFill="1" applyBorder="1"/>
    <xf numFmtId="0" fontId="22020" fillId="22030" borderId="21977" xfId="0" applyFont="1" applyFill="1" applyBorder="1"/>
    <xf numFmtId="0" fontId="22021" fillId="22031" borderId="21978" xfId="0" applyFont="1" applyFill="1" applyBorder="1"/>
    <xf numFmtId="14" fontId="22022" fillId="22032" borderId="21979" xfId="0" applyNumberFormat="1" applyFont="1" applyFill="1" applyBorder="1"/>
    <xf numFmtId="0" fontId="22023" fillId="22033" borderId="21980" xfId="0" applyFont="1" applyFill="1" applyBorder="1"/>
    <xf numFmtId="0" fontId="22024" fillId="22034" borderId="21981" xfId="0" applyFont="1" applyFill="1" applyBorder="1"/>
    <xf numFmtId="0" fontId="22025" fillId="22035" borderId="21982" xfId="0" applyFont="1" applyFill="1" applyBorder="1"/>
    <xf numFmtId="4" fontId="22026" fillId="22036" borderId="21983" xfId="0" applyNumberFormat="1" applyFont="1" applyFill="1" applyBorder="1"/>
    <xf numFmtId="165" fontId="22027" fillId="22037" borderId="21984" xfId="0" applyNumberFormat="1" applyFont="1" applyFill="1" applyBorder="1"/>
    <xf numFmtId="165" fontId="22028" fillId="22038" borderId="21985" xfId="0" applyNumberFormat="1" applyFont="1" applyFill="1" applyBorder="1"/>
    <xf numFmtId="0" fontId="22029" fillId="22039" borderId="21986" xfId="0" applyFont="1" applyFill="1" applyBorder="1"/>
    <xf numFmtId="0" fontId="22030" fillId="22040" borderId="21987" xfId="0" applyFont="1" applyFill="1" applyBorder="1"/>
    <xf numFmtId="0" fontId="22031" fillId="22041" borderId="21988" xfId="0" applyFont="1" applyFill="1" applyBorder="1"/>
    <xf numFmtId="0" fontId="22032" fillId="22042" borderId="21989" xfId="0" applyFont="1" applyFill="1" applyBorder="1"/>
    <xf numFmtId="14" fontId="22033" fillId="22043" borderId="21990" xfId="0" applyNumberFormat="1" applyFont="1" applyFill="1" applyBorder="1"/>
    <xf numFmtId="0" fontId="22034" fillId="22044" borderId="21991" xfId="0" applyFont="1" applyFill="1" applyBorder="1"/>
    <xf numFmtId="0" fontId="22035" fillId="22045" borderId="21992" xfId="0" applyFont="1" applyFill="1" applyBorder="1"/>
    <xf numFmtId="0" fontId="22036" fillId="22046" borderId="21993" xfId="0" applyFont="1" applyFill="1" applyBorder="1"/>
    <xf numFmtId="4" fontId="22037" fillId="22047" borderId="21994" xfId="0" applyNumberFormat="1" applyFont="1" applyFill="1" applyBorder="1"/>
    <xf numFmtId="165" fontId="22038" fillId="22048" borderId="21995" xfId="0" applyNumberFormat="1" applyFont="1" applyFill="1" applyBorder="1"/>
    <xf numFmtId="165" fontId="22039" fillId="22049" borderId="21996" xfId="0" applyNumberFormat="1" applyFont="1" applyFill="1" applyBorder="1"/>
    <xf numFmtId="0" fontId="22040" fillId="22050" borderId="21997" xfId="0" applyFont="1" applyFill="1" applyBorder="1"/>
    <xf numFmtId="0" fontId="22041" fillId="22051" borderId="21998" xfId="0" applyFont="1" applyFill="1" applyBorder="1"/>
    <xf numFmtId="0" fontId="22042" fillId="22052" borderId="21999" xfId="0" applyFont="1" applyFill="1" applyBorder="1"/>
    <xf numFmtId="0" fontId="22043" fillId="22053" borderId="22000" xfId="0" applyFont="1" applyFill="1" applyBorder="1"/>
    <xf numFmtId="14" fontId="22044" fillId="22054" borderId="22001" xfId="0" applyNumberFormat="1" applyFont="1" applyFill="1" applyBorder="1"/>
    <xf numFmtId="0" fontId="22045" fillId="22055" borderId="22002" xfId="0" applyFont="1" applyFill="1" applyBorder="1"/>
    <xf numFmtId="0" fontId="22046" fillId="22056" borderId="22003" xfId="0" applyFont="1" applyFill="1" applyBorder="1"/>
    <xf numFmtId="0" fontId="22047" fillId="22057" borderId="22004" xfId="0" applyFont="1" applyFill="1" applyBorder="1"/>
    <xf numFmtId="4" fontId="22048" fillId="22058" borderId="22005" xfId="0" applyNumberFormat="1" applyFont="1" applyFill="1" applyBorder="1"/>
    <xf numFmtId="165" fontId="22049" fillId="22059" borderId="22006" xfId="0" applyNumberFormat="1" applyFont="1" applyFill="1" applyBorder="1"/>
    <xf numFmtId="165" fontId="22050" fillId="22060" borderId="22007" xfId="0" applyNumberFormat="1" applyFont="1" applyFill="1" applyBorder="1"/>
    <xf numFmtId="0" fontId="22051" fillId="22061" borderId="22008" xfId="0" applyFont="1" applyFill="1" applyBorder="1"/>
    <xf numFmtId="0" fontId="22052" fillId="22062" borderId="22009" xfId="0" applyFont="1" applyFill="1" applyBorder="1"/>
    <xf numFmtId="0" fontId="22053" fillId="22063" borderId="22010" xfId="0" applyFont="1" applyFill="1" applyBorder="1"/>
    <xf numFmtId="0" fontId="22054" fillId="22064" borderId="22011" xfId="0" applyFont="1" applyFill="1" applyBorder="1"/>
    <xf numFmtId="14" fontId="22055" fillId="22065" borderId="22012" xfId="0" applyNumberFormat="1" applyFont="1" applyFill="1" applyBorder="1"/>
    <xf numFmtId="0" fontId="22056" fillId="22066" borderId="22013" xfId="0" applyFont="1" applyFill="1" applyBorder="1"/>
    <xf numFmtId="0" fontId="22057" fillId="22067" borderId="22014" xfId="0" applyFont="1" applyFill="1" applyBorder="1"/>
    <xf numFmtId="0" fontId="22058" fillId="22068" borderId="22015" xfId="0" applyFont="1" applyFill="1" applyBorder="1"/>
    <xf numFmtId="4" fontId="22059" fillId="22069" borderId="22016" xfId="0" applyNumberFormat="1" applyFont="1" applyFill="1" applyBorder="1"/>
    <xf numFmtId="165" fontId="22060" fillId="22070" borderId="22017" xfId="0" applyNumberFormat="1" applyFont="1" applyFill="1" applyBorder="1"/>
    <xf numFmtId="165" fontId="22061" fillId="22071" borderId="22018" xfId="0" applyNumberFormat="1" applyFont="1" applyFill="1" applyBorder="1"/>
    <xf numFmtId="0" fontId="22062" fillId="22072" borderId="22019" xfId="0" applyFont="1" applyFill="1" applyBorder="1"/>
    <xf numFmtId="0" fontId="22063" fillId="22073" borderId="22020" xfId="0" applyFont="1" applyFill="1" applyBorder="1"/>
    <xf numFmtId="0" fontId="22064" fillId="22074" borderId="22021" xfId="0" applyFont="1" applyFill="1" applyBorder="1"/>
    <xf numFmtId="0" fontId="22065" fillId="22075" borderId="22022" xfId="0" applyFont="1" applyFill="1" applyBorder="1"/>
    <xf numFmtId="14" fontId="22066" fillId="22076" borderId="22023" xfId="0" applyNumberFormat="1" applyFont="1" applyFill="1" applyBorder="1"/>
    <xf numFmtId="0" fontId="22067" fillId="22077" borderId="22024" xfId="0" applyFont="1" applyFill="1" applyBorder="1"/>
    <xf numFmtId="0" fontId="22068" fillId="22078" borderId="22025" xfId="0" applyFont="1" applyFill="1" applyBorder="1"/>
    <xf numFmtId="0" fontId="22069" fillId="22079" borderId="22026" xfId="0" applyFont="1" applyFill="1" applyBorder="1"/>
    <xf numFmtId="4" fontId="22070" fillId="22080" borderId="22027" xfId="0" applyNumberFormat="1" applyFont="1" applyFill="1" applyBorder="1"/>
    <xf numFmtId="165" fontId="22071" fillId="22081" borderId="22028" xfId="0" applyNumberFormat="1" applyFont="1" applyFill="1" applyBorder="1"/>
    <xf numFmtId="165" fontId="22072" fillId="22082" borderId="22029" xfId="0" applyNumberFormat="1" applyFont="1" applyFill="1" applyBorder="1"/>
    <xf numFmtId="0" fontId="22073" fillId="22083" borderId="22030" xfId="0" applyFont="1" applyFill="1" applyBorder="1"/>
    <xf numFmtId="0" fontId="22074" fillId="22084" borderId="22031" xfId="0" applyFont="1" applyFill="1" applyBorder="1"/>
    <xf numFmtId="0" fontId="22075" fillId="22085" borderId="22032" xfId="0" applyFont="1" applyFill="1" applyBorder="1"/>
    <xf numFmtId="0" fontId="22076" fillId="22086" borderId="22033" xfId="0" applyFont="1" applyFill="1" applyBorder="1"/>
    <xf numFmtId="14" fontId="22077" fillId="22087" borderId="22034" xfId="0" applyNumberFormat="1" applyFont="1" applyFill="1" applyBorder="1"/>
    <xf numFmtId="0" fontId="22078" fillId="22088" borderId="22035" xfId="0" applyFont="1" applyFill="1" applyBorder="1"/>
    <xf numFmtId="0" fontId="22079" fillId="22089" borderId="22036" xfId="0" applyFont="1" applyFill="1" applyBorder="1"/>
    <xf numFmtId="0" fontId="22080" fillId="22090" borderId="22037" xfId="0" applyFont="1" applyFill="1" applyBorder="1"/>
    <xf numFmtId="4" fontId="22081" fillId="22091" borderId="22038" xfId="0" applyNumberFormat="1" applyFont="1" applyFill="1" applyBorder="1"/>
    <xf numFmtId="165" fontId="22082" fillId="22092" borderId="22039" xfId="0" applyNumberFormat="1" applyFont="1" applyFill="1" applyBorder="1"/>
    <xf numFmtId="165" fontId="22083" fillId="22093" borderId="22040" xfId="0" applyNumberFormat="1" applyFont="1" applyFill="1" applyBorder="1"/>
    <xf numFmtId="0" fontId="22084" fillId="22094" borderId="22041" xfId="0" applyFont="1" applyFill="1" applyBorder="1"/>
    <xf numFmtId="0" fontId="22085" fillId="22095" borderId="22042" xfId="0" applyFont="1" applyFill="1" applyBorder="1"/>
    <xf numFmtId="0" fontId="22086" fillId="22096" borderId="22043" xfId="0" applyFont="1" applyFill="1" applyBorder="1"/>
    <xf numFmtId="0" fontId="22087" fillId="22097" borderId="22044" xfId="0" applyFont="1" applyFill="1" applyBorder="1"/>
    <xf numFmtId="14" fontId="22088" fillId="22098" borderId="22045" xfId="0" applyNumberFormat="1" applyFont="1" applyFill="1" applyBorder="1"/>
    <xf numFmtId="0" fontId="22089" fillId="22099" borderId="22046" xfId="0" applyFont="1" applyFill="1" applyBorder="1"/>
    <xf numFmtId="0" fontId="22090" fillId="22100" borderId="22047" xfId="0" applyFont="1" applyFill="1" applyBorder="1"/>
    <xf numFmtId="0" fontId="22091" fillId="22101" borderId="22048" xfId="0" applyFont="1" applyFill="1" applyBorder="1"/>
    <xf numFmtId="4" fontId="22092" fillId="22102" borderId="22049" xfId="0" applyNumberFormat="1" applyFont="1" applyFill="1" applyBorder="1"/>
    <xf numFmtId="165" fontId="22093" fillId="22103" borderId="22050" xfId="0" applyNumberFormat="1" applyFont="1" applyFill="1" applyBorder="1"/>
    <xf numFmtId="165" fontId="22094" fillId="22104" borderId="22051" xfId="0" applyNumberFormat="1" applyFont="1" applyFill="1" applyBorder="1"/>
    <xf numFmtId="0" fontId="22095" fillId="22105" borderId="22052" xfId="0" applyFont="1" applyFill="1" applyBorder="1"/>
    <xf numFmtId="0" fontId="22096" fillId="22106" borderId="22053" xfId="0" applyFont="1" applyFill="1" applyBorder="1"/>
    <xf numFmtId="0" fontId="22097" fillId="22107" borderId="22054" xfId="0" applyFont="1" applyFill="1" applyBorder="1"/>
    <xf numFmtId="0" fontId="22098" fillId="22108" borderId="22055" xfId="0" applyFont="1" applyFill="1" applyBorder="1"/>
    <xf numFmtId="14" fontId="22099" fillId="22109" borderId="22056" xfId="0" applyNumberFormat="1" applyFont="1" applyFill="1" applyBorder="1"/>
    <xf numFmtId="0" fontId="22100" fillId="22110" borderId="22057" xfId="0" applyFont="1" applyFill="1" applyBorder="1"/>
    <xf numFmtId="0" fontId="22101" fillId="22111" borderId="22058" xfId="0" applyFont="1" applyFill="1" applyBorder="1"/>
    <xf numFmtId="0" fontId="22102" fillId="22112" borderId="22059" xfId="0" applyFont="1" applyFill="1" applyBorder="1"/>
    <xf numFmtId="4" fontId="22103" fillId="22113" borderId="22060" xfId="0" applyNumberFormat="1" applyFont="1" applyFill="1" applyBorder="1"/>
    <xf numFmtId="165" fontId="22104" fillId="22114" borderId="22061" xfId="0" applyNumberFormat="1" applyFont="1" applyFill="1" applyBorder="1"/>
    <xf numFmtId="165" fontId="22105" fillId="22115" borderId="22062" xfId="0" applyNumberFormat="1" applyFont="1" applyFill="1" applyBorder="1"/>
    <xf numFmtId="0" fontId="22106" fillId="22116" borderId="22063" xfId="0" applyFont="1" applyFill="1" applyBorder="1"/>
    <xf numFmtId="0" fontId="22107" fillId="22117" borderId="22064" xfId="0" applyFont="1" applyFill="1" applyBorder="1"/>
    <xf numFmtId="0" fontId="22108" fillId="22118" borderId="22065" xfId="0" applyFont="1" applyFill="1" applyBorder="1"/>
    <xf numFmtId="0" fontId="22109" fillId="22119" borderId="22066" xfId="0" applyFont="1" applyFill="1" applyBorder="1"/>
    <xf numFmtId="14" fontId="22110" fillId="22120" borderId="22067" xfId="0" applyNumberFormat="1" applyFont="1" applyFill="1" applyBorder="1"/>
    <xf numFmtId="0" fontId="22111" fillId="22121" borderId="22068" xfId="0" applyFont="1" applyFill="1" applyBorder="1"/>
    <xf numFmtId="0" fontId="22112" fillId="22122" borderId="22069" xfId="0" applyFont="1" applyFill="1" applyBorder="1"/>
    <xf numFmtId="0" fontId="22113" fillId="22123" borderId="22070" xfId="0" applyFont="1" applyFill="1" applyBorder="1"/>
    <xf numFmtId="4" fontId="22114" fillId="22124" borderId="22071" xfId="0" applyNumberFormat="1" applyFont="1" applyFill="1" applyBorder="1"/>
    <xf numFmtId="165" fontId="22115" fillId="22125" borderId="22072" xfId="0" applyNumberFormat="1" applyFont="1" applyFill="1" applyBorder="1"/>
    <xf numFmtId="165" fontId="22116" fillId="22126" borderId="22073" xfId="0" applyNumberFormat="1" applyFont="1" applyFill="1" applyBorder="1"/>
    <xf numFmtId="0" fontId="22117" fillId="22127" borderId="22074" xfId="0" applyFont="1" applyFill="1" applyBorder="1"/>
    <xf numFmtId="0" fontId="22118" fillId="22128" borderId="22075" xfId="0" applyFont="1" applyFill="1" applyBorder="1"/>
    <xf numFmtId="0" fontId="22119" fillId="22129" borderId="22076" xfId="0" applyFont="1" applyFill="1" applyBorder="1"/>
    <xf numFmtId="0" fontId="22120" fillId="22130" borderId="22077" xfId="0" applyFont="1" applyFill="1" applyBorder="1"/>
    <xf numFmtId="14" fontId="22121" fillId="22131" borderId="22078" xfId="0" applyNumberFormat="1" applyFont="1" applyFill="1" applyBorder="1"/>
    <xf numFmtId="0" fontId="22122" fillId="22132" borderId="22079" xfId="0" applyFont="1" applyFill="1" applyBorder="1"/>
    <xf numFmtId="0" fontId="22123" fillId="22133" borderId="22080" xfId="0" applyFont="1" applyFill="1" applyBorder="1"/>
    <xf numFmtId="0" fontId="22124" fillId="22134" borderId="22081" xfId="0" applyFont="1" applyFill="1" applyBorder="1"/>
    <xf numFmtId="4" fontId="22125" fillId="22135" borderId="22082" xfId="0" applyNumberFormat="1" applyFont="1" applyFill="1" applyBorder="1"/>
    <xf numFmtId="165" fontId="22126" fillId="22136" borderId="22083" xfId="0" applyNumberFormat="1" applyFont="1" applyFill="1" applyBorder="1"/>
    <xf numFmtId="165" fontId="22127" fillId="22137" borderId="22084" xfId="0" applyNumberFormat="1" applyFont="1" applyFill="1" applyBorder="1"/>
    <xf numFmtId="0" fontId="22128" fillId="22138" borderId="22085" xfId="0" applyFont="1" applyFill="1" applyBorder="1"/>
    <xf numFmtId="0" fontId="22129" fillId="22139" borderId="22086" xfId="0" applyFont="1" applyFill="1" applyBorder="1"/>
    <xf numFmtId="0" fontId="22130" fillId="22140" borderId="22087" xfId="0" applyFont="1" applyFill="1" applyBorder="1"/>
    <xf numFmtId="0" fontId="22131" fillId="22141" borderId="22088" xfId="0" applyFont="1" applyFill="1" applyBorder="1"/>
    <xf numFmtId="14" fontId="22132" fillId="22142" borderId="22089" xfId="0" applyNumberFormat="1" applyFont="1" applyFill="1" applyBorder="1"/>
    <xf numFmtId="0" fontId="22133" fillId="22143" borderId="22090" xfId="0" applyFont="1" applyFill="1" applyBorder="1"/>
    <xf numFmtId="0" fontId="22134" fillId="22144" borderId="22091" xfId="0" applyFont="1" applyFill="1" applyBorder="1"/>
    <xf numFmtId="0" fontId="22135" fillId="22145" borderId="22092" xfId="0" applyFont="1" applyFill="1" applyBorder="1"/>
    <xf numFmtId="4" fontId="22136" fillId="22146" borderId="22093" xfId="0" applyNumberFormat="1" applyFont="1" applyFill="1" applyBorder="1"/>
    <xf numFmtId="165" fontId="22137" fillId="22147" borderId="22094" xfId="0" applyNumberFormat="1" applyFont="1" applyFill="1" applyBorder="1"/>
    <xf numFmtId="165" fontId="22138" fillId="22148" borderId="22095" xfId="0" applyNumberFormat="1" applyFont="1" applyFill="1" applyBorder="1"/>
    <xf numFmtId="0" fontId="22139" fillId="22149" borderId="22096" xfId="0" applyFont="1" applyFill="1" applyBorder="1"/>
    <xf numFmtId="0" fontId="22140" fillId="22150" borderId="22097" xfId="0" applyFont="1" applyFill="1" applyBorder="1"/>
    <xf numFmtId="0" fontId="22141" fillId="22151" borderId="22098" xfId="0" applyFont="1" applyFill="1" applyBorder="1"/>
    <xf numFmtId="0" fontId="22142" fillId="22152" borderId="22099" xfId="0" applyFont="1" applyFill="1" applyBorder="1"/>
    <xf numFmtId="14" fontId="22143" fillId="22153" borderId="22100" xfId="0" applyNumberFormat="1" applyFont="1" applyFill="1" applyBorder="1"/>
    <xf numFmtId="0" fontId="22144" fillId="22154" borderId="22101" xfId="0" applyFont="1" applyFill="1" applyBorder="1"/>
    <xf numFmtId="0" fontId="22145" fillId="22155" borderId="22102" xfId="0" applyFont="1" applyFill="1" applyBorder="1"/>
    <xf numFmtId="0" fontId="22146" fillId="22156" borderId="22103" xfId="0" applyFont="1" applyFill="1" applyBorder="1"/>
    <xf numFmtId="4" fontId="22147" fillId="22157" borderId="22104" xfId="0" applyNumberFormat="1" applyFont="1" applyFill="1" applyBorder="1"/>
    <xf numFmtId="165" fontId="22148" fillId="22158" borderId="22105" xfId="0" applyNumberFormat="1" applyFont="1" applyFill="1" applyBorder="1"/>
    <xf numFmtId="165" fontId="22149" fillId="22159" borderId="22106" xfId="0" applyNumberFormat="1" applyFont="1" applyFill="1" applyBorder="1"/>
    <xf numFmtId="0" fontId="22150" fillId="22160" borderId="22107" xfId="0" applyFont="1" applyFill="1" applyBorder="1"/>
    <xf numFmtId="0" fontId="22151" fillId="22161" borderId="22108" xfId="0" applyFont="1" applyFill="1" applyBorder="1"/>
    <xf numFmtId="0" fontId="22152" fillId="22162" borderId="22109" xfId="0" applyFont="1" applyFill="1" applyBorder="1"/>
    <xf numFmtId="0" fontId="22153" fillId="22163" borderId="22110" xfId="0" applyFont="1" applyFill="1" applyBorder="1"/>
    <xf numFmtId="14" fontId="22154" fillId="22164" borderId="22111" xfId="0" applyNumberFormat="1" applyFont="1" applyFill="1" applyBorder="1"/>
    <xf numFmtId="0" fontId="22155" fillId="22165" borderId="22112" xfId="0" applyFont="1" applyFill="1" applyBorder="1"/>
    <xf numFmtId="0" fontId="22156" fillId="22166" borderId="22113" xfId="0" applyFont="1" applyFill="1" applyBorder="1"/>
    <xf numFmtId="0" fontId="22157" fillId="22167" borderId="22114" xfId="0" applyFont="1" applyFill="1" applyBorder="1"/>
    <xf numFmtId="4" fontId="22158" fillId="22168" borderId="22115" xfId="0" applyNumberFormat="1" applyFont="1" applyFill="1" applyBorder="1"/>
    <xf numFmtId="165" fontId="22159" fillId="22169" borderId="22116" xfId="0" applyNumberFormat="1" applyFont="1" applyFill="1" applyBorder="1"/>
    <xf numFmtId="165" fontId="22160" fillId="22170" borderId="22117" xfId="0" applyNumberFormat="1" applyFont="1" applyFill="1" applyBorder="1"/>
    <xf numFmtId="0" fontId="22161" fillId="22171" borderId="22118" xfId="0" applyFont="1" applyFill="1" applyBorder="1"/>
    <xf numFmtId="0" fontId="22162" fillId="22172" borderId="22119" xfId="0" applyFont="1" applyFill="1" applyBorder="1"/>
    <xf numFmtId="0" fontId="22163" fillId="22173" borderId="22120" xfId="0" applyFont="1" applyFill="1" applyBorder="1"/>
    <xf numFmtId="0" fontId="22164" fillId="22174" borderId="22121" xfId="0" applyFont="1" applyFill="1" applyBorder="1"/>
    <xf numFmtId="14" fontId="22165" fillId="22175" borderId="22122" xfId="0" applyNumberFormat="1" applyFont="1" applyFill="1" applyBorder="1"/>
    <xf numFmtId="0" fontId="22166" fillId="22176" borderId="22123" xfId="0" applyFont="1" applyFill="1" applyBorder="1"/>
    <xf numFmtId="0" fontId="22167" fillId="22177" borderId="22124" xfId="0" applyFont="1" applyFill="1" applyBorder="1"/>
    <xf numFmtId="0" fontId="22168" fillId="22178" borderId="22125" xfId="0" applyFont="1" applyFill="1" applyBorder="1"/>
    <xf numFmtId="4" fontId="22169" fillId="22179" borderId="22126" xfId="0" applyNumberFormat="1" applyFont="1" applyFill="1" applyBorder="1"/>
    <xf numFmtId="165" fontId="22170" fillId="22180" borderId="22127" xfId="0" applyNumberFormat="1" applyFont="1" applyFill="1" applyBorder="1"/>
    <xf numFmtId="165" fontId="22171" fillId="22181" borderId="22128" xfId="0" applyNumberFormat="1" applyFont="1" applyFill="1" applyBorder="1"/>
    <xf numFmtId="0" fontId="22172" fillId="22182" borderId="22129" xfId="0" applyFont="1" applyFill="1" applyBorder="1"/>
    <xf numFmtId="0" fontId="22173" fillId="22183" borderId="22130" xfId="0" applyFont="1" applyFill="1" applyBorder="1"/>
    <xf numFmtId="0" fontId="22174" fillId="22184" borderId="22131" xfId="0" applyFont="1" applyFill="1" applyBorder="1"/>
    <xf numFmtId="0" fontId="22175" fillId="22185" borderId="22132" xfId="0" applyFont="1" applyFill="1" applyBorder="1"/>
    <xf numFmtId="14" fontId="22176" fillId="22186" borderId="22133" xfId="0" applyNumberFormat="1" applyFont="1" applyFill="1" applyBorder="1"/>
    <xf numFmtId="0" fontId="22177" fillId="22187" borderId="22134" xfId="0" applyFont="1" applyFill="1" applyBorder="1"/>
    <xf numFmtId="0" fontId="22178" fillId="22188" borderId="22135" xfId="0" applyFont="1" applyFill="1" applyBorder="1"/>
    <xf numFmtId="0" fontId="22179" fillId="22189" borderId="22136" xfId="0" applyFont="1" applyFill="1" applyBorder="1"/>
    <xf numFmtId="4" fontId="22180" fillId="22190" borderId="22137" xfId="0" applyNumberFormat="1" applyFont="1" applyFill="1" applyBorder="1"/>
    <xf numFmtId="165" fontId="22181" fillId="22191" borderId="22138" xfId="0" applyNumberFormat="1" applyFont="1" applyFill="1" applyBorder="1"/>
    <xf numFmtId="165" fontId="22182" fillId="22192" borderId="22139" xfId="0" applyNumberFormat="1" applyFont="1" applyFill="1" applyBorder="1"/>
    <xf numFmtId="0" fontId="22183" fillId="22193" borderId="22140" xfId="0" applyFont="1" applyFill="1" applyBorder="1"/>
    <xf numFmtId="0" fontId="22184" fillId="22194" borderId="22141" xfId="0" applyFont="1" applyFill="1" applyBorder="1"/>
    <xf numFmtId="0" fontId="22185" fillId="22195" borderId="22142" xfId="0" applyFont="1" applyFill="1" applyBorder="1"/>
    <xf numFmtId="0" fontId="22186" fillId="22196" borderId="22143" xfId="0" applyFont="1" applyFill="1" applyBorder="1"/>
    <xf numFmtId="14" fontId="22187" fillId="22197" borderId="22144" xfId="0" applyNumberFormat="1" applyFont="1" applyFill="1" applyBorder="1"/>
    <xf numFmtId="0" fontId="22188" fillId="22198" borderId="22145" xfId="0" applyFont="1" applyFill="1" applyBorder="1"/>
    <xf numFmtId="0" fontId="22189" fillId="22199" borderId="22146" xfId="0" applyFont="1" applyFill="1" applyBorder="1"/>
    <xf numFmtId="0" fontId="22190" fillId="22200" borderId="22147" xfId="0" applyFont="1" applyFill="1" applyBorder="1"/>
    <xf numFmtId="4" fontId="22191" fillId="22201" borderId="22148" xfId="0" applyNumberFormat="1" applyFont="1" applyFill="1" applyBorder="1"/>
    <xf numFmtId="165" fontId="22192" fillId="22202" borderId="22149" xfId="0" applyNumberFormat="1" applyFont="1" applyFill="1" applyBorder="1"/>
    <xf numFmtId="165" fontId="22193" fillId="22203" borderId="22150" xfId="0" applyNumberFormat="1" applyFont="1" applyFill="1" applyBorder="1"/>
    <xf numFmtId="0" fontId="22194" fillId="22204" borderId="22151" xfId="0" applyFont="1" applyFill="1" applyBorder="1"/>
    <xf numFmtId="0" fontId="22195" fillId="22205" borderId="22152" xfId="0" applyFont="1" applyFill="1" applyBorder="1"/>
    <xf numFmtId="0" fontId="22196" fillId="22206" borderId="22153" xfId="0" applyFont="1" applyFill="1" applyBorder="1"/>
    <xf numFmtId="0" fontId="22197" fillId="22207" borderId="22154" xfId="0" applyFont="1" applyFill="1" applyBorder="1"/>
    <xf numFmtId="14" fontId="22198" fillId="22208" borderId="22155" xfId="0" applyNumberFormat="1" applyFont="1" applyFill="1" applyBorder="1"/>
    <xf numFmtId="0" fontId="22199" fillId="22209" borderId="22156" xfId="0" applyFont="1" applyFill="1" applyBorder="1"/>
    <xf numFmtId="0" fontId="22200" fillId="22210" borderId="22157" xfId="0" applyFont="1" applyFill="1" applyBorder="1"/>
    <xf numFmtId="0" fontId="22201" fillId="22211" borderId="22158" xfId="0" applyFont="1" applyFill="1" applyBorder="1"/>
    <xf numFmtId="4" fontId="22202" fillId="22212" borderId="22159" xfId="0" applyNumberFormat="1" applyFont="1" applyFill="1" applyBorder="1"/>
    <xf numFmtId="165" fontId="22203" fillId="22213" borderId="22160" xfId="0" applyNumberFormat="1" applyFont="1" applyFill="1" applyBorder="1"/>
    <xf numFmtId="165" fontId="22204" fillId="22214" borderId="22161" xfId="0" applyNumberFormat="1" applyFont="1" applyFill="1" applyBorder="1"/>
    <xf numFmtId="0" fontId="22205" fillId="22215" borderId="22162" xfId="0" applyFont="1" applyFill="1" applyBorder="1"/>
    <xf numFmtId="0" fontId="22206" fillId="22216" borderId="22163" xfId="0" applyFont="1" applyFill="1" applyBorder="1"/>
    <xf numFmtId="0" fontId="22207" fillId="22217" borderId="22164" xfId="0" applyFont="1" applyFill="1" applyBorder="1"/>
    <xf numFmtId="0" fontId="22208" fillId="22218" borderId="22165" xfId="0" applyFont="1" applyFill="1" applyBorder="1"/>
    <xf numFmtId="14" fontId="22209" fillId="22219" borderId="22166" xfId="0" applyNumberFormat="1" applyFont="1" applyFill="1" applyBorder="1"/>
    <xf numFmtId="0" fontId="22210" fillId="22220" borderId="22167" xfId="0" applyFont="1" applyFill="1" applyBorder="1"/>
    <xf numFmtId="0" fontId="22211" fillId="22221" borderId="22168" xfId="0" applyFont="1" applyFill="1" applyBorder="1"/>
    <xf numFmtId="0" fontId="22212" fillId="22222" borderId="22169" xfId="0" applyFont="1" applyFill="1" applyBorder="1"/>
    <xf numFmtId="4" fontId="22213" fillId="22223" borderId="22170" xfId="0" applyNumberFormat="1" applyFont="1" applyFill="1" applyBorder="1"/>
    <xf numFmtId="165" fontId="22214" fillId="22224" borderId="22171" xfId="0" applyNumberFormat="1" applyFont="1" applyFill="1" applyBorder="1"/>
    <xf numFmtId="165" fontId="22215" fillId="22225" borderId="22172" xfId="0" applyNumberFormat="1" applyFont="1" applyFill="1" applyBorder="1"/>
    <xf numFmtId="0" fontId="22216" fillId="22226" borderId="22173" xfId="0" applyFont="1" applyFill="1" applyBorder="1"/>
    <xf numFmtId="0" fontId="22217" fillId="22227" borderId="22174" xfId="0" applyFont="1" applyFill="1" applyBorder="1"/>
    <xf numFmtId="0" fontId="22218" fillId="22228" borderId="22175" xfId="0" applyFont="1" applyFill="1" applyBorder="1"/>
    <xf numFmtId="0" fontId="22219" fillId="22229" borderId="22176" xfId="0" applyFont="1" applyFill="1" applyBorder="1"/>
    <xf numFmtId="14" fontId="22220" fillId="22230" borderId="22177" xfId="0" applyNumberFormat="1" applyFont="1" applyFill="1" applyBorder="1"/>
    <xf numFmtId="0" fontId="22221" fillId="22231" borderId="22178" xfId="0" applyFont="1" applyFill="1" applyBorder="1"/>
    <xf numFmtId="0" fontId="22222" fillId="22232" borderId="22179" xfId="0" applyFont="1" applyFill="1" applyBorder="1"/>
    <xf numFmtId="0" fontId="22223" fillId="22233" borderId="22180" xfId="0" applyFont="1" applyFill="1" applyBorder="1"/>
    <xf numFmtId="4" fontId="22224" fillId="22234" borderId="22181" xfId="0" applyNumberFormat="1" applyFont="1" applyFill="1" applyBorder="1"/>
    <xf numFmtId="165" fontId="22225" fillId="22235" borderId="22182" xfId="0" applyNumberFormat="1" applyFont="1" applyFill="1" applyBorder="1"/>
    <xf numFmtId="165" fontId="22226" fillId="22236" borderId="22183" xfId="0" applyNumberFormat="1" applyFont="1" applyFill="1" applyBorder="1"/>
    <xf numFmtId="0" fontId="22227" fillId="22237" borderId="22184" xfId="0" applyFont="1" applyFill="1" applyBorder="1"/>
    <xf numFmtId="0" fontId="22228" fillId="22238" borderId="22185" xfId="0" applyFont="1" applyFill="1" applyBorder="1"/>
    <xf numFmtId="0" fontId="22229" fillId="22239" borderId="22186" xfId="0" applyFont="1" applyFill="1" applyBorder="1"/>
    <xf numFmtId="0" fontId="22230" fillId="22240" borderId="22187" xfId="0" applyFont="1" applyFill="1" applyBorder="1"/>
    <xf numFmtId="14" fontId="22231" fillId="22241" borderId="22188" xfId="0" applyNumberFormat="1" applyFont="1" applyFill="1" applyBorder="1"/>
    <xf numFmtId="0" fontId="22232" fillId="22242" borderId="22189" xfId="0" applyFont="1" applyFill="1" applyBorder="1"/>
    <xf numFmtId="0" fontId="22233" fillId="22243" borderId="22190" xfId="0" applyFont="1" applyFill="1" applyBorder="1"/>
    <xf numFmtId="0" fontId="22234" fillId="22244" borderId="22191" xfId="0" applyFont="1" applyFill="1" applyBorder="1"/>
    <xf numFmtId="4" fontId="22235" fillId="22245" borderId="22192" xfId="0" applyNumberFormat="1" applyFont="1" applyFill="1" applyBorder="1"/>
    <xf numFmtId="165" fontId="22236" fillId="22246" borderId="22193" xfId="0" applyNumberFormat="1" applyFont="1" applyFill="1" applyBorder="1"/>
    <xf numFmtId="165" fontId="22237" fillId="22247" borderId="22194" xfId="0" applyNumberFormat="1" applyFont="1" applyFill="1" applyBorder="1"/>
    <xf numFmtId="0" fontId="22238" fillId="22248" borderId="22195" xfId="0" applyFont="1" applyFill="1" applyBorder="1"/>
    <xf numFmtId="0" fontId="22239" fillId="22249" borderId="22196" xfId="0" applyFont="1" applyFill="1" applyBorder="1"/>
    <xf numFmtId="0" fontId="22240" fillId="22250" borderId="22197" xfId="0" applyFont="1" applyFill="1" applyBorder="1"/>
    <xf numFmtId="0" fontId="22241" fillId="22251" borderId="22198" xfId="0" applyFont="1" applyFill="1" applyBorder="1"/>
    <xf numFmtId="14" fontId="22242" fillId="22252" borderId="22199" xfId="0" applyNumberFormat="1" applyFont="1" applyFill="1" applyBorder="1"/>
    <xf numFmtId="0" fontId="22243" fillId="22253" borderId="22200" xfId="0" applyFont="1" applyFill="1" applyBorder="1"/>
    <xf numFmtId="0" fontId="22244" fillId="22254" borderId="22201" xfId="0" applyFont="1" applyFill="1" applyBorder="1"/>
    <xf numFmtId="0" fontId="22245" fillId="22255" borderId="22202" xfId="0" applyFont="1" applyFill="1" applyBorder="1"/>
    <xf numFmtId="4" fontId="22246" fillId="22256" borderId="22203" xfId="0" applyNumberFormat="1" applyFont="1" applyFill="1" applyBorder="1"/>
    <xf numFmtId="165" fontId="22247" fillId="22257" borderId="22204" xfId="0" applyNumberFormat="1" applyFont="1" applyFill="1" applyBorder="1"/>
    <xf numFmtId="165" fontId="22248" fillId="22258" borderId="22205" xfId="0" applyNumberFormat="1" applyFont="1" applyFill="1" applyBorder="1"/>
    <xf numFmtId="0" fontId="22249" fillId="22259" borderId="22206" xfId="0" applyFont="1" applyFill="1" applyBorder="1"/>
    <xf numFmtId="0" fontId="22250" fillId="22260" borderId="22207" xfId="0" applyFont="1" applyFill="1" applyBorder="1"/>
    <xf numFmtId="0" fontId="22251" fillId="22261" borderId="22208" xfId="0" applyFont="1" applyFill="1" applyBorder="1"/>
    <xf numFmtId="0" fontId="22252" fillId="22262" borderId="22209" xfId="0" applyFont="1" applyFill="1" applyBorder="1"/>
    <xf numFmtId="14" fontId="22253" fillId="22263" borderId="22210" xfId="0" applyNumberFormat="1" applyFont="1" applyFill="1" applyBorder="1"/>
    <xf numFmtId="0" fontId="22254" fillId="22264" borderId="22211" xfId="0" applyFont="1" applyFill="1" applyBorder="1"/>
    <xf numFmtId="0" fontId="22255" fillId="22265" borderId="22212" xfId="0" applyFont="1" applyFill="1" applyBorder="1"/>
    <xf numFmtId="0" fontId="22256" fillId="22266" borderId="22213" xfId="0" applyFont="1" applyFill="1" applyBorder="1"/>
    <xf numFmtId="4" fontId="22257" fillId="22267" borderId="22214" xfId="0" applyNumberFormat="1" applyFont="1" applyFill="1" applyBorder="1"/>
    <xf numFmtId="165" fontId="22258" fillId="22268" borderId="22215" xfId="0" applyNumberFormat="1" applyFont="1" applyFill="1" applyBorder="1"/>
    <xf numFmtId="165" fontId="22259" fillId="22269" borderId="22216" xfId="0" applyNumberFormat="1" applyFont="1" applyFill="1" applyBorder="1"/>
    <xf numFmtId="0" fontId="22260" fillId="22270" borderId="22217" xfId="0" applyFont="1" applyFill="1" applyBorder="1"/>
    <xf numFmtId="0" fontId="22261" fillId="22271" borderId="22218" xfId="0" applyFont="1" applyFill="1" applyBorder="1"/>
    <xf numFmtId="0" fontId="22262" fillId="22272" borderId="22219" xfId="0" applyFont="1" applyFill="1" applyBorder="1"/>
    <xf numFmtId="0" fontId="22263" fillId="22273" borderId="22220" xfId="0" applyFont="1" applyFill="1" applyBorder="1"/>
    <xf numFmtId="14" fontId="22264" fillId="22274" borderId="22221" xfId="0" applyNumberFormat="1" applyFont="1" applyFill="1" applyBorder="1"/>
    <xf numFmtId="0" fontId="22265" fillId="22275" borderId="22222" xfId="0" applyFont="1" applyFill="1" applyBorder="1"/>
    <xf numFmtId="0" fontId="22266" fillId="22276" borderId="22223" xfId="0" applyFont="1" applyFill="1" applyBorder="1"/>
    <xf numFmtId="0" fontId="22267" fillId="22277" borderId="22224" xfId="0" applyFont="1" applyFill="1" applyBorder="1"/>
    <xf numFmtId="4" fontId="22268" fillId="22278" borderId="22225" xfId="0" applyNumberFormat="1" applyFont="1" applyFill="1" applyBorder="1"/>
    <xf numFmtId="165" fontId="22269" fillId="22279" borderId="22226" xfId="0" applyNumberFormat="1" applyFont="1" applyFill="1" applyBorder="1"/>
    <xf numFmtId="165" fontId="22270" fillId="22280" borderId="22227" xfId="0" applyNumberFormat="1" applyFont="1" applyFill="1" applyBorder="1"/>
    <xf numFmtId="0" fontId="22271" fillId="22281" borderId="22228" xfId="0" applyFont="1" applyFill="1" applyBorder="1"/>
    <xf numFmtId="0" fontId="22272" fillId="22282" borderId="22229" xfId="0" applyFont="1" applyFill="1" applyBorder="1"/>
    <xf numFmtId="0" fontId="22273" fillId="22283" borderId="22230" xfId="0" applyFont="1" applyFill="1" applyBorder="1"/>
    <xf numFmtId="0" fontId="22274" fillId="22284" borderId="22231" xfId="0" applyFont="1" applyFill="1" applyBorder="1"/>
    <xf numFmtId="14" fontId="22275" fillId="22285" borderId="22232" xfId="0" applyNumberFormat="1" applyFont="1" applyFill="1" applyBorder="1"/>
    <xf numFmtId="0" fontId="22276" fillId="22286" borderId="22233" xfId="0" applyFont="1" applyFill="1" applyBorder="1"/>
    <xf numFmtId="0" fontId="22277" fillId="22287" borderId="22234" xfId="0" applyFont="1" applyFill="1" applyBorder="1"/>
    <xf numFmtId="0" fontId="22278" fillId="22288" borderId="22235" xfId="0" applyFont="1" applyFill="1" applyBorder="1"/>
    <xf numFmtId="4" fontId="22279" fillId="22289" borderId="22236" xfId="0" applyNumberFormat="1" applyFont="1" applyFill="1" applyBorder="1"/>
    <xf numFmtId="165" fontId="22280" fillId="22290" borderId="22237" xfId="0" applyNumberFormat="1" applyFont="1" applyFill="1" applyBorder="1"/>
    <xf numFmtId="165" fontId="22281" fillId="22291" borderId="22238" xfId="0" applyNumberFormat="1" applyFont="1" applyFill="1" applyBorder="1"/>
    <xf numFmtId="0" fontId="22282" fillId="22292" borderId="22239" xfId="0" applyFont="1" applyFill="1" applyBorder="1"/>
    <xf numFmtId="0" fontId="22283" fillId="22293" borderId="22240" xfId="0" applyFont="1" applyFill="1" applyBorder="1"/>
    <xf numFmtId="0" fontId="22284" fillId="22294" borderId="22241" xfId="0" applyFont="1" applyFill="1" applyBorder="1"/>
    <xf numFmtId="0" fontId="22285" fillId="22295" borderId="22242" xfId="0" applyFont="1" applyFill="1" applyBorder="1"/>
    <xf numFmtId="14" fontId="22286" fillId="22296" borderId="22243" xfId="0" applyNumberFormat="1" applyFont="1" applyFill="1" applyBorder="1"/>
    <xf numFmtId="0" fontId="22287" fillId="22297" borderId="22244" xfId="0" applyFont="1" applyFill="1" applyBorder="1"/>
    <xf numFmtId="0" fontId="22288" fillId="22298" borderId="22245" xfId="0" applyFont="1" applyFill="1" applyBorder="1"/>
    <xf numFmtId="0" fontId="22289" fillId="22299" borderId="22246" xfId="0" applyFont="1" applyFill="1" applyBorder="1"/>
    <xf numFmtId="4" fontId="22290" fillId="22300" borderId="22247" xfId="0" applyNumberFormat="1" applyFont="1" applyFill="1" applyBorder="1"/>
    <xf numFmtId="165" fontId="22291" fillId="22301" borderId="22248" xfId="0" applyNumberFormat="1" applyFont="1" applyFill="1" applyBorder="1"/>
    <xf numFmtId="165" fontId="22292" fillId="22302" borderId="22249" xfId="0" applyNumberFormat="1" applyFont="1" applyFill="1" applyBorder="1"/>
    <xf numFmtId="0" fontId="22293" fillId="22303" borderId="22250" xfId="0" applyFont="1" applyFill="1" applyBorder="1"/>
    <xf numFmtId="0" fontId="22294" fillId="22304" borderId="22251" xfId="0" applyFont="1" applyFill="1" applyBorder="1"/>
    <xf numFmtId="0" fontId="22295" fillId="22305" borderId="22252" xfId="0" applyFont="1" applyFill="1" applyBorder="1"/>
    <xf numFmtId="0" fontId="22296" fillId="22306" borderId="22253" xfId="0" applyFont="1" applyFill="1" applyBorder="1"/>
    <xf numFmtId="14" fontId="22297" fillId="22307" borderId="22254" xfId="0" applyNumberFormat="1" applyFont="1" applyFill="1" applyBorder="1"/>
    <xf numFmtId="0" fontId="22298" fillId="22308" borderId="22255" xfId="0" applyFont="1" applyFill="1" applyBorder="1"/>
    <xf numFmtId="0" fontId="22299" fillId="22309" borderId="22256" xfId="0" applyFont="1" applyFill="1" applyBorder="1"/>
    <xf numFmtId="0" fontId="22300" fillId="22310" borderId="22257" xfId="0" applyFont="1" applyFill="1" applyBorder="1"/>
    <xf numFmtId="4" fontId="22301" fillId="22311" borderId="22258" xfId="0" applyNumberFormat="1" applyFont="1" applyFill="1" applyBorder="1"/>
    <xf numFmtId="165" fontId="22302" fillId="22312" borderId="22259" xfId="0" applyNumberFormat="1" applyFont="1" applyFill="1" applyBorder="1"/>
    <xf numFmtId="165" fontId="22303" fillId="22313" borderId="22260" xfId="0" applyNumberFormat="1" applyFont="1" applyFill="1" applyBorder="1"/>
    <xf numFmtId="0" fontId="22304" fillId="22314" borderId="22261" xfId="0" applyFont="1" applyFill="1" applyBorder="1"/>
    <xf numFmtId="0" fontId="22305" fillId="22315" borderId="22262" xfId="0" applyFont="1" applyFill="1" applyBorder="1"/>
    <xf numFmtId="0" fontId="22306" fillId="22316" borderId="22263" xfId="0" applyFont="1" applyFill="1" applyBorder="1"/>
    <xf numFmtId="0" fontId="22307" fillId="22317" borderId="22264" xfId="0" applyFont="1" applyFill="1" applyBorder="1"/>
    <xf numFmtId="14" fontId="22308" fillId="22318" borderId="22265" xfId="0" applyNumberFormat="1" applyFont="1" applyFill="1" applyBorder="1"/>
    <xf numFmtId="0" fontId="22309" fillId="22319" borderId="22266" xfId="0" applyFont="1" applyFill="1" applyBorder="1"/>
    <xf numFmtId="0" fontId="22310" fillId="22320" borderId="22267" xfId="0" applyFont="1" applyFill="1" applyBorder="1"/>
    <xf numFmtId="0" fontId="22311" fillId="22321" borderId="22268" xfId="0" applyFont="1" applyFill="1" applyBorder="1"/>
    <xf numFmtId="4" fontId="22312" fillId="22322" borderId="22269" xfId="0" applyNumberFormat="1" applyFont="1" applyFill="1" applyBorder="1"/>
    <xf numFmtId="165" fontId="22313" fillId="22323" borderId="22270" xfId="0" applyNumberFormat="1" applyFont="1" applyFill="1" applyBorder="1"/>
    <xf numFmtId="165" fontId="22314" fillId="22324" borderId="22271" xfId="0" applyNumberFormat="1" applyFont="1" applyFill="1" applyBorder="1"/>
    <xf numFmtId="0" fontId="22315" fillId="22325" borderId="22272" xfId="0" applyFont="1" applyFill="1" applyBorder="1"/>
    <xf numFmtId="0" fontId="22316" fillId="22326" borderId="22273" xfId="0" applyFont="1" applyFill="1" applyBorder="1"/>
    <xf numFmtId="0" fontId="22317" fillId="22327" borderId="22274" xfId="0" applyFont="1" applyFill="1" applyBorder="1"/>
    <xf numFmtId="0" fontId="22318" fillId="22328" borderId="22275" xfId="0" applyFont="1" applyFill="1" applyBorder="1"/>
    <xf numFmtId="14" fontId="22319" fillId="22329" borderId="22276" xfId="0" applyNumberFormat="1" applyFont="1" applyFill="1" applyBorder="1"/>
    <xf numFmtId="0" fontId="22320" fillId="22330" borderId="22277" xfId="0" applyFont="1" applyFill="1" applyBorder="1"/>
    <xf numFmtId="0" fontId="22321" fillId="22331" borderId="22278" xfId="0" applyFont="1" applyFill="1" applyBorder="1"/>
    <xf numFmtId="0" fontId="22322" fillId="22332" borderId="22279" xfId="0" applyFont="1" applyFill="1" applyBorder="1"/>
    <xf numFmtId="4" fontId="22323" fillId="22333" borderId="22280" xfId="0" applyNumberFormat="1" applyFont="1" applyFill="1" applyBorder="1"/>
    <xf numFmtId="165" fontId="22324" fillId="22334" borderId="22281" xfId="0" applyNumberFormat="1" applyFont="1" applyFill="1" applyBorder="1"/>
    <xf numFmtId="165" fontId="22325" fillId="22335" borderId="22282" xfId="0" applyNumberFormat="1" applyFont="1" applyFill="1" applyBorder="1"/>
    <xf numFmtId="0" fontId="22326" fillId="22336" borderId="22283" xfId="0" applyFont="1" applyFill="1" applyBorder="1"/>
    <xf numFmtId="0" fontId="22327" fillId="22337" borderId="22284" xfId="0" applyFont="1" applyFill="1" applyBorder="1"/>
    <xf numFmtId="0" fontId="22328" fillId="22338" borderId="22285" xfId="0" applyFont="1" applyFill="1" applyBorder="1"/>
    <xf numFmtId="0" fontId="22329" fillId="22339" borderId="22286" xfId="0" applyFont="1" applyFill="1" applyBorder="1"/>
    <xf numFmtId="14" fontId="22330" fillId="22340" borderId="22287" xfId="0" applyNumberFormat="1" applyFont="1" applyFill="1" applyBorder="1"/>
    <xf numFmtId="0" fontId="22331" fillId="22341" borderId="22288" xfId="0" applyFont="1" applyFill="1" applyBorder="1"/>
    <xf numFmtId="0" fontId="22332" fillId="22342" borderId="22289" xfId="0" applyFont="1" applyFill="1" applyBorder="1"/>
    <xf numFmtId="0" fontId="22333" fillId="22343" borderId="22290" xfId="0" applyFont="1" applyFill="1" applyBorder="1"/>
    <xf numFmtId="4" fontId="22334" fillId="22344" borderId="22291" xfId="0" applyNumberFormat="1" applyFont="1" applyFill="1" applyBorder="1"/>
    <xf numFmtId="165" fontId="22335" fillId="22345" borderId="22292" xfId="0" applyNumberFormat="1" applyFont="1" applyFill="1" applyBorder="1"/>
    <xf numFmtId="165" fontId="22336" fillId="22346" borderId="22293" xfId="0" applyNumberFormat="1" applyFont="1" applyFill="1" applyBorder="1"/>
    <xf numFmtId="0" fontId="22337" fillId="22347" borderId="22294" xfId="0" applyFont="1" applyFill="1" applyBorder="1"/>
    <xf numFmtId="0" fontId="22338" fillId="22348" borderId="22295" xfId="0" applyFont="1" applyFill="1" applyBorder="1"/>
    <xf numFmtId="0" fontId="22339" fillId="22349" borderId="22296" xfId="0" applyFont="1" applyFill="1" applyBorder="1"/>
    <xf numFmtId="0" fontId="22340" fillId="22350" borderId="22297" xfId="0" applyFont="1" applyFill="1" applyBorder="1"/>
    <xf numFmtId="14" fontId="22341" fillId="22351" borderId="22298" xfId="0" applyNumberFormat="1" applyFont="1" applyFill="1" applyBorder="1"/>
    <xf numFmtId="0" fontId="22342" fillId="22352" borderId="22299" xfId="0" applyFont="1" applyFill="1" applyBorder="1"/>
    <xf numFmtId="0" fontId="22343" fillId="22353" borderId="22300" xfId="0" applyFont="1" applyFill="1" applyBorder="1"/>
    <xf numFmtId="0" fontId="22344" fillId="22354" borderId="22301" xfId="0" applyFont="1" applyFill="1" applyBorder="1"/>
    <xf numFmtId="4" fontId="22345" fillId="22355" borderId="22302" xfId="0" applyNumberFormat="1" applyFont="1" applyFill="1" applyBorder="1"/>
    <xf numFmtId="165" fontId="22346" fillId="22356" borderId="22303" xfId="0" applyNumberFormat="1" applyFont="1" applyFill="1" applyBorder="1"/>
    <xf numFmtId="165" fontId="22347" fillId="22357" borderId="22304" xfId="0" applyNumberFormat="1" applyFont="1" applyFill="1" applyBorder="1"/>
    <xf numFmtId="0" fontId="22348" fillId="22358" borderId="22305" xfId="0" applyFont="1" applyFill="1" applyBorder="1"/>
    <xf numFmtId="0" fontId="22349" fillId="22359" borderId="22306" xfId="0" applyFont="1" applyFill="1" applyBorder="1"/>
    <xf numFmtId="0" fontId="22350" fillId="22360" borderId="22307" xfId="0" applyFont="1" applyFill="1" applyBorder="1"/>
    <xf numFmtId="0" fontId="22351" fillId="22361" borderId="22308" xfId="0" applyFont="1" applyFill="1" applyBorder="1"/>
    <xf numFmtId="14" fontId="22352" fillId="22362" borderId="22309" xfId="0" applyNumberFormat="1" applyFont="1" applyFill="1" applyBorder="1"/>
    <xf numFmtId="0" fontId="22353" fillId="22363" borderId="22310" xfId="0" applyFont="1" applyFill="1" applyBorder="1"/>
    <xf numFmtId="0" fontId="22354" fillId="22364" borderId="22311" xfId="0" applyFont="1" applyFill="1" applyBorder="1"/>
    <xf numFmtId="0" fontId="22355" fillId="22365" borderId="22312" xfId="0" applyFont="1" applyFill="1" applyBorder="1"/>
    <xf numFmtId="4" fontId="22356" fillId="22366" borderId="22313" xfId="0" applyNumberFormat="1" applyFont="1" applyFill="1" applyBorder="1"/>
    <xf numFmtId="165" fontId="22357" fillId="22367" borderId="22314" xfId="0" applyNumberFormat="1" applyFont="1" applyFill="1" applyBorder="1"/>
    <xf numFmtId="165" fontId="22358" fillId="22368" borderId="22315" xfId="0" applyNumberFormat="1" applyFont="1" applyFill="1" applyBorder="1"/>
    <xf numFmtId="0" fontId="22359" fillId="22369" borderId="22316" xfId="0" applyFont="1" applyFill="1" applyBorder="1"/>
    <xf numFmtId="0" fontId="22360" fillId="22370" borderId="22317" xfId="0" applyFont="1" applyFill="1" applyBorder="1"/>
    <xf numFmtId="0" fontId="22361" fillId="22371" borderId="22318" xfId="0" applyFont="1" applyFill="1" applyBorder="1"/>
    <xf numFmtId="0" fontId="22362" fillId="22372" borderId="22319" xfId="0" applyFont="1" applyFill="1" applyBorder="1"/>
    <xf numFmtId="14" fontId="22363" fillId="22373" borderId="22320" xfId="0" applyNumberFormat="1" applyFont="1" applyFill="1" applyBorder="1"/>
    <xf numFmtId="0" fontId="22364" fillId="22374" borderId="22321" xfId="0" applyFont="1" applyFill="1" applyBorder="1"/>
    <xf numFmtId="0" fontId="22365" fillId="22375" borderId="22322" xfId="0" applyFont="1" applyFill="1" applyBorder="1"/>
    <xf numFmtId="0" fontId="22366" fillId="22376" borderId="22323" xfId="0" applyFont="1" applyFill="1" applyBorder="1"/>
    <xf numFmtId="4" fontId="22367" fillId="22377" borderId="22324" xfId="0" applyNumberFormat="1" applyFont="1" applyFill="1" applyBorder="1"/>
    <xf numFmtId="165" fontId="22368" fillId="22378" borderId="22325" xfId="0" applyNumberFormat="1" applyFont="1" applyFill="1" applyBorder="1"/>
    <xf numFmtId="165" fontId="22369" fillId="22379" borderId="22326" xfId="0" applyNumberFormat="1" applyFont="1" applyFill="1" applyBorder="1"/>
    <xf numFmtId="0" fontId="22370" fillId="22380" borderId="22327" xfId="0" applyFont="1" applyFill="1" applyBorder="1"/>
    <xf numFmtId="0" fontId="22371" fillId="22381" borderId="22328" xfId="0" applyFont="1" applyFill="1" applyBorder="1"/>
    <xf numFmtId="0" fontId="22372" fillId="22382" borderId="22329" xfId="0" applyFont="1" applyFill="1" applyBorder="1"/>
    <xf numFmtId="0" fontId="22373" fillId="22383" borderId="22330" xfId="0" applyFont="1" applyFill="1" applyBorder="1"/>
    <xf numFmtId="14" fontId="22374" fillId="22384" borderId="22331" xfId="0" applyNumberFormat="1" applyFont="1" applyFill="1" applyBorder="1"/>
    <xf numFmtId="0" fontId="22375" fillId="22385" borderId="22332" xfId="0" applyFont="1" applyFill="1" applyBorder="1"/>
    <xf numFmtId="0" fontId="22376" fillId="22386" borderId="22333" xfId="0" applyFont="1" applyFill="1" applyBorder="1"/>
    <xf numFmtId="0" fontId="22377" fillId="22387" borderId="22334" xfId="0" applyFont="1" applyFill="1" applyBorder="1"/>
    <xf numFmtId="4" fontId="22378" fillId="22388" borderId="22335" xfId="0" applyNumberFormat="1" applyFont="1" applyFill="1" applyBorder="1"/>
    <xf numFmtId="165" fontId="22379" fillId="22389" borderId="22336" xfId="0" applyNumberFormat="1" applyFont="1" applyFill="1" applyBorder="1"/>
    <xf numFmtId="165" fontId="22380" fillId="22390" borderId="22337" xfId="0" applyNumberFormat="1" applyFont="1" applyFill="1" applyBorder="1"/>
    <xf numFmtId="0" fontId="22381" fillId="22391" borderId="22338" xfId="0" applyFont="1" applyFill="1" applyBorder="1"/>
    <xf numFmtId="0" fontId="22382" fillId="22392" borderId="22339" xfId="0" applyFont="1" applyFill="1" applyBorder="1"/>
    <xf numFmtId="0" fontId="22383" fillId="22393" borderId="22340" xfId="0" applyFont="1" applyFill="1" applyBorder="1"/>
    <xf numFmtId="0" fontId="22384" fillId="22394" borderId="22341" xfId="0" applyFont="1" applyFill="1" applyBorder="1"/>
    <xf numFmtId="14" fontId="22385" fillId="22395" borderId="22342" xfId="0" applyNumberFormat="1" applyFont="1" applyFill="1" applyBorder="1"/>
    <xf numFmtId="0" fontId="22386" fillId="22396" borderId="22343" xfId="0" applyFont="1" applyFill="1" applyBorder="1"/>
    <xf numFmtId="0" fontId="22387" fillId="22397" borderId="22344" xfId="0" applyFont="1" applyFill="1" applyBorder="1"/>
    <xf numFmtId="0" fontId="22388" fillId="22398" borderId="22345" xfId="0" applyFont="1" applyFill="1" applyBorder="1"/>
    <xf numFmtId="4" fontId="22389" fillId="22399" borderId="22346" xfId="0" applyNumberFormat="1" applyFont="1" applyFill="1" applyBorder="1"/>
    <xf numFmtId="165" fontId="22390" fillId="22400" borderId="22347" xfId="0" applyNumberFormat="1" applyFont="1" applyFill="1" applyBorder="1"/>
    <xf numFmtId="165" fontId="22391" fillId="22401" borderId="22348" xfId="0" applyNumberFormat="1" applyFont="1" applyFill="1" applyBorder="1"/>
    <xf numFmtId="0" fontId="22392" fillId="22402" borderId="22349" xfId="0" applyFont="1" applyFill="1" applyBorder="1"/>
    <xf numFmtId="0" fontId="22393" fillId="22403" borderId="22350" xfId="0" applyFont="1" applyFill="1" applyBorder="1"/>
    <xf numFmtId="0" fontId="22394" fillId="22404" borderId="22351" xfId="0" applyFont="1" applyFill="1" applyBorder="1"/>
    <xf numFmtId="0" fontId="22395" fillId="22405" borderId="22352" xfId="0" applyFont="1" applyFill="1" applyBorder="1"/>
    <xf numFmtId="14" fontId="22396" fillId="22406" borderId="22353" xfId="0" applyNumberFormat="1" applyFont="1" applyFill="1" applyBorder="1"/>
    <xf numFmtId="0" fontId="22397" fillId="22407" borderId="22354" xfId="0" applyFont="1" applyFill="1" applyBorder="1"/>
    <xf numFmtId="0" fontId="22398" fillId="22408" borderId="22355" xfId="0" applyFont="1" applyFill="1" applyBorder="1"/>
    <xf numFmtId="0" fontId="22399" fillId="22409" borderId="22356" xfId="0" applyFont="1" applyFill="1" applyBorder="1"/>
    <xf numFmtId="4" fontId="22400" fillId="22410" borderId="22357" xfId="0" applyNumberFormat="1" applyFont="1" applyFill="1" applyBorder="1"/>
    <xf numFmtId="165" fontId="22401" fillId="22411" borderId="22358" xfId="0" applyNumberFormat="1" applyFont="1" applyFill="1" applyBorder="1"/>
    <xf numFmtId="165" fontId="22402" fillId="22412" borderId="22359" xfId="0" applyNumberFormat="1" applyFont="1" applyFill="1" applyBorder="1"/>
    <xf numFmtId="0" fontId="22403" fillId="22413" borderId="22360" xfId="0" applyFont="1" applyFill="1" applyBorder="1"/>
    <xf numFmtId="0" fontId="22404" fillId="22414" borderId="22361" xfId="0" applyFont="1" applyFill="1" applyBorder="1"/>
    <xf numFmtId="0" fontId="22405" fillId="22415" borderId="22362" xfId="0" applyFont="1" applyFill="1" applyBorder="1"/>
    <xf numFmtId="0" fontId="22406" fillId="22416" borderId="22363" xfId="0" applyFont="1" applyFill="1" applyBorder="1"/>
    <xf numFmtId="14" fontId="22407" fillId="22417" borderId="22364" xfId="0" applyNumberFormat="1" applyFont="1" applyFill="1" applyBorder="1"/>
    <xf numFmtId="0" fontId="22408" fillId="22418" borderId="22365" xfId="0" applyFont="1" applyFill="1" applyBorder="1"/>
    <xf numFmtId="0" fontId="22409" fillId="22419" borderId="22366" xfId="0" applyFont="1" applyFill="1" applyBorder="1"/>
    <xf numFmtId="0" fontId="22410" fillId="22420" borderId="22367" xfId="0" applyFont="1" applyFill="1" applyBorder="1"/>
    <xf numFmtId="4" fontId="22411" fillId="22421" borderId="22368" xfId="0" applyNumberFormat="1" applyFont="1" applyFill="1" applyBorder="1"/>
    <xf numFmtId="165" fontId="22412" fillId="22422" borderId="22369" xfId="0" applyNumberFormat="1" applyFont="1" applyFill="1" applyBorder="1"/>
    <xf numFmtId="165" fontId="22413" fillId="22423" borderId="22370" xfId="0" applyNumberFormat="1" applyFont="1" applyFill="1" applyBorder="1"/>
    <xf numFmtId="0" fontId="22414" fillId="22424" borderId="22371" xfId="0" applyFont="1" applyFill="1" applyBorder="1"/>
    <xf numFmtId="0" fontId="22415" fillId="22425" borderId="22372" xfId="0" applyFont="1" applyFill="1" applyBorder="1"/>
    <xf numFmtId="0" fontId="22416" fillId="22426" borderId="22373" xfId="0" applyFont="1" applyFill="1" applyBorder="1"/>
    <xf numFmtId="0" fontId="22417" fillId="22427" borderId="22374" xfId="0" applyFont="1" applyFill="1" applyBorder="1"/>
    <xf numFmtId="14" fontId="22418" fillId="22428" borderId="22375" xfId="0" applyNumberFormat="1" applyFont="1" applyFill="1" applyBorder="1"/>
    <xf numFmtId="0" fontId="22419" fillId="22429" borderId="22376" xfId="0" applyFont="1" applyFill="1" applyBorder="1"/>
    <xf numFmtId="0" fontId="22420" fillId="22430" borderId="22377" xfId="0" applyFont="1" applyFill="1" applyBorder="1"/>
    <xf numFmtId="0" fontId="22421" fillId="22431" borderId="22378" xfId="0" applyFont="1" applyFill="1" applyBorder="1"/>
    <xf numFmtId="4" fontId="22422" fillId="22432" borderId="22379" xfId="0" applyNumberFormat="1" applyFont="1" applyFill="1" applyBorder="1"/>
    <xf numFmtId="165" fontId="22423" fillId="22433" borderId="22380" xfId="0" applyNumberFormat="1" applyFont="1" applyFill="1" applyBorder="1"/>
    <xf numFmtId="165" fontId="22424" fillId="22434" borderId="22381" xfId="0" applyNumberFormat="1" applyFont="1" applyFill="1" applyBorder="1"/>
    <xf numFmtId="0" fontId="22425" fillId="22435" borderId="22382" xfId="0" applyFont="1" applyFill="1" applyBorder="1"/>
    <xf numFmtId="0" fontId="22426" fillId="22436" borderId="22383" xfId="0" applyFont="1" applyFill="1" applyBorder="1"/>
    <xf numFmtId="0" fontId="22427" fillId="22437" borderId="22384" xfId="0" applyFont="1" applyFill="1" applyBorder="1"/>
    <xf numFmtId="0" fontId="22428" fillId="22438" borderId="22385" xfId="0" applyFont="1" applyFill="1" applyBorder="1"/>
    <xf numFmtId="14" fontId="22429" fillId="22439" borderId="22386" xfId="0" applyNumberFormat="1" applyFont="1" applyFill="1" applyBorder="1"/>
    <xf numFmtId="0" fontId="22430" fillId="22440" borderId="22387" xfId="0" applyFont="1" applyFill="1" applyBorder="1"/>
    <xf numFmtId="0" fontId="22431" fillId="22441" borderId="22388" xfId="0" applyFont="1" applyFill="1" applyBorder="1"/>
    <xf numFmtId="0" fontId="22432" fillId="22442" borderId="22389" xfId="0" applyFont="1" applyFill="1" applyBorder="1"/>
    <xf numFmtId="4" fontId="22433" fillId="22443" borderId="22390" xfId="0" applyNumberFormat="1" applyFont="1" applyFill="1" applyBorder="1"/>
    <xf numFmtId="165" fontId="22434" fillId="22444" borderId="22391" xfId="0" applyNumberFormat="1" applyFont="1" applyFill="1" applyBorder="1"/>
    <xf numFmtId="165" fontId="22435" fillId="22445" borderId="22392" xfId="0" applyNumberFormat="1" applyFont="1" applyFill="1" applyBorder="1"/>
    <xf numFmtId="0" fontId="22436" fillId="22446" borderId="22393" xfId="0" applyFont="1" applyFill="1" applyBorder="1"/>
    <xf numFmtId="0" fontId="22437" fillId="22447" borderId="22394" xfId="0" applyFont="1" applyFill="1" applyBorder="1"/>
    <xf numFmtId="0" fontId="22438" fillId="22448" borderId="22395" xfId="0" applyFont="1" applyFill="1" applyBorder="1"/>
    <xf numFmtId="0" fontId="22439" fillId="22449" borderId="22396" xfId="0" applyFont="1" applyFill="1" applyBorder="1"/>
    <xf numFmtId="14" fontId="22440" fillId="22450" borderId="22397" xfId="0" applyNumberFormat="1" applyFont="1" applyFill="1" applyBorder="1"/>
    <xf numFmtId="0" fontId="22441" fillId="22451" borderId="22398" xfId="0" applyFont="1" applyFill="1" applyBorder="1"/>
    <xf numFmtId="0" fontId="22442" fillId="22452" borderId="22399" xfId="0" applyFont="1" applyFill="1" applyBorder="1"/>
    <xf numFmtId="0" fontId="22443" fillId="22453" borderId="22400" xfId="0" applyFont="1" applyFill="1" applyBorder="1"/>
    <xf numFmtId="4" fontId="22444" fillId="22454" borderId="22401" xfId="0" applyNumberFormat="1" applyFont="1" applyFill="1" applyBorder="1"/>
    <xf numFmtId="165" fontId="22445" fillId="22455" borderId="22402" xfId="0" applyNumberFormat="1" applyFont="1" applyFill="1" applyBorder="1"/>
    <xf numFmtId="165" fontId="22446" fillId="22456" borderId="22403" xfId="0" applyNumberFormat="1" applyFont="1" applyFill="1" applyBorder="1"/>
    <xf numFmtId="0" fontId="22447" fillId="22457" borderId="22404" xfId="0" applyFont="1" applyFill="1" applyBorder="1"/>
    <xf numFmtId="0" fontId="22448" fillId="22458" borderId="22405" xfId="0" applyFont="1" applyFill="1" applyBorder="1"/>
    <xf numFmtId="0" fontId="22449" fillId="22459" borderId="22406" xfId="0" applyFont="1" applyFill="1" applyBorder="1"/>
    <xf numFmtId="0" fontId="22450" fillId="22460" borderId="22407" xfId="0" applyFont="1" applyFill="1" applyBorder="1"/>
    <xf numFmtId="14" fontId="22451" fillId="22461" borderId="22408" xfId="0" applyNumberFormat="1" applyFont="1" applyFill="1" applyBorder="1"/>
    <xf numFmtId="0" fontId="22452" fillId="22462" borderId="22409" xfId="0" applyFont="1" applyFill="1" applyBorder="1"/>
    <xf numFmtId="0" fontId="22453" fillId="22463" borderId="22410" xfId="0" applyFont="1" applyFill="1" applyBorder="1"/>
    <xf numFmtId="0" fontId="22454" fillId="22464" borderId="22411" xfId="0" applyFont="1" applyFill="1" applyBorder="1"/>
    <xf numFmtId="4" fontId="22455" fillId="22465" borderId="22412" xfId="0" applyNumberFormat="1" applyFont="1" applyFill="1" applyBorder="1"/>
    <xf numFmtId="165" fontId="22456" fillId="22466" borderId="22413" xfId="0" applyNumberFormat="1" applyFont="1" applyFill="1" applyBorder="1"/>
    <xf numFmtId="165" fontId="22457" fillId="22467" borderId="22414" xfId="0" applyNumberFormat="1" applyFont="1" applyFill="1" applyBorder="1"/>
    <xf numFmtId="0" fontId="22458" fillId="22468" borderId="22415" xfId="0" applyFont="1" applyFill="1" applyBorder="1"/>
    <xf numFmtId="0" fontId="22459" fillId="22469" borderId="22416" xfId="0" applyFont="1" applyFill="1" applyBorder="1"/>
    <xf numFmtId="0" fontId="22460" fillId="22470" borderId="22417" xfId="0" applyFont="1" applyFill="1" applyBorder="1"/>
    <xf numFmtId="0" fontId="22461" fillId="22471" borderId="22418" xfId="0" applyFont="1" applyFill="1" applyBorder="1"/>
    <xf numFmtId="14" fontId="22462" fillId="22472" borderId="22419" xfId="0" applyNumberFormat="1" applyFont="1" applyFill="1" applyBorder="1"/>
    <xf numFmtId="0" fontId="22463" fillId="22473" borderId="22420" xfId="0" applyFont="1" applyFill="1" applyBorder="1"/>
    <xf numFmtId="0" fontId="22464" fillId="22474" borderId="22421" xfId="0" applyFont="1" applyFill="1" applyBorder="1"/>
    <xf numFmtId="0" fontId="22465" fillId="22475" borderId="22422" xfId="0" applyFont="1" applyFill="1" applyBorder="1"/>
    <xf numFmtId="4" fontId="22466" fillId="22476" borderId="22423" xfId="0" applyNumberFormat="1" applyFont="1" applyFill="1" applyBorder="1"/>
    <xf numFmtId="165" fontId="22467" fillId="22477" borderId="22424" xfId="0" applyNumberFormat="1" applyFont="1" applyFill="1" applyBorder="1"/>
    <xf numFmtId="165" fontId="22468" fillId="22478" borderId="22425" xfId="0" applyNumberFormat="1" applyFont="1" applyFill="1" applyBorder="1"/>
    <xf numFmtId="0" fontId="22469" fillId="22479" borderId="22426" xfId="0" applyFont="1" applyFill="1" applyBorder="1"/>
    <xf numFmtId="0" fontId="22470" fillId="22480" borderId="22427" xfId="0" applyFont="1" applyFill="1" applyBorder="1"/>
    <xf numFmtId="0" fontId="22471" fillId="22481" borderId="22428" xfId="0" applyFont="1" applyFill="1" applyBorder="1"/>
    <xf numFmtId="0" fontId="22472" fillId="22482" borderId="22429" xfId="0" applyFont="1" applyFill="1" applyBorder="1"/>
    <xf numFmtId="14" fontId="22473" fillId="22483" borderId="22430" xfId="0" applyNumberFormat="1" applyFont="1" applyFill="1" applyBorder="1"/>
    <xf numFmtId="0" fontId="22474" fillId="22484" borderId="22431" xfId="0" applyFont="1" applyFill="1" applyBorder="1"/>
    <xf numFmtId="0" fontId="22475" fillId="22485" borderId="22432" xfId="0" applyFont="1" applyFill="1" applyBorder="1"/>
    <xf numFmtId="0" fontId="22476" fillId="22486" borderId="22433" xfId="0" applyFont="1" applyFill="1" applyBorder="1"/>
    <xf numFmtId="4" fontId="22477" fillId="22487" borderId="22434" xfId="0" applyNumberFormat="1" applyFont="1" applyFill="1" applyBorder="1"/>
    <xf numFmtId="165" fontId="22478" fillId="22488" borderId="22435" xfId="0" applyNumberFormat="1" applyFont="1" applyFill="1" applyBorder="1"/>
    <xf numFmtId="165" fontId="22479" fillId="22489" borderId="22436" xfId="0" applyNumberFormat="1" applyFont="1" applyFill="1" applyBorder="1"/>
    <xf numFmtId="0" fontId="22480" fillId="22490" borderId="22437" xfId="0" applyFont="1" applyFill="1" applyBorder="1"/>
    <xf numFmtId="0" fontId="22481" fillId="22491" borderId="22438" xfId="0" applyFont="1" applyFill="1" applyBorder="1"/>
    <xf numFmtId="0" fontId="22482" fillId="22492" borderId="22439" xfId="0" applyFont="1" applyFill="1" applyBorder="1"/>
    <xf numFmtId="0" fontId="22483" fillId="22493" borderId="22440" xfId="0" applyFont="1" applyFill="1" applyBorder="1"/>
    <xf numFmtId="14" fontId="22484" fillId="22494" borderId="22441" xfId="0" applyNumberFormat="1" applyFont="1" applyFill="1" applyBorder="1"/>
    <xf numFmtId="0" fontId="22485" fillId="22495" borderId="22442" xfId="0" applyFont="1" applyFill="1" applyBorder="1"/>
    <xf numFmtId="0" fontId="22486" fillId="22496" borderId="22443" xfId="0" applyFont="1" applyFill="1" applyBorder="1"/>
    <xf numFmtId="0" fontId="22487" fillId="22497" borderId="22444" xfId="0" applyFont="1" applyFill="1" applyBorder="1"/>
    <xf numFmtId="4" fontId="22488" fillId="22498" borderId="22445" xfId="0" applyNumberFormat="1" applyFont="1" applyFill="1" applyBorder="1"/>
    <xf numFmtId="165" fontId="22489" fillId="22499" borderId="22446" xfId="0" applyNumberFormat="1" applyFont="1" applyFill="1" applyBorder="1"/>
    <xf numFmtId="165" fontId="22490" fillId="22500" borderId="22447" xfId="0" applyNumberFormat="1" applyFont="1" applyFill="1" applyBorder="1"/>
    <xf numFmtId="0" fontId="22491" fillId="22501" borderId="22448" xfId="0" applyFont="1" applyFill="1" applyBorder="1"/>
    <xf numFmtId="0" fontId="22492" fillId="22502" borderId="22449" xfId="0" applyFont="1" applyFill="1" applyBorder="1"/>
    <xf numFmtId="0" fontId="22493" fillId="22503" borderId="22450" xfId="0" applyFont="1" applyFill="1" applyBorder="1"/>
    <xf numFmtId="0" fontId="22494" fillId="22504" borderId="22451" xfId="0" applyFont="1" applyFill="1" applyBorder="1"/>
    <xf numFmtId="14" fontId="22495" fillId="22505" borderId="22452" xfId="0" applyNumberFormat="1" applyFont="1" applyFill="1" applyBorder="1"/>
    <xf numFmtId="0" fontId="22496" fillId="22506" borderId="22453" xfId="0" applyFont="1" applyFill="1" applyBorder="1"/>
    <xf numFmtId="0" fontId="22497" fillId="22507" borderId="22454" xfId="0" applyFont="1" applyFill="1" applyBorder="1"/>
    <xf numFmtId="0" fontId="22498" fillId="22508" borderId="22455" xfId="0" applyFont="1" applyFill="1" applyBorder="1"/>
    <xf numFmtId="4" fontId="22499" fillId="22509" borderId="22456" xfId="0" applyNumberFormat="1" applyFont="1" applyFill="1" applyBorder="1"/>
    <xf numFmtId="165" fontId="22500" fillId="22510" borderId="22457" xfId="0" applyNumberFormat="1" applyFont="1" applyFill="1" applyBorder="1"/>
    <xf numFmtId="165" fontId="22501" fillId="22511" borderId="22458" xfId="0" applyNumberFormat="1" applyFont="1" applyFill="1" applyBorder="1"/>
    <xf numFmtId="0" fontId="22502" fillId="22512" borderId="22459" xfId="0" applyFont="1" applyFill="1" applyBorder="1"/>
    <xf numFmtId="0" fontId="22503" fillId="22513" borderId="22460" xfId="0" applyFont="1" applyFill="1" applyBorder="1"/>
    <xf numFmtId="0" fontId="22504" fillId="22514" borderId="22461" xfId="0" applyFont="1" applyFill="1" applyBorder="1"/>
    <xf numFmtId="0" fontId="22505" fillId="22515" borderId="22462" xfId="0" applyFont="1" applyFill="1" applyBorder="1"/>
    <xf numFmtId="14" fontId="22506" fillId="22516" borderId="22463" xfId="0" applyNumberFormat="1" applyFont="1" applyFill="1" applyBorder="1"/>
    <xf numFmtId="0" fontId="22507" fillId="22517" borderId="22464" xfId="0" applyFont="1" applyFill="1" applyBorder="1"/>
    <xf numFmtId="0" fontId="22508" fillId="22518" borderId="22465" xfId="0" applyFont="1" applyFill="1" applyBorder="1"/>
    <xf numFmtId="0" fontId="22509" fillId="22519" borderId="22466" xfId="0" applyFont="1" applyFill="1" applyBorder="1"/>
    <xf numFmtId="4" fontId="22510" fillId="22520" borderId="22467" xfId="0" applyNumberFormat="1" applyFont="1" applyFill="1" applyBorder="1"/>
    <xf numFmtId="165" fontId="22511" fillId="22521" borderId="22468" xfId="0" applyNumberFormat="1" applyFont="1" applyFill="1" applyBorder="1"/>
    <xf numFmtId="165" fontId="22512" fillId="22522" borderId="22469" xfId="0" applyNumberFormat="1" applyFont="1" applyFill="1" applyBorder="1"/>
    <xf numFmtId="0" fontId="22513" fillId="22523" borderId="22470" xfId="0" applyFont="1" applyFill="1" applyBorder="1"/>
    <xf numFmtId="0" fontId="22514" fillId="22524" borderId="22471" xfId="0" applyFont="1" applyFill="1" applyBorder="1"/>
    <xf numFmtId="0" fontId="22515" fillId="22525" borderId="22472" xfId="0" applyFont="1" applyFill="1" applyBorder="1"/>
    <xf numFmtId="0" fontId="22516" fillId="22526" borderId="22473" xfId="0" applyFont="1" applyFill="1" applyBorder="1"/>
    <xf numFmtId="14" fontId="22517" fillId="22527" borderId="22474" xfId="0" applyNumberFormat="1" applyFont="1" applyFill="1" applyBorder="1"/>
    <xf numFmtId="0" fontId="22518" fillId="22528" borderId="22475" xfId="0" applyFont="1" applyFill="1" applyBorder="1"/>
    <xf numFmtId="0" fontId="22519" fillId="22529" borderId="22476" xfId="0" applyFont="1" applyFill="1" applyBorder="1"/>
    <xf numFmtId="0" fontId="22520" fillId="22530" borderId="22477" xfId="0" applyFont="1" applyFill="1" applyBorder="1"/>
    <xf numFmtId="4" fontId="22521" fillId="22531" borderId="22478" xfId="0" applyNumberFormat="1" applyFont="1" applyFill="1" applyBorder="1"/>
    <xf numFmtId="165" fontId="22522" fillId="22532" borderId="22479" xfId="0" applyNumberFormat="1" applyFont="1" applyFill="1" applyBorder="1"/>
    <xf numFmtId="165" fontId="22523" fillId="22533" borderId="22480" xfId="0" applyNumberFormat="1" applyFont="1" applyFill="1" applyBorder="1"/>
    <xf numFmtId="0" fontId="22524" fillId="22534" borderId="22481" xfId="0" applyFont="1" applyFill="1" applyBorder="1"/>
    <xf numFmtId="0" fontId="22525" fillId="22535" borderId="22482" xfId="0" applyFont="1" applyFill="1" applyBorder="1"/>
    <xf numFmtId="0" fontId="22526" fillId="22536" borderId="22483" xfId="0" applyFont="1" applyFill="1" applyBorder="1"/>
    <xf numFmtId="0" fontId="22527" fillId="22537" borderId="22484" xfId="0" applyFont="1" applyFill="1" applyBorder="1"/>
    <xf numFmtId="14" fontId="22528" fillId="22538" borderId="22485" xfId="0" applyNumberFormat="1" applyFont="1" applyFill="1" applyBorder="1"/>
    <xf numFmtId="0" fontId="22529" fillId="22539" borderId="22486" xfId="0" applyFont="1" applyFill="1" applyBorder="1"/>
    <xf numFmtId="0" fontId="22530" fillId="22540" borderId="22487" xfId="0" applyFont="1" applyFill="1" applyBorder="1"/>
    <xf numFmtId="0" fontId="22531" fillId="22541" borderId="22488" xfId="0" applyFont="1" applyFill="1" applyBorder="1"/>
    <xf numFmtId="4" fontId="22532" fillId="22542" borderId="22489" xfId="0" applyNumberFormat="1" applyFont="1" applyFill="1" applyBorder="1"/>
    <xf numFmtId="165" fontId="22533" fillId="22543" borderId="22490" xfId="0" applyNumberFormat="1" applyFont="1" applyFill="1" applyBorder="1"/>
    <xf numFmtId="165" fontId="22534" fillId="22544" borderId="22491" xfId="0" applyNumberFormat="1" applyFont="1" applyFill="1" applyBorder="1"/>
    <xf numFmtId="0" fontId="22535" fillId="22545" borderId="22492" xfId="0" applyFont="1" applyFill="1" applyBorder="1"/>
    <xf numFmtId="0" fontId="22536" fillId="22546" borderId="22493" xfId="0" applyFont="1" applyFill="1" applyBorder="1"/>
    <xf numFmtId="0" fontId="22537" fillId="22547" borderId="22494" xfId="0" applyFont="1" applyFill="1" applyBorder="1"/>
    <xf numFmtId="0" fontId="22538" fillId="22548" borderId="22495" xfId="0" applyFont="1" applyFill="1" applyBorder="1"/>
    <xf numFmtId="14" fontId="22539" fillId="22549" borderId="22496" xfId="0" applyNumberFormat="1" applyFont="1" applyFill="1" applyBorder="1"/>
    <xf numFmtId="0" fontId="22540" fillId="22550" borderId="22497" xfId="0" applyFont="1" applyFill="1" applyBorder="1"/>
    <xf numFmtId="0" fontId="22541" fillId="22551" borderId="22498" xfId="0" applyFont="1" applyFill="1" applyBorder="1"/>
    <xf numFmtId="0" fontId="22542" fillId="22552" borderId="22499" xfId="0" applyFont="1" applyFill="1" applyBorder="1"/>
    <xf numFmtId="4" fontId="22543" fillId="22553" borderId="22500" xfId="0" applyNumberFormat="1" applyFont="1" applyFill="1" applyBorder="1"/>
    <xf numFmtId="165" fontId="22544" fillId="22554" borderId="22501" xfId="0" applyNumberFormat="1" applyFont="1" applyFill="1" applyBorder="1"/>
    <xf numFmtId="165" fontId="22545" fillId="22555" borderId="22502" xfId="0" applyNumberFormat="1" applyFont="1" applyFill="1" applyBorder="1"/>
    <xf numFmtId="0" fontId="22546" fillId="22556" borderId="22503" xfId="0" applyFont="1" applyFill="1" applyBorder="1"/>
    <xf numFmtId="0" fontId="22547" fillId="22557" borderId="22504" xfId="0" applyFont="1" applyFill="1" applyBorder="1"/>
    <xf numFmtId="0" fontId="22548" fillId="22558" borderId="22505" xfId="0" applyFont="1" applyFill="1" applyBorder="1"/>
    <xf numFmtId="0" fontId="22549" fillId="22559" borderId="22506" xfId="0" applyFont="1" applyFill="1" applyBorder="1"/>
    <xf numFmtId="14" fontId="22550" fillId="22560" borderId="22507" xfId="0" applyNumberFormat="1" applyFont="1" applyFill="1" applyBorder="1"/>
    <xf numFmtId="0" fontId="22551" fillId="22561" borderId="22508" xfId="0" applyFont="1" applyFill="1" applyBorder="1"/>
    <xf numFmtId="0" fontId="22552" fillId="22562" borderId="22509" xfId="0" applyFont="1" applyFill="1" applyBorder="1"/>
    <xf numFmtId="0" fontId="22553" fillId="22563" borderId="22510" xfId="0" applyFont="1" applyFill="1" applyBorder="1"/>
    <xf numFmtId="4" fontId="22554" fillId="22564" borderId="22511" xfId="0" applyNumberFormat="1" applyFont="1" applyFill="1" applyBorder="1"/>
    <xf numFmtId="165" fontId="22555" fillId="22565" borderId="22512" xfId="0" applyNumberFormat="1" applyFont="1" applyFill="1" applyBorder="1"/>
    <xf numFmtId="165" fontId="22556" fillId="22566" borderId="22513" xfId="0" applyNumberFormat="1" applyFont="1" applyFill="1" applyBorder="1"/>
    <xf numFmtId="0" fontId="22557" fillId="22567" borderId="22514" xfId="0" applyFont="1" applyFill="1" applyBorder="1"/>
    <xf numFmtId="0" fontId="22558" fillId="22568" borderId="22515" xfId="0" applyFont="1" applyFill="1" applyBorder="1"/>
    <xf numFmtId="0" fontId="22559" fillId="22569" borderId="22516" xfId="0" applyFont="1" applyFill="1" applyBorder="1"/>
    <xf numFmtId="0" fontId="22560" fillId="22570" borderId="22517" xfId="0" applyFont="1" applyFill="1" applyBorder="1"/>
    <xf numFmtId="14" fontId="22561" fillId="22571" borderId="22518" xfId="0" applyNumberFormat="1" applyFont="1" applyFill="1" applyBorder="1"/>
    <xf numFmtId="0" fontId="22562" fillId="22572" borderId="22519" xfId="0" applyFont="1" applyFill="1" applyBorder="1"/>
    <xf numFmtId="0" fontId="22563" fillId="22573" borderId="22520" xfId="0" applyFont="1" applyFill="1" applyBorder="1"/>
    <xf numFmtId="0" fontId="22564" fillId="22574" borderId="22521" xfId="0" applyFont="1" applyFill="1" applyBorder="1"/>
    <xf numFmtId="4" fontId="22565" fillId="22575" borderId="22522" xfId="0" applyNumberFormat="1" applyFont="1" applyFill="1" applyBorder="1"/>
    <xf numFmtId="165" fontId="22566" fillId="22576" borderId="22523" xfId="0" applyNumberFormat="1" applyFont="1" applyFill="1" applyBorder="1"/>
    <xf numFmtId="165" fontId="22567" fillId="22577" borderId="22524" xfId="0" applyNumberFormat="1" applyFont="1" applyFill="1" applyBorder="1"/>
    <xf numFmtId="0" fontId="22568" fillId="22578" borderId="22525" xfId="0" applyFont="1" applyFill="1" applyBorder="1"/>
    <xf numFmtId="0" fontId="22569" fillId="22579" borderId="22526" xfId="0" applyFont="1" applyFill="1" applyBorder="1"/>
    <xf numFmtId="0" fontId="22570" fillId="22580" borderId="22527" xfId="0" applyFont="1" applyFill="1" applyBorder="1"/>
    <xf numFmtId="0" fontId="22571" fillId="22581" borderId="22528" xfId="0" applyFont="1" applyFill="1" applyBorder="1"/>
    <xf numFmtId="14" fontId="22572" fillId="22582" borderId="22529" xfId="0" applyNumberFormat="1" applyFont="1" applyFill="1" applyBorder="1"/>
    <xf numFmtId="0" fontId="22573" fillId="22583" borderId="22530" xfId="0" applyFont="1" applyFill="1" applyBorder="1"/>
    <xf numFmtId="0" fontId="22574" fillId="22584" borderId="22531" xfId="0" applyFont="1" applyFill="1" applyBorder="1"/>
    <xf numFmtId="0" fontId="22575" fillId="22585" borderId="22532" xfId="0" applyFont="1" applyFill="1" applyBorder="1"/>
    <xf numFmtId="4" fontId="22576" fillId="22586" borderId="22533" xfId="0" applyNumberFormat="1" applyFont="1" applyFill="1" applyBorder="1"/>
    <xf numFmtId="165" fontId="22577" fillId="22587" borderId="22534" xfId="0" applyNumberFormat="1" applyFont="1" applyFill="1" applyBorder="1"/>
    <xf numFmtId="165" fontId="22578" fillId="22588" borderId="22535" xfId="0" applyNumberFormat="1" applyFont="1" applyFill="1" applyBorder="1"/>
    <xf numFmtId="0" fontId="22579" fillId="22589" borderId="22536" xfId="0" applyFont="1" applyFill="1" applyBorder="1"/>
    <xf numFmtId="0" fontId="22580" fillId="22590" borderId="22537" xfId="0" applyFont="1" applyFill="1" applyBorder="1"/>
    <xf numFmtId="0" fontId="22581" fillId="22591" borderId="22538" xfId="0" applyFont="1" applyFill="1" applyBorder="1"/>
    <xf numFmtId="0" fontId="22582" fillId="22592" borderId="22539" xfId="0" applyFont="1" applyFill="1" applyBorder="1"/>
    <xf numFmtId="14" fontId="22583" fillId="22593" borderId="22540" xfId="0" applyNumberFormat="1" applyFont="1" applyFill="1" applyBorder="1"/>
    <xf numFmtId="0" fontId="22584" fillId="22594" borderId="22541" xfId="0" applyFont="1" applyFill="1" applyBorder="1"/>
    <xf numFmtId="0" fontId="22585" fillId="22595" borderId="22542" xfId="0" applyFont="1" applyFill="1" applyBorder="1"/>
    <xf numFmtId="0" fontId="22586" fillId="22596" borderId="22543" xfId="0" applyFont="1" applyFill="1" applyBorder="1"/>
    <xf numFmtId="4" fontId="22587" fillId="22597" borderId="22544" xfId="0" applyNumberFormat="1" applyFont="1" applyFill="1" applyBorder="1"/>
    <xf numFmtId="165" fontId="22588" fillId="22598" borderId="22545" xfId="0" applyNumberFormat="1" applyFont="1" applyFill="1" applyBorder="1"/>
    <xf numFmtId="165" fontId="22589" fillId="22599" borderId="22546" xfId="0" applyNumberFormat="1" applyFont="1" applyFill="1" applyBorder="1"/>
    <xf numFmtId="0" fontId="22590" fillId="22600" borderId="22547" xfId="0" applyFont="1" applyFill="1" applyBorder="1"/>
    <xf numFmtId="0" fontId="22591" fillId="22601" borderId="22548" xfId="0" applyFont="1" applyFill="1" applyBorder="1"/>
    <xf numFmtId="0" fontId="22592" fillId="22602" borderId="22549" xfId="0" applyFont="1" applyFill="1" applyBorder="1"/>
    <xf numFmtId="0" fontId="22593" fillId="22603" borderId="22550" xfId="0" applyFont="1" applyFill="1" applyBorder="1"/>
    <xf numFmtId="14" fontId="22594" fillId="22604" borderId="22551" xfId="0" applyNumberFormat="1" applyFont="1" applyFill="1" applyBorder="1"/>
    <xf numFmtId="0" fontId="22595" fillId="22605" borderId="22552" xfId="0" applyFont="1" applyFill="1" applyBorder="1"/>
    <xf numFmtId="0" fontId="22596" fillId="22606" borderId="22553" xfId="0" applyFont="1" applyFill="1" applyBorder="1"/>
    <xf numFmtId="0" fontId="22597" fillId="22607" borderId="22554" xfId="0" applyFont="1" applyFill="1" applyBorder="1"/>
    <xf numFmtId="4" fontId="22598" fillId="22608" borderId="22555" xfId="0" applyNumberFormat="1" applyFont="1" applyFill="1" applyBorder="1"/>
    <xf numFmtId="165" fontId="22599" fillId="22609" borderId="22556" xfId="0" applyNumberFormat="1" applyFont="1" applyFill="1" applyBorder="1"/>
    <xf numFmtId="165" fontId="22600" fillId="22610" borderId="22557" xfId="0" applyNumberFormat="1" applyFont="1" applyFill="1" applyBorder="1"/>
    <xf numFmtId="0" fontId="22601" fillId="22611" borderId="22558" xfId="0" applyFont="1" applyFill="1" applyBorder="1"/>
    <xf numFmtId="0" fontId="22602" fillId="22612" borderId="22559" xfId="0" applyFont="1" applyFill="1" applyBorder="1"/>
    <xf numFmtId="0" fontId="22603" fillId="22613" borderId="22560" xfId="0" applyFont="1" applyFill="1" applyBorder="1"/>
    <xf numFmtId="0" fontId="22604" fillId="22614" borderId="22561" xfId="0" applyFont="1" applyFill="1" applyBorder="1"/>
    <xf numFmtId="14" fontId="22605" fillId="22615" borderId="22562" xfId="0" applyNumberFormat="1" applyFont="1" applyFill="1" applyBorder="1"/>
    <xf numFmtId="0" fontId="22606" fillId="22616" borderId="22563" xfId="0" applyFont="1" applyFill="1" applyBorder="1"/>
    <xf numFmtId="0" fontId="22607" fillId="22617" borderId="22564" xfId="0" applyFont="1" applyFill="1" applyBorder="1"/>
    <xf numFmtId="0" fontId="22608" fillId="22618" borderId="22565" xfId="0" applyFont="1" applyFill="1" applyBorder="1"/>
    <xf numFmtId="4" fontId="22609" fillId="22619" borderId="22566" xfId="0" applyNumberFormat="1" applyFont="1" applyFill="1" applyBorder="1"/>
    <xf numFmtId="165" fontId="22610" fillId="22620" borderId="22567" xfId="0" applyNumberFormat="1" applyFont="1" applyFill="1" applyBorder="1"/>
    <xf numFmtId="165" fontId="22611" fillId="22621" borderId="22568" xfId="0" applyNumberFormat="1" applyFont="1" applyFill="1" applyBorder="1"/>
    <xf numFmtId="0" fontId="22612" fillId="22622" borderId="22569" xfId="0" applyFont="1" applyFill="1" applyBorder="1"/>
    <xf numFmtId="0" fontId="22613" fillId="22623" borderId="22570" xfId="0" applyFont="1" applyFill="1" applyBorder="1"/>
    <xf numFmtId="0" fontId="22614" fillId="22624" borderId="22571" xfId="0" applyFont="1" applyFill="1" applyBorder="1"/>
    <xf numFmtId="0" fontId="22615" fillId="22625" borderId="22572" xfId="0" applyFont="1" applyFill="1" applyBorder="1"/>
    <xf numFmtId="14" fontId="22616" fillId="22626" borderId="22573" xfId="0" applyNumberFormat="1" applyFont="1" applyFill="1" applyBorder="1"/>
    <xf numFmtId="0" fontId="22617" fillId="22627" borderId="22574" xfId="0" applyFont="1" applyFill="1" applyBorder="1"/>
    <xf numFmtId="0" fontId="22618" fillId="22628" borderId="22575" xfId="0" applyFont="1" applyFill="1" applyBorder="1"/>
    <xf numFmtId="0" fontId="22619" fillId="22629" borderId="22576" xfId="0" applyFont="1" applyFill="1" applyBorder="1"/>
    <xf numFmtId="4" fontId="22620" fillId="22630" borderId="22577" xfId="0" applyNumberFormat="1" applyFont="1" applyFill="1" applyBorder="1"/>
    <xf numFmtId="165" fontId="22621" fillId="22631" borderId="22578" xfId="0" applyNumberFormat="1" applyFont="1" applyFill="1" applyBorder="1"/>
    <xf numFmtId="165" fontId="22622" fillId="22632" borderId="22579" xfId="0" applyNumberFormat="1" applyFont="1" applyFill="1" applyBorder="1"/>
    <xf numFmtId="0" fontId="22623" fillId="22633" borderId="22580" xfId="0" applyFont="1" applyFill="1" applyBorder="1"/>
    <xf numFmtId="0" fontId="22624" fillId="22634" borderId="22581" xfId="0" applyFont="1" applyFill="1" applyBorder="1"/>
    <xf numFmtId="0" fontId="22625" fillId="22635" borderId="22582" xfId="0" applyFont="1" applyFill="1" applyBorder="1"/>
    <xf numFmtId="0" fontId="22626" fillId="22636" borderId="22583" xfId="0" applyFont="1" applyFill="1" applyBorder="1"/>
    <xf numFmtId="14" fontId="22627" fillId="22637" borderId="22584" xfId="0" applyNumberFormat="1" applyFont="1" applyFill="1" applyBorder="1"/>
    <xf numFmtId="0" fontId="22628" fillId="22638" borderId="22585" xfId="0" applyFont="1" applyFill="1" applyBorder="1"/>
    <xf numFmtId="0" fontId="22629" fillId="22639" borderId="22586" xfId="0" applyFont="1" applyFill="1" applyBorder="1"/>
    <xf numFmtId="0" fontId="22630" fillId="22640" borderId="22587" xfId="0" applyFont="1" applyFill="1" applyBorder="1"/>
    <xf numFmtId="4" fontId="22631" fillId="22641" borderId="22588" xfId="0" applyNumberFormat="1" applyFont="1" applyFill="1" applyBorder="1"/>
    <xf numFmtId="165" fontId="22632" fillId="22642" borderId="22589" xfId="0" applyNumberFormat="1" applyFont="1" applyFill="1" applyBorder="1"/>
    <xf numFmtId="165" fontId="22633" fillId="22643" borderId="22590" xfId="0" applyNumberFormat="1" applyFont="1" applyFill="1" applyBorder="1"/>
    <xf numFmtId="0" fontId="22634" fillId="22644" borderId="22591" xfId="0" applyFont="1" applyFill="1" applyBorder="1"/>
    <xf numFmtId="0" fontId="22635" fillId="22645" borderId="22592" xfId="0" applyFont="1" applyFill="1" applyBorder="1"/>
    <xf numFmtId="0" fontId="22636" fillId="22646" borderId="22593" xfId="0" applyFont="1" applyFill="1" applyBorder="1"/>
    <xf numFmtId="0" fontId="22637" fillId="22647" borderId="22594" xfId="0" applyFont="1" applyFill="1" applyBorder="1"/>
    <xf numFmtId="14" fontId="22638" fillId="22648" borderId="22595" xfId="0" applyNumberFormat="1" applyFont="1" applyFill="1" applyBorder="1"/>
    <xf numFmtId="0" fontId="22639" fillId="22649" borderId="22596" xfId="0" applyFont="1" applyFill="1" applyBorder="1"/>
    <xf numFmtId="0" fontId="22640" fillId="22650" borderId="22597" xfId="0" applyFont="1" applyFill="1" applyBorder="1"/>
    <xf numFmtId="0" fontId="22641" fillId="22651" borderId="22598" xfId="0" applyFont="1" applyFill="1" applyBorder="1"/>
    <xf numFmtId="4" fontId="22642" fillId="22652" borderId="22599" xfId="0" applyNumberFormat="1" applyFont="1" applyFill="1" applyBorder="1"/>
    <xf numFmtId="165" fontId="22643" fillId="22653" borderId="22600" xfId="0" applyNumberFormat="1" applyFont="1" applyFill="1" applyBorder="1"/>
    <xf numFmtId="165" fontId="22644" fillId="22654" borderId="22601" xfId="0" applyNumberFormat="1" applyFont="1" applyFill="1" applyBorder="1"/>
    <xf numFmtId="0" fontId="22645" fillId="22655" borderId="22602" xfId="0" applyFont="1" applyFill="1" applyBorder="1"/>
    <xf numFmtId="0" fontId="22646" fillId="22656" borderId="22603" xfId="0" applyFont="1" applyFill="1" applyBorder="1"/>
    <xf numFmtId="0" fontId="22647" fillId="22657" borderId="22604" xfId="0" applyFont="1" applyFill="1" applyBorder="1"/>
    <xf numFmtId="0" fontId="22648" fillId="22658" borderId="22605" xfId="0" applyFont="1" applyFill="1" applyBorder="1"/>
    <xf numFmtId="14" fontId="22649" fillId="22659" borderId="22606" xfId="0" applyNumberFormat="1" applyFont="1" applyFill="1" applyBorder="1"/>
    <xf numFmtId="0" fontId="22650" fillId="22660" borderId="22607" xfId="0" applyFont="1" applyFill="1" applyBorder="1"/>
    <xf numFmtId="0" fontId="22651" fillId="22661" borderId="22608" xfId="0" applyFont="1" applyFill="1" applyBorder="1"/>
    <xf numFmtId="0" fontId="22652" fillId="22662" borderId="22609" xfId="0" applyFont="1" applyFill="1" applyBorder="1"/>
    <xf numFmtId="4" fontId="22653" fillId="22663" borderId="22610" xfId="0" applyNumberFormat="1" applyFont="1" applyFill="1" applyBorder="1"/>
    <xf numFmtId="165" fontId="22654" fillId="22664" borderId="22611" xfId="0" applyNumberFormat="1" applyFont="1" applyFill="1" applyBorder="1"/>
    <xf numFmtId="165" fontId="22655" fillId="22665" borderId="22612" xfId="0" applyNumberFormat="1" applyFont="1" applyFill="1" applyBorder="1"/>
    <xf numFmtId="0" fontId="22656" fillId="22666" borderId="22613" xfId="0" applyFont="1" applyFill="1" applyBorder="1"/>
    <xf numFmtId="0" fontId="22657" fillId="22667" borderId="22614" xfId="0" applyFont="1" applyFill="1" applyBorder="1"/>
    <xf numFmtId="0" fontId="22658" fillId="22668" borderId="22615" xfId="0" applyFont="1" applyFill="1" applyBorder="1"/>
    <xf numFmtId="0" fontId="22659" fillId="22669" borderId="22616" xfId="0" applyFont="1" applyFill="1" applyBorder="1"/>
    <xf numFmtId="14" fontId="22660" fillId="22670" borderId="22617" xfId="0" applyNumberFormat="1" applyFont="1" applyFill="1" applyBorder="1"/>
    <xf numFmtId="0" fontId="22661" fillId="22671" borderId="22618" xfId="0" applyFont="1" applyFill="1" applyBorder="1"/>
    <xf numFmtId="0" fontId="22662" fillId="22672" borderId="22619" xfId="0" applyFont="1" applyFill="1" applyBorder="1"/>
    <xf numFmtId="0" fontId="22663" fillId="22673" borderId="22620" xfId="0" applyFont="1" applyFill="1" applyBorder="1"/>
    <xf numFmtId="4" fontId="22664" fillId="22674" borderId="22621" xfId="0" applyNumberFormat="1" applyFont="1" applyFill="1" applyBorder="1"/>
    <xf numFmtId="165" fontId="22665" fillId="22675" borderId="22622" xfId="0" applyNumberFormat="1" applyFont="1" applyFill="1" applyBorder="1"/>
    <xf numFmtId="165" fontId="22666" fillId="22676" borderId="22623" xfId="0" applyNumberFormat="1" applyFont="1" applyFill="1" applyBorder="1"/>
    <xf numFmtId="0" fontId="22667" fillId="22677" borderId="22624" xfId="0" applyFont="1" applyFill="1" applyBorder="1"/>
    <xf numFmtId="0" fontId="22668" fillId="22678" borderId="22625" xfId="0" applyFont="1" applyFill="1" applyBorder="1"/>
    <xf numFmtId="0" fontId="22669" fillId="22679" borderId="22626" xfId="0" applyFont="1" applyFill="1" applyBorder="1"/>
    <xf numFmtId="0" fontId="22670" fillId="22680" borderId="22627" xfId="0" applyFont="1" applyFill="1" applyBorder="1"/>
    <xf numFmtId="14" fontId="22671" fillId="22681" borderId="22628" xfId="0" applyNumberFormat="1" applyFont="1" applyFill="1" applyBorder="1"/>
    <xf numFmtId="0" fontId="22672" fillId="22682" borderId="22629" xfId="0" applyFont="1" applyFill="1" applyBorder="1"/>
    <xf numFmtId="0" fontId="22673" fillId="22683" borderId="22630" xfId="0" applyFont="1" applyFill="1" applyBorder="1"/>
    <xf numFmtId="0" fontId="22674" fillId="22684" borderId="22631" xfId="0" applyFont="1" applyFill="1" applyBorder="1"/>
    <xf numFmtId="4" fontId="22675" fillId="22685" borderId="22632" xfId="0" applyNumberFormat="1" applyFont="1" applyFill="1" applyBorder="1"/>
    <xf numFmtId="165" fontId="22676" fillId="22686" borderId="22633" xfId="0" applyNumberFormat="1" applyFont="1" applyFill="1" applyBorder="1"/>
    <xf numFmtId="165" fontId="22677" fillId="22687" borderId="22634" xfId="0" applyNumberFormat="1" applyFont="1" applyFill="1" applyBorder="1"/>
    <xf numFmtId="0" fontId="22678" fillId="22688" borderId="22635" xfId="0" applyFont="1" applyFill="1" applyBorder="1"/>
    <xf numFmtId="0" fontId="22679" fillId="22689" borderId="22636" xfId="0" applyFont="1" applyFill="1" applyBorder="1"/>
    <xf numFmtId="0" fontId="22680" fillId="22690" borderId="22637" xfId="0" applyFont="1" applyFill="1" applyBorder="1"/>
    <xf numFmtId="0" fontId="22681" fillId="22691" borderId="22638" xfId="0" applyFont="1" applyFill="1" applyBorder="1"/>
    <xf numFmtId="14" fontId="22682" fillId="22692" borderId="22639" xfId="0" applyNumberFormat="1" applyFont="1" applyFill="1" applyBorder="1"/>
    <xf numFmtId="0" fontId="22683" fillId="22693" borderId="22640" xfId="0" applyFont="1" applyFill="1" applyBorder="1"/>
    <xf numFmtId="0" fontId="22684" fillId="22694" borderId="22641" xfId="0" applyFont="1" applyFill="1" applyBorder="1"/>
    <xf numFmtId="0" fontId="22685" fillId="22695" borderId="22642" xfId="0" applyFont="1" applyFill="1" applyBorder="1"/>
    <xf numFmtId="4" fontId="22686" fillId="22696" borderId="22643" xfId="0" applyNumberFormat="1" applyFont="1" applyFill="1" applyBorder="1"/>
    <xf numFmtId="165" fontId="22687" fillId="22697" borderId="22644" xfId="0" applyNumberFormat="1" applyFont="1" applyFill="1" applyBorder="1"/>
    <xf numFmtId="165" fontId="22688" fillId="22698" borderId="22645" xfId="0" applyNumberFormat="1" applyFont="1" applyFill="1" applyBorder="1"/>
    <xf numFmtId="0" fontId="22689" fillId="22699" borderId="22646" xfId="0" applyFont="1" applyFill="1" applyBorder="1"/>
    <xf numFmtId="0" fontId="22690" fillId="22700" borderId="22647" xfId="0" applyFont="1" applyFill="1" applyBorder="1"/>
    <xf numFmtId="0" fontId="22691" fillId="22701" borderId="22648" xfId="0" applyFont="1" applyFill="1" applyBorder="1"/>
    <xf numFmtId="0" fontId="22692" fillId="22702" borderId="22649" xfId="0" applyFont="1" applyFill="1" applyBorder="1"/>
    <xf numFmtId="14" fontId="22693" fillId="22703" borderId="22650" xfId="0" applyNumberFormat="1" applyFont="1" applyFill="1" applyBorder="1"/>
    <xf numFmtId="0" fontId="22694" fillId="22704" borderId="22651" xfId="0" applyFont="1" applyFill="1" applyBorder="1"/>
    <xf numFmtId="0" fontId="22695" fillId="22705" borderId="22652" xfId="0" applyFont="1" applyFill="1" applyBorder="1"/>
    <xf numFmtId="0" fontId="22696" fillId="22706" borderId="22653" xfId="0" applyFont="1" applyFill="1" applyBorder="1"/>
    <xf numFmtId="4" fontId="22697" fillId="22707" borderId="22654" xfId="0" applyNumberFormat="1" applyFont="1" applyFill="1" applyBorder="1"/>
    <xf numFmtId="165" fontId="22698" fillId="22708" borderId="22655" xfId="0" applyNumberFormat="1" applyFont="1" applyFill="1" applyBorder="1"/>
    <xf numFmtId="165" fontId="22699" fillId="22709" borderId="22656" xfId="0" applyNumberFormat="1" applyFont="1" applyFill="1" applyBorder="1"/>
    <xf numFmtId="0" fontId="22700" fillId="22710" borderId="22657" xfId="0" applyFont="1" applyFill="1" applyBorder="1"/>
    <xf numFmtId="0" fontId="22701" fillId="22711" borderId="22658" xfId="0" applyFont="1" applyFill="1" applyBorder="1"/>
    <xf numFmtId="0" fontId="22702" fillId="22712" borderId="22659" xfId="0" applyFont="1" applyFill="1" applyBorder="1"/>
    <xf numFmtId="0" fontId="22703" fillId="22713" borderId="22660" xfId="0" applyFont="1" applyFill="1" applyBorder="1"/>
    <xf numFmtId="14" fontId="22704" fillId="22714" borderId="22661" xfId="0" applyNumberFormat="1" applyFont="1" applyFill="1" applyBorder="1"/>
    <xf numFmtId="0" fontId="22705" fillId="22715" borderId="22662" xfId="0" applyFont="1" applyFill="1" applyBorder="1"/>
    <xf numFmtId="0" fontId="22706" fillId="22716" borderId="22663" xfId="0" applyFont="1" applyFill="1" applyBorder="1"/>
    <xf numFmtId="0" fontId="22707" fillId="22717" borderId="22664" xfId="0" applyFont="1" applyFill="1" applyBorder="1"/>
    <xf numFmtId="4" fontId="22708" fillId="22718" borderId="22665" xfId="0" applyNumberFormat="1" applyFont="1" applyFill="1" applyBorder="1"/>
    <xf numFmtId="165" fontId="22709" fillId="22719" borderId="22666" xfId="0" applyNumberFormat="1" applyFont="1" applyFill="1" applyBorder="1"/>
    <xf numFmtId="165" fontId="22710" fillId="22720" borderId="22667" xfId="0" applyNumberFormat="1" applyFont="1" applyFill="1" applyBorder="1"/>
    <xf numFmtId="0" fontId="22711" fillId="22721" borderId="22668" xfId="0" applyFont="1" applyFill="1" applyBorder="1"/>
    <xf numFmtId="0" fontId="22712" fillId="22722" borderId="22669" xfId="0" applyFont="1" applyFill="1" applyBorder="1"/>
    <xf numFmtId="0" fontId="22713" fillId="22723" borderId="22670" xfId="0" applyFont="1" applyFill="1" applyBorder="1"/>
    <xf numFmtId="0" fontId="22714" fillId="22724" borderId="22671" xfId="0" applyFont="1" applyFill="1" applyBorder="1"/>
    <xf numFmtId="14" fontId="22715" fillId="22725" borderId="22672" xfId="0" applyNumberFormat="1" applyFont="1" applyFill="1" applyBorder="1"/>
    <xf numFmtId="0" fontId="22716" fillId="22726" borderId="22673" xfId="0" applyFont="1" applyFill="1" applyBorder="1"/>
    <xf numFmtId="0" fontId="22717" fillId="22727" borderId="22674" xfId="0" applyFont="1" applyFill="1" applyBorder="1"/>
    <xf numFmtId="0" fontId="22718" fillId="22728" borderId="22675" xfId="0" applyFont="1" applyFill="1" applyBorder="1"/>
    <xf numFmtId="4" fontId="22719" fillId="22729" borderId="22676" xfId="0" applyNumberFormat="1" applyFont="1" applyFill="1" applyBorder="1"/>
    <xf numFmtId="165" fontId="22720" fillId="22730" borderId="22677" xfId="0" applyNumberFormat="1" applyFont="1" applyFill="1" applyBorder="1"/>
    <xf numFmtId="165" fontId="22721" fillId="22731" borderId="22678" xfId="0" applyNumberFormat="1" applyFont="1" applyFill="1" applyBorder="1"/>
    <xf numFmtId="0" fontId="22722" fillId="22732" borderId="22679" xfId="0" applyFont="1" applyFill="1" applyBorder="1"/>
    <xf numFmtId="0" fontId="22723" fillId="22733" borderId="22680" xfId="0" applyFont="1" applyFill="1" applyBorder="1"/>
    <xf numFmtId="0" fontId="22724" fillId="22734" borderId="22681" xfId="0" applyFont="1" applyFill="1" applyBorder="1"/>
    <xf numFmtId="0" fontId="22725" fillId="22735" borderId="22682" xfId="0" applyFont="1" applyFill="1" applyBorder="1"/>
    <xf numFmtId="14" fontId="22726" fillId="22736" borderId="22683" xfId="0" applyNumberFormat="1" applyFont="1" applyFill="1" applyBorder="1"/>
    <xf numFmtId="0" fontId="22727" fillId="22737" borderId="22684" xfId="0" applyFont="1" applyFill="1" applyBorder="1"/>
    <xf numFmtId="0" fontId="22728" fillId="22738" borderId="22685" xfId="0" applyFont="1" applyFill="1" applyBorder="1"/>
    <xf numFmtId="0" fontId="22729" fillId="22739" borderId="22686" xfId="0" applyFont="1" applyFill="1" applyBorder="1"/>
    <xf numFmtId="4" fontId="22730" fillId="22740" borderId="22687" xfId="0" applyNumberFormat="1" applyFont="1" applyFill="1" applyBorder="1"/>
    <xf numFmtId="165" fontId="22731" fillId="22741" borderId="22688" xfId="0" applyNumberFormat="1" applyFont="1" applyFill="1" applyBorder="1"/>
    <xf numFmtId="165" fontId="22732" fillId="22742" borderId="22689" xfId="0" applyNumberFormat="1" applyFont="1" applyFill="1" applyBorder="1"/>
    <xf numFmtId="0" fontId="22733" fillId="22743" borderId="22690" xfId="0" applyFont="1" applyFill="1" applyBorder="1"/>
    <xf numFmtId="0" fontId="22734" fillId="22744" borderId="22691" xfId="0" applyFont="1" applyFill="1" applyBorder="1"/>
    <xf numFmtId="0" fontId="22735" fillId="22745" borderId="22692" xfId="0" applyFont="1" applyFill="1" applyBorder="1"/>
    <xf numFmtId="0" fontId="22736" fillId="22746" borderId="22693" xfId="0" applyFont="1" applyFill="1" applyBorder="1"/>
    <xf numFmtId="14" fontId="22737" fillId="22747" borderId="22694" xfId="0" applyNumberFormat="1" applyFont="1" applyFill="1" applyBorder="1"/>
    <xf numFmtId="0" fontId="22738" fillId="22748" borderId="22695" xfId="0" applyFont="1" applyFill="1" applyBorder="1"/>
    <xf numFmtId="0" fontId="22739" fillId="22749" borderId="22696" xfId="0" applyFont="1" applyFill="1" applyBorder="1"/>
    <xf numFmtId="0" fontId="22740" fillId="22750" borderId="22697" xfId="0" applyFont="1" applyFill="1" applyBorder="1"/>
    <xf numFmtId="4" fontId="22741" fillId="22751" borderId="22698" xfId="0" applyNumberFormat="1" applyFont="1" applyFill="1" applyBorder="1"/>
    <xf numFmtId="165" fontId="22742" fillId="22752" borderId="22699" xfId="0" applyNumberFormat="1" applyFont="1" applyFill="1" applyBorder="1"/>
    <xf numFmtId="165" fontId="22743" fillId="22753" borderId="22700" xfId="0" applyNumberFormat="1" applyFont="1" applyFill="1" applyBorder="1"/>
    <xf numFmtId="0" fontId="22744" fillId="22754" borderId="22701" xfId="0" applyFont="1" applyFill="1" applyBorder="1"/>
    <xf numFmtId="0" fontId="22745" fillId="22755" borderId="22702" xfId="0" applyFont="1" applyFill="1" applyBorder="1"/>
    <xf numFmtId="0" fontId="22746" fillId="22756" borderId="22703" xfId="0" applyFont="1" applyFill="1" applyBorder="1"/>
    <xf numFmtId="0" fontId="22747" fillId="22757" borderId="22704" xfId="0" applyFont="1" applyFill="1" applyBorder="1"/>
    <xf numFmtId="14" fontId="22748" fillId="22758" borderId="22705" xfId="0" applyNumberFormat="1" applyFont="1" applyFill="1" applyBorder="1"/>
    <xf numFmtId="0" fontId="22749" fillId="22759" borderId="22706" xfId="0" applyFont="1" applyFill="1" applyBorder="1"/>
    <xf numFmtId="0" fontId="22750" fillId="22760" borderId="22707" xfId="0" applyFont="1" applyFill="1" applyBorder="1"/>
    <xf numFmtId="0" fontId="22751" fillId="22761" borderId="22708" xfId="0" applyFont="1" applyFill="1" applyBorder="1"/>
    <xf numFmtId="4" fontId="22752" fillId="22762" borderId="22709" xfId="0" applyNumberFormat="1" applyFont="1" applyFill="1" applyBorder="1"/>
    <xf numFmtId="165" fontId="22753" fillId="22763" borderId="22710" xfId="0" applyNumberFormat="1" applyFont="1" applyFill="1" applyBorder="1"/>
    <xf numFmtId="165" fontId="22754" fillId="22764" borderId="22711" xfId="0" applyNumberFormat="1" applyFont="1" applyFill="1" applyBorder="1"/>
    <xf numFmtId="0" fontId="22755" fillId="22765" borderId="22712" xfId="0" applyFont="1" applyFill="1" applyBorder="1"/>
    <xf numFmtId="0" fontId="22756" fillId="22766" borderId="22713" xfId="0" applyFont="1" applyFill="1" applyBorder="1"/>
    <xf numFmtId="0" fontId="22757" fillId="22767" borderId="22714" xfId="0" applyFont="1" applyFill="1" applyBorder="1"/>
    <xf numFmtId="0" fontId="22758" fillId="22768" borderId="22715" xfId="0" applyFont="1" applyFill="1" applyBorder="1"/>
    <xf numFmtId="14" fontId="22759" fillId="22769" borderId="22716" xfId="0" applyNumberFormat="1" applyFont="1" applyFill="1" applyBorder="1"/>
    <xf numFmtId="0" fontId="22760" fillId="22770" borderId="22717" xfId="0" applyFont="1" applyFill="1" applyBorder="1"/>
    <xf numFmtId="0" fontId="22761" fillId="22771" borderId="22718" xfId="0" applyFont="1" applyFill="1" applyBorder="1"/>
    <xf numFmtId="0" fontId="22762" fillId="22772" borderId="22719" xfId="0" applyFont="1" applyFill="1" applyBorder="1"/>
    <xf numFmtId="4" fontId="22763" fillId="22773" borderId="22720" xfId="0" applyNumberFormat="1" applyFont="1" applyFill="1" applyBorder="1"/>
    <xf numFmtId="165" fontId="22764" fillId="22774" borderId="22721" xfId="0" applyNumberFormat="1" applyFont="1" applyFill="1" applyBorder="1"/>
    <xf numFmtId="165" fontId="22765" fillId="22775" borderId="22722" xfId="0" applyNumberFormat="1" applyFont="1" applyFill="1" applyBorder="1"/>
    <xf numFmtId="0" fontId="22766" fillId="22776" borderId="22723" xfId="0" applyFont="1" applyFill="1" applyBorder="1"/>
    <xf numFmtId="0" fontId="22767" fillId="22777" borderId="22724" xfId="0" applyFont="1" applyFill="1" applyBorder="1"/>
    <xf numFmtId="0" fontId="22768" fillId="22778" borderId="22725" xfId="0" applyFont="1" applyFill="1" applyBorder="1"/>
    <xf numFmtId="0" fontId="22769" fillId="22779" borderId="22726" xfId="0" applyFont="1" applyFill="1" applyBorder="1"/>
    <xf numFmtId="14" fontId="22770" fillId="22780" borderId="22727" xfId="0" applyNumberFormat="1" applyFont="1" applyFill="1" applyBorder="1"/>
    <xf numFmtId="0" fontId="22771" fillId="22781" borderId="22728" xfId="0" applyFont="1" applyFill="1" applyBorder="1"/>
    <xf numFmtId="0" fontId="22772" fillId="22782" borderId="22729" xfId="0" applyFont="1" applyFill="1" applyBorder="1"/>
    <xf numFmtId="0" fontId="22773" fillId="22783" borderId="22730" xfId="0" applyFont="1" applyFill="1" applyBorder="1"/>
    <xf numFmtId="4" fontId="22774" fillId="22784" borderId="22731" xfId="0" applyNumberFormat="1" applyFont="1" applyFill="1" applyBorder="1"/>
    <xf numFmtId="165" fontId="22775" fillId="22785" borderId="22732" xfId="0" applyNumberFormat="1" applyFont="1" applyFill="1" applyBorder="1"/>
    <xf numFmtId="165" fontId="22776" fillId="22786" borderId="22733" xfId="0" applyNumberFormat="1" applyFont="1" applyFill="1" applyBorder="1"/>
    <xf numFmtId="0" fontId="22777" fillId="22787" borderId="22734" xfId="0" applyFont="1" applyFill="1" applyBorder="1"/>
    <xf numFmtId="0" fontId="22778" fillId="22788" borderId="22735" xfId="0" applyFont="1" applyFill="1" applyBorder="1"/>
    <xf numFmtId="0" fontId="22779" fillId="22789" borderId="22736" xfId="0" applyFont="1" applyFill="1" applyBorder="1"/>
    <xf numFmtId="0" fontId="22780" fillId="22790" borderId="22737" xfId="0" applyFont="1" applyFill="1" applyBorder="1"/>
    <xf numFmtId="14" fontId="22781" fillId="22791" borderId="22738" xfId="0" applyNumberFormat="1" applyFont="1" applyFill="1" applyBorder="1"/>
    <xf numFmtId="0" fontId="22782" fillId="22792" borderId="22739" xfId="0" applyFont="1" applyFill="1" applyBorder="1"/>
    <xf numFmtId="0" fontId="22783" fillId="22793" borderId="22740" xfId="0" applyFont="1" applyFill="1" applyBorder="1"/>
    <xf numFmtId="0" fontId="22784" fillId="22794" borderId="22741" xfId="0" applyFont="1" applyFill="1" applyBorder="1"/>
    <xf numFmtId="4" fontId="22785" fillId="22795" borderId="22742" xfId="0" applyNumberFormat="1" applyFont="1" applyFill="1" applyBorder="1"/>
    <xf numFmtId="165" fontId="22786" fillId="22796" borderId="22743" xfId="0" applyNumberFormat="1" applyFont="1" applyFill="1" applyBorder="1"/>
    <xf numFmtId="165" fontId="22787" fillId="22797" borderId="22744" xfId="0" applyNumberFormat="1" applyFont="1" applyFill="1" applyBorder="1"/>
    <xf numFmtId="0" fontId="22788" fillId="22798" borderId="22745" xfId="0" applyFont="1" applyFill="1" applyBorder="1"/>
    <xf numFmtId="0" fontId="22789" fillId="22799" borderId="22746" xfId="0" applyFont="1" applyFill="1" applyBorder="1"/>
    <xf numFmtId="0" fontId="22790" fillId="22800" borderId="22747" xfId="0" applyFont="1" applyFill="1" applyBorder="1"/>
    <xf numFmtId="0" fontId="22791" fillId="22801" borderId="22748" xfId="0" applyFont="1" applyFill="1" applyBorder="1"/>
    <xf numFmtId="14" fontId="22792" fillId="22802" borderId="22749" xfId="0" applyNumberFormat="1" applyFont="1" applyFill="1" applyBorder="1"/>
    <xf numFmtId="0" fontId="22793" fillId="22803" borderId="22750" xfId="0" applyFont="1" applyFill="1" applyBorder="1"/>
    <xf numFmtId="0" fontId="22794" fillId="22804" borderId="22751" xfId="0" applyFont="1" applyFill="1" applyBorder="1"/>
    <xf numFmtId="0" fontId="22795" fillId="22805" borderId="22752" xfId="0" applyFont="1" applyFill="1" applyBorder="1"/>
    <xf numFmtId="4" fontId="22796" fillId="22806" borderId="22753" xfId="0" applyNumberFormat="1" applyFont="1" applyFill="1" applyBorder="1"/>
    <xf numFmtId="165" fontId="22797" fillId="22807" borderId="22754" xfId="0" applyNumberFormat="1" applyFont="1" applyFill="1" applyBorder="1"/>
    <xf numFmtId="165" fontId="22798" fillId="22808" borderId="22755" xfId="0" applyNumberFormat="1" applyFont="1" applyFill="1" applyBorder="1"/>
    <xf numFmtId="0" fontId="22799" fillId="22809" borderId="22756" xfId="0" applyFont="1" applyFill="1" applyBorder="1"/>
    <xf numFmtId="0" fontId="22800" fillId="22810" borderId="22757" xfId="0" applyFont="1" applyFill="1" applyBorder="1"/>
    <xf numFmtId="0" fontId="22801" fillId="22811" borderId="22758" xfId="0" applyFont="1" applyFill="1" applyBorder="1"/>
    <xf numFmtId="0" fontId="22802" fillId="22812" borderId="22759" xfId="0" applyFont="1" applyFill="1" applyBorder="1"/>
    <xf numFmtId="14" fontId="22803" fillId="22813" borderId="22760" xfId="0" applyNumberFormat="1" applyFont="1" applyFill="1" applyBorder="1"/>
    <xf numFmtId="0" fontId="22804" fillId="22814" borderId="22761" xfId="0" applyFont="1" applyFill="1" applyBorder="1"/>
    <xf numFmtId="0" fontId="22805" fillId="22815" borderId="22762" xfId="0" applyFont="1" applyFill="1" applyBorder="1"/>
    <xf numFmtId="0" fontId="22806" fillId="22816" borderId="22763" xfId="0" applyFont="1" applyFill="1" applyBorder="1"/>
    <xf numFmtId="4" fontId="22807" fillId="22817" borderId="22764" xfId="0" applyNumberFormat="1" applyFont="1" applyFill="1" applyBorder="1"/>
    <xf numFmtId="165" fontId="22808" fillId="22818" borderId="22765" xfId="0" applyNumberFormat="1" applyFont="1" applyFill="1" applyBorder="1"/>
    <xf numFmtId="165" fontId="22809" fillId="22819" borderId="22766" xfId="0" applyNumberFormat="1" applyFont="1" applyFill="1" applyBorder="1"/>
    <xf numFmtId="0" fontId="22810" fillId="22820" borderId="22767" xfId="0" applyFont="1" applyFill="1" applyBorder="1"/>
    <xf numFmtId="0" fontId="22811" fillId="22821" borderId="22768" xfId="0" applyFont="1" applyFill="1" applyBorder="1"/>
    <xf numFmtId="0" fontId="22812" fillId="22822" borderId="22769" xfId="0" applyFont="1" applyFill="1" applyBorder="1"/>
    <xf numFmtId="0" fontId="22813" fillId="22823" borderId="22770" xfId="0" applyFont="1" applyFill="1" applyBorder="1"/>
    <xf numFmtId="14" fontId="22814" fillId="22824" borderId="22771" xfId="0" applyNumberFormat="1" applyFont="1" applyFill="1" applyBorder="1"/>
    <xf numFmtId="0" fontId="22815" fillId="22825" borderId="22772" xfId="0" applyFont="1" applyFill="1" applyBorder="1"/>
    <xf numFmtId="0" fontId="22816" fillId="22826" borderId="22773" xfId="0" applyFont="1" applyFill="1" applyBorder="1"/>
    <xf numFmtId="0" fontId="22817" fillId="22827" borderId="22774" xfId="0" applyFont="1" applyFill="1" applyBorder="1"/>
    <xf numFmtId="4" fontId="22818" fillId="22828" borderId="22775" xfId="0" applyNumberFormat="1" applyFont="1" applyFill="1" applyBorder="1"/>
    <xf numFmtId="165" fontId="22819" fillId="22829" borderId="22776" xfId="0" applyNumberFormat="1" applyFont="1" applyFill="1" applyBorder="1"/>
    <xf numFmtId="165" fontId="22820" fillId="22830" borderId="22777" xfId="0" applyNumberFormat="1" applyFont="1" applyFill="1" applyBorder="1"/>
    <xf numFmtId="0" fontId="22821" fillId="22831" borderId="22778" xfId="0" applyFont="1" applyFill="1" applyBorder="1"/>
    <xf numFmtId="0" fontId="22822" fillId="22832" borderId="22779" xfId="0" applyFont="1" applyFill="1" applyBorder="1"/>
    <xf numFmtId="0" fontId="22823" fillId="22833" borderId="22780" xfId="0" applyFont="1" applyFill="1" applyBorder="1"/>
    <xf numFmtId="0" fontId="22824" fillId="22834" borderId="22781" xfId="0" applyFont="1" applyFill="1" applyBorder="1"/>
    <xf numFmtId="14" fontId="22825" fillId="22835" borderId="22782" xfId="0" applyNumberFormat="1" applyFont="1" applyFill="1" applyBorder="1"/>
    <xf numFmtId="0" fontId="22826" fillId="22836" borderId="22783" xfId="0" applyFont="1" applyFill="1" applyBorder="1"/>
    <xf numFmtId="0" fontId="22827" fillId="22837" borderId="22784" xfId="0" applyFont="1" applyFill="1" applyBorder="1"/>
    <xf numFmtId="0" fontId="22828" fillId="22838" borderId="22785" xfId="0" applyFont="1" applyFill="1" applyBorder="1"/>
    <xf numFmtId="4" fontId="22829" fillId="22839" borderId="22786" xfId="0" applyNumberFormat="1" applyFont="1" applyFill="1" applyBorder="1"/>
    <xf numFmtId="165" fontId="22830" fillId="22840" borderId="22787" xfId="0" applyNumberFormat="1" applyFont="1" applyFill="1" applyBorder="1"/>
    <xf numFmtId="165" fontId="22831" fillId="22841" borderId="22788" xfId="0" applyNumberFormat="1" applyFont="1" applyFill="1" applyBorder="1"/>
    <xf numFmtId="0" fontId="22832" fillId="22842" borderId="22789" xfId="0" applyFont="1" applyFill="1" applyBorder="1"/>
    <xf numFmtId="0" fontId="22833" fillId="22843" borderId="22790" xfId="0" applyFont="1" applyFill="1" applyBorder="1"/>
    <xf numFmtId="0" fontId="22834" fillId="22844" borderId="22791" xfId="0" applyFont="1" applyFill="1" applyBorder="1"/>
    <xf numFmtId="0" fontId="22835" fillId="22845" borderId="22792" xfId="0" applyFont="1" applyFill="1" applyBorder="1"/>
    <xf numFmtId="14" fontId="22836" fillId="22846" borderId="22793" xfId="0" applyNumberFormat="1" applyFont="1" applyFill="1" applyBorder="1"/>
    <xf numFmtId="0" fontId="22837" fillId="22847" borderId="22794" xfId="0" applyFont="1" applyFill="1" applyBorder="1"/>
    <xf numFmtId="0" fontId="22838" fillId="22848" borderId="22795" xfId="0" applyFont="1" applyFill="1" applyBorder="1"/>
    <xf numFmtId="0" fontId="22839" fillId="22849" borderId="22796" xfId="0" applyFont="1" applyFill="1" applyBorder="1"/>
    <xf numFmtId="4" fontId="22840" fillId="22850" borderId="22797" xfId="0" applyNumberFormat="1" applyFont="1" applyFill="1" applyBorder="1"/>
    <xf numFmtId="165" fontId="22841" fillId="22851" borderId="22798" xfId="0" applyNumberFormat="1" applyFont="1" applyFill="1" applyBorder="1"/>
    <xf numFmtId="165" fontId="22842" fillId="22852" borderId="22799" xfId="0" applyNumberFormat="1" applyFont="1" applyFill="1" applyBorder="1"/>
    <xf numFmtId="0" fontId="22843" fillId="22853" borderId="22800" xfId="0" applyFont="1" applyFill="1" applyBorder="1"/>
    <xf numFmtId="0" fontId="22844" fillId="22854" borderId="22801" xfId="0" applyFont="1" applyFill="1" applyBorder="1"/>
    <xf numFmtId="0" fontId="22845" fillId="22855" borderId="22802" xfId="0" applyFont="1" applyFill="1" applyBorder="1"/>
    <xf numFmtId="0" fontId="22846" fillId="22856" borderId="22803" xfId="0" applyFont="1" applyFill="1" applyBorder="1"/>
    <xf numFmtId="14" fontId="22847" fillId="22857" borderId="22804" xfId="0" applyNumberFormat="1" applyFont="1" applyFill="1" applyBorder="1"/>
    <xf numFmtId="0" fontId="22848" fillId="22858" borderId="22805" xfId="0" applyFont="1" applyFill="1" applyBorder="1"/>
    <xf numFmtId="0" fontId="22849" fillId="22859" borderId="22806" xfId="0" applyFont="1" applyFill="1" applyBorder="1"/>
    <xf numFmtId="0" fontId="22850" fillId="22860" borderId="22807" xfId="0" applyFont="1" applyFill="1" applyBorder="1"/>
    <xf numFmtId="4" fontId="22851" fillId="22861" borderId="22808" xfId="0" applyNumberFormat="1" applyFont="1" applyFill="1" applyBorder="1"/>
    <xf numFmtId="165" fontId="22852" fillId="22862" borderId="22809" xfId="0" applyNumberFormat="1" applyFont="1" applyFill="1" applyBorder="1"/>
    <xf numFmtId="165" fontId="22853" fillId="22863" borderId="22810" xfId="0" applyNumberFormat="1" applyFont="1" applyFill="1" applyBorder="1"/>
    <xf numFmtId="0" fontId="22854" fillId="22864" borderId="22811" xfId="0" applyFont="1" applyFill="1" applyBorder="1"/>
    <xf numFmtId="0" fontId="22855" fillId="22865" borderId="22812" xfId="0" applyFont="1" applyFill="1" applyBorder="1"/>
    <xf numFmtId="0" fontId="22856" fillId="22866" borderId="22813" xfId="0" applyFont="1" applyFill="1" applyBorder="1"/>
    <xf numFmtId="0" fontId="22857" fillId="22867" borderId="22814" xfId="0" applyFont="1" applyFill="1" applyBorder="1"/>
    <xf numFmtId="14" fontId="22858" fillId="22868" borderId="22815" xfId="0" applyNumberFormat="1" applyFont="1" applyFill="1" applyBorder="1"/>
    <xf numFmtId="0" fontId="22859" fillId="22869" borderId="22816" xfId="0" applyFont="1" applyFill="1" applyBorder="1"/>
    <xf numFmtId="0" fontId="22860" fillId="22870" borderId="22817" xfId="0" applyFont="1" applyFill="1" applyBorder="1"/>
    <xf numFmtId="0" fontId="22861" fillId="22871" borderId="22818" xfId="0" applyFont="1" applyFill="1" applyBorder="1"/>
    <xf numFmtId="4" fontId="22862" fillId="22872" borderId="22819" xfId="0" applyNumberFormat="1" applyFont="1" applyFill="1" applyBorder="1"/>
    <xf numFmtId="165" fontId="22863" fillId="22873" borderId="22820" xfId="0" applyNumberFormat="1" applyFont="1" applyFill="1" applyBorder="1"/>
    <xf numFmtId="165" fontId="22864" fillId="22874" borderId="22821" xfId="0" applyNumberFormat="1" applyFont="1" applyFill="1" applyBorder="1"/>
    <xf numFmtId="0" fontId="22865" fillId="22875" borderId="22822" xfId="0" applyFont="1" applyFill="1" applyBorder="1"/>
    <xf numFmtId="0" fontId="22866" fillId="22876" borderId="22823" xfId="0" applyFont="1" applyFill="1" applyBorder="1"/>
    <xf numFmtId="0" fontId="22867" fillId="22877" borderId="22824" xfId="0" applyFont="1" applyFill="1" applyBorder="1"/>
    <xf numFmtId="0" fontId="22868" fillId="22878" borderId="22825" xfId="0" applyFont="1" applyFill="1" applyBorder="1"/>
    <xf numFmtId="14" fontId="22869" fillId="22879" borderId="22826" xfId="0" applyNumberFormat="1" applyFont="1" applyFill="1" applyBorder="1"/>
    <xf numFmtId="0" fontId="22870" fillId="22880" borderId="22827" xfId="0" applyFont="1" applyFill="1" applyBorder="1"/>
    <xf numFmtId="0" fontId="22871" fillId="22881" borderId="22828" xfId="0" applyFont="1" applyFill="1" applyBorder="1"/>
    <xf numFmtId="0" fontId="22872" fillId="22882" borderId="22829" xfId="0" applyFont="1" applyFill="1" applyBorder="1"/>
    <xf numFmtId="4" fontId="22873" fillId="22883" borderId="22830" xfId="0" applyNumberFormat="1" applyFont="1" applyFill="1" applyBorder="1"/>
    <xf numFmtId="165" fontId="22874" fillId="22884" borderId="22831" xfId="0" applyNumberFormat="1" applyFont="1" applyFill="1" applyBorder="1"/>
    <xf numFmtId="165" fontId="22875" fillId="22885" borderId="22832" xfId="0" applyNumberFormat="1" applyFont="1" applyFill="1" applyBorder="1"/>
    <xf numFmtId="0" fontId="22876" fillId="22886" borderId="22833" xfId="0" applyFont="1" applyFill="1" applyBorder="1"/>
    <xf numFmtId="0" fontId="22877" fillId="22887" borderId="22834" xfId="0" applyFont="1" applyFill="1" applyBorder="1"/>
    <xf numFmtId="0" fontId="22878" fillId="22888" borderId="22835" xfId="0" applyFont="1" applyFill="1" applyBorder="1"/>
    <xf numFmtId="0" fontId="22879" fillId="22889" borderId="22836" xfId="0" applyFont="1" applyFill="1" applyBorder="1"/>
    <xf numFmtId="14" fontId="22880" fillId="22890" borderId="22837" xfId="0" applyNumberFormat="1" applyFont="1" applyFill="1" applyBorder="1"/>
    <xf numFmtId="0" fontId="22881" fillId="22891" borderId="22838" xfId="0" applyFont="1" applyFill="1" applyBorder="1"/>
    <xf numFmtId="0" fontId="22882" fillId="22892" borderId="22839" xfId="0" applyFont="1" applyFill="1" applyBorder="1"/>
    <xf numFmtId="0" fontId="22883" fillId="22893" borderId="22840" xfId="0" applyFont="1" applyFill="1" applyBorder="1"/>
    <xf numFmtId="4" fontId="22884" fillId="22894" borderId="22841" xfId="0" applyNumberFormat="1" applyFont="1" applyFill="1" applyBorder="1"/>
    <xf numFmtId="165" fontId="22885" fillId="22895" borderId="22842" xfId="0" applyNumberFormat="1" applyFont="1" applyFill="1" applyBorder="1"/>
    <xf numFmtId="165" fontId="22886" fillId="22896" borderId="22843" xfId="0" applyNumberFormat="1" applyFont="1" applyFill="1" applyBorder="1"/>
    <xf numFmtId="0" fontId="22887" fillId="22897" borderId="22844" xfId="0" applyFont="1" applyFill="1" applyBorder="1"/>
    <xf numFmtId="0" fontId="22888" fillId="22898" borderId="22845" xfId="0" applyFont="1" applyFill="1" applyBorder="1"/>
    <xf numFmtId="0" fontId="22889" fillId="22899" borderId="22846" xfId="0" applyFont="1" applyFill="1" applyBorder="1"/>
    <xf numFmtId="0" fontId="22890" fillId="22900" borderId="22847" xfId="0" applyFont="1" applyFill="1" applyBorder="1"/>
    <xf numFmtId="14" fontId="22891" fillId="22901" borderId="22848" xfId="0" applyNumberFormat="1" applyFont="1" applyFill="1" applyBorder="1"/>
    <xf numFmtId="0" fontId="22892" fillId="22902" borderId="22849" xfId="0" applyFont="1" applyFill="1" applyBorder="1"/>
    <xf numFmtId="0" fontId="22893" fillId="22903" borderId="22850" xfId="0" applyFont="1" applyFill="1" applyBorder="1"/>
    <xf numFmtId="0" fontId="22894" fillId="22904" borderId="22851" xfId="0" applyFont="1" applyFill="1" applyBorder="1"/>
    <xf numFmtId="4" fontId="22895" fillId="22905" borderId="22852" xfId="0" applyNumberFormat="1" applyFont="1" applyFill="1" applyBorder="1"/>
    <xf numFmtId="165" fontId="22896" fillId="22906" borderId="22853" xfId="0" applyNumberFormat="1" applyFont="1" applyFill="1" applyBorder="1"/>
    <xf numFmtId="165" fontId="22897" fillId="22907" borderId="22854" xfId="0" applyNumberFormat="1" applyFont="1" applyFill="1" applyBorder="1"/>
    <xf numFmtId="0" fontId="22898" fillId="22908" borderId="22855" xfId="0" applyFont="1" applyFill="1" applyBorder="1"/>
    <xf numFmtId="0" fontId="22899" fillId="22909" borderId="22856" xfId="0" applyFont="1" applyFill="1" applyBorder="1"/>
    <xf numFmtId="0" fontId="22900" fillId="22910" borderId="22857" xfId="0" applyFont="1" applyFill="1" applyBorder="1"/>
    <xf numFmtId="0" fontId="22901" fillId="22911" borderId="22858" xfId="0" applyFont="1" applyFill="1" applyBorder="1"/>
    <xf numFmtId="14" fontId="22902" fillId="22912" borderId="22859" xfId="0" applyNumberFormat="1" applyFont="1" applyFill="1" applyBorder="1"/>
    <xf numFmtId="0" fontId="22903" fillId="22913" borderId="22860" xfId="0" applyFont="1" applyFill="1" applyBorder="1"/>
    <xf numFmtId="0" fontId="22904" fillId="22914" borderId="22861" xfId="0" applyFont="1" applyFill="1" applyBorder="1"/>
    <xf numFmtId="0" fontId="22905" fillId="22915" borderId="22862" xfId="0" applyFont="1" applyFill="1" applyBorder="1"/>
    <xf numFmtId="4" fontId="22906" fillId="22916" borderId="22863" xfId="0" applyNumberFormat="1" applyFont="1" applyFill="1" applyBorder="1"/>
    <xf numFmtId="165" fontId="22907" fillId="22917" borderId="22864" xfId="0" applyNumberFormat="1" applyFont="1" applyFill="1" applyBorder="1"/>
    <xf numFmtId="165" fontId="22908" fillId="22918" borderId="22865" xfId="0" applyNumberFormat="1" applyFont="1" applyFill="1" applyBorder="1"/>
    <xf numFmtId="0" fontId="22909" fillId="22919" borderId="22866" xfId="0" applyFont="1" applyFill="1" applyBorder="1"/>
    <xf numFmtId="0" fontId="22910" fillId="22920" borderId="22867" xfId="0" applyFont="1" applyFill="1" applyBorder="1"/>
    <xf numFmtId="0" fontId="22911" fillId="22921" borderId="22868" xfId="0" applyFont="1" applyFill="1" applyBorder="1"/>
    <xf numFmtId="0" fontId="22912" fillId="22922" borderId="22869" xfId="0" applyFont="1" applyFill="1" applyBorder="1"/>
    <xf numFmtId="14" fontId="22913" fillId="22923" borderId="22870" xfId="0" applyNumberFormat="1" applyFont="1" applyFill="1" applyBorder="1"/>
    <xf numFmtId="0" fontId="22914" fillId="22924" borderId="22871" xfId="0" applyFont="1" applyFill="1" applyBorder="1"/>
    <xf numFmtId="0" fontId="22915" fillId="22925" borderId="22872" xfId="0" applyFont="1" applyFill="1" applyBorder="1"/>
    <xf numFmtId="0" fontId="22916" fillId="22926" borderId="22873" xfId="0" applyFont="1" applyFill="1" applyBorder="1"/>
    <xf numFmtId="4" fontId="22917" fillId="22927" borderId="22874" xfId="0" applyNumberFormat="1" applyFont="1" applyFill="1" applyBorder="1"/>
    <xf numFmtId="165" fontId="22918" fillId="22928" borderId="22875" xfId="0" applyNumberFormat="1" applyFont="1" applyFill="1" applyBorder="1"/>
    <xf numFmtId="165" fontId="22919" fillId="22929" borderId="22876" xfId="0" applyNumberFormat="1" applyFont="1" applyFill="1" applyBorder="1"/>
    <xf numFmtId="0" fontId="22920" fillId="22930" borderId="22877" xfId="0" applyFont="1" applyFill="1" applyBorder="1"/>
    <xf numFmtId="0" fontId="22921" fillId="22931" borderId="22878" xfId="0" applyFont="1" applyFill="1" applyBorder="1"/>
    <xf numFmtId="0" fontId="22922" fillId="22932" borderId="22879" xfId="0" applyFont="1" applyFill="1" applyBorder="1"/>
    <xf numFmtId="0" fontId="22923" fillId="22933" borderId="22880" xfId="0" applyFont="1" applyFill="1" applyBorder="1"/>
    <xf numFmtId="14" fontId="22924" fillId="22934" borderId="22881" xfId="0" applyNumberFormat="1" applyFont="1" applyFill="1" applyBorder="1"/>
    <xf numFmtId="0" fontId="22925" fillId="22935" borderId="22882" xfId="0" applyFont="1" applyFill="1" applyBorder="1"/>
    <xf numFmtId="0" fontId="22926" fillId="22936" borderId="22883" xfId="0" applyFont="1" applyFill="1" applyBorder="1"/>
    <xf numFmtId="0" fontId="22927" fillId="22937" borderId="22884" xfId="0" applyFont="1" applyFill="1" applyBorder="1"/>
    <xf numFmtId="4" fontId="22928" fillId="22938" borderId="22885" xfId="0" applyNumberFormat="1" applyFont="1" applyFill="1" applyBorder="1"/>
    <xf numFmtId="165" fontId="22929" fillId="22939" borderId="22886" xfId="0" applyNumberFormat="1" applyFont="1" applyFill="1" applyBorder="1"/>
    <xf numFmtId="165" fontId="22930" fillId="22940" borderId="22887" xfId="0" applyNumberFormat="1" applyFont="1" applyFill="1" applyBorder="1"/>
    <xf numFmtId="0" fontId="22931" fillId="22941" borderId="22888" xfId="0" applyFont="1" applyFill="1" applyBorder="1"/>
    <xf numFmtId="0" fontId="22932" fillId="22942" borderId="22889" xfId="0" applyFont="1" applyFill="1" applyBorder="1"/>
    <xf numFmtId="0" fontId="22933" fillId="22943" borderId="22890" xfId="0" applyFont="1" applyFill="1" applyBorder="1"/>
    <xf numFmtId="0" fontId="22934" fillId="22944" borderId="22891" xfId="0" applyFont="1" applyFill="1" applyBorder="1"/>
    <xf numFmtId="14" fontId="22935" fillId="22945" borderId="22892" xfId="0" applyNumberFormat="1" applyFont="1" applyFill="1" applyBorder="1"/>
    <xf numFmtId="0" fontId="22936" fillId="22946" borderId="22893" xfId="0" applyFont="1" applyFill="1" applyBorder="1"/>
    <xf numFmtId="0" fontId="22937" fillId="22947" borderId="22894" xfId="0" applyFont="1" applyFill="1" applyBorder="1"/>
    <xf numFmtId="0" fontId="22938" fillId="22948" borderId="22895" xfId="0" applyFont="1" applyFill="1" applyBorder="1"/>
    <xf numFmtId="4" fontId="22939" fillId="22949" borderId="22896" xfId="0" applyNumberFormat="1" applyFont="1" applyFill="1" applyBorder="1"/>
    <xf numFmtId="165" fontId="22940" fillId="22950" borderId="22897" xfId="0" applyNumberFormat="1" applyFont="1" applyFill="1" applyBorder="1"/>
    <xf numFmtId="165" fontId="22941" fillId="22951" borderId="22898" xfId="0" applyNumberFormat="1" applyFont="1" applyFill="1" applyBorder="1"/>
    <xf numFmtId="0" fontId="22942" fillId="22952" borderId="22899" xfId="0" applyFont="1" applyFill="1" applyBorder="1"/>
    <xf numFmtId="0" fontId="22943" fillId="22953" borderId="22900" xfId="0" applyFont="1" applyFill="1" applyBorder="1"/>
    <xf numFmtId="0" fontId="22944" fillId="22954" borderId="22901" xfId="0" applyFont="1" applyFill="1" applyBorder="1"/>
    <xf numFmtId="0" fontId="22945" fillId="22955" borderId="22902" xfId="0" applyFont="1" applyFill="1" applyBorder="1"/>
    <xf numFmtId="14" fontId="22946" fillId="22956" borderId="22903" xfId="0" applyNumberFormat="1" applyFont="1" applyFill="1" applyBorder="1"/>
    <xf numFmtId="0" fontId="22947" fillId="22957" borderId="22904" xfId="0" applyFont="1" applyFill="1" applyBorder="1"/>
    <xf numFmtId="0" fontId="22948" fillId="22958" borderId="22905" xfId="0" applyFont="1" applyFill="1" applyBorder="1"/>
    <xf numFmtId="0" fontId="22949" fillId="22959" borderId="22906" xfId="0" applyFont="1" applyFill="1" applyBorder="1"/>
    <xf numFmtId="4" fontId="22950" fillId="22960" borderId="22907" xfId="0" applyNumberFormat="1" applyFont="1" applyFill="1" applyBorder="1"/>
    <xf numFmtId="165" fontId="22951" fillId="22961" borderId="22908" xfId="0" applyNumberFormat="1" applyFont="1" applyFill="1" applyBorder="1"/>
    <xf numFmtId="165" fontId="22952" fillId="22962" borderId="22909" xfId="0" applyNumberFormat="1" applyFont="1" applyFill="1" applyBorder="1"/>
    <xf numFmtId="0" fontId="22953" fillId="22963" borderId="22910" xfId="0" applyFont="1" applyFill="1" applyBorder="1"/>
    <xf numFmtId="0" fontId="22954" fillId="22964" borderId="22911" xfId="0" applyFont="1" applyFill="1" applyBorder="1"/>
    <xf numFmtId="0" fontId="22955" fillId="22965" borderId="22912" xfId="0" applyFont="1" applyFill="1" applyBorder="1"/>
    <xf numFmtId="0" fontId="22956" fillId="22966" borderId="22913" xfId="0" applyFont="1" applyFill="1" applyBorder="1"/>
    <xf numFmtId="14" fontId="22957" fillId="22967" borderId="22914" xfId="0" applyNumberFormat="1" applyFont="1" applyFill="1" applyBorder="1"/>
    <xf numFmtId="0" fontId="22958" fillId="22968" borderId="22915" xfId="0" applyFont="1" applyFill="1" applyBorder="1"/>
    <xf numFmtId="0" fontId="22959" fillId="22969" borderId="22916" xfId="0" applyFont="1" applyFill="1" applyBorder="1"/>
    <xf numFmtId="0" fontId="22960" fillId="22970" borderId="22917" xfId="0" applyFont="1" applyFill="1" applyBorder="1"/>
    <xf numFmtId="4" fontId="22961" fillId="22971" borderId="22918" xfId="0" applyNumberFormat="1" applyFont="1" applyFill="1" applyBorder="1"/>
    <xf numFmtId="165" fontId="22962" fillId="22972" borderId="22919" xfId="0" applyNumberFormat="1" applyFont="1" applyFill="1" applyBorder="1"/>
    <xf numFmtId="165" fontId="22963" fillId="22973" borderId="22920" xfId="0" applyNumberFormat="1" applyFont="1" applyFill="1" applyBorder="1"/>
    <xf numFmtId="0" fontId="22964" fillId="22974" borderId="22921" xfId="0" applyFont="1" applyFill="1" applyBorder="1"/>
    <xf numFmtId="0" fontId="22965" fillId="22975" borderId="22922" xfId="0" applyFont="1" applyFill="1" applyBorder="1"/>
    <xf numFmtId="0" fontId="22966" fillId="22976" borderId="22923" xfId="0" applyFont="1" applyFill="1" applyBorder="1"/>
    <xf numFmtId="0" fontId="22967" fillId="22977" borderId="22924" xfId="0" applyFont="1" applyFill="1" applyBorder="1"/>
    <xf numFmtId="14" fontId="22968" fillId="22978" borderId="22925" xfId="0" applyNumberFormat="1" applyFont="1" applyFill="1" applyBorder="1"/>
    <xf numFmtId="0" fontId="22969" fillId="22979" borderId="22926" xfId="0" applyFont="1" applyFill="1" applyBorder="1"/>
    <xf numFmtId="0" fontId="22970" fillId="22980" borderId="22927" xfId="0" applyFont="1" applyFill="1" applyBorder="1"/>
    <xf numFmtId="0" fontId="22971" fillId="22981" borderId="22928" xfId="0" applyFont="1" applyFill="1" applyBorder="1"/>
    <xf numFmtId="4" fontId="22972" fillId="22982" borderId="22929" xfId="0" applyNumberFormat="1" applyFont="1" applyFill="1" applyBorder="1"/>
    <xf numFmtId="165" fontId="22973" fillId="22983" borderId="22930" xfId="0" applyNumberFormat="1" applyFont="1" applyFill="1" applyBorder="1"/>
    <xf numFmtId="165" fontId="22974" fillId="22984" borderId="22931" xfId="0" applyNumberFormat="1" applyFont="1" applyFill="1" applyBorder="1"/>
    <xf numFmtId="0" fontId="22975" fillId="22985" borderId="22932" xfId="0" applyFont="1" applyFill="1" applyBorder="1"/>
    <xf numFmtId="0" fontId="22976" fillId="22986" borderId="22933" xfId="0" applyFont="1" applyFill="1" applyBorder="1"/>
    <xf numFmtId="0" fontId="22977" fillId="22987" borderId="22934" xfId="0" applyFont="1" applyFill="1" applyBorder="1"/>
    <xf numFmtId="0" fontId="22978" fillId="22988" borderId="22935" xfId="0" applyFont="1" applyFill="1" applyBorder="1"/>
    <xf numFmtId="14" fontId="22979" fillId="22989" borderId="22936" xfId="0" applyNumberFormat="1" applyFont="1" applyFill="1" applyBorder="1"/>
    <xf numFmtId="0" fontId="22980" fillId="22990" borderId="22937" xfId="0" applyFont="1" applyFill="1" applyBorder="1"/>
    <xf numFmtId="0" fontId="22981" fillId="22991" borderId="22938" xfId="0" applyFont="1" applyFill="1" applyBorder="1"/>
    <xf numFmtId="0" fontId="22982" fillId="22992" borderId="22939" xfId="0" applyFont="1" applyFill="1" applyBorder="1"/>
    <xf numFmtId="4" fontId="22983" fillId="22993" borderId="22940" xfId="0" applyNumberFormat="1" applyFont="1" applyFill="1" applyBorder="1"/>
    <xf numFmtId="165" fontId="22984" fillId="22994" borderId="22941" xfId="0" applyNumberFormat="1" applyFont="1" applyFill="1" applyBorder="1"/>
    <xf numFmtId="165" fontId="22985" fillId="22995" borderId="22942" xfId="0" applyNumberFormat="1" applyFont="1" applyFill="1" applyBorder="1"/>
    <xf numFmtId="0" fontId="22986" fillId="22996" borderId="22943" xfId="0" applyFont="1" applyFill="1" applyBorder="1"/>
    <xf numFmtId="0" fontId="22987" fillId="22997" borderId="22944" xfId="0" applyFont="1" applyFill="1" applyBorder="1"/>
    <xf numFmtId="0" fontId="22988" fillId="22998" borderId="22945" xfId="0" applyFont="1" applyFill="1" applyBorder="1"/>
    <xf numFmtId="0" fontId="22989" fillId="22999" borderId="22946" xfId="0" applyFont="1" applyFill="1" applyBorder="1"/>
    <xf numFmtId="14" fontId="22990" fillId="23000" borderId="22947" xfId="0" applyNumberFormat="1" applyFont="1" applyFill="1" applyBorder="1"/>
    <xf numFmtId="0" fontId="22991" fillId="23001" borderId="22948" xfId="0" applyFont="1" applyFill="1" applyBorder="1"/>
    <xf numFmtId="0" fontId="22992" fillId="23002" borderId="22949" xfId="0" applyFont="1" applyFill="1" applyBorder="1"/>
    <xf numFmtId="0" fontId="22993" fillId="23003" borderId="22950" xfId="0" applyFont="1" applyFill="1" applyBorder="1"/>
    <xf numFmtId="4" fontId="22994" fillId="23004" borderId="22951" xfId="0" applyNumberFormat="1" applyFont="1" applyFill="1" applyBorder="1"/>
    <xf numFmtId="165" fontId="22995" fillId="23005" borderId="22952" xfId="0" applyNumberFormat="1" applyFont="1" applyFill="1" applyBorder="1"/>
    <xf numFmtId="165" fontId="22996" fillId="23006" borderId="22953" xfId="0" applyNumberFormat="1" applyFont="1" applyFill="1" applyBorder="1"/>
    <xf numFmtId="0" fontId="22997" fillId="23007" borderId="22954" xfId="0" applyFont="1" applyFill="1" applyBorder="1"/>
    <xf numFmtId="0" fontId="22998" fillId="23008" borderId="22955" xfId="0" applyFont="1" applyFill="1" applyBorder="1"/>
    <xf numFmtId="0" fontId="22999" fillId="23009" borderId="22956" xfId="0" applyFont="1" applyFill="1" applyBorder="1"/>
    <xf numFmtId="0" fontId="23000" fillId="23010" borderId="22957" xfId="0" applyFont="1" applyFill="1" applyBorder="1"/>
    <xf numFmtId="14" fontId="23001" fillId="23011" borderId="22958" xfId="0" applyNumberFormat="1" applyFont="1" applyFill="1" applyBorder="1"/>
    <xf numFmtId="0" fontId="23002" fillId="23012" borderId="22959" xfId="0" applyFont="1" applyFill="1" applyBorder="1"/>
    <xf numFmtId="0" fontId="23003" fillId="23013" borderId="22960" xfId="0" applyFont="1" applyFill="1" applyBorder="1"/>
    <xf numFmtId="0" fontId="23004" fillId="23014" borderId="22961" xfId="0" applyFont="1" applyFill="1" applyBorder="1"/>
    <xf numFmtId="4" fontId="23005" fillId="23015" borderId="22962" xfId="0" applyNumberFormat="1" applyFont="1" applyFill="1" applyBorder="1"/>
    <xf numFmtId="165" fontId="23006" fillId="23016" borderId="22963" xfId="0" applyNumberFormat="1" applyFont="1" applyFill="1" applyBorder="1"/>
    <xf numFmtId="165" fontId="23007" fillId="23017" borderId="22964" xfId="0" applyNumberFormat="1" applyFont="1" applyFill="1" applyBorder="1"/>
    <xf numFmtId="0" fontId="23008" fillId="23018" borderId="22965" xfId="0" applyFont="1" applyFill="1" applyBorder="1"/>
    <xf numFmtId="0" fontId="23009" fillId="23019" borderId="22966" xfId="0" applyFont="1" applyFill="1" applyBorder="1"/>
    <xf numFmtId="0" fontId="23010" fillId="23020" borderId="22967" xfId="0" applyFont="1" applyFill="1" applyBorder="1"/>
    <xf numFmtId="0" fontId="23011" fillId="23021" borderId="22968" xfId="0" applyFont="1" applyFill="1" applyBorder="1"/>
    <xf numFmtId="14" fontId="23012" fillId="23022" borderId="22969" xfId="0" applyNumberFormat="1" applyFont="1" applyFill="1" applyBorder="1"/>
    <xf numFmtId="0" fontId="23013" fillId="23023" borderId="22970" xfId="0" applyFont="1" applyFill="1" applyBorder="1"/>
    <xf numFmtId="0" fontId="23014" fillId="23024" borderId="22971" xfId="0" applyFont="1" applyFill="1" applyBorder="1"/>
    <xf numFmtId="0" fontId="23015" fillId="23025" borderId="22972" xfId="0" applyFont="1" applyFill="1" applyBorder="1"/>
    <xf numFmtId="4" fontId="23016" fillId="23026" borderId="22973" xfId="0" applyNumberFormat="1" applyFont="1" applyFill="1" applyBorder="1"/>
    <xf numFmtId="165" fontId="23017" fillId="23027" borderId="22974" xfId="0" applyNumberFormat="1" applyFont="1" applyFill="1" applyBorder="1"/>
    <xf numFmtId="165" fontId="23018" fillId="23028" borderId="22975" xfId="0" applyNumberFormat="1" applyFont="1" applyFill="1" applyBorder="1"/>
    <xf numFmtId="0" fontId="23019" fillId="23029" borderId="22976" xfId="0" applyFont="1" applyFill="1" applyBorder="1"/>
    <xf numFmtId="0" fontId="23020" fillId="23030" borderId="22977" xfId="0" applyFont="1" applyFill="1" applyBorder="1"/>
    <xf numFmtId="0" fontId="23021" fillId="23031" borderId="22978" xfId="0" applyFont="1" applyFill="1" applyBorder="1"/>
    <xf numFmtId="0" fontId="23022" fillId="23032" borderId="22979" xfId="0" applyFont="1" applyFill="1" applyBorder="1"/>
    <xf numFmtId="14" fontId="23023" fillId="23033" borderId="22980" xfId="0" applyNumberFormat="1" applyFont="1" applyFill="1" applyBorder="1"/>
    <xf numFmtId="0" fontId="23024" fillId="23034" borderId="22981" xfId="0" applyFont="1" applyFill="1" applyBorder="1"/>
    <xf numFmtId="0" fontId="23025" fillId="23035" borderId="22982" xfId="0" applyFont="1" applyFill="1" applyBorder="1"/>
    <xf numFmtId="0" fontId="23026" fillId="23036" borderId="22983" xfId="0" applyFont="1" applyFill="1" applyBorder="1"/>
    <xf numFmtId="4" fontId="23027" fillId="23037" borderId="22984" xfId="0" applyNumberFormat="1" applyFont="1" applyFill="1" applyBorder="1"/>
    <xf numFmtId="165" fontId="23028" fillId="23038" borderId="22985" xfId="0" applyNumberFormat="1" applyFont="1" applyFill="1" applyBorder="1"/>
    <xf numFmtId="165" fontId="23029" fillId="23039" borderId="22986" xfId="0" applyNumberFormat="1" applyFont="1" applyFill="1" applyBorder="1"/>
    <xf numFmtId="0" fontId="23030" fillId="23040" borderId="22987" xfId="0" applyFont="1" applyFill="1" applyBorder="1"/>
    <xf numFmtId="0" fontId="23031" fillId="23041" borderId="22988" xfId="0" applyFont="1" applyFill="1" applyBorder="1"/>
    <xf numFmtId="0" fontId="23032" fillId="23042" borderId="22989" xfId="0" applyFont="1" applyFill="1" applyBorder="1"/>
    <xf numFmtId="0" fontId="23033" fillId="23043" borderId="22990" xfId="0" applyFont="1" applyFill="1" applyBorder="1"/>
    <xf numFmtId="14" fontId="23034" fillId="23044" borderId="22991" xfId="0" applyNumberFormat="1" applyFont="1" applyFill="1" applyBorder="1"/>
    <xf numFmtId="0" fontId="23035" fillId="23045" borderId="22992" xfId="0" applyFont="1" applyFill="1" applyBorder="1"/>
    <xf numFmtId="0" fontId="23036" fillId="23046" borderId="22993" xfId="0" applyFont="1" applyFill="1" applyBorder="1"/>
    <xf numFmtId="0" fontId="23037" fillId="23047" borderId="22994" xfId="0" applyFont="1" applyFill="1" applyBorder="1"/>
    <xf numFmtId="4" fontId="23038" fillId="23048" borderId="22995" xfId="0" applyNumberFormat="1" applyFont="1" applyFill="1" applyBorder="1"/>
    <xf numFmtId="165" fontId="23039" fillId="23049" borderId="22996" xfId="0" applyNumberFormat="1" applyFont="1" applyFill="1" applyBorder="1"/>
    <xf numFmtId="165" fontId="23040" fillId="23050" borderId="22997" xfId="0" applyNumberFormat="1" applyFont="1" applyFill="1" applyBorder="1"/>
    <xf numFmtId="0" fontId="23041" fillId="23051" borderId="22998" xfId="0" applyFont="1" applyFill="1" applyBorder="1"/>
    <xf numFmtId="0" fontId="23042" fillId="23052" borderId="22999" xfId="0" applyFont="1" applyFill="1" applyBorder="1"/>
    <xf numFmtId="0" fontId="23043" fillId="23053" borderId="23000" xfId="0" applyFont="1" applyFill="1" applyBorder="1"/>
    <xf numFmtId="0" fontId="23044" fillId="23054" borderId="23001" xfId="0" applyFont="1" applyFill="1" applyBorder="1"/>
    <xf numFmtId="14" fontId="23045" fillId="23055" borderId="23002" xfId="0" applyNumberFormat="1" applyFont="1" applyFill="1" applyBorder="1"/>
    <xf numFmtId="0" fontId="23046" fillId="23056" borderId="23003" xfId="0" applyFont="1" applyFill="1" applyBorder="1"/>
    <xf numFmtId="0" fontId="23047" fillId="23057" borderId="23004" xfId="0" applyFont="1" applyFill="1" applyBorder="1"/>
    <xf numFmtId="0" fontId="23048" fillId="23058" borderId="23005" xfId="0" applyFont="1" applyFill="1" applyBorder="1"/>
    <xf numFmtId="4" fontId="23049" fillId="23059" borderId="23006" xfId="0" applyNumberFormat="1" applyFont="1" applyFill="1" applyBorder="1"/>
    <xf numFmtId="165" fontId="23050" fillId="23060" borderId="23007" xfId="0" applyNumberFormat="1" applyFont="1" applyFill="1" applyBorder="1"/>
    <xf numFmtId="165" fontId="23051" fillId="23061" borderId="23008" xfId="0" applyNumberFormat="1" applyFont="1" applyFill="1" applyBorder="1"/>
    <xf numFmtId="0" fontId="23052" fillId="23062" borderId="23009" xfId="0" applyFont="1" applyFill="1" applyBorder="1"/>
    <xf numFmtId="0" fontId="23053" fillId="23063" borderId="23010" xfId="0" applyFont="1" applyFill="1" applyBorder="1"/>
    <xf numFmtId="0" fontId="23054" fillId="23064" borderId="23011" xfId="0" applyFont="1" applyFill="1" applyBorder="1"/>
    <xf numFmtId="0" fontId="23055" fillId="23065" borderId="23012" xfId="0" applyFont="1" applyFill="1" applyBorder="1"/>
    <xf numFmtId="14" fontId="23056" fillId="23066" borderId="23013" xfId="0" applyNumberFormat="1" applyFont="1" applyFill="1" applyBorder="1"/>
    <xf numFmtId="0" fontId="23057" fillId="23067" borderId="23014" xfId="0" applyFont="1" applyFill="1" applyBorder="1"/>
    <xf numFmtId="0" fontId="23058" fillId="23068" borderId="23015" xfId="0" applyFont="1" applyFill="1" applyBorder="1"/>
    <xf numFmtId="0" fontId="23059" fillId="23069" borderId="23016" xfId="0" applyFont="1" applyFill="1" applyBorder="1"/>
    <xf numFmtId="4" fontId="23060" fillId="23070" borderId="23017" xfId="0" applyNumberFormat="1" applyFont="1" applyFill="1" applyBorder="1"/>
    <xf numFmtId="165" fontId="23061" fillId="23071" borderId="23018" xfId="0" applyNumberFormat="1" applyFont="1" applyFill="1" applyBorder="1"/>
    <xf numFmtId="165" fontId="23062" fillId="23072" borderId="23019" xfId="0" applyNumberFormat="1" applyFont="1" applyFill="1" applyBorder="1"/>
    <xf numFmtId="0" fontId="23063" fillId="23073" borderId="23020" xfId="0" applyFont="1" applyFill="1" applyBorder="1"/>
    <xf numFmtId="0" fontId="23064" fillId="23074" borderId="23021" xfId="0" applyFont="1" applyFill="1" applyBorder="1"/>
    <xf numFmtId="0" fontId="23065" fillId="23075" borderId="23022" xfId="0" applyFont="1" applyFill="1" applyBorder="1"/>
    <xf numFmtId="0" fontId="23066" fillId="23076" borderId="23023" xfId="0" applyFont="1" applyFill="1" applyBorder="1"/>
    <xf numFmtId="14" fontId="23067" fillId="23077" borderId="23024" xfId="0" applyNumberFormat="1" applyFont="1" applyFill="1" applyBorder="1"/>
    <xf numFmtId="0" fontId="23068" fillId="23078" borderId="23025" xfId="0" applyFont="1" applyFill="1" applyBorder="1"/>
    <xf numFmtId="0" fontId="23069" fillId="23079" borderId="23026" xfId="0" applyFont="1" applyFill="1" applyBorder="1"/>
    <xf numFmtId="0" fontId="23070" fillId="23080" borderId="23027" xfId="0" applyFont="1" applyFill="1" applyBorder="1"/>
    <xf numFmtId="4" fontId="23071" fillId="23081" borderId="23028" xfId="0" applyNumberFormat="1" applyFont="1" applyFill="1" applyBorder="1"/>
    <xf numFmtId="165" fontId="23072" fillId="23082" borderId="23029" xfId="0" applyNumberFormat="1" applyFont="1" applyFill="1" applyBorder="1"/>
    <xf numFmtId="165" fontId="23073" fillId="23083" borderId="23030" xfId="0" applyNumberFormat="1" applyFont="1" applyFill="1" applyBorder="1"/>
    <xf numFmtId="0" fontId="23074" fillId="23084" borderId="23031" xfId="0" applyFont="1" applyFill="1" applyBorder="1"/>
    <xf numFmtId="0" fontId="23075" fillId="23085" borderId="23032" xfId="0" applyFont="1" applyFill="1" applyBorder="1"/>
    <xf numFmtId="0" fontId="23076" fillId="23086" borderId="23033" xfId="0" applyFont="1" applyFill="1" applyBorder="1"/>
    <xf numFmtId="0" fontId="23077" fillId="23087" borderId="23034" xfId="0" applyFont="1" applyFill="1" applyBorder="1"/>
    <xf numFmtId="14" fontId="23078" fillId="23088" borderId="23035" xfId="0" applyNumberFormat="1" applyFont="1" applyFill="1" applyBorder="1"/>
    <xf numFmtId="0" fontId="23079" fillId="23089" borderId="23036" xfId="0" applyFont="1" applyFill="1" applyBorder="1"/>
    <xf numFmtId="0" fontId="23080" fillId="23090" borderId="23037" xfId="0" applyFont="1" applyFill="1" applyBorder="1"/>
    <xf numFmtId="0" fontId="23081" fillId="23091" borderId="23038" xfId="0" applyFont="1" applyFill="1" applyBorder="1"/>
    <xf numFmtId="4" fontId="23082" fillId="23092" borderId="23039" xfId="0" applyNumberFormat="1" applyFont="1" applyFill="1" applyBorder="1"/>
    <xf numFmtId="165" fontId="23083" fillId="23093" borderId="23040" xfId="0" applyNumberFormat="1" applyFont="1" applyFill="1" applyBorder="1"/>
    <xf numFmtId="165" fontId="23084" fillId="23094" borderId="23041" xfId="0" applyNumberFormat="1" applyFont="1" applyFill="1" applyBorder="1"/>
    <xf numFmtId="0" fontId="23085" fillId="23095" borderId="23042" xfId="0" applyFont="1" applyFill="1" applyBorder="1"/>
    <xf numFmtId="0" fontId="23086" fillId="23096" borderId="23043" xfId="0" applyFont="1" applyFill="1" applyBorder="1"/>
    <xf numFmtId="0" fontId="23087" fillId="23097" borderId="23044" xfId="0" applyFont="1" applyFill="1" applyBorder="1"/>
    <xf numFmtId="0" fontId="23088" fillId="23098" borderId="23045" xfId="0" applyFont="1" applyFill="1" applyBorder="1"/>
    <xf numFmtId="14" fontId="23089" fillId="23099" borderId="23046" xfId="0" applyNumberFormat="1" applyFont="1" applyFill="1" applyBorder="1"/>
    <xf numFmtId="0" fontId="23090" fillId="23100" borderId="23047" xfId="0" applyFont="1" applyFill="1" applyBorder="1"/>
    <xf numFmtId="0" fontId="23091" fillId="23101" borderId="23048" xfId="0" applyFont="1" applyFill="1" applyBorder="1"/>
    <xf numFmtId="0" fontId="23092" fillId="23102" borderId="23049" xfId="0" applyFont="1" applyFill="1" applyBorder="1"/>
    <xf numFmtId="4" fontId="23093" fillId="23103" borderId="23050" xfId="0" applyNumberFormat="1" applyFont="1" applyFill="1" applyBorder="1"/>
    <xf numFmtId="165" fontId="23094" fillId="23104" borderId="23051" xfId="0" applyNumberFormat="1" applyFont="1" applyFill="1" applyBorder="1"/>
    <xf numFmtId="165" fontId="23095" fillId="23105" borderId="23052" xfId="0" applyNumberFormat="1" applyFont="1" applyFill="1" applyBorder="1"/>
    <xf numFmtId="0" fontId="23096" fillId="23106" borderId="23053" xfId="0" applyFont="1" applyFill="1" applyBorder="1"/>
    <xf numFmtId="0" fontId="23097" fillId="23107" borderId="23054" xfId="0" applyFont="1" applyFill="1" applyBorder="1"/>
    <xf numFmtId="0" fontId="23098" fillId="23108" borderId="23055" xfId="0" applyFont="1" applyFill="1" applyBorder="1"/>
    <xf numFmtId="0" fontId="23099" fillId="23109" borderId="23056" xfId="0" applyFont="1" applyFill="1" applyBorder="1"/>
    <xf numFmtId="14" fontId="23100" fillId="23110" borderId="23057" xfId="0" applyNumberFormat="1" applyFont="1" applyFill="1" applyBorder="1"/>
    <xf numFmtId="0" fontId="23101" fillId="23111" borderId="23058" xfId="0" applyFont="1" applyFill="1" applyBorder="1"/>
    <xf numFmtId="0" fontId="23102" fillId="23112" borderId="23059" xfId="0" applyFont="1" applyFill="1" applyBorder="1"/>
    <xf numFmtId="0" fontId="23103" fillId="23113" borderId="23060" xfId="0" applyFont="1" applyFill="1" applyBorder="1"/>
    <xf numFmtId="4" fontId="23104" fillId="23114" borderId="23061" xfId="0" applyNumberFormat="1" applyFont="1" applyFill="1" applyBorder="1"/>
    <xf numFmtId="165" fontId="23105" fillId="23115" borderId="23062" xfId="0" applyNumberFormat="1" applyFont="1" applyFill="1" applyBorder="1"/>
    <xf numFmtId="165" fontId="23106" fillId="23116" borderId="23063" xfId="0" applyNumberFormat="1" applyFont="1" applyFill="1" applyBorder="1"/>
    <xf numFmtId="0" fontId="23107" fillId="23117" borderId="23064" xfId="0" applyFont="1" applyFill="1" applyBorder="1"/>
    <xf numFmtId="0" fontId="23108" fillId="23118" borderId="23065" xfId="0" applyFont="1" applyFill="1" applyBorder="1"/>
    <xf numFmtId="0" fontId="23109" fillId="23119" borderId="23066" xfId="0" applyFont="1" applyFill="1" applyBorder="1"/>
    <xf numFmtId="0" fontId="23110" fillId="23120" borderId="23067" xfId="0" applyFont="1" applyFill="1" applyBorder="1"/>
    <xf numFmtId="14" fontId="23111" fillId="23121" borderId="23068" xfId="0" applyNumberFormat="1" applyFont="1" applyFill="1" applyBorder="1"/>
    <xf numFmtId="0" fontId="23112" fillId="23122" borderId="23069" xfId="0" applyFont="1" applyFill="1" applyBorder="1"/>
    <xf numFmtId="0" fontId="23113" fillId="23123" borderId="23070" xfId="0" applyFont="1" applyFill="1" applyBorder="1"/>
    <xf numFmtId="0" fontId="23114" fillId="23124" borderId="23071" xfId="0" applyFont="1" applyFill="1" applyBorder="1"/>
    <xf numFmtId="4" fontId="23115" fillId="23125" borderId="23072" xfId="0" applyNumberFormat="1" applyFont="1" applyFill="1" applyBorder="1"/>
    <xf numFmtId="165" fontId="23116" fillId="23126" borderId="23073" xfId="0" applyNumberFormat="1" applyFont="1" applyFill="1" applyBorder="1"/>
    <xf numFmtId="165" fontId="23117" fillId="23127" borderId="23074" xfId="0" applyNumberFormat="1" applyFont="1" applyFill="1" applyBorder="1"/>
    <xf numFmtId="0" fontId="23118" fillId="23128" borderId="23075" xfId="0" applyFont="1" applyFill="1" applyBorder="1"/>
    <xf numFmtId="0" fontId="23119" fillId="23129" borderId="23076" xfId="0" applyFont="1" applyFill="1" applyBorder="1"/>
    <xf numFmtId="0" fontId="23120" fillId="23130" borderId="23077" xfId="0" applyFont="1" applyFill="1" applyBorder="1"/>
    <xf numFmtId="0" fontId="23121" fillId="23131" borderId="23078" xfId="0" applyFont="1" applyFill="1" applyBorder="1"/>
    <xf numFmtId="14" fontId="23122" fillId="23132" borderId="23079" xfId="0" applyNumberFormat="1" applyFont="1" applyFill="1" applyBorder="1"/>
    <xf numFmtId="0" fontId="23123" fillId="23133" borderId="23080" xfId="0" applyFont="1" applyFill="1" applyBorder="1"/>
    <xf numFmtId="0" fontId="23124" fillId="23134" borderId="23081" xfId="0" applyFont="1" applyFill="1" applyBorder="1"/>
    <xf numFmtId="0" fontId="23125" fillId="23135" borderId="23082" xfId="0" applyFont="1" applyFill="1" applyBorder="1"/>
    <xf numFmtId="4" fontId="23126" fillId="23136" borderId="23083" xfId="0" applyNumberFormat="1" applyFont="1" applyFill="1" applyBorder="1"/>
    <xf numFmtId="165" fontId="23127" fillId="23137" borderId="23084" xfId="0" applyNumberFormat="1" applyFont="1" applyFill="1" applyBorder="1"/>
    <xf numFmtId="165" fontId="23128" fillId="23138" borderId="23085" xfId="0" applyNumberFormat="1" applyFont="1" applyFill="1" applyBorder="1"/>
    <xf numFmtId="0" fontId="23129" fillId="23139" borderId="23086" xfId="0" applyFont="1" applyFill="1" applyBorder="1"/>
    <xf numFmtId="0" fontId="23130" fillId="23140" borderId="23087" xfId="0" applyFont="1" applyFill="1" applyBorder="1"/>
    <xf numFmtId="0" fontId="23131" fillId="23141" borderId="23088" xfId="0" applyFont="1" applyFill="1" applyBorder="1"/>
    <xf numFmtId="0" fontId="23132" fillId="23142" borderId="23089" xfId="0" applyFont="1" applyFill="1" applyBorder="1"/>
    <xf numFmtId="14" fontId="23133" fillId="23143" borderId="23090" xfId="0" applyNumberFormat="1" applyFont="1" applyFill="1" applyBorder="1"/>
    <xf numFmtId="0" fontId="23134" fillId="23144" borderId="23091" xfId="0" applyFont="1" applyFill="1" applyBorder="1"/>
    <xf numFmtId="0" fontId="23135" fillId="23145" borderId="23092" xfId="0" applyFont="1" applyFill="1" applyBorder="1"/>
    <xf numFmtId="0" fontId="23136" fillId="23146" borderId="23093" xfId="0" applyFont="1" applyFill="1" applyBorder="1"/>
    <xf numFmtId="4" fontId="23137" fillId="23147" borderId="23094" xfId="0" applyNumberFormat="1" applyFont="1" applyFill="1" applyBorder="1"/>
    <xf numFmtId="165" fontId="23138" fillId="23148" borderId="23095" xfId="0" applyNumberFormat="1" applyFont="1" applyFill="1" applyBorder="1"/>
    <xf numFmtId="165" fontId="23139" fillId="23149" borderId="23096" xfId="0" applyNumberFormat="1" applyFont="1" applyFill="1" applyBorder="1"/>
    <xf numFmtId="0" fontId="23140" fillId="23150" borderId="23097" xfId="0" applyFont="1" applyFill="1" applyBorder="1"/>
    <xf numFmtId="0" fontId="23141" fillId="23151" borderId="23098" xfId="0" applyFont="1" applyFill="1" applyBorder="1"/>
    <xf numFmtId="0" fontId="23142" fillId="23152" borderId="23099" xfId="0" applyFont="1" applyFill="1" applyBorder="1"/>
    <xf numFmtId="0" fontId="23143" fillId="23153" borderId="23100" xfId="0" applyFont="1" applyFill="1" applyBorder="1"/>
    <xf numFmtId="14" fontId="23144" fillId="23154" borderId="23101" xfId="0" applyNumberFormat="1" applyFont="1" applyFill="1" applyBorder="1"/>
    <xf numFmtId="0" fontId="23145" fillId="23155" borderId="23102" xfId="0" applyFont="1" applyFill="1" applyBorder="1"/>
    <xf numFmtId="0" fontId="23146" fillId="23156" borderId="23103" xfId="0" applyFont="1" applyFill="1" applyBorder="1"/>
    <xf numFmtId="0" fontId="23147" fillId="23157" borderId="23104" xfId="0" applyFont="1" applyFill="1" applyBorder="1"/>
    <xf numFmtId="4" fontId="23148" fillId="23158" borderId="23105" xfId="0" applyNumberFormat="1" applyFont="1" applyFill="1" applyBorder="1"/>
    <xf numFmtId="165" fontId="23149" fillId="23159" borderId="23106" xfId="0" applyNumberFormat="1" applyFont="1" applyFill="1" applyBorder="1"/>
    <xf numFmtId="165" fontId="23150" fillId="23160" borderId="23107" xfId="0" applyNumberFormat="1" applyFont="1" applyFill="1" applyBorder="1"/>
    <xf numFmtId="0" fontId="23151" fillId="23161" borderId="23108" xfId="0" applyFont="1" applyFill="1" applyBorder="1"/>
    <xf numFmtId="0" fontId="23152" fillId="23162" borderId="23109" xfId="0" applyFont="1" applyFill="1" applyBorder="1"/>
    <xf numFmtId="0" fontId="23153" fillId="23163" borderId="23110" xfId="0" applyFont="1" applyFill="1" applyBorder="1"/>
    <xf numFmtId="0" fontId="23154" fillId="23164" borderId="23111" xfId="0" applyFont="1" applyFill="1" applyBorder="1"/>
    <xf numFmtId="14" fontId="23155" fillId="23165" borderId="23112" xfId="0" applyNumberFormat="1" applyFont="1" applyFill="1" applyBorder="1"/>
    <xf numFmtId="0" fontId="23156" fillId="23166" borderId="23113" xfId="0" applyFont="1" applyFill="1" applyBorder="1"/>
    <xf numFmtId="0" fontId="23157" fillId="23167" borderId="23114" xfId="0" applyFont="1" applyFill="1" applyBorder="1"/>
    <xf numFmtId="0" fontId="23158" fillId="23168" borderId="23115" xfId="0" applyFont="1" applyFill="1" applyBorder="1"/>
    <xf numFmtId="4" fontId="23159" fillId="23169" borderId="23116" xfId="0" applyNumberFormat="1" applyFont="1" applyFill="1" applyBorder="1"/>
    <xf numFmtId="165" fontId="23160" fillId="23170" borderId="23117" xfId="0" applyNumberFormat="1" applyFont="1" applyFill="1" applyBorder="1"/>
    <xf numFmtId="165" fontId="23161" fillId="23171" borderId="23118" xfId="0" applyNumberFormat="1" applyFont="1" applyFill="1" applyBorder="1"/>
    <xf numFmtId="0" fontId="23162" fillId="23172" borderId="23119" xfId="0" applyFont="1" applyFill="1" applyBorder="1"/>
    <xf numFmtId="0" fontId="23163" fillId="23173" borderId="23120" xfId="0" applyFont="1" applyFill="1" applyBorder="1"/>
    <xf numFmtId="0" fontId="23164" fillId="23174" borderId="23121" xfId="0" applyFont="1" applyFill="1" applyBorder="1"/>
    <xf numFmtId="0" fontId="23165" fillId="23175" borderId="23122" xfId="0" applyFont="1" applyFill="1" applyBorder="1"/>
    <xf numFmtId="14" fontId="23166" fillId="23176" borderId="23123" xfId="0" applyNumberFormat="1" applyFont="1" applyFill="1" applyBorder="1"/>
    <xf numFmtId="0" fontId="23167" fillId="23177" borderId="23124" xfId="0" applyFont="1" applyFill="1" applyBorder="1"/>
    <xf numFmtId="0" fontId="23168" fillId="23178" borderId="23125" xfId="0" applyFont="1" applyFill="1" applyBorder="1"/>
    <xf numFmtId="0" fontId="23169" fillId="23179" borderId="23126" xfId="0" applyFont="1" applyFill="1" applyBorder="1"/>
    <xf numFmtId="4" fontId="23170" fillId="23180" borderId="23127" xfId="0" applyNumberFormat="1" applyFont="1" applyFill="1" applyBorder="1"/>
    <xf numFmtId="165" fontId="23171" fillId="23181" borderId="23128" xfId="0" applyNumberFormat="1" applyFont="1" applyFill="1" applyBorder="1"/>
    <xf numFmtId="165" fontId="23172" fillId="23182" borderId="23129" xfId="0" applyNumberFormat="1" applyFont="1" applyFill="1" applyBorder="1"/>
    <xf numFmtId="0" fontId="23173" fillId="23183" borderId="23130" xfId="0" applyFont="1" applyFill="1" applyBorder="1"/>
    <xf numFmtId="0" fontId="23174" fillId="23184" borderId="23131" xfId="0" applyFont="1" applyFill="1" applyBorder="1"/>
    <xf numFmtId="0" fontId="23175" fillId="23185" borderId="23132" xfId="0" applyFont="1" applyFill="1" applyBorder="1"/>
    <xf numFmtId="0" fontId="23176" fillId="23186" borderId="23133" xfId="0" applyFont="1" applyFill="1" applyBorder="1"/>
    <xf numFmtId="14" fontId="23177" fillId="23187" borderId="23134" xfId="0" applyNumberFormat="1" applyFont="1" applyFill="1" applyBorder="1"/>
    <xf numFmtId="0" fontId="23178" fillId="23188" borderId="23135" xfId="0" applyFont="1" applyFill="1" applyBorder="1"/>
    <xf numFmtId="0" fontId="23179" fillId="23189" borderId="23136" xfId="0" applyFont="1" applyFill="1" applyBorder="1"/>
    <xf numFmtId="0" fontId="23180" fillId="23190" borderId="23137" xfId="0" applyFont="1" applyFill="1" applyBorder="1"/>
    <xf numFmtId="4" fontId="23181" fillId="23191" borderId="23138" xfId="0" applyNumberFormat="1" applyFont="1" applyFill="1" applyBorder="1"/>
    <xf numFmtId="165" fontId="23182" fillId="23192" borderId="23139" xfId="0" applyNumberFormat="1" applyFont="1" applyFill="1" applyBorder="1"/>
    <xf numFmtId="165" fontId="23183" fillId="23193" borderId="23140" xfId="0" applyNumberFormat="1" applyFont="1" applyFill="1" applyBorder="1"/>
    <xf numFmtId="0" fontId="23184" fillId="23194" borderId="23141" xfId="0" applyFont="1" applyFill="1" applyBorder="1"/>
    <xf numFmtId="0" fontId="23185" fillId="23195" borderId="23142" xfId="0" applyFont="1" applyFill="1" applyBorder="1"/>
    <xf numFmtId="0" fontId="23186" fillId="23196" borderId="23143" xfId="0" applyFont="1" applyFill="1" applyBorder="1"/>
    <xf numFmtId="0" fontId="23187" fillId="23197" borderId="23144" xfId="0" applyFont="1" applyFill="1" applyBorder="1"/>
    <xf numFmtId="14" fontId="23188" fillId="23198" borderId="23145" xfId="0" applyNumberFormat="1" applyFont="1" applyFill="1" applyBorder="1"/>
    <xf numFmtId="0" fontId="23189" fillId="23199" borderId="23146" xfId="0" applyFont="1" applyFill="1" applyBorder="1"/>
    <xf numFmtId="0" fontId="23190" fillId="23200" borderId="23147" xfId="0" applyFont="1" applyFill="1" applyBorder="1"/>
    <xf numFmtId="0" fontId="23191" fillId="23201" borderId="23148" xfId="0" applyFont="1" applyFill="1" applyBorder="1"/>
    <xf numFmtId="4" fontId="23192" fillId="23202" borderId="23149" xfId="0" applyNumberFormat="1" applyFont="1" applyFill="1" applyBorder="1"/>
    <xf numFmtId="165" fontId="23193" fillId="23203" borderId="23150" xfId="0" applyNumberFormat="1" applyFont="1" applyFill="1" applyBorder="1"/>
    <xf numFmtId="165" fontId="23194" fillId="23204" borderId="23151" xfId="0" applyNumberFormat="1" applyFont="1" applyFill="1" applyBorder="1"/>
    <xf numFmtId="0" fontId="23195" fillId="23205" borderId="23152" xfId="0" applyFont="1" applyFill="1" applyBorder="1"/>
    <xf numFmtId="0" fontId="23196" fillId="23206" borderId="23153" xfId="0" applyFont="1" applyFill="1" applyBorder="1"/>
    <xf numFmtId="0" fontId="23197" fillId="23207" borderId="23154" xfId="0" applyFont="1" applyFill="1" applyBorder="1"/>
    <xf numFmtId="0" fontId="23198" fillId="23208" borderId="23155" xfId="0" applyFont="1" applyFill="1" applyBorder="1"/>
    <xf numFmtId="14" fontId="23199" fillId="23209" borderId="23156" xfId="0" applyNumberFormat="1" applyFont="1" applyFill="1" applyBorder="1"/>
    <xf numFmtId="0" fontId="23200" fillId="23210" borderId="23157" xfId="0" applyFont="1" applyFill="1" applyBorder="1"/>
    <xf numFmtId="0" fontId="23201" fillId="23211" borderId="23158" xfId="0" applyFont="1" applyFill="1" applyBorder="1"/>
    <xf numFmtId="0" fontId="23202" fillId="23212" borderId="23159" xfId="0" applyFont="1" applyFill="1" applyBorder="1"/>
    <xf numFmtId="4" fontId="23203" fillId="23213" borderId="23160" xfId="0" applyNumberFormat="1" applyFont="1" applyFill="1" applyBorder="1"/>
    <xf numFmtId="165" fontId="23204" fillId="23214" borderId="23161" xfId="0" applyNumberFormat="1" applyFont="1" applyFill="1" applyBorder="1"/>
    <xf numFmtId="165" fontId="23205" fillId="23215" borderId="23162" xfId="0" applyNumberFormat="1" applyFont="1" applyFill="1" applyBorder="1"/>
    <xf numFmtId="0" fontId="23206" fillId="23216" borderId="23163" xfId="0" applyFont="1" applyFill="1" applyBorder="1"/>
    <xf numFmtId="0" fontId="23207" fillId="23217" borderId="23164" xfId="0" applyFont="1" applyFill="1" applyBorder="1"/>
    <xf numFmtId="0" fontId="23208" fillId="23218" borderId="23165" xfId="0" applyFont="1" applyFill="1" applyBorder="1"/>
    <xf numFmtId="0" fontId="23209" fillId="23219" borderId="23166" xfId="0" applyFont="1" applyFill="1" applyBorder="1"/>
    <xf numFmtId="14" fontId="23210" fillId="23220" borderId="23167" xfId="0" applyNumberFormat="1" applyFont="1" applyFill="1" applyBorder="1"/>
    <xf numFmtId="0" fontId="23211" fillId="23221" borderId="23168" xfId="0" applyFont="1" applyFill="1" applyBorder="1"/>
    <xf numFmtId="0" fontId="23212" fillId="23222" borderId="23169" xfId="0" applyFont="1" applyFill="1" applyBorder="1"/>
    <xf numFmtId="0" fontId="23213" fillId="23223" borderId="23170" xfId="0" applyFont="1" applyFill="1" applyBorder="1"/>
    <xf numFmtId="4" fontId="23214" fillId="23224" borderId="23171" xfId="0" applyNumberFormat="1" applyFont="1" applyFill="1" applyBorder="1"/>
    <xf numFmtId="165" fontId="23215" fillId="23225" borderId="23172" xfId="0" applyNumberFormat="1" applyFont="1" applyFill="1" applyBorder="1"/>
    <xf numFmtId="165" fontId="23216" fillId="23226" borderId="23173" xfId="0" applyNumberFormat="1" applyFont="1" applyFill="1" applyBorder="1"/>
    <xf numFmtId="0" fontId="23217" fillId="23227" borderId="23174" xfId="0" applyFont="1" applyFill="1" applyBorder="1"/>
    <xf numFmtId="0" fontId="23218" fillId="23228" borderId="23175" xfId="0" applyFont="1" applyFill="1" applyBorder="1"/>
    <xf numFmtId="0" fontId="23219" fillId="23229" borderId="23176" xfId="0" applyFont="1" applyFill="1" applyBorder="1"/>
    <xf numFmtId="0" fontId="23220" fillId="23230" borderId="23177" xfId="0" applyFont="1" applyFill="1" applyBorder="1"/>
    <xf numFmtId="14" fontId="23221" fillId="23231" borderId="23178" xfId="0" applyNumberFormat="1" applyFont="1" applyFill="1" applyBorder="1"/>
    <xf numFmtId="0" fontId="23222" fillId="23232" borderId="23179" xfId="0" applyFont="1" applyFill="1" applyBorder="1"/>
    <xf numFmtId="0" fontId="23223" fillId="23233" borderId="23180" xfId="0" applyFont="1" applyFill="1" applyBorder="1"/>
    <xf numFmtId="0" fontId="23224" fillId="23234" borderId="23181" xfId="0" applyFont="1" applyFill="1" applyBorder="1"/>
    <xf numFmtId="4" fontId="23225" fillId="23235" borderId="23182" xfId="0" applyNumberFormat="1" applyFont="1" applyFill="1" applyBorder="1"/>
    <xf numFmtId="165" fontId="23226" fillId="23236" borderId="23183" xfId="0" applyNumberFormat="1" applyFont="1" applyFill="1" applyBorder="1"/>
    <xf numFmtId="165" fontId="23227" fillId="23237" borderId="23184" xfId="0" applyNumberFormat="1" applyFont="1" applyFill="1" applyBorder="1"/>
    <xf numFmtId="0" fontId="23228" fillId="23238" borderId="23185" xfId="0" applyFont="1" applyFill="1" applyBorder="1"/>
    <xf numFmtId="0" fontId="23229" fillId="23239" borderId="23186" xfId="0" applyFont="1" applyFill="1" applyBorder="1"/>
    <xf numFmtId="0" fontId="23230" fillId="23240" borderId="23187" xfId="0" applyFont="1" applyFill="1" applyBorder="1"/>
    <xf numFmtId="0" fontId="23231" fillId="23241" borderId="23188" xfId="0" applyFont="1" applyFill="1" applyBorder="1"/>
    <xf numFmtId="14" fontId="23232" fillId="23242" borderId="23189" xfId="0" applyNumberFormat="1" applyFont="1" applyFill="1" applyBorder="1"/>
    <xf numFmtId="0" fontId="23233" fillId="23243" borderId="23190" xfId="0" applyFont="1" applyFill="1" applyBorder="1"/>
    <xf numFmtId="0" fontId="23234" fillId="23244" borderId="23191" xfId="0" applyFont="1" applyFill="1" applyBorder="1"/>
    <xf numFmtId="0" fontId="23235" fillId="23245" borderId="23192" xfId="0" applyFont="1" applyFill="1" applyBorder="1"/>
    <xf numFmtId="4" fontId="23236" fillId="23246" borderId="23193" xfId="0" applyNumberFormat="1" applyFont="1" applyFill="1" applyBorder="1"/>
    <xf numFmtId="165" fontId="23237" fillId="23247" borderId="23194" xfId="0" applyNumberFormat="1" applyFont="1" applyFill="1" applyBorder="1"/>
    <xf numFmtId="165" fontId="23238" fillId="23248" borderId="23195" xfId="0" applyNumberFormat="1" applyFont="1" applyFill="1" applyBorder="1"/>
    <xf numFmtId="0" fontId="23239" fillId="23249" borderId="23196" xfId="0" applyFont="1" applyFill="1" applyBorder="1"/>
    <xf numFmtId="0" fontId="23240" fillId="23250" borderId="23197" xfId="0" applyFont="1" applyFill="1" applyBorder="1"/>
    <xf numFmtId="0" fontId="23241" fillId="23251" borderId="23198" xfId="0" applyFont="1" applyFill="1" applyBorder="1"/>
    <xf numFmtId="0" fontId="23242" fillId="23252" borderId="23199" xfId="0" applyFont="1" applyFill="1" applyBorder="1"/>
    <xf numFmtId="14" fontId="23243" fillId="23253" borderId="23200" xfId="0" applyNumberFormat="1" applyFont="1" applyFill="1" applyBorder="1"/>
    <xf numFmtId="0" fontId="23244" fillId="23254" borderId="23201" xfId="0" applyFont="1" applyFill="1" applyBorder="1"/>
    <xf numFmtId="0" fontId="23245" fillId="23255" borderId="23202" xfId="0" applyFont="1" applyFill="1" applyBorder="1"/>
    <xf numFmtId="0" fontId="23246" fillId="23256" borderId="23203" xfId="0" applyFont="1" applyFill="1" applyBorder="1"/>
    <xf numFmtId="4" fontId="23247" fillId="23257" borderId="23204" xfId="0" applyNumberFormat="1" applyFont="1" applyFill="1" applyBorder="1"/>
    <xf numFmtId="165" fontId="23248" fillId="23258" borderId="23205" xfId="0" applyNumberFormat="1" applyFont="1" applyFill="1" applyBorder="1"/>
    <xf numFmtId="165" fontId="23249" fillId="23259" borderId="23206" xfId="0" applyNumberFormat="1" applyFont="1" applyFill="1" applyBorder="1"/>
    <xf numFmtId="0" fontId="23250" fillId="23260" borderId="23207" xfId="0" applyFont="1" applyFill="1" applyBorder="1"/>
    <xf numFmtId="0" fontId="23251" fillId="23261" borderId="23208" xfId="0" applyFont="1" applyFill="1" applyBorder="1"/>
    <xf numFmtId="0" fontId="23252" fillId="23262" borderId="23209" xfId="0" applyFont="1" applyFill="1" applyBorder="1"/>
    <xf numFmtId="0" fontId="23253" fillId="23263" borderId="23210" xfId="0" applyFont="1" applyFill="1" applyBorder="1"/>
    <xf numFmtId="14" fontId="23254" fillId="23264" borderId="23211" xfId="0" applyNumberFormat="1" applyFont="1" applyFill="1" applyBorder="1"/>
    <xf numFmtId="0" fontId="23255" fillId="23265" borderId="23212" xfId="0" applyFont="1" applyFill="1" applyBorder="1"/>
    <xf numFmtId="0" fontId="23256" fillId="23266" borderId="23213" xfId="0" applyFont="1" applyFill="1" applyBorder="1"/>
    <xf numFmtId="0" fontId="23257" fillId="23267" borderId="23214" xfId="0" applyFont="1" applyFill="1" applyBorder="1"/>
    <xf numFmtId="4" fontId="23258" fillId="23268" borderId="23215" xfId="0" applyNumberFormat="1" applyFont="1" applyFill="1" applyBorder="1"/>
    <xf numFmtId="165" fontId="23259" fillId="23269" borderId="23216" xfId="0" applyNumberFormat="1" applyFont="1" applyFill="1" applyBorder="1"/>
    <xf numFmtId="165" fontId="23260" fillId="23270" borderId="23217" xfId="0" applyNumberFormat="1" applyFont="1" applyFill="1" applyBorder="1"/>
    <xf numFmtId="0" fontId="23261" fillId="23271" borderId="23218" xfId="0" applyFont="1" applyFill="1" applyBorder="1"/>
    <xf numFmtId="0" fontId="23262" fillId="23272" borderId="23219" xfId="0" applyFont="1" applyFill="1" applyBorder="1"/>
    <xf numFmtId="0" fontId="23263" fillId="23273" borderId="23220" xfId="0" applyFont="1" applyFill="1" applyBorder="1"/>
    <xf numFmtId="0" fontId="23264" fillId="23274" borderId="23221" xfId="0" applyFont="1" applyFill="1" applyBorder="1"/>
    <xf numFmtId="14" fontId="23265" fillId="23275" borderId="23222" xfId="0" applyNumberFormat="1" applyFont="1" applyFill="1" applyBorder="1"/>
    <xf numFmtId="0" fontId="23266" fillId="23276" borderId="23223" xfId="0" applyFont="1" applyFill="1" applyBorder="1"/>
    <xf numFmtId="0" fontId="23267" fillId="23277" borderId="23224" xfId="0" applyFont="1" applyFill="1" applyBorder="1"/>
    <xf numFmtId="0" fontId="23268" fillId="23278" borderId="23225" xfId="0" applyFont="1" applyFill="1" applyBorder="1"/>
    <xf numFmtId="4" fontId="23269" fillId="23279" borderId="23226" xfId="0" applyNumberFormat="1" applyFont="1" applyFill="1" applyBorder="1"/>
    <xf numFmtId="165" fontId="23270" fillId="23280" borderId="23227" xfId="0" applyNumberFormat="1" applyFont="1" applyFill="1" applyBorder="1"/>
    <xf numFmtId="165" fontId="23271" fillId="23281" borderId="23228" xfId="0" applyNumberFormat="1" applyFont="1" applyFill="1" applyBorder="1"/>
    <xf numFmtId="0" fontId="23272" fillId="23282" borderId="23229" xfId="0" applyFont="1" applyFill="1" applyBorder="1"/>
    <xf numFmtId="0" fontId="23273" fillId="23283" borderId="23230" xfId="0" applyFont="1" applyFill="1" applyBorder="1"/>
    <xf numFmtId="0" fontId="23274" fillId="23284" borderId="23231" xfId="0" applyFont="1" applyFill="1" applyBorder="1"/>
    <xf numFmtId="0" fontId="23275" fillId="23285" borderId="23232" xfId="0" applyFont="1" applyFill="1" applyBorder="1"/>
    <xf numFmtId="14" fontId="23276" fillId="23286" borderId="23233" xfId="0" applyNumberFormat="1" applyFont="1" applyFill="1" applyBorder="1"/>
    <xf numFmtId="0" fontId="23277" fillId="23287" borderId="23234" xfId="0" applyFont="1" applyFill="1" applyBorder="1"/>
    <xf numFmtId="0" fontId="23278" fillId="23288" borderId="23235" xfId="0" applyFont="1" applyFill="1" applyBorder="1"/>
    <xf numFmtId="0" fontId="23279" fillId="23289" borderId="23236" xfId="0" applyFont="1" applyFill="1" applyBorder="1"/>
    <xf numFmtId="4" fontId="23280" fillId="23290" borderId="23237" xfId="0" applyNumberFormat="1" applyFont="1" applyFill="1" applyBorder="1"/>
    <xf numFmtId="165" fontId="23281" fillId="23291" borderId="23238" xfId="0" applyNumberFormat="1" applyFont="1" applyFill="1" applyBorder="1"/>
    <xf numFmtId="165" fontId="23282" fillId="23292" borderId="23239" xfId="0" applyNumberFormat="1" applyFont="1" applyFill="1" applyBorder="1"/>
    <xf numFmtId="0" fontId="23283" fillId="23293" borderId="23240" xfId="0" applyFont="1" applyFill="1" applyBorder="1"/>
    <xf numFmtId="0" fontId="23284" fillId="23294" borderId="23241" xfId="0" applyFont="1" applyFill="1" applyBorder="1"/>
    <xf numFmtId="0" fontId="23285" fillId="23295" borderId="23242" xfId="0" applyFont="1" applyFill="1" applyBorder="1"/>
    <xf numFmtId="0" fontId="23286" fillId="23296" borderId="23243" xfId="0" applyFont="1" applyFill="1" applyBorder="1"/>
    <xf numFmtId="14" fontId="23287" fillId="23297" borderId="23244" xfId="0" applyNumberFormat="1" applyFont="1" applyFill="1" applyBorder="1"/>
    <xf numFmtId="0" fontId="23288" fillId="23298" borderId="23245" xfId="0" applyFont="1" applyFill="1" applyBorder="1"/>
    <xf numFmtId="0" fontId="23289" fillId="23299" borderId="23246" xfId="0" applyFont="1" applyFill="1" applyBorder="1"/>
    <xf numFmtId="0" fontId="23290" fillId="23300" borderId="23247" xfId="0" applyFont="1" applyFill="1" applyBorder="1"/>
    <xf numFmtId="4" fontId="23291" fillId="23301" borderId="23248" xfId="0" applyNumberFormat="1" applyFont="1" applyFill="1" applyBorder="1"/>
    <xf numFmtId="165" fontId="23292" fillId="23302" borderId="23249" xfId="0" applyNumberFormat="1" applyFont="1" applyFill="1" applyBorder="1"/>
    <xf numFmtId="165" fontId="23293" fillId="23303" borderId="23250" xfId="0" applyNumberFormat="1" applyFont="1" applyFill="1" applyBorder="1"/>
    <xf numFmtId="0" fontId="23294" fillId="23304" borderId="23251" xfId="0" applyFont="1" applyFill="1" applyBorder="1"/>
    <xf numFmtId="0" fontId="23295" fillId="23305" borderId="23252" xfId="0" applyFont="1" applyFill="1" applyBorder="1"/>
    <xf numFmtId="0" fontId="23296" fillId="23306" borderId="23253" xfId="0" applyFont="1" applyFill="1" applyBorder="1"/>
    <xf numFmtId="0" fontId="23297" fillId="23307" borderId="23254" xfId="0" applyFont="1" applyFill="1" applyBorder="1"/>
    <xf numFmtId="14" fontId="23298" fillId="23308" borderId="23255" xfId="0" applyNumberFormat="1" applyFont="1" applyFill="1" applyBorder="1"/>
    <xf numFmtId="0" fontId="23299" fillId="23309" borderId="23256" xfId="0" applyFont="1" applyFill="1" applyBorder="1"/>
    <xf numFmtId="0" fontId="23300" fillId="23310" borderId="23257" xfId="0" applyFont="1" applyFill="1" applyBorder="1"/>
    <xf numFmtId="0" fontId="23301" fillId="23311" borderId="23258" xfId="0" applyFont="1" applyFill="1" applyBorder="1"/>
    <xf numFmtId="4" fontId="23302" fillId="23312" borderId="23259" xfId="0" applyNumberFormat="1" applyFont="1" applyFill="1" applyBorder="1"/>
    <xf numFmtId="165" fontId="23303" fillId="23313" borderId="23260" xfId="0" applyNumberFormat="1" applyFont="1" applyFill="1" applyBorder="1"/>
    <xf numFmtId="165" fontId="23304" fillId="23314" borderId="23261" xfId="0" applyNumberFormat="1" applyFont="1" applyFill="1" applyBorder="1"/>
    <xf numFmtId="0" fontId="23305" fillId="23315" borderId="23262" xfId="0" applyFont="1" applyFill="1" applyBorder="1"/>
    <xf numFmtId="0" fontId="23306" fillId="23316" borderId="23263" xfId="0" applyFont="1" applyFill="1" applyBorder="1"/>
    <xf numFmtId="0" fontId="23307" fillId="23317" borderId="23264" xfId="0" applyFont="1" applyFill="1" applyBorder="1"/>
    <xf numFmtId="0" fontId="23308" fillId="23318" borderId="23265" xfId="0" applyFont="1" applyFill="1" applyBorder="1"/>
    <xf numFmtId="14" fontId="23309" fillId="23319" borderId="23266" xfId="0" applyNumberFormat="1" applyFont="1" applyFill="1" applyBorder="1"/>
    <xf numFmtId="0" fontId="23310" fillId="23320" borderId="23267" xfId="0" applyFont="1" applyFill="1" applyBorder="1"/>
    <xf numFmtId="0" fontId="23311" fillId="23321" borderId="23268" xfId="0" applyFont="1" applyFill="1" applyBorder="1"/>
    <xf numFmtId="0" fontId="23312" fillId="23322" borderId="23269" xfId="0" applyFont="1" applyFill="1" applyBorder="1"/>
    <xf numFmtId="4" fontId="23313" fillId="23323" borderId="23270" xfId="0" applyNumberFormat="1" applyFont="1" applyFill="1" applyBorder="1"/>
    <xf numFmtId="165" fontId="23314" fillId="23324" borderId="23271" xfId="0" applyNumberFormat="1" applyFont="1" applyFill="1" applyBorder="1"/>
    <xf numFmtId="165" fontId="23315" fillId="23325" borderId="23272" xfId="0" applyNumberFormat="1" applyFont="1" applyFill="1" applyBorder="1"/>
    <xf numFmtId="0" fontId="23316" fillId="23326" borderId="23273" xfId="0" applyFont="1" applyFill="1" applyBorder="1"/>
    <xf numFmtId="0" fontId="23317" fillId="23327" borderId="23274" xfId="0" applyFont="1" applyFill="1" applyBorder="1"/>
    <xf numFmtId="0" fontId="23318" fillId="23328" borderId="23275" xfId="0" applyFont="1" applyFill="1" applyBorder="1"/>
    <xf numFmtId="0" fontId="23319" fillId="23329" borderId="23276" xfId="0" applyFont="1" applyFill="1" applyBorder="1"/>
    <xf numFmtId="14" fontId="23320" fillId="23330" borderId="23277" xfId="0" applyNumberFormat="1" applyFont="1" applyFill="1" applyBorder="1"/>
    <xf numFmtId="0" fontId="23321" fillId="23331" borderId="23278" xfId="0" applyFont="1" applyFill="1" applyBorder="1"/>
    <xf numFmtId="0" fontId="23322" fillId="23332" borderId="23279" xfId="0" applyFont="1" applyFill="1" applyBorder="1"/>
    <xf numFmtId="0" fontId="23323" fillId="23333" borderId="23280" xfId="0" applyFont="1" applyFill="1" applyBorder="1"/>
    <xf numFmtId="4" fontId="23324" fillId="23334" borderId="23281" xfId="0" applyNumberFormat="1" applyFont="1" applyFill="1" applyBorder="1"/>
    <xf numFmtId="165" fontId="23325" fillId="23335" borderId="23282" xfId="0" applyNumberFormat="1" applyFont="1" applyFill="1" applyBorder="1"/>
    <xf numFmtId="165" fontId="23326" fillId="23336" borderId="23283" xfId="0" applyNumberFormat="1" applyFont="1" applyFill="1" applyBorder="1"/>
    <xf numFmtId="0" fontId="23327" fillId="23337" borderId="23284" xfId="0" applyFont="1" applyFill="1" applyBorder="1"/>
    <xf numFmtId="0" fontId="23328" fillId="23338" borderId="23285" xfId="0" applyFont="1" applyFill="1" applyBorder="1"/>
    <xf numFmtId="0" fontId="23329" fillId="23339" borderId="23286" xfId="0" applyFont="1" applyFill="1" applyBorder="1"/>
    <xf numFmtId="0" fontId="23330" fillId="23340" borderId="23287" xfId="0" applyFont="1" applyFill="1" applyBorder="1"/>
    <xf numFmtId="14" fontId="23331" fillId="23341" borderId="23288" xfId="0" applyNumberFormat="1" applyFont="1" applyFill="1" applyBorder="1"/>
    <xf numFmtId="0" fontId="23332" fillId="23342" borderId="23289" xfId="0" applyFont="1" applyFill="1" applyBorder="1"/>
    <xf numFmtId="0" fontId="23333" fillId="23343" borderId="23290" xfId="0" applyFont="1" applyFill="1" applyBorder="1"/>
    <xf numFmtId="0" fontId="23334" fillId="23344" borderId="23291" xfId="0" applyFont="1" applyFill="1" applyBorder="1"/>
    <xf numFmtId="4" fontId="23335" fillId="23345" borderId="23292" xfId="0" applyNumberFormat="1" applyFont="1" applyFill="1" applyBorder="1"/>
    <xf numFmtId="165" fontId="23336" fillId="23346" borderId="23293" xfId="0" applyNumberFormat="1" applyFont="1" applyFill="1" applyBorder="1"/>
    <xf numFmtId="165" fontId="23337" fillId="23347" borderId="23294" xfId="0" applyNumberFormat="1" applyFont="1" applyFill="1" applyBorder="1"/>
    <xf numFmtId="0" fontId="23338" fillId="23348" borderId="23295" xfId="0" applyFont="1" applyFill="1" applyBorder="1"/>
    <xf numFmtId="0" fontId="23339" fillId="23349" borderId="23296" xfId="0" applyFont="1" applyFill="1" applyBorder="1"/>
    <xf numFmtId="0" fontId="23340" fillId="23350" borderId="23297" xfId="0" applyFont="1" applyFill="1" applyBorder="1"/>
    <xf numFmtId="0" fontId="23341" fillId="23351" borderId="23298" xfId="0" applyFont="1" applyFill="1" applyBorder="1"/>
    <xf numFmtId="14" fontId="23342" fillId="23352" borderId="23299" xfId="0" applyNumberFormat="1" applyFont="1" applyFill="1" applyBorder="1"/>
    <xf numFmtId="0" fontId="23343" fillId="23353" borderId="23300" xfId="0" applyFont="1" applyFill="1" applyBorder="1"/>
    <xf numFmtId="0" fontId="23344" fillId="23354" borderId="23301" xfId="0" applyFont="1" applyFill="1" applyBorder="1"/>
    <xf numFmtId="0" fontId="23345" fillId="23355" borderId="23302" xfId="0" applyFont="1" applyFill="1" applyBorder="1"/>
    <xf numFmtId="4" fontId="23346" fillId="23356" borderId="23303" xfId="0" applyNumberFormat="1" applyFont="1" applyFill="1" applyBorder="1"/>
    <xf numFmtId="165" fontId="23347" fillId="23357" borderId="23304" xfId="0" applyNumberFormat="1" applyFont="1" applyFill="1" applyBorder="1"/>
    <xf numFmtId="165" fontId="23348" fillId="23358" borderId="23305" xfId="0" applyNumberFormat="1" applyFont="1" applyFill="1" applyBorder="1"/>
    <xf numFmtId="0" fontId="23349" fillId="23359" borderId="23306" xfId="0" applyFont="1" applyFill="1" applyBorder="1"/>
    <xf numFmtId="0" fontId="23350" fillId="23360" borderId="23307" xfId="0" applyFont="1" applyFill="1" applyBorder="1"/>
    <xf numFmtId="0" fontId="23351" fillId="23361" borderId="23308" xfId="0" applyFont="1" applyFill="1" applyBorder="1"/>
    <xf numFmtId="0" fontId="23352" fillId="23362" borderId="23309" xfId="0" applyFont="1" applyFill="1" applyBorder="1"/>
    <xf numFmtId="14" fontId="23353" fillId="23363" borderId="23310" xfId="0" applyNumberFormat="1" applyFont="1" applyFill="1" applyBorder="1"/>
    <xf numFmtId="0" fontId="23354" fillId="23364" borderId="23311" xfId="0" applyFont="1" applyFill="1" applyBorder="1"/>
    <xf numFmtId="0" fontId="23355" fillId="23365" borderId="23312" xfId="0" applyFont="1" applyFill="1" applyBorder="1"/>
    <xf numFmtId="0" fontId="23356" fillId="23366" borderId="23313" xfId="0" applyFont="1" applyFill="1" applyBorder="1"/>
    <xf numFmtId="4" fontId="23357" fillId="23367" borderId="23314" xfId="0" applyNumberFormat="1" applyFont="1" applyFill="1" applyBorder="1"/>
    <xf numFmtId="165" fontId="23358" fillId="23368" borderId="23315" xfId="0" applyNumberFormat="1" applyFont="1" applyFill="1" applyBorder="1"/>
    <xf numFmtId="165" fontId="23359" fillId="23369" borderId="23316" xfId="0" applyNumberFormat="1" applyFont="1" applyFill="1" applyBorder="1"/>
    <xf numFmtId="0" fontId="23360" fillId="23370" borderId="23317" xfId="0" applyFont="1" applyFill="1" applyBorder="1"/>
    <xf numFmtId="0" fontId="23361" fillId="23371" borderId="23318" xfId="0" applyFont="1" applyFill="1" applyBorder="1"/>
    <xf numFmtId="0" fontId="23362" fillId="23372" borderId="23319" xfId="0" applyFont="1" applyFill="1" applyBorder="1"/>
    <xf numFmtId="0" fontId="23363" fillId="23373" borderId="23320" xfId="0" applyFont="1" applyFill="1" applyBorder="1"/>
    <xf numFmtId="14" fontId="23364" fillId="23374" borderId="23321" xfId="0" applyNumberFormat="1" applyFont="1" applyFill="1" applyBorder="1"/>
    <xf numFmtId="0" fontId="23365" fillId="23375" borderId="23322" xfId="0" applyFont="1" applyFill="1" applyBorder="1"/>
    <xf numFmtId="0" fontId="23366" fillId="23376" borderId="23323" xfId="0" applyFont="1" applyFill="1" applyBorder="1"/>
    <xf numFmtId="0" fontId="23367" fillId="23377" borderId="23324" xfId="0" applyFont="1" applyFill="1" applyBorder="1"/>
    <xf numFmtId="4" fontId="23368" fillId="23378" borderId="23325" xfId="0" applyNumberFormat="1" applyFont="1" applyFill="1" applyBorder="1"/>
    <xf numFmtId="165" fontId="23369" fillId="23379" borderId="23326" xfId="0" applyNumberFormat="1" applyFont="1" applyFill="1" applyBorder="1"/>
    <xf numFmtId="165" fontId="23370" fillId="23380" borderId="23327" xfId="0" applyNumberFormat="1" applyFont="1" applyFill="1" applyBorder="1"/>
    <xf numFmtId="0" fontId="23371" fillId="23381" borderId="23328" xfId="0" applyFont="1" applyFill="1" applyBorder="1"/>
    <xf numFmtId="0" fontId="23372" fillId="23382" borderId="23329" xfId="0" applyFont="1" applyFill="1" applyBorder="1"/>
    <xf numFmtId="0" fontId="23373" fillId="23383" borderId="23330" xfId="0" applyFont="1" applyFill="1" applyBorder="1"/>
    <xf numFmtId="0" fontId="23374" fillId="23384" borderId="23331" xfId="0" applyFont="1" applyFill="1" applyBorder="1"/>
    <xf numFmtId="14" fontId="23375" fillId="23385" borderId="23332" xfId="0" applyNumberFormat="1" applyFont="1" applyFill="1" applyBorder="1"/>
    <xf numFmtId="0" fontId="23376" fillId="23386" borderId="23333" xfId="0" applyFont="1" applyFill="1" applyBorder="1"/>
    <xf numFmtId="0" fontId="23377" fillId="23387" borderId="23334" xfId="0" applyFont="1" applyFill="1" applyBorder="1"/>
    <xf numFmtId="0" fontId="23378" fillId="23388" borderId="23335" xfId="0" applyFont="1" applyFill="1" applyBorder="1"/>
    <xf numFmtId="4" fontId="23379" fillId="23389" borderId="23336" xfId="0" applyNumberFormat="1" applyFont="1" applyFill="1" applyBorder="1"/>
    <xf numFmtId="165" fontId="23380" fillId="23390" borderId="23337" xfId="0" applyNumberFormat="1" applyFont="1" applyFill="1" applyBorder="1"/>
    <xf numFmtId="165" fontId="23381" fillId="23391" borderId="23338" xfId="0" applyNumberFormat="1" applyFont="1" applyFill="1" applyBorder="1"/>
    <xf numFmtId="0" fontId="23382" fillId="23392" borderId="23339" xfId="0" applyFont="1" applyFill="1" applyBorder="1"/>
    <xf numFmtId="0" fontId="23383" fillId="23393" borderId="23340" xfId="0" applyFont="1" applyFill="1" applyBorder="1"/>
    <xf numFmtId="0" fontId="23384" fillId="23394" borderId="23341" xfId="0" applyFont="1" applyFill="1" applyBorder="1"/>
    <xf numFmtId="0" fontId="23385" fillId="23395" borderId="23342" xfId="0" applyFont="1" applyFill="1" applyBorder="1"/>
    <xf numFmtId="14" fontId="23386" fillId="23396" borderId="23343" xfId="0" applyNumberFormat="1" applyFont="1" applyFill="1" applyBorder="1"/>
    <xf numFmtId="0" fontId="23387" fillId="23397" borderId="23344" xfId="0" applyFont="1" applyFill="1" applyBorder="1"/>
    <xf numFmtId="0" fontId="23388" fillId="23398" borderId="23345" xfId="0" applyFont="1" applyFill="1" applyBorder="1"/>
    <xf numFmtId="0" fontId="23389" fillId="23399" borderId="23346" xfId="0" applyFont="1" applyFill="1" applyBorder="1"/>
    <xf numFmtId="4" fontId="23390" fillId="23400" borderId="23347" xfId="0" applyNumberFormat="1" applyFont="1" applyFill="1" applyBorder="1"/>
    <xf numFmtId="165" fontId="23391" fillId="23401" borderId="23348" xfId="0" applyNumberFormat="1" applyFont="1" applyFill="1" applyBorder="1"/>
    <xf numFmtId="165" fontId="23392" fillId="23402" borderId="23349" xfId="0" applyNumberFormat="1" applyFont="1" applyFill="1" applyBorder="1"/>
    <xf numFmtId="0" fontId="23393" fillId="23403" borderId="23350" xfId="0" applyFont="1" applyFill="1" applyBorder="1"/>
    <xf numFmtId="0" fontId="23394" fillId="23404" borderId="23351" xfId="0" applyFont="1" applyFill="1" applyBorder="1"/>
    <xf numFmtId="0" fontId="23395" fillId="23405" borderId="23352" xfId="0" applyFont="1" applyFill="1" applyBorder="1"/>
    <xf numFmtId="0" fontId="23396" fillId="23406" borderId="23353" xfId="0" applyFont="1" applyFill="1" applyBorder="1"/>
    <xf numFmtId="14" fontId="23397" fillId="23407" borderId="23354" xfId="0" applyNumberFormat="1" applyFont="1" applyFill="1" applyBorder="1"/>
    <xf numFmtId="0" fontId="23398" fillId="23408" borderId="23355" xfId="0" applyFont="1" applyFill="1" applyBorder="1"/>
    <xf numFmtId="0" fontId="23399" fillId="23409" borderId="23356" xfId="0" applyFont="1" applyFill="1" applyBorder="1"/>
    <xf numFmtId="0" fontId="23400" fillId="23410" borderId="23357" xfId="0" applyFont="1" applyFill="1" applyBorder="1"/>
    <xf numFmtId="4" fontId="23401" fillId="23411" borderId="23358" xfId="0" applyNumberFormat="1" applyFont="1" applyFill="1" applyBorder="1"/>
    <xf numFmtId="165" fontId="23402" fillId="23412" borderId="23359" xfId="0" applyNumberFormat="1" applyFont="1" applyFill="1" applyBorder="1"/>
    <xf numFmtId="165" fontId="23403" fillId="23413" borderId="23360" xfId="0" applyNumberFormat="1" applyFont="1" applyFill="1" applyBorder="1"/>
    <xf numFmtId="0" fontId="23404" fillId="23414" borderId="23361" xfId="0" applyFont="1" applyFill="1" applyBorder="1"/>
    <xf numFmtId="0" fontId="23405" fillId="23415" borderId="23362" xfId="0" applyFont="1" applyFill="1" applyBorder="1"/>
    <xf numFmtId="0" fontId="23406" fillId="23416" borderId="23363" xfId="0" applyFont="1" applyFill="1" applyBorder="1"/>
    <xf numFmtId="0" fontId="23407" fillId="23417" borderId="23364" xfId="0" applyFont="1" applyFill="1" applyBorder="1"/>
    <xf numFmtId="14" fontId="23408" fillId="23418" borderId="23365" xfId="0" applyNumberFormat="1" applyFont="1" applyFill="1" applyBorder="1"/>
    <xf numFmtId="0" fontId="23409" fillId="23419" borderId="23366" xfId="0" applyFont="1" applyFill="1" applyBorder="1"/>
    <xf numFmtId="0" fontId="23410" fillId="23420" borderId="23367" xfId="0" applyFont="1" applyFill="1" applyBorder="1"/>
    <xf numFmtId="0" fontId="23411" fillId="23421" borderId="23368" xfId="0" applyFont="1" applyFill="1" applyBorder="1"/>
    <xf numFmtId="4" fontId="23412" fillId="23422" borderId="23369" xfId="0" applyNumberFormat="1" applyFont="1" applyFill="1" applyBorder="1"/>
    <xf numFmtId="165" fontId="23413" fillId="23423" borderId="23370" xfId="0" applyNumberFormat="1" applyFont="1" applyFill="1" applyBorder="1"/>
    <xf numFmtId="165" fontId="23414" fillId="23424" borderId="23371" xfId="0" applyNumberFormat="1" applyFont="1" applyFill="1" applyBorder="1"/>
    <xf numFmtId="0" fontId="23415" fillId="23425" borderId="23372" xfId="0" applyFont="1" applyFill="1" applyBorder="1"/>
    <xf numFmtId="0" fontId="23416" fillId="23426" borderId="23373" xfId="0" applyFont="1" applyFill="1" applyBorder="1"/>
    <xf numFmtId="0" fontId="23417" fillId="23427" borderId="23374" xfId="0" applyFont="1" applyFill="1" applyBorder="1"/>
    <xf numFmtId="0" fontId="23418" fillId="23428" borderId="23375" xfId="0" applyFont="1" applyFill="1" applyBorder="1"/>
    <xf numFmtId="14" fontId="23419" fillId="23429" borderId="23376" xfId="0" applyNumberFormat="1" applyFont="1" applyFill="1" applyBorder="1"/>
    <xf numFmtId="0" fontId="23420" fillId="23430" borderId="23377" xfId="0" applyFont="1" applyFill="1" applyBorder="1"/>
    <xf numFmtId="0" fontId="23421" fillId="23431" borderId="23378" xfId="0" applyFont="1" applyFill="1" applyBorder="1"/>
    <xf numFmtId="0" fontId="23422" fillId="23432" borderId="23379" xfId="0" applyFont="1" applyFill="1" applyBorder="1"/>
    <xf numFmtId="4" fontId="23423" fillId="23433" borderId="23380" xfId="0" applyNumberFormat="1" applyFont="1" applyFill="1" applyBorder="1"/>
    <xf numFmtId="165" fontId="23424" fillId="23434" borderId="23381" xfId="0" applyNumberFormat="1" applyFont="1" applyFill="1" applyBorder="1"/>
    <xf numFmtId="165" fontId="23425" fillId="23435" borderId="23382" xfId="0" applyNumberFormat="1" applyFont="1" applyFill="1" applyBorder="1"/>
    <xf numFmtId="0" fontId="23426" fillId="23436" borderId="23383" xfId="0" applyFont="1" applyFill="1" applyBorder="1"/>
    <xf numFmtId="0" fontId="23427" fillId="23437" borderId="23384" xfId="0" applyFont="1" applyFill="1" applyBorder="1"/>
    <xf numFmtId="0" fontId="23428" fillId="23438" borderId="23385" xfId="0" applyFont="1" applyFill="1" applyBorder="1"/>
    <xf numFmtId="0" fontId="23429" fillId="23439" borderId="23386" xfId="0" applyFont="1" applyFill="1" applyBorder="1"/>
    <xf numFmtId="14" fontId="23430" fillId="23440" borderId="23387" xfId="0" applyNumberFormat="1" applyFont="1" applyFill="1" applyBorder="1"/>
    <xf numFmtId="0" fontId="23431" fillId="23441" borderId="23388" xfId="0" applyFont="1" applyFill="1" applyBorder="1"/>
    <xf numFmtId="0" fontId="23432" fillId="23442" borderId="23389" xfId="0" applyFont="1" applyFill="1" applyBorder="1"/>
    <xf numFmtId="0" fontId="23433" fillId="23443" borderId="23390" xfId="0" applyFont="1" applyFill="1" applyBorder="1"/>
    <xf numFmtId="4" fontId="23434" fillId="23444" borderId="23391" xfId="0" applyNumberFormat="1" applyFont="1" applyFill="1" applyBorder="1"/>
    <xf numFmtId="165" fontId="23435" fillId="23445" borderId="23392" xfId="0" applyNumberFormat="1" applyFont="1" applyFill="1" applyBorder="1"/>
    <xf numFmtId="165" fontId="23436" fillId="23446" borderId="23393" xfId="0" applyNumberFormat="1" applyFont="1" applyFill="1" applyBorder="1"/>
    <xf numFmtId="0" fontId="23437" fillId="23447" borderId="23394" xfId="0" applyFont="1" applyFill="1" applyBorder="1"/>
    <xf numFmtId="0" fontId="23438" fillId="23448" borderId="23395" xfId="0" applyFont="1" applyFill="1" applyBorder="1"/>
    <xf numFmtId="0" fontId="23439" fillId="23449" borderId="23396" xfId="0" applyFont="1" applyFill="1" applyBorder="1"/>
    <xf numFmtId="0" fontId="23440" fillId="23450" borderId="23397" xfId="0" applyFont="1" applyFill="1" applyBorder="1"/>
    <xf numFmtId="14" fontId="23441" fillId="23451" borderId="23398" xfId="0" applyNumberFormat="1" applyFont="1" applyFill="1" applyBorder="1"/>
    <xf numFmtId="0" fontId="23442" fillId="23452" borderId="23399" xfId="0" applyFont="1" applyFill="1" applyBorder="1"/>
    <xf numFmtId="0" fontId="23443" fillId="23453" borderId="23400" xfId="0" applyFont="1" applyFill="1" applyBorder="1"/>
    <xf numFmtId="0" fontId="23444" fillId="23454" borderId="23401" xfId="0" applyFont="1" applyFill="1" applyBorder="1"/>
    <xf numFmtId="4" fontId="23445" fillId="23455" borderId="23402" xfId="0" applyNumberFormat="1" applyFont="1" applyFill="1" applyBorder="1"/>
    <xf numFmtId="165" fontId="23446" fillId="23456" borderId="23403" xfId="0" applyNumberFormat="1" applyFont="1" applyFill="1" applyBorder="1"/>
    <xf numFmtId="165" fontId="23447" fillId="23457" borderId="23404" xfId="0" applyNumberFormat="1" applyFont="1" applyFill="1" applyBorder="1"/>
    <xf numFmtId="0" fontId="23448" fillId="23458" borderId="23405" xfId="0" applyFont="1" applyFill="1" applyBorder="1"/>
    <xf numFmtId="0" fontId="23449" fillId="23459" borderId="23406" xfId="0" applyFont="1" applyFill="1" applyBorder="1"/>
    <xf numFmtId="0" fontId="23450" fillId="23460" borderId="23407" xfId="0" applyFont="1" applyFill="1" applyBorder="1"/>
    <xf numFmtId="0" fontId="23451" fillId="23461" borderId="23408" xfId="0" applyFont="1" applyFill="1" applyBorder="1"/>
    <xf numFmtId="14" fontId="23452" fillId="23462" borderId="23409" xfId="0" applyNumberFormat="1" applyFont="1" applyFill="1" applyBorder="1"/>
    <xf numFmtId="0" fontId="23453" fillId="23463" borderId="23410" xfId="0" applyFont="1" applyFill="1" applyBorder="1"/>
    <xf numFmtId="0" fontId="23454" fillId="23464" borderId="23411" xfId="0" applyFont="1" applyFill="1" applyBorder="1"/>
    <xf numFmtId="0" fontId="23455" fillId="23465" borderId="23412" xfId="0" applyFont="1" applyFill="1" applyBorder="1"/>
    <xf numFmtId="4" fontId="23456" fillId="23466" borderId="23413" xfId="0" applyNumberFormat="1" applyFont="1" applyFill="1" applyBorder="1"/>
    <xf numFmtId="165" fontId="23457" fillId="23467" borderId="23414" xfId="0" applyNumberFormat="1" applyFont="1" applyFill="1" applyBorder="1"/>
    <xf numFmtId="165" fontId="23458" fillId="23468" borderId="23415" xfId="0" applyNumberFormat="1" applyFont="1" applyFill="1" applyBorder="1"/>
    <xf numFmtId="0" fontId="23459" fillId="23469" borderId="23416" xfId="0" applyFont="1" applyFill="1" applyBorder="1"/>
    <xf numFmtId="0" fontId="23460" fillId="23470" borderId="23417" xfId="0" applyFont="1" applyFill="1" applyBorder="1"/>
    <xf numFmtId="0" fontId="23461" fillId="23471" borderId="23418" xfId="0" applyFont="1" applyFill="1" applyBorder="1"/>
    <xf numFmtId="0" fontId="23462" fillId="23472" borderId="23419" xfId="0" applyFont="1" applyFill="1" applyBorder="1"/>
    <xf numFmtId="14" fontId="23463" fillId="23473" borderId="23420" xfId="0" applyNumberFormat="1" applyFont="1" applyFill="1" applyBorder="1"/>
    <xf numFmtId="0" fontId="23464" fillId="23474" borderId="23421" xfId="0" applyFont="1" applyFill="1" applyBorder="1"/>
    <xf numFmtId="0" fontId="23465" fillId="23475" borderId="23422" xfId="0" applyFont="1" applyFill="1" applyBorder="1"/>
    <xf numFmtId="0" fontId="23466" fillId="23476" borderId="23423" xfId="0" applyFont="1" applyFill="1" applyBorder="1"/>
    <xf numFmtId="4" fontId="23467" fillId="23477" borderId="23424" xfId="0" applyNumberFormat="1" applyFont="1" applyFill="1" applyBorder="1"/>
    <xf numFmtId="165" fontId="23468" fillId="23478" borderId="23425" xfId="0" applyNumberFormat="1" applyFont="1" applyFill="1" applyBorder="1"/>
    <xf numFmtId="165" fontId="23469" fillId="23479" borderId="23426" xfId="0" applyNumberFormat="1" applyFont="1" applyFill="1" applyBorder="1"/>
    <xf numFmtId="0" fontId="23470" fillId="23480" borderId="23427" xfId="0" applyFont="1" applyFill="1" applyBorder="1"/>
    <xf numFmtId="0" fontId="23471" fillId="23481" borderId="23428" xfId="0" applyFont="1" applyFill="1" applyBorder="1"/>
    <xf numFmtId="0" fontId="23472" fillId="23482" borderId="23429" xfId="0" applyFont="1" applyFill="1" applyBorder="1"/>
    <xf numFmtId="0" fontId="23473" fillId="23483" borderId="23430" xfId="0" applyFont="1" applyFill="1" applyBorder="1"/>
    <xf numFmtId="14" fontId="23474" fillId="23484" borderId="23431" xfId="0" applyNumberFormat="1" applyFont="1" applyFill="1" applyBorder="1"/>
    <xf numFmtId="0" fontId="23475" fillId="23485" borderId="23432" xfId="0" applyFont="1" applyFill="1" applyBorder="1"/>
    <xf numFmtId="0" fontId="23476" fillId="23486" borderId="23433" xfId="0" applyFont="1" applyFill="1" applyBorder="1"/>
    <xf numFmtId="0" fontId="23477" fillId="23487" borderId="23434" xfId="0" applyFont="1" applyFill="1" applyBorder="1"/>
    <xf numFmtId="4" fontId="23478" fillId="23488" borderId="23435" xfId="0" applyNumberFormat="1" applyFont="1" applyFill="1" applyBorder="1"/>
    <xf numFmtId="165" fontId="23479" fillId="23489" borderId="23436" xfId="0" applyNumberFormat="1" applyFont="1" applyFill="1" applyBorder="1"/>
    <xf numFmtId="165" fontId="23480" fillId="23490" borderId="23437" xfId="0" applyNumberFormat="1" applyFont="1" applyFill="1" applyBorder="1"/>
    <xf numFmtId="0" fontId="23481" fillId="23491" borderId="23438" xfId="0" applyFont="1" applyFill="1" applyBorder="1"/>
    <xf numFmtId="0" fontId="23482" fillId="23492" borderId="23439" xfId="0" applyFont="1" applyFill="1" applyBorder="1"/>
    <xf numFmtId="0" fontId="23483" fillId="23493" borderId="23440" xfId="0" applyFont="1" applyFill="1" applyBorder="1"/>
    <xf numFmtId="0" fontId="23484" fillId="23494" borderId="23441" xfId="0" applyFont="1" applyFill="1" applyBorder="1"/>
    <xf numFmtId="14" fontId="23485" fillId="23495" borderId="23442" xfId="0" applyNumberFormat="1" applyFont="1" applyFill="1" applyBorder="1"/>
    <xf numFmtId="0" fontId="23486" fillId="23496" borderId="23443" xfId="0" applyFont="1" applyFill="1" applyBorder="1"/>
    <xf numFmtId="0" fontId="23487" fillId="23497" borderId="23444" xfId="0" applyFont="1" applyFill="1" applyBorder="1"/>
    <xf numFmtId="0" fontId="23488" fillId="23498" borderId="23445" xfId="0" applyFont="1" applyFill="1" applyBorder="1"/>
    <xf numFmtId="4" fontId="23489" fillId="23499" borderId="23446" xfId="0" applyNumberFormat="1" applyFont="1" applyFill="1" applyBorder="1"/>
    <xf numFmtId="165" fontId="23490" fillId="23500" borderId="23447" xfId="0" applyNumberFormat="1" applyFont="1" applyFill="1" applyBorder="1"/>
    <xf numFmtId="165" fontId="23491" fillId="23501" borderId="23448" xfId="0" applyNumberFormat="1" applyFont="1" applyFill="1" applyBorder="1"/>
    <xf numFmtId="0" fontId="23492" fillId="23502" borderId="23449" xfId="0" applyFont="1" applyFill="1" applyBorder="1"/>
    <xf numFmtId="0" fontId="23493" fillId="23503" borderId="23450" xfId="0" applyFont="1" applyFill="1" applyBorder="1"/>
    <xf numFmtId="0" fontId="23494" fillId="23504" borderId="23451" xfId="0" applyFont="1" applyFill="1" applyBorder="1"/>
    <xf numFmtId="0" fontId="23495" fillId="23505" borderId="23452" xfId="0" applyFont="1" applyFill="1" applyBorder="1"/>
    <xf numFmtId="14" fontId="23496" fillId="23506" borderId="23453" xfId="0" applyNumberFormat="1" applyFont="1" applyFill="1" applyBorder="1"/>
    <xf numFmtId="0" fontId="23497" fillId="23507" borderId="23454" xfId="0" applyFont="1" applyFill="1" applyBorder="1"/>
    <xf numFmtId="0" fontId="23498" fillId="23508" borderId="23455" xfId="0" applyFont="1" applyFill="1" applyBorder="1"/>
    <xf numFmtId="0" fontId="23499" fillId="23509" borderId="23456" xfId="0" applyFont="1" applyFill="1" applyBorder="1"/>
    <xf numFmtId="4" fontId="23500" fillId="23510" borderId="23457" xfId="0" applyNumberFormat="1" applyFont="1" applyFill="1" applyBorder="1"/>
    <xf numFmtId="165" fontId="23501" fillId="23511" borderId="23458" xfId="0" applyNumberFormat="1" applyFont="1" applyFill="1" applyBorder="1"/>
    <xf numFmtId="165" fontId="23502" fillId="23512" borderId="23459" xfId="0" applyNumberFormat="1" applyFont="1" applyFill="1" applyBorder="1"/>
    <xf numFmtId="0" fontId="23503" fillId="23513" borderId="23460" xfId="0" applyFont="1" applyFill="1" applyBorder="1"/>
    <xf numFmtId="0" fontId="23504" fillId="23514" borderId="23461" xfId="0" applyFont="1" applyFill="1" applyBorder="1"/>
    <xf numFmtId="0" fontId="23505" fillId="23515" borderId="23462" xfId="0" applyFont="1" applyFill="1" applyBorder="1"/>
    <xf numFmtId="0" fontId="23506" fillId="23516" borderId="23463" xfId="0" applyFont="1" applyFill="1" applyBorder="1"/>
    <xf numFmtId="14" fontId="23507" fillId="23517" borderId="23464" xfId="0" applyNumberFormat="1" applyFont="1" applyFill="1" applyBorder="1"/>
    <xf numFmtId="0" fontId="23508" fillId="23518" borderId="23465" xfId="0" applyFont="1" applyFill="1" applyBorder="1"/>
    <xf numFmtId="0" fontId="23509" fillId="23519" borderId="23466" xfId="0" applyFont="1" applyFill="1" applyBorder="1"/>
    <xf numFmtId="0" fontId="23510" fillId="23520" borderId="23467" xfId="0" applyFont="1" applyFill="1" applyBorder="1"/>
    <xf numFmtId="4" fontId="23511" fillId="23521" borderId="23468" xfId="0" applyNumberFormat="1" applyFont="1" applyFill="1" applyBorder="1"/>
    <xf numFmtId="165" fontId="23512" fillId="23522" borderId="23469" xfId="0" applyNumberFormat="1" applyFont="1" applyFill="1" applyBorder="1"/>
    <xf numFmtId="165" fontId="23513" fillId="23523" borderId="23470" xfId="0" applyNumberFormat="1" applyFont="1" applyFill="1" applyBorder="1"/>
    <xf numFmtId="0" fontId="23514" fillId="23524" borderId="23471" xfId="0" applyFont="1" applyFill="1" applyBorder="1"/>
    <xf numFmtId="0" fontId="23515" fillId="23525" borderId="23472" xfId="0" applyFont="1" applyFill="1" applyBorder="1"/>
    <xf numFmtId="0" fontId="23516" fillId="23526" borderId="23473" xfId="0" applyFont="1" applyFill="1" applyBorder="1"/>
    <xf numFmtId="0" fontId="23517" fillId="23527" borderId="23474" xfId="0" applyFont="1" applyFill="1" applyBorder="1"/>
    <xf numFmtId="14" fontId="23518" fillId="23528" borderId="23475" xfId="0" applyNumberFormat="1" applyFont="1" applyFill="1" applyBorder="1"/>
    <xf numFmtId="0" fontId="23519" fillId="23529" borderId="23476" xfId="0" applyFont="1" applyFill="1" applyBorder="1"/>
    <xf numFmtId="0" fontId="23520" fillId="23530" borderId="23477" xfId="0" applyFont="1" applyFill="1" applyBorder="1"/>
    <xf numFmtId="0" fontId="23521" fillId="23531" borderId="23478" xfId="0" applyFont="1" applyFill="1" applyBorder="1"/>
    <xf numFmtId="4" fontId="23522" fillId="23532" borderId="23479" xfId="0" applyNumberFormat="1" applyFont="1" applyFill="1" applyBorder="1"/>
    <xf numFmtId="165" fontId="23523" fillId="23533" borderId="23480" xfId="0" applyNumberFormat="1" applyFont="1" applyFill="1" applyBorder="1"/>
    <xf numFmtId="165" fontId="23524" fillId="23534" borderId="23481" xfId="0" applyNumberFormat="1" applyFont="1" applyFill="1" applyBorder="1"/>
    <xf numFmtId="0" fontId="23525" fillId="23535" borderId="23482" xfId="0" applyFont="1" applyFill="1" applyBorder="1"/>
    <xf numFmtId="0" fontId="23526" fillId="23536" borderId="23483" xfId="0" applyFont="1" applyFill="1" applyBorder="1"/>
    <xf numFmtId="0" fontId="23527" fillId="23537" borderId="23484" xfId="0" applyFont="1" applyFill="1" applyBorder="1"/>
    <xf numFmtId="0" fontId="23528" fillId="23538" borderId="23485" xfId="0" applyFont="1" applyFill="1" applyBorder="1"/>
    <xf numFmtId="14" fontId="23529" fillId="23539" borderId="23486" xfId="0" applyNumberFormat="1" applyFont="1" applyFill="1" applyBorder="1"/>
    <xf numFmtId="0" fontId="23530" fillId="23540" borderId="23487" xfId="0" applyFont="1" applyFill="1" applyBorder="1"/>
    <xf numFmtId="0" fontId="23531" fillId="23541" borderId="23488" xfId="0" applyFont="1" applyFill="1" applyBorder="1"/>
    <xf numFmtId="0" fontId="23532" fillId="23542" borderId="23489" xfId="0" applyFont="1" applyFill="1" applyBorder="1"/>
    <xf numFmtId="4" fontId="23533" fillId="23543" borderId="23490" xfId="0" applyNumberFormat="1" applyFont="1" applyFill="1" applyBorder="1"/>
    <xf numFmtId="165" fontId="23534" fillId="23544" borderId="23491" xfId="0" applyNumberFormat="1" applyFont="1" applyFill="1" applyBorder="1"/>
    <xf numFmtId="165" fontId="23535" fillId="23545" borderId="23492" xfId="0" applyNumberFormat="1" applyFont="1" applyFill="1" applyBorder="1"/>
    <xf numFmtId="0" fontId="23536" fillId="23546" borderId="23493" xfId="0" applyFont="1" applyFill="1" applyBorder="1"/>
    <xf numFmtId="0" fontId="23537" fillId="23547" borderId="23494" xfId="0" applyFont="1" applyFill="1" applyBorder="1"/>
    <xf numFmtId="0" fontId="23538" fillId="23548" borderId="23495" xfId="0" applyFont="1" applyFill="1" applyBorder="1"/>
    <xf numFmtId="0" fontId="23539" fillId="23549" borderId="23496" xfId="0" applyFont="1" applyFill="1" applyBorder="1"/>
    <xf numFmtId="14" fontId="23540" fillId="23550" borderId="23497" xfId="0" applyNumberFormat="1" applyFont="1" applyFill="1" applyBorder="1"/>
    <xf numFmtId="0" fontId="23541" fillId="23551" borderId="23498" xfId="0" applyFont="1" applyFill="1" applyBorder="1"/>
    <xf numFmtId="0" fontId="23542" fillId="23552" borderId="23499" xfId="0" applyFont="1" applyFill="1" applyBorder="1"/>
    <xf numFmtId="0" fontId="23543" fillId="23553" borderId="23500" xfId="0" applyFont="1" applyFill="1" applyBorder="1"/>
    <xf numFmtId="4" fontId="23544" fillId="23554" borderId="23501" xfId="0" applyNumberFormat="1" applyFont="1" applyFill="1" applyBorder="1"/>
    <xf numFmtId="165" fontId="23545" fillId="23555" borderId="23502" xfId="0" applyNumberFormat="1" applyFont="1" applyFill="1" applyBorder="1"/>
    <xf numFmtId="165" fontId="23546" fillId="23556" borderId="23503" xfId="0" applyNumberFormat="1" applyFont="1" applyFill="1" applyBorder="1"/>
    <xf numFmtId="0" fontId="23547" fillId="23557" borderId="23504" xfId="0" applyFont="1" applyFill="1" applyBorder="1"/>
    <xf numFmtId="0" fontId="23548" fillId="23558" borderId="23505" xfId="0" applyFont="1" applyFill="1" applyBorder="1"/>
    <xf numFmtId="0" fontId="23549" fillId="23559" borderId="23506" xfId="0" applyFont="1" applyFill="1" applyBorder="1"/>
    <xf numFmtId="0" fontId="23550" fillId="23560" borderId="23507" xfId="0" applyFont="1" applyFill="1" applyBorder="1"/>
    <xf numFmtId="14" fontId="23551" fillId="23561" borderId="23508" xfId="0" applyNumberFormat="1" applyFont="1" applyFill="1" applyBorder="1"/>
    <xf numFmtId="0" fontId="23552" fillId="23562" borderId="23509" xfId="0" applyFont="1" applyFill="1" applyBorder="1"/>
    <xf numFmtId="0" fontId="23553" fillId="23563" borderId="23510" xfId="0" applyFont="1" applyFill="1" applyBorder="1"/>
    <xf numFmtId="0" fontId="23554" fillId="23564" borderId="23511" xfId="0" applyFont="1" applyFill="1" applyBorder="1"/>
    <xf numFmtId="4" fontId="23555" fillId="23565" borderId="23512" xfId="0" applyNumberFormat="1" applyFont="1" applyFill="1" applyBorder="1"/>
    <xf numFmtId="165" fontId="23556" fillId="23566" borderId="23513" xfId="0" applyNumberFormat="1" applyFont="1" applyFill="1" applyBorder="1"/>
    <xf numFmtId="165" fontId="23557" fillId="23567" borderId="23514" xfId="0" applyNumberFormat="1" applyFont="1" applyFill="1" applyBorder="1"/>
    <xf numFmtId="0" fontId="23558" fillId="23568" borderId="23515" xfId="0" applyFont="1" applyFill="1" applyBorder="1"/>
    <xf numFmtId="0" fontId="23559" fillId="23569" borderId="23516" xfId="0" applyFont="1" applyFill="1" applyBorder="1"/>
    <xf numFmtId="0" fontId="23560" fillId="23570" borderId="23517" xfId="0" applyFont="1" applyFill="1" applyBorder="1"/>
    <xf numFmtId="0" fontId="23561" fillId="23571" borderId="23518" xfId="0" applyFont="1" applyFill="1" applyBorder="1"/>
    <xf numFmtId="14" fontId="23562" fillId="23572" borderId="23519" xfId="0" applyNumberFormat="1" applyFont="1" applyFill="1" applyBorder="1"/>
    <xf numFmtId="0" fontId="23563" fillId="23573" borderId="23520" xfId="0" applyFont="1" applyFill="1" applyBorder="1"/>
    <xf numFmtId="0" fontId="23564" fillId="23574" borderId="23521" xfId="0" applyFont="1" applyFill="1" applyBorder="1"/>
    <xf numFmtId="0" fontId="23565" fillId="23575" borderId="23522" xfId="0" applyFont="1" applyFill="1" applyBorder="1"/>
    <xf numFmtId="4" fontId="23566" fillId="23576" borderId="23523" xfId="0" applyNumberFormat="1" applyFont="1" applyFill="1" applyBorder="1"/>
    <xf numFmtId="165" fontId="23567" fillId="23577" borderId="23524" xfId="0" applyNumberFormat="1" applyFont="1" applyFill="1" applyBorder="1"/>
    <xf numFmtId="165" fontId="23568" fillId="23578" borderId="23525" xfId="0" applyNumberFormat="1" applyFont="1" applyFill="1" applyBorder="1"/>
    <xf numFmtId="0" fontId="23569" fillId="23579" borderId="23526" xfId="0" applyFont="1" applyFill="1" applyBorder="1"/>
    <xf numFmtId="0" fontId="23570" fillId="23580" borderId="23527" xfId="0" applyFont="1" applyFill="1" applyBorder="1"/>
    <xf numFmtId="0" fontId="23571" fillId="23581" borderId="23528" xfId="0" applyFont="1" applyFill="1" applyBorder="1"/>
    <xf numFmtId="0" fontId="23572" fillId="23582" borderId="23529" xfId="0" applyFont="1" applyFill="1" applyBorder="1"/>
    <xf numFmtId="14" fontId="23573" fillId="23583" borderId="23530" xfId="0" applyNumberFormat="1" applyFont="1" applyFill="1" applyBorder="1"/>
    <xf numFmtId="0" fontId="23574" fillId="23584" borderId="23531" xfId="0" applyFont="1" applyFill="1" applyBorder="1"/>
    <xf numFmtId="0" fontId="23575" fillId="23585" borderId="23532" xfId="0" applyFont="1" applyFill="1" applyBorder="1"/>
    <xf numFmtId="0" fontId="23576" fillId="23586" borderId="23533" xfId="0" applyFont="1" applyFill="1" applyBorder="1"/>
    <xf numFmtId="4" fontId="23577" fillId="23587" borderId="23534" xfId="0" applyNumberFormat="1" applyFont="1" applyFill="1" applyBorder="1"/>
    <xf numFmtId="165" fontId="23578" fillId="23588" borderId="23535" xfId="0" applyNumberFormat="1" applyFont="1" applyFill="1" applyBorder="1"/>
    <xf numFmtId="165" fontId="23579" fillId="23589" borderId="23536" xfId="0" applyNumberFormat="1" applyFont="1" applyFill="1" applyBorder="1"/>
    <xf numFmtId="0" fontId="23580" fillId="23590" borderId="23537" xfId="0" applyFont="1" applyFill="1" applyBorder="1"/>
    <xf numFmtId="0" fontId="23581" fillId="23591" borderId="23538" xfId="0" applyFont="1" applyFill="1" applyBorder="1"/>
    <xf numFmtId="0" fontId="23582" fillId="23592" borderId="23539" xfId="0" applyFont="1" applyFill="1" applyBorder="1"/>
    <xf numFmtId="0" fontId="23583" fillId="23593" borderId="23540" xfId="0" applyFont="1" applyFill="1" applyBorder="1"/>
    <xf numFmtId="14" fontId="23584" fillId="23594" borderId="23541" xfId="0" applyNumberFormat="1" applyFont="1" applyFill="1" applyBorder="1"/>
    <xf numFmtId="0" fontId="23585" fillId="23595" borderId="23542" xfId="0" applyFont="1" applyFill="1" applyBorder="1"/>
    <xf numFmtId="0" fontId="23586" fillId="23596" borderId="23543" xfId="0" applyFont="1" applyFill="1" applyBorder="1"/>
    <xf numFmtId="0" fontId="23587" fillId="23597" borderId="23544" xfId="0" applyFont="1" applyFill="1" applyBorder="1"/>
    <xf numFmtId="4" fontId="23588" fillId="23598" borderId="23545" xfId="0" applyNumberFormat="1" applyFont="1" applyFill="1" applyBorder="1"/>
    <xf numFmtId="165" fontId="23589" fillId="23599" borderId="23546" xfId="0" applyNumberFormat="1" applyFont="1" applyFill="1" applyBorder="1"/>
    <xf numFmtId="165" fontId="23590" fillId="23600" borderId="23547" xfId="0" applyNumberFormat="1" applyFont="1" applyFill="1" applyBorder="1"/>
    <xf numFmtId="0" fontId="23591" fillId="23601" borderId="23548" xfId="0" applyFont="1" applyFill="1" applyBorder="1"/>
    <xf numFmtId="0" fontId="23592" fillId="23602" borderId="23549" xfId="0" applyFont="1" applyFill="1" applyBorder="1"/>
    <xf numFmtId="0" fontId="23593" fillId="23603" borderId="23550" xfId="0" applyFont="1" applyFill="1" applyBorder="1"/>
    <xf numFmtId="0" fontId="23594" fillId="23604" borderId="23551" xfId="0" applyFont="1" applyFill="1" applyBorder="1"/>
    <xf numFmtId="14" fontId="23595" fillId="23605" borderId="23552" xfId="0" applyNumberFormat="1" applyFont="1" applyFill="1" applyBorder="1"/>
    <xf numFmtId="0" fontId="23596" fillId="23606" borderId="23553" xfId="0" applyFont="1" applyFill="1" applyBorder="1"/>
    <xf numFmtId="0" fontId="23597" fillId="23607" borderId="23554" xfId="0" applyFont="1" applyFill="1" applyBorder="1"/>
    <xf numFmtId="0" fontId="23598" fillId="23608" borderId="23555" xfId="0" applyFont="1" applyFill="1" applyBorder="1"/>
    <xf numFmtId="4" fontId="23599" fillId="23609" borderId="23556" xfId="0" applyNumberFormat="1" applyFont="1" applyFill="1" applyBorder="1"/>
    <xf numFmtId="165" fontId="23600" fillId="23610" borderId="23557" xfId="0" applyNumberFormat="1" applyFont="1" applyFill="1" applyBorder="1"/>
    <xf numFmtId="165" fontId="23601" fillId="23611" borderId="23558" xfId="0" applyNumberFormat="1" applyFont="1" applyFill="1" applyBorder="1"/>
    <xf numFmtId="0" fontId="23602" fillId="23612" borderId="23559" xfId="0" applyFont="1" applyFill="1" applyBorder="1"/>
    <xf numFmtId="0" fontId="23603" fillId="23613" borderId="23560" xfId="0" applyFont="1" applyFill="1" applyBorder="1"/>
    <xf numFmtId="0" fontId="23604" fillId="23614" borderId="23561" xfId="0" applyFont="1" applyFill="1" applyBorder="1"/>
    <xf numFmtId="0" fontId="23605" fillId="23615" borderId="23562" xfId="0" applyFont="1" applyFill="1" applyBorder="1"/>
    <xf numFmtId="14" fontId="23606" fillId="23616" borderId="23563" xfId="0" applyNumberFormat="1" applyFont="1" applyFill="1" applyBorder="1"/>
    <xf numFmtId="0" fontId="23607" fillId="23617" borderId="23564" xfId="0" applyFont="1" applyFill="1" applyBorder="1"/>
    <xf numFmtId="0" fontId="23608" fillId="23618" borderId="23565" xfId="0" applyFont="1" applyFill="1" applyBorder="1"/>
    <xf numFmtId="0" fontId="23609" fillId="23619" borderId="23566" xfId="0" applyFont="1" applyFill="1" applyBorder="1"/>
    <xf numFmtId="4" fontId="23610" fillId="23620" borderId="23567" xfId="0" applyNumberFormat="1" applyFont="1" applyFill="1" applyBorder="1"/>
    <xf numFmtId="165" fontId="23611" fillId="23621" borderId="23568" xfId="0" applyNumberFormat="1" applyFont="1" applyFill="1" applyBorder="1"/>
    <xf numFmtId="165" fontId="23612" fillId="23622" borderId="23569" xfId="0" applyNumberFormat="1" applyFont="1" applyFill="1" applyBorder="1"/>
    <xf numFmtId="0" fontId="23613" fillId="23623" borderId="23570" xfId="0" applyFont="1" applyFill="1" applyBorder="1"/>
    <xf numFmtId="0" fontId="23614" fillId="23624" borderId="23571" xfId="0" applyFont="1" applyFill="1" applyBorder="1"/>
    <xf numFmtId="0" fontId="23615" fillId="23625" borderId="23572" xfId="0" applyFont="1" applyFill="1" applyBorder="1"/>
    <xf numFmtId="0" fontId="23616" fillId="23626" borderId="23573" xfId="0" applyFont="1" applyFill="1" applyBorder="1"/>
    <xf numFmtId="14" fontId="23617" fillId="23627" borderId="23574" xfId="0" applyNumberFormat="1" applyFont="1" applyFill="1" applyBorder="1"/>
    <xf numFmtId="0" fontId="23618" fillId="23628" borderId="23575" xfId="0" applyFont="1" applyFill="1" applyBorder="1"/>
    <xf numFmtId="0" fontId="23619" fillId="23629" borderId="23576" xfId="0" applyFont="1" applyFill="1" applyBorder="1"/>
    <xf numFmtId="0" fontId="23620" fillId="23630" borderId="23577" xfId="0" applyFont="1" applyFill="1" applyBorder="1"/>
    <xf numFmtId="4" fontId="23621" fillId="23631" borderId="23578" xfId="0" applyNumberFormat="1" applyFont="1" applyFill="1" applyBorder="1"/>
    <xf numFmtId="165" fontId="23622" fillId="23632" borderId="23579" xfId="0" applyNumberFormat="1" applyFont="1" applyFill="1" applyBorder="1"/>
    <xf numFmtId="165" fontId="23623" fillId="23633" borderId="23580" xfId="0" applyNumberFormat="1" applyFont="1" applyFill="1" applyBorder="1"/>
    <xf numFmtId="0" fontId="23624" fillId="23634" borderId="23581" xfId="0" applyFont="1" applyFill="1" applyBorder="1"/>
    <xf numFmtId="0" fontId="23625" fillId="23635" borderId="23582" xfId="0" applyFont="1" applyFill="1" applyBorder="1"/>
    <xf numFmtId="0" fontId="23626" fillId="23636" borderId="23583" xfId="0" applyFont="1" applyFill="1" applyBorder="1"/>
    <xf numFmtId="0" fontId="23627" fillId="23637" borderId="23584" xfId="0" applyFont="1" applyFill="1" applyBorder="1"/>
    <xf numFmtId="14" fontId="23628" fillId="23638" borderId="23585" xfId="0" applyNumberFormat="1" applyFont="1" applyFill="1" applyBorder="1"/>
    <xf numFmtId="0" fontId="23629" fillId="23639" borderId="23586" xfId="0" applyFont="1" applyFill="1" applyBorder="1"/>
    <xf numFmtId="0" fontId="23630" fillId="23640" borderId="23587" xfId="0" applyFont="1" applyFill="1" applyBorder="1"/>
    <xf numFmtId="0" fontId="23631" fillId="23641" borderId="23588" xfId="0" applyFont="1" applyFill="1" applyBorder="1"/>
    <xf numFmtId="4" fontId="23632" fillId="23642" borderId="23589" xfId="0" applyNumberFormat="1" applyFont="1" applyFill="1" applyBorder="1"/>
    <xf numFmtId="165" fontId="23633" fillId="23643" borderId="23590" xfId="0" applyNumberFormat="1" applyFont="1" applyFill="1" applyBorder="1"/>
    <xf numFmtId="165" fontId="23634" fillId="23644" borderId="23591" xfId="0" applyNumberFormat="1" applyFont="1" applyFill="1" applyBorder="1"/>
    <xf numFmtId="0" fontId="23635" fillId="23645" borderId="23592" xfId="0" applyFont="1" applyFill="1" applyBorder="1"/>
    <xf numFmtId="0" fontId="23636" fillId="23646" borderId="23593" xfId="0" applyFont="1" applyFill="1" applyBorder="1"/>
    <xf numFmtId="0" fontId="23637" fillId="23647" borderId="23594" xfId="0" applyFont="1" applyFill="1" applyBorder="1"/>
    <xf numFmtId="0" fontId="23638" fillId="23648" borderId="23595" xfId="0" applyFont="1" applyFill="1" applyBorder="1"/>
    <xf numFmtId="14" fontId="23639" fillId="23649" borderId="23596" xfId="0" applyNumberFormat="1" applyFont="1" applyFill="1" applyBorder="1"/>
    <xf numFmtId="0" fontId="23640" fillId="23650" borderId="23597" xfId="0" applyFont="1" applyFill="1" applyBorder="1"/>
    <xf numFmtId="0" fontId="23641" fillId="23651" borderId="23598" xfId="0" applyFont="1" applyFill="1" applyBorder="1"/>
    <xf numFmtId="0" fontId="23642" fillId="23652" borderId="23599" xfId="0" applyFont="1" applyFill="1" applyBorder="1"/>
    <xf numFmtId="4" fontId="23643" fillId="23653" borderId="23600" xfId="0" applyNumberFormat="1" applyFont="1" applyFill="1" applyBorder="1"/>
    <xf numFmtId="165" fontId="23644" fillId="23654" borderId="23601" xfId="0" applyNumberFormat="1" applyFont="1" applyFill="1" applyBorder="1"/>
    <xf numFmtId="165" fontId="23645" fillId="23655" borderId="23602" xfId="0" applyNumberFormat="1" applyFont="1" applyFill="1" applyBorder="1"/>
    <xf numFmtId="0" fontId="23646" fillId="23656" borderId="23603" xfId="0" applyFont="1" applyFill="1" applyBorder="1"/>
    <xf numFmtId="0" fontId="23647" fillId="23657" borderId="23604" xfId="0" applyFont="1" applyFill="1" applyBorder="1"/>
    <xf numFmtId="0" fontId="23648" fillId="23658" borderId="23605" xfId="0" applyFont="1" applyFill="1" applyBorder="1"/>
    <xf numFmtId="0" fontId="23649" fillId="23659" borderId="23606" xfId="0" applyFont="1" applyFill="1" applyBorder="1"/>
    <xf numFmtId="14" fontId="23650" fillId="23660" borderId="23607" xfId="0" applyNumberFormat="1" applyFont="1" applyFill="1" applyBorder="1"/>
    <xf numFmtId="0" fontId="23651" fillId="23661" borderId="23608" xfId="0" applyFont="1" applyFill="1" applyBorder="1"/>
    <xf numFmtId="0" fontId="23652" fillId="23662" borderId="23609" xfId="0" applyFont="1" applyFill="1" applyBorder="1"/>
    <xf numFmtId="0" fontId="23653" fillId="23663" borderId="23610" xfId="0" applyFont="1" applyFill="1" applyBorder="1"/>
    <xf numFmtId="4" fontId="23654" fillId="23664" borderId="23611" xfId="0" applyNumberFormat="1" applyFont="1" applyFill="1" applyBorder="1"/>
    <xf numFmtId="165" fontId="23655" fillId="23665" borderId="23612" xfId="0" applyNumberFormat="1" applyFont="1" applyFill="1" applyBorder="1"/>
    <xf numFmtId="165" fontId="23656" fillId="23666" borderId="23613" xfId="0" applyNumberFormat="1" applyFont="1" applyFill="1" applyBorder="1"/>
    <xf numFmtId="0" fontId="23657" fillId="23667" borderId="23614" xfId="0" applyFont="1" applyFill="1" applyBorder="1"/>
    <xf numFmtId="0" fontId="23658" fillId="23668" borderId="23615" xfId="0" applyFont="1" applyFill="1" applyBorder="1"/>
    <xf numFmtId="0" fontId="23659" fillId="23669" borderId="23616" xfId="0" applyFont="1" applyFill="1" applyBorder="1"/>
    <xf numFmtId="0" fontId="23660" fillId="23670" borderId="23617" xfId="0" applyFont="1" applyFill="1" applyBorder="1"/>
    <xf numFmtId="14" fontId="23661" fillId="23671" borderId="23618" xfId="0" applyNumberFormat="1" applyFont="1" applyFill="1" applyBorder="1"/>
    <xf numFmtId="0" fontId="23662" fillId="23672" borderId="23619" xfId="0" applyFont="1" applyFill="1" applyBorder="1"/>
    <xf numFmtId="0" fontId="23663" fillId="23673" borderId="23620" xfId="0" applyFont="1" applyFill="1" applyBorder="1"/>
    <xf numFmtId="0" fontId="23664" fillId="23674" borderId="23621" xfId="0" applyFont="1" applyFill="1" applyBorder="1"/>
    <xf numFmtId="4" fontId="23665" fillId="23675" borderId="23622" xfId="0" applyNumberFormat="1" applyFont="1" applyFill="1" applyBorder="1"/>
    <xf numFmtId="165" fontId="23666" fillId="23676" borderId="23623" xfId="0" applyNumberFormat="1" applyFont="1" applyFill="1" applyBorder="1"/>
    <xf numFmtId="165" fontId="23667" fillId="23677" borderId="23624" xfId="0" applyNumberFormat="1" applyFont="1" applyFill="1" applyBorder="1"/>
    <xf numFmtId="0" fontId="23668" fillId="23678" borderId="23625" xfId="0" applyFont="1" applyFill="1" applyBorder="1"/>
    <xf numFmtId="0" fontId="23669" fillId="23679" borderId="23626" xfId="0" applyFont="1" applyFill="1" applyBorder="1"/>
    <xf numFmtId="0" fontId="23670" fillId="23680" borderId="23627" xfId="0" applyFont="1" applyFill="1" applyBorder="1"/>
    <xf numFmtId="0" fontId="23671" fillId="23681" borderId="23628" xfId="0" applyFont="1" applyFill="1" applyBorder="1"/>
    <xf numFmtId="14" fontId="23672" fillId="23682" borderId="23629" xfId="0" applyNumberFormat="1" applyFont="1" applyFill="1" applyBorder="1"/>
    <xf numFmtId="0" fontId="23673" fillId="23683" borderId="23630" xfId="0" applyFont="1" applyFill="1" applyBorder="1"/>
    <xf numFmtId="0" fontId="23674" fillId="23684" borderId="23631" xfId="0" applyFont="1" applyFill="1" applyBorder="1"/>
    <xf numFmtId="0" fontId="23675" fillId="23685" borderId="23632" xfId="0" applyFont="1" applyFill="1" applyBorder="1"/>
    <xf numFmtId="4" fontId="23676" fillId="23686" borderId="23633" xfId="0" applyNumberFormat="1" applyFont="1" applyFill="1" applyBorder="1"/>
    <xf numFmtId="165" fontId="23677" fillId="23687" borderId="23634" xfId="0" applyNumberFormat="1" applyFont="1" applyFill="1" applyBorder="1"/>
    <xf numFmtId="165" fontId="23678" fillId="23688" borderId="23635" xfId="0" applyNumberFormat="1" applyFont="1" applyFill="1" applyBorder="1"/>
    <xf numFmtId="0" fontId="23679" fillId="23689" borderId="23636" xfId="0" applyFont="1" applyFill="1" applyBorder="1"/>
    <xf numFmtId="0" fontId="23680" fillId="23690" borderId="23637" xfId="0" applyFont="1" applyFill="1" applyBorder="1"/>
    <xf numFmtId="0" fontId="23681" fillId="23691" borderId="23638" xfId="0" applyFont="1" applyFill="1" applyBorder="1"/>
    <xf numFmtId="0" fontId="23682" fillId="23692" borderId="23639" xfId="0" applyFont="1" applyFill="1" applyBorder="1"/>
    <xf numFmtId="14" fontId="23683" fillId="23693" borderId="23640" xfId="0" applyNumberFormat="1" applyFont="1" applyFill="1" applyBorder="1"/>
    <xf numFmtId="0" fontId="23684" fillId="23694" borderId="23641" xfId="0" applyFont="1" applyFill="1" applyBorder="1"/>
    <xf numFmtId="0" fontId="23685" fillId="23695" borderId="23642" xfId="0" applyFont="1" applyFill="1" applyBorder="1"/>
    <xf numFmtId="0" fontId="23686" fillId="23696" borderId="23643" xfId="0" applyFont="1" applyFill="1" applyBorder="1"/>
    <xf numFmtId="4" fontId="23687" fillId="23697" borderId="23644" xfId="0" applyNumberFormat="1" applyFont="1" applyFill="1" applyBorder="1"/>
    <xf numFmtId="165" fontId="23688" fillId="23698" borderId="23645" xfId="0" applyNumberFormat="1" applyFont="1" applyFill="1" applyBorder="1"/>
    <xf numFmtId="165" fontId="23689" fillId="23699" borderId="23646" xfId="0" applyNumberFormat="1" applyFont="1" applyFill="1" applyBorder="1"/>
    <xf numFmtId="0" fontId="23690" fillId="23700" borderId="23647" xfId="0" applyFont="1" applyFill="1" applyBorder="1"/>
    <xf numFmtId="0" fontId="23691" fillId="23701" borderId="23648" xfId="0" applyFont="1" applyFill="1" applyBorder="1"/>
    <xf numFmtId="0" fontId="23692" fillId="23702" borderId="23649" xfId="0" applyFont="1" applyFill="1" applyBorder="1"/>
    <xf numFmtId="0" fontId="23693" fillId="23703" borderId="23650" xfId="0" applyFont="1" applyFill="1" applyBorder="1"/>
    <xf numFmtId="14" fontId="23694" fillId="23704" borderId="23651" xfId="0" applyNumberFormat="1" applyFont="1" applyFill="1" applyBorder="1"/>
    <xf numFmtId="0" fontId="23695" fillId="23705" borderId="23652" xfId="0" applyFont="1" applyFill="1" applyBorder="1"/>
    <xf numFmtId="0" fontId="23696" fillId="23706" borderId="23653" xfId="0" applyFont="1" applyFill="1" applyBorder="1"/>
    <xf numFmtId="0" fontId="23697" fillId="23707" borderId="23654" xfId="0" applyFont="1" applyFill="1" applyBorder="1"/>
    <xf numFmtId="4" fontId="23698" fillId="23708" borderId="23655" xfId="0" applyNumberFormat="1" applyFont="1" applyFill="1" applyBorder="1"/>
    <xf numFmtId="165" fontId="23699" fillId="23709" borderId="23656" xfId="0" applyNumberFormat="1" applyFont="1" applyFill="1" applyBorder="1"/>
    <xf numFmtId="165" fontId="23700" fillId="23710" borderId="23657" xfId="0" applyNumberFormat="1" applyFont="1" applyFill="1" applyBorder="1"/>
    <xf numFmtId="0" fontId="23701" fillId="23711" borderId="23658" xfId="0" applyFont="1" applyFill="1" applyBorder="1"/>
    <xf numFmtId="0" fontId="23702" fillId="23712" borderId="23659" xfId="0" applyFont="1" applyFill="1" applyBorder="1"/>
    <xf numFmtId="0" fontId="23703" fillId="23713" borderId="23660" xfId="0" applyFont="1" applyFill="1" applyBorder="1"/>
    <xf numFmtId="0" fontId="23704" fillId="23714" borderId="23661" xfId="0" applyFont="1" applyFill="1" applyBorder="1"/>
    <xf numFmtId="14" fontId="23705" fillId="23715" borderId="23662" xfId="0" applyNumberFormat="1" applyFont="1" applyFill="1" applyBorder="1"/>
    <xf numFmtId="0" fontId="23706" fillId="23716" borderId="23663" xfId="0" applyFont="1" applyFill="1" applyBorder="1"/>
    <xf numFmtId="0" fontId="23707" fillId="23717" borderId="23664" xfId="0" applyFont="1" applyFill="1" applyBorder="1"/>
    <xf numFmtId="0" fontId="23708" fillId="23718" borderId="23665" xfId="0" applyFont="1" applyFill="1" applyBorder="1"/>
    <xf numFmtId="4" fontId="23709" fillId="23719" borderId="23666" xfId="0" applyNumberFormat="1" applyFont="1" applyFill="1" applyBorder="1"/>
    <xf numFmtId="165" fontId="23710" fillId="23720" borderId="23667" xfId="0" applyNumberFormat="1" applyFont="1" applyFill="1" applyBorder="1"/>
    <xf numFmtId="165" fontId="23711" fillId="23721" borderId="23668" xfId="0" applyNumberFormat="1" applyFont="1" applyFill="1" applyBorder="1"/>
    <xf numFmtId="0" fontId="23712" fillId="23722" borderId="23669" xfId="0" applyFont="1" applyFill="1" applyBorder="1"/>
    <xf numFmtId="0" fontId="23713" fillId="23723" borderId="23670" xfId="0" applyFont="1" applyFill="1" applyBorder="1"/>
    <xf numFmtId="0" fontId="23714" fillId="23724" borderId="23671" xfId="0" applyFont="1" applyFill="1" applyBorder="1"/>
    <xf numFmtId="0" fontId="23715" fillId="23725" borderId="23672" xfId="0" applyFont="1" applyFill="1" applyBorder="1"/>
    <xf numFmtId="14" fontId="23716" fillId="23726" borderId="23673" xfId="0" applyNumberFormat="1" applyFont="1" applyFill="1" applyBorder="1"/>
    <xf numFmtId="0" fontId="23717" fillId="23727" borderId="23674" xfId="0" applyFont="1" applyFill="1" applyBorder="1"/>
    <xf numFmtId="0" fontId="23718" fillId="23728" borderId="23675" xfId="0" applyFont="1" applyFill="1" applyBorder="1"/>
    <xf numFmtId="0" fontId="23719" fillId="23729" borderId="23676" xfId="0" applyFont="1" applyFill="1" applyBorder="1"/>
    <xf numFmtId="4" fontId="23720" fillId="23730" borderId="23677" xfId="0" applyNumberFormat="1" applyFont="1" applyFill="1" applyBorder="1"/>
    <xf numFmtId="165" fontId="23721" fillId="23731" borderId="23678" xfId="0" applyNumberFormat="1" applyFont="1" applyFill="1" applyBorder="1"/>
    <xf numFmtId="165" fontId="23722" fillId="23732" borderId="23679" xfId="0" applyNumberFormat="1" applyFont="1" applyFill="1" applyBorder="1"/>
    <xf numFmtId="0" fontId="23723" fillId="23733" borderId="23680" xfId="0" applyFont="1" applyFill="1" applyBorder="1"/>
    <xf numFmtId="0" fontId="23724" fillId="23734" borderId="23681" xfId="0" applyFont="1" applyFill="1" applyBorder="1"/>
    <xf numFmtId="0" fontId="23725" fillId="23735" borderId="23682" xfId="0" applyFont="1" applyFill="1" applyBorder="1"/>
    <xf numFmtId="0" fontId="23726" fillId="23736" borderId="23683" xfId="0" applyFont="1" applyFill="1" applyBorder="1"/>
    <xf numFmtId="14" fontId="23727" fillId="23737" borderId="23684" xfId="0" applyNumberFormat="1" applyFont="1" applyFill="1" applyBorder="1"/>
    <xf numFmtId="0" fontId="23728" fillId="23738" borderId="23685" xfId="0" applyFont="1" applyFill="1" applyBorder="1"/>
    <xf numFmtId="0" fontId="23729" fillId="23739" borderId="23686" xfId="0" applyFont="1" applyFill="1" applyBorder="1"/>
    <xf numFmtId="0" fontId="23730" fillId="23740" borderId="23687" xfId="0" applyFont="1" applyFill="1" applyBorder="1"/>
    <xf numFmtId="4" fontId="23731" fillId="23741" borderId="23688" xfId="0" applyNumberFormat="1" applyFont="1" applyFill="1" applyBorder="1"/>
    <xf numFmtId="165" fontId="23732" fillId="23742" borderId="23689" xfId="0" applyNumberFormat="1" applyFont="1" applyFill="1" applyBorder="1"/>
    <xf numFmtId="165" fontId="23733" fillId="23743" borderId="23690" xfId="0" applyNumberFormat="1" applyFont="1" applyFill="1" applyBorder="1"/>
    <xf numFmtId="0" fontId="23734" fillId="23744" borderId="23691" xfId="0" applyFont="1" applyFill="1" applyBorder="1"/>
    <xf numFmtId="0" fontId="23735" fillId="23745" borderId="23692" xfId="0" applyFont="1" applyFill="1" applyBorder="1"/>
    <xf numFmtId="0" fontId="23736" fillId="23746" borderId="23693" xfId="0" applyFont="1" applyFill="1" applyBorder="1"/>
    <xf numFmtId="0" fontId="23737" fillId="23747" borderId="23694" xfId="0" applyFont="1" applyFill="1" applyBorder="1"/>
    <xf numFmtId="14" fontId="23738" fillId="23748" borderId="23695" xfId="0" applyNumberFormat="1" applyFont="1" applyFill="1" applyBorder="1"/>
    <xf numFmtId="0" fontId="23739" fillId="23749" borderId="23696" xfId="0" applyFont="1" applyFill="1" applyBorder="1"/>
    <xf numFmtId="0" fontId="23740" fillId="23750" borderId="23697" xfId="0" applyFont="1" applyFill="1" applyBorder="1"/>
    <xf numFmtId="0" fontId="23741" fillId="23751" borderId="23698" xfId="0" applyFont="1" applyFill="1" applyBorder="1"/>
    <xf numFmtId="4" fontId="23742" fillId="23752" borderId="23699" xfId="0" applyNumberFormat="1" applyFont="1" applyFill="1" applyBorder="1"/>
    <xf numFmtId="165" fontId="23743" fillId="23753" borderId="23700" xfId="0" applyNumberFormat="1" applyFont="1" applyFill="1" applyBorder="1"/>
    <xf numFmtId="165" fontId="23744" fillId="23754" borderId="23701" xfId="0" applyNumberFormat="1" applyFont="1" applyFill="1" applyBorder="1"/>
    <xf numFmtId="0" fontId="23745" fillId="23755" borderId="23702" xfId="0" applyFont="1" applyFill="1" applyBorder="1"/>
    <xf numFmtId="0" fontId="23746" fillId="23756" borderId="23703" xfId="0" applyFont="1" applyFill="1" applyBorder="1"/>
    <xf numFmtId="0" fontId="23747" fillId="23757" borderId="23704" xfId="0" applyFont="1" applyFill="1" applyBorder="1"/>
    <xf numFmtId="0" fontId="23748" fillId="23758" borderId="23705" xfId="0" applyFont="1" applyFill="1" applyBorder="1"/>
    <xf numFmtId="14" fontId="23749" fillId="23759" borderId="23706" xfId="0" applyNumberFormat="1" applyFont="1" applyFill="1" applyBorder="1"/>
    <xf numFmtId="0" fontId="23750" fillId="23760" borderId="23707" xfId="0" applyFont="1" applyFill="1" applyBorder="1"/>
    <xf numFmtId="0" fontId="23751" fillId="23761" borderId="23708" xfId="0" applyFont="1" applyFill="1" applyBorder="1"/>
    <xf numFmtId="0" fontId="23752" fillId="23762" borderId="23709" xfId="0" applyFont="1" applyFill="1" applyBorder="1"/>
    <xf numFmtId="4" fontId="23753" fillId="23763" borderId="23710" xfId="0" applyNumberFormat="1" applyFont="1" applyFill="1" applyBorder="1"/>
    <xf numFmtId="165" fontId="23754" fillId="23764" borderId="23711" xfId="0" applyNumberFormat="1" applyFont="1" applyFill="1" applyBorder="1"/>
    <xf numFmtId="165" fontId="23755" fillId="23765" borderId="23712" xfId="0" applyNumberFormat="1" applyFont="1" applyFill="1" applyBorder="1"/>
    <xf numFmtId="0" fontId="23756" fillId="23766" borderId="23713" xfId="0" applyFont="1" applyFill="1" applyBorder="1"/>
    <xf numFmtId="0" fontId="23757" fillId="23767" borderId="23714" xfId="0" applyFont="1" applyFill="1" applyBorder="1"/>
    <xf numFmtId="0" fontId="23758" fillId="23768" borderId="23715" xfId="0" applyFont="1" applyFill="1" applyBorder="1"/>
    <xf numFmtId="0" fontId="23759" fillId="23769" borderId="23716" xfId="0" applyFont="1" applyFill="1" applyBorder="1"/>
    <xf numFmtId="14" fontId="23760" fillId="23770" borderId="23717" xfId="0" applyNumberFormat="1" applyFont="1" applyFill="1" applyBorder="1"/>
    <xf numFmtId="0" fontId="23761" fillId="23771" borderId="23718" xfId="0" applyFont="1" applyFill="1" applyBorder="1"/>
    <xf numFmtId="0" fontId="23762" fillId="23772" borderId="23719" xfId="0" applyFont="1" applyFill="1" applyBorder="1"/>
    <xf numFmtId="0" fontId="23763" fillId="23773" borderId="23720" xfId="0" applyFont="1" applyFill="1" applyBorder="1"/>
    <xf numFmtId="4" fontId="23764" fillId="23774" borderId="23721" xfId="0" applyNumberFormat="1" applyFont="1" applyFill="1" applyBorder="1"/>
    <xf numFmtId="165" fontId="23765" fillId="23775" borderId="23722" xfId="0" applyNumberFormat="1" applyFont="1" applyFill="1" applyBorder="1"/>
    <xf numFmtId="165" fontId="23766" fillId="23776" borderId="23723" xfId="0" applyNumberFormat="1" applyFont="1" applyFill="1" applyBorder="1"/>
    <xf numFmtId="0" fontId="23767" fillId="23777" borderId="23724" xfId="0" applyFont="1" applyFill="1" applyBorder="1"/>
    <xf numFmtId="0" fontId="23768" fillId="23778" borderId="23725" xfId="0" applyFont="1" applyFill="1" applyBorder="1"/>
    <xf numFmtId="0" fontId="23769" fillId="23779" borderId="23726" xfId="0" applyFont="1" applyFill="1" applyBorder="1"/>
    <xf numFmtId="0" fontId="23770" fillId="23780" borderId="23727" xfId="0" applyFont="1" applyFill="1" applyBorder="1"/>
    <xf numFmtId="14" fontId="23771" fillId="23781" borderId="23728" xfId="0" applyNumberFormat="1" applyFont="1" applyFill="1" applyBorder="1"/>
    <xf numFmtId="0" fontId="23772" fillId="23782" borderId="23729" xfId="0" applyFont="1" applyFill="1" applyBorder="1"/>
    <xf numFmtId="0" fontId="23773" fillId="23783" borderId="23730" xfId="0" applyFont="1" applyFill="1" applyBorder="1"/>
    <xf numFmtId="0" fontId="23774" fillId="23784" borderId="23731" xfId="0" applyFont="1" applyFill="1" applyBorder="1"/>
    <xf numFmtId="4" fontId="23775" fillId="23785" borderId="23732" xfId="0" applyNumberFormat="1" applyFont="1" applyFill="1" applyBorder="1"/>
    <xf numFmtId="165" fontId="23776" fillId="23786" borderId="23733" xfId="0" applyNumberFormat="1" applyFont="1" applyFill="1" applyBorder="1"/>
    <xf numFmtId="165" fontId="23777" fillId="23787" borderId="23734" xfId="0" applyNumberFormat="1" applyFont="1" applyFill="1" applyBorder="1"/>
    <xf numFmtId="0" fontId="23778" fillId="23788" borderId="23735" xfId="0" applyFont="1" applyFill="1" applyBorder="1"/>
    <xf numFmtId="0" fontId="23779" fillId="23789" borderId="23736" xfId="0" applyFont="1" applyFill="1" applyBorder="1"/>
    <xf numFmtId="0" fontId="23780" fillId="23790" borderId="23737" xfId="0" applyFont="1" applyFill="1" applyBorder="1"/>
    <xf numFmtId="0" fontId="23781" fillId="23791" borderId="23738" xfId="0" applyFont="1" applyFill="1" applyBorder="1"/>
    <xf numFmtId="14" fontId="23782" fillId="23792" borderId="23739" xfId="0" applyNumberFormat="1" applyFont="1" applyFill="1" applyBorder="1"/>
    <xf numFmtId="0" fontId="23783" fillId="23793" borderId="23740" xfId="0" applyFont="1" applyFill="1" applyBorder="1"/>
    <xf numFmtId="0" fontId="23784" fillId="23794" borderId="23741" xfId="0" applyFont="1" applyFill="1" applyBorder="1"/>
    <xf numFmtId="0" fontId="23785" fillId="23795" borderId="23742" xfId="0" applyFont="1" applyFill="1" applyBorder="1"/>
    <xf numFmtId="4" fontId="23786" fillId="23796" borderId="23743" xfId="0" applyNumberFormat="1" applyFont="1" applyFill="1" applyBorder="1"/>
    <xf numFmtId="165" fontId="23787" fillId="23797" borderId="23744" xfId="0" applyNumberFormat="1" applyFont="1" applyFill="1" applyBorder="1"/>
    <xf numFmtId="165" fontId="23788" fillId="23798" borderId="23745" xfId="0" applyNumberFormat="1" applyFont="1" applyFill="1" applyBorder="1"/>
    <xf numFmtId="0" fontId="23789" fillId="23799" borderId="23746" xfId="0" applyFont="1" applyFill="1" applyBorder="1"/>
    <xf numFmtId="0" fontId="23790" fillId="23800" borderId="23747" xfId="0" applyFont="1" applyFill="1" applyBorder="1"/>
    <xf numFmtId="0" fontId="23791" fillId="23801" borderId="23748" xfId="0" applyFont="1" applyFill="1" applyBorder="1"/>
    <xf numFmtId="0" fontId="23792" fillId="23802" borderId="23749" xfId="0" applyFont="1" applyFill="1" applyBorder="1"/>
    <xf numFmtId="14" fontId="23793" fillId="23803" borderId="23750" xfId="0" applyNumberFormat="1" applyFont="1" applyFill="1" applyBorder="1"/>
    <xf numFmtId="0" fontId="23794" fillId="23804" borderId="23751" xfId="0" applyFont="1" applyFill="1" applyBorder="1"/>
    <xf numFmtId="0" fontId="23795" fillId="23805" borderId="23752" xfId="0" applyFont="1" applyFill="1" applyBorder="1"/>
    <xf numFmtId="0" fontId="23796" fillId="23806" borderId="23753" xfId="0" applyFont="1" applyFill="1" applyBorder="1"/>
    <xf numFmtId="4" fontId="23797" fillId="23807" borderId="23754" xfId="0" applyNumberFormat="1" applyFont="1" applyFill="1" applyBorder="1"/>
    <xf numFmtId="165" fontId="23798" fillId="23808" borderId="23755" xfId="0" applyNumberFormat="1" applyFont="1" applyFill="1" applyBorder="1"/>
    <xf numFmtId="165" fontId="23799" fillId="23809" borderId="23756" xfId="0" applyNumberFormat="1" applyFont="1" applyFill="1" applyBorder="1"/>
    <xf numFmtId="0" fontId="23800" fillId="23810" borderId="23757" xfId="0" applyFont="1" applyFill="1" applyBorder="1"/>
    <xf numFmtId="0" fontId="23801" fillId="23811" borderId="23758" xfId="0" applyFont="1" applyFill="1" applyBorder="1"/>
    <xf numFmtId="0" fontId="23802" fillId="23812" borderId="23759" xfId="0" applyFont="1" applyFill="1" applyBorder="1"/>
    <xf numFmtId="0" fontId="23803" fillId="23813" borderId="23760" xfId="0" applyFont="1" applyFill="1" applyBorder="1"/>
    <xf numFmtId="14" fontId="23804" fillId="23814" borderId="23761" xfId="0" applyNumberFormat="1" applyFont="1" applyFill="1" applyBorder="1"/>
    <xf numFmtId="0" fontId="23805" fillId="23815" borderId="23762" xfId="0" applyFont="1" applyFill="1" applyBorder="1"/>
    <xf numFmtId="0" fontId="23806" fillId="23816" borderId="23763" xfId="0" applyFont="1" applyFill="1" applyBorder="1"/>
    <xf numFmtId="0" fontId="23807" fillId="23817" borderId="23764" xfId="0" applyFont="1" applyFill="1" applyBorder="1"/>
    <xf numFmtId="4" fontId="23808" fillId="23818" borderId="23765" xfId="0" applyNumberFormat="1" applyFont="1" applyFill="1" applyBorder="1"/>
    <xf numFmtId="165" fontId="23809" fillId="23819" borderId="23766" xfId="0" applyNumberFormat="1" applyFont="1" applyFill="1" applyBorder="1"/>
    <xf numFmtId="165" fontId="23810" fillId="23820" borderId="23767" xfId="0" applyNumberFormat="1" applyFont="1" applyFill="1" applyBorder="1"/>
    <xf numFmtId="0" fontId="23811" fillId="23821" borderId="23768" xfId="0" applyFont="1" applyFill="1" applyBorder="1"/>
    <xf numFmtId="0" fontId="23812" fillId="23822" borderId="23769" xfId="0" applyFont="1" applyFill="1" applyBorder="1"/>
    <xf numFmtId="0" fontId="23813" fillId="23823" borderId="23770" xfId="0" applyFont="1" applyFill="1" applyBorder="1"/>
    <xf numFmtId="0" fontId="23814" fillId="23824" borderId="23771" xfId="0" applyFont="1" applyFill="1" applyBorder="1"/>
    <xf numFmtId="14" fontId="23815" fillId="23825" borderId="23772" xfId="0" applyNumberFormat="1" applyFont="1" applyFill="1" applyBorder="1"/>
    <xf numFmtId="0" fontId="23816" fillId="23826" borderId="23773" xfId="0" applyFont="1" applyFill="1" applyBorder="1"/>
    <xf numFmtId="0" fontId="23817" fillId="23827" borderId="23774" xfId="0" applyFont="1" applyFill="1" applyBorder="1"/>
    <xf numFmtId="0" fontId="23818" fillId="23828" borderId="23775" xfId="0" applyFont="1" applyFill="1" applyBorder="1"/>
    <xf numFmtId="4" fontId="23819" fillId="23829" borderId="23776" xfId="0" applyNumberFormat="1" applyFont="1" applyFill="1" applyBorder="1"/>
    <xf numFmtId="165" fontId="23820" fillId="23830" borderId="23777" xfId="0" applyNumberFormat="1" applyFont="1" applyFill="1" applyBorder="1"/>
    <xf numFmtId="165" fontId="23821" fillId="23831" borderId="23778" xfId="0" applyNumberFormat="1" applyFont="1" applyFill="1" applyBorder="1"/>
    <xf numFmtId="0" fontId="23822" fillId="23832" borderId="23779" xfId="0" applyFont="1" applyFill="1" applyBorder="1"/>
    <xf numFmtId="0" fontId="23823" fillId="23833" borderId="23780" xfId="0" applyFont="1" applyFill="1" applyBorder="1"/>
    <xf numFmtId="0" fontId="23824" fillId="23834" borderId="23781" xfId="0" applyFont="1" applyFill="1" applyBorder="1"/>
    <xf numFmtId="0" fontId="23825" fillId="23835" borderId="23782" xfId="0" applyFont="1" applyFill="1" applyBorder="1"/>
    <xf numFmtId="14" fontId="23826" fillId="23836" borderId="23783" xfId="0" applyNumberFormat="1" applyFont="1" applyFill="1" applyBorder="1"/>
    <xf numFmtId="0" fontId="23827" fillId="23837" borderId="23784" xfId="0" applyFont="1" applyFill="1" applyBorder="1"/>
    <xf numFmtId="0" fontId="23828" fillId="23838" borderId="23785" xfId="0" applyFont="1" applyFill="1" applyBorder="1"/>
    <xf numFmtId="0" fontId="23829" fillId="23839" borderId="23786" xfId="0" applyFont="1" applyFill="1" applyBorder="1"/>
    <xf numFmtId="4" fontId="23830" fillId="23840" borderId="23787" xfId="0" applyNumberFormat="1" applyFont="1" applyFill="1" applyBorder="1"/>
    <xf numFmtId="165" fontId="23831" fillId="23841" borderId="23788" xfId="0" applyNumberFormat="1" applyFont="1" applyFill="1" applyBorder="1"/>
    <xf numFmtId="165" fontId="23832" fillId="23842" borderId="23789" xfId="0" applyNumberFormat="1" applyFont="1" applyFill="1" applyBorder="1"/>
    <xf numFmtId="0" fontId="23833" fillId="23843" borderId="23790" xfId="0" applyFont="1" applyFill="1" applyBorder="1"/>
    <xf numFmtId="0" fontId="23834" fillId="23844" borderId="23791" xfId="0" applyFont="1" applyFill="1" applyBorder="1"/>
    <xf numFmtId="0" fontId="23835" fillId="23845" borderId="23792" xfId="0" applyFont="1" applyFill="1" applyBorder="1"/>
    <xf numFmtId="0" fontId="23836" fillId="23846" borderId="23793" xfId="0" applyFont="1" applyFill="1" applyBorder="1"/>
    <xf numFmtId="14" fontId="23837" fillId="23847" borderId="23794" xfId="0" applyNumberFormat="1" applyFont="1" applyFill="1" applyBorder="1"/>
    <xf numFmtId="0" fontId="23838" fillId="23848" borderId="23795" xfId="0" applyFont="1" applyFill="1" applyBorder="1"/>
    <xf numFmtId="0" fontId="23839" fillId="23849" borderId="23796" xfId="0" applyFont="1" applyFill="1" applyBorder="1"/>
    <xf numFmtId="0" fontId="23840" fillId="23850" borderId="23797" xfId="0" applyFont="1" applyFill="1" applyBorder="1"/>
    <xf numFmtId="4" fontId="23841" fillId="23851" borderId="23798" xfId="0" applyNumberFormat="1" applyFont="1" applyFill="1" applyBorder="1"/>
    <xf numFmtId="165" fontId="23842" fillId="23852" borderId="23799" xfId="0" applyNumberFormat="1" applyFont="1" applyFill="1" applyBorder="1"/>
    <xf numFmtId="165" fontId="23843" fillId="23853" borderId="23800" xfId="0" applyNumberFormat="1" applyFont="1" applyFill="1" applyBorder="1"/>
    <xf numFmtId="0" fontId="23844" fillId="23854" borderId="23801" xfId="0" applyFont="1" applyFill="1" applyBorder="1"/>
    <xf numFmtId="0" fontId="23845" fillId="23855" borderId="23802" xfId="0" applyFont="1" applyFill="1" applyBorder="1"/>
    <xf numFmtId="0" fontId="23846" fillId="23856" borderId="23803" xfId="0" applyFont="1" applyFill="1" applyBorder="1"/>
    <xf numFmtId="0" fontId="23847" fillId="23857" borderId="23804" xfId="0" applyFont="1" applyFill="1" applyBorder="1"/>
    <xf numFmtId="14" fontId="23848" fillId="23858" borderId="23805" xfId="0" applyNumberFormat="1" applyFont="1" applyFill="1" applyBorder="1"/>
    <xf numFmtId="0" fontId="23849" fillId="23859" borderId="23806" xfId="0" applyFont="1" applyFill="1" applyBorder="1"/>
    <xf numFmtId="0" fontId="23850" fillId="23860" borderId="23807" xfId="0" applyFont="1" applyFill="1" applyBorder="1"/>
    <xf numFmtId="0" fontId="23851" fillId="23861" borderId="23808" xfId="0" applyFont="1" applyFill="1" applyBorder="1"/>
    <xf numFmtId="4" fontId="23852" fillId="23862" borderId="23809" xfId="0" applyNumberFormat="1" applyFont="1" applyFill="1" applyBorder="1"/>
    <xf numFmtId="165" fontId="23853" fillId="23863" borderId="23810" xfId="0" applyNumberFormat="1" applyFont="1" applyFill="1" applyBorder="1"/>
    <xf numFmtId="165" fontId="23854" fillId="23864" borderId="23811" xfId="0" applyNumberFormat="1" applyFont="1" applyFill="1" applyBorder="1"/>
    <xf numFmtId="0" fontId="23855" fillId="23865" borderId="23812" xfId="0" applyFont="1" applyFill="1" applyBorder="1"/>
    <xf numFmtId="0" fontId="23856" fillId="23866" borderId="23813" xfId="0" applyFont="1" applyFill="1" applyBorder="1"/>
    <xf numFmtId="0" fontId="23857" fillId="23867" borderId="23814" xfId="0" applyFont="1" applyFill="1" applyBorder="1"/>
    <xf numFmtId="0" fontId="23858" fillId="23868" borderId="23815" xfId="0" applyFont="1" applyFill="1" applyBorder="1"/>
    <xf numFmtId="14" fontId="23859" fillId="23869" borderId="23816" xfId="0" applyNumberFormat="1" applyFont="1" applyFill="1" applyBorder="1"/>
    <xf numFmtId="0" fontId="23860" fillId="23870" borderId="23817" xfId="0" applyFont="1" applyFill="1" applyBorder="1"/>
    <xf numFmtId="0" fontId="23861" fillId="23871" borderId="23818" xfId="0" applyFont="1" applyFill="1" applyBorder="1"/>
    <xf numFmtId="0" fontId="23862" fillId="23872" borderId="23819" xfId="0" applyFont="1" applyFill="1" applyBorder="1"/>
    <xf numFmtId="4" fontId="23863" fillId="23873" borderId="23820" xfId="0" applyNumberFormat="1" applyFont="1" applyFill="1" applyBorder="1"/>
    <xf numFmtId="165" fontId="23864" fillId="23874" borderId="23821" xfId="0" applyNumberFormat="1" applyFont="1" applyFill="1" applyBorder="1"/>
    <xf numFmtId="165" fontId="23865" fillId="23875" borderId="23822" xfId="0" applyNumberFormat="1" applyFont="1" applyFill="1" applyBorder="1"/>
    <xf numFmtId="0" fontId="23866" fillId="23876" borderId="23823" xfId="0" applyFont="1" applyFill="1" applyBorder="1"/>
    <xf numFmtId="0" fontId="23867" fillId="23877" borderId="23824" xfId="0" applyFont="1" applyFill="1" applyBorder="1"/>
    <xf numFmtId="0" fontId="23868" fillId="23878" borderId="23825" xfId="0" applyFont="1" applyFill="1" applyBorder="1"/>
    <xf numFmtId="0" fontId="23869" fillId="23879" borderId="23826" xfId="0" applyFont="1" applyFill="1" applyBorder="1"/>
    <xf numFmtId="14" fontId="23870" fillId="23880" borderId="23827" xfId="0" applyNumberFormat="1" applyFont="1" applyFill="1" applyBorder="1"/>
    <xf numFmtId="0" fontId="23871" fillId="23881" borderId="23828" xfId="0" applyFont="1" applyFill="1" applyBorder="1"/>
    <xf numFmtId="0" fontId="23872" fillId="23882" borderId="23829" xfId="0" applyFont="1" applyFill="1" applyBorder="1"/>
    <xf numFmtId="0" fontId="23873" fillId="23883" borderId="23830" xfId="0" applyFont="1" applyFill="1" applyBorder="1"/>
    <xf numFmtId="4" fontId="23874" fillId="23884" borderId="23831" xfId="0" applyNumberFormat="1" applyFont="1" applyFill="1" applyBorder="1"/>
    <xf numFmtId="165" fontId="23875" fillId="23885" borderId="23832" xfId="0" applyNumberFormat="1" applyFont="1" applyFill="1" applyBorder="1"/>
    <xf numFmtId="165" fontId="23876" fillId="23886" borderId="23833" xfId="0" applyNumberFormat="1" applyFont="1" applyFill="1" applyBorder="1"/>
    <xf numFmtId="0" fontId="23877" fillId="23887" borderId="23834" xfId="0" applyFont="1" applyFill="1" applyBorder="1"/>
    <xf numFmtId="0" fontId="23878" fillId="23888" borderId="23835" xfId="0" applyFont="1" applyFill="1" applyBorder="1"/>
    <xf numFmtId="0" fontId="23879" fillId="23889" borderId="23836" xfId="0" applyFont="1" applyFill="1" applyBorder="1"/>
    <xf numFmtId="0" fontId="23880" fillId="23890" borderId="23837" xfId="0" applyFont="1" applyFill="1" applyBorder="1"/>
    <xf numFmtId="14" fontId="23881" fillId="23891" borderId="23838" xfId="0" applyNumberFormat="1" applyFont="1" applyFill="1" applyBorder="1"/>
    <xf numFmtId="0" fontId="23882" fillId="23892" borderId="23839" xfId="0" applyFont="1" applyFill="1" applyBorder="1"/>
    <xf numFmtId="0" fontId="23883" fillId="23893" borderId="23840" xfId="0" applyFont="1" applyFill="1" applyBorder="1"/>
    <xf numFmtId="0" fontId="23884" fillId="23894" borderId="23841" xfId="0" applyFont="1" applyFill="1" applyBorder="1"/>
    <xf numFmtId="4" fontId="23885" fillId="23895" borderId="23842" xfId="0" applyNumberFormat="1" applyFont="1" applyFill="1" applyBorder="1"/>
    <xf numFmtId="165" fontId="23886" fillId="23896" borderId="23843" xfId="0" applyNumberFormat="1" applyFont="1" applyFill="1" applyBorder="1"/>
    <xf numFmtId="165" fontId="23887" fillId="23897" borderId="23844" xfId="0" applyNumberFormat="1" applyFont="1" applyFill="1" applyBorder="1"/>
    <xf numFmtId="0" fontId="23888" fillId="23898" borderId="23845" xfId="0" applyFont="1" applyFill="1" applyBorder="1"/>
    <xf numFmtId="0" fontId="23889" fillId="23899" borderId="23846" xfId="0" applyFont="1" applyFill="1" applyBorder="1"/>
    <xf numFmtId="0" fontId="23890" fillId="23900" borderId="23847" xfId="0" applyFont="1" applyFill="1" applyBorder="1"/>
    <xf numFmtId="0" fontId="23891" fillId="23901" borderId="23848" xfId="0" applyFont="1" applyFill="1" applyBorder="1"/>
    <xf numFmtId="14" fontId="23892" fillId="23902" borderId="23849" xfId="0" applyNumberFormat="1" applyFont="1" applyFill="1" applyBorder="1"/>
    <xf numFmtId="0" fontId="23893" fillId="23903" borderId="23850" xfId="0" applyFont="1" applyFill="1" applyBorder="1"/>
    <xf numFmtId="0" fontId="23894" fillId="23904" borderId="23851" xfId="0" applyFont="1" applyFill="1" applyBorder="1"/>
    <xf numFmtId="0" fontId="23895" fillId="23905" borderId="23852" xfId="0" applyFont="1" applyFill="1" applyBorder="1"/>
    <xf numFmtId="4" fontId="23896" fillId="23906" borderId="23853" xfId="0" applyNumberFormat="1" applyFont="1" applyFill="1" applyBorder="1"/>
    <xf numFmtId="165" fontId="23897" fillId="23907" borderId="23854" xfId="0" applyNumberFormat="1" applyFont="1" applyFill="1" applyBorder="1"/>
    <xf numFmtId="165" fontId="23898" fillId="23908" borderId="23855" xfId="0" applyNumberFormat="1" applyFont="1" applyFill="1" applyBorder="1"/>
    <xf numFmtId="0" fontId="23899" fillId="23909" borderId="23856" xfId="0" applyFont="1" applyFill="1" applyBorder="1"/>
    <xf numFmtId="0" fontId="23900" fillId="23910" borderId="23857" xfId="0" applyFont="1" applyFill="1" applyBorder="1"/>
    <xf numFmtId="0" fontId="23901" fillId="23911" borderId="23858" xfId="0" applyFont="1" applyFill="1" applyBorder="1"/>
    <xf numFmtId="0" fontId="23902" fillId="23912" borderId="23859" xfId="0" applyFont="1" applyFill="1" applyBorder="1"/>
    <xf numFmtId="14" fontId="23903" fillId="23913" borderId="23860" xfId="0" applyNumberFormat="1" applyFont="1" applyFill="1" applyBorder="1"/>
    <xf numFmtId="0" fontId="23904" fillId="23914" borderId="23861" xfId="0" applyFont="1" applyFill="1" applyBorder="1"/>
    <xf numFmtId="0" fontId="23905" fillId="23915" borderId="23862" xfId="0" applyFont="1" applyFill="1" applyBorder="1"/>
    <xf numFmtId="0" fontId="23906" fillId="23916" borderId="23863" xfId="0" applyFont="1" applyFill="1" applyBorder="1"/>
    <xf numFmtId="4" fontId="23907" fillId="23917" borderId="23864" xfId="0" applyNumberFormat="1" applyFont="1" applyFill="1" applyBorder="1"/>
    <xf numFmtId="165" fontId="23908" fillId="23918" borderId="23865" xfId="0" applyNumberFormat="1" applyFont="1" applyFill="1" applyBorder="1"/>
    <xf numFmtId="165" fontId="23909" fillId="23919" borderId="23866" xfId="0" applyNumberFormat="1" applyFont="1" applyFill="1" applyBorder="1"/>
    <xf numFmtId="0" fontId="23910" fillId="23920" borderId="23867" xfId="0" applyFont="1" applyFill="1" applyBorder="1"/>
    <xf numFmtId="0" fontId="23911" fillId="23921" borderId="23868" xfId="0" applyFont="1" applyFill="1" applyBorder="1"/>
    <xf numFmtId="0" fontId="23912" fillId="23922" borderId="23869" xfId="0" applyFont="1" applyFill="1" applyBorder="1"/>
    <xf numFmtId="0" fontId="23913" fillId="23923" borderId="23870" xfId="0" applyFont="1" applyFill="1" applyBorder="1"/>
    <xf numFmtId="14" fontId="23914" fillId="23924" borderId="23871" xfId="0" applyNumberFormat="1" applyFont="1" applyFill="1" applyBorder="1"/>
    <xf numFmtId="0" fontId="23915" fillId="23925" borderId="23872" xfId="0" applyFont="1" applyFill="1" applyBorder="1"/>
    <xf numFmtId="0" fontId="23916" fillId="23926" borderId="23873" xfId="0" applyFont="1" applyFill="1" applyBorder="1"/>
    <xf numFmtId="0" fontId="23917" fillId="23927" borderId="23874" xfId="0" applyFont="1" applyFill="1" applyBorder="1"/>
    <xf numFmtId="4" fontId="23918" fillId="23928" borderId="23875" xfId="0" applyNumberFormat="1" applyFont="1" applyFill="1" applyBorder="1"/>
    <xf numFmtId="165" fontId="23919" fillId="23929" borderId="23876" xfId="0" applyNumberFormat="1" applyFont="1" applyFill="1" applyBorder="1"/>
    <xf numFmtId="165" fontId="23920" fillId="23930" borderId="23877" xfId="0" applyNumberFormat="1" applyFont="1" applyFill="1" applyBorder="1"/>
    <xf numFmtId="0" fontId="23921" fillId="23931" borderId="23878" xfId="0" applyFont="1" applyFill="1" applyBorder="1"/>
    <xf numFmtId="0" fontId="23922" fillId="23932" borderId="23879" xfId="0" applyFont="1" applyFill="1" applyBorder="1"/>
    <xf numFmtId="0" fontId="23923" fillId="23933" borderId="23880" xfId="0" applyFont="1" applyFill="1" applyBorder="1"/>
    <xf numFmtId="0" fontId="23924" fillId="23934" borderId="23881" xfId="0" applyFont="1" applyFill="1" applyBorder="1"/>
    <xf numFmtId="14" fontId="23925" fillId="23935" borderId="23882" xfId="0" applyNumberFormat="1" applyFont="1" applyFill="1" applyBorder="1"/>
    <xf numFmtId="0" fontId="23926" fillId="23936" borderId="23883" xfId="0" applyFont="1" applyFill="1" applyBorder="1"/>
    <xf numFmtId="0" fontId="23927" fillId="23937" borderId="23884" xfId="0" applyFont="1" applyFill="1" applyBorder="1"/>
    <xf numFmtId="0" fontId="23928" fillId="23938" borderId="23885" xfId="0" applyFont="1" applyFill="1" applyBorder="1"/>
    <xf numFmtId="4" fontId="23929" fillId="23939" borderId="23886" xfId="0" applyNumberFormat="1" applyFont="1" applyFill="1" applyBorder="1"/>
    <xf numFmtId="165" fontId="23930" fillId="23940" borderId="23887" xfId="0" applyNumberFormat="1" applyFont="1" applyFill="1" applyBorder="1"/>
    <xf numFmtId="165" fontId="23931" fillId="23941" borderId="23888" xfId="0" applyNumberFormat="1" applyFont="1" applyFill="1" applyBorder="1"/>
    <xf numFmtId="0" fontId="23932" fillId="23942" borderId="23889" xfId="0" applyFont="1" applyFill="1" applyBorder="1"/>
    <xf numFmtId="0" fontId="23933" fillId="23943" borderId="23890" xfId="0" applyFont="1" applyFill="1" applyBorder="1"/>
    <xf numFmtId="0" fontId="23934" fillId="23944" borderId="23891" xfId="0" applyFont="1" applyFill="1" applyBorder="1"/>
    <xf numFmtId="0" fontId="23935" fillId="23945" borderId="23892" xfId="0" applyFont="1" applyFill="1" applyBorder="1"/>
    <xf numFmtId="14" fontId="23936" fillId="23946" borderId="23893" xfId="0" applyNumberFormat="1" applyFont="1" applyFill="1" applyBorder="1"/>
    <xf numFmtId="0" fontId="23937" fillId="23947" borderId="23894" xfId="0" applyFont="1" applyFill="1" applyBorder="1"/>
    <xf numFmtId="0" fontId="23938" fillId="23948" borderId="23895" xfId="0" applyFont="1" applyFill="1" applyBorder="1"/>
    <xf numFmtId="0" fontId="23939" fillId="23949" borderId="23896" xfId="0" applyFont="1" applyFill="1" applyBorder="1"/>
    <xf numFmtId="4" fontId="23940" fillId="23950" borderId="23897" xfId="0" applyNumberFormat="1" applyFont="1" applyFill="1" applyBorder="1"/>
    <xf numFmtId="165" fontId="23941" fillId="23951" borderId="23898" xfId="0" applyNumberFormat="1" applyFont="1" applyFill="1" applyBorder="1"/>
    <xf numFmtId="165" fontId="23942" fillId="23952" borderId="23899" xfId="0" applyNumberFormat="1" applyFont="1" applyFill="1" applyBorder="1"/>
    <xf numFmtId="0" fontId="23943" fillId="23953" borderId="23900" xfId="0" applyFont="1" applyFill="1" applyBorder="1"/>
    <xf numFmtId="0" fontId="23944" fillId="23954" borderId="23901" xfId="0" applyFont="1" applyFill="1" applyBorder="1"/>
    <xf numFmtId="0" fontId="23945" fillId="23955" borderId="23902" xfId="0" applyFont="1" applyFill="1" applyBorder="1"/>
    <xf numFmtId="0" fontId="23946" fillId="23956" borderId="23903" xfId="0" applyFont="1" applyFill="1" applyBorder="1"/>
    <xf numFmtId="14" fontId="23947" fillId="23957" borderId="23904" xfId="0" applyNumberFormat="1" applyFont="1" applyFill="1" applyBorder="1"/>
    <xf numFmtId="0" fontId="23948" fillId="23958" borderId="23905" xfId="0" applyFont="1" applyFill="1" applyBorder="1"/>
    <xf numFmtId="0" fontId="23949" fillId="23959" borderId="23906" xfId="0" applyFont="1" applyFill="1" applyBorder="1"/>
    <xf numFmtId="0" fontId="23950" fillId="23960" borderId="23907" xfId="0" applyFont="1" applyFill="1" applyBorder="1"/>
    <xf numFmtId="4" fontId="23951" fillId="23961" borderId="23908" xfId="0" applyNumberFormat="1" applyFont="1" applyFill="1" applyBorder="1"/>
    <xf numFmtId="165" fontId="23952" fillId="23962" borderId="23909" xfId="0" applyNumberFormat="1" applyFont="1" applyFill="1" applyBorder="1"/>
    <xf numFmtId="165" fontId="23953" fillId="23963" borderId="23910" xfId="0" applyNumberFormat="1" applyFont="1" applyFill="1" applyBorder="1"/>
    <xf numFmtId="0" fontId="23954" fillId="23964" borderId="23911" xfId="0" applyFont="1" applyFill="1" applyBorder="1"/>
    <xf numFmtId="0" fontId="23955" fillId="23965" borderId="23912" xfId="0" applyFont="1" applyFill="1" applyBorder="1"/>
    <xf numFmtId="0" fontId="23956" fillId="23966" borderId="23913" xfId="0" applyFont="1" applyFill="1" applyBorder="1"/>
    <xf numFmtId="0" fontId="23957" fillId="23967" borderId="23914" xfId="0" applyFont="1" applyFill="1" applyBorder="1"/>
    <xf numFmtId="14" fontId="23958" fillId="23968" borderId="23915" xfId="0" applyNumberFormat="1" applyFont="1" applyFill="1" applyBorder="1"/>
    <xf numFmtId="0" fontId="23959" fillId="23969" borderId="23916" xfId="0" applyFont="1" applyFill="1" applyBorder="1"/>
    <xf numFmtId="0" fontId="23960" fillId="23970" borderId="23917" xfId="0" applyFont="1" applyFill="1" applyBorder="1"/>
    <xf numFmtId="0" fontId="23961" fillId="23971" borderId="23918" xfId="0" applyFont="1" applyFill="1" applyBorder="1"/>
    <xf numFmtId="4" fontId="23962" fillId="23972" borderId="23919" xfId="0" applyNumberFormat="1" applyFont="1" applyFill="1" applyBorder="1"/>
    <xf numFmtId="165" fontId="23963" fillId="23973" borderId="23920" xfId="0" applyNumberFormat="1" applyFont="1" applyFill="1" applyBorder="1"/>
    <xf numFmtId="165" fontId="23964" fillId="23974" borderId="23921" xfId="0" applyNumberFormat="1" applyFont="1" applyFill="1" applyBorder="1"/>
    <xf numFmtId="0" fontId="23965" fillId="23975" borderId="23922" xfId="0" applyFont="1" applyFill="1" applyBorder="1"/>
    <xf numFmtId="0" fontId="23966" fillId="23976" borderId="23923" xfId="0" applyFont="1" applyFill="1" applyBorder="1"/>
    <xf numFmtId="0" fontId="23967" fillId="23977" borderId="23924" xfId="0" applyFont="1" applyFill="1" applyBorder="1"/>
    <xf numFmtId="0" fontId="23968" fillId="23978" borderId="23925" xfId="0" applyFont="1" applyFill="1" applyBorder="1"/>
    <xf numFmtId="14" fontId="23969" fillId="23979" borderId="23926" xfId="0" applyNumberFormat="1" applyFont="1" applyFill="1" applyBorder="1"/>
    <xf numFmtId="0" fontId="23970" fillId="23980" borderId="23927" xfId="0" applyFont="1" applyFill="1" applyBorder="1"/>
    <xf numFmtId="0" fontId="23971" fillId="23981" borderId="23928" xfId="0" applyFont="1" applyFill="1" applyBorder="1"/>
    <xf numFmtId="0" fontId="23972" fillId="23982" borderId="23929" xfId="0" applyFont="1" applyFill="1" applyBorder="1"/>
    <xf numFmtId="4" fontId="23973" fillId="23983" borderId="23930" xfId="0" applyNumberFormat="1" applyFont="1" applyFill="1" applyBorder="1"/>
    <xf numFmtId="165" fontId="23974" fillId="23984" borderId="23931" xfId="0" applyNumberFormat="1" applyFont="1" applyFill="1" applyBorder="1"/>
    <xf numFmtId="165" fontId="23975" fillId="23985" borderId="23932" xfId="0" applyNumberFormat="1" applyFont="1" applyFill="1" applyBorder="1"/>
    <xf numFmtId="0" fontId="23976" fillId="23986" borderId="23933" xfId="0" applyFont="1" applyFill="1" applyBorder="1"/>
    <xf numFmtId="0" fontId="23977" fillId="23987" borderId="23934" xfId="0" applyFont="1" applyFill="1" applyBorder="1"/>
    <xf numFmtId="0" fontId="23978" fillId="23988" borderId="23935" xfId="0" applyFont="1" applyFill="1" applyBorder="1"/>
    <xf numFmtId="0" fontId="23979" fillId="23989" borderId="23936" xfId="0" applyFont="1" applyFill="1" applyBorder="1"/>
    <xf numFmtId="14" fontId="23980" fillId="23990" borderId="23937" xfId="0" applyNumberFormat="1" applyFont="1" applyFill="1" applyBorder="1"/>
    <xf numFmtId="0" fontId="23981" fillId="23991" borderId="23938" xfId="0" applyFont="1" applyFill="1" applyBorder="1"/>
    <xf numFmtId="0" fontId="23982" fillId="23992" borderId="23939" xfId="0" applyFont="1" applyFill="1" applyBorder="1"/>
    <xf numFmtId="0" fontId="23983" fillId="23993" borderId="23940" xfId="0" applyFont="1" applyFill="1" applyBorder="1"/>
    <xf numFmtId="4" fontId="23984" fillId="23994" borderId="23941" xfId="0" applyNumberFormat="1" applyFont="1" applyFill="1" applyBorder="1"/>
    <xf numFmtId="165" fontId="23985" fillId="23995" borderId="23942" xfId="0" applyNumberFormat="1" applyFont="1" applyFill="1" applyBorder="1"/>
    <xf numFmtId="165" fontId="23986" fillId="23996" borderId="23943" xfId="0" applyNumberFormat="1" applyFont="1" applyFill="1" applyBorder="1"/>
    <xf numFmtId="0" fontId="23987" fillId="23997" borderId="23944" xfId="0" applyFont="1" applyFill="1" applyBorder="1"/>
    <xf numFmtId="0" fontId="23988" fillId="23998" borderId="23945" xfId="0" applyFont="1" applyFill="1" applyBorder="1"/>
    <xf numFmtId="0" fontId="23989" fillId="23999" borderId="23946" xfId="0" applyFont="1" applyFill="1" applyBorder="1"/>
    <xf numFmtId="0" fontId="23990" fillId="24000" borderId="23947" xfId="0" applyFont="1" applyFill="1" applyBorder="1"/>
    <xf numFmtId="14" fontId="23991" fillId="24001" borderId="23948" xfId="0" applyNumberFormat="1" applyFont="1" applyFill="1" applyBorder="1"/>
    <xf numFmtId="0" fontId="23992" fillId="24002" borderId="23949" xfId="0" applyFont="1" applyFill="1" applyBorder="1"/>
    <xf numFmtId="0" fontId="23993" fillId="24003" borderId="23950" xfId="0" applyFont="1" applyFill="1" applyBorder="1"/>
    <xf numFmtId="0" fontId="23994" fillId="24004" borderId="23951" xfId="0" applyFont="1" applyFill="1" applyBorder="1"/>
    <xf numFmtId="4" fontId="23995" fillId="24005" borderId="23952" xfId="0" applyNumberFormat="1" applyFont="1" applyFill="1" applyBorder="1"/>
    <xf numFmtId="165" fontId="23996" fillId="24006" borderId="23953" xfId="0" applyNumberFormat="1" applyFont="1" applyFill="1" applyBorder="1"/>
    <xf numFmtId="165" fontId="23997" fillId="24007" borderId="23954" xfId="0" applyNumberFormat="1" applyFont="1" applyFill="1" applyBorder="1"/>
    <xf numFmtId="0" fontId="23998" fillId="24008" borderId="23955" xfId="0" applyFont="1" applyFill="1" applyBorder="1"/>
    <xf numFmtId="0" fontId="23999" fillId="24009" borderId="23956" xfId="0" applyFont="1" applyFill="1" applyBorder="1"/>
    <xf numFmtId="0" fontId="24000" fillId="24010" borderId="23957" xfId="0" applyFont="1" applyFill="1" applyBorder="1"/>
    <xf numFmtId="0" fontId="24001" fillId="24011" borderId="23958" xfId="0" applyFont="1" applyFill="1" applyBorder="1"/>
    <xf numFmtId="14" fontId="24002" fillId="24012" borderId="23959" xfId="0" applyNumberFormat="1" applyFont="1" applyFill="1" applyBorder="1"/>
    <xf numFmtId="0" fontId="24003" fillId="24013" borderId="23960" xfId="0" applyFont="1" applyFill="1" applyBorder="1"/>
    <xf numFmtId="0" fontId="24004" fillId="24014" borderId="23961" xfId="0" applyFont="1" applyFill="1" applyBorder="1"/>
    <xf numFmtId="0" fontId="24005" fillId="24015" borderId="23962" xfId="0" applyFont="1" applyFill="1" applyBorder="1"/>
    <xf numFmtId="4" fontId="24006" fillId="24016" borderId="23963" xfId="0" applyNumberFormat="1" applyFont="1" applyFill="1" applyBorder="1"/>
    <xf numFmtId="165" fontId="24007" fillId="24017" borderId="23964" xfId="0" applyNumberFormat="1" applyFont="1" applyFill="1" applyBorder="1"/>
    <xf numFmtId="165" fontId="24008" fillId="24018" borderId="23965" xfId="0" applyNumberFormat="1" applyFont="1" applyFill="1" applyBorder="1"/>
    <xf numFmtId="0" fontId="24009" fillId="24019" borderId="23966" xfId="0" applyFont="1" applyFill="1" applyBorder="1"/>
    <xf numFmtId="0" fontId="24010" fillId="24020" borderId="23967" xfId="0" applyFont="1" applyFill="1" applyBorder="1"/>
    <xf numFmtId="0" fontId="24011" fillId="24021" borderId="23968" xfId="0" applyFont="1" applyFill="1" applyBorder="1"/>
    <xf numFmtId="0" fontId="24012" fillId="24022" borderId="23969" xfId="0" applyFont="1" applyFill="1" applyBorder="1"/>
    <xf numFmtId="14" fontId="24013" fillId="24023" borderId="23970" xfId="0" applyNumberFormat="1" applyFont="1" applyFill="1" applyBorder="1"/>
    <xf numFmtId="0" fontId="24014" fillId="24024" borderId="23971" xfId="0" applyFont="1" applyFill="1" applyBorder="1"/>
    <xf numFmtId="0" fontId="24015" fillId="24025" borderId="23972" xfId="0" applyFont="1" applyFill="1" applyBorder="1"/>
    <xf numFmtId="0" fontId="24016" fillId="24026" borderId="23973" xfId="0" applyFont="1" applyFill="1" applyBorder="1"/>
    <xf numFmtId="4" fontId="24017" fillId="24027" borderId="23974" xfId="0" applyNumberFormat="1" applyFont="1" applyFill="1" applyBorder="1"/>
    <xf numFmtId="165" fontId="24018" fillId="24028" borderId="23975" xfId="0" applyNumberFormat="1" applyFont="1" applyFill="1" applyBorder="1"/>
    <xf numFmtId="165" fontId="24019" fillId="24029" borderId="23976" xfId="0" applyNumberFormat="1" applyFont="1" applyFill="1" applyBorder="1"/>
    <xf numFmtId="0" fontId="24020" fillId="24030" borderId="23977" xfId="0" applyFont="1" applyFill="1" applyBorder="1"/>
    <xf numFmtId="0" fontId="24021" fillId="24031" borderId="23978" xfId="0" applyFont="1" applyFill="1" applyBorder="1"/>
    <xf numFmtId="0" fontId="24022" fillId="24032" borderId="23979" xfId="0" applyFont="1" applyFill="1" applyBorder="1"/>
    <xf numFmtId="0" fontId="24023" fillId="24033" borderId="23980" xfId="0" applyFont="1" applyFill="1" applyBorder="1"/>
    <xf numFmtId="14" fontId="24024" fillId="24034" borderId="23981" xfId="0" applyNumberFormat="1" applyFont="1" applyFill="1" applyBorder="1"/>
    <xf numFmtId="0" fontId="24025" fillId="24035" borderId="23982" xfId="0" applyFont="1" applyFill="1" applyBorder="1"/>
    <xf numFmtId="0" fontId="24026" fillId="24036" borderId="23983" xfId="0" applyFont="1" applyFill="1" applyBorder="1"/>
    <xf numFmtId="0" fontId="24027" fillId="24037" borderId="23984" xfId="0" applyFont="1" applyFill="1" applyBorder="1"/>
    <xf numFmtId="4" fontId="24028" fillId="24038" borderId="23985" xfId="0" applyNumberFormat="1" applyFont="1" applyFill="1" applyBorder="1"/>
    <xf numFmtId="165" fontId="24029" fillId="24039" borderId="23986" xfId="0" applyNumberFormat="1" applyFont="1" applyFill="1" applyBorder="1"/>
    <xf numFmtId="165" fontId="24030" fillId="24040" borderId="23987" xfId="0" applyNumberFormat="1" applyFont="1" applyFill="1" applyBorder="1"/>
    <xf numFmtId="0" fontId="24031" fillId="24041" borderId="23988" xfId="0" applyFont="1" applyFill="1" applyBorder="1"/>
    <xf numFmtId="0" fontId="24032" fillId="24042" borderId="23989" xfId="0" applyFont="1" applyFill="1" applyBorder="1"/>
    <xf numFmtId="0" fontId="24033" fillId="24043" borderId="23990" xfId="0" applyFont="1" applyFill="1" applyBorder="1"/>
    <xf numFmtId="0" fontId="24034" fillId="24044" borderId="23991" xfId="0" applyFont="1" applyFill="1" applyBorder="1"/>
    <xf numFmtId="14" fontId="24035" fillId="24045" borderId="23992" xfId="0" applyNumberFormat="1" applyFont="1" applyFill="1" applyBorder="1"/>
    <xf numFmtId="0" fontId="24036" fillId="24046" borderId="23993" xfId="0" applyFont="1" applyFill="1" applyBorder="1"/>
    <xf numFmtId="0" fontId="24037" fillId="24047" borderId="23994" xfId="0" applyFont="1" applyFill="1" applyBorder="1"/>
    <xf numFmtId="0" fontId="24038" fillId="24048" borderId="23995" xfId="0" applyFont="1" applyFill="1" applyBorder="1"/>
    <xf numFmtId="4" fontId="24039" fillId="24049" borderId="23996" xfId="0" applyNumberFormat="1" applyFont="1" applyFill="1" applyBorder="1"/>
    <xf numFmtId="165" fontId="24040" fillId="24050" borderId="23997" xfId="0" applyNumberFormat="1" applyFont="1" applyFill="1" applyBorder="1"/>
    <xf numFmtId="165" fontId="24041" fillId="24051" borderId="23998" xfId="0" applyNumberFormat="1" applyFont="1" applyFill="1" applyBorder="1"/>
    <xf numFmtId="0" fontId="24042" fillId="24052" borderId="23999" xfId="0" applyFont="1" applyFill="1" applyBorder="1"/>
    <xf numFmtId="0" fontId="24043" fillId="24053" borderId="24000" xfId="0" applyFont="1" applyFill="1" applyBorder="1"/>
    <xf numFmtId="0" fontId="24044" fillId="24054" borderId="24001" xfId="0" applyFont="1" applyFill="1" applyBorder="1"/>
    <xf numFmtId="0" fontId="24045" fillId="24055" borderId="24002" xfId="0" applyFont="1" applyFill="1" applyBorder="1"/>
    <xf numFmtId="14" fontId="24046" fillId="24056" borderId="24003" xfId="0" applyNumberFormat="1" applyFont="1" applyFill="1" applyBorder="1"/>
    <xf numFmtId="0" fontId="24047" fillId="24057" borderId="24004" xfId="0" applyFont="1" applyFill="1" applyBorder="1"/>
    <xf numFmtId="0" fontId="24048" fillId="24058" borderId="24005" xfId="0" applyFont="1" applyFill="1" applyBorder="1"/>
    <xf numFmtId="0" fontId="24049" fillId="24059" borderId="24006" xfId="0" applyFont="1" applyFill="1" applyBorder="1"/>
    <xf numFmtId="4" fontId="24050" fillId="24060" borderId="24007" xfId="0" applyNumberFormat="1" applyFont="1" applyFill="1" applyBorder="1"/>
    <xf numFmtId="165" fontId="24051" fillId="24061" borderId="24008" xfId="0" applyNumberFormat="1" applyFont="1" applyFill="1" applyBorder="1"/>
    <xf numFmtId="165" fontId="24052" fillId="24062" borderId="24009" xfId="0" applyNumberFormat="1" applyFont="1" applyFill="1" applyBorder="1"/>
    <xf numFmtId="0" fontId="24053" fillId="24063" borderId="24010" xfId="0" applyFont="1" applyFill="1" applyBorder="1"/>
    <xf numFmtId="0" fontId="24054" fillId="24064" borderId="24011" xfId="0" applyFont="1" applyFill="1" applyBorder="1"/>
    <xf numFmtId="0" fontId="24055" fillId="24065" borderId="24012" xfId="0" applyFont="1" applyFill="1" applyBorder="1"/>
    <xf numFmtId="0" fontId="24056" fillId="24066" borderId="24013" xfId="0" applyFont="1" applyFill="1" applyBorder="1"/>
    <xf numFmtId="14" fontId="24057" fillId="24067" borderId="24014" xfId="0" applyNumberFormat="1" applyFont="1" applyFill="1" applyBorder="1"/>
    <xf numFmtId="0" fontId="24058" fillId="24068" borderId="24015" xfId="0" applyFont="1" applyFill="1" applyBorder="1"/>
    <xf numFmtId="0" fontId="24059" fillId="24069" borderId="24016" xfId="0" applyFont="1" applyFill="1" applyBorder="1"/>
    <xf numFmtId="0" fontId="24060" fillId="24070" borderId="24017" xfId="0" applyFont="1" applyFill="1" applyBorder="1"/>
    <xf numFmtId="4" fontId="24061" fillId="24071" borderId="24018" xfId="0" applyNumberFormat="1" applyFont="1" applyFill="1" applyBorder="1"/>
    <xf numFmtId="165" fontId="24062" fillId="24072" borderId="24019" xfId="0" applyNumberFormat="1" applyFont="1" applyFill="1" applyBorder="1"/>
    <xf numFmtId="165" fontId="24063" fillId="24073" borderId="24020" xfId="0" applyNumberFormat="1" applyFont="1" applyFill="1" applyBorder="1"/>
    <xf numFmtId="0" fontId="24064" fillId="24074" borderId="24021" xfId="0" applyFont="1" applyFill="1" applyBorder="1"/>
    <xf numFmtId="0" fontId="24065" fillId="24075" borderId="24022" xfId="0" applyFont="1" applyFill="1" applyBorder="1"/>
    <xf numFmtId="0" fontId="24066" fillId="24076" borderId="24023" xfId="0" applyFont="1" applyFill="1" applyBorder="1"/>
    <xf numFmtId="0" fontId="24067" fillId="24077" borderId="24024" xfId="0" applyFont="1" applyFill="1" applyBorder="1"/>
    <xf numFmtId="14" fontId="24068" fillId="24078" borderId="24025" xfId="0" applyNumberFormat="1" applyFont="1" applyFill="1" applyBorder="1"/>
    <xf numFmtId="0" fontId="24069" fillId="24079" borderId="24026" xfId="0" applyFont="1" applyFill="1" applyBorder="1"/>
    <xf numFmtId="0" fontId="24070" fillId="24080" borderId="24027" xfId="0" applyFont="1" applyFill="1" applyBorder="1"/>
    <xf numFmtId="0" fontId="24071" fillId="24081" borderId="24028" xfId="0" applyFont="1" applyFill="1" applyBorder="1"/>
    <xf numFmtId="4" fontId="24072" fillId="24082" borderId="24029" xfId="0" applyNumberFormat="1" applyFont="1" applyFill="1" applyBorder="1"/>
    <xf numFmtId="165" fontId="24073" fillId="24083" borderId="24030" xfId="0" applyNumberFormat="1" applyFont="1" applyFill="1" applyBorder="1"/>
    <xf numFmtId="165" fontId="24074" fillId="24084" borderId="24031" xfId="0" applyNumberFormat="1" applyFont="1" applyFill="1" applyBorder="1"/>
    <xf numFmtId="0" fontId="24075" fillId="24085" borderId="24032" xfId="0" applyFont="1" applyFill="1" applyBorder="1"/>
    <xf numFmtId="0" fontId="24076" fillId="24086" borderId="24033" xfId="0" applyFont="1" applyFill="1" applyBorder="1"/>
    <xf numFmtId="0" fontId="24077" fillId="24087" borderId="24034" xfId="0" applyFont="1" applyFill="1" applyBorder="1"/>
    <xf numFmtId="0" fontId="24078" fillId="24088" borderId="24035" xfId="0" applyFont="1" applyFill="1" applyBorder="1"/>
    <xf numFmtId="14" fontId="24079" fillId="24089" borderId="24036" xfId="0" applyNumberFormat="1" applyFont="1" applyFill="1" applyBorder="1"/>
    <xf numFmtId="0" fontId="24080" fillId="24090" borderId="24037" xfId="0" applyFont="1" applyFill="1" applyBorder="1"/>
    <xf numFmtId="0" fontId="24081" fillId="24091" borderId="24038" xfId="0" applyFont="1" applyFill="1" applyBorder="1"/>
    <xf numFmtId="0" fontId="24082" fillId="24092" borderId="24039" xfId="0" applyFont="1" applyFill="1" applyBorder="1"/>
    <xf numFmtId="4" fontId="24083" fillId="24093" borderId="24040" xfId="0" applyNumberFormat="1" applyFont="1" applyFill="1" applyBorder="1"/>
    <xf numFmtId="165" fontId="24084" fillId="24094" borderId="24041" xfId="0" applyNumberFormat="1" applyFont="1" applyFill="1" applyBorder="1"/>
    <xf numFmtId="165" fontId="24085" fillId="24095" borderId="24042" xfId="0" applyNumberFormat="1" applyFont="1" applyFill="1" applyBorder="1"/>
    <xf numFmtId="0" fontId="24086" fillId="24096" borderId="24043" xfId="0" applyFont="1" applyFill="1" applyBorder="1"/>
    <xf numFmtId="0" fontId="24087" fillId="24097" borderId="24044" xfId="0" applyFont="1" applyFill="1" applyBorder="1"/>
    <xf numFmtId="0" fontId="24088" fillId="24098" borderId="24045" xfId="0" applyFont="1" applyFill="1" applyBorder="1"/>
    <xf numFmtId="0" fontId="24089" fillId="24099" borderId="24046" xfId="0" applyFont="1" applyFill="1" applyBorder="1"/>
    <xf numFmtId="14" fontId="24090" fillId="24100" borderId="24047" xfId="0" applyNumberFormat="1" applyFont="1" applyFill="1" applyBorder="1"/>
    <xf numFmtId="0" fontId="24091" fillId="24101" borderId="24048" xfId="0" applyFont="1" applyFill="1" applyBorder="1"/>
    <xf numFmtId="0" fontId="24092" fillId="24102" borderId="24049" xfId="0" applyFont="1" applyFill="1" applyBorder="1"/>
    <xf numFmtId="0" fontId="24093" fillId="24103" borderId="24050" xfId="0" applyFont="1" applyFill="1" applyBorder="1"/>
    <xf numFmtId="4" fontId="24094" fillId="24104" borderId="24051" xfId="0" applyNumberFormat="1" applyFont="1" applyFill="1" applyBorder="1"/>
    <xf numFmtId="165" fontId="24095" fillId="24105" borderId="24052" xfId="0" applyNumberFormat="1" applyFont="1" applyFill="1" applyBorder="1"/>
    <xf numFmtId="165" fontId="24096" fillId="24106" borderId="24053" xfId="0" applyNumberFormat="1" applyFont="1" applyFill="1" applyBorder="1"/>
    <xf numFmtId="0" fontId="24097" fillId="24107" borderId="24054" xfId="0" applyFont="1" applyFill="1" applyBorder="1"/>
    <xf numFmtId="0" fontId="24098" fillId="24108" borderId="24055" xfId="0" applyFont="1" applyFill="1" applyBorder="1"/>
    <xf numFmtId="0" fontId="24099" fillId="24109" borderId="24056" xfId="0" applyFont="1" applyFill="1" applyBorder="1"/>
    <xf numFmtId="0" fontId="24100" fillId="24110" borderId="24057" xfId="0" applyFont="1" applyFill="1" applyBorder="1"/>
    <xf numFmtId="14" fontId="24101" fillId="24111" borderId="24058" xfId="0" applyNumberFormat="1" applyFont="1" applyFill="1" applyBorder="1"/>
    <xf numFmtId="0" fontId="24102" fillId="24112" borderId="24059" xfId="0" applyFont="1" applyFill="1" applyBorder="1"/>
    <xf numFmtId="0" fontId="24103" fillId="24113" borderId="24060" xfId="0" applyFont="1" applyFill="1" applyBorder="1"/>
    <xf numFmtId="0" fontId="24104" fillId="24114" borderId="24061" xfId="0" applyFont="1" applyFill="1" applyBorder="1"/>
    <xf numFmtId="4" fontId="24105" fillId="24115" borderId="24062" xfId="0" applyNumberFormat="1" applyFont="1" applyFill="1" applyBorder="1"/>
    <xf numFmtId="165" fontId="24106" fillId="24116" borderId="24063" xfId="0" applyNumberFormat="1" applyFont="1" applyFill="1" applyBorder="1"/>
    <xf numFmtId="165" fontId="24107" fillId="24117" borderId="24064" xfId="0" applyNumberFormat="1" applyFont="1" applyFill="1" applyBorder="1"/>
    <xf numFmtId="0" fontId="24108" fillId="24118" borderId="24065" xfId="0" applyFont="1" applyFill="1" applyBorder="1"/>
    <xf numFmtId="0" fontId="24109" fillId="24119" borderId="24066" xfId="0" applyFont="1" applyFill="1" applyBorder="1"/>
    <xf numFmtId="0" fontId="24110" fillId="24120" borderId="24067" xfId="0" applyFont="1" applyFill="1" applyBorder="1"/>
    <xf numFmtId="0" fontId="24111" fillId="24121" borderId="24068" xfId="0" applyFont="1" applyFill="1" applyBorder="1"/>
    <xf numFmtId="14" fontId="24112" fillId="24122" borderId="24069" xfId="0" applyNumberFormat="1" applyFont="1" applyFill="1" applyBorder="1"/>
    <xf numFmtId="0" fontId="24113" fillId="24123" borderId="24070" xfId="0" applyFont="1" applyFill="1" applyBorder="1"/>
    <xf numFmtId="0" fontId="24114" fillId="24124" borderId="24071" xfId="0" applyFont="1" applyFill="1" applyBorder="1"/>
    <xf numFmtId="0" fontId="24115" fillId="24125" borderId="24072" xfId="0" applyFont="1" applyFill="1" applyBorder="1"/>
    <xf numFmtId="4" fontId="24116" fillId="24126" borderId="24073" xfId="0" applyNumberFormat="1" applyFont="1" applyFill="1" applyBorder="1"/>
    <xf numFmtId="165" fontId="24117" fillId="24127" borderId="24074" xfId="0" applyNumberFormat="1" applyFont="1" applyFill="1" applyBorder="1"/>
    <xf numFmtId="165" fontId="24118" fillId="24128" borderId="24075" xfId="0" applyNumberFormat="1" applyFont="1" applyFill="1" applyBorder="1"/>
    <xf numFmtId="0" fontId="24119" fillId="24129" borderId="24076" xfId="0" applyFont="1" applyFill="1" applyBorder="1"/>
    <xf numFmtId="0" fontId="24120" fillId="24130" borderId="24077" xfId="0" applyFont="1" applyFill="1" applyBorder="1"/>
    <xf numFmtId="0" fontId="24121" fillId="24131" borderId="24078" xfId="0" applyFont="1" applyFill="1" applyBorder="1"/>
    <xf numFmtId="0" fontId="24122" fillId="24132" borderId="24079" xfId="0" applyFont="1" applyFill="1" applyBorder="1"/>
    <xf numFmtId="14" fontId="24123" fillId="24133" borderId="24080" xfId="0" applyNumberFormat="1" applyFont="1" applyFill="1" applyBorder="1"/>
    <xf numFmtId="0" fontId="24124" fillId="24134" borderId="24081" xfId="0" applyFont="1" applyFill="1" applyBorder="1"/>
    <xf numFmtId="0" fontId="24125" fillId="24135" borderId="24082" xfId="0" applyFont="1" applyFill="1" applyBorder="1"/>
    <xf numFmtId="0" fontId="24126" fillId="24136" borderId="24083" xfId="0" applyFont="1" applyFill="1" applyBorder="1"/>
    <xf numFmtId="4" fontId="24127" fillId="24137" borderId="24084" xfId="0" applyNumberFormat="1" applyFont="1" applyFill="1" applyBorder="1"/>
    <xf numFmtId="165" fontId="24128" fillId="24138" borderId="24085" xfId="0" applyNumberFormat="1" applyFont="1" applyFill="1" applyBorder="1"/>
    <xf numFmtId="165" fontId="24129" fillId="24139" borderId="24086" xfId="0" applyNumberFormat="1" applyFont="1" applyFill="1" applyBorder="1"/>
    <xf numFmtId="0" fontId="24130" fillId="24140" borderId="24087" xfId="0" applyFont="1" applyFill="1" applyBorder="1"/>
    <xf numFmtId="0" fontId="24131" fillId="24141" borderId="24088" xfId="0" applyFont="1" applyFill="1" applyBorder="1"/>
    <xf numFmtId="0" fontId="24132" fillId="24142" borderId="24089" xfId="0" applyFont="1" applyFill="1" applyBorder="1"/>
    <xf numFmtId="0" fontId="24133" fillId="24143" borderId="24090" xfId="0" applyFont="1" applyFill="1" applyBorder="1"/>
    <xf numFmtId="14" fontId="24134" fillId="24144" borderId="24091" xfId="0" applyNumberFormat="1" applyFont="1" applyFill="1" applyBorder="1"/>
    <xf numFmtId="0" fontId="24135" fillId="24145" borderId="24092" xfId="0" applyFont="1" applyFill="1" applyBorder="1"/>
    <xf numFmtId="0" fontId="24136" fillId="24146" borderId="24093" xfId="0" applyFont="1" applyFill="1" applyBorder="1"/>
    <xf numFmtId="0" fontId="24137" fillId="24147" borderId="24094" xfId="0" applyFont="1" applyFill="1" applyBorder="1"/>
    <xf numFmtId="4" fontId="24138" fillId="24148" borderId="24095" xfId="0" applyNumberFormat="1" applyFont="1" applyFill="1" applyBorder="1"/>
    <xf numFmtId="165" fontId="24139" fillId="24149" borderId="24096" xfId="0" applyNumberFormat="1" applyFont="1" applyFill="1" applyBorder="1"/>
    <xf numFmtId="165" fontId="24140" fillId="24150" borderId="24097" xfId="0" applyNumberFormat="1" applyFont="1" applyFill="1" applyBorder="1"/>
    <xf numFmtId="0" fontId="24141" fillId="24151" borderId="24098" xfId="0" applyFont="1" applyFill="1" applyBorder="1"/>
    <xf numFmtId="0" fontId="24142" fillId="24152" borderId="24099" xfId="0" applyFont="1" applyFill="1" applyBorder="1"/>
    <xf numFmtId="0" fontId="24143" fillId="24153" borderId="24100" xfId="0" applyFont="1" applyFill="1" applyBorder="1"/>
    <xf numFmtId="0" fontId="24144" fillId="24154" borderId="24101" xfId="0" applyFont="1" applyFill="1" applyBorder="1"/>
    <xf numFmtId="14" fontId="24145" fillId="24155" borderId="24102" xfId="0" applyNumberFormat="1" applyFont="1" applyFill="1" applyBorder="1"/>
    <xf numFmtId="0" fontId="24146" fillId="24156" borderId="24103" xfId="0" applyFont="1" applyFill="1" applyBorder="1"/>
    <xf numFmtId="0" fontId="24147" fillId="24157" borderId="24104" xfId="0" applyFont="1" applyFill="1" applyBorder="1"/>
    <xf numFmtId="0" fontId="24148" fillId="24158" borderId="24105" xfId="0" applyFont="1" applyFill="1" applyBorder="1"/>
    <xf numFmtId="4" fontId="24149" fillId="24159" borderId="24106" xfId="0" applyNumberFormat="1" applyFont="1" applyFill="1" applyBorder="1"/>
    <xf numFmtId="165" fontId="24150" fillId="24160" borderId="24107" xfId="0" applyNumberFormat="1" applyFont="1" applyFill="1" applyBorder="1"/>
    <xf numFmtId="165" fontId="24151" fillId="24161" borderId="24108" xfId="0" applyNumberFormat="1" applyFont="1" applyFill="1" applyBorder="1"/>
    <xf numFmtId="0" fontId="24152" fillId="24162" borderId="24109" xfId="0" applyFont="1" applyFill="1" applyBorder="1"/>
    <xf numFmtId="0" fontId="24153" fillId="24163" borderId="24110" xfId="0" applyFont="1" applyFill="1" applyBorder="1"/>
    <xf numFmtId="0" fontId="24154" fillId="24164" borderId="24111" xfId="0" applyFont="1" applyFill="1" applyBorder="1"/>
    <xf numFmtId="0" fontId="24155" fillId="24165" borderId="24112" xfId="0" applyFont="1" applyFill="1" applyBorder="1"/>
    <xf numFmtId="14" fontId="24156" fillId="24166" borderId="24113" xfId="0" applyNumberFormat="1" applyFont="1" applyFill="1" applyBorder="1"/>
    <xf numFmtId="0" fontId="24157" fillId="24167" borderId="24114" xfId="0" applyFont="1" applyFill="1" applyBorder="1"/>
    <xf numFmtId="0" fontId="24158" fillId="24168" borderId="24115" xfId="0" applyFont="1" applyFill="1" applyBorder="1"/>
    <xf numFmtId="0" fontId="24159" fillId="24169" borderId="24116" xfId="0" applyFont="1" applyFill="1" applyBorder="1"/>
    <xf numFmtId="4" fontId="24160" fillId="24170" borderId="24117" xfId="0" applyNumberFormat="1" applyFont="1" applyFill="1" applyBorder="1"/>
    <xf numFmtId="165" fontId="24161" fillId="24171" borderId="24118" xfId="0" applyNumberFormat="1" applyFont="1" applyFill="1" applyBorder="1"/>
    <xf numFmtId="165" fontId="24162" fillId="24172" borderId="24119" xfId="0" applyNumberFormat="1" applyFont="1" applyFill="1" applyBorder="1"/>
    <xf numFmtId="0" fontId="24163" fillId="24173" borderId="24120" xfId="0" applyFont="1" applyFill="1" applyBorder="1"/>
    <xf numFmtId="0" fontId="24164" fillId="24174" borderId="24121" xfId="0" applyFont="1" applyFill="1" applyBorder="1"/>
    <xf numFmtId="0" fontId="24165" fillId="24175" borderId="24122" xfId="0" applyFont="1" applyFill="1" applyBorder="1"/>
    <xf numFmtId="0" fontId="24166" fillId="24176" borderId="24123" xfId="0" applyFont="1" applyFill="1" applyBorder="1"/>
    <xf numFmtId="14" fontId="24167" fillId="24177" borderId="24124" xfId="0" applyNumberFormat="1" applyFont="1" applyFill="1" applyBorder="1"/>
    <xf numFmtId="0" fontId="24168" fillId="24178" borderId="24125" xfId="0" applyFont="1" applyFill="1" applyBorder="1"/>
    <xf numFmtId="0" fontId="24169" fillId="24179" borderId="24126" xfId="0" applyFont="1" applyFill="1" applyBorder="1"/>
    <xf numFmtId="0" fontId="24170" fillId="24180" borderId="24127" xfId="0" applyFont="1" applyFill="1" applyBorder="1"/>
    <xf numFmtId="4" fontId="24171" fillId="24181" borderId="24128" xfId="0" applyNumberFormat="1" applyFont="1" applyFill="1" applyBorder="1"/>
    <xf numFmtId="165" fontId="24172" fillId="24182" borderId="24129" xfId="0" applyNumberFormat="1" applyFont="1" applyFill="1" applyBorder="1"/>
    <xf numFmtId="165" fontId="24173" fillId="24183" borderId="24130" xfId="0" applyNumberFormat="1" applyFont="1" applyFill="1" applyBorder="1"/>
    <xf numFmtId="0" fontId="24174" fillId="24184" borderId="24131" xfId="0" applyFont="1" applyFill="1" applyBorder="1"/>
    <xf numFmtId="0" fontId="24175" fillId="24185" borderId="24132" xfId="0" applyFont="1" applyFill="1" applyBorder="1"/>
    <xf numFmtId="0" fontId="24176" fillId="24186" borderId="24133" xfId="0" applyFont="1" applyFill="1" applyBorder="1"/>
    <xf numFmtId="0" fontId="24177" fillId="24187" borderId="24134" xfId="0" applyFont="1" applyFill="1" applyBorder="1"/>
    <xf numFmtId="14" fontId="24178" fillId="24188" borderId="24135" xfId="0" applyNumberFormat="1" applyFont="1" applyFill="1" applyBorder="1"/>
    <xf numFmtId="0" fontId="24179" fillId="24189" borderId="24136" xfId="0" applyFont="1" applyFill="1" applyBorder="1"/>
    <xf numFmtId="0" fontId="24180" fillId="24190" borderId="24137" xfId="0" applyFont="1" applyFill="1" applyBorder="1"/>
    <xf numFmtId="0" fontId="24181" fillId="24191" borderId="24138" xfId="0" applyFont="1" applyFill="1" applyBorder="1"/>
    <xf numFmtId="4" fontId="24182" fillId="24192" borderId="24139" xfId="0" applyNumberFormat="1" applyFont="1" applyFill="1" applyBorder="1"/>
    <xf numFmtId="165" fontId="24183" fillId="24193" borderId="24140" xfId="0" applyNumberFormat="1" applyFont="1" applyFill="1" applyBorder="1"/>
    <xf numFmtId="165" fontId="24184" fillId="24194" borderId="24141" xfId="0" applyNumberFormat="1" applyFont="1" applyFill="1" applyBorder="1"/>
    <xf numFmtId="0" fontId="24185" fillId="24195" borderId="24142" xfId="0" applyFont="1" applyFill="1" applyBorder="1"/>
    <xf numFmtId="0" fontId="24186" fillId="24196" borderId="24143" xfId="0" applyFont="1" applyFill="1" applyBorder="1"/>
    <xf numFmtId="0" fontId="24187" fillId="24197" borderId="24144" xfId="0" applyFont="1" applyFill="1" applyBorder="1"/>
    <xf numFmtId="0" fontId="24188" fillId="24198" borderId="24145" xfId="0" applyFont="1" applyFill="1" applyBorder="1"/>
    <xf numFmtId="14" fontId="24189" fillId="24199" borderId="24146" xfId="0" applyNumberFormat="1" applyFont="1" applyFill="1" applyBorder="1"/>
    <xf numFmtId="0" fontId="24190" fillId="24200" borderId="24147" xfId="0" applyFont="1" applyFill="1" applyBorder="1"/>
    <xf numFmtId="0" fontId="24191" fillId="24201" borderId="24148" xfId="0" applyFont="1" applyFill="1" applyBorder="1"/>
    <xf numFmtId="0" fontId="24192" fillId="24202" borderId="24149" xfId="0" applyFont="1" applyFill="1" applyBorder="1"/>
    <xf numFmtId="4" fontId="24193" fillId="24203" borderId="24150" xfId="0" applyNumberFormat="1" applyFont="1" applyFill="1" applyBorder="1"/>
    <xf numFmtId="165" fontId="24194" fillId="24204" borderId="24151" xfId="0" applyNumberFormat="1" applyFont="1" applyFill="1" applyBorder="1"/>
    <xf numFmtId="165" fontId="24195" fillId="24205" borderId="24152" xfId="0" applyNumberFormat="1" applyFont="1" applyFill="1" applyBorder="1"/>
    <xf numFmtId="0" fontId="24196" fillId="24206" borderId="24153" xfId="0" applyFont="1" applyFill="1" applyBorder="1"/>
    <xf numFmtId="0" fontId="24197" fillId="24207" borderId="24154" xfId="0" applyFont="1" applyFill="1" applyBorder="1"/>
    <xf numFmtId="0" fontId="24198" fillId="24208" borderId="24155" xfId="0" applyFont="1" applyFill="1" applyBorder="1"/>
    <xf numFmtId="0" fontId="24199" fillId="24209" borderId="24156" xfId="0" applyFont="1" applyFill="1" applyBorder="1"/>
    <xf numFmtId="14" fontId="24200" fillId="24210" borderId="24157" xfId="0" applyNumberFormat="1" applyFont="1" applyFill="1" applyBorder="1"/>
    <xf numFmtId="0" fontId="24201" fillId="24211" borderId="24158" xfId="0" applyFont="1" applyFill="1" applyBorder="1"/>
    <xf numFmtId="0" fontId="24202" fillId="24212" borderId="24159" xfId="0" applyFont="1" applyFill="1" applyBorder="1"/>
    <xf numFmtId="0" fontId="24203" fillId="24213" borderId="24160" xfId="0" applyFont="1" applyFill="1" applyBorder="1"/>
    <xf numFmtId="4" fontId="24204" fillId="24214" borderId="24161" xfId="0" applyNumberFormat="1" applyFont="1" applyFill="1" applyBorder="1"/>
    <xf numFmtId="165" fontId="24205" fillId="24215" borderId="24162" xfId="0" applyNumberFormat="1" applyFont="1" applyFill="1" applyBorder="1"/>
    <xf numFmtId="165" fontId="24206" fillId="24216" borderId="24163" xfId="0" applyNumberFormat="1" applyFont="1" applyFill="1" applyBorder="1"/>
    <xf numFmtId="0" fontId="24207" fillId="24217" borderId="24164" xfId="0" applyFont="1" applyFill="1" applyBorder="1"/>
    <xf numFmtId="0" fontId="24208" fillId="24218" borderId="24165" xfId="0" applyFont="1" applyFill="1" applyBorder="1"/>
    <xf numFmtId="0" fontId="24209" fillId="24219" borderId="24166" xfId="0" applyFont="1" applyFill="1" applyBorder="1"/>
    <xf numFmtId="0" fontId="24210" fillId="24220" borderId="24167" xfId="0" applyFont="1" applyFill="1" applyBorder="1"/>
    <xf numFmtId="14" fontId="24211" fillId="24221" borderId="24168" xfId="0" applyNumberFormat="1" applyFont="1" applyFill="1" applyBorder="1"/>
    <xf numFmtId="0" fontId="24212" fillId="24222" borderId="24169" xfId="0" applyFont="1" applyFill="1" applyBorder="1"/>
    <xf numFmtId="0" fontId="24213" fillId="24223" borderId="24170" xfId="0" applyFont="1" applyFill="1" applyBorder="1"/>
    <xf numFmtId="0" fontId="24214" fillId="24224" borderId="24171" xfId="0" applyFont="1" applyFill="1" applyBorder="1"/>
    <xf numFmtId="4" fontId="24215" fillId="24225" borderId="24172" xfId="0" applyNumberFormat="1" applyFont="1" applyFill="1" applyBorder="1"/>
    <xf numFmtId="165" fontId="24216" fillId="24226" borderId="24173" xfId="0" applyNumberFormat="1" applyFont="1" applyFill="1" applyBorder="1"/>
    <xf numFmtId="165" fontId="24217" fillId="24227" borderId="24174" xfId="0" applyNumberFormat="1" applyFont="1" applyFill="1" applyBorder="1"/>
    <xf numFmtId="0" fontId="24218" fillId="24228" borderId="24175" xfId="0" applyFont="1" applyFill="1" applyBorder="1"/>
    <xf numFmtId="0" fontId="24219" fillId="24229" borderId="24176" xfId="0" applyFont="1" applyFill="1" applyBorder="1"/>
    <xf numFmtId="0" fontId="24220" fillId="24230" borderId="24177" xfId="0" applyFont="1" applyFill="1" applyBorder="1"/>
    <xf numFmtId="0" fontId="24221" fillId="24231" borderId="24178" xfId="0" applyFont="1" applyFill="1" applyBorder="1"/>
    <xf numFmtId="14" fontId="24222" fillId="24232" borderId="24179" xfId="0" applyNumberFormat="1" applyFont="1" applyFill="1" applyBorder="1"/>
    <xf numFmtId="0" fontId="24223" fillId="24233" borderId="24180" xfId="0" applyFont="1" applyFill="1" applyBorder="1"/>
    <xf numFmtId="0" fontId="24224" fillId="24234" borderId="24181" xfId="0" applyFont="1" applyFill="1" applyBorder="1"/>
    <xf numFmtId="0" fontId="24225" fillId="24235" borderId="24182" xfId="0" applyFont="1" applyFill="1" applyBorder="1"/>
    <xf numFmtId="4" fontId="24226" fillId="24236" borderId="24183" xfId="0" applyNumberFormat="1" applyFont="1" applyFill="1" applyBorder="1"/>
    <xf numFmtId="165" fontId="24227" fillId="24237" borderId="24184" xfId="0" applyNumberFormat="1" applyFont="1" applyFill="1" applyBorder="1"/>
    <xf numFmtId="165" fontId="24228" fillId="24238" borderId="24185" xfId="0" applyNumberFormat="1" applyFont="1" applyFill="1" applyBorder="1"/>
    <xf numFmtId="0" fontId="24229" fillId="24239" borderId="24186" xfId="0" applyFont="1" applyFill="1" applyBorder="1"/>
    <xf numFmtId="0" fontId="24230" fillId="24240" borderId="24187" xfId="0" applyFont="1" applyFill="1" applyBorder="1"/>
    <xf numFmtId="0" fontId="24231" fillId="24241" borderId="24188" xfId="0" applyFont="1" applyFill="1" applyBorder="1"/>
    <xf numFmtId="0" fontId="24232" fillId="24242" borderId="24189" xfId="0" applyFont="1" applyFill="1" applyBorder="1"/>
    <xf numFmtId="14" fontId="24233" fillId="24243" borderId="24190" xfId="0" applyNumberFormat="1" applyFont="1" applyFill="1" applyBorder="1"/>
    <xf numFmtId="0" fontId="24234" fillId="24244" borderId="24191" xfId="0" applyFont="1" applyFill="1" applyBorder="1"/>
    <xf numFmtId="0" fontId="24235" fillId="24245" borderId="24192" xfId="0" applyFont="1" applyFill="1" applyBorder="1"/>
    <xf numFmtId="0" fontId="24236" fillId="24246" borderId="24193" xfId="0" applyFont="1" applyFill="1" applyBorder="1"/>
    <xf numFmtId="4" fontId="24237" fillId="24247" borderId="24194" xfId="0" applyNumberFormat="1" applyFont="1" applyFill="1" applyBorder="1"/>
    <xf numFmtId="165" fontId="24238" fillId="24248" borderId="24195" xfId="0" applyNumberFormat="1" applyFont="1" applyFill="1" applyBorder="1"/>
    <xf numFmtId="165" fontId="24239" fillId="24249" borderId="24196" xfId="0" applyNumberFormat="1" applyFont="1" applyFill="1" applyBorder="1"/>
    <xf numFmtId="0" fontId="24240" fillId="24250" borderId="24197" xfId="0" applyFont="1" applyFill="1" applyBorder="1"/>
    <xf numFmtId="0" fontId="24241" fillId="24251" borderId="24198" xfId="0" applyFont="1" applyFill="1" applyBorder="1"/>
    <xf numFmtId="0" fontId="24242" fillId="24252" borderId="24199" xfId="0" applyFont="1" applyFill="1" applyBorder="1"/>
    <xf numFmtId="0" fontId="24243" fillId="24253" borderId="24200" xfId="0" applyFont="1" applyFill="1" applyBorder="1"/>
    <xf numFmtId="14" fontId="24244" fillId="24254" borderId="24201" xfId="0" applyNumberFormat="1" applyFont="1" applyFill="1" applyBorder="1"/>
    <xf numFmtId="0" fontId="24245" fillId="24255" borderId="24202" xfId="0" applyFont="1" applyFill="1" applyBorder="1"/>
    <xf numFmtId="0" fontId="24246" fillId="24256" borderId="24203" xfId="0" applyFont="1" applyFill="1" applyBorder="1"/>
    <xf numFmtId="0" fontId="24247" fillId="24257" borderId="24204" xfId="0" applyFont="1" applyFill="1" applyBorder="1"/>
    <xf numFmtId="4" fontId="24248" fillId="24258" borderId="24205" xfId="0" applyNumberFormat="1" applyFont="1" applyFill="1" applyBorder="1"/>
    <xf numFmtId="165" fontId="24249" fillId="24259" borderId="24206" xfId="0" applyNumberFormat="1" applyFont="1" applyFill="1" applyBorder="1"/>
    <xf numFmtId="165" fontId="24250" fillId="24260" borderId="24207" xfId="0" applyNumberFormat="1" applyFont="1" applyFill="1" applyBorder="1"/>
    <xf numFmtId="0" fontId="24251" fillId="24261" borderId="24208" xfId="0" applyFont="1" applyFill="1" applyBorder="1"/>
    <xf numFmtId="0" fontId="24252" fillId="24262" borderId="24209" xfId="0" applyFont="1" applyFill="1" applyBorder="1"/>
    <xf numFmtId="0" fontId="24253" fillId="24263" borderId="24210" xfId="0" applyFont="1" applyFill="1" applyBorder="1"/>
    <xf numFmtId="0" fontId="24254" fillId="24264" borderId="24211" xfId="0" applyFont="1" applyFill="1" applyBorder="1"/>
    <xf numFmtId="14" fontId="24255" fillId="24265" borderId="24212" xfId="0" applyNumberFormat="1" applyFont="1" applyFill="1" applyBorder="1"/>
    <xf numFmtId="0" fontId="24256" fillId="24266" borderId="24213" xfId="0" applyFont="1" applyFill="1" applyBorder="1"/>
    <xf numFmtId="0" fontId="24257" fillId="24267" borderId="24214" xfId="0" applyFont="1" applyFill="1" applyBorder="1"/>
    <xf numFmtId="0" fontId="24258" fillId="24268" borderId="24215" xfId="0" applyFont="1" applyFill="1" applyBorder="1"/>
    <xf numFmtId="4" fontId="24259" fillId="24269" borderId="24216" xfId="0" applyNumberFormat="1" applyFont="1" applyFill="1" applyBorder="1"/>
    <xf numFmtId="165" fontId="24260" fillId="24270" borderId="24217" xfId="0" applyNumberFormat="1" applyFont="1" applyFill="1" applyBorder="1"/>
    <xf numFmtId="165" fontId="24261" fillId="24271" borderId="24218" xfId="0" applyNumberFormat="1" applyFont="1" applyFill="1" applyBorder="1"/>
    <xf numFmtId="0" fontId="24262" fillId="24272" borderId="24219" xfId="0" applyFont="1" applyFill="1" applyBorder="1"/>
    <xf numFmtId="0" fontId="24263" fillId="24273" borderId="24220" xfId="0" applyFont="1" applyFill="1" applyBorder="1"/>
    <xf numFmtId="0" fontId="24264" fillId="24274" borderId="24221" xfId="0" applyFont="1" applyFill="1" applyBorder="1"/>
    <xf numFmtId="0" fontId="24265" fillId="24275" borderId="24222" xfId="0" applyFont="1" applyFill="1" applyBorder="1"/>
    <xf numFmtId="14" fontId="24266" fillId="24276" borderId="24223" xfId="0" applyNumberFormat="1" applyFont="1" applyFill="1" applyBorder="1"/>
    <xf numFmtId="0" fontId="24267" fillId="24277" borderId="24224" xfId="0" applyFont="1" applyFill="1" applyBorder="1"/>
    <xf numFmtId="0" fontId="24268" fillId="24278" borderId="24225" xfId="0" applyFont="1" applyFill="1" applyBorder="1"/>
    <xf numFmtId="0" fontId="24269" fillId="24279" borderId="24226" xfId="0" applyFont="1" applyFill="1" applyBorder="1"/>
    <xf numFmtId="4" fontId="24270" fillId="24280" borderId="24227" xfId="0" applyNumberFormat="1" applyFont="1" applyFill="1" applyBorder="1"/>
    <xf numFmtId="165" fontId="24271" fillId="24281" borderId="24228" xfId="0" applyNumberFormat="1" applyFont="1" applyFill="1" applyBorder="1"/>
    <xf numFmtId="165" fontId="24272" fillId="24282" borderId="24229" xfId="0" applyNumberFormat="1" applyFont="1" applyFill="1" applyBorder="1"/>
    <xf numFmtId="0" fontId="24273" fillId="24283" borderId="24230" xfId="0" applyFont="1" applyFill="1" applyBorder="1"/>
    <xf numFmtId="0" fontId="24274" fillId="24284" borderId="24231" xfId="0" applyFont="1" applyFill="1" applyBorder="1"/>
    <xf numFmtId="0" fontId="24275" fillId="24285" borderId="24232" xfId="0" applyFont="1" applyFill="1" applyBorder="1"/>
    <xf numFmtId="0" fontId="24276" fillId="24286" borderId="24233" xfId="0" applyFont="1" applyFill="1" applyBorder="1"/>
    <xf numFmtId="14" fontId="24277" fillId="24287" borderId="24234" xfId="0" applyNumberFormat="1" applyFont="1" applyFill="1" applyBorder="1"/>
    <xf numFmtId="0" fontId="24278" fillId="24288" borderId="24235" xfId="0" applyFont="1" applyFill="1" applyBorder="1"/>
    <xf numFmtId="0" fontId="24279" fillId="24289" borderId="24236" xfId="0" applyFont="1" applyFill="1" applyBorder="1"/>
    <xf numFmtId="0" fontId="24280" fillId="24290" borderId="24237" xfId="0" applyFont="1" applyFill="1" applyBorder="1"/>
    <xf numFmtId="4" fontId="24281" fillId="24291" borderId="24238" xfId="0" applyNumberFormat="1" applyFont="1" applyFill="1" applyBorder="1"/>
    <xf numFmtId="165" fontId="24282" fillId="24292" borderId="24239" xfId="0" applyNumberFormat="1" applyFont="1" applyFill="1" applyBorder="1"/>
    <xf numFmtId="165" fontId="24283" fillId="24293" borderId="24240" xfId="0" applyNumberFormat="1" applyFont="1" applyFill="1" applyBorder="1"/>
    <xf numFmtId="0" fontId="24284" fillId="24294" borderId="24241" xfId="0" applyFont="1" applyFill="1" applyBorder="1"/>
    <xf numFmtId="0" fontId="24285" fillId="24295" borderId="24242" xfId="0" applyFont="1" applyFill="1" applyBorder="1"/>
    <xf numFmtId="0" fontId="24286" fillId="24296" borderId="24243" xfId="0" applyFont="1" applyFill="1" applyBorder="1"/>
    <xf numFmtId="0" fontId="24287" fillId="24297" borderId="24244" xfId="0" applyFont="1" applyFill="1" applyBorder="1"/>
    <xf numFmtId="14" fontId="24288" fillId="24298" borderId="24245" xfId="0" applyNumberFormat="1" applyFont="1" applyFill="1" applyBorder="1"/>
    <xf numFmtId="0" fontId="24289" fillId="24299" borderId="24246" xfId="0" applyFont="1" applyFill="1" applyBorder="1"/>
    <xf numFmtId="0" fontId="24290" fillId="24300" borderId="24247" xfId="0" applyFont="1" applyFill="1" applyBorder="1"/>
    <xf numFmtId="0" fontId="24291" fillId="24301" borderId="24248" xfId="0" applyFont="1" applyFill="1" applyBorder="1"/>
    <xf numFmtId="4" fontId="24292" fillId="24302" borderId="24249" xfId="0" applyNumberFormat="1" applyFont="1" applyFill="1" applyBorder="1"/>
    <xf numFmtId="165" fontId="24293" fillId="24303" borderId="24250" xfId="0" applyNumberFormat="1" applyFont="1" applyFill="1" applyBorder="1"/>
    <xf numFmtId="165" fontId="24294" fillId="24304" borderId="24251" xfId="0" applyNumberFormat="1" applyFont="1" applyFill="1" applyBorder="1"/>
    <xf numFmtId="0" fontId="24295" fillId="24305" borderId="24252" xfId="0" applyFont="1" applyFill="1" applyBorder="1"/>
    <xf numFmtId="0" fontId="24296" fillId="24306" borderId="24253" xfId="0" applyFont="1" applyFill="1" applyBorder="1"/>
    <xf numFmtId="0" fontId="24297" fillId="24307" borderId="24254" xfId="0" applyFont="1" applyFill="1" applyBorder="1"/>
    <xf numFmtId="0" fontId="24298" fillId="24308" borderId="24255" xfId="0" applyFont="1" applyFill="1" applyBorder="1"/>
    <xf numFmtId="14" fontId="24299" fillId="24309" borderId="24256" xfId="0" applyNumberFormat="1" applyFont="1" applyFill="1" applyBorder="1"/>
    <xf numFmtId="0" fontId="24300" fillId="24310" borderId="24257" xfId="0" applyFont="1" applyFill="1" applyBorder="1"/>
    <xf numFmtId="0" fontId="24301" fillId="24311" borderId="24258" xfId="0" applyFont="1" applyFill="1" applyBorder="1"/>
    <xf numFmtId="0" fontId="24302" fillId="24312" borderId="24259" xfId="0" applyFont="1" applyFill="1" applyBorder="1"/>
    <xf numFmtId="4" fontId="24303" fillId="24313" borderId="24260" xfId="0" applyNumberFormat="1" applyFont="1" applyFill="1" applyBorder="1"/>
    <xf numFmtId="165" fontId="24304" fillId="24314" borderId="24261" xfId="0" applyNumberFormat="1" applyFont="1" applyFill="1" applyBorder="1"/>
    <xf numFmtId="165" fontId="24305" fillId="24315" borderId="24262" xfId="0" applyNumberFormat="1" applyFont="1" applyFill="1" applyBorder="1"/>
    <xf numFmtId="0" fontId="24306" fillId="24316" borderId="24263" xfId="0" applyFont="1" applyFill="1" applyBorder="1"/>
    <xf numFmtId="0" fontId="24307" fillId="24317" borderId="24264" xfId="0" applyFont="1" applyFill="1" applyBorder="1"/>
    <xf numFmtId="0" fontId="24308" fillId="24318" borderId="24265" xfId="0" applyFont="1" applyFill="1" applyBorder="1"/>
    <xf numFmtId="0" fontId="24309" fillId="24319" borderId="24266" xfId="0" applyFont="1" applyFill="1" applyBorder="1"/>
    <xf numFmtId="14" fontId="24310" fillId="24320" borderId="24267" xfId="0" applyNumberFormat="1" applyFont="1" applyFill="1" applyBorder="1"/>
    <xf numFmtId="0" fontId="24311" fillId="24321" borderId="24268" xfId="0" applyFont="1" applyFill="1" applyBorder="1"/>
    <xf numFmtId="0" fontId="24312" fillId="24322" borderId="24269" xfId="0" applyFont="1" applyFill="1" applyBorder="1"/>
    <xf numFmtId="0" fontId="24313" fillId="24323" borderId="24270" xfId="0" applyFont="1" applyFill="1" applyBorder="1"/>
    <xf numFmtId="4" fontId="24314" fillId="24324" borderId="24271" xfId="0" applyNumberFormat="1" applyFont="1" applyFill="1" applyBorder="1"/>
    <xf numFmtId="165" fontId="24315" fillId="24325" borderId="24272" xfId="0" applyNumberFormat="1" applyFont="1" applyFill="1" applyBorder="1"/>
    <xf numFmtId="165" fontId="24316" fillId="24326" borderId="24273" xfId="0" applyNumberFormat="1" applyFont="1" applyFill="1" applyBorder="1"/>
    <xf numFmtId="0" fontId="24317" fillId="24327" borderId="24274" xfId="0" applyFont="1" applyFill="1" applyBorder="1"/>
    <xf numFmtId="0" fontId="24318" fillId="24328" borderId="24275" xfId="0" applyFont="1" applyFill="1" applyBorder="1"/>
    <xf numFmtId="0" fontId="24319" fillId="24329" borderId="24276" xfId="0" applyFont="1" applyFill="1" applyBorder="1"/>
    <xf numFmtId="0" fontId="24320" fillId="24330" borderId="24277" xfId="0" applyFont="1" applyFill="1" applyBorder="1"/>
    <xf numFmtId="14" fontId="24321" fillId="24331" borderId="24278" xfId="0" applyNumberFormat="1" applyFont="1" applyFill="1" applyBorder="1"/>
    <xf numFmtId="0" fontId="24322" fillId="24332" borderId="24279" xfId="0" applyFont="1" applyFill="1" applyBorder="1"/>
    <xf numFmtId="0" fontId="24323" fillId="24333" borderId="24280" xfId="0" applyFont="1" applyFill="1" applyBorder="1"/>
    <xf numFmtId="0" fontId="24324" fillId="24334" borderId="24281" xfId="0" applyFont="1" applyFill="1" applyBorder="1"/>
    <xf numFmtId="4" fontId="24325" fillId="24335" borderId="24282" xfId="0" applyNumberFormat="1" applyFont="1" applyFill="1" applyBorder="1"/>
    <xf numFmtId="165" fontId="24326" fillId="24336" borderId="24283" xfId="0" applyNumberFormat="1" applyFont="1" applyFill="1" applyBorder="1"/>
    <xf numFmtId="165" fontId="24327" fillId="24337" borderId="24284" xfId="0" applyNumberFormat="1" applyFont="1" applyFill="1" applyBorder="1"/>
    <xf numFmtId="0" fontId="24328" fillId="24338" borderId="24285" xfId="0" applyFont="1" applyFill="1" applyBorder="1"/>
    <xf numFmtId="0" fontId="24329" fillId="24339" borderId="24286" xfId="0" applyFont="1" applyFill="1" applyBorder="1"/>
    <xf numFmtId="0" fontId="24330" fillId="24340" borderId="24287" xfId="0" applyFont="1" applyFill="1" applyBorder="1"/>
    <xf numFmtId="0" fontId="24331" fillId="24341" borderId="24288" xfId="0" applyFont="1" applyFill="1" applyBorder="1"/>
    <xf numFmtId="14" fontId="24332" fillId="24342" borderId="24289" xfId="0" applyNumberFormat="1" applyFont="1" applyFill="1" applyBorder="1"/>
    <xf numFmtId="0" fontId="24333" fillId="24343" borderId="24290" xfId="0" applyFont="1" applyFill="1" applyBorder="1"/>
    <xf numFmtId="0" fontId="24334" fillId="24344" borderId="24291" xfId="0" applyFont="1" applyFill="1" applyBorder="1"/>
    <xf numFmtId="0" fontId="24335" fillId="24345" borderId="24292" xfId="0" applyFont="1" applyFill="1" applyBorder="1"/>
    <xf numFmtId="4" fontId="24336" fillId="24346" borderId="24293" xfId="0" applyNumberFormat="1" applyFont="1" applyFill="1" applyBorder="1"/>
    <xf numFmtId="165" fontId="24337" fillId="24347" borderId="24294" xfId="0" applyNumberFormat="1" applyFont="1" applyFill="1" applyBorder="1"/>
    <xf numFmtId="165" fontId="24338" fillId="24348" borderId="24295" xfId="0" applyNumberFormat="1" applyFont="1" applyFill="1" applyBorder="1"/>
    <xf numFmtId="0" fontId="24339" fillId="24349" borderId="24296" xfId="0" applyFont="1" applyFill="1" applyBorder="1"/>
    <xf numFmtId="0" fontId="24340" fillId="24350" borderId="24297" xfId="0" applyFont="1" applyFill="1" applyBorder="1"/>
    <xf numFmtId="0" fontId="24341" fillId="24351" borderId="24298" xfId="0" applyFont="1" applyFill="1" applyBorder="1"/>
    <xf numFmtId="0" fontId="24342" fillId="24352" borderId="24299" xfId="0" applyFont="1" applyFill="1" applyBorder="1"/>
    <xf numFmtId="14" fontId="24343" fillId="24353" borderId="24300" xfId="0" applyNumberFormat="1" applyFont="1" applyFill="1" applyBorder="1"/>
    <xf numFmtId="0" fontId="24344" fillId="24354" borderId="24301" xfId="0" applyFont="1" applyFill="1" applyBorder="1"/>
    <xf numFmtId="0" fontId="24345" fillId="24355" borderId="24302" xfId="0" applyFont="1" applyFill="1" applyBorder="1"/>
    <xf numFmtId="0" fontId="24346" fillId="24356" borderId="24303" xfId="0" applyFont="1" applyFill="1" applyBorder="1"/>
    <xf numFmtId="4" fontId="24347" fillId="24357" borderId="24304" xfId="0" applyNumberFormat="1" applyFont="1" applyFill="1" applyBorder="1"/>
    <xf numFmtId="165" fontId="24348" fillId="24358" borderId="24305" xfId="0" applyNumberFormat="1" applyFont="1" applyFill="1" applyBorder="1"/>
    <xf numFmtId="165" fontId="24349" fillId="24359" borderId="24306" xfId="0" applyNumberFormat="1" applyFont="1" applyFill="1" applyBorder="1"/>
    <xf numFmtId="0" fontId="24350" fillId="24360" borderId="24307" xfId="0" applyFont="1" applyFill="1" applyBorder="1"/>
    <xf numFmtId="0" fontId="24351" fillId="24361" borderId="24308" xfId="0" applyFont="1" applyFill="1" applyBorder="1"/>
    <xf numFmtId="0" fontId="24352" fillId="24362" borderId="24309" xfId="0" applyFont="1" applyFill="1" applyBorder="1"/>
    <xf numFmtId="0" fontId="24353" fillId="24363" borderId="24310" xfId="0" applyFont="1" applyFill="1" applyBorder="1"/>
    <xf numFmtId="14" fontId="24354" fillId="24364" borderId="24311" xfId="0" applyNumberFormat="1" applyFont="1" applyFill="1" applyBorder="1"/>
    <xf numFmtId="0" fontId="24355" fillId="24365" borderId="24312" xfId="0" applyFont="1" applyFill="1" applyBorder="1"/>
    <xf numFmtId="0" fontId="24356" fillId="24366" borderId="24313" xfId="0" applyFont="1" applyFill="1" applyBorder="1"/>
    <xf numFmtId="0" fontId="24357" fillId="24367" borderId="24314" xfId="0" applyFont="1" applyFill="1" applyBorder="1"/>
    <xf numFmtId="4" fontId="24358" fillId="24368" borderId="24315" xfId="0" applyNumberFormat="1" applyFont="1" applyFill="1" applyBorder="1"/>
    <xf numFmtId="165" fontId="24359" fillId="24369" borderId="24316" xfId="0" applyNumberFormat="1" applyFont="1" applyFill="1" applyBorder="1"/>
    <xf numFmtId="165" fontId="24360" fillId="24370" borderId="24317" xfId="0" applyNumberFormat="1" applyFont="1" applyFill="1" applyBorder="1"/>
    <xf numFmtId="0" fontId="24361" fillId="24371" borderId="24318" xfId="0" applyFont="1" applyFill="1" applyBorder="1"/>
    <xf numFmtId="0" fontId="24362" fillId="24372" borderId="24319" xfId="0" applyFont="1" applyFill="1" applyBorder="1"/>
    <xf numFmtId="0" fontId="24363" fillId="24373" borderId="24320" xfId="0" applyFont="1" applyFill="1" applyBorder="1"/>
    <xf numFmtId="0" fontId="24364" fillId="24374" borderId="24321" xfId="0" applyFont="1" applyFill="1" applyBorder="1"/>
    <xf numFmtId="14" fontId="24365" fillId="24375" borderId="24322" xfId="0" applyNumberFormat="1" applyFont="1" applyFill="1" applyBorder="1"/>
    <xf numFmtId="0" fontId="24366" fillId="24376" borderId="24323" xfId="0" applyFont="1" applyFill="1" applyBorder="1"/>
    <xf numFmtId="0" fontId="24367" fillId="24377" borderId="24324" xfId="0" applyFont="1" applyFill="1" applyBorder="1"/>
    <xf numFmtId="0" fontId="24368" fillId="24378" borderId="24325" xfId="0" applyFont="1" applyFill="1" applyBorder="1"/>
    <xf numFmtId="4" fontId="24369" fillId="24379" borderId="24326" xfId="0" applyNumberFormat="1" applyFont="1" applyFill="1" applyBorder="1"/>
    <xf numFmtId="165" fontId="24370" fillId="24380" borderId="24327" xfId="0" applyNumberFormat="1" applyFont="1" applyFill="1" applyBorder="1"/>
    <xf numFmtId="165" fontId="24371" fillId="24381" borderId="24328" xfId="0" applyNumberFormat="1" applyFont="1" applyFill="1" applyBorder="1"/>
    <xf numFmtId="0" fontId="24372" fillId="24382" borderId="24329" xfId="0" applyFont="1" applyFill="1" applyBorder="1"/>
    <xf numFmtId="0" fontId="24373" fillId="24383" borderId="24330" xfId="0" applyFont="1" applyFill="1" applyBorder="1"/>
    <xf numFmtId="0" fontId="24374" fillId="24384" borderId="24331" xfId="0" applyFont="1" applyFill="1" applyBorder="1"/>
    <xf numFmtId="0" fontId="24375" fillId="24385" borderId="24332" xfId="0" applyFont="1" applyFill="1" applyBorder="1"/>
    <xf numFmtId="14" fontId="24376" fillId="24386" borderId="24333" xfId="0" applyNumberFormat="1" applyFont="1" applyFill="1" applyBorder="1"/>
    <xf numFmtId="0" fontId="24377" fillId="24387" borderId="24334" xfId="0" applyFont="1" applyFill="1" applyBorder="1"/>
    <xf numFmtId="0" fontId="24378" fillId="24388" borderId="24335" xfId="0" applyFont="1" applyFill="1" applyBorder="1"/>
    <xf numFmtId="0" fontId="24379" fillId="24389" borderId="24336" xfId="0" applyFont="1" applyFill="1" applyBorder="1"/>
    <xf numFmtId="4" fontId="24380" fillId="24390" borderId="24337" xfId="0" applyNumberFormat="1" applyFont="1" applyFill="1" applyBorder="1"/>
    <xf numFmtId="165" fontId="24381" fillId="24391" borderId="24338" xfId="0" applyNumberFormat="1" applyFont="1" applyFill="1" applyBorder="1"/>
    <xf numFmtId="165" fontId="24382" fillId="24392" borderId="24339" xfId="0" applyNumberFormat="1" applyFont="1" applyFill="1" applyBorder="1"/>
    <xf numFmtId="0" fontId="24383" fillId="24393" borderId="24340" xfId="0" applyFont="1" applyFill="1" applyBorder="1"/>
    <xf numFmtId="0" fontId="24384" fillId="24394" borderId="24341" xfId="0" applyFont="1" applyFill="1" applyBorder="1"/>
    <xf numFmtId="0" fontId="24385" fillId="24395" borderId="24342" xfId="0" applyFont="1" applyFill="1" applyBorder="1"/>
    <xf numFmtId="0" fontId="24386" fillId="24396" borderId="24343" xfId="0" applyFont="1" applyFill="1" applyBorder="1"/>
    <xf numFmtId="14" fontId="24387" fillId="24397" borderId="24344" xfId="0" applyNumberFormat="1" applyFont="1" applyFill="1" applyBorder="1"/>
    <xf numFmtId="0" fontId="24388" fillId="24398" borderId="24345" xfId="0" applyFont="1" applyFill="1" applyBorder="1"/>
    <xf numFmtId="0" fontId="24389" fillId="24399" borderId="24346" xfId="0" applyFont="1" applyFill="1" applyBorder="1"/>
    <xf numFmtId="0" fontId="24390" fillId="24400" borderId="24347" xfId="0" applyFont="1" applyFill="1" applyBorder="1"/>
    <xf numFmtId="4" fontId="24391" fillId="24401" borderId="24348" xfId="0" applyNumberFormat="1" applyFont="1" applyFill="1" applyBorder="1"/>
    <xf numFmtId="165" fontId="24392" fillId="24402" borderId="24349" xfId="0" applyNumberFormat="1" applyFont="1" applyFill="1" applyBorder="1"/>
    <xf numFmtId="165" fontId="24393" fillId="24403" borderId="24350" xfId="0" applyNumberFormat="1" applyFont="1" applyFill="1" applyBorder="1"/>
    <xf numFmtId="0" fontId="24394" fillId="24404" borderId="24351" xfId="0" applyFont="1" applyFill="1" applyBorder="1"/>
    <xf numFmtId="0" fontId="24395" fillId="24405" borderId="24352" xfId="0" applyFont="1" applyFill="1" applyBorder="1"/>
    <xf numFmtId="0" fontId="24396" fillId="24406" borderId="24353" xfId="0" applyFont="1" applyFill="1" applyBorder="1"/>
    <xf numFmtId="0" fontId="24397" fillId="24407" borderId="24354" xfId="0" applyFont="1" applyFill="1" applyBorder="1"/>
    <xf numFmtId="14" fontId="24398" fillId="24408" borderId="24355" xfId="0" applyNumberFormat="1" applyFont="1" applyFill="1" applyBorder="1"/>
    <xf numFmtId="0" fontId="24399" fillId="24409" borderId="24356" xfId="0" applyFont="1" applyFill="1" applyBorder="1"/>
    <xf numFmtId="0" fontId="24400" fillId="24410" borderId="24357" xfId="0" applyFont="1" applyFill="1" applyBorder="1"/>
    <xf numFmtId="0" fontId="24401" fillId="24411" borderId="24358" xfId="0" applyFont="1" applyFill="1" applyBorder="1"/>
    <xf numFmtId="4" fontId="24402" fillId="24412" borderId="24359" xfId="0" applyNumberFormat="1" applyFont="1" applyFill="1" applyBorder="1"/>
    <xf numFmtId="165" fontId="24403" fillId="24413" borderId="24360" xfId="0" applyNumberFormat="1" applyFont="1" applyFill="1" applyBorder="1"/>
    <xf numFmtId="165" fontId="24404" fillId="24414" borderId="24361" xfId="0" applyNumberFormat="1" applyFont="1" applyFill="1" applyBorder="1"/>
    <xf numFmtId="0" fontId="24405" fillId="24415" borderId="24362" xfId="0" applyFont="1" applyFill="1" applyBorder="1"/>
    <xf numFmtId="0" fontId="24406" fillId="24416" borderId="24363" xfId="0" applyFont="1" applyFill="1" applyBorder="1"/>
    <xf numFmtId="0" fontId="24407" fillId="24417" borderId="24364" xfId="0" applyFont="1" applyFill="1" applyBorder="1"/>
    <xf numFmtId="0" fontId="24408" fillId="24418" borderId="24365" xfId="0" applyFont="1" applyFill="1" applyBorder="1"/>
    <xf numFmtId="14" fontId="24409" fillId="24419" borderId="24366" xfId="0" applyNumberFormat="1" applyFont="1" applyFill="1" applyBorder="1"/>
    <xf numFmtId="0" fontId="24410" fillId="24420" borderId="24367" xfId="0" applyFont="1" applyFill="1" applyBorder="1"/>
    <xf numFmtId="0" fontId="24411" fillId="24421" borderId="24368" xfId="0" applyFont="1" applyFill="1" applyBorder="1"/>
    <xf numFmtId="0" fontId="24412" fillId="24422" borderId="24369" xfId="0" applyFont="1" applyFill="1" applyBorder="1"/>
    <xf numFmtId="4" fontId="24413" fillId="24423" borderId="24370" xfId="0" applyNumberFormat="1" applyFont="1" applyFill="1" applyBorder="1"/>
    <xf numFmtId="165" fontId="24414" fillId="24424" borderId="24371" xfId="0" applyNumberFormat="1" applyFont="1" applyFill="1" applyBorder="1"/>
    <xf numFmtId="165" fontId="24415" fillId="24425" borderId="24372" xfId="0" applyNumberFormat="1" applyFont="1" applyFill="1" applyBorder="1"/>
    <xf numFmtId="0" fontId="24416" fillId="24426" borderId="24373" xfId="0" applyFont="1" applyFill="1" applyBorder="1"/>
    <xf numFmtId="0" fontId="24417" fillId="24427" borderId="24374" xfId="0" applyFont="1" applyFill="1" applyBorder="1"/>
    <xf numFmtId="0" fontId="24418" fillId="24428" borderId="24375" xfId="0" applyFont="1" applyFill="1" applyBorder="1"/>
    <xf numFmtId="0" fontId="24419" fillId="24429" borderId="24376" xfId="0" applyFont="1" applyFill="1" applyBorder="1"/>
    <xf numFmtId="14" fontId="24420" fillId="24430" borderId="24377" xfId="0" applyNumberFormat="1" applyFont="1" applyFill="1" applyBorder="1"/>
    <xf numFmtId="0" fontId="24421" fillId="24431" borderId="24378" xfId="0" applyFont="1" applyFill="1" applyBorder="1"/>
    <xf numFmtId="0" fontId="24422" fillId="24432" borderId="24379" xfId="0" applyFont="1" applyFill="1" applyBorder="1"/>
    <xf numFmtId="0" fontId="24423" fillId="24433" borderId="24380" xfId="0" applyFont="1" applyFill="1" applyBorder="1"/>
    <xf numFmtId="4" fontId="24424" fillId="24434" borderId="24381" xfId="0" applyNumberFormat="1" applyFont="1" applyFill="1" applyBorder="1"/>
    <xf numFmtId="165" fontId="24425" fillId="24435" borderId="24382" xfId="0" applyNumberFormat="1" applyFont="1" applyFill="1" applyBorder="1"/>
    <xf numFmtId="165" fontId="24426" fillId="24436" borderId="24383" xfId="0" applyNumberFormat="1" applyFont="1" applyFill="1" applyBorder="1"/>
    <xf numFmtId="0" fontId="24427" fillId="24437" borderId="24384" xfId="0" applyFont="1" applyFill="1" applyBorder="1"/>
    <xf numFmtId="0" fontId="24428" fillId="24438" borderId="24385" xfId="0" applyFont="1" applyFill="1" applyBorder="1"/>
    <xf numFmtId="0" fontId="24429" fillId="24439" borderId="24386" xfId="0" applyFont="1" applyFill="1" applyBorder="1"/>
    <xf numFmtId="0" fontId="24430" fillId="24440" borderId="24387" xfId="0" applyFont="1" applyFill="1" applyBorder="1"/>
    <xf numFmtId="14" fontId="24431" fillId="24441" borderId="24388" xfId="0" applyNumberFormat="1" applyFont="1" applyFill="1" applyBorder="1"/>
    <xf numFmtId="0" fontId="24432" fillId="24442" borderId="24389" xfId="0" applyFont="1" applyFill="1" applyBorder="1"/>
    <xf numFmtId="0" fontId="24433" fillId="24443" borderId="24390" xfId="0" applyFont="1" applyFill="1" applyBorder="1"/>
    <xf numFmtId="0" fontId="24434" fillId="24444" borderId="24391" xfId="0" applyFont="1" applyFill="1" applyBorder="1"/>
    <xf numFmtId="4" fontId="24435" fillId="24445" borderId="24392" xfId="0" applyNumberFormat="1" applyFont="1" applyFill="1" applyBorder="1"/>
    <xf numFmtId="165" fontId="24436" fillId="24446" borderId="24393" xfId="0" applyNumberFormat="1" applyFont="1" applyFill="1" applyBorder="1"/>
    <xf numFmtId="165" fontId="24437" fillId="24447" borderId="24394" xfId="0" applyNumberFormat="1" applyFont="1" applyFill="1" applyBorder="1"/>
    <xf numFmtId="0" fontId="24438" fillId="24448" borderId="24395" xfId="0" applyFont="1" applyFill="1" applyBorder="1"/>
    <xf numFmtId="0" fontId="24439" fillId="24449" borderId="24396" xfId="0" applyFont="1" applyFill="1" applyBorder="1"/>
    <xf numFmtId="0" fontId="24440" fillId="24450" borderId="24397" xfId="0" applyFont="1" applyFill="1" applyBorder="1"/>
    <xf numFmtId="0" fontId="24441" fillId="24451" borderId="24398" xfId="0" applyFont="1" applyFill="1" applyBorder="1"/>
    <xf numFmtId="14" fontId="24442" fillId="24452" borderId="24399" xfId="0" applyNumberFormat="1" applyFont="1" applyFill="1" applyBorder="1"/>
    <xf numFmtId="0" fontId="24443" fillId="24453" borderId="24400" xfId="0" applyFont="1" applyFill="1" applyBorder="1"/>
    <xf numFmtId="0" fontId="24444" fillId="24454" borderId="24401" xfId="0" applyFont="1" applyFill="1" applyBorder="1"/>
    <xf numFmtId="0" fontId="24445" fillId="24455" borderId="24402" xfId="0" applyFont="1" applyFill="1" applyBorder="1"/>
    <xf numFmtId="4" fontId="24446" fillId="24456" borderId="24403" xfId="0" applyNumberFormat="1" applyFont="1" applyFill="1" applyBorder="1"/>
    <xf numFmtId="165" fontId="24447" fillId="24457" borderId="24404" xfId="0" applyNumberFormat="1" applyFont="1" applyFill="1" applyBorder="1"/>
    <xf numFmtId="165" fontId="24448" fillId="24458" borderId="24405" xfId="0" applyNumberFormat="1" applyFont="1" applyFill="1" applyBorder="1"/>
    <xf numFmtId="0" fontId="24449" fillId="24459" borderId="24406" xfId="0" applyFont="1" applyFill="1" applyBorder="1"/>
    <xf numFmtId="0" fontId="24450" fillId="24460" borderId="24407" xfId="0" applyFont="1" applyFill="1" applyBorder="1"/>
    <xf numFmtId="0" fontId="24451" fillId="24461" borderId="24408" xfId="0" applyFont="1" applyFill="1" applyBorder="1"/>
    <xf numFmtId="0" fontId="24452" fillId="24462" borderId="24409" xfId="0" applyFont="1" applyFill="1" applyBorder="1"/>
    <xf numFmtId="14" fontId="24453" fillId="24463" borderId="24410" xfId="0" applyNumberFormat="1" applyFont="1" applyFill="1" applyBorder="1"/>
    <xf numFmtId="0" fontId="24454" fillId="24464" borderId="24411" xfId="0" applyFont="1" applyFill="1" applyBorder="1"/>
    <xf numFmtId="0" fontId="24455" fillId="24465" borderId="24412" xfId="0" applyFont="1" applyFill="1" applyBorder="1"/>
    <xf numFmtId="0" fontId="24456" fillId="24466" borderId="24413" xfId="0" applyFont="1" applyFill="1" applyBorder="1"/>
    <xf numFmtId="4" fontId="24457" fillId="24467" borderId="24414" xfId="0" applyNumberFormat="1" applyFont="1" applyFill="1" applyBorder="1"/>
    <xf numFmtId="165" fontId="24458" fillId="24468" borderId="24415" xfId="0" applyNumberFormat="1" applyFont="1" applyFill="1" applyBorder="1"/>
    <xf numFmtId="165" fontId="24459" fillId="24469" borderId="24416" xfId="0" applyNumberFormat="1" applyFont="1" applyFill="1" applyBorder="1"/>
    <xf numFmtId="0" fontId="24460" fillId="24470" borderId="24417" xfId="0" applyFont="1" applyFill="1" applyBorder="1"/>
    <xf numFmtId="0" fontId="24461" fillId="24471" borderId="24418" xfId="0" applyFont="1" applyFill="1" applyBorder="1"/>
    <xf numFmtId="0" fontId="24462" fillId="24472" borderId="24419" xfId="0" applyFont="1" applyFill="1" applyBorder="1"/>
    <xf numFmtId="0" fontId="24463" fillId="24473" borderId="24420" xfId="0" applyFont="1" applyFill="1" applyBorder="1"/>
    <xf numFmtId="14" fontId="24464" fillId="24474" borderId="24421" xfId="0" applyNumberFormat="1" applyFont="1" applyFill="1" applyBorder="1"/>
    <xf numFmtId="0" fontId="24465" fillId="24475" borderId="24422" xfId="0" applyFont="1" applyFill="1" applyBorder="1"/>
    <xf numFmtId="0" fontId="24466" fillId="24476" borderId="24423" xfId="0" applyFont="1" applyFill="1" applyBorder="1"/>
    <xf numFmtId="0" fontId="24467" fillId="24477" borderId="24424" xfId="0" applyFont="1" applyFill="1" applyBorder="1"/>
    <xf numFmtId="4" fontId="24468" fillId="24478" borderId="24425" xfId="0" applyNumberFormat="1" applyFont="1" applyFill="1" applyBorder="1"/>
    <xf numFmtId="165" fontId="24469" fillId="24479" borderId="24426" xfId="0" applyNumberFormat="1" applyFont="1" applyFill="1" applyBorder="1"/>
    <xf numFmtId="165" fontId="24470" fillId="24480" borderId="24427" xfId="0" applyNumberFormat="1" applyFont="1" applyFill="1" applyBorder="1"/>
    <xf numFmtId="0" fontId="24471" fillId="24481" borderId="24428" xfId="0" applyFont="1" applyFill="1" applyBorder="1"/>
    <xf numFmtId="0" fontId="24472" fillId="24482" borderId="24429" xfId="0" applyFont="1" applyFill="1" applyBorder="1"/>
    <xf numFmtId="0" fontId="24473" fillId="24483" borderId="24430" xfId="0" applyFont="1" applyFill="1" applyBorder="1"/>
    <xf numFmtId="0" fontId="24474" fillId="24484" borderId="24431" xfId="0" applyFont="1" applyFill="1" applyBorder="1"/>
    <xf numFmtId="14" fontId="24475" fillId="24485" borderId="24432" xfId="0" applyNumberFormat="1" applyFont="1" applyFill="1" applyBorder="1"/>
    <xf numFmtId="0" fontId="24476" fillId="24486" borderId="24433" xfId="0" applyFont="1" applyFill="1" applyBorder="1"/>
    <xf numFmtId="0" fontId="24477" fillId="24487" borderId="24434" xfId="0" applyFont="1" applyFill="1" applyBorder="1"/>
    <xf numFmtId="0" fontId="24478" fillId="24488" borderId="24435" xfId="0" applyFont="1" applyFill="1" applyBorder="1"/>
    <xf numFmtId="4" fontId="24479" fillId="24489" borderId="24436" xfId="0" applyNumberFormat="1" applyFont="1" applyFill="1" applyBorder="1"/>
    <xf numFmtId="165" fontId="24480" fillId="24490" borderId="24437" xfId="0" applyNumberFormat="1" applyFont="1" applyFill="1" applyBorder="1"/>
    <xf numFmtId="165" fontId="24481" fillId="24491" borderId="24438" xfId="0" applyNumberFormat="1" applyFont="1" applyFill="1" applyBorder="1"/>
    <xf numFmtId="0" fontId="24482" fillId="24492" borderId="24439" xfId="0" applyFont="1" applyFill="1" applyBorder="1"/>
    <xf numFmtId="0" fontId="24483" fillId="24493" borderId="24440" xfId="0" applyFont="1" applyFill="1" applyBorder="1"/>
    <xf numFmtId="0" fontId="24484" fillId="24494" borderId="24441" xfId="0" applyFont="1" applyFill="1" applyBorder="1"/>
    <xf numFmtId="0" fontId="24485" fillId="24495" borderId="24442" xfId="0" applyFont="1" applyFill="1" applyBorder="1"/>
    <xf numFmtId="14" fontId="24486" fillId="24496" borderId="24443" xfId="0" applyNumberFormat="1" applyFont="1" applyFill="1" applyBorder="1"/>
    <xf numFmtId="0" fontId="24487" fillId="24497" borderId="24444" xfId="0" applyFont="1" applyFill="1" applyBorder="1"/>
    <xf numFmtId="0" fontId="24488" fillId="24498" borderId="24445" xfId="0" applyFont="1" applyFill="1" applyBorder="1"/>
    <xf numFmtId="0" fontId="24489" fillId="24499" borderId="24446" xfId="0" applyFont="1" applyFill="1" applyBorder="1"/>
    <xf numFmtId="4" fontId="24490" fillId="24500" borderId="24447" xfId="0" applyNumberFormat="1" applyFont="1" applyFill="1" applyBorder="1"/>
    <xf numFmtId="165" fontId="24491" fillId="24501" borderId="24448" xfId="0" applyNumberFormat="1" applyFont="1" applyFill="1" applyBorder="1"/>
    <xf numFmtId="165" fontId="24492" fillId="24502" borderId="24449" xfId="0" applyNumberFormat="1" applyFont="1" applyFill="1" applyBorder="1"/>
    <xf numFmtId="0" fontId="24493" fillId="24503" borderId="24450" xfId="0" applyFont="1" applyFill="1" applyBorder="1"/>
    <xf numFmtId="0" fontId="24494" fillId="24504" borderId="24451" xfId="0" applyFont="1" applyFill="1" applyBorder="1"/>
    <xf numFmtId="0" fontId="24495" fillId="24505" borderId="24452" xfId="0" applyFont="1" applyFill="1" applyBorder="1"/>
    <xf numFmtId="0" fontId="24496" fillId="24506" borderId="24453" xfId="0" applyFont="1" applyFill="1" applyBorder="1"/>
    <xf numFmtId="14" fontId="24497" fillId="24507" borderId="24454" xfId="0" applyNumberFormat="1" applyFont="1" applyFill="1" applyBorder="1"/>
    <xf numFmtId="0" fontId="24498" fillId="24508" borderId="24455" xfId="0" applyFont="1" applyFill="1" applyBorder="1"/>
    <xf numFmtId="0" fontId="24499" fillId="24509" borderId="24456" xfId="0" applyFont="1" applyFill="1" applyBorder="1"/>
    <xf numFmtId="0" fontId="24500" fillId="24510" borderId="24457" xfId="0" applyFont="1" applyFill="1" applyBorder="1"/>
    <xf numFmtId="4" fontId="24501" fillId="24511" borderId="24458" xfId="0" applyNumberFormat="1" applyFont="1" applyFill="1" applyBorder="1"/>
    <xf numFmtId="165" fontId="24502" fillId="24512" borderId="24459" xfId="0" applyNumberFormat="1" applyFont="1" applyFill="1" applyBorder="1"/>
    <xf numFmtId="165" fontId="24503" fillId="24513" borderId="24460" xfId="0" applyNumberFormat="1" applyFont="1" applyFill="1" applyBorder="1"/>
    <xf numFmtId="0" fontId="24504" fillId="24514" borderId="24461" xfId="0" applyFont="1" applyFill="1" applyBorder="1"/>
    <xf numFmtId="0" fontId="24505" fillId="24515" borderId="24462" xfId="0" applyFont="1" applyFill="1" applyBorder="1"/>
    <xf numFmtId="0" fontId="24506" fillId="24516" borderId="24463" xfId="0" applyFont="1" applyFill="1" applyBorder="1"/>
    <xf numFmtId="0" fontId="24507" fillId="24517" borderId="24464" xfId="0" applyFont="1" applyFill="1" applyBorder="1"/>
    <xf numFmtId="14" fontId="24508" fillId="24518" borderId="24465" xfId="0" applyNumberFormat="1" applyFont="1" applyFill="1" applyBorder="1"/>
    <xf numFmtId="0" fontId="24509" fillId="24519" borderId="24466" xfId="0" applyFont="1" applyFill="1" applyBorder="1"/>
    <xf numFmtId="0" fontId="24510" fillId="24520" borderId="24467" xfId="0" applyFont="1" applyFill="1" applyBorder="1"/>
    <xf numFmtId="0" fontId="24511" fillId="24521" borderId="24468" xfId="0" applyFont="1" applyFill="1" applyBorder="1"/>
    <xf numFmtId="4" fontId="24512" fillId="24522" borderId="24469" xfId="0" applyNumberFormat="1" applyFont="1" applyFill="1" applyBorder="1"/>
    <xf numFmtId="165" fontId="24513" fillId="24523" borderId="24470" xfId="0" applyNumberFormat="1" applyFont="1" applyFill="1" applyBorder="1"/>
    <xf numFmtId="165" fontId="24514" fillId="24524" borderId="24471" xfId="0" applyNumberFormat="1" applyFont="1" applyFill="1" applyBorder="1"/>
    <xf numFmtId="0" fontId="24515" fillId="24525" borderId="24472" xfId="0" applyFont="1" applyFill="1" applyBorder="1"/>
    <xf numFmtId="0" fontId="24516" fillId="24526" borderId="24473" xfId="0" applyFont="1" applyFill="1" applyBorder="1"/>
    <xf numFmtId="0" fontId="24517" fillId="24527" borderId="24474" xfId="0" applyFont="1" applyFill="1" applyBorder="1"/>
    <xf numFmtId="0" fontId="24518" fillId="24528" borderId="24475" xfId="0" applyFont="1" applyFill="1" applyBorder="1"/>
    <xf numFmtId="14" fontId="24519" fillId="24529" borderId="24476" xfId="0" applyNumberFormat="1" applyFont="1" applyFill="1" applyBorder="1"/>
    <xf numFmtId="0" fontId="24520" fillId="24530" borderId="24477" xfId="0" applyFont="1" applyFill="1" applyBorder="1"/>
    <xf numFmtId="0" fontId="24521" fillId="24531" borderId="24478" xfId="0" applyFont="1" applyFill="1" applyBorder="1"/>
    <xf numFmtId="0" fontId="24522" fillId="24532" borderId="24479" xfId="0" applyFont="1" applyFill="1" applyBorder="1"/>
    <xf numFmtId="4" fontId="24523" fillId="24533" borderId="24480" xfId="0" applyNumberFormat="1" applyFont="1" applyFill="1" applyBorder="1"/>
    <xf numFmtId="165" fontId="24524" fillId="24534" borderId="24481" xfId="0" applyNumberFormat="1" applyFont="1" applyFill="1" applyBorder="1"/>
    <xf numFmtId="165" fontId="24525" fillId="24535" borderId="24482" xfId="0" applyNumberFormat="1" applyFont="1" applyFill="1" applyBorder="1"/>
    <xf numFmtId="0" fontId="24526" fillId="24536" borderId="24483" xfId="0" applyFont="1" applyFill="1" applyBorder="1"/>
    <xf numFmtId="0" fontId="24527" fillId="24537" borderId="24484" xfId="0" applyFont="1" applyFill="1" applyBorder="1"/>
    <xf numFmtId="0" fontId="24528" fillId="24538" borderId="24485" xfId="0" applyFont="1" applyFill="1" applyBorder="1"/>
    <xf numFmtId="0" fontId="24529" fillId="24539" borderId="24486" xfId="0" applyFont="1" applyFill="1" applyBorder="1"/>
    <xf numFmtId="14" fontId="24530" fillId="24540" borderId="24487" xfId="0" applyNumberFormat="1" applyFont="1" applyFill="1" applyBorder="1"/>
    <xf numFmtId="0" fontId="24531" fillId="24541" borderId="24488" xfId="0" applyFont="1" applyFill="1" applyBorder="1"/>
    <xf numFmtId="0" fontId="24532" fillId="24542" borderId="24489" xfId="0" applyFont="1" applyFill="1" applyBorder="1"/>
    <xf numFmtId="0" fontId="24533" fillId="24543" borderId="24490" xfId="0" applyFont="1" applyFill="1" applyBorder="1"/>
    <xf numFmtId="4" fontId="24534" fillId="24544" borderId="24491" xfId="0" applyNumberFormat="1" applyFont="1" applyFill="1" applyBorder="1"/>
    <xf numFmtId="165" fontId="24535" fillId="24545" borderId="24492" xfId="0" applyNumberFormat="1" applyFont="1" applyFill="1" applyBorder="1"/>
    <xf numFmtId="165" fontId="24536" fillId="24546" borderId="24493" xfId="0" applyNumberFormat="1" applyFont="1" applyFill="1" applyBorder="1"/>
    <xf numFmtId="0" fontId="24537" fillId="24547" borderId="24494" xfId="0" applyFont="1" applyFill="1" applyBorder="1"/>
    <xf numFmtId="0" fontId="24538" fillId="24548" borderId="24495" xfId="0" applyFont="1" applyFill="1" applyBorder="1"/>
    <xf numFmtId="0" fontId="24539" fillId="24549" borderId="24496" xfId="0" applyFont="1" applyFill="1" applyBorder="1"/>
    <xf numFmtId="0" fontId="24540" fillId="24550" borderId="24497" xfId="0" applyFont="1" applyFill="1" applyBorder="1"/>
    <xf numFmtId="14" fontId="24541" fillId="24551" borderId="24498" xfId="0" applyNumberFormat="1" applyFont="1" applyFill="1" applyBorder="1"/>
    <xf numFmtId="0" fontId="24542" fillId="24552" borderId="24499" xfId="0" applyFont="1" applyFill="1" applyBorder="1"/>
    <xf numFmtId="0" fontId="24543" fillId="24553" borderId="24500" xfId="0" applyFont="1" applyFill="1" applyBorder="1"/>
    <xf numFmtId="0" fontId="24544" fillId="24554" borderId="24501" xfId="0" applyFont="1" applyFill="1" applyBorder="1"/>
    <xf numFmtId="4" fontId="24545" fillId="24555" borderId="24502" xfId="0" applyNumberFormat="1" applyFont="1" applyFill="1" applyBorder="1"/>
    <xf numFmtId="165" fontId="24546" fillId="24556" borderId="24503" xfId="0" applyNumberFormat="1" applyFont="1" applyFill="1" applyBorder="1"/>
    <xf numFmtId="165" fontId="24547" fillId="24557" borderId="24504" xfId="0" applyNumberFormat="1" applyFont="1" applyFill="1" applyBorder="1"/>
    <xf numFmtId="0" fontId="24548" fillId="24558" borderId="24505" xfId="0" applyFont="1" applyFill="1" applyBorder="1"/>
    <xf numFmtId="0" fontId="24549" fillId="24559" borderId="24506" xfId="0" applyFont="1" applyFill="1" applyBorder="1"/>
    <xf numFmtId="0" fontId="24550" fillId="24560" borderId="24507" xfId="0" applyFont="1" applyFill="1" applyBorder="1"/>
    <xf numFmtId="0" fontId="24551" fillId="24561" borderId="24508" xfId="0" applyFont="1" applyFill="1" applyBorder="1"/>
    <xf numFmtId="14" fontId="24552" fillId="24562" borderId="24509" xfId="0" applyNumberFormat="1" applyFont="1" applyFill="1" applyBorder="1"/>
    <xf numFmtId="0" fontId="24553" fillId="24563" borderId="24510" xfId="0" applyFont="1" applyFill="1" applyBorder="1"/>
    <xf numFmtId="0" fontId="24554" fillId="24564" borderId="24511" xfId="0" applyFont="1" applyFill="1" applyBorder="1"/>
    <xf numFmtId="0" fontId="24555" fillId="24565" borderId="24512" xfId="0" applyFont="1" applyFill="1" applyBorder="1"/>
    <xf numFmtId="4" fontId="24556" fillId="24566" borderId="24513" xfId="0" applyNumberFormat="1" applyFont="1" applyFill="1" applyBorder="1"/>
    <xf numFmtId="165" fontId="24557" fillId="24567" borderId="24514" xfId="0" applyNumberFormat="1" applyFont="1" applyFill="1" applyBorder="1"/>
    <xf numFmtId="165" fontId="24558" fillId="24568" borderId="24515" xfId="0" applyNumberFormat="1" applyFont="1" applyFill="1" applyBorder="1"/>
    <xf numFmtId="0" fontId="24559" fillId="24569" borderId="24516" xfId="0" applyFont="1" applyFill="1" applyBorder="1"/>
    <xf numFmtId="0" fontId="24560" fillId="24570" borderId="24517" xfId="0" applyFont="1" applyFill="1" applyBorder="1"/>
    <xf numFmtId="0" fontId="24561" fillId="24571" borderId="24518" xfId="0" applyFont="1" applyFill="1" applyBorder="1"/>
    <xf numFmtId="0" fontId="24562" fillId="24572" borderId="24519" xfId="0" applyFont="1" applyFill="1" applyBorder="1"/>
    <xf numFmtId="14" fontId="24563" fillId="24573" borderId="24520" xfId="0" applyNumberFormat="1" applyFont="1" applyFill="1" applyBorder="1"/>
    <xf numFmtId="0" fontId="24564" fillId="24574" borderId="24521" xfId="0" applyFont="1" applyFill="1" applyBorder="1"/>
    <xf numFmtId="0" fontId="24565" fillId="24575" borderId="24522" xfId="0" applyFont="1" applyFill="1" applyBorder="1"/>
    <xf numFmtId="0" fontId="24566" fillId="24576" borderId="24523" xfId="0" applyFont="1" applyFill="1" applyBorder="1"/>
    <xf numFmtId="4" fontId="24567" fillId="24577" borderId="24524" xfId="0" applyNumberFormat="1" applyFont="1" applyFill="1" applyBorder="1"/>
    <xf numFmtId="165" fontId="24568" fillId="24578" borderId="24525" xfId="0" applyNumberFormat="1" applyFont="1" applyFill="1" applyBorder="1"/>
    <xf numFmtId="165" fontId="24569" fillId="24579" borderId="24526" xfId="0" applyNumberFormat="1" applyFont="1" applyFill="1" applyBorder="1"/>
    <xf numFmtId="0" fontId="24570" fillId="24580" borderId="24527" xfId="0" applyFont="1" applyFill="1" applyBorder="1"/>
    <xf numFmtId="0" fontId="24571" fillId="24581" borderId="24528" xfId="0" applyFont="1" applyFill="1" applyBorder="1"/>
    <xf numFmtId="0" fontId="24572" fillId="24582" borderId="24529" xfId="0" applyFont="1" applyFill="1" applyBorder="1"/>
    <xf numFmtId="0" fontId="24573" fillId="24583" borderId="24530" xfId="0" applyFont="1" applyFill="1" applyBorder="1"/>
    <xf numFmtId="14" fontId="24574" fillId="24584" borderId="24531" xfId="0" applyNumberFormat="1" applyFont="1" applyFill="1" applyBorder="1"/>
    <xf numFmtId="0" fontId="24575" fillId="24585" borderId="24532" xfId="0" applyFont="1" applyFill="1" applyBorder="1"/>
    <xf numFmtId="0" fontId="24576" fillId="24586" borderId="24533" xfId="0" applyFont="1" applyFill="1" applyBorder="1"/>
    <xf numFmtId="0" fontId="24577" fillId="24587" borderId="24534" xfId="0" applyFont="1" applyFill="1" applyBorder="1"/>
    <xf numFmtId="4" fontId="24578" fillId="24588" borderId="24535" xfId="0" applyNumberFormat="1" applyFont="1" applyFill="1" applyBorder="1"/>
    <xf numFmtId="165" fontId="24579" fillId="24589" borderId="24536" xfId="0" applyNumberFormat="1" applyFont="1" applyFill="1" applyBorder="1"/>
    <xf numFmtId="165" fontId="24580" fillId="24590" borderId="24537" xfId="0" applyNumberFormat="1" applyFont="1" applyFill="1" applyBorder="1"/>
    <xf numFmtId="0" fontId="24581" fillId="24591" borderId="24538" xfId="0" applyFont="1" applyFill="1" applyBorder="1"/>
    <xf numFmtId="0" fontId="24582" fillId="24592" borderId="24539" xfId="0" applyFont="1" applyFill="1" applyBorder="1"/>
    <xf numFmtId="0" fontId="24583" fillId="24593" borderId="24540" xfId="0" applyFont="1" applyFill="1" applyBorder="1"/>
    <xf numFmtId="0" fontId="24584" fillId="24594" borderId="24541" xfId="0" applyFont="1" applyFill="1" applyBorder="1"/>
    <xf numFmtId="14" fontId="24585" fillId="24595" borderId="24542" xfId="0" applyNumberFormat="1" applyFont="1" applyFill="1" applyBorder="1"/>
    <xf numFmtId="0" fontId="24586" fillId="24596" borderId="24543" xfId="0" applyFont="1" applyFill="1" applyBorder="1"/>
    <xf numFmtId="0" fontId="24587" fillId="24597" borderId="24544" xfId="0" applyFont="1" applyFill="1" applyBorder="1"/>
    <xf numFmtId="0" fontId="24588" fillId="24598" borderId="24545" xfId="0" applyFont="1" applyFill="1" applyBorder="1"/>
    <xf numFmtId="4" fontId="24589" fillId="24599" borderId="24546" xfId="0" applyNumberFormat="1" applyFont="1" applyFill="1" applyBorder="1"/>
    <xf numFmtId="165" fontId="24590" fillId="24600" borderId="24547" xfId="0" applyNumberFormat="1" applyFont="1" applyFill="1" applyBorder="1"/>
    <xf numFmtId="165" fontId="24591" fillId="24601" borderId="24548" xfId="0" applyNumberFormat="1" applyFont="1" applyFill="1" applyBorder="1"/>
    <xf numFmtId="0" fontId="24592" fillId="24602" borderId="24549" xfId="0" applyFont="1" applyFill="1" applyBorder="1"/>
    <xf numFmtId="0" fontId="24593" fillId="24603" borderId="24550" xfId="0" applyFont="1" applyFill="1" applyBorder="1"/>
    <xf numFmtId="0" fontId="24594" fillId="24604" borderId="24551" xfId="0" applyFont="1" applyFill="1" applyBorder="1"/>
    <xf numFmtId="0" fontId="24595" fillId="24605" borderId="24552" xfId="0" applyFont="1" applyFill="1" applyBorder="1"/>
    <xf numFmtId="14" fontId="24596" fillId="24606" borderId="24553" xfId="0" applyNumberFormat="1" applyFont="1" applyFill="1" applyBorder="1"/>
    <xf numFmtId="0" fontId="24597" fillId="24607" borderId="24554" xfId="0" applyFont="1" applyFill="1" applyBorder="1"/>
    <xf numFmtId="0" fontId="24598" fillId="24608" borderId="24555" xfId="0" applyFont="1" applyFill="1" applyBorder="1"/>
    <xf numFmtId="0" fontId="24599" fillId="24609" borderId="24556" xfId="0" applyFont="1" applyFill="1" applyBorder="1"/>
    <xf numFmtId="4" fontId="24600" fillId="24610" borderId="24557" xfId="0" applyNumberFormat="1" applyFont="1" applyFill="1" applyBorder="1"/>
    <xf numFmtId="165" fontId="24601" fillId="24611" borderId="24558" xfId="0" applyNumberFormat="1" applyFont="1" applyFill="1" applyBorder="1"/>
    <xf numFmtId="165" fontId="24602" fillId="24612" borderId="24559" xfId="0" applyNumberFormat="1" applyFont="1" applyFill="1" applyBorder="1"/>
    <xf numFmtId="0" fontId="24603" fillId="24613" borderId="24560" xfId="0" applyFont="1" applyFill="1" applyBorder="1"/>
    <xf numFmtId="0" fontId="24604" fillId="24614" borderId="24561" xfId="0" applyFont="1" applyFill="1" applyBorder="1"/>
    <xf numFmtId="0" fontId="24605" fillId="24615" borderId="24562" xfId="0" applyFont="1" applyFill="1" applyBorder="1"/>
    <xf numFmtId="0" fontId="24606" fillId="24616" borderId="24563" xfId="0" applyFont="1" applyFill="1" applyBorder="1"/>
    <xf numFmtId="14" fontId="24607" fillId="24617" borderId="24564" xfId="0" applyNumberFormat="1" applyFont="1" applyFill="1" applyBorder="1"/>
    <xf numFmtId="0" fontId="24608" fillId="24618" borderId="24565" xfId="0" applyFont="1" applyFill="1" applyBorder="1"/>
    <xf numFmtId="0" fontId="24609" fillId="24619" borderId="24566" xfId="0" applyFont="1" applyFill="1" applyBorder="1"/>
    <xf numFmtId="0" fontId="24610" fillId="24620" borderId="24567" xfId="0" applyFont="1" applyFill="1" applyBorder="1"/>
    <xf numFmtId="4" fontId="24611" fillId="24621" borderId="24568" xfId="0" applyNumberFormat="1" applyFont="1" applyFill="1" applyBorder="1"/>
    <xf numFmtId="165" fontId="24612" fillId="24622" borderId="24569" xfId="0" applyNumberFormat="1" applyFont="1" applyFill="1" applyBorder="1"/>
    <xf numFmtId="165" fontId="24613" fillId="24623" borderId="24570" xfId="0" applyNumberFormat="1" applyFont="1" applyFill="1" applyBorder="1"/>
    <xf numFmtId="0" fontId="24614" fillId="24624" borderId="24571" xfId="0" applyFont="1" applyFill="1" applyBorder="1"/>
    <xf numFmtId="0" fontId="24615" fillId="24625" borderId="24572" xfId="0" applyFont="1" applyFill="1" applyBorder="1"/>
    <xf numFmtId="0" fontId="24616" fillId="24626" borderId="24573" xfId="0" applyFont="1" applyFill="1" applyBorder="1"/>
    <xf numFmtId="0" fontId="24617" fillId="24627" borderId="24574" xfId="0" applyFont="1" applyFill="1" applyBorder="1"/>
    <xf numFmtId="14" fontId="24618" fillId="24628" borderId="24575" xfId="0" applyNumberFormat="1" applyFont="1" applyFill="1" applyBorder="1"/>
    <xf numFmtId="0" fontId="24619" fillId="24629" borderId="24576" xfId="0" applyFont="1" applyFill="1" applyBorder="1"/>
    <xf numFmtId="0" fontId="24620" fillId="24630" borderId="24577" xfId="0" applyFont="1" applyFill="1" applyBorder="1"/>
    <xf numFmtId="0" fontId="24621" fillId="24631" borderId="24578" xfId="0" applyFont="1" applyFill="1" applyBorder="1"/>
    <xf numFmtId="4" fontId="24622" fillId="24632" borderId="24579" xfId="0" applyNumberFormat="1" applyFont="1" applyFill="1" applyBorder="1"/>
    <xf numFmtId="165" fontId="24623" fillId="24633" borderId="24580" xfId="0" applyNumberFormat="1" applyFont="1" applyFill="1" applyBorder="1"/>
    <xf numFmtId="165" fontId="24624" fillId="24634" borderId="24581" xfId="0" applyNumberFormat="1" applyFont="1" applyFill="1" applyBorder="1"/>
    <xf numFmtId="0" fontId="24625" fillId="24635" borderId="24582" xfId="0" applyFont="1" applyFill="1" applyBorder="1"/>
    <xf numFmtId="0" fontId="24626" fillId="24636" borderId="24583" xfId="0" applyFont="1" applyFill="1" applyBorder="1"/>
    <xf numFmtId="0" fontId="24627" fillId="24637" borderId="24584" xfId="0" applyFont="1" applyFill="1" applyBorder="1"/>
    <xf numFmtId="0" fontId="24628" fillId="24638" borderId="24585" xfId="0" applyFont="1" applyFill="1" applyBorder="1"/>
    <xf numFmtId="14" fontId="24629" fillId="24639" borderId="24586" xfId="0" applyNumberFormat="1" applyFont="1" applyFill="1" applyBorder="1"/>
    <xf numFmtId="0" fontId="24630" fillId="24640" borderId="24587" xfId="0" applyFont="1" applyFill="1" applyBorder="1"/>
    <xf numFmtId="0" fontId="24631" fillId="24641" borderId="24588" xfId="0" applyFont="1" applyFill="1" applyBorder="1"/>
    <xf numFmtId="0" fontId="24632" fillId="24642" borderId="24589" xfId="0" applyFont="1" applyFill="1" applyBorder="1"/>
    <xf numFmtId="4" fontId="24633" fillId="24643" borderId="24590" xfId="0" applyNumberFormat="1" applyFont="1" applyFill="1" applyBorder="1"/>
    <xf numFmtId="165" fontId="24634" fillId="24644" borderId="24591" xfId="0" applyNumberFormat="1" applyFont="1" applyFill="1" applyBorder="1"/>
    <xf numFmtId="165" fontId="24635" fillId="24645" borderId="24592" xfId="0" applyNumberFormat="1" applyFont="1" applyFill="1" applyBorder="1"/>
    <xf numFmtId="0" fontId="24636" fillId="24646" borderId="24593" xfId="0" applyFont="1" applyFill="1" applyBorder="1"/>
    <xf numFmtId="0" fontId="24637" fillId="24647" borderId="24594" xfId="0" applyFont="1" applyFill="1" applyBorder="1"/>
    <xf numFmtId="0" fontId="24638" fillId="24648" borderId="24595" xfId="0" applyFont="1" applyFill="1" applyBorder="1"/>
    <xf numFmtId="0" fontId="24639" fillId="24649" borderId="24596" xfId="0" applyFont="1" applyFill="1" applyBorder="1"/>
    <xf numFmtId="14" fontId="24640" fillId="24650" borderId="24597" xfId="0" applyNumberFormat="1" applyFont="1" applyFill="1" applyBorder="1"/>
    <xf numFmtId="0" fontId="24641" fillId="24651" borderId="24598" xfId="0" applyFont="1" applyFill="1" applyBorder="1"/>
    <xf numFmtId="0" fontId="24642" fillId="24652" borderId="24599" xfId="0" applyFont="1" applyFill="1" applyBorder="1"/>
    <xf numFmtId="0" fontId="24643" fillId="24653" borderId="24600" xfId="0" applyFont="1" applyFill="1" applyBorder="1"/>
    <xf numFmtId="4" fontId="24644" fillId="24654" borderId="24601" xfId="0" applyNumberFormat="1" applyFont="1" applyFill="1" applyBorder="1"/>
    <xf numFmtId="165" fontId="24645" fillId="24655" borderId="24602" xfId="0" applyNumberFormat="1" applyFont="1" applyFill="1" applyBorder="1"/>
    <xf numFmtId="165" fontId="24646" fillId="24656" borderId="24603" xfId="0" applyNumberFormat="1" applyFont="1" applyFill="1" applyBorder="1"/>
    <xf numFmtId="0" fontId="24647" fillId="24657" borderId="24604" xfId="0" applyFont="1" applyFill="1" applyBorder="1"/>
    <xf numFmtId="0" fontId="24648" fillId="24658" borderId="24605" xfId="0" applyFont="1" applyFill="1" applyBorder="1"/>
    <xf numFmtId="0" fontId="24649" fillId="24659" borderId="24606" xfId="0" applyFont="1" applyFill="1" applyBorder="1"/>
    <xf numFmtId="0" fontId="24650" fillId="24660" borderId="24607" xfId="0" applyFont="1" applyFill="1" applyBorder="1"/>
    <xf numFmtId="14" fontId="24651" fillId="24661" borderId="24608" xfId="0" applyNumberFormat="1" applyFont="1" applyFill="1" applyBorder="1"/>
    <xf numFmtId="0" fontId="24652" fillId="24662" borderId="24609" xfId="0" applyFont="1" applyFill="1" applyBorder="1"/>
    <xf numFmtId="0" fontId="24653" fillId="24663" borderId="24610" xfId="0" applyFont="1" applyFill="1" applyBorder="1"/>
    <xf numFmtId="0" fontId="24654" fillId="24664" borderId="24611" xfId="0" applyFont="1" applyFill="1" applyBorder="1"/>
    <xf numFmtId="4" fontId="24655" fillId="24665" borderId="24612" xfId="0" applyNumberFormat="1" applyFont="1" applyFill="1" applyBorder="1"/>
    <xf numFmtId="165" fontId="24656" fillId="24666" borderId="24613" xfId="0" applyNumberFormat="1" applyFont="1" applyFill="1" applyBorder="1"/>
    <xf numFmtId="165" fontId="24657" fillId="24667" borderId="24614" xfId="0" applyNumberFormat="1" applyFont="1" applyFill="1" applyBorder="1"/>
    <xf numFmtId="0" fontId="24658" fillId="24668" borderId="24615" xfId="0" applyFont="1" applyFill="1" applyBorder="1"/>
    <xf numFmtId="0" fontId="24659" fillId="24669" borderId="24616" xfId="0" applyFont="1" applyFill="1" applyBorder="1"/>
    <xf numFmtId="0" fontId="24660" fillId="24670" borderId="24617" xfId="0" applyFont="1" applyFill="1" applyBorder="1"/>
    <xf numFmtId="0" fontId="24661" fillId="24671" borderId="24618" xfId="0" applyFont="1" applyFill="1" applyBorder="1"/>
    <xf numFmtId="14" fontId="24662" fillId="24672" borderId="24619" xfId="0" applyNumberFormat="1" applyFont="1" applyFill="1" applyBorder="1"/>
    <xf numFmtId="0" fontId="24663" fillId="24673" borderId="24620" xfId="0" applyFont="1" applyFill="1" applyBorder="1"/>
    <xf numFmtId="0" fontId="24664" fillId="24674" borderId="24621" xfId="0" applyFont="1" applyFill="1" applyBorder="1"/>
    <xf numFmtId="0" fontId="24665" fillId="24675" borderId="24622" xfId="0" applyFont="1" applyFill="1" applyBorder="1"/>
    <xf numFmtId="4" fontId="24666" fillId="24676" borderId="24623" xfId="0" applyNumberFormat="1" applyFont="1" applyFill="1" applyBorder="1"/>
    <xf numFmtId="165" fontId="24667" fillId="24677" borderId="24624" xfId="0" applyNumberFormat="1" applyFont="1" applyFill="1" applyBorder="1"/>
    <xf numFmtId="165" fontId="24668" fillId="24678" borderId="24625" xfId="0" applyNumberFormat="1" applyFont="1" applyFill="1" applyBorder="1"/>
    <xf numFmtId="0" fontId="24669" fillId="24679" borderId="24626" xfId="0" applyFont="1" applyFill="1" applyBorder="1"/>
    <xf numFmtId="0" fontId="24670" fillId="24680" borderId="24627" xfId="0" applyFont="1" applyFill="1" applyBorder="1"/>
    <xf numFmtId="0" fontId="24671" fillId="24681" borderId="24628" xfId="0" applyFont="1" applyFill="1" applyBorder="1"/>
    <xf numFmtId="0" fontId="24672" fillId="24682" borderId="24629" xfId="0" applyFont="1" applyFill="1" applyBorder="1"/>
    <xf numFmtId="14" fontId="24673" fillId="24683" borderId="24630" xfId="0" applyNumberFormat="1" applyFont="1" applyFill="1" applyBorder="1"/>
    <xf numFmtId="0" fontId="24674" fillId="24684" borderId="24631" xfId="0" applyFont="1" applyFill="1" applyBorder="1"/>
    <xf numFmtId="0" fontId="24675" fillId="24685" borderId="24632" xfId="0" applyFont="1" applyFill="1" applyBorder="1"/>
    <xf numFmtId="0" fontId="24676" fillId="24686" borderId="24633" xfId="0" applyFont="1" applyFill="1" applyBorder="1"/>
    <xf numFmtId="4" fontId="24677" fillId="24687" borderId="24634" xfId="0" applyNumberFormat="1" applyFont="1" applyFill="1" applyBorder="1"/>
    <xf numFmtId="165" fontId="24678" fillId="24688" borderId="24635" xfId="0" applyNumberFormat="1" applyFont="1" applyFill="1" applyBorder="1"/>
    <xf numFmtId="165" fontId="24679" fillId="24689" borderId="24636" xfId="0" applyNumberFormat="1" applyFont="1" applyFill="1" applyBorder="1"/>
    <xf numFmtId="0" fontId="24680" fillId="24690" borderId="24637" xfId="0" applyFont="1" applyFill="1" applyBorder="1"/>
    <xf numFmtId="0" fontId="24681" fillId="24691" borderId="24638" xfId="0" applyFont="1" applyFill="1" applyBorder="1"/>
    <xf numFmtId="0" fontId="24682" fillId="24692" borderId="24639" xfId="0" applyFont="1" applyFill="1" applyBorder="1"/>
    <xf numFmtId="0" fontId="24683" fillId="24693" borderId="24640" xfId="0" applyFont="1" applyFill="1" applyBorder="1"/>
    <xf numFmtId="14" fontId="24684" fillId="24694" borderId="24641" xfId="0" applyNumberFormat="1" applyFont="1" applyFill="1" applyBorder="1"/>
    <xf numFmtId="0" fontId="24685" fillId="24695" borderId="24642" xfId="0" applyFont="1" applyFill="1" applyBorder="1"/>
    <xf numFmtId="0" fontId="24686" fillId="24696" borderId="24643" xfId="0" applyFont="1" applyFill="1" applyBorder="1"/>
    <xf numFmtId="0" fontId="24687" fillId="24697" borderId="24644" xfId="0" applyFont="1" applyFill="1" applyBorder="1"/>
    <xf numFmtId="4" fontId="24688" fillId="24698" borderId="24645" xfId="0" applyNumberFormat="1" applyFont="1" applyFill="1" applyBorder="1"/>
    <xf numFmtId="165" fontId="24689" fillId="24699" borderId="24646" xfId="0" applyNumberFormat="1" applyFont="1" applyFill="1" applyBorder="1"/>
    <xf numFmtId="165" fontId="24690" fillId="24700" borderId="24647" xfId="0" applyNumberFormat="1" applyFont="1" applyFill="1" applyBorder="1"/>
    <xf numFmtId="0" fontId="24691" fillId="24701" borderId="24648" xfId="0" applyFont="1" applyFill="1" applyBorder="1"/>
    <xf numFmtId="0" fontId="24692" fillId="24702" borderId="24649" xfId="0" applyFont="1" applyFill="1" applyBorder="1"/>
    <xf numFmtId="0" fontId="24693" fillId="24703" borderId="24650" xfId="0" applyFont="1" applyFill="1" applyBorder="1"/>
    <xf numFmtId="0" fontId="24694" fillId="24704" borderId="24651" xfId="0" applyFont="1" applyFill="1" applyBorder="1"/>
    <xf numFmtId="14" fontId="24695" fillId="24705" borderId="24652" xfId="0" applyNumberFormat="1" applyFont="1" applyFill="1" applyBorder="1"/>
    <xf numFmtId="0" fontId="24696" fillId="24706" borderId="24653" xfId="0" applyFont="1" applyFill="1" applyBorder="1"/>
    <xf numFmtId="0" fontId="24697" fillId="24707" borderId="24654" xfId="0" applyFont="1" applyFill="1" applyBorder="1"/>
    <xf numFmtId="0" fontId="24698" fillId="24708" borderId="24655" xfId="0" applyFont="1" applyFill="1" applyBorder="1"/>
    <xf numFmtId="4" fontId="24699" fillId="24709" borderId="24656" xfId="0" applyNumberFormat="1" applyFont="1" applyFill="1" applyBorder="1"/>
    <xf numFmtId="165" fontId="24700" fillId="24710" borderId="24657" xfId="0" applyNumberFormat="1" applyFont="1" applyFill="1" applyBorder="1"/>
    <xf numFmtId="165" fontId="24701" fillId="24711" borderId="24658" xfId="0" applyNumberFormat="1" applyFont="1" applyFill="1" applyBorder="1"/>
    <xf numFmtId="0" fontId="24702" fillId="24712" borderId="24659" xfId="0" applyFont="1" applyFill="1" applyBorder="1"/>
    <xf numFmtId="0" fontId="24703" fillId="24713" borderId="24660" xfId="0" applyFont="1" applyFill="1" applyBorder="1"/>
    <xf numFmtId="0" fontId="24704" fillId="24714" borderId="24661" xfId="0" applyFont="1" applyFill="1" applyBorder="1"/>
    <xf numFmtId="0" fontId="24705" fillId="24715" borderId="24662" xfId="0" applyFont="1" applyFill="1" applyBorder="1"/>
    <xf numFmtId="14" fontId="24706" fillId="24716" borderId="24663" xfId="0" applyNumberFormat="1" applyFont="1" applyFill="1" applyBorder="1"/>
    <xf numFmtId="0" fontId="24707" fillId="24717" borderId="24664" xfId="0" applyFont="1" applyFill="1" applyBorder="1"/>
    <xf numFmtId="0" fontId="24708" fillId="24718" borderId="24665" xfId="0" applyFont="1" applyFill="1" applyBorder="1"/>
    <xf numFmtId="0" fontId="24709" fillId="24719" borderId="24666" xfId="0" applyFont="1" applyFill="1" applyBorder="1"/>
    <xf numFmtId="4" fontId="24710" fillId="24720" borderId="24667" xfId="0" applyNumberFormat="1" applyFont="1" applyFill="1" applyBorder="1"/>
    <xf numFmtId="165" fontId="24711" fillId="24721" borderId="24668" xfId="0" applyNumberFormat="1" applyFont="1" applyFill="1" applyBorder="1"/>
    <xf numFmtId="165" fontId="24712" fillId="24722" borderId="24669" xfId="0" applyNumberFormat="1" applyFont="1" applyFill="1" applyBorder="1"/>
    <xf numFmtId="0" fontId="24713" fillId="24723" borderId="24670" xfId="0" applyFont="1" applyFill="1" applyBorder="1"/>
    <xf numFmtId="0" fontId="24714" fillId="24724" borderId="24671" xfId="0" applyFont="1" applyFill="1" applyBorder="1"/>
    <xf numFmtId="0" fontId="24715" fillId="24725" borderId="24672" xfId="0" applyFont="1" applyFill="1" applyBorder="1"/>
    <xf numFmtId="0" fontId="24716" fillId="24726" borderId="24673" xfId="0" applyFont="1" applyFill="1" applyBorder="1"/>
    <xf numFmtId="14" fontId="24717" fillId="24727" borderId="24674" xfId="0" applyNumberFormat="1" applyFont="1" applyFill="1" applyBorder="1"/>
    <xf numFmtId="0" fontId="24718" fillId="24728" borderId="24675" xfId="0" applyFont="1" applyFill="1" applyBorder="1"/>
    <xf numFmtId="0" fontId="24719" fillId="24729" borderId="24676" xfId="0" applyFont="1" applyFill="1" applyBorder="1"/>
    <xf numFmtId="0" fontId="24720" fillId="24730" borderId="24677" xfId="0" applyFont="1" applyFill="1" applyBorder="1"/>
    <xf numFmtId="4" fontId="24721" fillId="24731" borderId="24678" xfId="0" applyNumberFormat="1" applyFont="1" applyFill="1" applyBorder="1"/>
    <xf numFmtId="165" fontId="24722" fillId="24732" borderId="24679" xfId="0" applyNumberFormat="1" applyFont="1" applyFill="1" applyBorder="1"/>
    <xf numFmtId="165" fontId="24723" fillId="24733" borderId="24680" xfId="0" applyNumberFormat="1" applyFont="1" applyFill="1" applyBorder="1"/>
    <xf numFmtId="0" fontId="24724" fillId="24734" borderId="24681" xfId="0" applyFont="1" applyFill="1" applyBorder="1"/>
    <xf numFmtId="0" fontId="24725" fillId="24735" borderId="24682" xfId="0" applyFont="1" applyFill="1" applyBorder="1"/>
    <xf numFmtId="0" fontId="24726" fillId="24736" borderId="24683" xfId="0" applyFont="1" applyFill="1" applyBorder="1"/>
    <xf numFmtId="0" fontId="24727" fillId="24737" borderId="24684" xfId="0" applyFont="1" applyFill="1" applyBorder="1"/>
    <xf numFmtId="14" fontId="24728" fillId="24738" borderId="24685" xfId="0" applyNumberFormat="1" applyFont="1" applyFill="1" applyBorder="1"/>
    <xf numFmtId="0" fontId="24729" fillId="24739" borderId="24686" xfId="0" applyFont="1" applyFill="1" applyBorder="1"/>
    <xf numFmtId="0" fontId="24730" fillId="24740" borderId="24687" xfId="0" applyFont="1" applyFill="1" applyBorder="1"/>
    <xf numFmtId="0" fontId="24731" fillId="24741" borderId="24688" xfId="0" applyFont="1" applyFill="1" applyBorder="1"/>
    <xf numFmtId="4" fontId="24732" fillId="24742" borderId="24689" xfId="0" applyNumberFormat="1" applyFont="1" applyFill="1" applyBorder="1"/>
    <xf numFmtId="165" fontId="24733" fillId="24743" borderId="24690" xfId="0" applyNumberFormat="1" applyFont="1" applyFill="1" applyBorder="1"/>
    <xf numFmtId="165" fontId="24734" fillId="24744" borderId="24691" xfId="0" applyNumberFormat="1" applyFont="1" applyFill="1" applyBorder="1"/>
    <xf numFmtId="0" fontId="24735" fillId="24745" borderId="24692" xfId="0" applyFont="1" applyFill="1" applyBorder="1"/>
    <xf numFmtId="0" fontId="24736" fillId="24746" borderId="24693" xfId="0" applyFont="1" applyFill="1" applyBorder="1"/>
    <xf numFmtId="0" fontId="24737" fillId="24747" borderId="24694" xfId="0" applyFont="1" applyFill="1" applyBorder="1"/>
    <xf numFmtId="0" fontId="24738" fillId="24748" borderId="24695" xfId="0" applyFont="1" applyFill="1" applyBorder="1"/>
    <xf numFmtId="14" fontId="24739" fillId="24749" borderId="24696" xfId="0" applyNumberFormat="1" applyFont="1" applyFill="1" applyBorder="1"/>
    <xf numFmtId="0" fontId="24740" fillId="24750" borderId="24697" xfId="0" applyFont="1" applyFill="1" applyBorder="1"/>
    <xf numFmtId="0" fontId="24741" fillId="24751" borderId="24698" xfId="0" applyFont="1" applyFill="1" applyBorder="1"/>
    <xf numFmtId="0" fontId="24742" fillId="24752" borderId="24699" xfId="0" applyFont="1" applyFill="1" applyBorder="1"/>
    <xf numFmtId="4" fontId="24743" fillId="24753" borderId="24700" xfId="0" applyNumberFormat="1" applyFont="1" applyFill="1" applyBorder="1"/>
    <xf numFmtId="165" fontId="24744" fillId="24754" borderId="24701" xfId="0" applyNumberFormat="1" applyFont="1" applyFill="1" applyBorder="1"/>
    <xf numFmtId="165" fontId="24745" fillId="24755" borderId="24702" xfId="0" applyNumberFormat="1" applyFont="1" applyFill="1" applyBorder="1"/>
    <xf numFmtId="0" fontId="24746" fillId="24756" borderId="24703" xfId="0" applyFont="1" applyFill="1" applyBorder="1"/>
    <xf numFmtId="0" fontId="24747" fillId="24757" borderId="24704" xfId="0" applyFont="1" applyFill="1" applyBorder="1"/>
    <xf numFmtId="0" fontId="24748" fillId="24758" borderId="24705" xfId="0" applyFont="1" applyFill="1" applyBorder="1"/>
    <xf numFmtId="0" fontId="24749" fillId="24759" borderId="24706" xfId="0" applyFont="1" applyFill="1" applyBorder="1"/>
    <xf numFmtId="14" fontId="24750" fillId="24760" borderId="24707" xfId="0" applyNumberFormat="1" applyFont="1" applyFill="1" applyBorder="1"/>
    <xf numFmtId="0" fontId="24751" fillId="24761" borderId="24708" xfId="0" applyFont="1" applyFill="1" applyBorder="1"/>
    <xf numFmtId="0" fontId="24752" fillId="24762" borderId="24709" xfId="0" applyFont="1" applyFill="1" applyBorder="1"/>
    <xf numFmtId="0" fontId="24753" fillId="24763" borderId="24710" xfId="0" applyFont="1" applyFill="1" applyBorder="1"/>
    <xf numFmtId="4" fontId="24754" fillId="24764" borderId="24711" xfId="0" applyNumberFormat="1" applyFont="1" applyFill="1" applyBorder="1"/>
    <xf numFmtId="165" fontId="24755" fillId="24765" borderId="24712" xfId="0" applyNumberFormat="1" applyFont="1" applyFill="1" applyBorder="1"/>
    <xf numFmtId="165" fontId="24756" fillId="24766" borderId="24713" xfId="0" applyNumberFormat="1" applyFont="1" applyFill="1" applyBorder="1"/>
    <xf numFmtId="0" fontId="24757" fillId="24767" borderId="24714" xfId="0" applyFont="1" applyFill="1" applyBorder="1"/>
    <xf numFmtId="0" fontId="24758" fillId="24768" borderId="24715" xfId="0" applyFont="1" applyFill="1" applyBorder="1"/>
    <xf numFmtId="0" fontId="24759" fillId="24769" borderId="24716" xfId="0" applyFont="1" applyFill="1" applyBorder="1"/>
    <xf numFmtId="0" fontId="24760" fillId="24770" borderId="24717" xfId="0" applyFont="1" applyFill="1" applyBorder="1"/>
    <xf numFmtId="14" fontId="24761" fillId="24771" borderId="24718" xfId="0" applyNumberFormat="1" applyFont="1" applyFill="1" applyBorder="1"/>
    <xf numFmtId="0" fontId="24762" fillId="24772" borderId="24719" xfId="0" applyFont="1" applyFill="1" applyBorder="1"/>
    <xf numFmtId="0" fontId="24763" fillId="24773" borderId="24720" xfId="0" applyFont="1" applyFill="1" applyBorder="1"/>
    <xf numFmtId="0" fontId="24764" fillId="24774" borderId="24721" xfId="0" applyFont="1" applyFill="1" applyBorder="1"/>
    <xf numFmtId="4" fontId="24765" fillId="24775" borderId="24722" xfId="0" applyNumberFormat="1" applyFont="1" applyFill="1" applyBorder="1"/>
    <xf numFmtId="165" fontId="24766" fillId="24776" borderId="24723" xfId="0" applyNumberFormat="1" applyFont="1" applyFill="1" applyBorder="1"/>
    <xf numFmtId="165" fontId="24767" fillId="24777" borderId="24724" xfId="0" applyNumberFormat="1" applyFont="1" applyFill="1" applyBorder="1"/>
    <xf numFmtId="0" fontId="24768" fillId="24778" borderId="24725" xfId="0" applyFont="1" applyFill="1" applyBorder="1"/>
    <xf numFmtId="0" fontId="24769" fillId="24779" borderId="24726" xfId="0" applyFont="1" applyFill="1" applyBorder="1"/>
    <xf numFmtId="0" fontId="24770" fillId="24780" borderId="24727" xfId="0" applyFont="1" applyFill="1" applyBorder="1"/>
    <xf numFmtId="0" fontId="24771" fillId="24781" borderId="24728" xfId="0" applyFont="1" applyFill="1" applyBorder="1"/>
    <xf numFmtId="14" fontId="24772" fillId="24782" borderId="24729" xfId="0" applyNumberFormat="1" applyFont="1" applyFill="1" applyBorder="1"/>
    <xf numFmtId="0" fontId="24773" fillId="24783" borderId="24730" xfId="0" applyFont="1" applyFill="1" applyBorder="1"/>
    <xf numFmtId="0" fontId="24774" fillId="24784" borderId="24731" xfId="0" applyFont="1" applyFill="1" applyBorder="1"/>
    <xf numFmtId="0" fontId="24775" fillId="24785" borderId="24732" xfId="0" applyFont="1" applyFill="1" applyBorder="1"/>
    <xf numFmtId="4" fontId="24776" fillId="24786" borderId="24733" xfId="0" applyNumberFormat="1" applyFont="1" applyFill="1" applyBorder="1"/>
    <xf numFmtId="165" fontId="24777" fillId="24787" borderId="24734" xfId="0" applyNumberFormat="1" applyFont="1" applyFill="1" applyBorder="1"/>
    <xf numFmtId="165" fontId="24778" fillId="24788" borderId="24735" xfId="0" applyNumberFormat="1" applyFont="1" applyFill="1" applyBorder="1"/>
    <xf numFmtId="0" fontId="24779" fillId="24789" borderId="24736" xfId="0" applyFont="1" applyFill="1" applyBorder="1"/>
    <xf numFmtId="0" fontId="24780" fillId="24790" borderId="24737" xfId="0" applyFont="1" applyFill="1" applyBorder="1"/>
    <xf numFmtId="0" fontId="24781" fillId="24791" borderId="24738" xfId="0" applyFont="1" applyFill="1" applyBorder="1"/>
    <xf numFmtId="0" fontId="24782" fillId="24792" borderId="24739" xfId="0" applyFont="1" applyFill="1" applyBorder="1"/>
    <xf numFmtId="14" fontId="24783" fillId="24793" borderId="24740" xfId="0" applyNumberFormat="1" applyFont="1" applyFill="1" applyBorder="1"/>
    <xf numFmtId="0" fontId="24784" fillId="24794" borderId="24741" xfId="0" applyFont="1" applyFill="1" applyBorder="1"/>
    <xf numFmtId="0" fontId="24785" fillId="24795" borderId="24742" xfId="0" applyFont="1" applyFill="1" applyBorder="1"/>
    <xf numFmtId="0" fontId="24786" fillId="24796" borderId="24743" xfId="0" applyFont="1" applyFill="1" applyBorder="1"/>
    <xf numFmtId="4" fontId="24787" fillId="24797" borderId="24744" xfId="0" applyNumberFormat="1" applyFont="1" applyFill="1" applyBorder="1"/>
    <xf numFmtId="165" fontId="24788" fillId="24798" borderId="24745" xfId="0" applyNumberFormat="1" applyFont="1" applyFill="1" applyBorder="1"/>
    <xf numFmtId="165" fontId="24789" fillId="24799" borderId="24746" xfId="0" applyNumberFormat="1" applyFont="1" applyFill="1" applyBorder="1"/>
    <xf numFmtId="0" fontId="24790" fillId="24800" borderId="24747" xfId="0" applyFont="1" applyFill="1" applyBorder="1"/>
    <xf numFmtId="0" fontId="24791" fillId="24801" borderId="24748" xfId="0" applyFont="1" applyFill="1" applyBorder="1"/>
    <xf numFmtId="0" fontId="24792" fillId="24802" borderId="24749" xfId="0" applyFont="1" applyFill="1" applyBorder="1"/>
    <xf numFmtId="0" fontId="24793" fillId="24803" borderId="24750" xfId="0" applyFont="1" applyFill="1" applyBorder="1"/>
    <xf numFmtId="14" fontId="24794" fillId="24804" borderId="24751" xfId="0" applyNumberFormat="1" applyFont="1" applyFill="1" applyBorder="1"/>
    <xf numFmtId="0" fontId="24795" fillId="24805" borderId="24752" xfId="0" applyFont="1" applyFill="1" applyBorder="1"/>
    <xf numFmtId="0" fontId="24796" fillId="24806" borderId="24753" xfId="0" applyFont="1" applyFill="1" applyBorder="1"/>
    <xf numFmtId="0" fontId="24797" fillId="24807" borderId="24754" xfId="0" applyFont="1" applyFill="1" applyBorder="1"/>
    <xf numFmtId="4" fontId="24798" fillId="24808" borderId="24755" xfId="0" applyNumberFormat="1" applyFont="1" applyFill="1" applyBorder="1"/>
    <xf numFmtId="165" fontId="24799" fillId="24809" borderId="24756" xfId="0" applyNumberFormat="1" applyFont="1" applyFill="1" applyBorder="1"/>
    <xf numFmtId="165" fontId="24800" fillId="24810" borderId="24757" xfId="0" applyNumberFormat="1" applyFont="1" applyFill="1" applyBorder="1"/>
    <xf numFmtId="0" fontId="24801" fillId="24811" borderId="24758" xfId="0" applyFont="1" applyFill="1" applyBorder="1"/>
    <xf numFmtId="0" fontId="24802" fillId="24812" borderId="24759" xfId="0" applyFont="1" applyFill="1" applyBorder="1"/>
    <xf numFmtId="0" fontId="24803" fillId="24813" borderId="24760" xfId="0" applyFont="1" applyFill="1" applyBorder="1"/>
    <xf numFmtId="0" fontId="24804" fillId="24814" borderId="24761" xfId="0" applyFont="1" applyFill="1" applyBorder="1"/>
    <xf numFmtId="14" fontId="24805" fillId="24815" borderId="24762" xfId="0" applyNumberFormat="1" applyFont="1" applyFill="1" applyBorder="1"/>
    <xf numFmtId="0" fontId="24806" fillId="24816" borderId="24763" xfId="0" applyFont="1" applyFill="1" applyBorder="1"/>
    <xf numFmtId="0" fontId="24807" fillId="24817" borderId="24764" xfId="0" applyFont="1" applyFill="1" applyBorder="1"/>
    <xf numFmtId="0" fontId="24808" fillId="24818" borderId="24765" xfId="0" applyFont="1" applyFill="1" applyBorder="1"/>
    <xf numFmtId="4" fontId="24809" fillId="24819" borderId="24766" xfId="0" applyNumberFormat="1" applyFont="1" applyFill="1" applyBorder="1"/>
    <xf numFmtId="165" fontId="24810" fillId="24820" borderId="24767" xfId="0" applyNumberFormat="1" applyFont="1" applyFill="1" applyBorder="1"/>
    <xf numFmtId="165" fontId="24811" fillId="24821" borderId="24768" xfId="0" applyNumberFormat="1" applyFont="1" applyFill="1" applyBorder="1"/>
    <xf numFmtId="0" fontId="24812" fillId="24822" borderId="24769" xfId="0" applyFont="1" applyFill="1" applyBorder="1"/>
    <xf numFmtId="0" fontId="24813" fillId="24823" borderId="24770" xfId="0" applyFont="1" applyFill="1" applyBorder="1"/>
    <xf numFmtId="0" fontId="24814" fillId="24824" borderId="24771" xfId="0" applyFont="1" applyFill="1" applyBorder="1"/>
    <xf numFmtId="0" fontId="24815" fillId="24825" borderId="24772" xfId="0" applyFont="1" applyFill="1" applyBorder="1"/>
    <xf numFmtId="14" fontId="24816" fillId="24826" borderId="24773" xfId="0" applyNumberFormat="1" applyFont="1" applyFill="1" applyBorder="1"/>
    <xf numFmtId="0" fontId="24817" fillId="24827" borderId="24774" xfId="0" applyFont="1" applyFill="1" applyBorder="1"/>
    <xf numFmtId="0" fontId="24818" fillId="24828" borderId="24775" xfId="0" applyFont="1" applyFill="1" applyBorder="1"/>
    <xf numFmtId="0" fontId="24819" fillId="24829" borderId="24776" xfId="0" applyFont="1" applyFill="1" applyBorder="1"/>
    <xf numFmtId="4" fontId="24820" fillId="24830" borderId="24777" xfId="0" applyNumberFormat="1" applyFont="1" applyFill="1" applyBorder="1"/>
    <xf numFmtId="165" fontId="24821" fillId="24831" borderId="24778" xfId="0" applyNumberFormat="1" applyFont="1" applyFill="1" applyBorder="1"/>
    <xf numFmtId="165" fontId="24822" fillId="24832" borderId="24779" xfId="0" applyNumberFormat="1" applyFont="1" applyFill="1" applyBorder="1"/>
    <xf numFmtId="0" fontId="24823" fillId="24833" borderId="24780" xfId="0" applyFont="1" applyFill="1" applyBorder="1"/>
    <xf numFmtId="0" fontId="24824" fillId="24834" borderId="24781" xfId="0" applyFont="1" applyFill="1" applyBorder="1"/>
    <xf numFmtId="0" fontId="24825" fillId="24835" borderId="24782" xfId="0" applyFont="1" applyFill="1" applyBorder="1"/>
    <xf numFmtId="0" fontId="24826" fillId="24836" borderId="24783" xfId="0" applyFont="1" applyFill="1" applyBorder="1"/>
    <xf numFmtId="14" fontId="24827" fillId="24837" borderId="24784" xfId="0" applyNumberFormat="1" applyFont="1" applyFill="1" applyBorder="1"/>
    <xf numFmtId="0" fontId="24828" fillId="24838" borderId="24785" xfId="0" applyFont="1" applyFill="1" applyBorder="1"/>
    <xf numFmtId="0" fontId="24829" fillId="24839" borderId="24786" xfId="0" applyFont="1" applyFill="1" applyBorder="1"/>
    <xf numFmtId="0" fontId="24830" fillId="24840" borderId="24787" xfId="0" applyFont="1" applyFill="1" applyBorder="1"/>
    <xf numFmtId="4" fontId="24831" fillId="24841" borderId="24788" xfId="0" applyNumberFormat="1" applyFont="1" applyFill="1" applyBorder="1"/>
    <xf numFmtId="165" fontId="24832" fillId="24842" borderId="24789" xfId="0" applyNumberFormat="1" applyFont="1" applyFill="1" applyBorder="1"/>
    <xf numFmtId="165" fontId="24833" fillId="24843" borderId="24790" xfId="0" applyNumberFormat="1" applyFont="1" applyFill="1" applyBorder="1"/>
    <xf numFmtId="0" fontId="24834" fillId="24844" borderId="24791" xfId="0" applyFont="1" applyFill="1" applyBorder="1"/>
    <xf numFmtId="0" fontId="24835" fillId="24845" borderId="24792" xfId="0" applyFont="1" applyFill="1" applyBorder="1"/>
    <xf numFmtId="0" fontId="24836" fillId="24846" borderId="24793" xfId="0" applyFont="1" applyFill="1" applyBorder="1"/>
    <xf numFmtId="0" fontId="24837" fillId="24847" borderId="24794" xfId="0" applyFont="1" applyFill="1" applyBorder="1"/>
    <xf numFmtId="14" fontId="24838" fillId="24848" borderId="24795" xfId="0" applyNumberFormat="1" applyFont="1" applyFill="1" applyBorder="1"/>
    <xf numFmtId="0" fontId="24839" fillId="24849" borderId="24796" xfId="0" applyFont="1" applyFill="1" applyBorder="1"/>
    <xf numFmtId="0" fontId="24840" fillId="24850" borderId="24797" xfId="0" applyFont="1" applyFill="1" applyBorder="1"/>
    <xf numFmtId="0" fontId="24841" fillId="24851" borderId="24798" xfId="0" applyFont="1" applyFill="1" applyBorder="1"/>
    <xf numFmtId="4" fontId="24842" fillId="24852" borderId="24799" xfId="0" applyNumberFormat="1" applyFont="1" applyFill="1" applyBorder="1"/>
    <xf numFmtId="165" fontId="24843" fillId="24853" borderId="24800" xfId="0" applyNumberFormat="1" applyFont="1" applyFill="1" applyBorder="1"/>
    <xf numFmtId="165" fontId="24844" fillId="24854" borderId="24801" xfId="0" applyNumberFormat="1" applyFont="1" applyFill="1" applyBorder="1"/>
    <xf numFmtId="0" fontId="24845" fillId="24855" borderId="24802" xfId="0" applyFont="1" applyFill="1" applyBorder="1"/>
    <xf numFmtId="0" fontId="24846" fillId="24856" borderId="24803" xfId="0" applyFont="1" applyFill="1" applyBorder="1"/>
    <xf numFmtId="0" fontId="24847" fillId="24857" borderId="24804" xfId="0" applyFont="1" applyFill="1" applyBorder="1"/>
    <xf numFmtId="0" fontId="24848" fillId="24858" borderId="24805" xfId="0" applyFont="1" applyFill="1" applyBorder="1"/>
    <xf numFmtId="14" fontId="24849" fillId="24859" borderId="24806" xfId="0" applyNumberFormat="1" applyFont="1" applyFill="1" applyBorder="1"/>
    <xf numFmtId="0" fontId="24850" fillId="24860" borderId="24807" xfId="0" applyFont="1" applyFill="1" applyBorder="1"/>
    <xf numFmtId="0" fontId="24851" fillId="24861" borderId="24808" xfId="0" applyFont="1" applyFill="1" applyBorder="1"/>
    <xf numFmtId="0" fontId="24852" fillId="24862" borderId="24809" xfId="0" applyFont="1" applyFill="1" applyBorder="1"/>
    <xf numFmtId="4" fontId="24853" fillId="24863" borderId="24810" xfId="0" applyNumberFormat="1" applyFont="1" applyFill="1" applyBorder="1"/>
    <xf numFmtId="165" fontId="24854" fillId="24864" borderId="24811" xfId="0" applyNumberFormat="1" applyFont="1" applyFill="1" applyBorder="1"/>
    <xf numFmtId="165" fontId="24855" fillId="24865" borderId="24812" xfId="0" applyNumberFormat="1" applyFont="1" applyFill="1" applyBorder="1"/>
    <xf numFmtId="0" fontId="24856" fillId="24866" borderId="24813" xfId="0" applyFont="1" applyFill="1" applyBorder="1"/>
    <xf numFmtId="0" fontId="24857" fillId="24867" borderId="24814" xfId="0" applyFont="1" applyFill="1" applyBorder="1"/>
    <xf numFmtId="0" fontId="24858" fillId="24868" borderId="24815" xfId="0" applyFont="1" applyFill="1" applyBorder="1"/>
    <xf numFmtId="0" fontId="24859" fillId="24869" borderId="24816" xfId="0" applyFont="1" applyFill="1" applyBorder="1"/>
    <xf numFmtId="14" fontId="24860" fillId="24870" borderId="24817" xfId="0" applyNumberFormat="1" applyFont="1" applyFill="1" applyBorder="1"/>
    <xf numFmtId="0" fontId="24861" fillId="24871" borderId="24818" xfId="0" applyFont="1" applyFill="1" applyBorder="1"/>
    <xf numFmtId="0" fontId="24862" fillId="24872" borderId="24819" xfId="0" applyFont="1" applyFill="1" applyBorder="1"/>
    <xf numFmtId="0" fontId="24863" fillId="24873" borderId="24820" xfId="0" applyFont="1" applyFill="1" applyBorder="1"/>
    <xf numFmtId="4" fontId="24864" fillId="24874" borderId="24821" xfId="0" applyNumberFormat="1" applyFont="1" applyFill="1" applyBorder="1"/>
    <xf numFmtId="165" fontId="24865" fillId="24875" borderId="24822" xfId="0" applyNumberFormat="1" applyFont="1" applyFill="1" applyBorder="1"/>
    <xf numFmtId="165" fontId="24866" fillId="24876" borderId="24823" xfId="0" applyNumberFormat="1" applyFont="1" applyFill="1" applyBorder="1"/>
    <xf numFmtId="0" fontId="24867" fillId="24877" borderId="24824" xfId="0" applyFont="1" applyFill="1" applyBorder="1"/>
    <xf numFmtId="0" fontId="24868" fillId="24878" borderId="24825" xfId="0" applyFont="1" applyFill="1" applyBorder="1"/>
    <xf numFmtId="0" fontId="24869" fillId="24879" borderId="24826" xfId="0" applyFont="1" applyFill="1" applyBorder="1"/>
    <xf numFmtId="0" fontId="24870" fillId="24880" borderId="24827" xfId="0" applyFont="1" applyFill="1" applyBorder="1"/>
    <xf numFmtId="14" fontId="24871" fillId="24881" borderId="24828" xfId="0" applyNumberFormat="1" applyFont="1" applyFill="1" applyBorder="1"/>
    <xf numFmtId="0" fontId="24872" fillId="24882" borderId="24829" xfId="0" applyFont="1" applyFill="1" applyBorder="1"/>
    <xf numFmtId="0" fontId="24873" fillId="24883" borderId="24830" xfId="0" applyFont="1" applyFill="1" applyBorder="1"/>
    <xf numFmtId="0" fontId="24874" fillId="24884" borderId="24831" xfId="0" applyFont="1" applyFill="1" applyBorder="1"/>
    <xf numFmtId="4" fontId="24875" fillId="24885" borderId="24832" xfId="0" applyNumberFormat="1" applyFont="1" applyFill="1" applyBorder="1"/>
    <xf numFmtId="165" fontId="24876" fillId="24886" borderId="24833" xfId="0" applyNumberFormat="1" applyFont="1" applyFill="1" applyBorder="1"/>
    <xf numFmtId="165" fontId="24877" fillId="24887" borderId="24834" xfId="0" applyNumberFormat="1" applyFont="1" applyFill="1" applyBorder="1"/>
    <xf numFmtId="0" fontId="24878" fillId="24888" borderId="24835" xfId="0" applyFont="1" applyFill="1" applyBorder="1"/>
    <xf numFmtId="0" fontId="24879" fillId="24889" borderId="24836" xfId="0" applyFont="1" applyFill="1" applyBorder="1"/>
    <xf numFmtId="0" fontId="24880" fillId="24890" borderId="24837" xfId="0" applyFont="1" applyFill="1" applyBorder="1"/>
    <xf numFmtId="0" fontId="24881" fillId="24891" borderId="24838" xfId="0" applyFont="1" applyFill="1" applyBorder="1"/>
    <xf numFmtId="14" fontId="24882" fillId="24892" borderId="24839" xfId="0" applyNumberFormat="1" applyFont="1" applyFill="1" applyBorder="1"/>
    <xf numFmtId="0" fontId="24883" fillId="24893" borderId="24840" xfId="0" applyFont="1" applyFill="1" applyBorder="1"/>
    <xf numFmtId="0" fontId="24884" fillId="24894" borderId="24841" xfId="0" applyFont="1" applyFill="1" applyBorder="1"/>
    <xf numFmtId="0" fontId="24885" fillId="24895" borderId="24842" xfId="0" applyFont="1" applyFill="1" applyBorder="1"/>
    <xf numFmtId="4" fontId="24886" fillId="24896" borderId="24843" xfId="0" applyNumberFormat="1" applyFont="1" applyFill="1" applyBorder="1"/>
    <xf numFmtId="165" fontId="24887" fillId="24897" borderId="24844" xfId="0" applyNumberFormat="1" applyFont="1" applyFill="1" applyBorder="1"/>
    <xf numFmtId="165" fontId="24888" fillId="24898" borderId="24845" xfId="0" applyNumberFormat="1" applyFont="1" applyFill="1" applyBorder="1"/>
    <xf numFmtId="0" fontId="24889" fillId="24899" borderId="24846" xfId="0" applyFont="1" applyFill="1" applyBorder="1"/>
    <xf numFmtId="0" fontId="24890" fillId="24900" borderId="24847" xfId="0" applyFont="1" applyFill="1" applyBorder="1"/>
    <xf numFmtId="0" fontId="24891" fillId="24901" borderId="24848" xfId="0" applyFont="1" applyFill="1" applyBorder="1"/>
    <xf numFmtId="0" fontId="24892" fillId="24902" borderId="24849" xfId="0" applyFont="1" applyFill="1" applyBorder="1"/>
    <xf numFmtId="14" fontId="24893" fillId="24903" borderId="24850" xfId="0" applyNumberFormat="1" applyFont="1" applyFill="1" applyBorder="1"/>
    <xf numFmtId="0" fontId="24894" fillId="24904" borderId="24851" xfId="0" applyFont="1" applyFill="1" applyBorder="1"/>
    <xf numFmtId="0" fontId="24895" fillId="24905" borderId="24852" xfId="0" applyFont="1" applyFill="1" applyBorder="1"/>
    <xf numFmtId="0" fontId="24896" fillId="24906" borderId="24853" xfId="0" applyFont="1" applyFill="1" applyBorder="1"/>
    <xf numFmtId="4" fontId="24897" fillId="24907" borderId="24854" xfId="0" applyNumberFormat="1" applyFont="1" applyFill="1" applyBorder="1"/>
    <xf numFmtId="165" fontId="24898" fillId="24908" borderId="24855" xfId="0" applyNumberFormat="1" applyFont="1" applyFill="1" applyBorder="1"/>
    <xf numFmtId="165" fontId="24899" fillId="24909" borderId="24856" xfId="0" applyNumberFormat="1" applyFont="1" applyFill="1" applyBorder="1"/>
    <xf numFmtId="0" fontId="24900" fillId="24910" borderId="24857" xfId="0" applyFont="1" applyFill="1" applyBorder="1"/>
    <xf numFmtId="0" fontId="24901" fillId="24911" borderId="24858" xfId="0" applyFont="1" applyFill="1" applyBorder="1"/>
    <xf numFmtId="0" fontId="24902" fillId="24912" borderId="24859" xfId="0" applyFont="1" applyFill="1" applyBorder="1"/>
    <xf numFmtId="0" fontId="24903" fillId="24913" borderId="24860" xfId="0" applyFont="1" applyFill="1" applyBorder="1"/>
    <xf numFmtId="14" fontId="24904" fillId="24914" borderId="24861" xfId="0" applyNumberFormat="1" applyFont="1" applyFill="1" applyBorder="1"/>
    <xf numFmtId="0" fontId="24905" fillId="24915" borderId="24862" xfId="0" applyFont="1" applyFill="1" applyBorder="1"/>
    <xf numFmtId="0" fontId="24906" fillId="24916" borderId="24863" xfId="0" applyFont="1" applyFill="1" applyBorder="1"/>
    <xf numFmtId="0" fontId="24907" fillId="24917" borderId="24864" xfId="0" applyFont="1" applyFill="1" applyBorder="1"/>
    <xf numFmtId="4" fontId="24908" fillId="24918" borderId="24865" xfId="0" applyNumberFormat="1" applyFont="1" applyFill="1" applyBorder="1"/>
    <xf numFmtId="165" fontId="24909" fillId="24919" borderId="24866" xfId="0" applyNumberFormat="1" applyFont="1" applyFill="1" applyBorder="1"/>
    <xf numFmtId="165" fontId="24910" fillId="24920" borderId="24867" xfId="0" applyNumberFormat="1" applyFont="1" applyFill="1" applyBorder="1"/>
    <xf numFmtId="0" fontId="24911" fillId="24921" borderId="24868" xfId="0" applyFont="1" applyFill="1" applyBorder="1"/>
    <xf numFmtId="0" fontId="24912" fillId="24922" borderId="24869" xfId="0" applyFont="1" applyFill="1" applyBorder="1"/>
    <xf numFmtId="0" fontId="24913" fillId="24923" borderId="24870" xfId="0" applyFont="1" applyFill="1" applyBorder="1"/>
    <xf numFmtId="0" fontId="24914" fillId="24924" borderId="24871" xfId="0" applyFont="1" applyFill="1" applyBorder="1"/>
    <xf numFmtId="14" fontId="24915" fillId="24925" borderId="24872" xfId="0" applyNumberFormat="1" applyFont="1" applyFill="1" applyBorder="1"/>
    <xf numFmtId="0" fontId="24916" fillId="24926" borderId="24873" xfId="0" applyFont="1" applyFill="1" applyBorder="1"/>
    <xf numFmtId="0" fontId="24917" fillId="24927" borderId="24874" xfId="0" applyFont="1" applyFill="1" applyBorder="1"/>
    <xf numFmtId="0" fontId="24918" fillId="24928" borderId="24875" xfId="0" applyFont="1" applyFill="1" applyBorder="1"/>
    <xf numFmtId="4" fontId="24919" fillId="24929" borderId="24876" xfId="0" applyNumberFormat="1" applyFont="1" applyFill="1" applyBorder="1"/>
    <xf numFmtId="165" fontId="24920" fillId="24930" borderId="24877" xfId="0" applyNumberFormat="1" applyFont="1" applyFill="1" applyBorder="1"/>
    <xf numFmtId="165" fontId="24921" fillId="24931" borderId="24878" xfId="0" applyNumberFormat="1" applyFont="1" applyFill="1" applyBorder="1"/>
    <xf numFmtId="0" fontId="24922" fillId="24932" borderId="24879" xfId="0" applyFont="1" applyFill="1" applyBorder="1"/>
    <xf numFmtId="0" fontId="24923" fillId="24933" borderId="24880" xfId="0" applyFont="1" applyFill="1" applyBorder="1"/>
    <xf numFmtId="0" fontId="24924" fillId="24934" borderId="24881" xfId="0" applyFont="1" applyFill="1" applyBorder="1"/>
    <xf numFmtId="0" fontId="24925" fillId="24935" borderId="24882" xfId="0" applyFont="1" applyFill="1" applyBorder="1"/>
    <xf numFmtId="14" fontId="24926" fillId="24936" borderId="24883" xfId="0" applyNumberFormat="1" applyFont="1" applyFill="1" applyBorder="1"/>
    <xf numFmtId="0" fontId="24927" fillId="24937" borderId="24884" xfId="0" applyFont="1" applyFill="1" applyBorder="1"/>
    <xf numFmtId="0" fontId="24928" fillId="24938" borderId="24885" xfId="0" applyFont="1" applyFill="1" applyBorder="1"/>
    <xf numFmtId="0" fontId="24929" fillId="24939" borderId="24886" xfId="0" applyFont="1" applyFill="1" applyBorder="1"/>
    <xf numFmtId="4" fontId="24930" fillId="24940" borderId="24887" xfId="0" applyNumberFormat="1" applyFont="1" applyFill="1" applyBorder="1"/>
    <xf numFmtId="165" fontId="24931" fillId="24941" borderId="24888" xfId="0" applyNumberFormat="1" applyFont="1" applyFill="1" applyBorder="1"/>
    <xf numFmtId="165" fontId="24932" fillId="24942" borderId="24889" xfId="0" applyNumberFormat="1" applyFont="1" applyFill="1" applyBorder="1"/>
    <xf numFmtId="0" fontId="24933" fillId="24943" borderId="24890" xfId="0" applyFont="1" applyFill="1" applyBorder="1"/>
    <xf numFmtId="0" fontId="24934" fillId="24944" borderId="24891" xfId="0" applyFont="1" applyFill="1" applyBorder="1"/>
    <xf numFmtId="0" fontId="24935" fillId="24945" borderId="24892" xfId="0" applyFont="1" applyFill="1" applyBorder="1"/>
    <xf numFmtId="0" fontId="24936" fillId="24946" borderId="24893" xfId="0" applyFont="1" applyFill="1" applyBorder="1"/>
    <xf numFmtId="14" fontId="24937" fillId="24947" borderId="24894" xfId="0" applyNumberFormat="1" applyFont="1" applyFill="1" applyBorder="1"/>
    <xf numFmtId="0" fontId="24938" fillId="24948" borderId="24895" xfId="0" applyFont="1" applyFill="1" applyBorder="1"/>
    <xf numFmtId="0" fontId="24939" fillId="24949" borderId="24896" xfId="0" applyFont="1" applyFill="1" applyBorder="1"/>
    <xf numFmtId="0" fontId="24940" fillId="24950" borderId="24897" xfId="0" applyFont="1" applyFill="1" applyBorder="1"/>
    <xf numFmtId="4" fontId="24941" fillId="24951" borderId="24898" xfId="0" applyNumberFormat="1" applyFont="1" applyFill="1" applyBorder="1"/>
    <xf numFmtId="165" fontId="24942" fillId="24952" borderId="24899" xfId="0" applyNumberFormat="1" applyFont="1" applyFill="1" applyBorder="1"/>
    <xf numFmtId="165" fontId="24943" fillId="24953" borderId="24900" xfId="0" applyNumberFormat="1" applyFont="1" applyFill="1" applyBorder="1"/>
    <xf numFmtId="0" fontId="24944" fillId="24954" borderId="24901" xfId="0" applyFont="1" applyFill="1" applyBorder="1"/>
    <xf numFmtId="0" fontId="24945" fillId="24955" borderId="24902" xfId="0" applyFont="1" applyFill="1" applyBorder="1"/>
    <xf numFmtId="0" fontId="24946" fillId="24956" borderId="24903" xfId="0" applyFont="1" applyFill="1" applyBorder="1"/>
    <xf numFmtId="0" fontId="24947" fillId="24957" borderId="24904" xfId="0" applyFont="1" applyFill="1" applyBorder="1"/>
    <xf numFmtId="14" fontId="24948" fillId="24958" borderId="24905" xfId="0" applyNumberFormat="1" applyFont="1" applyFill="1" applyBorder="1"/>
    <xf numFmtId="0" fontId="24949" fillId="24959" borderId="24906" xfId="0" applyFont="1" applyFill="1" applyBorder="1"/>
    <xf numFmtId="0" fontId="24950" fillId="24960" borderId="24907" xfId="0" applyFont="1" applyFill="1" applyBorder="1"/>
    <xf numFmtId="0" fontId="24951" fillId="24961" borderId="24908" xfId="0" applyFont="1" applyFill="1" applyBorder="1"/>
    <xf numFmtId="4" fontId="24952" fillId="24962" borderId="24909" xfId="0" applyNumberFormat="1" applyFont="1" applyFill="1" applyBorder="1"/>
    <xf numFmtId="165" fontId="24953" fillId="24963" borderId="24910" xfId="0" applyNumberFormat="1" applyFont="1" applyFill="1" applyBorder="1"/>
    <xf numFmtId="165" fontId="24954" fillId="24964" borderId="24911" xfId="0" applyNumberFormat="1" applyFont="1" applyFill="1" applyBorder="1"/>
    <xf numFmtId="0" fontId="24955" fillId="24965" borderId="24912" xfId="0" applyFont="1" applyFill="1" applyBorder="1"/>
    <xf numFmtId="0" fontId="24956" fillId="24966" borderId="24913" xfId="0" applyFont="1" applyFill="1" applyBorder="1"/>
    <xf numFmtId="0" fontId="24957" fillId="24967" borderId="24914" xfId="0" applyFont="1" applyFill="1" applyBorder="1"/>
    <xf numFmtId="0" fontId="24958" fillId="24968" borderId="24915" xfId="0" applyFont="1" applyFill="1" applyBorder="1"/>
    <xf numFmtId="14" fontId="24959" fillId="24969" borderId="24916" xfId="0" applyNumberFormat="1" applyFont="1" applyFill="1" applyBorder="1"/>
    <xf numFmtId="0" fontId="24960" fillId="24970" borderId="24917" xfId="0" applyFont="1" applyFill="1" applyBorder="1"/>
    <xf numFmtId="0" fontId="24961" fillId="24971" borderId="24918" xfId="0" applyFont="1" applyFill="1" applyBorder="1"/>
    <xf numFmtId="0" fontId="24962" fillId="24972" borderId="24919" xfId="0" applyFont="1" applyFill="1" applyBorder="1"/>
    <xf numFmtId="4" fontId="24963" fillId="24973" borderId="24920" xfId="0" applyNumberFormat="1" applyFont="1" applyFill="1" applyBorder="1"/>
    <xf numFmtId="165" fontId="24964" fillId="24974" borderId="24921" xfId="0" applyNumberFormat="1" applyFont="1" applyFill="1" applyBorder="1"/>
    <xf numFmtId="165" fontId="24965" fillId="24975" borderId="24922" xfId="0" applyNumberFormat="1" applyFont="1" applyFill="1" applyBorder="1"/>
    <xf numFmtId="0" fontId="24966" fillId="24976" borderId="24923" xfId="0" applyFont="1" applyFill="1" applyBorder="1"/>
    <xf numFmtId="0" fontId="24967" fillId="24977" borderId="24924" xfId="0" applyFont="1" applyFill="1" applyBorder="1"/>
    <xf numFmtId="0" fontId="24968" fillId="24978" borderId="24925" xfId="0" applyFont="1" applyFill="1" applyBorder="1"/>
    <xf numFmtId="0" fontId="24969" fillId="24979" borderId="24926" xfId="0" applyFont="1" applyFill="1" applyBorder="1"/>
    <xf numFmtId="14" fontId="24970" fillId="24980" borderId="24927" xfId="0" applyNumberFormat="1" applyFont="1" applyFill="1" applyBorder="1"/>
    <xf numFmtId="0" fontId="24971" fillId="24981" borderId="24928" xfId="0" applyFont="1" applyFill="1" applyBorder="1"/>
    <xf numFmtId="0" fontId="24972" fillId="24982" borderId="24929" xfId="0" applyFont="1" applyFill="1" applyBorder="1"/>
    <xf numFmtId="0" fontId="24973" fillId="24983" borderId="24930" xfId="0" applyFont="1" applyFill="1" applyBorder="1"/>
    <xf numFmtId="4" fontId="24974" fillId="24984" borderId="24931" xfId="0" applyNumberFormat="1" applyFont="1" applyFill="1" applyBorder="1"/>
    <xf numFmtId="165" fontId="24975" fillId="24985" borderId="24932" xfId="0" applyNumberFormat="1" applyFont="1" applyFill="1" applyBorder="1"/>
    <xf numFmtId="165" fontId="24976" fillId="24986" borderId="24933" xfId="0" applyNumberFormat="1" applyFont="1" applyFill="1" applyBorder="1"/>
    <xf numFmtId="0" fontId="24977" fillId="24987" borderId="24934" xfId="0" applyFont="1" applyFill="1" applyBorder="1"/>
    <xf numFmtId="0" fontId="24978" fillId="24988" borderId="24935" xfId="0" applyFont="1" applyFill="1" applyBorder="1"/>
    <xf numFmtId="0" fontId="24979" fillId="24989" borderId="24936" xfId="0" applyFont="1" applyFill="1" applyBorder="1"/>
    <xf numFmtId="0" fontId="24980" fillId="24990" borderId="24937" xfId="0" applyFont="1" applyFill="1" applyBorder="1"/>
    <xf numFmtId="14" fontId="24981" fillId="24991" borderId="24938" xfId="0" applyNumberFormat="1" applyFont="1" applyFill="1" applyBorder="1"/>
    <xf numFmtId="0" fontId="24982" fillId="24992" borderId="24939" xfId="0" applyFont="1" applyFill="1" applyBorder="1"/>
    <xf numFmtId="0" fontId="24983" fillId="24993" borderId="24940" xfId="0" applyFont="1" applyFill="1" applyBorder="1"/>
    <xf numFmtId="0" fontId="24984" fillId="24994" borderId="24941" xfId="0" applyFont="1" applyFill="1" applyBorder="1"/>
    <xf numFmtId="4" fontId="24985" fillId="24995" borderId="24942" xfId="0" applyNumberFormat="1" applyFont="1" applyFill="1" applyBorder="1"/>
    <xf numFmtId="165" fontId="24986" fillId="24996" borderId="24943" xfId="0" applyNumberFormat="1" applyFont="1" applyFill="1" applyBorder="1"/>
    <xf numFmtId="165" fontId="24987" fillId="24997" borderId="24944" xfId="0" applyNumberFormat="1" applyFont="1" applyFill="1" applyBorder="1"/>
    <xf numFmtId="0" fontId="24988" fillId="24998" borderId="24945" xfId="0" applyFont="1" applyFill="1" applyBorder="1"/>
    <xf numFmtId="0" fontId="24989" fillId="24999" borderId="24946" xfId="0" applyFont="1" applyFill="1" applyBorder="1"/>
    <xf numFmtId="0" fontId="24990" fillId="25000" borderId="24947" xfId="0" applyFont="1" applyFill="1" applyBorder="1"/>
    <xf numFmtId="0" fontId="24991" fillId="25001" borderId="24948" xfId="0" applyFont="1" applyFill="1" applyBorder="1"/>
    <xf numFmtId="14" fontId="24992" fillId="25002" borderId="24949" xfId="0" applyNumberFormat="1" applyFont="1" applyFill="1" applyBorder="1"/>
    <xf numFmtId="0" fontId="24993" fillId="25003" borderId="24950" xfId="0" applyFont="1" applyFill="1" applyBorder="1"/>
    <xf numFmtId="0" fontId="24994" fillId="25004" borderId="24951" xfId="0" applyFont="1" applyFill="1" applyBorder="1"/>
    <xf numFmtId="0" fontId="24995" fillId="25005" borderId="24952" xfId="0" applyFont="1" applyFill="1" applyBorder="1"/>
    <xf numFmtId="4" fontId="24996" fillId="25006" borderId="24953" xfId="0" applyNumberFormat="1" applyFont="1" applyFill="1" applyBorder="1"/>
    <xf numFmtId="165" fontId="24997" fillId="25007" borderId="24954" xfId="0" applyNumberFormat="1" applyFont="1" applyFill="1" applyBorder="1"/>
    <xf numFmtId="165" fontId="24998" fillId="25008" borderId="24955" xfId="0" applyNumberFormat="1" applyFont="1" applyFill="1" applyBorder="1"/>
    <xf numFmtId="0" fontId="24999" fillId="25009" borderId="24956" xfId="0" applyFont="1" applyFill="1" applyBorder="1"/>
    <xf numFmtId="0" fontId="25000" fillId="25010" borderId="24957" xfId="0" applyFont="1" applyFill="1" applyBorder="1"/>
    <xf numFmtId="0" fontId="25001" fillId="25011" borderId="24958" xfId="0" applyFont="1" applyFill="1" applyBorder="1"/>
    <xf numFmtId="0" fontId="25002" fillId="25012" borderId="24959" xfId="0" applyFont="1" applyFill="1" applyBorder="1"/>
    <xf numFmtId="14" fontId="25003" fillId="25013" borderId="24960" xfId="0" applyNumberFormat="1" applyFont="1" applyFill="1" applyBorder="1"/>
    <xf numFmtId="0" fontId="25004" fillId="25014" borderId="24961" xfId="0" applyFont="1" applyFill="1" applyBorder="1"/>
    <xf numFmtId="0" fontId="25005" fillId="25015" borderId="24962" xfId="0" applyFont="1" applyFill="1" applyBorder="1"/>
    <xf numFmtId="0" fontId="25006" fillId="25016" borderId="24963" xfId="0" applyFont="1" applyFill="1" applyBorder="1"/>
    <xf numFmtId="4" fontId="25007" fillId="25017" borderId="24964" xfId="0" applyNumberFormat="1" applyFont="1" applyFill="1" applyBorder="1"/>
    <xf numFmtId="165" fontId="25008" fillId="25018" borderId="24965" xfId="0" applyNumberFormat="1" applyFont="1" applyFill="1" applyBorder="1"/>
    <xf numFmtId="165" fontId="25009" fillId="25019" borderId="24966" xfId="0" applyNumberFormat="1" applyFont="1" applyFill="1" applyBorder="1"/>
    <xf numFmtId="0" fontId="25010" fillId="25020" borderId="24967" xfId="0" applyFont="1" applyFill="1" applyBorder="1"/>
    <xf numFmtId="0" fontId="25011" fillId="25021" borderId="24968" xfId="0" applyFont="1" applyFill="1" applyBorder="1"/>
    <xf numFmtId="0" fontId="25012" fillId="25022" borderId="24969" xfId="0" applyFont="1" applyFill="1" applyBorder="1"/>
    <xf numFmtId="0" fontId="25013" fillId="25023" borderId="24970" xfId="0" applyFont="1" applyFill="1" applyBorder="1"/>
    <xf numFmtId="14" fontId="25014" fillId="25024" borderId="24971" xfId="0" applyNumberFormat="1" applyFont="1" applyFill="1" applyBorder="1"/>
    <xf numFmtId="0" fontId="25015" fillId="25025" borderId="24972" xfId="0" applyFont="1" applyFill="1" applyBorder="1"/>
    <xf numFmtId="0" fontId="25016" fillId="25026" borderId="24973" xfId="0" applyFont="1" applyFill="1" applyBorder="1"/>
    <xf numFmtId="0" fontId="25017" fillId="25027" borderId="24974" xfId="0" applyFont="1" applyFill="1" applyBorder="1"/>
    <xf numFmtId="4" fontId="25018" fillId="25028" borderId="24975" xfId="0" applyNumberFormat="1" applyFont="1" applyFill="1" applyBorder="1"/>
    <xf numFmtId="165" fontId="25019" fillId="25029" borderId="24976" xfId="0" applyNumberFormat="1" applyFont="1" applyFill="1" applyBorder="1"/>
    <xf numFmtId="165" fontId="25020" fillId="25030" borderId="24977" xfId="0" applyNumberFormat="1" applyFont="1" applyFill="1" applyBorder="1"/>
    <xf numFmtId="0" fontId="25021" fillId="25031" borderId="24978" xfId="0" applyFont="1" applyFill="1" applyBorder="1"/>
    <xf numFmtId="0" fontId="25022" fillId="25032" borderId="24979" xfId="0" applyFont="1" applyFill="1" applyBorder="1"/>
    <xf numFmtId="0" fontId="25023" fillId="25033" borderId="24980" xfId="0" applyFont="1" applyFill="1" applyBorder="1"/>
    <xf numFmtId="0" fontId="25024" fillId="25034" borderId="24981" xfId="0" applyFont="1" applyFill="1" applyBorder="1"/>
    <xf numFmtId="14" fontId="25025" fillId="25035" borderId="24982" xfId="0" applyNumberFormat="1" applyFont="1" applyFill="1" applyBorder="1"/>
    <xf numFmtId="0" fontId="25026" fillId="25036" borderId="24983" xfId="0" applyFont="1" applyFill="1" applyBorder="1"/>
    <xf numFmtId="0" fontId="25027" fillId="25037" borderId="24984" xfId="0" applyFont="1" applyFill="1" applyBorder="1"/>
    <xf numFmtId="0" fontId="25028" fillId="25038" borderId="24985" xfId="0" applyFont="1" applyFill="1" applyBorder="1"/>
    <xf numFmtId="4" fontId="25029" fillId="25039" borderId="24986" xfId="0" applyNumberFormat="1" applyFont="1" applyFill="1" applyBorder="1"/>
    <xf numFmtId="165" fontId="25030" fillId="25040" borderId="24987" xfId="0" applyNumberFormat="1" applyFont="1" applyFill="1" applyBorder="1"/>
    <xf numFmtId="165" fontId="25031" fillId="25041" borderId="24988" xfId="0" applyNumberFormat="1" applyFont="1" applyFill="1" applyBorder="1"/>
    <xf numFmtId="0" fontId="25032" fillId="25042" borderId="24989" xfId="0" applyFont="1" applyFill="1" applyBorder="1"/>
    <xf numFmtId="0" fontId="25033" fillId="25043" borderId="24990" xfId="0" applyFont="1" applyFill="1" applyBorder="1"/>
    <xf numFmtId="0" fontId="25034" fillId="25044" borderId="24991" xfId="0" applyFont="1" applyFill="1" applyBorder="1"/>
    <xf numFmtId="0" fontId="25035" fillId="25045" borderId="24992" xfId="0" applyFont="1" applyFill="1" applyBorder="1"/>
    <xf numFmtId="14" fontId="25036" fillId="25046" borderId="24993" xfId="0" applyNumberFormat="1" applyFont="1" applyFill="1" applyBorder="1"/>
    <xf numFmtId="0" fontId="25037" fillId="25047" borderId="24994" xfId="0" applyFont="1" applyFill="1" applyBorder="1"/>
    <xf numFmtId="0" fontId="25038" fillId="25048" borderId="24995" xfId="0" applyFont="1" applyFill="1" applyBorder="1"/>
    <xf numFmtId="0" fontId="25039" fillId="25049" borderId="24996" xfId="0" applyFont="1" applyFill="1" applyBorder="1"/>
    <xf numFmtId="4" fontId="25040" fillId="25050" borderId="24997" xfId="0" applyNumberFormat="1" applyFont="1" applyFill="1" applyBorder="1"/>
    <xf numFmtId="165" fontId="25041" fillId="25051" borderId="24998" xfId="0" applyNumberFormat="1" applyFont="1" applyFill="1" applyBorder="1"/>
    <xf numFmtId="165" fontId="25042" fillId="25052" borderId="24999" xfId="0" applyNumberFormat="1" applyFont="1" applyFill="1" applyBorder="1"/>
    <xf numFmtId="0" fontId="25043" fillId="25053" borderId="25000" xfId="0" applyFont="1" applyFill="1" applyBorder="1"/>
    <xf numFmtId="0" fontId="25044" fillId="25054" borderId="25001" xfId="0" applyFont="1" applyFill="1" applyBorder="1"/>
    <xf numFmtId="0" fontId="25045" fillId="25055" borderId="25002" xfId="0" applyFont="1" applyFill="1" applyBorder="1"/>
    <xf numFmtId="0" fontId="25046" fillId="25056" borderId="25003" xfId="0" applyFont="1" applyFill="1" applyBorder="1"/>
    <xf numFmtId="14" fontId="25047" fillId="25057" borderId="25004" xfId="0" applyNumberFormat="1" applyFont="1" applyFill="1" applyBorder="1"/>
    <xf numFmtId="0" fontId="25048" fillId="25058" borderId="25005" xfId="0" applyFont="1" applyFill="1" applyBorder="1"/>
    <xf numFmtId="0" fontId="25049" fillId="25059" borderId="25006" xfId="0" applyFont="1" applyFill="1" applyBorder="1"/>
    <xf numFmtId="0" fontId="25050" fillId="25060" borderId="25007" xfId="0" applyFont="1" applyFill="1" applyBorder="1"/>
    <xf numFmtId="4" fontId="25051" fillId="25061" borderId="25008" xfId="0" applyNumberFormat="1" applyFont="1" applyFill="1" applyBorder="1"/>
    <xf numFmtId="165" fontId="25052" fillId="25062" borderId="25009" xfId="0" applyNumberFormat="1" applyFont="1" applyFill="1" applyBorder="1"/>
    <xf numFmtId="165" fontId="25053" fillId="25063" borderId="25010" xfId="0" applyNumberFormat="1" applyFont="1" applyFill="1" applyBorder="1"/>
    <xf numFmtId="0" fontId="25054" fillId="25064" borderId="25011" xfId="0" applyFont="1" applyFill="1" applyBorder="1"/>
    <xf numFmtId="0" fontId="25055" fillId="25065" borderId="25012" xfId="0" applyFont="1" applyFill="1" applyBorder="1"/>
    <xf numFmtId="0" fontId="25056" fillId="25066" borderId="25013" xfId="0" applyFont="1" applyFill="1" applyBorder="1"/>
    <xf numFmtId="0" fontId="25057" fillId="25067" borderId="25014" xfId="0" applyFont="1" applyFill="1" applyBorder="1"/>
    <xf numFmtId="14" fontId="25058" fillId="25068" borderId="25015" xfId="0" applyNumberFormat="1" applyFont="1" applyFill="1" applyBorder="1"/>
    <xf numFmtId="0" fontId="25059" fillId="25069" borderId="25016" xfId="0" applyFont="1" applyFill="1" applyBorder="1"/>
    <xf numFmtId="0" fontId="25060" fillId="25070" borderId="25017" xfId="0" applyFont="1" applyFill="1" applyBorder="1"/>
    <xf numFmtId="0" fontId="25061" fillId="25071" borderId="25018" xfId="0" applyFont="1" applyFill="1" applyBorder="1"/>
    <xf numFmtId="4" fontId="25062" fillId="25072" borderId="25019" xfId="0" applyNumberFormat="1" applyFont="1" applyFill="1" applyBorder="1"/>
    <xf numFmtId="165" fontId="25063" fillId="25073" borderId="25020" xfId="0" applyNumberFormat="1" applyFont="1" applyFill="1" applyBorder="1"/>
    <xf numFmtId="165" fontId="25064" fillId="25074" borderId="25021" xfId="0" applyNumberFormat="1" applyFont="1" applyFill="1" applyBorder="1"/>
    <xf numFmtId="0" fontId="25065" fillId="25075" borderId="25022" xfId="0" applyFont="1" applyFill="1" applyBorder="1"/>
    <xf numFmtId="0" fontId="25066" fillId="25076" borderId="25023" xfId="0" applyFont="1" applyFill="1" applyBorder="1"/>
    <xf numFmtId="0" fontId="25067" fillId="25077" borderId="25024" xfId="0" applyFont="1" applyFill="1" applyBorder="1"/>
    <xf numFmtId="0" fontId="25068" fillId="25078" borderId="25025" xfId="0" applyFont="1" applyFill="1" applyBorder="1"/>
    <xf numFmtId="14" fontId="25069" fillId="25079" borderId="25026" xfId="0" applyNumberFormat="1" applyFont="1" applyFill="1" applyBorder="1"/>
    <xf numFmtId="0" fontId="25070" fillId="25080" borderId="25027" xfId="0" applyFont="1" applyFill="1" applyBorder="1"/>
    <xf numFmtId="0" fontId="25071" fillId="25081" borderId="25028" xfId="0" applyFont="1" applyFill="1" applyBorder="1"/>
    <xf numFmtId="0" fontId="25072" fillId="25082" borderId="25029" xfId="0" applyFont="1" applyFill="1" applyBorder="1"/>
    <xf numFmtId="4" fontId="25073" fillId="25083" borderId="25030" xfId="0" applyNumberFormat="1" applyFont="1" applyFill="1" applyBorder="1"/>
    <xf numFmtId="165" fontId="25074" fillId="25084" borderId="25031" xfId="0" applyNumberFormat="1" applyFont="1" applyFill="1" applyBorder="1"/>
    <xf numFmtId="165" fontId="25075" fillId="25085" borderId="25032" xfId="0" applyNumberFormat="1" applyFont="1" applyFill="1" applyBorder="1"/>
    <xf numFmtId="0" fontId="25076" fillId="25086" borderId="25033" xfId="0" applyFont="1" applyFill="1" applyBorder="1"/>
    <xf numFmtId="0" fontId="25077" fillId="25087" borderId="25034" xfId="0" applyFont="1" applyFill="1" applyBorder="1"/>
    <xf numFmtId="0" fontId="25078" fillId="25088" borderId="25035" xfId="0" applyFont="1" applyFill="1" applyBorder="1"/>
    <xf numFmtId="0" fontId="25079" fillId="25089" borderId="25036" xfId="0" applyFont="1" applyFill="1" applyBorder="1"/>
    <xf numFmtId="14" fontId="25080" fillId="25090" borderId="25037" xfId="0" applyNumberFormat="1" applyFont="1" applyFill="1" applyBorder="1"/>
    <xf numFmtId="0" fontId="25081" fillId="25091" borderId="25038" xfId="0" applyFont="1" applyFill="1" applyBorder="1"/>
    <xf numFmtId="0" fontId="25082" fillId="25092" borderId="25039" xfId="0" applyFont="1" applyFill="1" applyBorder="1"/>
    <xf numFmtId="0" fontId="25083" fillId="25093" borderId="25040" xfId="0" applyFont="1" applyFill="1" applyBorder="1"/>
    <xf numFmtId="4" fontId="25084" fillId="25094" borderId="25041" xfId="0" applyNumberFormat="1" applyFont="1" applyFill="1" applyBorder="1"/>
    <xf numFmtId="165" fontId="25085" fillId="25095" borderId="25042" xfId="0" applyNumberFormat="1" applyFont="1" applyFill="1" applyBorder="1"/>
    <xf numFmtId="165" fontId="25086" fillId="25096" borderId="25043" xfId="0" applyNumberFormat="1" applyFont="1" applyFill="1" applyBorder="1"/>
    <xf numFmtId="0" fontId="25087" fillId="25097" borderId="25044" xfId="0" applyFont="1" applyFill="1" applyBorder="1"/>
    <xf numFmtId="0" fontId="25088" fillId="25098" borderId="25045" xfId="0" applyFont="1" applyFill="1" applyBorder="1"/>
    <xf numFmtId="0" fontId="25089" fillId="25099" borderId="25046" xfId="0" applyFont="1" applyFill="1" applyBorder="1"/>
    <xf numFmtId="0" fontId="25090" fillId="25100" borderId="25047" xfId="0" applyFont="1" applyFill="1" applyBorder="1"/>
    <xf numFmtId="14" fontId="25091" fillId="25101" borderId="25048" xfId="0" applyNumberFormat="1" applyFont="1" applyFill="1" applyBorder="1"/>
    <xf numFmtId="0" fontId="25092" fillId="25102" borderId="25049" xfId="0" applyFont="1" applyFill="1" applyBorder="1"/>
    <xf numFmtId="0" fontId="25093" fillId="25103" borderId="25050" xfId="0" applyFont="1" applyFill="1" applyBorder="1"/>
    <xf numFmtId="0" fontId="25094" fillId="25104" borderId="25051" xfId="0" applyFont="1" applyFill="1" applyBorder="1"/>
    <xf numFmtId="4" fontId="25095" fillId="25105" borderId="25052" xfId="0" applyNumberFormat="1" applyFont="1" applyFill="1" applyBorder="1"/>
    <xf numFmtId="165" fontId="25096" fillId="25106" borderId="25053" xfId="0" applyNumberFormat="1" applyFont="1" applyFill="1" applyBorder="1"/>
    <xf numFmtId="165" fontId="25097" fillId="25107" borderId="25054" xfId="0" applyNumberFormat="1" applyFont="1" applyFill="1" applyBorder="1"/>
    <xf numFmtId="0" fontId="25098" fillId="25108" borderId="25055" xfId="0" applyFont="1" applyFill="1" applyBorder="1"/>
    <xf numFmtId="0" fontId="25099" fillId="25109" borderId="25056" xfId="0" applyFont="1" applyFill="1" applyBorder="1"/>
    <xf numFmtId="0" fontId="25100" fillId="25110" borderId="25057" xfId="0" applyFont="1" applyFill="1" applyBorder="1"/>
    <xf numFmtId="0" fontId="25101" fillId="25111" borderId="25058" xfId="0" applyFont="1" applyFill="1" applyBorder="1"/>
    <xf numFmtId="14" fontId="25102" fillId="25112" borderId="25059" xfId="0" applyNumberFormat="1" applyFont="1" applyFill="1" applyBorder="1"/>
    <xf numFmtId="0" fontId="25103" fillId="25113" borderId="25060" xfId="0" applyFont="1" applyFill="1" applyBorder="1"/>
    <xf numFmtId="0" fontId="25104" fillId="25114" borderId="25061" xfId="0" applyFont="1" applyFill="1" applyBorder="1"/>
    <xf numFmtId="0" fontId="25105" fillId="25115" borderId="25062" xfId="0" applyFont="1" applyFill="1" applyBorder="1"/>
    <xf numFmtId="4" fontId="25106" fillId="25116" borderId="25063" xfId="0" applyNumberFormat="1" applyFont="1" applyFill="1" applyBorder="1"/>
    <xf numFmtId="165" fontId="25107" fillId="25117" borderId="25064" xfId="0" applyNumberFormat="1" applyFont="1" applyFill="1" applyBorder="1"/>
    <xf numFmtId="165" fontId="25108" fillId="25118" borderId="25065" xfId="0" applyNumberFormat="1" applyFont="1" applyFill="1" applyBorder="1"/>
    <xf numFmtId="0" fontId="25109" fillId="25119" borderId="25066" xfId="0" applyFont="1" applyFill="1" applyBorder="1"/>
    <xf numFmtId="0" fontId="25110" fillId="25120" borderId="25067" xfId="0" applyFont="1" applyFill="1" applyBorder="1"/>
    <xf numFmtId="0" fontId="25111" fillId="25121" borderId="25068" xfId="0" applyFont="1" applyFill="1" applyBorder="1"/>
    <xf numFmtId="0" fontId="25112" fillId="25122" borderId="25069" xfId="0" applyFont="1" applyFill="1" applyBorder="1"/>
    <xf numFmtId="14" fontId="25113" fillId="25123" borderId="25070" xfId="0" applyNumberFormat="1" applyFont="1" applyFill="1" applyBorder="1"/>
    <xf numFmtId="0" fontId="25114" fillId="25124" borderId="25071" xfId="0" applyFont="1" applyFill="1" applyBorder="1"/>
    <xf numFmtId="0" fontId="25115" fillId="25125" borderId="25072" xfId="0" applyFont="1" applyFill="1" applyBorder="1"/>
    <xf numFmtId="0" fontId="25116" fillId="25126" borderId="25073" xfId="0" applyFont="1" applyFill="1" applyBorder="1"/>
    <xf numFmtId="4" fontId="25117" fillId="25127" borderId="25074" xfId="0" applyNumberFormat="1" applyFont="1" applyFill="1" applyBorder="1"/>
    <xf numFmtId="165" fontId="25118" fillId="25128" borderId="25075" xfId="0" applyNumberFormat="1" applyFont="1" applyFill="1" applyBorder="1"/>
    <xf numFmtId="165" fontId="25119" fillId="25129" borderId="25076" xfId="0" applyNumberFormat="1" applyFont="1" applyFill="1" applyBorder="1"/>
    <xf numFmtId="0" fontId="25120" fillId="25130" borderId="25077" xfId="0" applyFont="1" applyFill="1" applyBorder="1"/>
    <xf numFmtId="0" fontId="25121" fillId="25131" borderId="25078" xfId="0" applyFont="1" applyFill="1" applyBorder="1"/>
    <xf numFmtId="0" fontId="25122" fillId="25132" borderId="25079" xfId="0" applyFont="1" applyFill="1" applyBorder="1"/>
    <xf numFmtId="0" fontId="25123" fillId="25133" borderId="25080" xfId="0" applyFont="1" applyFill="1" applyBorder="1"/>
    <xf numFmtId="14" fontId="25124" fillId="25134" borderId="25081" xfId="0" applyNumberFormat="1" applyFont="1" applyFill="1" applyBorder="1"/>
    <xf numFmtId="0" fontId="25125" fillId="25135" borderId="25082" xfId="0" applyFont="1" applyFill="1" applyBorder="1"/>
    <xf numFmtId="0" fontId="25126" fillId="25136" borderId="25083" xfId="0" applyFont="1" applyFill="1" applyBorder="1"/>
    <xf numFmtId="0" fontId="25127" fillId="25137" borderId="25084" xfId="0" applyFont="1" applyFill="1" applyBorder="1"/>
    <xf numFmtId="4" fontId="25128" fillId="25138" borderId="25085" xfId="0" applyNumberFormat="1" applyFont="1" applyFill="1" applyBorder="1"/>
    <xf numFmtId="165" fontId="25129" fillId="25139" borderId="25086" xfId="0" applyNumberFormat="1" applyFont="1" applyFill="1" applyBorder="1"/>
    <xf numFmtId="165" fontId="25130" fillId="25140" borderId="25087" xfId="0" applyNumberFormat="1" applyFont="1" applyFill="1" applyBorder="1"/>
    <xf numFmtId="0" fontId="25131" fillId="25141" borderId="25088" xfId="0" applyFont="1" applyFill="1" applyBorder="1"/>
    <xf numFmtId="0" fontId="25132" fillId="25142" borderId="25089" xfId="0" applyFont="1" applyFill="1" applyBorder="1"/>
    <xf numFmtId="0" fontId="25133" fillId="25143" borderId="25090" xfId="0" applyFont="1" applyFill="1" applyBorder="1"/>
    <xf numFmtId="0" fontId="25134" fillId="25144" borderId="25091" xfId="0" applyFont="1" applyFill="1" applyBorder="1"/>
    <xf numFmtId="14" fontId="25135" fillId="25145" borderId="25092" xfId="0" applyNumberFormat="1" applyFont="1" applyFill="1" applyBorder="1"/>
    <xf numFmtId="0" fontId="25136" fillId="25146" borderId="25093" xfId="0" applyFont="1" applyFill="1" applyBorder="1"/>
    <xf numFmtId="0" fontId="25137" fillId="25147" borderId="25094" xfId="0" applyFont="1" applyFill="1" applyBorder="1"/>
    <xf numFmtId="0" fontId="25138" fillId="25148" borderId="25095" xfId="0" applyFont="1" applyFill="1" applyBorder="1"/>
    <xf numFmtId="4" fontId="25139" fillId="25149" borderId="25096" xfId="0" applyNumberFormat="1" applyFont="1" applyFill="1" applyBorder="1"/>
    <xf numFmtId="165" fontId="25140" fillId="25150" borderId="25097" xfId="0" applyNumberFormat="1" applyFont="1" applyFill="1" applyBorder="1"/>
    <xf numFmtId="165" fontId="25141" fillId="25151" borderId="25098" xfId="0" applyNumberFormat="1" applyFont="1" applyFill="1" applyBorder="1"/>
    <xf numFmtId="0" fontId="25142" fillId="25152" borderId="25099" xfId="0" applyFont="1" applyFill="1" applyBorder="1"/>
    <xf numFmtId="0" fontId="25143" fillId="25153" borderId="25100" xfId="0" applyFont="1" applyFill="1" applyBorder="1"/>
    <xf numFmtId="0" fontId="25144" fillId="25154" borderId="25101" xfId="0" applyFont="1" applyFill="1" applyBorder="1"/>
    <xf numFmtId="0" fontId="25145" fillId="25155" borderId="25102" xfId="0" applyFont="1" applyFill="1" applyBorder="1"/>
    <xf numFmtId="14" fontId="25146" fillId="25156" borderId="25103" xfId="0" applyNumberFormat="1" applyFont="1" applyFill="1" applyBorder="1"/>
    <xf numFmtId="0" fontId="25147" fillId="25157" borderId="25104" xfId="0" applyFont="1" applyFill="1" applyBorder="1"/>
    <xf numFmtId="0" fontId="25148" fillId="25158" borderId="25105" xfId="0" applyFont="1" applyFill="1" applyBorder="1"/>
    <xf numFmtId="0" fontId="25149" fillId="25159" borderId="25106" xfId="0" applyFont="1" applyFill="1" applyBorder="1"/>
    <xf numFmtId="4" fontId="25150" fillId="25160" borderId="25107" xfId="0" applyNumberFormat="1" applyFont="1" applyFill="1" applyBorder="1"/>
    <xf numFmtId="165" fontId="25151" fillId="25161" borderId="25108" xfId="0" applyNumberFormat="1" applyFont="1" applyFill="1" applyBorder="1"/>
    <xf numFmtId="165" fontId="25152" fillId="25162" borderId="25109" xfId="0" applyNumberFormat="1" applyFont="1" applyFill="1" applyBorder="1"/>
    <xf numFmtId="0" fontId="25153" fillId="25163" borderId="25110" xfId="0" applyFont="1" applyFill="1" applyBorder="1"/>
    <xf numFmtId="0" fontId="25154" fillId="25164" borderId="25111" xfId="0" applyFont="1" applyFill="1" applyBorder="1"/>
    <xf numFmtId="0" fontId="25155" fillId="25165" borderId="25112" xfId="0" applyFont="1" applyFill="1" applyBorder="1"/>
    <xf numFmtId="0" fontId="25156" fillId="25166" borderId="25113" xfId="0" applyFont="1" applyFill="1" applyBorder="1"/>
    <xf numFmtId="14" fontId="25157" fillId="25167" borderId="25114" xfId="0" applyNumberFormat="1" applyFont="1" applyFill="1" applyBorder="1"/>
    <xf numFmtId="0" fontId="25158" fillId="25168" borderId="25115" xfId="0" applyFont="1" applyFill="1" applyBorder="1"/>
    <xf numFmtId="0" fontId="25159" fillId="25169" borderId="25116" xfId="0" applyFont="1" applyFill="1" applyBorder="1"/>
    <xf numFmtId="0" fontId="25160" fillId="25170" borderId="25117" xfId="0" applyFont="1" applyFill="1" applyBorder="1"/>
    <xf numFmtId="4" fontId="25161" fillId="25171" borderId="25118" xfId="0" applyNumberFormat="1" applyFont="1" applyFill="1" applyBorder="1"/>
    <xf numFmtId="165" fontId="25162" fillId="25172" borderId="25119" xfId="0" applyNumberFormat="1" applyFont="1" applyFill="1" applyBorder="1"/>
    <xf numFmtId="165" fontId="25163" fillId="25173" borderId="25120" xfId="0" applyNumberFormat="1" applyFont="1" applyFill="1" applyBorder="1"/>
    <xf numFmtId="0" fontId="25164" fillId="25174" borderId="25121" xfId="0" applyFont="1" applyFill="1" applyBorder="1"/>
    <xf numFmtId="0" fontId="25165" fillId="25175" borderId="25122" xfId="0" applyFont="1" applyFill="1" applyBorder="1"/>
    <xf numFmtId="0" fontId="25166" fillId="25176" borderId="25123" xfId="0" applyFont="1" applyFill="1" applyBorder="1"/>
    <xf numFmtId="0" fontId="25167" fillId="25177" borderId="25124" xfId="0" applyFont="1" applyFill="1" applyBorder="1"/>
    <xf numFmtId="14" fontId="25168" fillId="25178" borderId="25125" xfId="0" applyNumberFormat="1" applyFont="1" applyFill="1" applyBorder="1"/>
    <xf numFmtId="0" fontId="25169" fillId="25179" borderId="25126" xfId="0" applyFont="1" applyFill="1" applyBorder="1"/>
    <xf numFmtId="0" fontId="25170" fillId="25180" borderId="25127" xfId="0" applyFont="1" applyFill="1" applyBorder="1"/>
    <xf numFmtId="0" fontId="25171" fillId="25181" borderId="25128" xfId="0" applyFont="1" applyFill="1" applyBorder="1"/>
    <xf numFmtId="4" fontId="25172" fillId="25182" borderId="25129" xfId="0" applyNumberFormat="1" applyFont="1" applyFill="1" applyBorder="1"/>
    <xf numFmtId="165" fontId="25173" fillId="25183" borderId="25130" xfId="0" applyNumberFormat="1" applyFont="1" applyFill="1" applyBorder="1"/>
    <xf numFmtId="165" fontId="25174" fillId="25184" borderId="25131" xfId="0" applyNumberFormat="1" applyFont="1" applyFill="1" applyBorder="1"/>
    <xf numFmtId="0" fontId="25175" fillId="25185" borderId="25132" xfId="0" applyFont="1" applyFill="1" applyBorder="1"/>
    <xf numFmtId="0" fontId="25176" fillId="25186" borderId="25133" xfId="0" applyFont="1" applyFill="1" applyBorder="1"/>
    <xf numFmtId="0" fontId="25177" fillId="25187" borderId="25134" xfId="0" applyFont="1" applyFill="1" applyBorder="1"/>
    <xf numFmtId="0" fontId="25178" fillId="25188" borderId="25135" xfId="0" applyFont="1" applyFill="1" applyBorder="1"/>
    <xf numFmtId="14" fontId="25179" fillId="25189" borderId="25136" xfId="0" applyNumberFormat="1" applyFont="1" applyFill="1" applyBorder="1"/>
    <xf numFmtId="0" fontId="25180" fillId="25190" borderId="25137" xfId="0" applyFont="1" applyFill="1" applyBorder="1"/>
    <xf numFmtId="0" fontId="25181" fillId="25191" borderId="25138" xfId="0" applyFont="1" applyFill="1" applyBorder="1"/>
    <xf numFmtId="0" fontId="25182" fillId="25192" borderId="25139" xfId="0" applyFont="1" applyFill="1" applyBorder="1"/>
    <xf numFmtId="4" fontId="25183" fillId="25193" borderId="25140" xfId="0" applyNumberFormat="1" applyFont="1" applyFill="1" applyBorder="1"/>
    <xf numFmtId="165" fontId="25184" fillId="25194" borderId="25141" xfId="0" applyNumberFormat="1" applyFont="1" applyFill="1" applyBorder="1"/>
    <xf numFmtId="165" fontId="25185" fillId="25195" borderId="25142" xfId="0" applyNumberFormat="1" applyFont="1" applyFill="1" applyBorder="1"/>
    <xf numFmtId="0" fontId="25186" fillId="25196" borderId="25143" xfId="0" applyFont="1" applyFill="1" applyBorder="1"/>
    <xf numFmtId="0" fontId="25187" fillId="25197" borderId="25144" xfId="0" applyFont="1" applyFill="1" applyBorder="1"/>
    <xf numFmtId="0" fontId="25188" fillId="25198" borderId="25145" xfId="0" applyFont="1" applyFill="1" applyBorder="1"/>
    <xf numFmtId="0" fontId="25189" fillId="25199" borderId="25146" xfId="0" applyFont="1" applyFill="1" applyBorder="1"/>
    <xf numFmtId="14" fontId="25190" fillId="25200" borderId="25147" xfId="0" applyNumberFormat="1" applyFont="1" applyFill="1" applyBorder="1"/>
    <xf numFmtId="0" fontId="25191" fillId="25201" borderId="25148" xfId="0" applyFont="1" applyFill="1" applyBorder="1"/>
    <xf numFmtId="0" fontId="25192" fillId="25202" borderId="25149" xfId="0" applyFont="1" applyFill="1" applyBorder="1"/>
    <xf numFmtId="0" fontId="25193" fillId="25203" borderId="25150" xfId="0" applyFont="1" applyFill="1" applyBorder="1"/>
    <xf numFmtId="4" fontId="25194" fillId="25204" borderId="25151" xfId="0" applyNumberFormat="1" applyFont="1" applyFill="1" applyBorder="1"/>
    <xf numFmtId="165" fontId="25195" fillId="25205" borderId="25152" xfId="0" applyNumberFormat="1" applyFont="1" applyFill="1" applyBorder="1"/>
    <xf numFmtId="165" fontId="25196" fillId="25206" borderId="25153" xfId="0" applyNumberFormat="1" applyFont="1" applyFill="1" applyBorder="1"/>
    <xf numFmtId="0" fontId="25197" fillId="25207" borderId="25154" xfId="0" applyFont="1" applyFill="1" applyBorder="1"/>
    <xf numFmtId="0" fontId="25198" fillId="25208" borderId="25155" xfId="0" applyFont="1" applyFill="1" applyBorder="1"/>
    <xf numFmtId="0" fontId="25199" fillId="25209" borderId="25156" xfId="0" applyFont="1" applyFill="1" applyBorder="1"/>
    <xf numFmtId="0" fontId="25200" fillId="25210" borderId="25157" xfId="0" applyFont="1" applyFill="1" applyBorder="1"/>
    <xf numFmtId="14" fontId="25201" fillId="25211" borderId="25158" xfId="0" applyNumberFormat="1" applyFont="1" applyFill="1" applyBorder="1"/>
    <xf numFmtId="0" fontId="25202" fillId="25212" borderId="25159" xfId="0" applyFont="1" applyFill="1" applyBorder="1"/>
    <xf numFmtId="0" fontId="25203" fillId="25213" borderId="25160" xfId="0" applyFont="1" applyFill="1" applyBorder="1"/>
    <xf numFmtId="0" fontId="25204" fillId="25214" borderId="25161" xfId="0" applyFont="1" applyFill="1" applyBorder="1"/>
    <xf numFmtId="4" fontId="25205" fillId="25215" borderId="25162" xfId="0" applyNumberFormat="1" applyFont="1" applyFill="1" applyBorder="1"/>
    <xf numFmtId="165" fontId="25206" fillId="25216" borderId="25163" xfId="0" applyNumberFormat="1" applyFont="1" applyFill="1" applyBorder="1"/>
    <xf numFmtId="165" fontId="25207" fillId="25217" borderId="25164" xfId="0" applyNumberFormat="1" applyFont="1" applyFill="1" applyBorder="1"/>
    <xf numFmtId="0" fontId="25208" fillId="25218" borderId="25165" xfId="0" applyFont="1" applyFill="1" applyBorder="1"/>
    <xf numFmtId="0" fontId="25209" fillId="25219" borderId="25166" xfId="0" applyFont="1" applyFill="1" applyBorder="1"/>
    <xf numFmtId="0" fontId="25210" fillId="25220" borderId="25167" xfId="0" applyFont="1" applyFill="1" applyBorder="1"/>
    <xf numFmtId="0" fontId="25211" fillId="25221" borderId="25168" xfId="0" applyFont="1" applyFill="1" applyBorder="1"/>
    <xf numFmtId="14" fontId="25212" fillId="25222" borderId="25169" xfId="0" applyNumberFormat="1" applyFont="1" applyFill="1" applyBorder="1"/>
    <xf numFmtId="0" fontId="25213" fillId="25223" borderId="25170" xfId="0" applyFont="1" applyFill="1" applyBorder="1"/>
    <xf numFmtId="0" fontId="25214" fillId="25224" borderId="25171" xfId="0" applyFont="1" applyFill="1" applyBorder="1"/>
    <xf numFmtId="0" fontId="25215" fillId="25225" borderId="25172" xfId="0" applyFont="1" applyFill="1" applyBorder="1"/>
    <xf numFmtId="4" fontId="25216" fillId="25226" borderId="25173" xfId="0" applyNumberFormat="1" applyFont="1" applyFill="1" applyBorder="1"/>
    <xf numFmtId="165" fontId="25217" fillId="25227" borderId="25174" xfId="0" applyNumberFormat="1" applyFont="1" applyFill="1" applyBorder="1"/>
    <xf numFmtId="165" fontId="25218" fillId="25228" borderId="25175" xfId="0" applyNumberFormat="1" applyFont="1" applyFill="1" applyBorder="1"/>
    <xf numFmtId="0" fontId="25219" fillId="25229" borderId="25176" xfId="0" applyFont="1" applyFill="1" applyBorder="1"/>
    <xf numFmtId="0" fontId="25220" fillId="25230" borderId="25177" xfId="0" applyFont="1" applyFill="1" applyBorder="1"/>
    <xf numFmtId="0" fontId="25221" fillId="25231" borderId="25178" xfId="0" applyFont="1" applyFill="1" applyBorder="1"/>
    <xf numFmtId="0" fontId="25222" fillId="25232" borderId="25179" xfId="0" applyFont="1" applyFill="1" applyBorder="1"/>
    <xf numFmtId="14" fontId="25223" fillId="25233" borderId="25180" xfId="0" applyNumberFormat="1" applyFont="1" applyFill="1" applyBorder="1"/>
    <xf numFmtId="0" fontId="25224" fillId="25234" borderId="25181" xfId="0" applyFont="1" applyFill="1" applyBorder="1"/>
    <xf numFmtId="0" fontId="25225" fillId="25235" borderId="25182" xfId="0" applyFont="1" applyFill="1" applyBorder="1"/>
    <xf numFmtId="0" fontId="25226" fillId="25236" borderId="25183" xfId="0" applyFont="1" applyFill="1" applyBorder="1"/>
    <xf numFmtId="4" fontId="25227" fillId="25237" borderId="25184" xfId="0" applyNumberFormat="1" applyFont="1" applyFill="1" applyBorder="1"/>
    <xf numFmtId="165" fontId="25228" fillId="25238" borderId="25185" xfId="0" applyNumberFormat="1" applyFont="1" applyFill="1" applyBorder="1"/>
    <xf numFmtId="165" fontId="25229" fillId="25239" borderId="25186" xfId="0" applyNumberFormat="1" applyFont="1" applyFill="1" applyBorder="1"/>
    <xf numFmtId="0" fontId="25230" fillId="25240" borderId="25187" xfId="0" applyFont="1" applyFill="1" applyBorder="1"/>
    <xf numFmtId="0" fontId="25231" fillId="25241" borderId="25188" xfId="0" applyFont="1" applyFill="1" applyBorder="1"/>
    <xf numFmtId="0" fontId="25232" fillId="25242" borderId="25189" xfId="0" applyFont="1" applyFill="1" applyBorder="1"/>
    <xf numFmtId="0" fontId="25233" fillId="25243" borderId="25190" xfId="0" applyFont="1" applyFill="1" applyBorder="1"/>
    <xf numFmtId="14" fontId="25234" fillId="25244" borderId="25191" xfId="0" applyNumberFormat="1" applyFont="1" applyFill="1" applyBorder="1"/>
    <xf numFmtId="0" fontId="25235" fillId="25245" borderId="25192" xfId="0" applyFont="1" applyFill="1" applyBorder="1"/>
    <xf numFmtId="0" fontId="25236" fillId="25246" borderId="25193" xfId="0" applyFont="1" applyFill="1" applyBorder="1"/>
    <xf numFmtId="0" fontId="25237" fillId="25247" borderId="25194" xfId="0" applyFont="1" applyFill="1" applyBorder="1"/>
    <xf numFmtId="4" fontId="25238" fillId="25248" borderId="25195" xfId="0" applyNumberFormat="1" applyFont="1" applyFill="1" applyBorder="1"/>
    <xf numFmtId="165" fontId="25239" fillId="25249" borderId="25196" xfId="0" applyNumberFormat="1" applyFont="1" applyFill="1" applyBorder="1"/>
    <xf numFmtId="165" fontId="25240" fillId="25250" borderId="25197" xfId="0" applyNumberFormat="1" applyFont="1" applyFill="1" applyBorder="1"/>
    <xf numFmtId="0" fontId="25241" fillId="25251" borderId="25198" xfId="0" applyFont="1" applyFill="1" applyBorder="1"/>
    <xf numFmtId="0" fontId="25242" fillId="25252" borderId="25199" xfId="0" applyFont="1" applyFill="1" applyBorder="1"/>
    <xf numFmtId="0" fontId="25243" fillId="25253" borderId="25200" xfId="0" applyFont="1" applyFill="1" applyBorder="1"/>
    <xf numFmtId="0" fontId="25244" fillId="25254" borderId="25201" xfId="0" applyFont="1" applyFill="1" applyBorder="1"/>
    <xf numFmtId="14" fontId="25245" fillId="25255" borderId="25202" xfId="0" applyNumberFormat="1" applyFont="1" applyFill="1" applyBorder="1"/>
    <xf numFmtId="0" fontId="25246" fillId="25256" borderId="25203" xfId="0" applyFont="1" applyFill="1" applyBorder="1"/>
    <xf numFmtId="0" fontId="25247" fillId="25257" borderId="25204" xfId="0" applyFont="1" applyFill="1" applyBorder="1"/>
    <xf numFmtId="0" fontId="25248" fillId="25258" borderId="25205" xfId="0" applyFont="1" applyFill="1" applyBorder="1"/>
    <xf numFmtId="4" fontId="25249" fillId="25259" borderId="25206" xfId="0" applyNumberFormat="1" applyFont="1" applyFill="1" applyBorder="1"/>
    <xf numFmtId="165" fontId="25250" fillId="25260" borderId="25207" xfId="0" applyNumberFormat="1" applyFont="1" applyFill="1" applyBorder="1"/>
    <xf numFmtId="165" fontId="25251" fillId="25261" borderId="25208" xfId="0" applyNumberFormat="1" applyFont="1" applyFill="1" applyBorder="1"/>
    <xf numFmtId="0" fontId="25252" fillId="25262" borderId="25209" xfId="0" applyFont="1" applyFill="1" applyBorder="1"/>
    <xf numFmtId="0" fontId="25253" fillId="25263" borderId="25210" xfId="0" applyFont="1" applyFill="1" applyBorder="1"/>
    <xf numFmtId="0" fontId="25254" fillId="25264" borderId="25211" xfId="0" applyFont="1" applyFill="1" applyBorder="1"/>
    <xf numFmtId="0" fontId="25255" fillId="25265" borderId="25212" xfId="0" applyFont="1" applyFill="1" applyBorder="1"/>
    <xf numFmtId="14" fontId="25256" fillId="25266" borderId="25213" xfId="0" applyNumberFormat="1" applyFont="1" applyFill="1" applyBorder="1"/>
    <xf numFmtId="0" fontId="25257" fillId="25267" borderId="25214" xfId="0" applyFont="1" applyFill="1" applyBorder="1"/>
    <xf numFmtId="0" fontId="25258" fillId="25268" borderId="25215" xfId="0" applyFont="1" applyFill="1" applyBorder="1"/>
    <xf numFmtId="0" fontId="25259" fillId="25269" borderId="25216" xfId="0" applyFont="1" applyFill="1" applyBorder="1"/>
    <xf numFmtId="4" fontId="25260" fillId="25270" borderId="25217" xfId="0" applyNumberFormat="1" applyFont="1" applyFill="1" applyBorder="1"/>
    <xf numFmtId="165" fontId="25261" fillId="25271" borderId="25218" xfId="0" applyNumberFormat="1" applyFont="1" applyFill="1" applyBorder="1"/>
    <xf numFmtId="165" fontId="25262" fillId="25272" borderId="25219" xfId="0" applyNumberFormat="1" applyFont="1" applyFill="1" applyBorder="1"/>
    <xf numFmtId="0" fontId="25263" fillId="25273" borderId="25220" xfId="0" applyFont="1" applyFill="1" applyBorder="1"/>
    <xf numFmtId="0" fontId="25264" fillId="25274" borderId="25221" xfId="0" applyFont="1" applyFill="1" applyBorder="1"/>
    <xf numFmtId="0" fontId="25265" fillId="25275" borderId="25222" xfId="0" applyFont="1" applyFill="1" applyBorder="1"/>
    <xf numFmtId="0" fontId="25266" fillId="25276" borderId="25223" xfId="0" applyFont="1" applyFill="1" applyBorder="1"/>
    <xf numFmtId="14" fontId="25267" fillId="25277" borderId="25224" xfId="0" applyNumberFormat="1" applyFont="1" applyFill="1" applyBorder="1"/>
    <xf numFmtId="0" fontId="25268" fillId="25278" borderId="25225" xfId="0" applyFont="1" applyFill="1" applyBorder="1"/>
    <xf numFmtId="0" fontId="25269" fillId="25279" borderId="25226" xfId="0" applyFont="1" applyFill="1" applyBorder="1"/>
    <xf numFmtId="0" fontId="25270" fillId="25280" borderId="25227" xfId="0" applyFont="1" applyFill="1" applyBorder="1"/>
    <xf numFmtId="4" fontId="25271" fillId="25281" borderId="25228" xfId="0" applyNumberFormat="1" applyFont="1" applyFill="1" applyBorder="1"/>
    <xf numFmtId="165" fontId="25272" fillId="25282" borderId="25229" xfId="0" applyNumberFormat="1" applyFont="1" applyFill="1" applyBorder="1"/>
    <xf numFmtId="165" fontId="25273" fillId="25283" borderId="25230" xfId="0" applyNumberFormat="1" applyFont="1" applyFill="1" applyBorder="1"/>
    <xf numFmtId="0" fontId="25274" fillId="25284" borderId="25231" xfId="0" applyFont="1" applyFill="1" applyBorder="1"/>
    <xf numFmtId="0" fontId="25275" fillId="25285" borderId="25232" xfId="0" applyFont="1" applyFill="1" applyBorder="1"/>
    <xf numFmtId="0" fontId="25276" fillId="25286" borderId="25233" xfId="0" applyFont="1" applyFill="1" applyBorder="1"/>
    <xf numFmtId="0" fontId="25277" fillId="25287" borderId="25234" xfId="0" applyFont="1" applyFill="1" applyBorder="1"/>
    <xf numFmtId="14" fontId="25278" fillId="25288" borderId="25235" xfId="0" applyNumberFormat="1" applyFont="1" applyFill="1" applyBorder="1"/>
    <xf numFmtId="0" fontId="25279" fillId="25289" borderId="25236" xfId="0" applyFont="1" applyFill="1" applyBorder="1"/>
    <xf numFmtId="0" fontId="25280" fillId="25290" borderId="25237" xfId="0" applyFont="1" applyFill="1" applyBorder="1"/>
    <xf numFmtId="0" fontId="25281" fillId="25291" borderId="25238" xfId="0" applyFont="1" applyFill="1" applyBorder="1"/>
    <xf numFmtId="4" fontId="25282" fillId="25292" borderId="25239" xfId="0" applyNumberFormat="1" applyFont="1" applyFill="1" applyBorder="1"/>
    <xf numFmtId="165" fontId="25283" fillId="25293" borderId="25240" xfId="0" applyNumberFormat="1" applyFont="1" applyFill="1" applyBorder="1"/>
    <xf numFmtId="165" fontId="25284" fillId="25294" borderId="25241" xfId="0" applyNumberFormat="1" applyFont="1" applyFill="1" applyBorder="1"/>
    <xf numFmtId="0" fontId="25285" fillId="25295" borderId="25242" xfId="0" applyFont="1" applyFill="1" applyBorder="1"/>
    <xf numFmtId="0" fontId="25286" fillId="25296" borderId="25243" xfId="0" applyFont="1" applyFill="1" applyBorder="1"/>
    <xf numFmtId="0" fontId="25287" fillId="25297" borderId="25244" xfId="0" applyFont="1" applyFill="1" applyBorder="1"/>
    <xf numFmtId="0" fontId="25288" fillId="25298" borderId="25245" xfId="0" applyFont="1" applyFill="1" applyBorder="1"/>
    <xf numFmtId="14" fontId="25289" fillId="25299" borderId="25246" xfId="0" applyNumberFormat="1" applyFont="1" applyFill="1" applyBorder="1"/>
    <xf numFmtId="0" fontId="25290" fillId="25300" borderId="25247" xfId="0" applyFont="1" applyFill="1" applyBorder="1"/>
    <xf numFmtId="0" fontId="25291" fillId="25301" borderId="25248" xfId="0" applyFont="1" applyFill="1" applyBorder="1"/>
    <xf numFmtId="0" fontId="25292" fillId="25302" borderId="25249" xfId="0" applyFont="1" applyFill="1" applyBorder="1"/>
    <xf numFmtId="4" fontId="25293" fillId="25303" borderId="25250" xfId="0" applyNumberFormat="1" applyFont="1" applyFill="1" applyBorder="1"/>
    <xf numFmtId="165" fontId="25294" fillId="25304" borderId="25251" xfId="0" applyNumberFormat="1" applyFont="1" applyFill="1" applyBorder="1"/>
    <xf numFmtId="165" fontId="25295" fillId="25305" borderId="25252" xfId="0" applyNumberFormat="1" applyFont="1" applyFill="1" applyBorder="1"/>
    <xf numFmtId="0" fontId="25296" fillId="25306" borderId="25253" xfId="0" applyFont="1" applyFill="1" applyBorder="1"/>
    <xf numFmtId="0" fontId="25297" fillId="25307" borderId="25254" xfId="0" applyFont="1" applyFill="1" applyBorder="1"/>
    <xf numFmtId="0" fontId="25298" fillId="25308" borderId="25255" xfId="0" applyFont="1" applyFill="1" applyBorder="1"/>
    <xf numFmtId="0" fontId="25299" fillId="25309" borderId="25256" xfId="0" applyFont="1" applyFill="1" applyBorder="1"/>
    <xf numFmtId="14" fontId="25300" fillId="25310" borderId="25257" xfId="0" applyNumberFormat="1" applyFont="1" applyFill="1" applyBorder="1"/>
    <xf numFmtId="0" fontId="25301" fillId="25311" borderId="25258" xfId="0" applyFont="1" applyFill="1" applyBorder="1"/>
    <xf numFmtId="0" fontId="25302" fillId="25312" borderId="25259" xfId="0" applyFont="1" applyFill="1" applyBorder="1"/>
    <xf numFmtId="0" fontId="25303" fillId="25313" borderId="25260" xfId="0" applyFont="1" applyFill="1" applyBorder="1"/>
    <xf numFmtId="4" fontId="25304" fillId="25314" borderId="25261" xfId="0" applyNumberFormat="1" applyFont="1" applyFill="1" applyBorder="1"/>
    <xf numFmtId="165" fontId="25305" fillId="25315" borderId="25262" xfId="0" applyNumberFormat="1" applyFont="1" applyFill="1" applyBorder="1"/>
    <xf numFmtId="165" fontId="25306" fillId="25316" borderId="25263" xfId="0" applyNumberFormat="1" applyFont="1" applyFill="1" applyBorder="1"/>
    <xf numFmtId="0" fontId="25307" fillId="25317" borderId="25264" xfId="0" applyFont="1" applyFill="1" applyBorder="1"/>
    <xf numFmtId="0" fontId="25308" fillId="25318" borderId="25265" xfId="0" applyFont="1" applyFill="1" applyBorder="1"/>
    <xf numFmtId="0" fontId="25309" fillId="25319" borderId="25266" xfId="0" applyFont="1" applyFill="1" applyBorder="1"/>
    <xf numFmtId="0" fontId="25310" fillId="25320" borderId="25267" xfId="0" applyFont="1" applyFill="1" applyBorder="1"/>
    <xf numFmtId="14" fontId="25311" fillId="25321" borderId="25268" xfId="0" applyNumberFormat="1" applyFont="1" applyFill="1" applyBorder="1"/>
    <xf numFmtId="0" fontId="25312" fillId="25322" borderId="25269" xfId="0" applyFont="1" applyFill="1" applyBorder="1"/>
    <xf numFmtId="0" fontId="25313" fillId="25323" borderId="25270" xfId="0" applyFont="1" applyFill="1" applyBorder="1"/>
    <xf numFmtId="0" fontId="25314" fillId="25324" borderId="25271" xfId="0" applyFont="1" applyFill="1" applyBorder="1"/>
    <xf numFmtId="4" fontId="25315" fillId="25325" borderId="25272" xfId="0" applyNumberFormat="1" applyFont="1" applyFill="1" applyBorder="1"/>
    <xf numFmtId="165" fontId="25316" fillId="25326" borderId="25273" xfId="0" applyNumberFormat="1" applyFont="1" applyFill="1" applyBorder="1"/>
    <xf numFmtId="165" fontId="25317" fillId="25327" borderId="25274" xfId="0" applyNumberFormat="1" applyFont="1" applyFill="1" applyBorder="1"/>
    <xf numFmtId="0" fontId="25318" fillId="25328" borderId="25275" xfId="0" applyFont="1" applyFill="1" applyBorder="1"/>
    <xf numFmtId="0" fontId="25319" fillId="25329" borderId="25276" xfId="0" applyFont="1" applyFill="1" applyBorder="1"/>
    <xf numFmtId="0" fontId="25320" fillId="25330" borderId="25277" xfId="0" applyFont="1" applyFill="1" applyBorder="1"/>
    <xf numFmtId="0" fontId="25321" fillId="25331" borderId="25278" xfId="0" applyFont="1" applyFill="1" applyBorder="1"/>
    <xf numFmtId="14" fontId="25322" fillId="25332" borderId="25279" xfId="0" applyNumberFormat="1" applyFont="1" applyFill="1" applyBorder="1"/>
    <xf numFmtId="0" fontId="25323" fillId="25333" borderId="25280" xfId="0" applyFont="1" applyFill="1" applyBorder="1"/>
    <xf numFmtId="0" fontId="25324" fillId="25334" borderId="25281" xfId="0" applyFont="1" applyFill="1" applyBorder="1"/>
    <xf numFmtId="0" fontId="25325" fillId="25335" borderId="25282" xfId="0" applyFont="1" applyFill="1" applyBorder="1"/>
    <xf numFmtId="4" fontId="25326" fillId="25336" borderId="25283" xfId="0" applyNumberFormat="1" applyFont="1" applyFill="1" applyBorder="1"/>
    <xf numFmtId="165" fontId="25327" fillId="25337" borderId="25284" xfId="0" applyNumberFormat="1" applyFont="1" applyFill="1" applyBorder="1"/>
    <xf numFmtId="165" fontId="25328" fillId="25338" borderId="25285" xfId="0" applyNumberFormat="1" applyFont="1" applyFill="1" applyBorder="1"/>
    <xf numFmtId="0" fontId="25329" fillId="25339" borderId="25286" xfId="0" applyFont="1" applyFill="1" applyBorder="1"/>
    <xf numFmtId="0" fontId="25330" fillId="25340" borderId="25287" xfId="0" applyFont="1" applyFill="1" applyBorder="1"/>
    <xf numFmtId="0" fontId="25331" fillId="25341" borderId="25288" xfId="0" applyFont="1" applyFill="1" applyBorder="1"/>
    <xf numFmtId="0" fontId="25332" fillId="25342" borderId="25289" xfId="0" applyFont="1" applyFill="1" applyBorder="1"/>
    <xf numFmtId="14" fontId="25333" fillId="25343" borderId="25290" xfId="0" applyNumberFormat="1" applyFont="1" applyFill="1" applyBorder="1"/>
    <xf numFmtId="0" fontId="25334" fillId="25344" borderId="25291" xfId="0" applyFont="1" applyFill="1" applyBorder="1"/>
    <xf numFmtId="0" fontId="25335" fillId="25345" borderId="25292" xfId="0" applyFont="1" applyFill="1" applyBorder="1"/>
    <xf numFmtId="0" fontId="25336" fillId="25346" borderId="25293" xfId="0" applyFont="1" applyFill="1" applyBorder="1"/>
    <xf numFmtId="4" fontId="25337" fillId="25347" borderId="25294" xfId="0" applyNumberFormat="1" applyFont="1" applyFill="1" applyBorder="1"/>
    <xf numFmtId="165" fontId="25338" fillId="25348" borderId="25295" xfId="0" applyNumberFormat="1" applyFont="1" applyFill="1" applyBorder="1"/>
    <xf numFmtId="165" fontId="25339" fillId="25349" borderId="25296" xfId="0" applyNumberFormat="1" applyFont="1" applyFill="1" applyBorder="1"/>
    <xf numFmtId="0" fontId="25340" fillId="25350" borderId="25297" xfId="0" applyFont="1" applyFill="1" applyBorder="1"/>
    <xf numFmtId="0" fontId="25341" fillId="25351" borderId="25298" xfId="0" applyFont="1" applyFill="1" applyBorder="1"/>
    <xf numFmtId="0" fontId="2395" fillId="2396" borderId="2341" xfId="0" applyFont="1" applyFill="1" applyBorder="1" applyAlignment="1">
      <alignment horizontal="center" vertical="center"/>
    </xf>
    <xf numFmtId="0" fontId="2396" fillId="2397" borderId="2342" xfId="0" applyFont="1" applyFill="1" applyBorder="1" applyAlignment="1">
      <alignment horizontal="center" vertical="center"/>
    </xf>
    <xf numFmtId="0" fontId="2397" fillId="2398" borderId="2343" xfId="0" applyFont="1" applyFill="1" applyBorder="1" applyAlignment="1">
      <alignment horizontal="center" vertical="center"/>
    </xf>
    <xf numFmtId="0" fontId="2398" fillId="2399" borderId="2344" xfId="0" applyFont="1" applyFill="1" applyBorder="1" applyAlignment="1">
      <alignment horizontal="center" vertical="center"/>
    </xf>
    <xf numFmtId="0" fontId="2399" fillId="2400" borderId="2345" xfId="0" applyFont="1" applyFill="1" applyBorder="1" applyAlignment="1">
      <alignment horizontal="center" vertical="center"/>
    </xf>
    <xf numFmtId="0" fontId="2400" fillId="2401" borderId="2346" xfId="0" applyFont="1" applyFill="1" applyBorder="1" applyAlignment="1">
      <alignment horizontal="center" vertical="center"/>
    </xf>
    <xf numFmtId="0" fontId="2401" fillId="2402" borderId="2347" xfId="0" applyFont="1" applyFill="1" applyBorder="1" applyAlignment="1">
      <alignment horizontal="center" vertical="center"/>
    </xf>
    <xf numFmtId="0" fontId="2402" fillId="2403" borderId="2348" xfId="0" applyFont="1" applyFill="1" applyBorder="1" applyAlignment="1">
      <alignment horizontal="center" vertical="center"/>
    </xf>
    <xf numFmtId="0" fontId="2403" fillId="2404" borderId="2349" xfId="0" applyFont="1" applyFill="1" applyBorder="1" applyAlignment="1">
      <alignment horizontal="center" vertical="center"/>
    </xf>
    <xf numFmtId="0" fontId="2140" fillId="2141" borderId="2086" xfId="0" applyFont="1" applyFill="1" applyBorder="1" applyAlignment="1">
      <alignment horizontal="center" vertical="center"/>
    </xf>
    <xf numFmtId="0" fontId="2384" fillId="2385" borderId="2330" xfId="0" applyFont="1" applyFill="1" applyBorder="1" applyAlignment="1">
      <alignment horizontal="center" vertical="center"/>
    </xf>
    <xf numFmtId="0" fontId="2385" fillId="2386" borderId="2331" xfId="0" applyFont="1" applyFill="1" applyBorder="1"/>
    <xf numFmtId="0" fontId="557" fillId="555" borderId="552" xfId="0" applyFont="1" applyFill="1" applyBorder="1" applyAlignment="1">
      <alignment vertical="center"/>
    </xf>
    <xf numFmtId="0" fontId="600" fillId="599" borderId="594" xfId="0" applyFont="1" applyFill="1" applyBorder="1"/>
    <xf numFmtId="0" fontId="601" fillId="600" borderId="595" xfId="0" applyFont="1" applyFill="1" applyBorder="1"/>
    <xf numFmtId="0" fontId="602" fillId="601" borderId="596" xfId="0" applyFont="1" applyFill="1" applyBorder="1"/>
    <xf numFmtId="0" fontId="603" fillId="602" borderId="597" xfId="0" applyFont="1" applyFill="1" applyBorder="1"/>
    <xf numFmtId="0" fontId="604" fillId="603" borderId="598" xfId="0" applyFont="1" applyFill="1" applyBorder="1"/>
    <xf numFmtId="0" fontId="605" fillId="604" borderId="599" xfId="0" applyFont="1" applyFill="1" applyBorder="1"/>
    <xf numFmtId="0" fontId="606" fillId="605" borderId="600" xfId="0" applyFont="1" applyFill="1" applyBorder="1"/>
    <xf numFmtId="0" fontId="607" fillId="606" borderId="601" xfId="0" applyFont="1" applyFill="1" applyBorder="1"/>
    <xf numFmtId="0" fontId="608" fillId="607" borderId="602" xfId="0" applyFont="1" applyFill="1" applyBorder="1"/>
    <xf numFmtId="0" fontId="205" fillId="203" borderId="201" xfId="0" applyFont="1" applyFill="1" applyBorder="1" applyAlignment="1">
      <alignment horizontal="center" vertical="center"/>
    </xf>
    <xf numFmtId="0" fontId="396" fillId="394" borderId="391" xfId="0" applyFont="1" applyFill="1" applyBorder="1"/>
    <xf numFmtId="0" fontId="397" fillId="395" borderId="392" xfId="0" applyFont="1" applyFill="1" applyBorder="1"/>
    <xf numFmtId="0" fontId="398" fillId="396" borderId="393" xfId="0" applyFont="1" applyFill="1" applyBorder="1"/>
    <xf numFmtId="0" fontId="399" fillId="397" borderId="394" xfId="0" applyFont="1" applyFill="1" applyBorder="1"/>
    <xf numFmtId="0" fontId="400" fillId="398" borderId="395" xfId="0" applyFont="1" applyFill="1" applyBorder="1"/>
    <xf numFmtId="0" fontId="401" fillId="399" borderId="396" xfId="0" applyFont="1" applyFill="1" applyBorder="1"/>
    <xf numFmtId="0" fontId="402" fillId="400" borderId="397" xfId="0" applyFont="1" applyFill="1" applyBorder="1"/>
    <xf numFmtId="0" fontId="403" fillId="401" borderId="398" xfId="0" applyFont="1" applyFill="1" applyBorder="1"/>
    <xf numFmtId="0" fontId="404" fillId="402" borderId="399" xfId="0" applyFont="1" applyFill="1" applyBorder="1"/>
    <xf numFmtId="0" fontId="206" fillId="204" borderId="202" xfId="0" applyFont="1" applyFill="1" applyBorder="1" applyAlignment="1">
      <alignment vertical="center"/>
    </xf>
    <xf numFmtId="0" fontId="415" fillId="413" borderId="410" xfId="0" applyFont="1" applyFill="1" applyBorder="1"/>
    <xf numFmtId="0" fontId="416" fillId="414" borderId="411" xfId="0" applyFont="1" applyFill="1" applyBorder="1"/>
    <xf numFmtId="0" fontId="417" fillId="415" borderId="412" xfId="0" applyFont="1" applyFill="1" applyBorder="1"/>
    <xf numFmtId="0" fontId="218" fillId="216" borderId="214" xfId="0" applyFont="1" applyFill="1" applyBorder="1" applyAlignment="1">
      <alignment horizontal="center" vertical="center"/>
    </xf>
    <xf numFmtId="0" fontId="418" fillId="416" borderId="413" xfId="0" applyFont="1" applyFill="1" applyBorder="1"/>
    <xf numFmtId="0" fontId="419" fillId="417" borderId="414" xfId="0" applyFont="1" applyFill="1" applyBorder="1"/>
    <xf numFmtId="0" fontId="420" fillId="418" borderId="415" xfId="0" applyFont="1" applyFill="1" applyBorder="1"/>
    <xf numFmtId="0" fontId="421" fillId="419" borderId="416" xfId="0" applyFont="1" applyFill="1" applyBorder="1"/>
    <xf numFmtId="0" fontId="422" fillId="420" borderId="417" xfId="0" applyFont="1" applyFill="1" applyBorder="1"/>
    <xf numFmtId="0" fontId="217" fillId="215" borderId="213" xfId="0" applyFont="1" applyFill="1" applyBorder="1" applyAlignment="1">
      <alignment horizontal="center" vertical="center"/>
    </xf>
    <xf numFmtId="0" fontId="425" fillId="423" borderId="420" xfId="0" applyFont="1" applyFill="1" applyBorder="1"/>
    <xf numFmtId="0" fontId="426" fillId="424" borderId="421" xfId="0" applyFont="1" applyFill="1" applyBorder="1"/>
    <xf numFmtId="0" fontId="427" fillId="425" borderId="422" xfId="0" applyFont="1" applyFill="1" applyBorder="1"/>
    <xf numFmtId="0" fontId="428" fillId="426" borderId="423" xfId="0" applyFont="1" applyFill="1" applyBorder="1"/>
    <xf numFmtId="0" fontId="432" fillId="430" borderId="427" xfId="0" applyFont="1" applyFill="1" applyBorder="1"/>
    <xf numFmtId="0" fontId="433" fillId="431" borderId="428" xfId="0" applyFont="1" applyFill="1" applyBorder="1"/>
    <xf numFmtId="0" fontId="434" fillId="432" borderId="429" xfId="0" applyFont="1" applyFill="1" applyBorder="1"/>
    <xf numFmtId="0" fontId="435" fillId="433" borderId="430" xfId="0" applyFont="1" applyFill="1" applyBorder="1"/>
    <xf numFmtId="0" fontId="436" fillId="434" borderId="431" xfId="0" applyFont="1" applyFill="1" applyBorder="1"/>
    <xf numFmtId="0" fontId="440" fillId="438" borderId="435" xfId="0" applyFont="1" applyFill="1" applyBorder="1"/>
    <xf numFmtId="0" fontId="441" fillId="439" borderId="436" xfId="0" applyFont="1" applyFill="1" applyBorder="1"/>
    <xf numFmtId="0" fontId="442" fillId="440" borderId="437" xfId="0" applyFont="1" applyFill="1" applyBorder="1"/>
    <xf numFmtId="0" fontId="443" fillId="441" borderId="438" xfId="0" applyFont="1" applyFill="1" applyBorder="1"/>
    <xf numFmtId="0" fontId="444" fillId="442" borderId="439" xfId="0" applyFont="1" applyFill="1" applyBorder="1"/>
    <xf numFmtId="0" fontId="448" fillId="446" borderId="443" xfId="0" applyFont="1" applyFill="1" applyBorder="1"/>
    <xf numFmtId="0" fontId="449" fillId="447" borderId="444" xfId="0" applyFont="1" applyFill="1" applyBorder="1"/>
    <xf numFmtId="0" fontId="450" fillId="448" borderId="445" xfId="0" applyFont="1" applyFill="1" applyBorder="1"/>
    <xf numFmtId="0" fontId="451" fillId="449" borderId="446" xfId="0" applyFont="1" applyFill="1" applyBorder="1"/>
    <xf numFmtId="0" fontId="452" fillId="450" borderId="447" xfId="0" applyFont="1" applyFill="1" applyBorder="1"/>
    <xf numFmtId="0" fontId="456" fillId="454" borderId="451" xfId="0" applyFont="1" applyFill="1" applyBorder="1"/>
    <xf numFmtId="0" fontId="457" fillId="455" borderId="452" xfId="0" applyFont="1" applyFill="1" applyBorder="1"/>
    <xf numFmtId="0" fontId="458" fillId="456" borderId="453" xfId="0" applyFont="1" applyFill="1" applyBorder="1"/>
    <xf numFmtId="0" fontId="459" fillId="457" borderId="454" xfId="0" applyFont="1" applyFill="1" applyBorder="1"/>
    <xf numFmtId="0" fontId="460" fillId="458" borderId="455" xfId="0" applyFont="1" applyFill="1" applyBorder="1"/>
    <xf numFmtId="0" fontId="219" fillId="217" borderId="215" xfId="0" applyFont="1" applyFill="1" applyBorder="1" applyAlignment="1">
      <alignment vertical="center"/>
    </xf>
    <xf numFmtId="0" fontId="472" fillId="470" borderId="467" xfId="0" applyFont="1" applyFill="1" applyBorder="1"/>
    <xf numFmtId="0" fontId="473" fillId="471" borderId="468" xfId="0" applyFont="1" applyFill="1" applyBorder="1"/>
    <xf numFmtId="0" fontId="474" fillId="472" borderId="469" xfId="0" applyFont="1" applyFill="1" applyBorder="1"/>
    <xf numFmtId="0" fontId="475" fillId="473" borderId="470" xfId="0" applyFont="1" applyFill="1" applyBorder="1"/>
    <xf numFmtId="0" fontId="476" fillId="474" borderId="471" xfId="0" applyFont="1" applyFill="1" applyBorder="1"/>
    <xf numFmtId="0" fontId="477" fillId="475" borderId="472" xfId="0" applyFont="1" applyFill="1" applyBorder="1"/>
    <xf numFmtId="0" fontId="478" fillId="476" borderId="473" xfId="0" applyFont="1" applyFill="1" applyBorder="1"/>
    <xf numFmtId="0" fontId="479" fillId="477" borderId="474" xfId="0" applyFont="1" applyFill="1" applyBorder="1"/>
    <xf numFmtId="0" fontId="480" fillId="478" borderId="475" xfId="0" applyFont="1" applyFill="1" applyBorder="1"/>
    <xf numFmtId="0" fontId="284" fillId="282" borderId="280" xfId="0" applyFont="1" applyFill="1" applyBorder="1" applyAlignment="1">
      <alignment vertical="center"/>
    </xf>
    <xf numFmtId="0" fontId="507" fillId="505" borderId="502" xfId="0" applyFont="1" applyFill="1" applyBorder="1"/>
    <xf numFmtId="0" fontId="508" fillId="506" borderId="503" xfId="0" applyFont="1" applyFill="1" applyBorder="1"/>
    <xf numFmtId="0" fontId="509" fillId="507" borderId="504" xfId="0" applyFont="1" applyFill="1" applyBorder="1"/>
    <xf numFmtId="0" fontId="510" fillId="508" borderId="505" xfId="0" applyFont="1" applyFill="1" applyBorder="1"/>
    <xf numFmtId="0" fontId="511" fillId="509" borderId="506" xfId="0" applyFont="1" applyFill="1" applyBorder="1"/>
    <xf numFmtId="0" fontId="512" fillId="510" borderId="507" xfId="0" applyFont="1" applyFill="1" applyBorder="1"/>
    <xf numFmtId="0" fontId="513" fillId="511" borderId="508" xfId="0" applyFont="1" applyFill="1" applyBorder="1"/>
    <xf numFmtId="0" fontId="514" fillId="512" borderId="509" xfId="0" applyFont="1" applyFill="1" applyBorder="1"/>
    <xf numFmtId="0" fontId="515" fillId="513" borderId="510" xfId="0" applyFont="1" applyFill="1" applyBorder="1"/>
    <xf numFmtId="0" fontId="365" fillId="363" borderId="646" xfId="0" applyFont="1" applyFill="1" applyBorder="1" applyAlignment="1">
      <alignment horizontal="center" vertical="center"/>
    </xf>
    <xf numFmtId="0" fontId="16477" fillId="16481" borderId="16428" xfId="0" applyFont="1" applyFill="1" applyBorder="1" applyAlignment="1">
      <alignment horizontal="center"/>
    </xf>
    <xf numFmtId="0" fontId="16478" fillId="16482" borderId="16429" xfId="0" applyFont="1" applyFill="1" applyBorder="1" applyAlignment="1">
      <alignment horizontal="right" vertical="center" wrapText="1"/>
    </xf>
    <xf numFmtId="166" fontId="16479" fillId="16483" borderId="16430" xfId="0" applyNumberFormat="1" applyFont="1" applyFill="1" applyBorder="1" applyAlignment="1">
      <alignment horizontal="center" vertical="center" wrapText="1"/>
    </xf>
    <xf numFmtId="0" fontId="16480" fillId="16484" borderId="16431" xfId="0" applyFont="1" applyFill="1" applyBorder="1" applyAlignment="1">
      <alignment horizontal="right" vertical="center" wrapText="1"/>
    </xf>
    <xf numFmtId="164" fontId="16481" fillId="16485" borderId="16432" xfId="0" applyNumberFormat="1" applyFont="1" applyFill="1" applyBorder="1" applyAlignment="1">
      <alignment horizontal="center" vertical="center" wrapText="1"/>
    </xf>
    <xf numFmtId="0" fontId="16482" fillId="16486" borderId="16433" xfId="0" applyFont="1" applyFill="1" applyBorder="1" applyAlignment="1">
      <alignment horizontal="center" vertical="center" wrapText="1"/>
    </xf>
    <xf numFmtId="0" fontId="16483" fillId="16487" borderId="16434" xfId="0" applyFont="1" applyFill="1" applyBorder="1" applyAlignment="1">
      <alignment horizontal="center" vertical="center" wrapText="1"/>
    </xf>
    <xf numFmtId="0" fontId="16489" fillId="16493" borderId="16440" xfId="0" applyFont="1" applyFill="1" applyBorder="1" applyAlignment="1">
      <alignment horizontal="center" wrapText="1"/>
    </xf>
    <xf numFmtId="0" fontId="16490" fillId="16494" borderId="16441" xfId="0" applyFont="1" applyFill="1" applyBorder="1" applyAlignment="1">
      <alignment horizontal="center" vertical="center" wrapText="1"/>
    </xf>
    <xf numFmtId="166" fontId="16491" fillId="16495" borderId="16442" xfId="0" applyNumberFormat="1" applyFont="1" applyFill="1" applyBorder="1" applyAlignment="1">
      <alignment horizontal="center" vertical="center" wrapText="1"/>
    </xf>
    <xf numFmtId="3" fontId="16492" fillId="16496" borderId="16443" xfId="0" applyNumberFormat="1" applyFont="1" applyFill="1" applyBorder="1" applyAlignment="1">
      <alignment horizontal="center" vertical="center" wrapText="1"/>
    </xf>
    <xf numFmtId="3" fontId="16493" fillId="16497" borderId="16444" xfId="0" applyNumberFormat="1" applyFont="1" applyFill="1" applyBorder="1" applyAlignment="1">
      <alignment horizontal="center" vertical="center" wrapText="1"/>
    </xf>
    <xf numFmtId="3" fontId="16494" fillId="16498" borderId="16445" xfId="0" applyNumberFormat="1" applyFont="1" applyFill="1" applyBorder="1" applyAlignment="1">
      <alignment horizontal="center" vertical="center" wrapText="1"/>
    </xf>
    <xf numFmtId="164" fontId="16495" fillId="16499" borderId="16446" xfId="0" applyNumberFormat="1" applyFont="1" applyFill="1" applyBorder="1" applyAlignment="1">
      <alignment horizontal="center" vertical="center" wrapText="1"/>
    </xf>
    <xf numFmtId="164" fontId="16496" fillId="16500" borderId="16447" xfId="0" applyNumberFormat="1" applyFont="1" applyFill="1" applyBorder="1" applyAlignment="1">
      <alignment horizontal="center" vertical="center" wrapText="1"/>
    </xf>
    <xf numFmtId="164" fontId="16497" fillId="16501" borderId="16448" xfId="0" applyNumberFormat="1" applyFont="1" applyFill="1" applyBorder="1" applyAlignment="1">
      <alignment horizontal="center" vertical="center"/>
    </xf>
    <xf numFmtId="2" fontId="16498" fillId="16502" borderId="16449" xfId="0" applyNumberFormat="1" applyFont="1" applyFill="1" applyBorder="1" applyAlignment="1">
      <alignment horizontal="right" vertical="center"/>
    </xf>
    <xf numFmtId="0" fontId="220" fillId="659" borderId="2351" xfId="0" applyFont="1" applyFill="1" applyBorder="1" applyAlignment="1">
      <alignment horizontal="center" vertical="center"/>
    </xf>
    <xf numFmtId="0" fontId="220" fillId="659" borderId="2352" xfId="0" applyFont="1" applyFill="1" applyBorder="1" applyAlignment="1">
      <alignment horizontal="center" vertical="center"/>
    </xf>
    <xf numFmtId="0" fontId="651" fillId="651" borderId="646" xfId="0" applyFont="1" applyFill="1" applyBorder="1" applyAlignment="1">
      <alignment horizontal="center" vertical="center"/>
    </xf>
    <xf numFmtId="0" fontId="653" fillId="653" borderId="2085" xfId="0" applyFont="1" applyFill="1" applyBorder="1" applyAlignment="1">
      <alignment horizontal="center" vertical="center"/>
    </xf>
    <xf numFmtId="0" fontId="658" fillId="658" borderId="2085" xfId="0" applyFont="1" applyFill="1" applyBorder="1" applyAlignment="1">
      <alignment horizontal="center" vertical="center"/>
    </xf>
    <xf numFmtId="0" fontId="657" fillId="657" borderId="2085" xfId="0" applyFont="1" applyFill="1" applyBorder="1" applyAlignment="1">
      <alignment horizontal="center" vertical="center"/>
    </xf>
    <xf numFmtId="0" fontId="656" fillId="656" borderId="2085" xfId="0" applyFont="1" applyFill="1" applyBorder="1" applyAlignment="1">
      <alignment horizontal="center" vertical="center"/>
    </xf>
    <xf numFmtId="0" fontId="655" fillId="655" borderId="2085" xfId="0" applyFont="1" applyFill="1" applyBorder="1" applyAlignment="1">
      <alignment horizontal="center" vertical="center"/>
    </xf>
    <xf numFmtId="0" fontId="654" fillId="654" borderId="2085" xfId="0" applyFont="1" applyFill="1" applyBorder="1" applyAlignment="1">
      <alignment horizontal="center" vertical="center"/>
    </xf>
    <xf numFmtId="0" fontId="652" fillId="652" borderId="2085" xfId="0" applyFont="1" applyFill="1" applyBorder="1" applyAlignment="1">
      <alignment horizontal="center" vertical="center"/>
    </xf>
    <xf numFmtId="0" fontId="220" fillId="653" borderId="2085" xfId="0" applyFont="1" applyFill="1" applyBorder="1" applyAlignment="1">
      <alignment horizontal="center" vertical="center"/>
    </xf>
    <xf numFmtId="0" fontId="3905" fillId="3908" borderId="3856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2572" fillId="2574" borderId="2522" xfId="0" applyFont="1" applyFill="1" applyBorder="1" applyAlignment="1">
      <alignment horizontal="center"/>
    </xf>
    <xf numFmtId="0" fontId="2573" fillId="2575" borderId="2523" xfId="0" applyFont="1" applyFill="1" applyBorder="1" applyAlignment="1">
      <alignment horizontal="center"/>
    </xf>
    <xf numFmtId="0" fontId="2574" fillId="2576" borderId="2524" xfId="0" applyFont="1" applyFill="1" applyBorder="1" applyAlignment="1">
      <alignment horizontal="center"/>
    </xf>
    <xf numFmtId="0" fontId="2575" fillId="2577" borderId="2525" xfId="0" applyFont="1" applyFill="1" applyBorder="1" applyAlignment="1">
      <alignment horizontal="center"/>
    </xf>
    <xf numFmtId="0" fontId="2576" fillId="2578" borderId="2526" xfId="0" applyFont="1" applyFill="1" applyBorder="1" applyAlignment="1">
      <alignment horizontal="center"/>
    </xf>
    <xf numFmtId="0" fontId="2577" fillId="2579" borderId="2527" xfId="0" applyFont="1" applyFill="1" applyBorder="1" applyAlignment="1">
      <alignment horizontal="center"/>
    </xf>
    <xf numFmtId="0" fontId="2578" fillId="2580" borderId="2528" xfId="0" applyFont="1" applyFill="1" applyBorder="1" applyAlignment="1">
      <alignment horizontal="center"/>
    </xf>
    <xf numFmtId="0" fontId="2579" fillId="2581" borderId="2529" xfId="0" applyFont="1" applyFill="1" applyBorder="1" applyAlignment="1">
      <alignment horizontal="center"/>
    </xf>
    <xf numFmtId="0" fontId="2436" fillId="2438" borderId="2386" xfId="0" applyFont="1" applyFill="1" applyBorder="1" applyAlignment="1">
      <alignment horizontal="center"/>
    </xf>
    <xf numFmtId="0" fontId="2437" fillId="2439" borderId="2387" xfId="0" applyFont="1" applyFill="1" applyBorder="1" applyAlignment="1">
      <alignment horizontal="center"/>
    </xf>
    <xf numFmtId="0" fontId="2437" fillId="2439" borderId="2521" xfId="0" applyFont="1" applyFill="1" applyBorder="1" applyAlignment="1">
      <alignment horizontal="center"/>
    </xf>
    <xf numFmtId="0" fontId="2438" fillId="2440" borderId="2388" xfId="0" applyFont="1" applyFill="1" applyBorder="1" applyAlignment="1">
      <alignment horizontal="center"/>
    </xf>
    <xf numFmtId="0" fontId="2439" fillId="2441" borderId="2389" xfId="0" applyFont="1" applyFill="1" applyBorder="1" applyAlignment="1">
      <alignment horizontal="center"/>
    </xf>
    <xf numFmtId="0" fontId="11584" fillId="11588" borderId="11535" xfId="0" applyFont="1" applyFill="1" applyBorder="1"/>
    <xf numFmtId="0" fontId="11585" fillId="11589" borderId="11536" xfId="0" applyFont="1" applyFill="1" applyBorder="1"/>
    <xf numFmtId="0" fontId="16822" fillId="16826" borderId="16773" xfId="0" applyFont="1" applyFill="1" applyBorder="1" applyAlignment="1">
      <alignment horizontal="center" wrapText="1"/>
    </xf>
    <xf numFmtId="4" fontId="16620" fillId="16624" borderId="16571" xfId="0" applyNumberFormat="1" applyFont="1" applyFill="1" applyBorder="1" applyAlignment="1">
      <alignment horizontal="center" wrapText="1"/>
    </xf>
    <xf numFmtId="4" fontId="16621" fillId="16625" borderId="16572" xfId="0" applyNumberFormat="1" applyFont="1" applyFill="1" applyBorder="1" applyAlignment="1">
      <alignment horizontal="center" wrapText="1"/>
    </xf>
    <xf numFmtId="4" fontId="16622" fillId="16626" borderId="16573" xfId="0" applyNumberFormat="1" applyFont="1" applyFill="1" applyBorder="1" applyAlignment="1">
      <alignment horizontal="center" wrapText="1"/>
    </xf>
    <xf numFmtId="4" fontId="16623" fillId="16627" borderId="16574" xfId="0" applyNumberFormat="1" applyFont="1" applyFill="1" applyBorder="1" applyAlignment="1">
      <alignment horizontal="center" wrapText="1"/>
    </xf>
    <xf numFmtId="4" fontId="16624" fillId="16628" borderId="16575" xfId="0" applyNumberFormat="1" applyFont="1" applyFill="1" applyBorder="1" applyAlignment="1">
      <alignment horizontal="center" wrapText="1"/>
    </xf>
    <xf numFmtId="4" fontId="16625" fillId="16629" borderId="16576" xfId="0" applyNumberFormat="1" applyFont="1" applyFill="1" applyBorder="1" applyAlignment="1">
      <alignment horizontal="center" wrapText="1"/>
    </xf>
    <xf numFmtId="4" fontId="16626" fillId="16630" borderId="16577" xfId="0" applyNumberFormat="1" applyFont="1" applyFill="1" applyBorder="1" applyAlignment="1">
      <alignment horizontal="center" wrapText="1"/>
    </xf>
    <xf numFmtId="0" fontId="16627" fillId="16631" borderId="16578" xfId="0" applyFont="1" applyFill="1" applyBorder="1" applyAlignment="1">
      <alignment horizontal="center" wrapText="1"/>
    </xf>
    <xf numFmtId="0" fontId="16628" fillId="16632" borderId="16579" xfId="0" applyFont="1" applyFill="1" applyBorder="1" applyAlignment="1">
      <alignment horizontal="center" wrapText="1"/>
    </xf>
    <xf numFmtId="0" fontId="16823" fillId="16827" borderId="16774" xfId="0" applyFont="1" applyFill="1" applyBorder="1"/>
    <xf numFmtId="165" fontId="16629" fillId="16633" borderId="16580" xfId="0" applyNumberFormat="1" applyFont="1" applyFill="1" applyBorder="1"/>
    <xf numFmtId="165" fontId="16630" fillId="16634" borderId="16581" xfId="0" applyNumberFormat="1" applyFont="1" applyFill="1" applyBorder="1"/>
    <xf numFmtId="0" fontId="16885" fillId="16889" borderId="16836" xfId="0" applyFont="1" applyFill="1" applyBorder="1" applyAlignment="1">
      <alignment horizontal="center"/>
    </xf>
    <xf numFmtId="0" fontId="16646" fillId="16650" borderId="16597" xfId="0" applyFont="1" applyFill="1" applyBorder="1"/>
    <xf numFmtId="4" fontId="16647" fillId="16651" borderId="16598" xfId="0" applyNumberFormat="1" applyFont="1" applyFill="1" applyBorder="1"/>
    <xf numFmtId="165" fontId="16648" fillId="16652" borderId="16599" xfId="0" applyNumberFormat="1" applyFont="1" applyFill="1" applyBorder="1"/>
    <xf numFmtId="4" fontId="16649" fillId="16653" borderId="16600" xfId="0" applyNumberFormat="1" applyFont="1" applyFill="1" applyBorder="1"/>
    <xf numFmtId="168" fontId="16650" fillId="16654" borderId="16601" xfId="0" applyNumberFormat="1" applyFont="1" applyFill="1" applyBorder="1"/>
    <xf numFmtId="165" fontId="16651" fillId="16655" borderId="16602" xfId="0" applyNumberFormat="1" applyFont="1" applyFill="1" applyBorder="1"/>
    <xf numFmtId="4" fontId="16652" fillId="16656" borderId="16603" xfId="0" applyNumberFormat="1" applyFont="1" applyFill="1" applyBorder="1"/>
    <xf numFmtId="165" fontId="16653" fillId="16657" borderId="16604" xfId="0" applyNumberFormat="1" applyFont="1" applyFill="1" applyBorder="1"/>
    <xf numFmtId="0" fontId="17120" fillId="17124" borderId="17071" xfId="0" applyFont="1" applyFill="1" applyBorder="1" applyAlignment="1">
      <alignment horizontal="center"/>
    </xf>
    <xf numFmtId="0" fontId="16662" fillId="16666" borderId="16613" xfId="0" applyFont="1" applyFill="1" applyBorder="1"/>
    <xf numFmtId="165" fontId="16663" fillId="16667" borderId="16614" xfId="0" applyNumberFormat="1" applyFont="1" applyFill="1" applyBorder="1"/>
    <xf numFmtId="4" fontId="16664" fillId="16668" borderId="16615" xfId="0" applyNumberFormat="1" applyFont="1" applyFill="1" applyBorder="1"/>
    <xf numFmtId="168" fontId="16665" fillId="16669" borderId="16616" xfId="0" applyNumberFormat="1" applyFont="1" applyFill="1" applyBorder="1"/>
    <xf numFmtId="165" fontId="16666" fillId="16670" borderId="16617" xfId="0" applyNumberFormat="1" applyFont="1" applyFill="1" applyBorder="1"/>
    <xf numFmtId="165" fontId="16667" fillId="16671" borderId="16618" xfId="0" applyNumberFormat="1" applyFont="1" applyFill="1" applyBorder="1"/>
    <xf numFmtId="4" fontId="16668" fillId="16672" borderId="16619" xfId="0" applyNumberFormat="1" applyFont="1" applyFill="1" applyBorder="1"/>
    <xf numFmtId="0" fontId="16895" fillId="16899" borderId="16846" xfId="0" applyFont="1" applyFill="1" applyBorder="1" applyAlignment="1">
      <alignment horizontal="center"/>
    </xf>
    <xf numFmtId="0" fontId="16896" fillId="16900" borderId="16847" xfId="0" applyFont="1" applyFill="1" applyBorder="1"/>
    <xf numFmtId="4" fontId="16897" fillId="16901" borderId="16848" xfId="0" applyNumberFormat="1" applyFont="1" applyFill="1" applyBorder="1"/>
    <xf numFmtId="165" fontId="16898" fillId="16902" borderId="16849" xfId="0" applyNumberFormat="1" applyFont="1" applyFill="1" applyBorder="1"/>
    <xf numFmtId="4" fontId="16899" fillId="16903" borderId="16850" xfId="0" applyNumberFormat="1" applyFont="1" applyFill="1" applyBorder="1"/>
    <xf numFmtId="168" fontId="16900" fillId="16904" borderId="16851" xfId="0" applyNumberFormat="1" applyFont="1" applyFill="1" applyBorder="1"/>
    <xf numFmtId="165" fontId="16901" fillId="16905" borderId="16852" xfId="0" applyNumberFormat="1" applyFont="1" applyFill="1" applyBorder="1"/>
    <xf numFmtId="4" fontId="16902" fillId="16906" borderId="16853" xfId="0" applyNumberFormat="1" applyFont="1" applyFill="1" applyBorder="1"/>
    <xf numFmtId="165" fontId="16903" fillId="16907" borderId="16854" xfId="0" applyNumberFormat="1" applyFont="1" applyFill="1" applyBorder="1"/>
    <xf numFmtId="0" fontId="16904" fillId="16908" borderId="16855" xfId="0" applyFont="1" applyFill="1" applyBorder="1" applyAlignment="1">
      <alignment horizontal="center"/>
    </xf>
    <xf numFmtId="0" fontId="16905" fillId="16909" borderId="16856" xfId="0" applyFont="1" applyFill="1" applyBorder="1"/>
    <xf numFmtId="4" fontId="16906" fillId="16910" borderId="16857" xfId="0" applyNumberFormat="1" applyFont="1" applyFill="1" applyBorder="1"/>
    <xf numFmtId="0" fontId="17021" fillId="17025" borderId="16972" xfId="0" applyFont="1" applyFill="1" applyBorder="1" applyAlignment="1">
      <alignment horizontal="center"/>
    </xf>
    <xf numFmtId="0" fontId="17022" fillId="17026" borderId="16973" xfId="0" applyFont="1" applyFill="1" applyBorder="1"/>
    <xf numFmtId="4" fontId="17023" fillId="17027" borderId="16974" xfId="0" applyNumberFormat="1" applyFont="1" applyFill="1" applyBorder="1"/>
    <xf numFmtId="165" fontId="17024" fillId="17028" borderId="16975" xfId="0" applyNumberFormat="1" applyFont="1" applyFill="1" applyBorder="1"/>
    <xf numFmtId="4" fontId="17025" fillId="17029" borderId="16976" xfId="0" applyNumberFormat="1" applyFont="1" applyFill="1" applyBorder="1"/>
    <xf numFmtId="168" fontId="17026" fillId="17030" borderId="16977" xfId="0" applyNumberFormat="1" applyFont="1" applyFill="1" applyBorder="1"/>
    <xf numFmtId="165" fontId="17027" fillId="17031" borderId="16978" xfId="0" applyNumberFormat="1" applyFont="1" applyFill="1" applyBorder="1"/>
    <xf numFmtId="4" fontId="17028" fillId="17032" borderId="16979" xfId="0" applyNumberFormat="1" applyFont="1" applyFill="1" applyBorder="1"/>
    <xf numFmtId="165" fontId="17029" fillId="17033" borderId="16980" xfId="0" applyNumberFormat="1" applyFont="1" applyFill="1" applyBorder="1"/>
    <xf numFmtId="0" fontId="15979" fillId="15983" borderId="15930" xfId="0" applyFont="1" applyFill="1" applyBorder="1"/>
    <xf numFmtId="0" fontId="16476" fillId="16480" borderId="16427" xfId="0" applyFont="1" applyFill="1" applyBorder="1"/>
    <xf numFmtId="0" fontId="17329" fillId="17333" borderId="17280" xfId="0" applyFont="1" applyFill="1" applyBorder="1" applyAlignment="1">
      <alignment horizontal="center"/>
    </xf>
    <xf numFmtId="0" fontId="15764" fillId="15768" borderId="15715" xfId="0" applyFont="1" applyFill="1" applyBorder="1"/>
    <xf numFmtId="4" fontId="15765" fillId="15769" borderId="15716" xfId="0" applyNumberFormat="1" applyFont="1" applyFill="1" applyBorder="1"/>
    <xf numFmtId="165" fontId="15766" fillId="15770" borderId="15717" xfId="0" applyNumberFormat="1" applyFont="1" applyFill="1" applyBorder="1"/>
    <xf numFmtId="4" fontId="15767" fillId="15771" borderId="15718" xfId="0" applyNumberFormat="1" applyFont="1" applyFill="1" applyBorder="1"/>
    <xf numFmtId="168" fontId="15768" fillId="15772" borderId="15719" xfId="0" applyNumberFormat="1" applyFont="1" applyFill="1" applyBorder="1"/>
    <xf numFmtId="165" fontId="15769" fillId="15773" borderId="15720" xfId="0" applyNumberFormat="1" applyFont="1" applyFill="1" applyBorder="1"/>
    <xf numFmtId="4" fontId="15770" fillId="15774" borderId="15721" xfId="0" applyNumberFormat="1" applyFont="1" applyFill="1" applyBorder="1"/>
    <xf numFmtId="0" fontId="16669" fillId="16673" borderId="16620" xfId="0" applyFont="1" applyFill="1" applyBorder="1" applyAlignment="1">
      <alignment horizontal="center" vertical="center"/>
    </xf>
    <xf numFmtId="0" fontId="16670" fillId="16674" borderId="16621" xfId="0" applyFont="1" applyFill="1" applyBorder="1" applyAlignment="1">
      <alignment horizontal="right"/>
    </xf>
    <xf numFmtId="0" fontId="16675" fillId="16679" borderId="16626" xfId="0" applyFont="1" applyFill="1" applyBorder="1"/>
    <xf numFmtId="0" fontId="16725" fillId="16729" borderId="16676" xfId="0" applyFont="1" applyFill="1" applyBorder="1" applyAlignment="1">
      <alignment horizontal="center" wrapText="1"/>
    </xf>
    <xf numFmtId="0" fontId="16726" fillId="16730" borderId="16677" xfId="0" applyFont="1" applyFill="1" applyBorder="1" applyAlignment="1">
      <alignment horizontal="center" wrapText="1"/>
    </xf>
    <xf numFmtId="0" fontId="16727" fillId="16731" borderId="16678" xfId="0" applyFont="1" applyFill="1" applyBorder="1" applyAlignment="1">
      <alignment horizontal="center" wrapText="1"/>
    </xf>
    <xf numFmtId="0" fontId="16728" fillId="16732" borderId="16679" xfId="0" applyFont="1" applyFill="1" applyBorder="1" applyAlignment="1">
      <alignment horizontal="center" wrapText="1"/>
    </xf>
    <xf numFmtId="0" fontId="16729" fillId="16733" borderId="16680" xfId="0" applyFont="1" applyFill="1" applyBorder="1" applyAlignment="1">
      <alignment horizontal="center" wrapText="1"/>
    </xf>
    <xf numFmtId="0" fontId="16730" fillId="16734" borderId="16681" xfId="0" applyFont="1" applyFill="1" applyBorder="1" applyAlignment="1">
      <alignment horizontal="center" wrapText="1"/>
    </xf>
    <xf numFmtId="0" fontId="16731" fillId="16735" borderId="16682" xfId="0" applyFont="1" applyFill="1" applyBorder="1" applyAlignment="1">
      <alignment horizontal="center" wrapText="1"/>
    </xf>
    <xf numFmtId="0" fontId="16732" fillId="16736" borderId="16683" xfId="0" applyFont="1" applyFill="1" applyBorder="1" applyAlignment="1">
      <alignment horizontal="center" wrapText="1"/>
    </xf>
    <xf numFmtId="0" fontId="16814" fillId="16818" borderId="16765" xfId="0" applyFont="1" applyFill="1" applyBorder="1"/>
    <xf numFmtId="4" fontId="16815" fillId="16819" borderId="16766" xfId="0" applyNumberFormat="1" applyFont="1" applyFill="1" applyBorder="1"/>
    <xf numFmtId="4" fontId="16816" fillId="16820" borderId="16767" xfId="0" applyNumberFormat="1" applyFont="1" applyFill="1" applyBorder="1"/>
    <xf numFmtId="4" fontId="16817" fillId="16821" borderId="16768" xfId="0" applyNumberFormat="1" applyFont="1" applyFill="1" applyBorder="1"/>
    <xf numFmtId="4" fontId="16818" fillId="16822" borderId="16769" xfId="0" applyNumberFormat="1" applyFont="1" applyFill="1" applyBorder="1"/>
    <xf numFmtId="4" fontId="16819" fillId="16823" borderId="16770" xfId="0" applyNumberFormat="1" applyFont="1" applyFill="1" applyBorder="1"/>
    <xf numFmtId="4" fontId="16820" fillId="16824" borderId="16771" xfId="0" applyNumberFormat="1" applyFont="1" applyFill="1" applyBorder="1"/>
    <xf numFmtId="4" fontId="16821" fillId="16825" borderId="16772" xfId="0" applyNumberFormat="1" applyFont="1" applyFill="1" applyBorder="1"/>
    <xf numFmtId="0" fontId="16724" fillId="16728" borderId="16675" xfId="0" applyFont="1" applyFill="1" applyBorder="1"/>
    <xf numFmtId="0" fontId="16610" fillId="16614" borderId="16561" xfId="0" applyFont="1" applyFill="1" applyBorder="1"/>
    <xf numFmtId="165" fontId="15713" fillId="15717" borderId="15664" xfId="0" applyNumberFormat="1" applyFont="1" applyFill="1" applyBorder="1"/>
    <xf numFmtId="165" fontId="15714" fillId="15718" borderId="15665" xfId="0" applyNumberFormat="1" applyFont="1" applyFill="1" applyBorder="1"/>
    <xf numFmtId="165" fontId="15715" fillId="15719" borderId="15666" xfId="0" applyNumberFormat="1" applyFont="1" applyFill="1" applyBorder="1"/>
    <xf numFmtId="165" fontId="15716" fillId="15720" borderId="15667" xfId="0" applyNumberFormat="1" applyFont="1" applyFill="1" applyBorder="1"/>
    <xf numFmtId="165" fontId="15717" fillId="15721" borderId="15668" xfId="0" applyNumberFormat="1" applyFont="1" applyFill="1" applyBorder="1"/>
    <xf numFmtId="165" fontId="15718" fillId="15722" borderId="15669" xfId="0" applyNumberFormat="1" applyFont="1" applyFill="1" applyBorder="1"/>
    <xf numFmtId="165" fontId="15719" fillId="15723" borderId="15670" xfId="0" applyNumberFormat="1" applyFont="1" applyFill="1" applyBorder="1"/>
    <xf numFmtId="0" fontId="16618" fillId="16622" borderId="16569" xfId="0" applyFont="1" applyFill="1" applyBorder="1" applyAlignment="1">
      <alignment horizontal="center" wrapText="1"/>
    </xf>
    <xf numFmtId="0" fontId="15720" fillId="15724" borderId="15671" xfId="0" applyFont="1" applyFill="1" applyBorder="1" applyAlignment="1">
      <alignment horizontal="center" wrapText="1"/>
    </xf>
    <xf numFmtId="0" fontId="15721" fillId="15725" borderId="15672" xfId="0" applyFont="1" applyFill="1" applyBorder="1" applyAlignment="1">
      <alignment horizontal="center" wrapText="1"/>
    </xf>
    <xf numFmtId="0" fontId="16865" fillId="16869" borderId="16816" xfId="0" applyFont="1" applyFill="1" applyBorder="1"/>
    <xf numFmtId="165" fontId="16866" fillId="16870" borderId="16817" xfId="0" applyNumberFormat="1" applyFont="1" applyFill="1" applyBorder="1"/>
    <xf numFmtId="165" fontId="16867" fillId="16871" borderId="16818" xfId="0" applyNumberFormat="1" applyFont="1" applyFill="1" applyBorder="1"/>
    <xf numFmtId="165" fontId="16868" fillId="16872" borderId="16819" xfId="0" applyNumberFormat="1" applyFont="1" applyFill="1" applyBorder="1"/>
    <xf numFmtId="4" fontId="16869" fillId="16873" borderId="16820" xfId="0" applyNumberFormat="1" applyFont="1" applyFill="1" applyBorder="1"/>
    <xf numFmtId="4" fontId="16870" fillId="16874" borderId="16821" xfId="0" applyNumberFormat="1" applyFont="1" applyFill="1" applyBorder="1"/>
    <xf numFmtId="4" fontId="16871" fillId="16875" borderId="16822" xfId="0" applyNumberFormat="1" applyFont="1" applyFill="1" applyBorder="1"/>
    <xf numFmtId="168" fontId="16872" fillId="16876" borderId="16823" xfId="0" applyNumberFormat="1" applyFont="1" applyFill="1" applyBorder="1"/>
    <xf numFmtId="165" fontId="16873" fillId="16877" borderId="16824" xfId="0" applyNumberFormat="1" applyFont="1" applyFill="1" applyBorder="1"/>
    <xf numFmtId="0" fontId="17048" fillId="17052" borderId="16999" xfId="0" applyFont="1" applyFill="1" applyBorder="1" applyAlignment="1">
      <alignment horizontal="center"/>
    </xf>
    <xf numFmtId="0" fontId="17049" fillId="17053" borderId="17000" xfId="0" applyFont="1" applyFill="1" applyBorder="1"/>
    <xf numFmtId="4" fontId="17050" fillId="17054" borderId="17001" xfId="0" applyNumberFormat="1" applyFont="1" applyFill="1" applyBorder="1"/>
    <xf numFmtId="165" fontId="17051" fillId="17055" borderId="17002" xfId="0" applyNumberFormat="1" applyFont="1" applyFill="1" applyBorder="1"/>
    <xf numFmtId="4" fontId="17052" fillId="17056" borderId="17003" xfId="0" applyNumberFormat="1" applyFont="1" applyFill="1" applyBorder="1"/>
    <xf numFmtId="168" fontId="17053" fillId="17057" borderId="17004" xfId="0" applyNumberFormat="1" applyFont="1" applyFill="1" applyBorder="1"/>
    <xf numFmtId="165" fontId="17054" fillId="17058" borderId="17005" xfId="0" applyNumberFormat="1" applyFont="1" applyFill="1" applyBorder="1"/>
    <xf numFmtId="4" fontId="17055" fillId="17059" borderId="17006" xfId="0" applyNumberFormat="1" applyFont="1" applyFill="1" applyBorder="1"/>
    <xf numFmtId="0" fontId="17209" fillId="17213" borderId="17160" xfId="0" applyFont="1" applyFill="1" applyBorder="1" applyAlignment="1">
      <alignment horizontal="center"/>
    </xf>
    <xf numFmtId="0" fontId="17210" fillId="17214" borderId="17161" xfId="0" applyFont="1" applyFill="1" applyBorder="1"/>
    <xf numFmtId="165" fontId="17211" fillId="17215" borderId="17162" xfId="0" applyNumberFormat="1" applyFont="1" applyFill="1" applyBorder="1"/>
    <xf numFmtId="4" fontId="17212" fillId="17216" borderId="17163" xfId="0" applyNumberFormat="1" applyFont="1" applyFill="1" applyBorder="1"/>
    <xf numFmtId="168" fontId="17213" fillId="17217" borderId="17164" xfId="0" applyNumberFormat="1" applyFont="1" applyFill="1" applyBorder="1"/>
    <xf numFmtId="165" fontId="17214" fillId="17218" borderId="17165" xfId="0" applyNumberFormat="1" applyFont="1" applyFill="1" applyBorder="1"/>
    <xf numFmtId="165" fontId="17215" fillId="17219" borderId="17166" xfId="0" applyNumberFormat="1" applyFont="1" applyFill="1" applyBorder="1"/>
    <xf numFmtId="4" fontId="17216" fillId="17220" borderId="17167" xfId="0" applyNumberFormat="1" applyFont="1" applyFill="1" applyBorder="1"/>
    <xf numFmtId="0" fontId="16672" fillId="16676" borderId="16623" xfId="0" applyFont="1" applyFill="1" applyBorder="1" applyAlignment="1">
      <alignment horizontal="right"/>
    </xf>
    <xf numFmtId="0" fontId="16609" fillId="16613" borderId="16560" xfId="0" applyFont="1" applyFill="1" applyBorder="1" applyAlignment="1">
      <alignment horizontal="right"/>
    </xf>
    <xf numFmtId="0" fontId="16773" fillId="16777" borderId="16724" xfId="0" applyFont="1" applyFill="1" applyBorder="1" applyAlignment="1">
      <alignment horizontal="center" wrapText="1"/>
    </xf>
    <xf numFmtId="165" fontId="16611" fillId="16615" borderId="16562" xfId="0" applyNumberFormat="1" applyFont="1" applyFill="1" applyBorder="1" applyAlignment="1">
      <alignment horizontal="center" wrapText="1"/>
    </xf>
    <xf numFmtId="165" fontId="16612" fillId="16616" borderId="16563" xfId="0" applyNumberFormat="1" applyFont="1" applyFill="1" applyBorder="1" applyAlignment="1">
      <alignment horizontal="center" wrapText="1"/>
    </xf>
    <xf numFmtId="165" fontId="16613" fillId="16617" borderId="16564" xfId="0" applyNumberFormat="1" applyFont="1" applyFill="1" applyBorder="1" applyAlignment="1">
      <alignment horizontal="center" wrapText="1"/>
    </xf>
    <xf numFmtId="165" fontId="16614" fillId="16618" borderId="16565" xfId="0" applyNumberFormat="1" applyFont="1" applyFill="1" applyBorder="1" applyAlignment="1">
      <alignment horizontal="center" wrapText="1"/>
    </xf>
    <xf numFmtId="165" fontId="16615" fillId="16619" borderId="16566" xfId="0" applyNumberFormat="1" applyFont="1" applyFill="1" applyBorder="1" applyAlignment="1">
      <alignment horizontal="center" wrapText="1"/>
    </xf>
    <xf numFmtId="165" fontId="16616" fillId="16620" borderId="16567" xfId="0" applyNumberFormat="1" applyFont="1" applyFill="1" applyBorder="1" applyAlignment="1">
      <alignment horizontal="center" wrapText="1"/>
    </xf>
    <xf numFmtId="165" fontId="16617" fillId="16621" borderId="16568" xfId="0" applyNumberFormat="1" applyFont="1" applyFill="1" applyBorder="1" applyAlignment="1">
      <alignment horizontal="center" wrapText="1"/>
    </xf>
    <xf numFmtId="0" fontId="11600" fillId="11604" borderId="11551" xfId="0" applyFont="1" applyFill="1" applyBorder="1"/>
    <xf numFmtId="0" fontId="11601" fillId="11605" borderId="11552" xfId="0" applyFont="1" applyFill="1" applyBorder="1"/>
    <xf numFmtId="0" fontId="12080" fillId="12084" borderId="12031" xfId="0" applyFont="1" applyFill="1" applyBorder="1"/>
    <xf numFmtId="0" fontId="12545" fillId="12549" borderId="12496" xfId="0" applyFont="1" applyFill="1" applyBorder="1"/>
    <xf numFmtId="0" fontId="12610" fillId="12614" borderId="12561" xfId="0" applyFont="1" applyFill="1" applyBorder="1"/>
    <xf numFmtId="0" fontId="14936" fillId="14940" borderId="14887" xfId="0" applyFont="1" applyFill="1" applyBorder="1"/>
    <xf numFmtId="0" fontId="12216" fillId="12220" borderId="12167" xfId="0" applyFont="1" applyFill="1" applyBorder="1"/>
    <xf numFmtId="0" fontId="12217" fillId="12221" borderId="12168" xfId="0" applyFont="1" applyFill="1" applyBorder="1"/>
    <xf numFmtId="0" fontId="12218" fillId="12222" borderId="12169" xfId="0" applyFont="1" applyFill="1" applyBorder="1"/>
    <xf numFmtId="0" fontId="12229" fillId="12233" borderId="12180" xfId="0" applyFont="1" applyFill="1" applyBorder="1"/>
    <xf numFmtId="0" fontId="12502" fillId="12506" borderId="12453" xfId="0" applyFont="1" applyFill="1" applyBorder="1"/>
    <xf numFmtId="0" fontId="17943" fillId="17953" borderId="17900" xfId="0" applyFont="1" applyFill="1" applyBorder="1" applyAlignment="1">
      <alignment horizontal="center" wrapText="1"/>
    </xf>
    <xf numFmtId="165" fontId="17577" fillId="17588" borderId="17535" xfId="0" applyNumberFormat="1" applyFont="1" applyFill="1" applyBorder="1" applyAlignment="1">
      <alignment horizontal="center" wrapText="1"/>
    </xf>
    <xf numFmtId="165" fontId="17578" fillId="17589" borderId="17536" xfId="0" applyNumberFormat="1" applyFont="1" applyFill="1" applyBorder="1" applyAlignment="1">
      <alignment horizontal="center" wrapText="1"/>
    </xf>
    <xf numFmtId="165" fontId="17579" fillId="17590" borderId="17537" xfId="0" applyNumberFormat="1" applyFont="1" applyFill="1" applyBorder="1" applyAlignment="1">
      <alignment horizontal="center" wrapText="1"/>
    </xf>
    <xf numFmtId="165" fontId="17580" fillId="17591" borderId="17538" xfId="0" applyNumberFormat="1" applyFont="1" applyFill="1" applyBorder="1" applyAlignment="1">
      <alignment horizontal="center" wrapText="1"/>
    </xf>
    <xf numFmtId="165" fontId="17581" fillId="17592" borderId="17539" xfId="0" applyNumberFormat="1" applyFont="1" applyFill="1" applyBorder="1" applyAlignment="1">
      <alignment horizontal="center" wrapText="1"/>
    </xf>
    <xf numFmtId="165" fontId="17582" fillId="17593" borderId="17540" xfId="0" applyNumberFormat="1" applyFont="1" applyFill="1" applyBorder="1" applyAlignment="1">
      <alignment horizontal="center" wrapText="1"/>
    </xf>
    <xf numFmtId="165" fontId="17583" fillId="17594" borderId="17541" xfId="0" applyNumberFormat="1" applyFont="1" applyFill="1" applyBorder="1" applyAlignment="1">
      <alignment horizontal="center" wrapText="1"/>
    </xf>
    <xf numFmtId="0" fontId="17584" fillId="17595" borderId="17542" xfId="0" applyFont="1" applyFill="1" applyBorder="1"/>
    <xf numFmtId="0" fontId="17758" fillId="17576" borderId="17523" xfId="0" applyFont="1" applyFill="1" applyBorder="1"/>
    <xf numFmtId="165" fontId="17758" fillId="17577" borderId="17524" xfId="0" applyNumberFormat="1" applyFont="1" applyFill="1" applyBorder="1"/>
    <xf numFmtId="165" fontId="17758" fillId="17578" borderId="17525" xfId="0" applyNumberFormat="1" applyFont="1" applyFill="1" applyBorder="1"/>
    <xf numFmtId="165" fontId="17758" fillId="17579" borderId="17526" xfId="0" applyNumberFormat="1" applyFont="1" applyFill="1" applyBorder="1"/>
    <xf numFmtId="165" fontId="17758" fillId="17580" borderId="17527" xfId="0" applyNumberFormat="1" applyFont="1" applyFill="1" applyBorder="1"/>
    <xf numFmtId="165" fontId="17758" fillId="17581" borderId="17528" xfId="0" applyNumberFormat="1" applyFont="1" applyFill="1" applyBorder="1"/>
    <xf numFmtId="165" fontId="17758" fillId="17582" borderId="17529" xfId="0" applyNumberFormat="1" applyFont="1" applyFill="1" applyBorder="1"/>
    <xf numFmtId="165" fontId="17758" fillId="17583" borderId="17530" xfId="0" applyNumberFormat="1" applyFont="1" applyFill="1" applyBorder="1"/>
    <xf numFmtId="0" fontId="17489" fillId="17492" borderId="17439" xfId="0" applyFont="1" applyFill="1" applyBorder="1"/>
    <xf numFmtId="0" fontId="17490" fillId="17493" borderId="17440" xfId="0" applyFont="1" applyFill="1" applyBorder="1"/>
    <xf numFmtId="0" fontId="17491" fillId="17494" borderId="17441" xfId="0" applyFont="1" applyFill="1" applyBorder="1"/>
    <xf numFmtId="0" fontId="17492" fillId="17495" borderId="17442" xfId="0" applyFont="1" applyFill="1" applyBorder="1"/>
    <xf numFmtId="0" fontId="17493" fillId="17496" borderId="17443" xfId="0" applyFont="1" applyFill="1" applyBorder="1"/>
    <xf numFmtId="0" fontId="17494" fillId="17497" borderId="17444" xfId="0" applyFont="1" applyFill="1" applyBorder="1"/>
    <xf numFmtId="0" fontId="17330" fillId="17334" borderId="17281" xfId="0" applyFont="1" applyFill="1" applyBorder="1" applyAlignment="1">
      <alignment horizontal="center" vertical="center"/>
    </xf>
    <xf numFmtId="0" fontId="17335" fillId="17339" borderId="17286" xfId="0" applyFont="1" applyFill="1" applyBorder="1"/>
    <xf numFmtId="0" fontId="17759" fillId="17769" borderId="17716" xfId="0" applyFont="1" applyFill="1" applyBorder="1"/>
    <xf numFmtId="0" fontId="17760" fillId="17770" borderId="17717" xfId="0" applyFont="1" applyFill="1" applyBorder="1"/>
    <xf numFmtId="0" fontId="17761" fillId="17771" borderId="17718" xfId="0" applyFont="1" applyFill="1" applyBorder="1"/>
    <xf numFmtId="0" fontId="17762" fillId="17772" borderId="17719" xfId="0" applyFont="1" applyFill="1" applyBorder="1"/>
    <xf numFmtId="0" fontId="17763" fillId="17773" borderId="17720" xfId="0" applyFont="1" applyFill="1" applyBorder="1"/>
    <xf numFmtId="0" fontId="17764" fillId="17774" borderId="17721" xfId="0" applyFont="1" applyFill="1" applyBorder="1"/>
    <xf numFmtId="0" fontId="17765" fillId="17775" borderId="17722" xfId="0" applyFont="1" applyFill="1" applyBorder="1"/>
    <xf numFmtId="0" fontId="17849" fillId="17859" borderId="17806" xfId="0" applyFont="1" applyFill="1" applyBorder="1"/>
    <xf numFmtId="0" fontId="17850" fillId="17860" borderId="17807" xfId="0" applyFont="1" applyFill="1" applyBorder="1"/>
    <xf numFmtId="0" fontId="17851" fillId="17861" borderId="17808" xfId="0" applyFont="1" applyFill="1" applyBorder="1"/>
    <xf numFmtId="0" fontId="17852" fillId="17862" borderId="17809" xfId="0" applyFont="1" applyFill="1" applyBorder="1"/>
    <xf numFmtId="0" fontId="17853" fillId="17863" borderId="17810" xfId="0" applyFont="1" applyFill="1" applyBorder="1"/>
    <xf numFmtId="0" fontId="17854" fillId="17864" borderId="17811" xfId="0" applyFont="1" applyFill="1" applyBorder="1"/>
    <xf numFmtId="0" fontId="17855" fillId="17865" borderId="17812" xfId="0" applyFont="1" applyFill="1" applyBorder="1"/>
    <xf numFmtId="0" fontId="17373" fillId="17376" borderId="17323" xfId="0" applyFont="1" applyFill="1" applyBorder="1"/>
    <xf numFmtId="165" fontId="17374" fillId="17377" borderId="17324" xfId="0" applyNumberFormat="1" applyFont="1" applyFill="1" applyBorder="1"/>
    <xf numFmtId="4" fontId="17375" fillId="17378" borderId="17325" xfId="0" applyNumberFormat="1" applyFont="1" applyFill="1" applyBorder="1"/>
    <xf numFmtId="0" fontId="17376" fillId="17379" borderId="17326" xfId="0" applyFont="1" applyFill="1" applyBorder="1"/>
    <xf numFmtId="165" fontId="17377" fillId="17380" borderId="17327" xfId="0" applyNumberFormat="1" applyFont="1" applyFill="1" applyBorder="1"/>
    <xf numFmtId="165" fontId="17378" fillId="17381" borderId="17328" xfId="0" applyNumberFormat="1" applyFont="1" applyFill="1" applyBorder="1"/>
    <xf numFmtId="165" fontId="17379" fillId="17382" borderId="17329" xfId="0" applyNumberFormat="1" applyFont="1" applyFill="1" applyBorder="1"/>
    <xf numFmtId="165" fontId="17380" fillId="17383" borderId="17330" xfId="0" applyNumberFormat="1" applyFont="1" applyFill="1" applyBorder="1"/>
    <xf numFmtId="4" fontId="17381" fillId="17384" borderId="17331" xfId="0" applyNumberFormat="1" applyFont="1" applyFill="1" applyBorder="1"/>
  </cellXfs>
  <cellStyles count="2">
    <cellStyle name="Normal" xfId="0" builtinId="0"/>
    <cellStyle name="Normal 2" xfId="1" xr:uid="{BCCA1864-8AB9-44B7-BD98-57B365AB0C60}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8">
  <autoFilter ref="A4:L208" xr:uid="{00000000-000C-0000-FFFF-FFFF00000000}"/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13">
      <calculatedColumnFormula>VLOOKUP(TablaPegaso[[#This Row],[Equipo]],Catalogos!$V$4:$W$85,2,FALSE)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7">
  <autoFilter ref="A4:K307" xr:uid="{00000000-000C-0000-FFFF-FFFF02000000}"/>
  <sortState xmlns:xlrd2="http://schemas.microsoft.com/office/spreadsheetml/2017/richdata2" ref="A5:K307">
    <sortCondition ref="A4:A307"/>
  </sortState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12">
      <calculatedColumnFormula>VLOOKUP(TablaObra[[#This Row],[Equipo]],Catalogos!$V$4:$W$64,2,FALSE)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6">
  <autoFilter ref="A4:L206" xr:uid="{00000000-000C-0000-FFFF-FFFF01000000}"/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11">
      <calculatedColumnFormula>VLOOKUP(TablaMarimba[[#This Row],[Equipo]],Catalogos!$V$4:$W$64,2,FALSE)</calculatedColumnFormula>
    </tableColumn>
    <tableColumn id="6" xr3:uid="{00000000-0010-0000-0100-000006000000}" name="Entrada (L)"/>
    <tableColumn id="7" xr3:uid="{00000000-0010-0000-0100-000007000000}" name="Salida (L)" dataDxfId="10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6062C8-8627-43AE-B5EA-97534A44444C}" name="TablaMarimba6" displayName="TablaMarimba6" ref="A4:P206">
  <autoFilter ref="A4:P206" xr:uid="{00000000-000C-0000-FFFF-FFFF01000000}"/>
  <tableColumns count="16">
    <tableColumn id="1" xr3:uid="{8F93C2D3-59E8-4ED8-AD33-D80C1E2FB336}" name="Fecha"/>
    <tableColumn id="2" xr3:uid="{1FDB07B9-3C82-4BA6-A1D0-7BBCC4F65B10}" name="Movimiento"/>
    <tableColumn id="3" xr3:uid="{BA86575F-7C22-46F4-B075-46F1C8361BD9}" name="Origen/Obra"/>
    <tableColumn id="4" xr3:uid="{2F9F3F05-302E-4E36-B6C3-D33A7313CF7F}" name="Equipo"/>
    <tableColumn id="5" xr3:uid="{80B99EA3-A76A-4413-803B-47316FD99CFD}" name="Económico" dataDxfId="9">
      <calculatedColumnFormula>VLOOKUP(TablaMarimba6[[#This Row],[Equipo]],Catalogos!$V$4:$W$55,2,FALSE)</calculatedColumnFormula>
    </tableColumn>
    <tableColumn id="6" xr3:uid="{F3B80B77-7F7D-4E7F-90FB-32C1FB406B69}" name="Entrada (L)"/>
    <tableColumn id="7" xr3:uid="{6800B0C2-0798-474F-92E3-491283B10A41}" name="Salida (L)" dataDxfId="8"/>
    <tableColumn id="8" xr3:uid="{074D2D2A-CED3-4020-A111-0260F5AF13EE}" name="Existencia Teórica"/>
    <tableColumn id="9" xr3:uid="{F9911E82-721A-423B-A6E5-F73D5EDF7715}" name="Costo/L"/>
    <tableColumn id="10" xr3:uid="{C0E34614-EA93-4B8E-B48C-B52BEB55C2E1}" name="Importe"/>
    <tableColumn id="13" xr3:uid="{C3C21513-70B5-4317-B1A5-2CB6C2635055}" name="Saldo inicial(vales)" dataDxfId="7"/>
    <tableColumn id="14" xr3:uid="{C1AAAA92-ABFF-4A74-A305-4E598996551A}" name="Saldo final(vales)" dataDxfId="6">
      <calculatedColumnFormula>(TablaMarimba6[[#This Row],[Saldo inicial(vales)]]-TablaMarimba6[[#This Row],[Importe]])</calculatedColumnFormula>
    </tableColumn>
    <tableColumn id="15" xr3:uid="{3CEAC10A-B936-4FDF-BE2A-828B1C9CB20B}" name="Ajuste" dataDxfId="5"/>
    <tableColumn id="16" xr3:uid="{07C7E7F6-A3FC-45D2-ADAA-7E7BFD170ED7}" name="Gasolina" dataDxfId="4"/>
    <tableColumn id="11" xr3:uid="{3874C8C0-26B2-46B1-956E-1F33EE7ABE4F}" name="Firma/Validación"/>
    <tableColumn id="12" xr3:uid="{68A50BCC-C51C-495B-BF43-8A8723CAD7BA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 dataDxfId="3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2">
      <calculatedColumnFormula>VLOOKUP(TablaObra5[[#This Row],[Equipo]],Catalogos!$I$4:$J$64,2,FALSE)</calculatedColumnFormula>
    </tableColumn>
    <tableColumn id="6" xr3:uid="{A8C23F3C-BA7E-4A96-AF9D-0B9C2D8E2ED0}" name="Litros Solicitados" dataDxfId="1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0">
      <calculatedColumnFormula>VLOOKUP(TablaObra5[[#This Row],[Obra]],Catalogos!$B$3:$C$10,2,FALSE)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153A-97A5-46D6-A44E-FD4B14CB44DF}">
  <sheetPr>
    <pageSetUpPr fitToPage="1"/>
  </sheetPr>
  <sheetViews>
    <sheetView zoomScale="79" workbookViewId="0">
      <selection sqref="A1:J1"/>
    </sheetView>
  </sheetViews>
  <sheetFormatPr baseColWidth="10" defaultRowHeight="13.8"/>
  <cols>
    <col min="1" max="1" width="18" customWidth="1"/>
    <col min="2" max="2" width="22.09765625" bestFit="1" customWidth="1"/>
    <col min="3" max="3" width="20" bestFit="1" customWidth="1"/>
    <col min="4" max="10" width="15" bestFit="1" customWidth="1"/>
    <col min="11" max="12" width="12" customWidth="1"/>
    <col min="13" max="13" width="15" customWidth="1"/>
    <col min="17" max="17" width="22.69921875" bestFit="1" customWidth="1"/>
    <col min="18" max="18" width="13.3984375" bestFit="1" customWidth="1"/>
    <col min="19" max="19" width="11.19921875" customWidth="1"/>
    <col min="31" max="31" width="20.8984375" bestFit="1" customWidth="1"/>
    <col min="32" max="32" width="22.796875" bestFit="1" customWidth="1"/>
  </cols>
  <sheetData>
    <row r="1" spans="1:10" ht="28.05" customHeight="1">
      <c r="A1" t="s" s="25075">
        <v>127</v>
      </c>
      <c r="B1" s="25076"/>
      <c r="C1" s="25077"/>
      <c r="D1" s="25078"/>
      <c r="E1" s="25079"/>
      <c r="F1" s="25080"/>
      <c r="G1" s="25081"/>
      <c r="H1" s="25082"/>
      <c r="I1" s="25083"/>
      <c r="J1" s="25084"/>
    </row>
    <row r="2" spans="1:10" ht="16.8">
      <c r="A2" s="391"/>
      <c r="B2" s="392"/>
      <c r="C2" s="393"/>
      <c r="D2" s="394"/>
      <c r="E2" s="395"/>
      <c r="F2" s="396"/>
      <c r="G2" s="397"/>
      <c r="H2" s="398"/>
      <c r="I2" s="399"/>
      <c r="J2" s="400"/>
    </row>
    <row r="3" spans="1:10" ht="16.05" customHeight="1">
      <c r="A3" t="s" s="25085">
        <v>128</v>
      </c>
      <c r="B3" s="25086"/>
      <c r="C3" s="25087"/>
      <c r="D3" s="25088"/>
      <c r="E3" t="s" s="25089">
        <v>175</v>
      </c>
      <c r="F3" s="25090"/>
      <c r="G3" s="25091"/>
      <c r="H3" s="25092"/>
      <c r="I3" s="25093"/>
      <c r="J3" s="25094"/>
    </row>
    <row r="4" spans="1:10" ht="16.8">
      <c r="A4" s="401"/>
      <c r="B4" t="s" s="207">
        <v>129</v>
      </c>
      <c r="C4" t="s" s="212">
        <v>1</v>
      </c>
      <c r="D4" s="402"/>
      <c r="E4" s="25095">
        <f>IF(I28=0, "🟢 TODO COINCIDE (0 L)", "🔴 DISCREPANCIA: " &amp; I28 &amp; " L")</f>
      </c>
      <c r="F4" s="25096"/>
      <c r="G4" s="25097"/>
      <c r="H4" s="25098"/>
      <c r="I4" s="25099"/>
      <c r="J4" s="403"/>
    </row>
    <row r="5" spans="1:10" ht="16.8">
      <c r="A5" s="404"/>
      <c r="B5" t="s" s="208">
        <v>130</v>
      </c>
      <c r="C5" s="213">
        <v>46195</v>
      </c>
      <c r="D5" s="405"/>
      <c r="E5" s="25100"/>
      <c r="F5" s="25101"/>
      <c r="G5" s="25102"/>
      <c r="H5" s="25103"/>
      <c r="I5" s="25104"/>
      <c r="J5" s="406"/>
    </row>
    <row r="6" spans="1:10" ht="16.8">
      <c r="A6" s="407"/>
      <c r="B6" t="s" s="209">
        <v>176</v>
      </c>
      <c r="C6" s="214">
        <v>46202</v>
      </c>
      <c r="D6" s="408"/>
      <c r="E6" s="25105"/>
      <c r="F6" s="25106"/>
      <c r="G6" s="25107"/>
      <c r="H6" s="25108"/>
      <c r="I6" s="25109"/>
      <c r="J6" s="409"/>
    </row>
    <row r="7" spans="1:10" ht="16.8">
      <c r="A7" s="410"/>
      <c r="B7" t="s" s="210">
        <v>131</v>
      </c>
      <c r="C7" s="215">
        <v>27</v>
      </c>
      <c r="D7" s="411"/>
      <c r="E7" s="25110"/>
      <c r="F7" s="25111"/>
      <c r="G7" s="25112"/>
      <c r="H7" s="25113"/>
      <c r="I7" s="25114"/>
      <c r="J7" s="412"/>
    </row>
    <row r="8" spans="1:10" ht="16.8">
      <c r="A8" s="413"/>
      <c r="B8" t="s" s="211">
        <v>177</v>
      </c>
      <c r="C8" t="s" s="216">
        <v>188</v>
      </c>
      <c r="D8" s="414"/>
      <c r="E8" s="25115"/>
      <c r="F8" s="25116"/>
      <c r="G8" s="25117"/>
      <c r="H8" s="25118"/>
      <c r="I8" s="25119"/>
      <c r="J8" s="415"/>
    </row>
    <row r="9" spans="1:10" ht="16.8">
      <c r="A9" s="416"/>
      <c r="B9" s="417"/>
      <c r="C9" s="418"/>
      <c r="D9" s="419"/>
      <c r="E9" s="420"/>
      <c r="F9" s="421"/>
      <c r="G9" s="422"/>
      <c r="H9" s="423"/>
      <c r="I9" s="424"/>
      <c r="J9" s="425"/>
    </row>
    <row r="10" spans="1:10" ht="16.05" customHeight="1">
      <c r="A10" t="s" s="25120">
        <v>132</v>
      </c>
      <c r="B10" s="25121"/>
      <c r="C10" s="25122"/>
      <c r="D10" s="25123"/>
      <c r="E10" s="25124"/>
      <c r="F10" s="25125"/>
      <c r="G10" s="25126"/>
      <c r="H10" s="25127"/>
      <c r="I10" s="25128"/>
      <c r="J10" s="25129"/>
    </row>
    <row r="11" spans="1:10" ht="19.2" customHeight="1">
      <c r="A11" t="s" s="217">
        <v>133</v>
      </c>
      <c r="B11" t="s" s="218">
        <v>11</v>
      </c>
      <c r="C11" t="s" s="219">
        <v>134</v>
      </c>
      <c r="D11" t="s" s="220">
        <v>135</v>
      </c>
      <c r="E11" t="s" s="221">
        <v>136</v>
      </c>
      <c r="F11" t="s" s="222">
        <v>137</v>
      </c>
      <c r="G11" t="s" s="223">
        <v>138</v>
      </c>
      <c r="H11" t="s" s="224">
        <v>139</v>
      </c>
      <c r="I11" s="426"/>
      <c r="J11" s="427"/>
    </row>
    <row r="12" spans="1:10" ht="16.05" customHeight="1">
      <c r="A12" t="s" s="225">
        <v>140</v>
      </c>
      <c r="B12" s="226">
        <f>C$5</f>
      </c>
      <c r="C12" s="227">
        <f>IF(C$4="Todas", SUMIFS(Solicitudes!F:F, Solicitudes!C:C, B12), SUMIFS(Solicitudes!F:F, Solicitudes!B:B, C$4, Solicitudes!C:C, B12))</f>
      </c>
      <c r="D12" s="228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</c>
      <c r="E12" s="229">
        <f t="shared" ref="E12:E17" si="0">D12-C12</f>
      </c>
      <c r="F12" s="230">
        <f t="shared" ref="F12:F17" si="1">C12*C$7</f>
      </c>
      <c r="G12" s="231">
        <f t="shared" ref="G12:G17" si="2">D12*C$7</f>
      </c>
      <c r="H12" s="232">
        <f t="shared" ref="H12:H17" si="3">G12-F12</f>
      </c>
      <c r="I12" s="428"/>
      <c r="J12" s="429"/>
    </row>
    <row r="13" spans="1:10" ht="16.05" customHeight="1">
      <c r="A13" t="s" s="233">
        <v>141</v>
      </c>
      <c r="B13" s="234">
        <f>B12+1</f>
      </c>
      <c r="C13" s="235">
        <f>IF(C$4="Todas", SUMIFS(Solicitudes!F:F, Solicitudes!C:C, B13), SUMIFS(Solicitudes!F:F, Solicitudes!B:B, C$4, Solicitudes!C:C, B13))</f>
      </c>
      <c r="D13" s="236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</c>
      <c r="E13" s="237">
        <f t="shared" si="0"/>
      </c>
      <c r="F13" s="238">
        <f t="shared" si="1"/>
      </c>
      <c r="G13" s="239">
        <f t="shared" si="2"/>
      </c>
      <c r="H13" s="240">
        <f t="shared" si="3"/>
      </c>
      <c r="I13" s="430"/>
      <c r="J13" s="431"/>
    </row>
    <row r="14" spans="1:10" ht="16.05" customHeight="1">
      <c r="A14" t="s" s="241">
        <v>142</v>
      </c>
      <c r="B14" s="242">
        <f>B13+1</f>
      </c>
      <c r="C14" s="243">
        <f>IF(C$4="Todas", SUMIFS(Solicitudes!F:F, Solicitudes!C:C, B14), SUMIFS(Solicitudes!F:F, Solicitudes!B:B, C$4, Solicitudes!C:C, B14))</f>
      </c>
      <c r="D14" s="244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</c>
      <c r="E14" s="245">
        <f t="shared" si="0"/>
      </c>
      <c r="F14" s="246">
        <f t="shared" si="1"/>
      </c>
      <c r="G14" s="247">
        <f t="shared" si="2"/>
      </c>
      <c r="H14" s="248">
        <f t="shared" si="3"/>
      </c>
      <c r="I14" s="432"/>
      <c r="J14" s="433"/>
    </row>
    <row r="15" spans="1:10" ht="16.05" customHeight="1">
      <c r="A15" t="s" s="249">
        <v>143</v>
      </c>
      <c r="B15" s="250">
        <f>B14+1</f>
      </c>
      <c r="C15" s="251">
        <f>IF(C$4="Todas", SUMIFS(Solicitudes!F:F, Solicitudes!C:C, B15), SUMIFS(Solicitudes!F:F, Solicitudes!B:B, C$4, Solicitudes!C:C, B15))</f>
      </c>
      <c r="D15" s="252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</c>
      <c r="E15" s="253">
        <f t="shared" si="0"/>
      </c>
      <c r="F15" s="254">
        <f t="shared" si="1"/>
      </c>
      <c r="G15" s="255">
        <f t="shared" si="2"/>
      </c>
      <c r="H15" s="256">
        <f t="shared" si="3"/>
      </c>
      <c r="I15" s="434"/>
      <c r="J15" s="435"/>
    </row>
    <row r="16" spans="1:10" ht="16.05" customHeight="1">
      <c r="A16" t="s" s="257">
        <v>144</v>
      </c>
      <c r="B16" s="258">
        <f>B15+1</f>
      </c>
      <c r="C16" s="259">
        <f>IF(C$4="Todas", SUMIFS(Solicitudes!F:F, Solicitudes!C:C, B16), SUMIFS(Solicitudes!F:F, Solicitudes!B:B, C$4, Solicitudes!C:C, B16))</f>
      </c>
      <c r="D16" s="260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</c>
      <c r="E16" s="261">
        <f t="shared" si="0"/>
      </c>
      <c r="F16" s="262">
        <f t="shared" si="1"/>
      </c>
      <c r="G16" s="263">
        <f t="shared" si="2"/>
      </c>
      <c r="H16" s="264">
        <f t="shared" si="3"/>
      </c>
      <c r="I16" s="436"/>
      <c r="J16" s="437"/>
    </row>
    <row r="17" spans="1:32" ht="16.05" customHeight="1">
      <c r="A17" t="s" s="265">
        <v>145</v>
      </c>
      <c r="B17" s="266">
        <f>B16+1</f>
      </c>
      <c r="C17" s="267">
        <f>IF(C$4="Todas", SUMIFS(Solicitudes!F:F, Solicitudes!C:C, B17), SUMIFS(Solicitudes!F:F, Solicitudes!B:B, C$4, Solicitudes!C:C, B17))</f>
      </c>
      <c r="D17" s="268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</c>
      <c r="E17" s="269">
        <f t="shared" si="0"/>
      </c>
      <c r="F17" s="270">
        <f t="shared" si="1"/>
      </c>
      <c r="G17" s="271">
        <f t="shared" si="2"/>
      </c>
      <c r="H17" s="272">
        <f t="shared" si="3"/>
      </c>
      <c r="I17" s="438"/>
      <c r="J17" s="439"/>
    </row>
    <row r="18" spans="1:32" ht="17.55" customHeight="1">
      <c r="A18" t="s" s="273">
        <v>146</v>
      </c>
      <c r="B18" s="274"/>
      <c r="C18" s="275">
        <f t="shared" ref="C18:H18" si="4">SUM(C12:C17)</f>
      </c>
      <c r="D18" s="276">
        <f t="shared" si="4"/>
      </c>
      <c r="E18" s="277">
        <f t="shared" si="4"/>
      </c>
      <c r="F18" s="278">
        <f t="shared" si="4"/>
      </c>
      <c r="G18" s="279">
        <f t="shared" si="4"/>
      </c>
      <c r="H18" s="280">
        <f t="shared" si="4"/>
      </c>
      <c r="I18" s="440"/>
      <c r="J18" s="441"/>
    </row>
    <row r="19" spans="1:32" ht="16.8">
      <c r="A19" s="442"/>
      <c r="B19" s="443"/>
      <c r="C19" s="444"/>
      <c r="D19" s="445"/>
      <c r="E19" s="446"/>
      <c r="F19" s="447"/>
      <c r="G19" s="448"/>
      <c r="H19" s="449"/>
      <c r="I19" s="450"/>
      <c r="J19" s="451"/>
    </row>
    <row r="20" spans="1:32" ht="16.05" customHeight="1">
      <c r="A20" t="s" s="25130">
        <v>147</v>
      </c>
      <c r="B20" s="25131"/>
      <c r="C20" s="25132"/>
      <c r="D20" s="25133"/>
      <c r="E20" s="25134"/>
      <c r="F20" s="25135"/>
      <c r="G20" s="25136"/>
      <c r="H20" s="25137"/>
      <c r="I20" s="25138"/>
      <c r="J20" s="25139"/>
    </row>
    <row r="21" spans="1:32" ht="19.2" customHeight="1">
      <c r="A21" t="s" s="281">
        <v>133</v>
      </c>
      <c r="B21" t="s" s="282">
        <v>11</v>
      </c>
      <c r="C21" t="s" s="283">
        <v>148</v>
      </c>
      <c r="D21" t="s" s="284">
        <v>149</v>
      </c>
      <c r="E21" t="s" s="285">
        <v>150</v>
      </c>
      <c r="F21" t="s" s="286">
        <v>151</v>
      </c>
      <c r="G21" t="s" s="287">
        <v>152</v>
      </c>
      <c r="H21" t="s" s="288">
        <v>153</v>
      </c>
      <c r="I21" t="s" s="289">
        <v>154</v>
      </c>
      <c r="J21" t="s" s="290">
        <v>178</v>
      </c>
    </row>
    <row r="22" spans="1:32" ht="16.05" customHeight="1">
      <c r="A22" t="s" s="291">
        <v>140</v>
      </c>
      <c r="B22" s="292">
        <f t="shared" ref="B22:B27" si="5">B12</f>
      </c>
      <c r="C22" s="293">
        <f>IF(C$4="Todas", SUMIFS(Captura_Obra!F:F, Captura_Obra!A:A, B22, Captura_Obra!C:C, "Marimba M-01"), SUMIFS(Captura_Obra!F:F, Captura_Obra!B:B, C$4, Captura_Obra!A:A, B22, Captura_Obra!C:C, "Marimba M-01"))</f>
      </c>
      <c r="D22" s="294">
        <f>IF(C$4="Todas", SUMIFS(Captura_Marimba_M01!G:G, Captura_Marimba_M01!A:A, B22, Captura_Marimba_M01!B:B, "Salida"), SUMIFS(Captura_Marimba_M01!G:G, Captura_Marimba_M01!C:C, C$4, Captura_Marimba_M01!A:A, B22, Captura_Marimba_M01!B:B, "Salida"))</f>
      </c>
      <c r="E22" s="295">
        <f t="shared" ref="E22:E27" si="6">C22-D22</f>
      </c>
      <c r="F22" s="296">
        <f>IF(C$4="Todas", SUMIFS(Captura_Obra!F:F, Captura_Obra!A:A, B22, Captura_Obra!C:C, "Pegaso Directo"), SUMIFS(Captura_Obra!F:F, Captura_Obra!B:B, C$4, Captura_Obra!A:A, B22, Captura_Obra!C:C, "Pegaso Directo"))</f>
      </c>
      <c r="G22" s="297">
        <f>IF(C$4="Todas", SUMIFS(Captura_Pegaso!H:H, Captura_Pegaso!A:A, B22, Captura_Pegaso!B:B, "Salida"), SUMIFS(Captura_Pegaso!H:H, Captura_Pegaso!D:D, C$4, Captura_Pegaso!A:A, B22, Captura_Pegaso!B:B, "Salida"))</f>
      </c>
      <c r="H22" s="298">
        <f t="shared" ref="H22:H27" si="7">F22-G22</f>
      </c>
      <c r="I22" s="299">
        <f t="shared" ref="I22:I27" si="8">E22+H22</f>
      </c>
      <c r="J22" s="300"/>
    </row>
    <row r="23" spans="1:32" ht="16.05" customHeight="1">
      <c r="A23" t="s" s="301">
        <v>141</v>
      </c>
      <c r="B23" s="302">
        <f t="shared" si="5"/>
      </c>
      <c r="C23" s="303">
        <f>IF(C$4="Todas", SUMIFS(Captura_Obra!F:F, Captura_Obra!A:A, B23, Captura_Obra!C:C, "Marimba M-01"), SUMIFS(Captura_Obra!F:F, Captura_Obra!B:B, C$4, Captura_Obra!A:A, B23, Captura_Obra!C:C, "Marimba M-01"))</f>
      </c>
      <c r="D23" s="304">
        <f>IF(C$4="Todas", SUMIFS(Captura_Marimba_M01!G:G, Captura_Marimba_M01!A:A, B23, Captura_Marimba_M01!B:B, "Salida"), SUMIFS(Captura_Marimba_M01!G:G, Captura_Marimba_M01!C:C, C$4, Captura_Marimba_M01!A:A, B23, Captura_Marimba_M01!B:B, "Salida"))</f>
      </c>
      <c r="E23" s="305">
        <f t="shared" si="6"/>
      </c>
      <c r="F23" s="306">
        <f>IF(C$4="Todas", SUMIFS(Captura_Obra!F:F, Captura_Obra!A:A, B23, Captura_Obra!C:C, "Pegaso Directo"), SUMIFS(Captura_Obra!F:F, Captura_Obra!B:B, C$4, Captura_Obra!A:A, B23, Captura_Obra!C:C, "Pegaso Directo"))</f>
      </c>
      <c r="G23" s="307">
        <f>IF(C$4="Todas", SUMIFS(Captura_Pegaso!H:H, Captura_Pegaso!A:A, B23, Captura_Pegaso!B:B, "Salida"), SUMIFS(Captura_Pegaso!H:H, Captura_Pegaso!D:D, C$4, Captura_Pegaso!A:A, B23, Captura_Pegaso!B:B, "Salida"))</f>
      </c>
      <c r="H23" s="308">
        <f t="shared" si="7"/>
      </c>
      <c r="I23" s="309">
        <f t="shared" si="8"/>
      </c>
      <c r="J23" s="310"/>
    </row>
    <row r="24" spans="1:32" ht="16.05" customHeight="1">
      <c r="A24" t="s" s="311">
        <v>142</v>
      </c>
      <c r="B24" s="312">
        <f t="shared" si="5"/>
      </c>
      <c r="C24" s="313">
        <f>IF(C$4="Todas", SUMIFS(Captura_Obra!F:F, Captura_Obra!A:A, B24, Captura_Obra!C:C, "Marimba M-01"), SUMIFS(Captura_Obra!F:F, Captura_Obra!B:B, C$4, Captura_Obra!A:A, B24, Captura_Obra!C:C, "Marimba M-01"))</f>
      </c>
      <c r="D24" s="314">
        <f>IF(C$4="Todas", SUMIFS(Captura_Marimba_M01!G:G, Captura_Marimba_M01!A:A, B24, Captura_Marimba_M01!B:B, "Salida"), SUMIFS(Captura_Marimba_M01!G:G, Captura_Marimba_M01!C:C, C$4, Captura_Marimba_M01!A:A, B24, Captura_Marimba_M01!B:B, "Salida"))</f>
      </c>
      <c r="E24" s="315">
        <f t="shared" si="6"/>
      </c>
      <c r="F24" s="316">
        <f>IF(C$4="Todas", SUMIFS(Captura_Obra!F:F, Captura_Obra!A:A, B24, Captura_Obra!C:C, "Pegaso Directo"), SUMIFS(Captura_Obra!F:F, Captura_Obra!B:B, C$4, Captura_Obra!A:A, B24, Captura_Obra!C:C, "Pegaso Directo"))</f>
      </c>
      <c r="G24" s="317">
        <f>IF(C$4="Todas", SUMIFS(Captura_Pegaso!H:H, Captura_Pegaso!A:A, B24, Captura_Pegaso!B:B, "Salida"), SUMIFS(Captura_Pegaso!H:H, Captura_Pegaso!D:D, C$4, Captura_Pegaso!A:A, B24, Captura_Pegaso!B:B, "Salida"))</f>
      </c>
      <c r="H24" s="318">
        <f t="shared" si="7"/>
      </c>
      <c r="I24" s="319">
        <f t="shared" si="8"/>
      </c>
      <c r="J24" s="320"/>
    </row>
    <row r="25" spans="1:32" ht="16.05" customHeight="1">
      <c r="A25" t="s" s="321">
        <v>143</v>
      </c>
      <c r="B25" s="322">
        <f t="shared" si="5"/>
      </c>
      <c r="C25" s="323">
        <f>IF(C$4="Todas", SUMIFS(Captura_Obra!F:F, Captura_Obra!A:A, B25, Captura_Obra!C:C, "Marimba M-01"), SUMIFS(Captura_Obra!F:F, Captura_Obra!B:B, C$4, Captura_Obra!A:A, B25, Captura_Obra!C:C, "Marimba M-01"))</f>
      </c>
      <c r="D25" s="324">
        <f>IF(C$4="Todas", SUMIFS(Captura_Marimba_M01!G:G, Captura_Marimba_M01!A:A, B25, Captura_Marimba_M01!B:B, "Salida"), SUMIFS(Captura_Marimba_M01!G:G, Captura_Marimba_M01!C:C, C$4, Captura_Marimba_M01!A:A, B25, Captura_Marimba_M01!B:B, "Salida"))</f>
      </c>
      <c r="E25" s="325">
        <f t="shared" si="6"/>
      </c>
      <c r="F25" s="326">
        <f>IF(C$4="Todas", SUMIFS(Captura_Obra!F:F, Captura_Obra!A:A, B25, Captura_Obra!C:C, "Pegaso Directo"), SUMIFS(Captura_Obra!F:F, Captura_Obra!B:B, C$4, Captura_Obra!A:A, B25, Captura_Obra!C:C, "Pegaso Directo"))</f>
      </c>
      <c r="G25" s="327">
        <f>IF(C$4="Todas", SUMIFS(Captura_Pegaso!H:H, Captura_Pegaso!A:A, B25, Captura_Pegaso!B:B, "Salida"), SUMIFS(Captura_Pegaso!H:H, Captura_Pegaso!D:D, C$4, Captura_Pegaso!A:A, B25, Captura_Pegaso!B:B, "Salida"))</f>
      </c>
      <c r="H25" s="328">
        <f t="shared" si="7"/>
      </c>
      <c r="I25" s="329">
        <f t="shared" si="8"/>
      </c>
      <c r="J25" s="330"/>
    </row>
    <row r="26" spans="1:32" ht="16.05" customHeight="1">
      <c r="A26" t="s" s="331">
        <v>144</v>
      </c>
      <c r="B26" s="332">
        <f t="shared" si="5"/>
      </c>
      <c r="C26" s="333">
        <f>IF(C$4="Todas", SUMIFS(Captura_Obra!F:F, Captura_Obra!A:A, B26, Captura_Obra!C:C, "Marimba M-01"), SUMIFS(Captura_Obra!F:F, Captura_Obra!B:B, C$4, Captura_Obra!A:A, B26, Captura_Obra!C:C, "Marimba M-01"))</f>
      </c>
      <c r="D26" s="334">
        <f>IF(C$4="Todas", SUMIFS(Captura_Marimba_M01!G:G, Captura_Marimba_M01!A:A, B26, Captura_Marimba_M01!B:B, "Salida"), SUMIFS(Captura_Marimba_M01!G:G, Captura_Marimba_M01!C:C, C$4, Captura_Marimba_M01!A:A, B26, Captura_Marimba_M01!B:B, "Salida"))</f>
      </c>
      <c r="E26" s="335">
        <f t="shared" si="6"/>
      </c>
      <c r="F26" s="336">
        <f>IF(C$4="Todas", SUMIFS(Captura_Obra!F:F, Captura_Obra!A:A, B26, Captura_Obra!C:C, "Pegaso Directo"), SUMIFS(Captura_Obra!F:F, Captura_Obra!B:B, C$4, Captura_Obra!A:A, B26, Captura_Obra!C:C, "Pegaso Directo"))</f>
      </c>
      <c r="G26" s="337">
        <f>IF(C$4="Todas", SUMIFS(Captura_Pegaso!H:H, Captura_Pegaso!A:A, B26, Captura_Pegaso!B:B, "Salida"), SUMIFS(Captura_Pegaso!H:H, Captura_Pegaso!D:D, C$4, Captura_Pegaso!A:A, B26, Captura_Pegaso!B:B, "Salida"))</f>
      </c>
      <c r="H26" s="338">
        <f t="shared" si="7"/>
      </c>
      <c r="I26" s="339">
        <f t="shared" si="8"/>
      </c>
      <c r="J26" s="340"/>
    </row>
    <row r="27" spans="1:32" ht="16.05" customHeight="1">
      <c r="A27" t="s" s="341">
        <v>145</v>
      </c>
      <c r="B27" s="342">
        <f t="shared" si="5"/>
      </c>
      <c r="C27" s="343">
        <f>IF(C$4="Todas", SUMIFS(Captura_Obra!F:F, Captura_Obra!A:A, B27, Captura_Obra!C:C, "Marimba M-01"), SUMIFS(Captura_Obra!F:F, Captura_Obra!B:B, C$4, Captura_Obra!A:A, B27, Captura_Obra!C:C, "Marimba M-01"))</f>
      </c>
      <c r="D27" s="344">
        <f>IF(C$4="Todas", SUMIFS(Captura_Marimba_M01!G:G, Captura_Marimba_M01!A:A, B27, Captura_Marimba_M01!B:B, "Salida"), SUMIFS(Captura_Marimba_M01!G:G, Captura_Marimba_M01!C:C, C$4, Captura_Marimba_M01!A:A, B27, Captura_Marimba_M01!B:B, "Salida"))</f>
      </c>
      <c r="E27" s="345">
        <f t="shared" si="6"/>
      </c>
      <c r="F27" s="346">
        <f>IF(C$4="Todas", SUMIFS(Captura_Obra!F:F, Captura_Obra!A:A, B27, Captura_Obra!C:C, "Pegaso Directo"), SUMIFS(Captura_Obra!F:F, Captura_Obra!B:B, C$4, Captura_Obra!A:A, B27, Captura_Obra!C:C, "Pegaso Directo"))</f>
      </c>
      <c r="G27" s="347">
        <f>IF(C$4="Todas", SUMIFS(Captura_Pegaso!H:H, Captura_Pegaso!A:A, B27, Captura_Pegaso!B:B, "Salida"), SUMIFS(Captura_Pegaso!H:H, Captura_Pegaso!D:D, C$4, Captura_Pegaso!A:A, B27, Captura_Pegaso!B:B, "Salida"))</f>
      </c>
      <c r="H27" s="348">
        <f t="shared" si="7"/>
      </c>
      <c r="I27" s="349">
        <f t="shared" si="8"/>
      </c>
      <c r="J27" s="350"/>
    </row>
    <row r="28" spans="1:32" ht="17.55" customHeight="1">
      <c r="A28" t="s" s="351">
        <v>179</v>
      </c>
      <c r="B28" s="352"/>
      <c r="C28" s="353">
        <f t="shared" ref="C28:I28" si="9">SUM(C22:C27)</f>
      </c>
      <c r="D28" s="354">
        <f t="shared" si="9"/>
      </c>
      <c r="E28" s="355">
        <f t="shared" si="9"/>
      </c>
      <c r="F28" s="356">
        <f t="shared" si="9"/>
      </c>
      <c r="G28" s="357">
        <f t="shared" si="9"/>
      </c>
      <c r="H28" s="358">
        <f t="shared" si="9"/>
      </c>
      <c r="I28" s="359">
        <f t="shared" si="9"/>
      </c>
      <c r="J28" s="360"/>
    </row>
    <row r="29" spans="1:32" ht="16.8">
      <c r="A29" s="452"/>
      <c r="B29" s="453"/>
      <c r="C29" s="454"/>
      <c r="D29" s="455"/>
      <c r="E29" s="456"/>
      <c r="F29" s="457"/>
      <c r="G29" s="458"/>
      <c r="H29" s="459"/>
      <c r="I29" s="460"/>
      <c r="J29" s="461"/>
    </row>
    <row r="30" spans="1:32" ht="16.8">
      <c r="A30" s="462"/>
      <c r="B30" s="463"/>
      <c r="C30" s="464"/>
      <c r="D30" s="465"/>
      <c r="E30" s="466"/>
      <c r="F30" s="467"/>
      <c r="G30" s="468"/>
      <c r="H30" s="469"/>
      <c r="I30" s="470"/>
      <c r="J30" s="471"/>
      <c r="Q30" s="25160">
        <f>"SOLICITUDES DE DISEL DIARIAS Y SEMANALES POR OBRA (SEMANA " &amp; YEAR(C5) &amp; "-" &amp; TEXT(MONTH(C5),"00") &amp; "-" &amp; TEXT(DAY(C5),"00") &amp; ")"</f>
      </c>
      <c r="R30" s="25160"/>
      <c r="S30" s="25160"/>
      <c r="T30" s="25160"/>
      <c r="U30" s="25160"/>
      <c r="V30" s="25160"/>
      <c r="W30" s="25160"/>
      <c r="X30" s="25160"/>
      <c r="Y30" s="25160"/>
      <c r="Z30" s="25160"/>
      <c r="AA30" s="25160"/>
      <c r="AB30" s="25160"/>
      <c r="AC30" s="25160"/>
      <c r="AD30" s="25160"/>
      <c r="AE30" s="25160"/>
      <c r="AF30" s="25160"/>
    </row>
    <row r="31" spans="1:32" ht="24" customHeight="1">
      <c r="A31" t="s" s="25140">
        <v>180</v>
      </c>
      <c r="B31" s="25140"/>
      <c r="C31" s="25140"/>
      <c r="D31" s="584"/>
      <c r="Q31" t="s" s="25167">
        <v>0</v>
      </c>
      <c r="R31" t="s" s="25168">
        <v>106</v>
      </c>
      <c r="S31" t="s" s="25161">
        <v>140</v>
      </c>
      <c r="T31" s="25161"/>
      <c r="U31" t="s" s="25166">
        <v>141</v>
      </c>
      <c r="V31" s="25166"/>
      <c r="W31" t="s" s="25165">
        <v>142</v>
      </c>
      <c r="X31" s="25165"/>
      <c r="Y31" t="s" s="25164">
        <v>143</v>
      </c>
      <c r="Z31" s="25164"/>
      <c r="AA31" t="s" s="25163">
        <v>144</v>
      </c>
      <c r="AB31" s="25163"/>
      <c r="AC31" t="s" s="25162">
        <v>145</v>
      </c>
      <c r="AD31" s="25162"/>
      <c r="AE31" t="s" s="25158">
        <v>355</v>
      </c>
      <c r="AF31" t="s" s="25158">
        <v>356</v>
      </c>
    </row>
    <row r="32" spans="1:32" ht="22.05" customHeight="1">
      <c r="A32" t="s" s="361">
        <v>0</v>
      </c>
      <c r="B32" t="s" s="362">
        <v>172</v>
      </c>
      <c r="C32" t="s" s="363">
        <v>173</v>
      </c>
      <c r="D32" s="472"/>
      <c r="Q32" s="25167"/>
      <c r="R32" s="25168"/>
      <c r="S32" t="s" s="2315">
        <v>353</v>
      </c>
      <c r="T32" t="s" s="2315">
        <v>354</v>
      </c>
      <c r="U32" t="s" s="2315">
        <v>353</v>
      </c>
      <c r="V32" t="s" s="2315">
        <v>354</v>
      </c>
      <c r="W32" t="s" s="2315">
        <v>353</v>
      </c>
      <c r="X32" t="s" s="2315">
        <v>354</v>
      </c>
      <c r="Y32" t="s" s="2315">
        <v>353</v>
      </c>
      <c r="Z32" t="s" s="2315">
        <v>354</v>
      </c>
      <c r="AA32" t="s" s="2315">
        <v>353</v>
      </c>
      <c r="AB32" t="s" s="2315">
        <v>354</v>
      </c>
      <c r="AC32" t="s" s="2315">
        <v>353</v>
      </c>
      <c r="AD32" t="s" s="2315">
        <v>354</v>
      </c>
      <c r="AE32" s="25159"/>
      <c r="AF32" s="25159"/>
    </row>
    <row r="33" spans="1:32" ht="19.95" customHeight="1">
      <c r="A33" t="s" s="364">
        <v>1</v>
      </c>
      <c r="B33" s="365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</c>
      <c r="C33" s="366">
        <f t="shared" ref="C33:C40" si="10">B33*C$7</f>
      </c>
      <c r="D33" s="473"/>
      <c r="P33" t="s">
        <v>357</v>
      </c>
      <c r="Q33" s="578">
        <f>A33</f>
      </c>
      <c r="R33" s="2275">
        <f>VLOOKUP(Q33,Catalogos!$B$4:$C$18,2,FALSE)</f>
      </c>
      <c r="S33" s="2278">
        <f>SUMIFS(Solicitudes!$F:$F, Solicitudes!$B:$B, $Q33, Solicitudes!$C:$C, $B$12)</f>
      </c>
      <c r="T33" s="2277">
        <v>550</v>
      </c>
      <c r="U33" s="2279">
        <f>SUMIFS(Solicitudes!$F:$F, Solicitudes!$B:$B, $Q33, Solicitudes!$C:$C, $B$13)</f>
      </c>
      <c r="V33" s="2277">
        <v>550</v>
      </c>
      <c r="W33" s="2280">
        <f>SUMIFS(Solicitudes!$F:$F, Solicitudes!$B:$B, $Q33, Solicitudes!$C:$C, $B$14)</f>
      </c>
      <c r="X33" s="2277">
        <v>550</v>
      </c>
      <c r="Y33" s="2281">
        <f>SUMIFS(Solicitudes!$F:$F, Solicitudes!$B:$B, $Q33, Solicitudes!$C:$C, $B$15)</f>
      </c>
      <c r="Z33" s="2277">
        <v>550</v>
      </c>
      <c r="AA33" s="2282">
        <f>SUMIFS(Solicitudes!$F:$F, Solicitudes!$B:$B, $Q33, Solicitudes!$C:$C, $B$16)</f>
      </c>
      <c r="AB33" s="2277">
        <v>550</v>
      </c>
      <c r="AC33" s="2283">
        <f>SUMIFS(Solicitudes!$F:$F, Solicitudes!$B:$B, $Q33, Solicitudes!$C:$C, $B$17)</f>
      </c>
      <c r="AD33" s="2284">
        <v>0</v>
      </c>
      <c r="AE33" s="2285">
        <f>SUM(S33,U33,W33,Y33,AA33,AC33,)</f>
      </c>
      <c r="AF33" s="2285">
        <f>SUM(T33,V33,X33,Z33,AB33,AD33)</f>
      </c>
    </row>
    <row r="34" spans="1:32" ht="19.95" customHeight="1">
      <c r="A34" t="s" s="367">
        <v>2</v>
      </c>
      <c r="B34" s="368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</c>
      <c r="C34" s="369">
        <f t="shared" si="10"/>
      </c>
      <c r="D34" s="474"/>
      <c r="P34" t="s">
        <v>358</v>
      </c>
      <c r="Q34" s="579">
        <f>A34</f>
      </c>
      <c r="R34" s="2275">
        <f>VLOOKUP(Q34,Catalogos!$B$4:$C$18,2,FALSE)</f>
      </c>
      <c r="S34" s="2286">
        <f>SUMIFS(Solicitudes!$F:$F, Solicitudes!$B:$B, $Q34, Solicitudes!$C:$C, $B$12)</f>
      </c>
      <c r="T34" s="2277">
        <v>400</v>
      </c>
      <c r="U34" s="2287">
        <f>SUMIFS(Solicitudes!$F:$F, Solicitudes!$B:$B, $Q34, Solicitudes!$C:$C, $B$13)</f>
      </c>
      <c r="V34" s="2277">
        <v>400</v>
      </c>
      <c r="W34" s="2288">
        <f>SUMIFS(Solicitudes!$F:$F, Solicitudes!$B:$B, $Q34, Solicitudes!$C:$C, $B$14)</f>
      </c>
      <c r="X34" s="2277">
        <v>400</v>
      </c>
      <c r="Y34" s="2289">
        <f>SUMIFS(Solicitudes!$F:$F, Solicitudes!$B:$B, $Q34, Solicitudes!$C:$C, $B$15)</f>
      </c>
      <c r="Z34" s="2277">
        <v>400</v>
      </c>
      <c r="AA34" s="2290">
        <f>SUMIFS(Solicitudes!$F:$F, Solicitudes!$B:$B, $Q34, Solicitudes!$C:$C, $B$16)</f>
      </c>
      <c r="AB34" s="2277">
        <v>400</v>
      </c>
      <c r="AC34" s="2291">
        <f>SUMIFS(Solicitudes!$F:$F, Solicitudes!$B:$B, $Q34, Solicitudes!$C:$C, $B$17)</f>
      </c>
      <c r="AD34" s="2292">
        <f>SUMIFS(Solicitudes!$F:$F, Solicitudes!$B:$B, $Q34, Solicitudes!$C:$C, ($B$17+1))</f>
      </c>
      <c r="AE34" s="2285">
        <f t="shared" ref="AE34:AE37" si="11">SUM(S34,U34,W34,Y34,AA34,AC34,)</f>
      </c>
      <c r="AF34" s="2285">
        <f t="shared" ref="AF34:AF38" si="12">SUM(T34,V34,X34,Z34,AB34,AD34)</f>
      </c>
    </row>
    <row r="35" spans="1:32" ht="19.95" customHeight="1">
      <c r="A35" t="s" s="370">
        <v>3</v>
      </c>
      <c r="B35" s="371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</c>
      <c r="C35" s="372">
        <f t="shared" si="10"/>
      </c>
      <c r="D35" s="475"/>
      <c r="P35" t="s">
        <v>358</v>
      </c>
      <c r="Q35" s="580">
        <f>A36</f>
      </c>
      <c r="R35" s="2275">
        <f>VLOOKUP(Q35,Catalogos!$B$4:$C$18,2,FALSE)</f>
      </c>
      <c r="S35" s="2293">
        <f>SUMIFS(Solicitudes!$F:$F, Solicitudes!$B:$B, $Q35, Solicitudes!$C:$C, $B$12)</f>
      </c>
      <c r="T35" s="2277">
        <v>100</v>
      </c>
      <c r="U35" s="2294">
        <f>SUMIFS(Solicitudes!$F:$F, Solicitudes!$B:$B, $Q35, Solicitudes!$C:$C, $B$13)</f>
      </c>
      <c r="V35" s="2277">
        <v>100</v>
      </c>
      <c r="W35" s="2295">
        <f>SUMIFS(Solicitudes!$F:$F, Solicitudes!$B:$B, $Q35, Solicitudes!$C:$C, $B$14)</f>
      </c>
      <c r="X35" s="2277">
        <v>100</v>
      </c>
      <c r="Y35" s="2296">
        <f>SUMIFS(Solicitudes!$F:$F, Solicitudes!$B:$B, $Q35, Solicitudes!$C:$C, $B$15)</f>
      </c>
      <c r="Z35" s="2277">
        <v>100</v>
      </c>
      <c r="AA35" s="2297">
        <f>SUMIFS(Solicitudes!$F:$F, Solicitudes!$B:$B, $Q35, Solicitudes!$C:$C, $B$16)</f>
      </c>
      <c r="AB35" s="2277">
        <v>100</v>
      </c>
      <c r="AC35" s="2298">
        <f>SUMIFS(Solicitudes!$F:$F, Solicitudes!$B:$B, $Q35, Solicitudes!$C:$C, $B$17)</f>
      </c>
      <c r="AD35" s="2299">
        <f>SUMIFS(Solicitudes!$F:$F, Solicitudes!$B:$B, $Q35, Solicitudes!$C:$C, ($B$17+1))</f>
      </c>
      <c r="AE35" s="2285">
        <f t="shared" si="11"/>
      </c>
      <c r="AF35" s="2285">
        <f t="shared" si="12"/>
      </c>
    </row>
    <row r="36" spans="1:32" ht="19.95" customHeight="1">
      <c r="A36" t="s" s="373">
        <v>111</v>
      </c>
      <c r="B36" s="374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</c>
      <c r="C36" s="375">
        <f t="shared" si="10"/>
      </c>
      <c r="D36" s="476"/>
      <c r="P36" t="s">
        <v>358</v>
      </c>
      <c r="Q36" s="581">
        <f>A37</f>
      </c>
      <c r="R36" s="2275">
        <f>VLOOKUP(Q36,Catalogos!$B$4:$C$18,2,FALSE)</f>
      </c>
      <c r="S36" s="2300">
        <f>SUMIFS(Solicitudes!$F:$F, Solicitudes!$B:$B, $Q36, Solicitudes!$C:$C, $B$12)</f>
      </c>
      <c r="T36" s="2277">
        <v>0</v>
      </c>
      <c r="U36" s="2301">
        <f>SUMIFS(Solicitudes!$F:$F, Solicitudes!$B:$B, $Q36, Solicitudes!$C:$C, $B$13)</f>
      </c>
      <c r="V36" s="2277">
        <v>300</v>
      </c>
      <c r="W36" s="2302">
        <f>SUMIFS(Solicitudes!$F:$F, Solicitudes!$B:$B, $Q36, Solicitudes!$C:$C, $B$14)</f>
      </c>
      <c r="X36" s="2277">
        <v>1000</v>
      </c>
      <c r="Y36" s="2303">
        <f>SUMIFS(Solicitudes!$F:$F, Solicitudes!$B:$B, $Q36, Solicitudes!$C:$C, $B$15)</f>
      </c>
      <c r="Z36" s="2277">
        <v>300</v>
      </c>
      <c r="AA36" s="2304">
        <f>SUMIFS(Solicitudes!$F:$F, Solicitudes!$B:$B, $Q36, Solicitudes!$C:$C, $B$16)</f>
      </c>
      <c r="AB36" s="2277">
        <v>0</v>
      </c>
      <c r="AC36" s="2305">
        <f>SUMIFS(Solicitudes!$F:$F, Solicitudes!$B:$B, $Q36, Solicitudes!$C:$C, $B$17)</f>
      </c>
      <c r="AD36" s="2306">
        <f>SUMIFS(Solicitudes!$F:$F, Solicitudes!$B:$B, $Q36, Solicitudes!$C:$C, ($B$17+1))</f>
      </c>
      <c r="AE36" s="2285">
        <f t="shared" si="11"/>
      </c>
      <c r="AF36" s="2285">
        <f t="shared" si="12"/>
      </c>
    </row>
    <row r="37" spans="1:32" ht="19.95" customHeight="1">
      <c r="A37" t="s" s="376">
        <v>115</v>
      </c>
      <c r="B37" s="377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</c>
      <c r="C37" s="378">
        <f t="shared" si="10"/>
      </c>
      <c r="D37" s="477"/>
      <c r="P37" t="s">
        <v>359</v>
      </c>
      <c r="Q37" s="582">
        <f>A38</f>
      </c>
      <c r="R37" s="2275">
        <f>VLOOKUP(Q37,Catalogos!$B$4:$C$18,2,FALSE)</f>
      </c>
      <c r="S37" s="2307">
        <f>SUMIFS(Solicitudes!$F:$F, Solicitudes!$B:$B, $Q37, Solicitudes!$C:$C, $B$12)</f>
      </c>
      <c r="T37" s="2277">
        <v>500</v>
      </c>
      <c r="U37" s="2308">
        <f>SUMIFS(Solicitudes!$F:$F, Solicitudes!$B:$B, $Q37, Solicitudes!$C:$C, $B$13)</f>
      </c>
      <c r="V37" s="2277">
        <v>500</v>
      </c>
      <c r="W37" s="2309">
        <f>SUMIFS(Solicitudes!$F:$F, Solicitudes!$B:$B, $Q37, Solicitudes!$C:$C, $B$14)</f>
      </c>
      <c r="X37" s="2277">
        <v>500</v>
      </c>
      <c r="Y37" s="2310">
        <f>SUMIFS(Solicitudes!$F:$F, Solicitudes!$B:$B, $Q37, Solicitudes!$C:$C, $B$15)</f>
      </c>
      <c r="Z37" s="2277">
        <v>500</v>
      </c>
      <c r="AA37" s="2311">
        <f>SUMIFS(Solicitudes!$F:$F, Solicitudes!$B:$B, $Q37, Solicitudes!$C:$C, $B$16)</f>
      </c>
      <c r="AB37" s="2277">
        <v>500</v>
      </c>
      <c r="AC37" s="2312">
        <f>SUMIFS(Solicitudes!$F:$F, Solicitudes!$B:$B, $Q37, Solicitudes!$C:$C, $B$17)</f>
      </c>
      <c r="AD37" s="2313">
        <f>SUMIFS(Solicitudes!$F:$F, Solicitudes!$B:$B, $Q37, Solicitudes!$C:$C, ($B$17+1))</f>
      </c>
      <c r="AE37" s="2285">
        <f t="shared" si="11"/>
      </c>
      <c r="AF37" s="2285">
        <f t="shared" si="12"/>
      </c>
    </row>
    <row r="38" spans="1:32" ht="19.95" customHeight="1">
      <c r="A38" t="s" s="379">
        <v>124</v>
      </c>
      <c r="B38" s="380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</c>
      <c r="C38" s="381">
        <f t="shared" si="10"/>
      </c>
      <c r="D38" s="478"/>
      <c r="Q38" s="583">
        <f>A41</f>
      </c>
      <c r="R38" s="2276"/>
      <c r="S38" s="2276">
        <f>SUM(S33:S37)</f>
      </c>
      <c r="T38" s="2276">
        <f>SUM(T33:T37)</f>
      </c>
      <c r="U38" s="2314">
        <f t="shared" ref="U38" si="13">SUM(U33:U37)</f>
      </c>
      <c r="V38" s="2314">
        <f t="shared" ref="V38:AE38" si="14">SUM(V33:V37)</f>
      </c>
      <c r="W38" s="2314">
        <f t="shared" si="14"/>
      </c>
      <c r="X38" s="2314">
        <f t="shared" si="14"/>
      </c>
      <c r="Y38" s="2314">
        <f t="shared" si="14"/>
      </c>
      <c r="Z38" s="2314">
        <f t="shared" si="14"/>
      </c>
      <c r="AA38" s="2314">
        <f t="shared" si="14"/>
      </c>
      <c r="AB38" s="2314">
        <f t="shared" si="14"/>
      </c>
      <c r="AC38" s="2314">
        <f t="shared" si="14"/>
      </c>
      <c r="AD38" s="2314">
        <f t="shared" si="14"/>
      </c>
      <c r="AE38" s="2314">
        <f t="shared" si="14"/>
      </c>
      <c r="AF38" s="2314">
        <f t="shared" si="12"/>
      </c>
    </row>
    <row r="39" spans="1:32" ht="19.95" customHeight="1">
      <c r="A39" t="s" s="382">
        <v>159</v>
      </c>
      <c r="B39" s="383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</c>
      <c r="C39" s="384">
        <f t="shared" si="10"/>
      </c>
      <c r="D39" s="479"/>
      <c r="AF39" s="2316"/>
    </row>
    <row r="40" spans="1:32" ht="19.95" customHeight="1">
      <c r="A40" t="s" s="385">
        <v>166</v>
      </c>
      <c r="B40" s="386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</c>
      <c r="C40" s="387">
        <f t="shared" si="10"/>
      </c>
      <c r="D40" s="480"/>
    </row>
    <row r="41" spans="1:32" ht="22.05" customHeight="1">
      <c r="A41" t="s" s="388">
        <v>174</v>
      </c>
      <c r="B41" s="389">
        <f>SUM(B33:B40)</f>
      </c>
      <c r="C41" s="390">
        <f>SUM(C33:C40)</f>
      </c>
      <c r="D41" s="481"/>
    </row>
    <row r="42" spans="1:32" ht="16.8">
      <c r="A42" s="482"/>
      <c r="B42" s="483"/>
      <c r="C42" s="484"/>
      <c r="D42" s="485"/>
      <c r="E42" s="486"/>
      <c r="F42" s="487"/>
      <c r="G42" s="488"/>
      <c r="H42" s="489"/>
      <c r="I42" s="490"/>
      <c r="J42" s="491"/>
    </row>
    <row r="43" spans="1:32" ht="19.95" customHeight="1">
      <c r="A43" t="s" s="25065">
        <v>181</v>
      </c>
      <c r="B43" s="25066"/>
      <c r="C43" s="25067"/>
      <c r="D43" s="25068"/>
      <c r="E43" s="25069"/>
      <c r="F43" s="25070"/>
      <c r="G43" s="25071"/>
      <c r="H43" s="25072"/>
      <c r="I43" s="25073"/>
      <c r="J43" s="25074"/>
    </row>
    <row r="44" spans="1:32" ht="16.8">
      <c r="A44" s="532"/>
      <c r="B44" t="s" s="492">
        <v>182</v>
      </c>
      <c r="C44" t="s" s="493">
        <v>166</v>
      </c>
      <c r="D44" s="533"/>
      <c r="E44" s="534"/>
      <c r="F44" s="535"/>
      <c r="G44" s="536"/>
      <c r="H44" s="537"/>
      <c r="I44" s="538"/>
      <c r="J44" s="539"/>
    </row>
    <row r="45" spans="1:32" ht="16.8">
      <c r="A45" s="540"/>
      <c r="B45" t="s" s="494">
        <v>131</v>
      </c>
      <c r="C45" s="495">
        <v>27</v>
      </c>
      <c r="D45" s="541"/>
      <c r="E45" s="542"/>
      <c r="F45" s="543"/>
      <c r="G45" s="544"/>
      <c r="H45" s="545"/>
      <c r="I45" s="546"/>
      <c r="J45" s="547"/>
    </row>
    <row r="46" spans="1:32" ht="16.8">
      <c r="A46" s="548"/>
      <c r="B46" s="549"/>
      <c r="C46" s="550"/>
      <c r="D46" s="551"/>
      <c r="E46" s="552"/>
      <c r="F46" s="553"/>
      <c r="G46" s="554"/>
      <c r="H46" s="555"/>
      <c r="I46" s="556"/>
      <c r="J46" s="557"/>
    </row>
    <row r="47" spans="1:32" ht="24" customHeight="1">
      <c r="A47" t="s" s="496">
        <v>183</v>
      </c>
      <c r="B47" t="s" s="497">
        <v>192</v>
      </c>
      <c r="C47" t="s" s="498">
        <v>184</v>
      </c>
      <c r="D47" t="s" s="499">
        <v>185</v>
      </c>
      <c r="E47" t="s" s="500">
        <v>186</v>
      </c>
      <c r="F47" t="s" s="501">
        <v>191</v>
      </c>
      <c r="G47" t="s" s="502">
        <v>193</v>
      </c>
      <c r="H47" t="s" s="574">
        <v>194</v>
      </c>
      <c r="I47" t="s" s="575">
        <v>195</v>
      </c>
      <c r="J47" s="558"/>
    </row>
    <row r="48" spans="1:32" ht="19.95" customHeight="1">
      <c r="A48" s="503">
        <v>46167</v>
      </c>
      <c r="B48" s="564">
        <f>IF(OR(C$44="Jalisco", C$44="Todas"), Captura_Jalisco!K5, "")</f>
      </c>
      <c r="C48" s="504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</c>
      <c r="D48" s="505">
        <f>C$45</f>
      </c>
      <c r="E48" s="506">
        <f>C48*D48</f>
      </c>
      <c r="F48" s="507">
        <f>IF(OR(C$44="Jalisco", C$44="Todas"), SUMIFS(Captura_Jalisco!$N$5:$N$250, Captura_Jalisco!$A$5:$A$250, "&gt;="&amp;A48, Captura_Jalisco!$A$5:$A$250, "&lt;="&amp;(A48+5)), 0)</f>
      </c>
      <c r="G48" s="565">
        <f>IF(OR(C$44="Jalisco", C$44="Todas"), B48-E48-F48, "")</f>
      </c>
      <c r="H48" s="508">
        <f>IF(OR(C$44="Jalisco", C$44="Todas"), SUMIFS(Captura_Jalisco!$M$5:$M$250, Captura_Jalisco!$A$5:$A$250, "&gt;="&amp;A48, Captura_Jalisco!$A$5:$A$250, "&lt;="&amp;(A48+5)), 0)</f>
      </c>
      <c r="I48" s="576">
        <f>C48</f>
      </c>
      <c r="J48" s="559"/>
    </row>
    <row r="49" spans="1:12" ht="19.95" customHeight="1">
      <c r="A49" s="509">
        <v>46174</v>
      </c>
      <c r="B49" s="566">
        <f>IF(OR(C$44="Jalisco", C$44="Todas"), G48+H48, "")</f>
      </c>
      <c r="C49" s="510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</c>
      <c r="D49" s="511">
        <f>C$45</f>
      </c>
      <c r="E49" s="512">
        <f>C49*D49</f>
      </c>
      <c r="F49" s="513">
        <f>IF(OR(C$44="Jalisco", C$44="Todas"), SUMIFS(Captura_Jalisco!$N$5:$N$250, Captura_Jalisco!$A$5:$A$250, "&gt;="&amp;A49, Captura_Jalisco!$A$5:$A$250, "&lt;="&amp;(A49+5)), 0)</f>
      </c>
      <c r="G49" s="567">
        <f>IF(OR(C$44="Jalisco", C$44="Todas"), B49-E49-F49, "")</f>
      </c>
      <c r="H49" s="514">
        <f>IF(OR(C$44="Jalisco", C$44="Todas"), SUMIFS(Captura_Jalisco!$M$5:$M$250, Captura_Jalisco!$A$5:$A$250, "&gt;="&amp;A49, Captura_Jalisco!$A$5:$A$250, "&lt;="&amp;(A49+5)), 0)</f>
      </c>
      <c r="I49" s="577">
        <f>I48+C49</f>
      </c>
      <c r="J49" s="560"/>
    </row>
    <row r="50" spans="1:12" ht="19.95" customHeight="1">
      <c r="A50" s="515">
        <v>46181</v>
      </c>
      <c r="B50" s="568">
        <f>IF(OR(C$44="Jalisco", C$44="Todas"), G49+H49, "")</f>
      </c>
      <c r="C50" s="516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</c>
      <c r="D50" s="517">
        <f>C$45</f>
      </c>
      <c r="E50" s="518">
        <f>C50*D50</f>
      </c>
      <c r="F50" s="519">
        <f>IF(OR(C$44="Jalisco", C$44="Todas"), SUMIFS(Captura_Jalisco!$N$5:$N$250, Captura_Jalisco!$A$5:$A$250, "&gt;="&amp;A50, Captura_Jalisco!$A$5:$A$250, "&lt;="&amp;(A50+5)), 0)</f>
      </c>
      <c r="G50" s="569">
        <f>IF(OR(C$44="Jalisco", C$44="Todas"), B50-E50-F50, "")</f>
      </c>
      <c r="H50" s="520">
        <f>IF(OR(C$44="Jalisco", C$44="Todas"), SUMIFS(Captura_Jalisco!$M$5:$M$250, Captura_Jalisco!$A$5:$A$250, "&gt;="&amp;A50, Captura_Jalisco!$A$5:$A$250, "&lt;="&amp;(A50+5)), 0)</f>
      </c>
      <c r="I50" s="577">
        <f t="shared" ref="I50:I51" si="15">I49+C50</f>
      </c>
      <c r="J50" s="561"/>
    </row>
    <row r="51" spans="1:12" ht="19.95" customHeight="1">
      <c r="A51" s="515">
        <v>46188</v>
      </c>
      <c r="B51" s="570">
        <f>IF(OR(C$44="Jalisco", C$44="Todas"), G50+H50, "")</f>
      </c>
      <c r="C51" s="521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</c>
      <c r="D51" s="522">
        <f>C$45</f>
      </c>
      <c r="E51" s="523">
        <f>C51*D51</f>
      </c>
      <c r="F51" s="524">
        <f>IF(OR(C$44="Jalisco", C$44="Todas"), SUMIFS(Captura_Jalisco!$N$5:$N$250, Captura_Jalisco!$A$5:$A$250, "&gt;="&amp;DATE(2026,6,15), Captura_Jalisco!$A$5:$A$250, "&lt;="&amp;DATE(2026,6,18)), 0)</f>
      </c>
      <c r="G51" s="571">
        <f>IF(OR(C$44="Jalisco", C$44="Todas"), B51-E51-F51, "")</f>
      </c>
      <c r="H51" s="525">
        <f>IF(OR(C$44="Jalisco", C$44="Todas"), SUMIFS(Captura_Jalisco!$M$5:$M$250, Captura_Jalisco!$A$5:$A$250, "&gt;="&amp;DATE(2026,6,15), Captura_Jalisco!$A$5:$A$250, "&lt;="&amp;DATE(2026,6,18)), 0)</f>
      </c>
      <c r="I51" s="577">
        <f t="shared" si="15"/>
      </c>
      <c r="J51" s="562"/>
    </row>
    <row r="52" spans="1:12" ht="22.05" customHeight="1">
      <c r="A52" t="s" s="526">
        <v>187</v>
      </c>
      <c r="B52" s="572">
        <f>IF(OR(C$44="Jalisco", C$44="Todas"), B48, "")</f>
      </c>
      <c r="C52" s="527">
        <f>SUM(C48:C51)</f>
      </c>
      <c r="D52" s="528"/>
      <c r="E52" s="529">
        <f>SUM(E48:E51)</f>
      </c>
      <c r="F52" s="530">
        <f>SUM(F48:F51)</f>
      </c>
      <c r="G52" s="573">
        <f>IF(OR(C$44="Jalisco", C$44="Todas"), G51, "")</f>
      </c>
      <c r="H52" s="531">
        <f>SUM(H48:H51)</f>
      </c>
      <c r="I52" s="531">
        <f>I51</f>
      </c>
      <c r="J52" s="563"/>
    </row>
    <row r="54" spans="1:12" ht="24" customHeight="1">
      <c r="B54" t="s" s="25053">
        <v>351</v>
      </c>
      <c r="C54" s="25054"/>
      <c r="D54" s="25055"/>
      <c r="E54" s="25056"/>
      <c r="F54" s="25057"/>
      <c r="G54" s="25058"/>
      <c r="H54" s="25059"/>
      <c r="I54" s="25060"/>
      <c r="J54" s="25061"/>
      <c r="K54" s="25062"/>
      <c r="L54" s="2023"/>
    </row>
    <row r="55" spans="1:12" ht="25.05" customHeight="1">
      <c r="A55" t="s" s="25141">
        <v>745</v>
      </c>
      <c r="B55" s="25142"/>
      <c r="C55" s="25143"/>
      <c r="D55" s="25144"/>
      <c r="E55" s="25145"/>
      <c r="F55" s="25146"/>
      <c r="G55" s="25147"/>
      <c r="H55" s="15890"/>
      <c r="I55" s="15891"/>
      <c r="J55" s="15892"/>
      <c r="K55" s="15893"/>
      <c r="L55" s="15894"/>
    </row>
    <row r="56" spans="1:12" ht="40.049999999999997" customHeight="1">
      <c r="A56" t="s" s="25148">
        <v>746</v>
      </c>
      <c r="B56" s="25149"/>
      <c r="C56" t="s" s="25150">
        <v>747</v>
      </c>
      <c r="D56" s="25151"/>
      <c r="E56" s="25152"/>
      <c r="F56" s="25153"/>
      <c r="G56" t="s" s="25154">
        <v>748</v>
      </c>
      <c r="H56" s="25155"/>
      <c r="I56" s="25156"/>
      <c r="J56" s="25157"/>
      <c r="K56" s="15895"/>
      <c r="L56" s="15896"/>
    </row>
    <row r="57" spans="1:12" ht="34.950000000000003" customHeight="1">
      <c r="A57" t="s" s="15897">
        <v>133</v>
      </c>
      <c r="B57" t="s" s="15898">
        <v>11</v>
      </c>
      <c r="C57" t="s" s="15899">
        <v>749</v>
      </c>
      <c r="D57" t="s" s="15900">
        <v>750</v>
      </c>
      <c r="E57" t="s" s="15901">
        <v>751</v>
      </c>
      <c r="F57" t="s" s="15902">
        <v>752</v>
      </c>
      <c r="G57" t="s" s="15903">
        <v>749</v>
      </c>
      <c r="H57" t="s" s="15904">
        <v>753</v>
      </c>
      <c r="I57" t="s" s="15905">
        <v>751</v>
      </c>
      <c r="J57" t="s" s="15906">
        <v>752</v>
      </c>
      <c r="K57" s="15907"/>
      <c r="L57" s="15908"/>
    </row>
    <row r="58" spans="1:12" ht="19.95" customHeight="1">
      <c r="A58" t="s" s="15909">
        <v>140</v>
      </c>
      <c r="B58" s="15910">
        <f>$C$5+0</f>
      </c>
      <c r="C58" s="15911">
        <v>6036.51</v>
      </c>
      <c r="D58" s="15912">
        <v>0</v>
      </c>
      <c r="E58" s="15913">
        <f>SUMIFS(Captura_Obra!$F:$F, Captura_Obra!$A:$A, B58, Captura_Obra!$C:$C, "*Pegaso*")</f>
      </c>
      <c r="F58" s="15914">
        <f t="shared" ref="F58:F64" si="16">C58 + D58 - E58</f>
      </c>
      <c r="G58" s="15915">
        <f>SUMIFS(Captura_Marimba_M01!$F:$F, Captura_Marimba_M01!$A:$A, "&lt;"&amp;B58) - SUMIFS(Captura_Obra!$F:$F, Captura_Obra!$A:$A, "&lt;"&amp;B58, Captura_Obra!$C:$C, "*Marimba*")</f>
      </c>
      <c r="H58" s="15916">
        <f>SUMIFS(Captura_Marimba_M01!$F:$F, Captura_Marimba_M01!$A:$A, B58)</f>
      </c>
      <c r="I58" s="15917">
        <f>SUMIFS(Captura_Obra!$F:$F, Captura_Obra!$A:$A, B58, Captura_Obra!$C:$C, "*Marimba*")</f>
      </c>
      <c r="J58" s="15918">
        <f t="shared" ref="J58:J64" si="17">G58 + H58 - I58</f>
      </c>
      <c r="K58" s="15919"/>
      <c r="L58" s="15920"/>
    </row>
    <row r="59" spans="1:12" ht="19.95" customHeight="1">
      <c r="A59" t="s" s="15921">
        <v>141</v>
      </c>
      <c r="B59" s="15922">
        <f>$C$5+1</f>
      </c>
      <c r="C59" s="15923">
        <f t="shared" ref="C59:C64" si="18">F58</f>
      </c>
      <c r="D59" s="15924">
        <f>SUMIFS(Captura_Pegaso!$G:$G, Captura_Pegaso!$A:$A, B59)</f>
      </c>
      <c r="E59" s="15925">
        <f>SUMIFS(Captura_Obra!$F:$F, Captura_Obra!$A:$A, B59, Captura_Obra!$C:$C, "*Pegaso*")</f>
      </c>
      <c r="F59" s="15926">
        <f t="shared" si="16"/>
      </c>
      <c r="G59" s="15927">
        <f t="shared" ref="G59:G64" si="19">J58</f>
      </c>
      <c r="H59" s="15928">
        <f>SUMIFS(Captura_Marimba_M01!$F:$F, Captura_Marimba_M01!$A:$A, B59)</f>
      </c>
      <c r="I59" s="15929">
        <f>SUMIFS(Captura_Obra!$F:$F, Captura_Obra!$A:$A, B59, Captura_Obra!$C:$C, "*Marimba*")</f>
      </c>
      <c r="J59" s="15930">
        <f t="shared" si="17"/>
      </c>
      <c r="K59" s="15931"/>
      <c r="L59" s="15932"/>
    </row>
    <row r="60" spans="1:12" ht="19.95" customHeight="1">
      <c r="A60" t="s" s="15933">
        <v>142</v>
      </c>
      <c r="B60" s="15934">
        <f>$C$5+2</f>
      </c>
      <c r="C60" s="15935">
        <f t="shared" si="18"/>
      </c>
      <c r="D60" s="15936">
        <f>SUMIFS(Captura_Pegaso!$G:$G, Captura_Pegaso!$A:$A, B60)</f>
      </c>
      <c r="E60" s="15937">
        <f>SUMIFS(Captura_Obra!$F:$F, Captura_Obra!$A:$A, B60, Captura_Obra!$C:$C, "*Pegaso*")</f>
      </c>
      <c r="F60" s="15938">
        <f t="shared" si="16"/>
      </c>
      <c r="G60" s="15939">
        <f t="shared" si="19"/>
      </c>
      <c r="H60" s="15940">
        <f>SUMIFS(Captura_Marimba_M01!$F:$F, Captura_Marimba_M01!$A:$A, B60)</f>
      </c>
      <c r="I60" s="15941">
        <f>SUMIFS(Captura_Obra!$F:$F, Captura_Obra!$A:$A, B60, Captura_Obra!$C:$C, "*Marimba*")</f>
      </c>
      <c r="J60" s="15942">
        <f t="shared" si="17"/>
      </c>
      <c r="K60" s="15943"/>
      <c r="L60" s="15944"/>
    </row>
    <row r="61" spans="1:12" ht="19.95" customHeight="1">
      <c r="A61" t="s" s="15945">
        <v>143</v>
      </c>
      <c r="B61" s="15946">
        <f>$C$5+3</f>
      </c>
      <c r="C61" s="15947">
        <f t="shared" si="18"/>
      </c>
      <c r="D61" s="15948">
        <f>SUMIFS(Captura_Pegaso!$G:$G, Captura_Pegaso!$A:$A, B61)</f>
      </c>
      <c r="E61" s="15949">
        <f>SUMIFS(Captura_Obra!$F:$F, Captura_Obra!$A:$A, B61, Captura_Obra!$C:$C, "*Pegaso*")</f>
      </c>
      <c r="F61" s="15950">
        <f t="shared" si="16"/>
      </c>
      <c r="G61" s="15951">
        <f t="shared" si="19"/>
      </c>
      <c r="H61" s="15952">
        <f>SUMIFS(Captura_Marimba_M01!$F:$F, Captura_Marimba_M01!$A:$A, B61)</f>
      </c>
      <c r="I61" s="15953">
        <f>SUMIFS(Captura_Obra!$F:$F, Captura_Obra!$A:$A, B61, Captura_Obra!$C:$C, "*Marimba*")</f>
      </c>
      <c r="J61" s="15954">
        <f t="shared" si="17"/>
      </c>
      <c r="K61" s="15955"/>
      <c r="L61" s="15956"/>
    </row>
    <row r="62" spans="1:12" ht="19.95" customHeight="1">
      <c r="A62" t="s" s="15957">
        <v>144</v>
      </c>
      <c r="B62" s="15958">
        <f>$C$5+4</f>
      </c>
      <c r="C62" s="15959">
        <f t="shared" si="18"/>
      </c>
      <c r="D62" s="15960">
        <f>SUMIFS(Captura_Pegaso!$G:$G, Captura_Pegaso!$A:$A, B62)</f>
      </c>
      <c r="E62" s="15961">
        <f>SUMIFS(Captura_Obra!$F:$F, Captura_Obra!$A:$A, B62, Captura_Obra!$C:$C, "*Pegaso*")</f>
      </c>
      <c r="F62" s="15962">
        <f t="shared" si="16"/>
      </c>
      <c r="G62" s="15963">
        <f t="shared" si="19"/>
      </c>
      <c r="H62" s="15964">
        <f>SUMIFS(Captura_Marimba_M01!$F:$F, Captura_Marimba_M01!$A:$A, B62)</f>
      </c>
      <c r="I62" s="15965">
        <f>SUMIFS(Captura_Obra!$F:$F, Captura_Obra!$A:$A, B62, Captura_Obra!$C:$C, "*Marimba*")</f>
      </c>
      <c r="J62" s="15966">
        <f t="shared" si="17"/>
      </c>
      <c r="K62" s="15967"/>
      <c r="L62" s="15968"/>
    </row>
    <row r="63" spans="1:12" ht="19.95" customHeight="1">
      <c r="A63" t="s" s="15969">
        <v>145</v>
      </c>
      <c r="B63" s="15970">
        <f>$C$5+5</f>
      </c>
      <c r="C63" s="15971">
        <f t="shared" si="18"/>
      </c>
      <c r="D63" s="15972">
        <f>SUMIFS(Captura_Pegaso!$G:$G, Captura_Pegaso!$A:$A, B63)</f>
      </c>
      <c r="E63" s="15973">
        <f>SUMIFS(Captura_Obra!$F:$F, Captura_Obra!$A:$A, B63, Captura_Obra!$C:$C, "*Pegaso*")</f>
      </c>
      <c r="F63" s="15974">
        <f t="shared" si="16"/>
      </c>
      <c r="G63" s="15975">
        <f t="shared" si="19"/>
      </c>
      <c r="H63" s="15976">
        <f>SUMIFS(Captura_Marimba_M01!$F:$F, Captura_Marimba_M01!$A:$A, B63)</f>
      </c>
      <c r="I63" s="15977">
        <f>SUMIFS(Captura_Obra!$F:$F, Captura_Obra!$A:$A, B63, Captura_Obra!$C:$C, "*Marimba*")</f>
      </c>
      <c r="J63" s="15978">
        <f t="shared" si="17"/>
      </c>
      <c r="K63" s="15979"/>
      <c r="L63" s="15980"/>
    </row>
    <row r="64" spans="1:12" ht="19.95" customHeight="1">
      <c r="A64" t="s" s="15981">
        <v>742</v>
      </c>
      <c r="B64" s="15982">
        <f>$C$5+6</f>
      </c>
      <c r="C64" s="15983">
        <f t="shared" si="18"/>
      </c>
      <c r="D64" s="15984">
        <f>SUMIFS(Captura_Pegaso!$G:$G, Captura_Pegaso!$A:$A, B64)</f>
      </c>
      <c r="E64" s="15985">
        <f>SUMIFS(Captura_Obra!$F:$F, Captura_Obra!$A:$A, B64, Captura_Obra!$C:$C, "*Pegaso*")</f>
      </c>
      <c r="F64" s="15986">
        <f t="shared" si="16"/>
      </c>
      <c r="G64" s="15987">
        <f t="shared" si="19"/>
      </c>
      <c r="H64" s="15988">
        <f>SUMIFS(Captura_Marimba_M01!$F:$F, Captura_Marimba_M01!$A:$A, B64)</f>
      </c>
      <c r="I64" s="15989">
        <f>SUMIFS(Captura_Obra!$F:$F, Captura_Obra!$A:$A, B64, Captura_Obra!$C:$C, "*Marimba*")</f>
      </c>
      <c r="J64" s="15990">
        <f t="shared" si="17"/>
      </c>
      <c r="K64" s="15991"/>
      <c r="L64" s="15992"/>
    </row>
    <row r="65" spans="1:12" ht="19.95" customHeight="1">
      <c r="A65" t="s" s="15993">
        <v>146</v>
      </c>
      <c r="B65" s="15994"/>
      <c r="C65" s="15995"/>
      <c r="D65" s="15996">
        <f>SUM(D58:D64)</f>
      </c>
      <c r="E65" s="15997">
        <f>SUM(E58:E64)</f>
      </c>
      <c r="F65" s="15998"/>
      <c r="G65" s="15999"/>
      <c r="H65" s="16000">
        <f>SUM(H58:H64)</f>
      </c>
      <c r="I65" s="16001">
        <f>SUM(I58:I64)</f>
      </c>
      <c r="J65" s="16002"/>
      <c r="K65" s="16003"/>
      <c r="L65" s="16004"/>
    </row>
    <row r="66" spans="1:12" ht="19.95" customHeight="1">
      <c r="B66" s="2024"/>
      <c r="C66" s="2025"/>
      <c r="D66" s="2026"/>
      <c r="E66" s="2027"/>
      <c r="F66" s="2028"/>
      <c r="G66" s="2029"/>
      <c r="H66" s="2030"/>
      <c r="I66" s="2031"/>
      <c r="J66" s="2032"/>
      <c r="K66" s="2033"/>
      <c r="L66" s="2034"/>
    </row>
    <row r="67" spans="1:12" ht="19.95" customHeight="1">
      <c r="B67" s="2035"/>
      <c r="C67" s="2036"/>
      <c r="D67" s="2037"/>
      <c r="E67" s="2038"/>
      <c r="F67" s="2039"/>
      <c r="G67" s="2040"/>
      <c r="H67" s="2041"/>
      <c r="I67" s="2042"/>
      <c r="J67" s="2043"/>
      <c r="K67" s="2044"/>
      <c r="L67" s="2045"/>
    </row>
    <row r="68" spans="1:12" ht="19.95" customHeight="1">
      <c r="B68" s="2046"/>
      <c r="C68" s="2047"/>
      <c r="D68" s="2048"/>
      <c r="E68" s="2049"/>
      <c r="F68" s="2050"/>
      <c r="G68" s="2051"/>
      <c r="H68" s="2052"/>
      <c r="I68" s="2053"/>
      <c r="J68" s="2054"/>
      <c r="K68" s="2055"/>
      <c r="L68" s="2056"/>
    </row>
    <row r="69" spans="1:12" ht="19.95" customHeight="1">
      <c r="B69" s="2057"/>
      <c r="C69" s="2058"/>
      <c r="D69" s="2059"/>
      <c r="E69" s="2060"/>
      <c r="F69" s="2061"/>
      <c r="G69" s="2062"/>
      <c r="H69" s="2063"/>
      <c r="I69" s="2064"/>
      <c r="J69" s="2065"/>
      <c r="K69" s="2066"/>
      <c r="L69" s="2067"/>
    </row>
    <row r="70" spans="1:12" ht="19.95" customHeight="1">
      <c r="B70" s="2068"/>
      <c r="C70" s="2069"/>
      <c r="D70" s="2070"/>
      <c r="E70" s="2071"/>
      <c r="F70" s="2072"/>
      <c r="G70" s="2073"/>
      <c r="H70" s="2074"/>
      <c r="I70" s="2075"/>
      <c r="J70" s="2076"/>
      <c r="K70" s="2077"/>
      <c r="L70" s="2078"/>
    </row>
    <row r="71" spans="1:12" ht="19.95" customHeight="1">
      <c r="B71" s="2079"/>
      <c r="C71" s="2080"/>
      <c r="D71" s="2081"/>
      <c r="E71" s="2082"/>
      <c r="F71" s="2083"/>
      <c r="G71" s="2084"/>
      <c r="H71" s="2085"/>
      <c r="I71" s="2086"/>
      <c r="J71" s="2087"/>
      <c r="K71" s="2088"/>
      <c r="L71" s="2089"/>
    </row>
    <row r="72" spans="1:12" ht="19.95" customHeight="1">
      <c r="B72" s="2090"/>
      <c r="C72" s="2091"/>
      <c r="D72" s="2092"/>
      <c r="E72" s="2093"/>
      <c r="F72" s="2094"/>
      <c r="G72" s="2095"/>
      <c r="H72" s="2096"/>
      <c r="I72" s="2097"/>
      <c r="J72" s="2098"/>
      <c r="K72" s="2099"/>
      <c r="L72" s="2100"/>
    </row>
    <row r="73" spans="1:12" ht="19.95" customHeight="1">
      <c r="B73" s="2101"/>
      <c r="C73" s="2102"/>
      <c r="D73" s="2103"/>
      <c r="E73" s="2104"/>
      <c r="F73" s="2105"/>
      <c r="G73" s="2106"/>
      <c r="H73" s="2107"/>
      <c r="I73" s="2108"/>
      <c r="J73" s="2109"/>
      <c r="K73" s="2110"/>
      <c r="L73" s="2111"/>
    </row>
    <row r="74" spans="1:12" ht="19.95" customHeight="1">
      <c r="B74" s="2112"/>
      <c r="C74" s="2113"/>
      <c r="D74" s="2114"/>
      <c r="E74" s="2115"/>
      <c r="F74" s="2116"/>
      <c r="G74" s="2117"/>
      <c r="H74" s="2118"/>
      <c r="I74" s="2119"/>
      <c r="J74" s="2120"/>
      <c r="K74" s="2121"/>
      <c r="L74" s="2122"/>
    </row>
    <row r="75" spans="1:12" ht="19.95" customHeight="1">
      <c r="B75" s="2123"/>
      <c r="C75" s="2124"/>
      <c r="D75" s="2125"/>
      <c r="E75" s="2126"/>
      <c r="F75" s="2127"/>
      <c r="G75" s="2128"/>
      <c r="H75" s="2129"/>
      <c r="I75" s="2130"/>
      <c r="J75" s="2131"/>
      <c r="K75" s="2132"/>
      <c r="L75" s="2133"/>
    </row>
    <row r="76" spans="1:12" ht="19.95" customHeight="1">
      <c r="B76" s="2134"/>
      <c r="C76" s="2135"/>
      <c r="D76" s="2136"/>
      <c r="E76" s="2137"/>
      <c r="F76" s="2138"/>
      <c r="G76" s="2139"/>
      <c r="H76" s="2140"/>
      <c r="I76" s="2141"/>
      <c r="J76" s="2142"/>
      <c r="K76" s="2143"/>
      <c r="L76" s="2144"/>
    </row>
    <row r="77" spans="1:12" ht="19.95" customHeight="1">
      <c r="B77" s="2145"/>
      <c r="C77" s="2146"/>
      <c r="D77" s="2147"/>
      <c r="E77" s="2148"/>
      <c r="F77" s="2149"/>
      <c r="G77" s="2150"/>
      <c r="H77" s="2151"/>
      <c r="I77" s="2152"/>
      <c r="J77" s="2153"/>
      <c r="K77" s="2154"/>
      <c r="L77" s="2155"/>
    </row>
    <row r="78" spans="1:12" ht="19.95" customHeight="1">
      <c r="B78" s="2156"/>
      <c r="C78" s="2157"/>
      <c r="D78" s="2158"/>
      <c r="E78" s="2159"/>
      <c r="F78" s="2160"/>
      <c r="G78" s="2161"/>
      <c r="H78" s="2162"/>
      <c r="I78" s="2163"/>
      <c r="J78" s="2164"/>
      <c r="K78" s="2165"/>
      <c r="L78" s="2166"/>
    </row>
    <row r="79" spans="1:12" ht="19.95" customHeight="1">
      <c r="B79" s="2167"/>
      <c r="C79" s="2168"/>
      <c r="D79" s="2169"/>
      <c r="E79" s="2170"/>
      <c r="F79" s="2171"/>
      <c r="G79" s="2172"/>
      <c r="H79" s="2173"/>
      <c r="I79" s="2174"/>
      <c r="J79" s="2175"/>
      <c r="K79" s="2176"/>
      <c r="L79" s="2177"/>
    </row>
    <row r="80" spans="1:12" ht="19.95" customHeight="1">
      <c r="B80" s="2178"/>
      <c r="C80" s="2179"/>
      <c r="D80" s="2180"/>
      <c r="E80" s="2181"/>
      <c r="F80" s="2182"/>
      <c r="G80" s="2183"/>
      <c r="H80" s="2184"/>
      <c r="I80" s="2185"/>
      <c r="J80" s="2186"/>
      <c r="K80" s="2187"/>
      <c r="L80" s="2188"/>
    </row>
    <row r="81" spans="2:12" ht="19.95" customHeight="1">
      <c r="B81" s="2189"/>
      <c r="C81" s="2190"/>
      <c r="D81" s="2191"/>
      <c r="E81" s="2192"/>
      <c r="F81" s="2193"/>
      <c r="G81" s="2194"/>
      <c r="H81" s="2195"/>
      <c r="I81" s="2196"/>
      <c r="J81" s="2197"/>
      <c r="K81" s="2198"/>
      <c r="L81" s="2199"/>
    </row>
    <row r="82" spans="2:12" ht="19.95" customHeight="1">
      <c r="B82" s="2200"/>
      <c r="C82" s="2201"/>
      <c r="D82" s="2202"/>
      <c r="E82" s="2203"/>
      <c r="F82" s="2204"/>
      <c r="G82" s="2205"/>
      <c r="H82" s="2206"/>
      <c r="I82" s="2207"/>
      <c r="J82" s="2208"/>
      <c r="K82" s="2209"/>
      <c r="L82" s="2210"/>
    </row>
    <row r="83" spans="2:12" ht="19.95" customHeight="1">
      <c r="B83" s="2211"/>
      <c r="C83" s="2212"/>
      <c r="D83" s="2213"/>
      <c r="E83" s="2214"/>
      <c r="F83" s="2215"/>
      <c r="G83" s="2216"/>
      <c r="H83" s="2217"/>
      <c r="I83" s="2218"/>
      <c r="J83" s="2219"/>
      <c r="K83" s="2220"/>
      <c r="L83" s="2221"/>
    </row>
    <row r="84" spans="2:12" ht="19.95" customHeight="1">
      <c r="B84" s="2222"/>
      <c r="C84" s="2223"/>
      <c r="D84" s="2224"/>
      <c r="E84" s="2225"/>
      <c r="F84" s="2226"/>
      <c r="G84" s="2227"/>
      <c r="H84" s="2228"/>
      <c r="I84" s="2229"/>
      <c r="J84" s="2230"/>
      <c r="K84" s="2231"/>
      <c r="L84" s="2232"/>
    </row>
    <row r="85" spans="2:12" ht="19.95" customHeight="1">
      <c r="B85" s="2233"/>
      <c r="C85" s="2234"/>
      <c r="D85" s="2235"/>
      <c r="E85" s="2236"/>
      <c r="F85" s="2237"/>
      <c r="G85" s="2238"/>
      <c r="H85" s="2239"/>
      <c r="I85" s="2240"/>
      <c r="J85" s="2241"/>
      <c r="K85" s="2242"/>
      <c r="L85" s="2243"/>
    </row>
    <row r="86" spans="2:12" ht="19.95" customHeight="1">
      <c r="B86" s="2244"/>
      <c r="C86" s="2245"/>
      <c r="D86" s="2246"/>
      <c r="E86" s="2247"/>
      <c r="F86" s="2248"/>
      <c r="G86" s="2249"/>
      <c r="H86" s="2250"/>
      <c r="I86" s="2251"/>
      <c r="J86" s="2252"/>
      <c r="K86" s="2253"/>
      <c r="L86" s="2254"/>
    </row>
    <row r="87" spans="2:12" ht="19.95" customHeight="1">
      <c r="B87" s="2255"/>
      <c r="C87" s="2256"/>
      <c r="D87" s="2257"/>
      <c r="E87" s="2258"/>
      <c r="F87" s="2259"/>
      <c r="G87" s="2260"/>
      <c r="H87" s="2261"/>
      <c r="I87" s="2262"/>
      <c r="J87" s="2263"/>
      <c r="K87" s="2264"/>
      <c r="L87" s="2265"/>
    </row>
    <row r="88" spans="2:12" ht="22.05" customHeight="1">
      <c r="B88" s="25063"/>
      <c r="C88" s="25064"/>
      <c r="D88" s="2266"/>
      <c r="E88" s="2267"/>
      <c r="F88" s="2268"/>
      <c r="G88" s="2269"/>
      <c r="H88" s="2270"/>
      <c r="I88" s="2271"/>
      <c r="J88" s="2272"/>
      <c r="K88" s="2273"/>
      <c r="L88" s="2274"/>
    </row>
  </sheetData>
  <mergeCells count="24">
    <mergeCell ref="AF31:AF32"/>
    <mergeCell ref="Q30:AF30"/>
    <mergeCell ref="S31:T31"/>
    <mergeCell ref="AC31:AD31"/>
    <mergeCell ref="AA31:AB31"/>
    <mergeCell ref="Y31:Z31"/>
    <mergeCell ref="W31:X31"/>
    <mergeCell ref="U31:V31"/>
    <mergeCell ref="Q31:Q32"/>
    <mergeCell ref="R31:R32"/>
    <mergeCell ref="AE31:AE32"/>
    <mergeCell ref="B54:K54"/>
    <mergeCell ref="B88:C88"/>
    <mergeCell ref="A43:J43"/>
    <mergeCell ref="A1:J1"/>
    <mergeCell ref="A3:J3"/>
    <mergeCell ref="E4:I8"/>
    <mergeCell ref="A10:J10"/>
    <mergeCell ref="A20:J20"/>
    <mergeCell ref="A31:C31"/>
    <mergeCell ref="A55:G55"/>
    <mergeCell ref="A56:B56"/>
    <mergeCell ref="C56:F56"/>
    <mergeCell ref="G56:J56"/>
  </mergeCells>
  <dataValidations count="1">
    <dataValidation type="list" allowBlank="1" showInputMessage="1" showErrorMessage="1" errorTitle="Filtro no válido" error="undefined" promptTitle="undefined" prompt="undefined" sqref="C8" xr:uid="{95840C22-0B02-46BF-BEA9-17D6093E8BEF}">
      <formula1>"Semana Seleccionada,Acumulado Histórico,Rango de Fechas"</formula1>
    </dataValidation>
  </dataValidations>
  <printOptions horizontalCentered="1"/>
  <pageMargins left="0.25" right="0.25" top="0.25" bottom="0.25" header="0" footer="0"/>
  <pageSetup scale="34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undefined" error="undefined" promptTitle="undefined" prompt="undefined" xr:uid="{78EA97C1-CE85-49F2-9033-CDC239A384F3}">
          <x14:formula1>
            <xm:f>Catalogos!$L$4:$L$55</xm:f>
          </x14:formula1>
          <xm:sqref>C55</xm:sqref>
        </x14:dataValidation>
        <x14:dataValidation type="list" allowBlank="1" showInputMessage="1" showErrorMessage="1" errorTitle="Obra no válida" error="undefined" promptTitle="undefined" prompt="undefined" xr:uid="{D113906B-6280-4741-BDDD-A59257E3409E}">
          <x14:formula1>
            <xm:f>Catalogos!$K$4:$K$12</xm:f>
          </x14:formula1>
          <xm:sqref>C4 C44</xm:sqref>
        </x14:dataValidation>
        <x14:dataValidation type="list" allowBlank="1" showInputMessage="1" showErrorMessage="1" errorTitle="Fecha no válida" error="undefined" promptTitle="undefined" prompt="undefined" xr:uid="{8B9490FB-4901-4A7E-92B9-C5A733FA5FF4}">
          <x14:formula1>
            <xm:f>Catalogos!$L$4:$L$33</xm:f>
          </x14:formula1>
          <xm:sqref>C5:C6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5DA3-00EB-49F4-AEA7-4DCCE31ACB0D}">
  <sheetPr/>
  <sheetViews>
    <sheetView zoomScale="78" workbookViewId="0">
      <selection activeCell="G1007" sqref="G1007"/>
    </sheetView>
  </sheetViews>
  <sheetFormatPr baseColWidth="10" defaultRowHeight="13.8"/>
  <cols>
    <col min="1" max="1" width="14" customWidth="1"/>
    <col min="2" max="3" width="18" customWidth="1"/>
    <col min="4" max="4" width="18" bestFit="1" customWidth="1"/>
    <col min="5" max="5" width="12" customWidth="1"/>
    <col min="6" max="6" width="25" customWidth="1"/>
    <col min="7" max="7" width="63.5" bestFit="1" customWidth="1"/>
    <col min="8" max="10" width="15" customWidth="1"/>
    <col min="11" max="11" width="28" customWidth="1"/>
  </cols>
  <sheetData>
    <row r="1" spans="1:11" ht="21">
      <c r="A1" t="s" s="25169">
        <v>411</v>
      </c>
      <c r="B1" s="25170"/>
      <c r="C1" s="25170"/>
      <c r="D1" s="25170"/>
      <c r="E1" s="25170"/>
      <c r="F1" s="25170"/>
      <c r="G1" s="25170"/>
      <c r="H1" s="25170"/>
    </row>
    <row r="3" spans="1:11" ht="27.6">
      <c r="A3" t="s" s="6510">
        <v>415</v>
      </c>
      <c r="B3" t="s" s="6511">
        <v>416</v>
      </c>
      <c r="C3" t="s" s="6512">
        <v>417</v>
      </c>
      <c r="D3" t="s" s="6513">
        <v>414</v>
      </c>
      <c r="E3" t="s" s="6514">
        <v>11</v>
      </c>
      <c r="F3" t="s" s="6515">
        <v>0</v>
      </c>
      <c r="G3" t="s" s="6516">
        <v>412</v>
      </c>
      <c r="H3" t="s" s="6517">
        <v>418</v>
      </c>
      <c r="I3" t="s" s="6518">
        <v>419</v>
      </c>
      <c r="J3" t="s" s="6519">
        <v>413</v>
      </c>
      <c r="K3" t="s" s="3812">
        <v>414</v>
      </c>
    </row>
    <row r="4" spans="1:11">
      <c r="A4" s="6520">
        <f>IF(Captura_Pegaso!A5="", "", "Pegaso")</f>
      </c>
      <c r="B4" s="6521">
        <f>IF(Captura_Pegaso!A5="", "", Captura_Pegaso!N5)</f>
      </c>
      <c r="C4" s="6522">
        <f>IF(Captura_Pegaso!A5="", "", IFERROR(LOOKUP(2, 1/((Captura_Obra!$A$5:$A$1000=E4)*(Captura_Obra!$B$5:$B$1000=F4)*(Captura_Obra!$D$5:$D$1000=G4)), Captura_Obra!$N$5:$N$1000), "No Reportado"))</f>
      </c>
      <c r="D4" s="6523">
        <f>IF(Captura_Pegaso!A5="", "", IF(J4=0, "✅ Cuadrado", IF(I4=0, "❌ Falta en Obra", "⚠️ Dif")))</f>
      </c>
      <c r="E4" s="6524">
        <f>IF(Captura_Pegaso!A5="", "", Captura_Pegaso!A5)</f>
      </c>
      <c r="F4" s="6525">
        <f>IF(Captura_Pegaso!A5="", "", Captura_Pegaso!D5)</f>
      </c>
      <c r="G4" s="6526">
        <f>IF(Captura_Pegaso!A5="", "", Captura_Pegaso!E5)</f>
      </c>
      <c r="H4" s="6527">
        <f>IF(Captura_Pegaso!A5="", "", Captura_Pegaso!H5)</f>
      </c>
      <c r="I4" s="6528">
        <f>IF(Captura_Pegaso!A5="", "", SUMIFS(Captura_Obra!$F:$F, Captura_Obra!$A:$A, E4, Captura_Obra!$B:$B, F4, Captura_Obra!$D:$D, G4))</f>
      </c>
      <c r="J4" s="6529">
        <f>IF(Captura_Pegaso!A5="", "", H4 - I4)</f>
      </c>
      <c r="K4" s="3813"/>
    </row>
    <row r="5" spans="1:11">
      <c r="A5" s="6530">
        <f>IF(Captura_Pegaso!A6="", "", "Pegaso")</f>
      </c>
      <c r="B5" s="6531">
        <f>IF(Captura_Pegaso!A6="", "", Captura_Pegaso!N6)</f>
      </c>
      <c r="C5" s="6532">
        <f>IF(Captura_Pegaso!A6="", "", IFERROR(LOOKUP(2, 1/((Captura_Obra!$A$5:$A$1000=E5)*(Captura_Obra!$B$5:$B$1000=F5)*(Captura_Obra!$D$5:$D$1000=G5)), Captura_Obra!$N$5:$N$1000), "No Reportado"))</f>
      </c>
      <c r="D5" s="6533">
        <f>IF(Captura_Pegaso!A6="", "", IF(J5=0, "✅ Cuadrado", IF(I5=0, "❌ Falta en Obra", "⚠️ Dif")))</f>
      </c>
      <c r="E5" s="6534">
        <f>IF(Captura_Pegaso!A6="", "", Captura_Pegaso!A6)</f>
      </c>
      <c r="F5" s="6535">
        <f>IF(Captura_Pegaso!A6="", "", Captura_Pegaso!D6)</f>
      </c>
      <c r="G5" s="6536">
        <f>IF(Captura_Pegaso!A6="", "", Captura_Pegaso!E6)</f>
      </c>
      <c r="H5" s="6537">
        <f>IF(Captura_Pegaso!A6="", "", Captura_Pegaso!H6)</f>
      </c>
      <c r="I5" s="6538">
        <f>IF(Captura_Pegaso!A6="", "", SUMIFS(Captura_Obra!$F:$F, Captura_Obra!$A:$A, E5, Captura_Obra!$B:$B, F5, Captura_Obra!$D:$D, G5))</f>
      </c>
      <c r="J5" s="6539">
        <f>IF(Captura_Pegaso!A6="", "", H5 - I5)</f>
      </c>
      <c r="K5" s="3814"/>
    </row>
    <row r="6" spans="1:11">
      <c r="A6" s="6540">
        <f>IF(Captura_Pegaso!A7="", "", "Pegaso")</f>
      </c>
      <c r="B6" s="6541">
        <f>IF(Captura_Pegaso!A7="", "", Captura_Pegaso!N7)</f>
      </c>
      <c r="C6" s="6542">
        <f>IF(Captura_Pegaso!A7="", "", IFERROR(LOOKUP(2, 1/((Captura_Obra!$A$5:$A$1000=E6)*(Captura_Obra!$B$5:$B$1000=F6)*(Captura_Obra!$D$5:$D$1000=G6)), Captura_Obra!$N$5:$N$1000), "No Reportado"))</f>
      </c>
      <c r="D6" s="6543">
        <f>IF(Captura_Pegaso!A7="", "", IF(J6=0, "✅ Cuadrado", IF(I6=0, "❌ Falta en Obra", "⚠️ Dif")))</f>
      </c>
      <c r="E6" s="6544">
        <f>IF(Captura_Pegaso!A7="", "", Captura_Pegaso!A7)</f>
      </c>
      <c r="F6" s="6545">
        <f>IF(Captura_Pegaso!A7="", "", Captura_Pegaso!D7)</f>
      </c>
      <c r="G6" s="6546">
        <f>IF(Captura_Pegaso!A7="", "", Captura_Pegaso!E7)</f>
      </c>
      <c r="H6" s="6547">
        <f>IF(Captura_Pegaso!A7="", "", Captura_Pegaso!H7)</f>
      </c>
      <c r="I6" s="6548">
        <f>IF(Captura_Pegaso!A7="", "", SUMIFS(Captura_Obra!$F:$F, Captura_Obra!$A:$A, E6, Captura_Obra!$B:$B, F6, Captura_Obra!$D:$D, G6))</f>
      </c>
      <c r="J6" s="6549">
        <f>IF(Captura_Pegaso!A7="", "", H6 - I6)</f>
      </c>
      <c r="K6" s="3815"/>
    </row>
    <row r="7" spans="1:11">
      <c r="A7" s="6550">
        <f>IF(Captura_Pegaso!A8="", "", "Pegaso")</f>
      </c>
      <c r="B7" s="6551">
        <f>IF(Captura_Pegaso!A8="", "", Captura_Pegaso!N8)</f>
      </c>
      <c r="C7" s="6552">
        <f>IF(Captura_Pegaso!A8="", "", IFERROR(LOOKUP(2, 1/((Captura_Obra!$A$5:$A$1000=E7)*(Captura_Obra!$B$5:$B$1000=F7)*(Captura_Obra!$D$5:$D$1000=G7)), Captura_Obra!$N$5:$N$1000), "No Reportado"))</f>
      </c>
      <c r="D7" s="6553">
        <f>IF(Captura_Pegaso!A8="", "", IF(J7=0, "✅ Cuadrado", IF(I7=0, "❌ Falta en Obra", "⚠️ Dif")))</f>
      </c>
      <c r="E7" s="6554">
        <f>IF(Captura_Pegaso!A8="", "", Captura_Pegaso!A8)</f>
      </c>
      <c r="F7" s="6555">
        <f>IF(Captura_Pegaso!A8="", "", Captura_Pegaso!D8)</f>
      </c>
      <c r="G7" s="6556">
        <f>IF(Captura_Pegaso!A8="", "", Captura_Pegaso!E8)</f>
      </c>
      <c r="H7" s="6557">
        <f>IF(Captura_Pegaso!A8="", "", Captura_Pegaso!H8)</f>
      </c>
      <c r="I7" s="6558">
        <f>IF(Captura_Pegaso!A8="", "", SUMIFS(Captura_Obra!$F:$F, Captura_Obra!$A:$A, E7, Captura_Obra!$B:$B, F7, Captura_Obra!$D:$D, G7))</f>
      </c>
      <c r="J7" s="6559">
        <f>IF(Captura_Pegaso!A8="", "", H7 - I7)</f>
      </c>
      <c r="K7" s="3816"/>
    </row>
    <row r="8" spans="1:11">
      <c r="A8" s="6560">
        <f>IF(Captura_Pegaso!A9="", "", "Pegaso")</f>
      </c>
      <c r="B8" s="6561">
        <f>IF(Captura_Pegaso!A9="", "", Captura_Pegaso!N9)</f>
      </c>
      <c r="C8" s="6562">
        <f>IF(Captura_Pegaso!A9="", "", IFERROR(LOOKUP(2, 1/((Captura_Obra!$A$5:$A$1000=E8)*(Captura_Obra!$B$5:$B$1000=F8)*(Captura_Obra!$D$5:$D$1000=G8)), Captura_Obra!$N$5:$N$1000), "No Reportado"))</f>
      </c>
      <c r="D8" s="6563">
        <f>IF(Captura_Pegaso!A9="", "", IF(J8=0, "✅ Cuadrado", IF(I8=0, "❌ Falta en Obra", "⚠️ Dif")))</f>
      </c>
      <c r="E8" s="6564">
        <f>IF(Captura_Pegaso!A9="", "", Captura_Pegaso!A9)</f>
      </c>
      <c r="F8" s="6565">
        <f>IF(Captura_Pegaso!A9="", "", Captura_Pegaso!D9)</f>
      </c>
      <c r="G8" s="6566">
        <f>IF(Captura_Pegaso!A9="", "", Captura_Pegaso!E9)</f>
      </c>
      <c r="H8" s="6567">
        <f>IF(Captura_Pegaso!A9="", "", Captura_Pegaso!H9)</f>
      </c>
      <c r="I8" s="6568">
        <f>IF(Captura_Pegaso!A9="", "", SUMIFS(Captura_Obra!$F:$F, Captura_Obra!$A:$A, E8, Captura_Obra!$B:$B, F8, Captura_Obra!$D:$D, G8))</f>
      </c>
      <c r="J8" s="6569">
        <f>IF(Captura_Pegaso!A9="", "", H8 - I8)</f>
      </c>
      <c r="K8" s="3817"/>
    </row>
    <row r="9" spans="1:11">
      <c r="A9" s="6570">
        <f>IF(Captura_Pegaso!A10="", "", "Pegaso")</f>
      </c>
      <c r="B9" s="6571">
        <f>IF(Captura_Pegaso!A10="", "", Captura_Pegaso!N10)</f>
      </c>
      <c r="C9" s="6572">
        <f>IF(Captura_Pegaso!A10="", "", IFERROR(LOOKUP(2, 1/((Captura_Obra!$A$5:$A$1000=E9)*(Captura_Obra!$B$5:$B$1000=F9)*(Captura_Obra!$D$5:$D$1000=G9)), Captura_Obra!$N$5:$N$1000), "No Reportado"))</f>
      </c>
      <c r="D9" s="6573">
        <f>IF(Captura_Pegaso!A10="", "", IF(J9=0, "✅ Cuadrado", IF(I9=0, "❌ Falta en Obra", "⚠️ Dif")))</f>
      </c>
      <c r="E9" s="6574">
        <f>IF(Captura_Pegaso!A10="", "", Captura_Pegaso!A10)</f>
      </c>
      <c r="F9" s="6575">
        <f>IF(Captura_Pegaso!A10="", "", Captura_Pegaso!D10)</f>
      </c>
      <c r="G9" s="6576">
        <f>IF(Captura_Pegaso!A10="", "", Captura_Pegaso!E10)</f>
      </c>
      <c r="H9" s="6577">
        <f>IF(Captura_Pegaso!A10="", "", Captura_Pegaso!H10)</f>
      </c>
      <c r="I9" s="6578">
        <f>IF(Captura_Pegaso!A10="", "", SUMIFS(Captura_Obra!$F:$F, Captura_Obra!$A:$A, E9, Captura_Obra!$B:$B, F9, Captura_Obra!$D:$D, G9))</f>
      </c>
      <c r="J9" s="6579">
        <f>IF(Captura_Pegaso!A10="", "", H9 - I9)</f>
      </c>
      <c r="K9" s="3818"/>
    </row>
    <row r="10" spans="1:11">
      <c r="A10" s="6580">
        <f>IF(Captura_Pegaso!A11="", "", "Pegaso")</f>
      </c>
      <c r="B10" s="6581">
        <f>IF(Captura_Pegaso!A11="", "", Captura_Pegaso!N11)</f>
      </c>
      <c r="C10" s="6582">
        <f>IF(Captura_Pegaso!A11="", "", IFERROR(LOOKUP(2, 1/((Captura_Obra!$A$5:$A$1000=E10)*(Captura_Obra!$B$5:$B$1000=F10)*(Captura_Obra!$D$5:$D$1000=G10)), Captura_Obra!$N$5:$N$1000), "No Reportado"))</f>
      </c>
      <c r="D10" s="6583">
        <f>IF(Captura_Pegaso!A11="", "", IF(J10=0, "✅ Cuadrado", IF(I10=0, "❌ Falta en Obra", "⚠️ Dif")))</f>
      </c>
      <c r="E10" s="6584">
        <f>IF(Captura_Pegaso!A11="", "", Captura_Pegaso!A11)</f>
      </c>
      <c r="F10" s="6585">
        <f>IF(Captura_Pegaso!A11="", "", Captura_Pegaso!D11)</f>
      </c>
      <c r="G10" s="6586">
        <f>IF(Captura_Pegaso!A11="", "", Captura_Pegaso!E11)</f>
      </c>
      <c r="H10" s="6587">
        <f>IF(Captura_Pegaso!A11="", "", Captura_Pegaso!H11)</f>
      </c>
      <c r="I10" s="6588">
        <f>IF(Captura_Pegaso!A11="", "", SUMIFS(Captura_Obra!$F:$F, Captura_Obra!$A:$A, E10, Captura_Obra!$B:$B, F10, Captura_Obra!$D:$D, G10))</f>
      </c>
      <c r="J10" s="6589">
        <f>IF(Captura_Pegaso!A11="", "", H10 - I10)</f>
      </c>
      <c r="K10" s="3819"/>
    </row>
    <row r="11" spans="1:11">
      <c r="A11" s="6590">
        <f>IF(Captura_Pegaso!A12="", "", "Pegaso")</f>
      </c>
      <c r="B11" s="6591">
        <f>IF(Captura_Pegaso!A12="", "", Captura_Pegaso!N12)</f>
      </c>
      <c r="C11" s="6592">
        <f>IF(Captura_Pegaso!A12="", "", IFERROR(LOOKUP(2, 1/((Captura_Obra!$A$5:$A$1000=E11)*(Captura_Obra!$B$5:$B$1000=F11)*(Captura_Obra!$D$5:$D$1000=G11)), Captura_Obra!$N$5:$N$1000), "No Reportado"))</f>
      </c>
      <c r="D11" s="6593">
        <f>IF(Captura_Pegaso!A12="", "", IF(J11=0, "✅ Cuadrado", IF(I11=0, "❌ Falta en Obra", "⚠️ Dif")))</f>
      </c>
      <c r="E11" s="6594">
        <f>IF(Captura_Pegaso!A12="", "", Captura_Pegaso!A12)</f>
      </c>
      <c r="F11" s="6595">
        <f>IF(Captura_Pegaso!A12="", "", Captura_Pegaso!D12)</f>
      </c>
      <c r="G11" s="6596">
        <f>IF(Captura_Pegaso!A12="", "", Captura_Pegaso!E12)</f>
      </c>
      <c r="H11" s="6597">
        <f>IF(Captura_Pegaso!A12="", "", Captura_Pegaso!H12)</f>
      </c>
      <c r="I11" s="6598">
        <f>IF(Captura_Pegaso!A12="", "", SUMIFS(Captura_Obra!$F:$F, Captura_Obra!$A:$A, E11, Captura_Obra!$B:$B, F11, Captura_Obra!$D:$D, G11))</f>
      </c>
      <c r="J11" s="6599">
        <f>IF(Captura_Pegaso!A12="", "", H11 - I11)</f>
      </c>
      <c r="K11" s="3820"/>
    </row>
    <row r="12" spans="1:11">
      <c r="A12" s="6600">
        <f>IF(Captura_Pegaso!A13="", "", "Pegaso")</f>
      </c>
      <c r="B12" s="6601">
        <f>IF(Captura_Pegaso!A13="", "", Captura_Pegaso!N13)</f>
      </c>
      <c r="C12" s="6602">
        <f>IF(Captura_Pegaso!A13="", "", IFERROR(LOOKUP(2, 1/((Captura_Obra!$A$5:$A$1000=E12)*(Captura_Obra!$B$5:$B$1000=F12)*(Captura_Obra!$D$5:$D$1000=G12)), Captura_Obra!$N$5:$N$1000), "No Reportado"))</f>
      </c>
      <c r="D12" s="6603">
        <f>IF(Captura_Pegaso!A13="", "", IF(J12=0, "✅ Cuadrado", IF(I12=0, "❌ Falta en Obra", "⚠️ Dif")))</f>
      </c>
      <c r="E12" s="6604">
        <f>IF(Captura_Pegaso!A13="", "", Captura_Pegaso!A13)</f>
      </c>
      <c r="F12" s="6605">
        <f>IF(Captura_Pegaso!A13="", "", Captura_Pegaso!D13)</f>
      </c>
      <c r="G12" s="6606">
        <f>IF(Captura_Pegaso!A13="", "", Captura_Pegaso!E13)</f>
      </c>
      <c r="H12" s="6607">
        <f>IF(Captura_Pegaso!A13="", "", Captura_Pegaso!H13)</f>
      </c>
      <c r="I12" s="6608">
        <f>IF(Captura_Pegaso!A13="", "", SUMIFS(Captura_Obra!$F:$F, Captura_Obra!$A:$A, E12, Captura_Obra!$B:$B, F12, Captura_Obra!$D:$D, G12))</f>
      </c>
      <c r="J12" s="6609">
        <f>IF(Captura_Pegaso!A13="", "", H12 - I12)</f>
      </c>
      <c r="K12" s="3821"/>
    </row>
    <row r="13" spans="1:11">
      <c r="A13" s="6610">
        <f>IF(Captura_Pegaso!A14="", "", "Pegaso")</f>
      </c>
      <c r="B13" s="6611">
        <f>IF(Captura_Pegaso!A14="", "", Captura_Pegaso!N14)</f>
      </c>
      <c r="C13" s="6612">
        <f>IF(Captura_Pegaso!A14="", "", IFERROR(LOOKUP(2, 1/((Captura_Obra!$A$5:$A$1000=E13)*(Captura_Obra!$B$5:$B$1000=F13)*(Captura_Obra!$D$5:$D$1000=G13)), Captura_Obra!$N$5:$N$1000), "No Reportado"))</f>
      </c>
      <c r="D13" s="6613">
        <f>IF(Captura_Pegaso!A14="", "", IF(J13=0, "✅ Cuadrado", IF(I13=0, "❌ Falta en Obra", "⚠️ Dif")))</f>
      </c>
      <c r="E13" s="6614">
        <f>IF(Captura_Pegaso!A14="", "", Captura_Pegaso!A14)</f>
      </c>
      <c r="F13" s="6615">
        <f>IF(Captura_Pegaso!A14="", "", Captura_Pegaso!D14)</f>
      </c>
      <c r="G13" s="6616">
        <f>IF(Captura_Pegaso!A14="", "", Captura_Pegaso!E14)</f>
      </c>
      <c r="H13" s="6617">
        <f>IF(Captura_Pegaso!A14="", "", Captura_Pegaso!H14)</f>
      </c>
      <c r="I13" s="6618">
        <f>IF(Captura_Pegaso!A14="", "", SUMIFS(Captura_Obra!$F:$F, Captura_Obra!$A:$A, E13, Captura_Obra!$B:$B, F13, Captura_Obra!$D:$D, G13))</f>
      </c>
      <c r="J13" s="6619">
        <f>IF(Captura_Pegaso!A14="", "", H13 - I13)</f>
      </c>
      <c r="K13" s="3822"/>
    </row>
    <row r="14" spans="1:11">
      <c r="A14" s="6620">
        <f>IF(Captura_Pegaso!A15="", "", "Pegaso")</f>
      </c>
      <c r="B14" s="6621">
        <f>IF(Captura_Pegaso!A15="", "", Captura_Pegaso!N15)</f>
      </c>
      <c r="C14" s="6622">
        <f>IF(Captura_Pegaso!A15="", "", IFERROR(LOOKUP(2, 1/((Captura_Obra!$A$5:$A$1000=E14)*(Captura_Obra!$B$5:$B$1000=F14)*(Captura_Obra!$D$5:$D$1000=G14)), Captura_Obra!$N$5:$N$1000), "No Reportado"))</f>
      </c>
      <c r="D14" s="6623">
        <f>IF(Captura_Pegaso!A15="", "", IF(J14=0, "✅ Cuadrado", IF(I14=0, "❌ Falta en Obra", "⚠️ Dif")))</f>
      </c>
      <c r="E14" s="6624">
        <f>IF(Captura_Pegaso!A15="", "", Captura_Pegaso!A15)</f>
      </c>
      <c r="F14" s="6625">
        <f>IF(Captura_Pegaso!A15="", "", Captura_Pegaso!D15)</f>
      </c>
      <c r="G14" s="6626">
        <f>IF(Captura_Pegaso!A15="", "", Captura_Pegaso!E15)</f>
      </c>
      <c r="H14" s="6627">
        <f>IF(Captura_Pegaso!A15="", "", Captura_Pegaso!H15)</f>
      </c>
      <c r="I14" s="6628">
        <f>IF(Captura_Pegaso!A15="", "", SUMIFS(Captura_Obra!$F:$F, Captura_Obra!$A:$A, E14, Captura_Obra!$B:$B, F14, Captura_Obra!$D:$D, G14))</f>
      </c>
      <c r="J14" s="6629">
        <f>IF(Captura_Pegaso!A15="", "", H14 - I14)</f>
      </c>
      <c r="K14" s="3823"/>
    </row>
    <row r="15" spans="1:11">
      <c r="A15" s="6630">
        <f>IF(Captura_Pegaso!A16="", "", "Pegaso")</f>
      </c>
      <c r="B15" s="6631">
        <f>IF(Captura_Pegaso!A16="", "", Captura_Pegaso!N16)</f>
      </c>
      <c r="C15" s="6632">
        <f>IF(Captura_Pegaso!A16="", "", IFERROR(LOOKUP(2, 1/((Captura_Obra!$A$5:$A$1000=E15)*(Captura_Obra!$B$5:$B$1000=F15)*(Captura_Obra!$D$5:$D$1000=G15)), Captura_Obra!$N$5:$N$1000), "No Reportado"))</f>
      </c>
      <c r="D15" s="6633">
        <f>IF(Captura_Pegaso!A16="", "", IF(J15=0, "✅ Cuadrado", IF(I15=0, "❌ Falta en Obra", "⚠️ Dif")))</f>
      </c>
      <c r="E15" s="6634">
        <f>IF(Captura_Pegaso!A16="", "", Captura_Pegaso!A16)</f>
      </c>
      <c r="F15" s="6635">
        <f>IF(Captura_Pegaso!A16="", "", Captura_Pegaso!D16)</f>
      </c>
      <c r="G15" s="6636">
        <f>IF(Captura_Pegaso!A16="", "", Captura_Pegaso!E16)</f>
      </c>
      <c r="H15" s="6637">
        <f>IF(Captura_Pegaso!A16="", "", Captura_Pegaso!H16)</f>
      </c>
      <c r="I15" s="6638">
        <f>IF(Captura_Pegaso!A16="", "", SUMIFS(Captura_Obra!$F:$F, Captura_Obra!$A:$A, E15, Captura_Obra!$B:$B, F15, Captura_Obra!$D:$D, G15))</f>
      </c>
      <c r="J15" s="6639">
        <f>IF(Captura_Pegaso!A16="", "", H15 - I15)</f>
      </c>
      <c r="K15" s="3824"/>
    </row>
    <row r="16" spans="1:11">
      <c r="A16" s="6640">
        <f>IF(Captura_Pegaso!A17="", "", "Pegaso")</f>
      </c>
      <c r="B16" s="6641">
        <f>IF(Captura_Pegaso!A17="", "", Captura_Pegaso!N17)</f>
      </c>
      <c r="C16" s="6642">
        <f>IF(Captura_Pegaso!A17="", "", IFERROR(LOOKUP(2, 1/((Captura_Obra!$A$5:$A$1000=E16)*(Captura_Obra!$B$5:$B$1000=F16)*(Captura_Obra!$D$5:$D$1000=G16)), Captura_Obra!$N$5:$N$1000), "No Reportado"))</f>
      </c>
      <c r="D16" s="6643">
        <f>IF(Captura_Pegaso!A17="", "", IF(J16=0, "✅ Cuadrado", IF(I16=0, "❌ Falta en Obra", "⚠️ Dif")))</f>
      </c>
      <c r="E16" s="6644">
        <f>IF(Captura_Pegaso!A17="", "", Captura_Pegaso!A17)</f>
      </c>
      <c r="F16" s="6645">
        <f>IF(Captura_Pegaso!A17="", "", Captura_Pegaso!D17)</f>
      </c>
      <c r="G16" s="6646">
        <f>IF(Captura_Pegaso!A17="", "", Captura_Pegaso!E17)</f>
      </c>
      <c r="H16" s="6647">
        <f>IF(Captura_Pegaso!A17="", "", Captura_Pegaso!H17)</f>
      </c>
      <c r="I16" s="6648">
        <f>IF(Captura_Pegaso!A17="", "", SUMIFS(Captura_Obra!$F:$F, Captura_Obra!$A:$A, E16, Captura_Obra!$B:$B, F16, Captura_Obra!$D:$D, G16))</f>
      </c>
      <c r="J16" s="6649">
        <f>IF(Captura_Pegaso!A17="", "", H16 - I16)</f>
      </c>
      <c r="K16" s="3825"/>
    </row>
    <row r="17" spans="1:11">
      <c r="A17" s="6650">
        <f>IF(Captura_Pegaso!A18="", "", "Pegaso")</f>
      </c>
      <c r="B17" s="6651">
        <f>IF(Captura_Pegaso!A18="", "", Captura_Pegaso!N18)</f>
      </c>
      <c r="C17" s="6652">
        <f>IF(Captura_Pegaso!A18="", "", IFERROR(LOOKUP(2, 1/((Captura_Obra!$A$5:$A$1000=E17)*(Captura_Obra!$B$5:$B$1000=F17)*(Captura_Obra!$D$5:$D$1000=G17)), Captura_Obra!$N$5:$N$1000), "No Reportado"))</f>
      </c>
      <c r="D17" s="6653">
        <f>IF(Captura_Pegaso!A18="", "", IF(J17=0, "✅ Cuadrado", IF(I17=0, "❌ Falta en Obra", "⚠️ Dif")))</f>
      </c>
      <c r="E17" s="6654">
        <f>IF(Captura_Pegaso!A18="", "", Captura_Pegaso!A18)</f>
      </c>
      <c r="F17" s="6655">
        <f>IF(Captura_Pegaso!A18="", "", Captura_Pegaso!D18)</f>
      </c>
      <c r="G17" s="6656">
        <f>IF(Captura_Pegaso!A18="", "", Captura_Pegaso!E18)</f>
      </c>
      <c r="H17" s="6657">
        <f>IF(Captura_Pegaso!A18="", "", Captura_Pegaso!H18)</f>
      </c>
      <c r="I17" s="6658">
        <f>IF(Captura_Pegaso!A18="", "", SUMIFS(Captura_Obra!$F:$F, Captura_Obra!$A:$A, E17, Captura_Obra!$B:$B, F17, Captura_Obra!$D:$D, G17))</f>
      </c>
      <c r="J17" s="6659">
        <f>IF(Captura_Pegaso!A18="", "", H17 - I17)</f>
      </c>
      <c r="K17" s="3826"/>
    </row>
    <row r="18" spans="1:11">
      <c r="A18" s="6660">
        <f>IF(Captura_Pegaso!A19="", "", "Pegaso")</f>
      </c>
      <c r="B18" s="6661">
        <f>IF(Captura_Pegaso!A19="", "", Captura_Pegaso!N19)</f>
      </c>
      <c r="C18" s="6662">
        <f>IF(Captura_Pegaso!A19="", "", IFERROR(LOOKUP(2, 1/((Captura_Obra!$A$5:$A$1000=E18)*(Captura_Obra!$B$5:$B$1000=F18)*(Captura_Obra!$D$5:$D$1000=G18)), Captura_Obra!$N$5:$N$1000), "No Reportado"))</f>
      </c>
      <c r="D18" s="6663">
        <f>IF(Captura_Pegaso!A19="", "", IF(J18=0, "✅ Cuadrado", IF(I18=0, "❌ Falta en Obra", "⚠️ Dif")))</f>
      </c>
      <c r="E18" s="6664">
        <f>IF(Captura_Pegaso!A19="", "", Captura_Pegaso!A19)</f>
      </c>
      <c r="F18" s="6665">
        <f>IF(Captura_Pegaso!A19="", "", Captura_Pegaso!D19)</f>
      </c>
      <c r="G18" s="6666">
        <f>IF(Captura_Pegaso!A19="", "", Captura_Pegaso!E19)</f>
      </c>
      <c r="H18" s="6667">
        <f>IF(Captura_Pegaso!A19="", "", Captura_Pegaso!H19)</f>
      </c>
      <c r="I18" s="6668">
        <f>IF(Captura_Pegaso!A19="", "", SUMIFS(Captura_Obra!$F:$F, Captura_Obra!$A:$A, E18, Captura_Obra!$B:$B, F18, Captura_Obra!$D:$D, G18))</f>
      </c>
      <c r="J18" s="6669">
        <f>IF(Captura_Pegaso!A19="", "", H18 - I18)</f>
      </c>
      <c r="K18" s="3827"/>
    </row>
    <row r="19" spans="1:11">
      <c r="A19" s="6670">
        <f>IF(Captura_Pegaso!A20="", "", "Pegaso")</f>
      </c>
      <c r="B19" s="6671">
        <f>IF(Captura_Pegaso!A20="", "", Captura_Pegaso!N20)</f>
      </c>
      <c r="C19" s="6672">
        <f>IF(Captura_Pegaso!A20="", "", IFERROR(LOOKUP(2, 1/((Captura_Obra!$A$5:$A$1000=E19)*(Captura_Obra!$B$5:$B$1000=F19)*(Captura_Obra!$D$5:$D$1000=G19)), Captura_Obra!$N$5:$N$1000), "No Reportado"))</f>
      </c>
      <c r="D19" s="6673">
        <f>IF(Captura_Pegaso!A20="", "", IF(J19=0, "✅ Cuadrado", IF(I19=0, "❌ Falta en Obra", "⚠️ Dif")))</f>
      </c>
      <c r="E19" s="6674">
        <f>IF(Captura_Pegaso!A20="", "", Captura_Pegaso!A20)</f>
      </c>
      <c r="F19" s="6675">
        <f>IF(Captura_Pegaso!A20="", "", Captura_Pegaso!D20)</f>
      </c>
      <c r="G19" s="6676">
        <f>IF(Captura_Pegaso!A20="", "", Captura_Pegaso!E20)</f>
      </c>
      <c r="H19" s="6677">
        <f>IF(Captura_Pegaso!A20="", "", Captura_Pegaso!H20)</f>
      </c>
      <c r="I19" s="6678">
        <f>IF(Captura_Pegaso!A20="", "", SUMIFS(Captura_Obra!$F:$F, Captura_Obra!$A:$A, E19, Captura_Obra!$B:$B, F19, Captura_Obra!$D:$D, G19))</f>
      </c>
      <c r="J19" s="6679">
        <f>IF(Captura_Pegaso!A20="", "", H19 - I19)</f>
      </c>
      <c r="K19" s="3828"/>
    </row>
    <row r="20" spans="1:11">
      <c r="A20" s="6680">
        <f>IF(Captura_Pegaso!A21="", "", "Pegaso")</f>
      </c>
      <c r="B20" s="6681">
        <f>IF(Captura_Pegaso!A21="", "", Captura_Pegaso!N21)</f>
      </c>
      <c r="C20" s="6682">
        <f>IF(Captura_Pegaso!A21="", "", IFERROR(LOOKUP(2, 1/((Captura_Obra!$A$5:$A$1000=E20)*(Captura_Obra!$B$5:$B$1000=F20)*(Captura_Obra!$D$5:$D$1000=G20)), Captura_Obra!$N$5:$N$1000), "No Reportado"))</f>
      </c>
      <c r="D20" s="6683">
        <f>IF(Captura_Pegaso!A21="", "", IF(J20=0, "✅ Cuadrado", IF(I20=0, "❌ Falta en Obra", "⚠️ Dif")))</f>
      </c>
      <c r="E20" s="6684">
        <f>IF(Captura_Pegaso!A21="", "", Captura_Pegaso!A21)</f>
      </c>
      <c r="F20" s="6685">
        <f>IF(Captura_Pegaso!A21="", "", Captura_Pegaso!D21)</f>
      </c>
      <c r="G20" s="6686">
        <f>IF(Captura_Pegaso!A21="", "", Captura_Pegaso!E21)</f>
      </c>
      <c r="H20" s="6687">
        <f>IF(Captura_Pegaso!A21="", "", Captura_Pegaso!H21)</f>
      </c>
      <c r="I20" s="6688">
        <f>IF(Captura_Pegaso!A21="", "", SUMIFS(Captura_Obra!$F:$F, Captura_Obra!$A:$A, E20, Captura_Obra!$B:$B, F20, Captura_Obra!$D:$D, G20))</f>
      </c>
      <c r="J20" s="6689">
        <f>IF(Captura_Pegaso!A21="", "", H20 - I20)</f>
      </c>
      <c r="K20" s="3829"/>
    </row>
    <row r="21" spans="1:11">
      <c r="A21" s="6690">
        <f>IF(Captura_Pegaso!A22="", "", "Pegaso")</f>
      </c>
      <c r="B21" s="6691">
        <f>IF(Captura_Pegaso!A22="", "", Captura_Pegaso!N22)</f>
      </c>
      <c r="C21" s="6692">
        <f>IF(Captura_Pegaso!A22="", "", IFERROR(LOOKUP(2, 1/((Captura_Obra!$A$5:$A$1000=E21)*(Captura_Obra!$B$5:$B$1000=F21)*(Captura_Obra!$D$5:$D$1000=G21)), Captura_Obra!$N$5:$N$1000), "No Reportado"))</f>
      </c>
      <c r="D21" s="6693">
        <f>IF(Captura_Pegaso!A22="", "", IF(J21=0, "✅ Cuadrado", IF(I21=0, "❌ Falta en Obra", "⚠️ Dif")))</f>
      </c>
      <c r="E21" s="6694">
        <f>IF(Captura_Pegaso!A22="", "", Captura_Pegaso!A22)</f>
      </c>
      <c r="F21" s="6695">
        <f>IF(Captura_Pegaso!A22="", "", Captura_Pegaso!D22)</f>
      </c>
      <c r="G21" s="6696">
        <f>IF(Captura_Pegaso!A22="", "", Captura_Pegaso!E22)</f>
      </c>
      <c r="H21" s="6697">
        <f>IF(Captura_Pegaso!A22="", "", Captura_Pegaso!H22)</f>
      </c>
      <c r="I21" s="6698">
        <f>IF(Captura_Pegaso!A22="", "", SUMIFS(Captura_Obra!$F:$F, Captura_Obra!$A:$A, E21, Captura_Obra!$B:$B, F21, Captura_Obra!$D:$D, G21))</f>
      </c>
      <c r="J21" s="6699">
        <f>IF(Captura_Pegaso!A22="", "", H21 - I21)</f>
      </c>
      <c r="K21" s="3830"/>
    </row>
    <row r="22" spans="1:11">
      <c r="A22" s="6700">
        <f>IF(Captura_Pegaso!A23="", "", "Pegaso")</f>
      </c>
      <c r="B22" s="6701">
        <f>IF(Captura_Pegaso!A23="", "", Captura_Pegaso!N23)</f>
      </c>
      <c r="C22" s="6702">
        <f>IF(Captura_Pegaso!A23="", "", IFERROR(LOOKUP(2, 1/((Captura_Obra!$A$5:$A$1000=E22)*(Captura_Obra!$B$5:$B$1000=F22)*(Captura_Obra!$D$5:$D$1000=G22)), Captura_Obra!$N$5:$N$1000), "No Reportado"))</f>
      </c>
      <c r="D22" s="6703">
        <f>IF(Captura_Pegaso!A23="", "", IF(J22=0, "✅ Cuadrado", IF(I22=0, "❌ Falta en Obra", "⚠️ Dif")))</f>
      </c>
      <c r="E22" s="6704">
        <f>IF(Captura_Pegaso!A23="", "", Captura_Pegaso!A23)</f>
      </c>
      <c r="F22" s="6705">
        <f>IF(Captura_Pegaso!A23="", "", Captura_Pegaso!D23)</f>
      </c>
      <c r="G22" s="6706">
        <f>IF(Captura_Pegaso!A23="", "", Captura_Pegaso!E23)</f>
      </c>
      <c r="H22" s="6707">
        <f>IF(Captura_Pegaso!A23="", "", Captura_Pegaso!H23)</f>
      </c>
      <c r="I22" s="6708">
        <f>IF(Captura_Pegaso!A23="", "", SUMIFS(Captura_Obra!$F:$F, Captura_Obra!$A:$A, E22, Captura_Obra!$B:$B, F22, Captura_Obra!$D:$D, G22))</f>
      </c>
      <c r="J22" s="6709">
        <f>IF(Captura_Pegaso!A23="", "", H22 - I22)</f>
      </c>
      <c r="K22" s="3831"/>
    </row>
    <row r="23" spans="1:11">
      <c r="A23" s="6710">
        <f>IF(Captura_Pegaso!A24="", "", "Pegaso")</f>
      </c>
      <c r="B23" s="6711">
        <f>IF(Captura_Pegaso!A24="", "", Captura_Pegaso!N24)</f>
      </c>
      <c r="C23" s="6712">
        <f>IF(Captura_Pegaso!A24="", "", IFERROR(LOOKUP(2, 1/((Captura_Obra!$A$5:$A$1000=E23)*(Captura_Obra!$B$5:$B$1000=F23)*(Captura_Obra!$D$5:$D$1000=G23)), Captura_Obra!$N$5:$N$1000), "No Reportado"))</f>
      </c>
      <c r="D23" s="6713">
        <f>IF(Captura_Pegaso!A24="", "", IF(J23=0, "✅ Cuadrado", IF(I23=0, "❌ Falta en Obra", "⚠️ Dif")))</f>
      </c>
      <c r="E23" s="6714">
        <f>IF(Captura_Pegaso!A24="", "", Captura_Pegaso!A24)</f>
      </c>
      <c r="F23" s="6715">
        <f>IF(Captura_Pegaso!A24="", "", Captura_Pegaso!D24)</f>
      </c>
      <c r="G23" s="6716">
        <f>IF(Captura_Pegaso!A24="", "", Captura_Pegaso!E24)</f>
      </c>
      <c r="H23" s="6717">
        <f>IF(Captura_Pegaso!A24="", "", Captura_Pegaso!H24)</f>
      </c>
      <c r="I23" s="6718">
        <f>IF(Captura_Pegaso!A24="", "", SUMIFS(Captura_Obra!$F:$F, Captura_Obra!$A:$A, E23, Captura_Obra!$B:$B, F23, Captura_Obra!$D:$D, G23))</f>
      </c>
      <c r="J23" s="6719">
        <f>IF(Captura_Pegaso!A24="", "", H23 - I23)</f>
      </c>
      <c r="K23" s="3832"/>
    </row>
    <row r="24" spans="1:11">
      <c r="A24" s="6720">
        <f>IF(Captura_Pegaso!A25="", "", "Pegaso")</f>
      </c>
      <c r="B24" s="6721">
        <f>IF(Captura_Pegaso!A25="", "", Captura_Pegaso!N25)</f>
      </c>
      <c r="C24" s="6722">
        <f>IF(Captura_Pegaso!A25="", "", IFERROR(LOOKUP(2, 1/((Captura_Obra!$A$5:$A$1000=E24)*(Captura_Obra!$B$5:$B$1000=F24)*(Captura_Obra!$D$5:$D$1000=G24)), Captura_Obra!$N$5:$N$1000), "No Reportado"))</f>
      </c>
      <c r="D24" s="6723">
        <f>IF(Captura_Pegaso!A25="", "", IF(J24=0, "✅ Cuadrado", IF(I24=0, "❌ Falta en Obra", "⚠️ Dif")))</f>
      </c>
      <c r="E24" s="6724">
        <f>IF(Captura_Pegaso!A25="", "", Captura_Pegaso!A25)</f>
      </c>
      <c r="F24" s="6725">
        <f>IF(Captura_Pegaso!A25="", "", Captura_Pegaso!D25)</f>
      </c>
      <c r="G24" s="6726">
        <f>IF(Captura_Pegaso!A25="", "", Captura_Pegaso!E25)</f>
      </c>
      <c r="H24" s="6727">
        <f>IF(Captura_Pegaso!A25="", "", Captura_Pegaso!H25)</f>
      </c>
      <c r="I24" s="6728">
        <f>IF(Captura_Pegaso!A25="", "", SUMIFS(Captura_Obra!$F:$F, Captura_Obra!$A:$A, E24, Captura_Obra!$B:$B, F24, Captura_Obra!$D:$D, G24))</f>
      </c>
      <c r="J24" s="6729">
        <f>IF(Captura_Pegaso!A25="", "", H24 - I24)</f>
      </c>
      <c r="K24" s="3833"/>
    </row>
    <row r="25" spans="1:11">
      <c r="A25" s="6730">
        <f>IF(Captura_Pegaso!A26="", "", "Pegaso")</f>
      </c>
      <c r="B25" s="6731">
        <f>IF(Captura_Pegaso!A26="", "", Captura_Pegaso!N26)</f>
      </c>
      <c r="C25" s="6732">
        <f>IF(Captura_Pegaso!A26="", "", IFERROR(LOOKUP(2, 1/((Captura_Obra!$A$5:$A$1000=E25)*(Captura_Obra!$B$5:$B$1000=F25)*(Captura_Obra!$D$5:$D$1000=G25)), Captura_Obra!$N$5:$N$1000), "No Reportado"))</f>
      </c>
      <c r="D25" s="6733">
        <f>IF(Captura_Pegaso!A26="", "", IF(J25=0, "✅ Cuadrado", IF(I25=0, "❌ Falta en Obra", "⚠️ Dif")))</f>
      </c>
      <c r="E25" s="6734">
        <f>IF(Captura_Pegaso!A26="", "", Captura_Pegaso!A26)</f>
      </c>
      <c r="F25" s="6735">
        <f>IF(Captura_Pegaso!A26="", "", Captura_Pegaso!D26)</f>
      </c>
      <c r="G25" s="6736">
        <f>IF(Captura_Pegaso!A26="", "", Captura_Pegaso!E26)</f>
      </c>
      <c r="H25" s="6737">
        <f>IF(Captura_Pegaso!A26="", "", Captura_Pegaso!H26)</f>
      </c>
      <c r="I25" s="6738">
        <f>IF(Captura_Pegaso!A26="", "", SUMIFS(Captura_Obra!$F:$F, Captura_Obra!$A:$A, E25, Captura_Obra!$B:$B, F25, Captura_Obra!$D:$D, G25))</f>
      </c>
      <c r="J25" s="6739">
        <f>IF(Captura_Pegaso!A26="", "", H25 - I25)</f>
      </c>
      <c r="K25" s="3834"/>
    </row>
    <row r="26" spans="1:11">
      <c r="A26" s="6740">
        <f>IF(Captura_Pegaso!A27="", "", "Pegaso")</f>
      </c>
      <c r="B26" s="6741">
        <f>IF(Captura_Pegaso!A27="", "", Captura_Pegaso!N27)</f>
      </c>
      <c r="C26" s="6742">
        <f>IF(Captura_Pegaso!A27="", "", IFERROR(LOOKUP(2, 1/((Captura_Obra!$A$5:$A$1000=E26)*(Captura_Obra!$B$5:$B$1000=F26)*(Captura_Obra!$D$5:$D$1000=G26)), Captura_Obra!$N$5:$N$1000), "No Reportado"))</f>
      </c>
      <c r="D26" s="6743">
        <f>IF(Captura_Pegaso!A27="", "", IF(J26=0, "✅ Cuadrado", IF(I26=0, "❌ Falta en Obra", "⚠️ Dif")))</f>
      </c>
      <c r="E26" s="6744">
        <f>IF(Captura_Pegaso!A27="", "", Captura_Pegaso!A27)</f>
      </c>
      <c r="F26" s="6745">
        <f>IF(Captura_Pegaso!A27="", "", Captura_Pegaso!D27)</f>
      </c>
      <c r="G26" s="6746">
        <f>IF(Captura_Pegaso!A27="", "", Captura_Pegaso!E27)</f>
      </c>
      <c r="H26" s="6747">
        <f>IF(Captura_Pegaso!A27="", "", Captura_Pegaso!H27)</f>
      </c>
      <c r="I26" s="6748">
        <f>IF(Captura_Pegaso!A27="", "", SUMIFS(Captura_Obra!$F:$F, Captura_Obra!$A:$A, E26, Captura_Obra!$B:$B, F26, Captura_Obra!$D:$D, G26))</f>
      </c>
      <c r="J26" s="6749">
        <f>IF(Captura_Pegaso!A27="", "", H26 - I26)</f>
      </c>
      <c r="K26" s="3835"/>
    </row>
    <row r="27" spans="1:11">
      <c r="A27" s="6750">
        <f>IF(Captura_Pegaso!A28="", "", "Pegaso")</f>
      </c>
      <c r="B27" s="6751">
        <f>IF(Captura_Pegaso!A28="", "", Captura_Pegaso!N28)</f>
      </c>
      <c r="C27" s="6752">
        <f>IF(Captura_Pegaso!A28="", "", IFERROR(LOOKUP(2, 1/((Captura_Obra!$A$5:$A$1000=E27)*(Captura_Obra!$B$5:$B$1000=F27)*(Captura_Obra!$D$5:$D$1000=G27)), Captura_Obra!$N$5:$N$1000), "No Reportado"))</f>
      </c>
      <c r="D27" s="6753">
        <f>IF(Captura_Pegaso!A28="", "", IF(J27=0, "✅ Cuadrado", IF(I27=0, "❌ Falta en Obra", "⚠️ Dif")))</f>
      </c>
      <c r="E27" s="6754">
        <f>IF(Captura_Pegaso!A28="", "", Captura_Pegaso!A28)</f>
      </c>
      <c r="F27" s="6755">
        <f>IF(Captura_Pegaso!A28="", "", Captura_Pegaso!D28)</f>
      </c>
      <c r="G27" s="6756">
        <f>IF(Captura_Pegaso!A28="", "", Captura_Pegaso!E28)</f>
      </c>
      <c r="H27" s="6757">
        <f>IF(Captura_Pegaso!A28="", "", Captura_Pegaso!H28)</f>
      </c>
      <c r="I27" s="6758">
        <f>IF(Captura_Pegaso!A28="", "", SUMIFS(Captura_Obra!$F:$F, Captura_Obra!$A:$A, E27, Captura_Obra!$B:$B, F27, Captura_Obra!$D:$D, G27))</f>
      </c>
      <c r="J27" s="6759">
        <f>IF(Captura_Pegaso!A28="", "", H27 - I27)</f>
      </c>
      <c r="K27" s="3836"/>
    </row>
    <row r="28" spans="1:11">
      <c r="A28" s="6760">
        <f>IF(Captura_Pegaso!A29="", "", "Pegaso")</f>
      </c>
      <c r="B28" s="6761">
        <f>IF(Captura_Pegaso!A29="", "", Captura_Pegaso!N29)</f>
      </c>
      <c r="C28" s="6762">
        <f>IF(Captura_Pegaso!A29="", "", IFERROR(LOOKUP(2, 1/((Captura_Obra!$A$5:$A$1000=E28)*(Captura_Obra!$B$5:$B$1000=F28)*(Captura_Obra!$D$5:$D$1000=G28)), Captura_Obra!$N$5:$N$1000), "No Reportado"))</f>
      </c>
      <c r="D28" s="6763">
        <f>IF(Captura_Pegaso!A29="", "", IF(J28=0, "✅ Cuadrado", IF(I28=0, "❌ Falta en Obra", "⚠️ Dif")))</f>
      </c>
      <c r="E28" s="6764">
        <f>IF(Captura_Pegaso!A29="", "", Captura_Pegaso!A29)</f>
      </c>
      <c r="F28" s="6765">
        <f>IF(Captura_Pegaso!A29="", "", Captura_Pegaso!D29)</f>
      </c>
      <c r="G28" s="6766">
        <f>IF(Captura_Pegaso!A29="", "", Captura_Pegaso!E29)</f>
      </c>
      <c r="H28" s="6767">
        <f>IF(Captura_Pegaso!A29="", "", Captura_Pegaso!H29)</f>
      </c>
      <c r="I28" s="6768">
        <f>IF(Captura_Pegaso!A29="", "", SUMIFS(Captura_Obra!$F:$F, Captura_Obra!$A:$A, E28, Captura_Obra!$B:$B, F28, Captura_Obra!$D:$D, G28))</f>
      </c>
      <c r="J28" s="6769">
        <f>IF(Captura_Pegaso!A29="", "", H28 - I28)</f>
      </c>
      <c r="K28" s="3837"/>
    </row>
    <row r="29" spans="1:11">
      <c r="A29" s="6770">
        <f>IF(Captura_Pegaso!A30="", "", "Pegaso")</f>
      </c>
      <c r="B29" s="6771">
        <f>IF(Captura_Pegaso!A30="", "", Captura_Pegaso!N30)</f>
      </c>
      <c r="C29" s="6772">
        <f>IF(Captura_Pegaso!A30="", "", IFERROR(LOOKUP(2, 1/((Captura_Obra!$A$5:$A$1000=E29)*(Captura_Obra!$B$5:$B$1000=F29)*(Captura_Obra!$D$5:$D$1000=G29)), Captura_Obra!$N$5:$N$1000), "No Reportado"))</f>
      </c>
      <c r="D29" s="6773">
        <f>IF(Captura_Pegaso!A30="", "", IF(J29=0, "✅ Cuadrado", IF(I29=0, "❌ Falta en Obra", "⚠️ Dif")))</f>
      </c>
      <c r="E29" s="6774">
        <f>IF(Captura_Pegaso!A30="", "", Captura_Pegaso!A30)</f>
      </c>
      <c r="F29" s="6775">
        <f>IF(Captura_Pegaso!A30="", "", Captura_Pegaso!D30)</f>
      </c>
      <c r="G29" s="6776">
        <f>IF(Captura_Pegaso!A30="", "", Captura_Pegaso!E30)</f>
      </c>
      <c r="H29" s="6777">
        <f>IF(Captura_Pegaso!A30="", "", Captura_Pegaso!H30)</f>
      </c>
      <c r="I29" s="6778">
        <f>IF(Captura_Pegaso!A30="", "", SUMIFS(Captura_Obra!$F:$F, Captura_Obra!$A:$A, E29, Captura_Obra!$B:$B, F29, Captura_Obra!$D:$D, G29))</f>
      </c>
      <c r="J29" s="6779">
        <f>IF(Captura_Pegaso!A30="", "", H29 - I29)</f>
      </c>
      <c r="K29" s="3838"/>
    </row>
    <row r="30" spans="1:11">
      <c r="A30" s="6780">
        <f>IF(Captura_Pegaso!A31="", "", "Pegaso")</f>
      </c>
      <c r="B30" s="6781">
        <f>IF(Captura_Pegaso!A31="", "", Captura_Pegaso!N31)</f>
      </c>
      <c r="C30" s="6782">
        <f>IF(Captura_Pegaso!A31="", "", IFERROR(LOOKUP(2, 1/((Captura_Obra!$A$5:$A$1000=E30)*(Captura_Obra!$B$5:$B$1000=F30)*(Captura_Obra!$D$5:$D$1000=G30)), Captura_Obra!$N$5:$N$1000), "No Reportado"))</f>
      </c>
      <c r="D30" s="6783">
        <f>IF(Captura_Pegaso!A31="", "", IF(J30=0, "✅ Cuadrado", IF(I30=0, "❌ Falta en Obra", "⚠️ Dif")))</f>
      </c>
      <c r="E30" s="6784">
        <f>IF(Captura_Pegaso!A31="", "", Captura_Pegaso!A31)</f>
      </c>
      <c r="F30" s="6785">
        <f>IF(Captura_Pegaso!A31="", "", Captura_Pegaso!D31)</f>
      </c>
      <c r="G30" s="6786">
        <f>IF(Captura_Pegaso!A31="", "", Captura_Pegaso!E31)</f>
      </c>
      <c r="H30" s="6787">
        <f>IF(Captura_Pegaso!A31="", "", Captura_Pegaso!H31)</f>
      </c>
      <c r="I30" s="6788">
        <f>IF(Captura_Pegaso!A31="", "", SUMIFS(Captura_Obra!$F:$F, Captura_Obra!$A:$A, E30, Captura_Obra!$B:$B, F30, Captura_Obra!$D:$D, G30))</f>
      </c>
      <c r="J30" s="6789">
        <f>IF(Captura_Pegaso!A31="", "", H30 - I30)</f>
      </c>
      <c r="K30" s="3839"/>
    </row>
    <row r="31" spans="1:11">
      <c r="A31" s="6790">
        <f>IF(Captura_Pegaso!A32="", "", "Pegaso")</f>
      </c>
      <c r="B31" s="6791">
        <f>IF(Captura_Pegaso!A32="", "", Captura_Pegaso!N32)</f>
      </c>
      <c r="C31" s="6792">
        <f>IF(Captura_Pegaso!A32="", "", IFERROR(LOOKUP(2, 1/((Captura_Obra!$A$5:$A$1000=E31)*(Captura_Obra!$B$5:$B$1000=F31)*(Captura_Obra!$D$5:$D$1000=G31)), Captura_Obra!$N$5:$N$1000), "No Reportado"))</f>
      </c>
      <c r="D31" s="6793">
        <f>IF(Captura_Pegaso!A32="", "", IF(J31=0, "✅ Cuadrado", IF(I31=0, "❌ Falta en Obra", "⚠️ Dif")))</f>
      </c>
      <c r="E31" s="6794">
        <f>IF(Captura_Pegaso!A32="", "", Captura_Pegaso!A32)</f>
      </c>
      <c r="F31" s="6795">
        <f>IF(Captura_Pegaso!A32="", "", Captura_Pegaso!D32)</f>
      </c>
      <c r="G31" s="6796">
        <f>IF(Captura_Pegaso!A32="", "", Captura_Pegaso!E32)</f>
      </c>
      <c r="H31" s="6797">
        <f>IF(Captura_Pegaso!A32="", "", Captura_Pegaso!H32)</f>
      </c>
      <c r="I31" s="6798">
        <f>IF(Captura_Pegaso!A32="", "", SUMIFS(Captura_Obra!$F:$F, Captura_Obra!$A:$A, E31, Captura_Obra!$B:$B, F31, Captura_Obra!$D:$D, G31))</f>
      </c>
      <c r="J31" s="6799">
        <f>IF(Captura_Pegaso!A32="", "", H31 - I31)</f>
      </c>
      <c r="K31" s="3840"/>
    </row>
    <row r="32" spans="1:11">
      <c r="A32" s="6800">
        <f>IF(Captura_Pegaso!A33="", "", "Pegaso")</f>
      </c>
      <c r="B32" s="6801">
        <f>IF(Captura_Pegaso!A33="", "", Captura_Pegaso!N33)</f>
      </c>
      <c r="C32" s="6802">
        <f>IF(Captura_Pegaso!A33="", "", IFERROR(LOOKUP(2, 1/((Captura_Obra!$A$5:$A$1000=E32)*(Captura_Obra!$B$5:$B$1000=F32)*(Captura_Obra!$D$5:$D$1000=G32)), Captura_Obra!$N$5:$N$1000), "No Reportado"))</f>
      </c>
      <c r="D32" s="6803">
        <f>IF(Captura_Pegaso!A33="", "", IF(J32=0, "✅ Cuadrado", IF(I32=0, "❌ Falta en Obra", "⚠️ Dif")))</f>
      </c>
      <c r="E32" s="6804">
        <f>IF(Captura_Pegaso!A33="", "", Captura_Pegaso!A33)</f>
      </c>
      <c r="F32" s="6805">
        <f>IF(Captura_Pegaso!A33="", "", Captura_Pegaso!D33)</f>
      </c>
      <c r="G32" s="6806">
        <f>IF(Captura_Pegaso!A33="", "", Captura_Pegaso!E33)</f>
      </c>
      <c r="H32" s="6807">
        <f>IF(Captura_Pegaso!A33="", "", Captura_Pegaso!H33)</f>
      </c>
      <c r="I32" s="6808">
        <f>IF(Captura_Pegaso!A33="", "", SUMIFS(Captura_Obra!$F:$F, Captura_Obra!$A:$A, E32, Captura_Obra!$B:$B, F32, Captura_Obra!$D:$D, G32))</f>
      </c>
      <c r="J32" s="6809">
        <f>IF(Captura_Pegaso!A33="", "", H32 - I32)</f>
      </c>
      <c r="K32" s="3841"/>
    </row>
    <row r="33" spans="1:11">
      <c r="A33" s="6810">
        <f>IF(Captura_Pegaso!A34="", "", "Pegaso")</f>
      </c>
      <c r="B33" s="6811">
        <f>IF(Captura_Pegaso!A34="", "", Captura_Pegaso!N34)</f>
      </c>
      <c r="C33" s="6812">
        <f>IF(Captura_Pegaso!A34="", "", IFERROR(LOOKUP(2, 1/((Captura_Obra!$A$5:$A$1000=E33)*(Captura_Obra!$B$5:$B$1000=F33)*(Captura_Obra!$D$5:$D$1000=G33)), Captura_Obra!$N$5:$N$1000), "No Reportado"))</f>
      </c>
      <c r="D33" s="6813">
        <f>IF(Captura_Pegaso!A34="", "", IF(J33=0, "✅ Cuadrado", IF(I33=0, "❌ Falta en Obra", "⚠️ Dif")))</f>
      </c>
      <c r="E33" s="6814">
        <f>IF(Captura_Pegaso!A34="", "", Captura_Pegaso!A34)</f>
      </c>
      <c r="F33" s="6815">
        <f>IF(Captura_Pegaso!A34="", "", Captura_Pegaso!D34)</f>
      </c>
      <c r="G33" s="6816">
        <f>IF(Captura_Pegaso!A34="", "", Captura_Pegaso!E34)</f>
      </c>
      <c r="H33" s="6817">
        <f>IF(Captura_Pegaso!A34="", "", Captura_Pegaso!H34)</f>
      </c>
      <c r="I33" s="6818">
        <f>IF(Captura_Pegaso!A34="", "", SUMIFS(Captura_Obra!$F:$F, Captura_Obra!$A:$A, E33, Captura_Obra!$B:$B, F33, Captura_Obra!$D:$D, G33))</f>
      </c>
      <c r="J33" s="6819">
        <f>IF(Captura_Pegaso!A34="", "", H33 - I33)</f>
      </c>
      <c r="K33" s="3842"/>
    </row>
    <row r="34" spans="1:11">
      <c r="A34" s="6820">
        <f>IF(Captura_Pegaso!A35="", "", "Pegaso")</f>
      </c>
      <c r="B34" s="6821">
        <f>IF(Captura_Pegaso!A35="", "", Captura_Pegaso!N35)</f>
      </c>
      <c r="C34" s="6822">
        <f>IF(Captura_Pegaso!A35="", "", IFERROR(LOOKUP(2, 1/((Captura_Obra!$A$5:$A$1000=E34)*(Captura_Obra!$B$5:$B$1000=F34)*(Captura_Obra!$D$5:$D$1000=G34)), Captura_Obra!$N$5:$N$1000), "No Reportado"))</f>
      </c>
      <c r="D34" s="6823">
        <f>IF(Captura_Pegaso!A35="", "", IF(J34=0, "✅ Cuadrado", IF(I34=0, "❌ Falta en Obra", "⚠️ Dif")))</f>
      </c>
      <c r="E34" s="6824">
        <f>IF(Captura_Pegaso!A35="", "", Captura_Pegaso!A35)</f>
      </c>
      <c r="F34" s="6825">
        <f>IF(Captura_Pegaso!A35="", "", Captura_Pegaso!D35)</f>
      </c>
      <c r="G34" s="6826">
        <f>IF(Captura_Pegaso!A35="", "", Captura_Pegaso!E35)</f>
      </c>
      <c r="H34" s="6827">
        <f>IF(Captura_Pegaso!A35="", "", Captura_Pegaso!H35)</f>
      </c>
      <c r="I34" s="6828">
        <f>IF(Captura_Pegaso!A35="", "", SUMIFS(Captura_Obra!$F:$F, Captura_Obra!$A:$A, E34, Captura_Obra!$B:$B, F34, Captura_Obra!$D:$D, G34))</f>
      </c>
      <c r="J34" s="6829">
        <f>IF(Captura_Pegaso!A35="", "", H34 - I34)</f>
      </c>
      <c r="K34" s="3843"/>
    </row>
    <row r="35" spans="1:11">
      <c r="A35" s="6830">
        <f>IF(Captura_Pegaso!A36="", "", "Pegaso")</f>
      </c>
      <c r="B35" s="6831">
        <f>IF(Captura_Pegaso!A36="", "", Captura_Pegaso!N36)</f>
      </c>
      <c r="C35" s="6832">
        <f>IF(Captura_Pegaso!A36="", "", IFERROR(LOOKUP(2, 1/((Captura_Obra!$A$5:$A$1000=E35)*(Captura_Obra!$B$5:$B$1000=F35)*(Captura_Obra!$D$5:$D$1000=G35)), Captura_Obra!$N$5:$N$1000), "No Reportado"))</f>
      </c>
      <c r="D35" s="6833">
        <f>IF(Captura_Pegaso!A36="", "", IF(J35=0, "✅ Cuadrado", IF(I35=0, "❌ Falta en Obra", "⚠️ Dif")))</f>
      </c>
      <c r="E35" s="6834">
        <f>IF(Captura_Pegaso!A36="", "", Captura_Pegaso!A36)</f>
      </c>
      <c r="F35" s="6835">
        <f>IF(Captura_Pegaso!A36="", "", Captura_Pegaso!D36)</f>
      </c>
      <c r="G35" s="6836">
        <f>IF(Captura_Pegaso!A36="", "", Captura_Pegaso!E36)</f>
      </c>
      <c r="H35" s="6837">
        <f>IF(Captura_Pegaso!A36="", "", Captura_Pegaso!H36)</f>
      </c>
      <c r="I35" s="6838">
        <f>IF(Captura_Pegaso!A36="", "", SUMIFS(Captura_Obra!$F:$F, Captura_Obra!$A:$A, E35, Captura_Obra!$B:$B, F35, Captura_Obra!$D:$D, G35))</f>
      </c>
      <c r="J35" s="6839">
        <f>IF(Captura_Pegaso!A36="", "", H35 - I35)</f>
      </c>
      <c r="K35" s="3844"/>
    </row>
    <row r="36" spans="1:11">
      <c r="A36" s="6840">
        <f>IF(Captura_Pegaso!A37="", "", "Pegaso")</f>
      </c>
      <c r="B36" s="6841">
        <f>IF(Captura_Pegaso!A37="", "", Captura_Pegaso!N37)</f>
      </c>
      <c r="C36" s="6842">
        <f>IF(Captura_Pegaso!A37="", "", IFERROR(LOOKUP(2, 1/((Captura_Obra!$A$5:$A$1000=E36)*(Captura_Obra!$B$5:$B$1000=F36)*(Captura_Obra!$D$5:$D$1000=G36)), Captura_Obra!$N$5:$N$1000), "No Reportado"))</f>
      </c>
      <c r="D36" s="6843">
        <f>IF(Captura_Pegaso!A37="", "", IF(J36=0, "✅ Cuadrado", IF(I36=0, "❌ Falta en Obra", "⚠️ Dif")))</f>
      </c>
      <c r="E36" s="6844">
        <f>IF(Captura_Pegaso!A37="", "", Captura_Pegaso!A37)</f>
      </c>
      <c r="F36" s="6845">
        <f>IF(Captura_Pegaso!A37="", "", Captura_Pegaso!D37)</f>
      </c>
      <c r="G36" s="6846">
        <f>IF(Captura_Pegaso!A37="", "", Captura_Pegaso!E37)</f>
      </c>
      <c r="H36" s="6847">
        <f>IF(Captura_Pegaso!A37="", "", Captura_Pegaso!H37)</f>
      </c>
      <c r="I36" s="6848">
        <f>IF(Captura_Pegaso!A37="", "", SUMIFS(Captura_Obra!$F:$F, Captura_Obra!$A:$A, E36, Captura_Obra!$B:$B, F36, Captura_Obra!$D:$D, G36))</f>
      </c>
      <c r="J36" s="6849">
        <f>IF(Captura_Pegaso!A37="", "", H36 - I36)</f>
      </c>
      <c r="K36" s="3845"/>
    </row>
    <row r="37" spans="1:11">
      <c r="A37" s="6850">
        <f>IF(Captura_Pegaso!A38="", "", "Pegaso")</f>
      </c>
      <c r="B37" s="6851">
        <f>IF(Captura_Pegaso!A38="", "", Captura_Pegaso!N38)</f>
      </c>
      <c r="C37" s="6852">
        <f>IF(Captura_Pegaso!A38="", "", IFERROR(LOOKUP(2, 1/((Captura_Obra!$A$5:$A$1000=E37)*(Captura_Obra!$B$5:$B$1000=F37)*(Captura_Obra!$D$5:$D$1000=G37)), Captura_Obra!$N$5:$N$1000), "No Reportado"))</f>
      </c>
      <c r="D37" s="6853">
        <f>IF(Captura_Pegaso!A38="", "", IF(J37=0, "✅ Cuadrado", IF(I37=0, "❌ Falta en Obra", "⚠️ Dif")))</f>
      </c>
      <c r="E37" s="6854">
        <f>IF(Captura_Pegaso!A38="", "", Captura_Pegaso!A38)</f>
      </c>
      <c r="F37" s="6855">
        <f>IF(Captura_Pegaso!A38="", "", Captura_Pegaso!D38)</f>
      </c>
      <c r="G37" s="6856">
        <f>IF(Captura_Pegaso!A38="", "", Captura_Pegaso!E38)</f>
      </c>
      <c r="H37" s="6857">
        <f>IF(Captura_Pegaso!A38="", "", Captura_Pegaso!H38)</f>
      </c>
      <c r="I37" s="6858">
        <f>IF(Captura_Pegaso!A38="", "", SUMIFS(Captura_Obra!$F:$F, Captura_Obra!$A:$A, E37, Captura_Obra!$B:$B, F37, Captura_Obra!$D:$D, G37))</f>
      </c>
      <c r="J37" s="6859">
        <f>IF(Captura_Pegaso!A38="", "", H37 - I37)</f>
      </c>
      <c r="K37" s="3846"/>
    </row>
    <row r="38" spans="1:11">
      <c r="A38" s="6860">
        <f>IF(Captura_Pegaso!A39="", "", "Pegaso")</f>
      </c>
      <c r="B38" s="6861">
        <f>IF(Captura_Pegaso!A39="", "", Captura_Pegaso!N39)</f>
      </c>
      <c r="C38" s="6862">
        <f>IF(Captura_Pegaso!A39="", "", IFERROR(LOOKUP(2, 1/((Captura_Obra!$A$5:$A$1000=E38)*(Captura_Obra!$B$5:$B$1000=F38)*(Captura_Obra!$D$5:$D$1000=G38)), Captura_Obra!$N$5:$N$1000), "No Reportado"))</f>
      </c>
      <c r="D38" s="6863">
        <f>IF(Captura_Pegaso!A39="", "", IF(J38=0, "✅ Cuadrado", IF(I38=0, "❌ Falta en Obra", "⚠️ Dif")))</f>
      </c>
      <c r="E38" s="6864">
        <f>IF(Captura_Pegaso!A39="", "", Captura_Pegaso!A39)</f>
      </c>
      <c r="F38" s="6865">
        <f>IF(Captura_Pegaso!A39="", "", Captura_Pegaso!D39)</f>
      </c>
      <c r="G38" s="6866">
        <f>IF(Captura_Pegaso!A39="", "", Captura_Pegaso!E39)</f>
      </c>
      <c r="H38" s="6867">
        <f>IF(Captura_Pegaso!A39="", "", Captura_Pegaso!H39)</f>
      </c>
      <c r="I38" s="6868">
        <f>IF(Captura_Pegaso!A39="", "", SUMIFS(Captura_Obra!$F:$F, Captura_Obra!$A:$A, E38, Captura_Obra!$B:$B, F38, Captura_Obra!$D:$D, G38))</f>
      </c>
      <c r="J38" s="6869">
        <f>IF(Captura_Pegaso!A39="", "", H38 - I38)</f>
      </c>
      <c r="K38" s="3847"/>
    </row>
    <row r="39" spans="1:11">
      <c r="A39" s="6870">
        <f>IF(Captura_Pegaso!A40="", "", "Pegaso")</f>
      </c>
      <c r="B39" s="6871">
        <f>IF(Captura_Pegaso!A40="", "", Captura_Pegaso!N40)</f>
      </c>
      <c r="C39" s="6872">
        <f>IF(Captura_Pegaso!A40="", "", IFERROR(LOOKUP(2, 1/((Captura_Obra!$A$5:$A$1000=E39)*(Captura_Obra!$B$5:$B$1000=F39)*(Captura_Obra!$D$5:$D$1000=G39)), Captura_Obra!$N$5:$N$1000), "No Reportado"))</f>
      </c>
      <c r="D39" s="6873">
        <f>IF(Captura_Pegaso!A40="", "", IF(J39=0, "✅ Cuadrado", IF(I39=0, "❌ Falta en Obra", "⚠️ Dif")))</f>
      </c>
      <c r="E39" s="6874">
        <f>IF(Captura_Pegaso!A40="", "", Captura_Pegaso!A40)</f>
      </c>
      <c r="F39" s="6875">
        <f>IF(Captura_Pegaso!A40="", "", Captura_Pegaso!D40)</f>
      </c>
      <c r="G39" s="6876">
        <f>IF(Captura_Pegaso!A40="", "", Captura_Pegaso!E40)</f>
      </c>
      <c r="H39" s="6877">
        <f>IF(Captura_Pegaso!A40="", "", Captura_Pegaso!H40)</f>
      </c>
      <c r="I39" s="6878">
        <f>IF(Captura_Pegaso!A40="", "", SUMIFS(Captura_Obra!$F:$F, Captura_Obra!$A:$A, E39, Captura_Obra!$B:$B, F39, Captura_Obra!$D:$D, G39))</f>
      </c>
      <c r="J39" s="6879">
        <f>IF(Captura_Pegaso!A40="", "", H39 - I39)</f>
      </c>
      <c r="K39" s="3848"/>
    </row>
    <row r="40" spans="1:11">
      <c r="A40" s="6880">
        <f>IF(Captura_Pegaso!A41="", "", "Pegaso")</f>
      </c>
      <c r="B40" s="6881">
        <f>IF(Captura_Pegaso!A41="", "", Captura_Pegaso!N41)</f>
      </c>
      <c r="C40" s="6882">
        <f>IF(Captura_Pegaso!A41="", "", IFERROR(LOOKUP(2, 1/((Captura_Obra!$A$5:$A$1000=E40)*(Captura_Obra!$B$5:$B$1000=F40)*(Captura_Obra!$D$5:$D$1000=G40)), Captura_Obra!$N$5:$N$1000), "No Reportado"))</f>
      </c>
      <c r="D40" s="6883">
        <f>IF(Captura_Pegaso!A41="", "", IF(J40=0, "✅ Cuadrado", IF(I40=0, "❌ Falta en Obra", "⚠️ Dif")))</f>
      </c>
      <c r="E40" s="6884">
        <f>IF(Captura_Pegaso!A41="", "", Captura_Pegaso!A41)</f>
      </c>
      <c r="F40" s="6885">
        <f>IF(Captura_Pegaso!A41="", "", Captura_Pegaso!D41)</f>
      </c>
      <c r="G40" s="6886">
        <f>IF(Captura_Pegaso!A41="", "", Captura_Pegaso!E41)</f>
      </c>
      <c r="H40" s="6887">
        <f>IF(Captura_Pegaso!A41="", "", Captura_Pegaso!H41)</f>
      </c>
      <c r="I40" s="6888">
        <f>IF(Captura_Pegaso!A41="", "", SUMIFS(Captura_Obra!$F:$F, Captura_Obra!$A:$A, E40, Captura_Obra!$B:$B, F40, Captura_Obra!$D:$D, G40))</f>
      </c>
      <c r="J40" s="6889">
        <f>IF(Captura_Pegaso!A41="", "", H40 - I40)</f>
      </c>
      <c r="K40" s="3849"/>
    </row>
    <row r="41" spans="1:11">
      <c r="A41" s="6890">
        <f>IF(Captura_Pegaso!A42="", "", "Pegaso")</f>
      </c>
      <c r="B41" s="6891">
        <f>IF(Captura_Pegaso!A42="", "", Captura_Pegaso!N42)</f>
      </c>
      <c r="C41" s="6892">
        <f>IF(Captura_Pegaso!A42="", "", IFERROR(LOOKUP(2, 1/((Captura_Obra!$A$5:$A$1000=E41)*(Captura_Obra!$B$5:$B$1000=F41)*(Captura_Obra!$D$5:$D$1000=G41)), Captura_Obra!$N$5:$N$1000), "No Reportado"))</f>
      </c>
      <c r="D41" s="6893">
        <f>IF(Captura_Pegaso!A42="", "", IF(J41=0, "✅ Cuadrado", IF(I41=0, "❌ Falta en Obra", "⚠️ Dif")))</f>
      </c>
      <c r="E41" s="6894">
        <f>IF(Captura_Pegaso!A42="", "", Captura_Pegaso!A42)</f>
      </c>
      <c r="F41" s="6895">
        <f>IF(Captura_Pegaso!A42="", "", Captura_Pegaso!D42)</f>
      </c>
      <c r="G41" s="6896">
        <f>IF(Captura_Pegaso!A42="", "", Captura_Pegaso!E42)</f>
      </c>
      <c r="H41" s="6897">
        <f>IF(Captura_Pegaso!A42="", "", Captura_Pegaso!H42)</f>
      </c>
      <c r="I41" s="6898">
        <f>IF(Captura_Pegaso!A42="", "", SUMIFS(Captura_Obra!$F:$F, Captura_Obra!$A:$A, E41, Captura_Obra!$B:$B, F41, Captura_Obra!$D:$D, G41))</f>
      </c>
      <c r="J41" s="6899">
        <f>IF(Captura_Pegaso!A42="", "", H41 - I41)</f>
      </c>
      <c r="K41" s="3850"/>
    </row>
    <row r="42" spans="1:11">
      <c r="A42" s="6900">
        <f>IF(Captura_Pegaso!A43="", "", "Pegaso")</f>
      </c>
      <c r="B42" s="6901">
        <f>IF(Captura_Pegaso!A43="", "", Captura_Pegaso!N43)</f>
      </c>
      <c r="C42" s="6902">
        <f>IF(Captura_Pegaso!A43="", "", IFERROR(LOOKUP(2, 1/((Captura_Obra!$A$5:$A$1000=E42)*(Captura_Obra!$B$5:$B$1000=F42)*(Captura_Obra!$D$5:$D$1000=G42)), Captura_Obra!$N$5:$N$1000), "No Reportado"))</f>
      </c>
      <c r="D42" s="6903">
        <f>IF(Captura_Pegaso!A43="", "", IF(J42=0, "✅ Cuadrado", IF(I42=0, "❌ Falta en Obra", "⚠️ Dif")))</f>
      </c>
      <c r="E42" s="6904">
        <f>IF(Captura_Pegaso!A43="", "", Captura_Pegaso!A43)</f>
      </c>
      <c r="F42" s="6905">
        <f>IF(Captura_Pegaso!A43="", "", Captura_Pegaso!D43)</f>
      </c>
      <c r="G42" s="6906">
        <f>IF(Captura_Pegaso!A43="", "", Captura_Pegaso!E43)</f>
      </c>
      <c r="H42" s="6907">
        <f>IF(Captura_Pegaso!A43="", "", Captura_Pegaso!H43)</f>
      </c>
      <c r="I42" s="6908">
        <f>IF(Captura_Pegaso!A43="", "", SUMIFS(Captura_Obra!$F:$F, Captura_Obra!$A:$A, E42, Captura_Obra!$B:$B, F42, Captura_Obra!$D:$D, G42))</f>
      </c>
      <c r="J42" s="6909">
        <f>IF(Captura_Pegaso!A43="", "", H42 - I42)</f>
      </c>
      <c r="K42" s="3851"/>
    </row>
    <row r="43" spans="1:11">
      <c r="A43" s="6910">
        <f>IF(Captura_Pegaso!A44="", "", "Pegaso")</f>
      </c>
      <c r="B43" s="6911">
        <f>IF(Captura_Pegaso!A44="", "", Captura_Pegaso!N44)</f>
      </c>
      <c r="C43" s="6912">
        <f>IF(Captura_Pegaso!A44="", "", IFERROR(LOOKUP(2, 1/((Captura_Obra!$A$5:$A$1000=E43)*(Captura_Obra!$B$5:$B$1000=F43)*(Captura_Obra!$D$5:$D$1000=G43)), Captura_Obra!$N$5:$N$1000), "No Reportado"))</f>
      </c>
      <c r="D43" s="6913">
        <f>IF(Captura_Pegaso!A44="", "", IF(J43=0, "✅ Cuadrado", IF(I43=0, "❌ Falta en Obra", "⚠️ Dif")))</f>
      </c>
      <c r="E43" s="6914">
        <f>IF(Captura_Pegaso!A44="", "", Captura_Pegaso!A44)</f>
      </c>
      <c r="F43" s="6915">
        <f>IF(Captura_Pegaso!A44="", "", Captura_Pegaso!D44)</f>
      </c>
      <c r="G43" s="6916">
        <f>IF(Captura_Pegaso!A44="", "", Captura_Pegaso!E44)</f>
      </c>
      <c r="H43" s="6917">
        <f>IF(Captura_Pegaso!A44="", "", Captura_Pegaso!H44)</f>
      </c>
      <c r="I43" s="6918">
        <f>IF(Captura_Pegaso!A44="", "", SUMIFS(Captura_Obra!$F:$F, Captura_Obra!$A:$A, E43, Captura_Obra!$B:$B, F43, Captura_Obra!$D:$D, G43))</f>
      </c>
      <c r="J43" s="6919">
        <f>IF(Captura_Pegaso!A44="", "", H43 - I43)</f>
      </c>
      <c r="K43" s="3852"/>
    </row>
    <row r="44" spans="1:11">
      <c r="A44" s="6920">
        <f>IF(Captura_Pegaso!A45="", "", "Pegaso")</f>
      </c>
      <c r="B44" s="6921">
        <f>IF(Captura_Pegaso!A45="", "", Captura_Pegaso!N45)</f>
      </c>
      <c r="C44" s="6922">
        <f>IF(Captura_Pegaso!A45="", "", IFERROR(LOOKUP(2, 1/((Captura_Obra!$A$5:$A$1000=E44)*(Captura_Obra!$B$5:$B$1000=F44)*(Captura_Obra!$D$5:$D$1000=G44)), Captura_Obra!$N$5:$N$1000), "No Reportado"))</f>
      </c>
      <c r="D44" s="6923">
        <f>IF(Captura_Pegaso!A45="", "", IF(J44=0, "✅ Cuadrado", IF(I44=0, "❌ Falta en Obra", "⚠️ Dif")))</f>
      </c>
      <c r="E44" s="6924">
        <f>IF(Captura_Pegaso!A45="", "", Captura_Pegaso!A45)</f>
      </c>
      <c r="F44" s="6925">
        <f>IF(Captura_Pegaso!A45="", "", Captura_Pegaso!D45)</f>
      </c>
      <c r="G44" s="6926">
        <f>IF(Captura_Pegaso!A45="", "", Captura_Pegaso!E45)</f>
      </c>
      <c r="H44" s="6927">
        <f>IF(Captura_Pegaso!A45="", "", Captura_Pegaso!H45)</f>
      </c>
      <c r="I44" s="6928">
        <f>IF(Captura_Pegaso!A45="", "", SUMIFS(Captura_Obra!$F:$F, Captura_Obra!$A:$A, E44, Captura_Obra!$B:$B, F44, Captura_Obra!$D:$D, G44))</f>
      </c>
      <c r="J44" s="6929">
        <f>IF(Captura_Pegaso!A45="", "", H44 - I44)</f>
      </c>
      <c r="K44" s="3853"/>
    </row>
    <row r="45" spans="1:11">
      <c r="A45" s="6930">
        <f>IF(Captura_Pegaso!A46="", "", "Pegaso")</f>
      </c>
      <c r="B45" s="6931">
        <f>IF(Captura_Pegaso!A46="", "", Captura_Pegaso!N46)</f>
      </c>
      <c r="C45" s="6932">
        <f>IF(Captura_Pegaso!A46="", "", IFERROR(LOOKUP(2, 1/((Captura_Obra!$A$5:$A$1000=E45)*(Captura_Obra!$B$5:$B$1000=F45)*(Captura_Obra!$D$5:$D$1000=G45)), Captura_Obra!$N$5:$N$1000), "No Reportado"))</f>
      </c>
      <c r="D45" s="6933">
        <f>IF(Captura_Pegaso!A46="", "", IF(J45=0, "✅ Cuadrado", IF(I45=0, "❌ Falta en Obra", "⚠️ Dif")))</f>
      </c>
      <c r="E45" s="6934">
        <f>IF(Captura_Pegaso!A46="", "", Captura_Pegaso!A46)</f>
      </c>
      <c r="F45" s="6935">
        <f>IF(Captura_Pegaso!A46="", "", Captura_Pegaso!D46)</f>
      </c>
      <c r="G45" s="6936">
        <f>IF(Captura_Pegaso!A46="", "", Captura_Pegaso!E46)</f>
      </c>
      <c r="H45" s="6937">
        <f>IF(Captura_Pegaso!A46="", "", Captura_Pegaso!H46)</f>
      </c>
      <c r="I45" s="6938">
        <f>IF(Captura_Pegaso!A46="", "", SUMIFS(Captura_Obra!$F:$F, Captura_Obra!$A:$A, E45, Captura_Obra!$B:$B, F45, Captura_Obra!$D:$D, G45))</f>
      </c>
      <c r="J45" s="6939">
        <f>IF(Captura_Pegaso!A46="", "", H45 - I45)</f>
      </c>
      <c r="K45" s="3854"/>
    </row>
    <row r="46" spans="1:11">
      <c r="A46" s="6940">
        <f>IF(Captura_Pegaso!A47="", "", "Pegaso")</f>
      </c>
      <c r="B46" s="6941">
        <f>IF(Captura_Pegaso!A47="", "", Captura_Pegaso!N47)</f>
      </c>
      <c r="C46" s="6942">
        <f>IF(Captura_Pegaso!A47="", "", IFERROR(LOOKUP(2, 1/((Captura_Obra!$A$5:$A$1000=E46)*(Captura_Obra!$B$5:$B$1000=F46)*(Captura_Obra!$D$5:$D$1000=G46)), Captura_Obra!$N$5:$N$1000), "No Reportado"))</f>
      </c>
      <c r="D46" s="6943">
        <f>IF(Captura_Pegaso!A47="", "", IF(J46=0, "✅ Cuadrado", IF(I46=0, "❌ Falta en Obra", "⚠️ Dif")))</f>
      </c>
      <c r="E46" s="6944">
        <f>IF(Captura_Pegaso!A47="", "", Captura_Pegaso!A47)</f>
      </c>
      <c r="F46" s="6945">
        <f>IF(Captura_Pegaso!A47="", "", Captura_Pegaso!D47)</f>
      </c>
      <c r="G46" s="6946">
        <f>IF(Captura_Pegaso!A47="", "", Captura_Pegaso!E47)</f>
      </c>
      <c r="H46" s="6947">
        <f>IF(Captura_Pegaso!A47="", "", Captura_Pegaso!H47)</f>
      </c>
      <c r="I46" s="6948">
        <f>IF(Captura_Pegaso!A47="", "", SUMIFS(Captura_Obra!$F:$F, Captura_Obra!$A:$A, E46, Captura_Obra!$B:$B, F46, Captura_Obra!$D:$D, G46))</f>
      </c>
      <c r="J46" s="6949">
        <f>IF(Captura_Pegaso!A47="", "", H46 - I46)</f>
      </c>
      <c r="K46" s="3855"/>
    </row>
    <row r="47" spans="1:11">
      <c r="A47" s="6950">
        <f>IF(Captura_Pegaso!A48="", "", "Pegaso")</f>
      </c>
      <c r="B47" s="6951">
        <f>IF(Captura_Pegaso!A48="", "", Captura_Pegaso!N48)</f>
      </c>
      <c r="C47" s="6952">
        <f>IF(Captura_Pegaso!A48="", "", IFERROR(LOOKUP(2, 1/((Captura_Obra!$A$5:$A$1000=E47)*(Captura_Obra!$B$5:$B$1000=F47)*(Captura_Obra!$D$5:$D$1000=G47)), Captura_Obra!$N$5:$N$1000), "No Reportado"))</f>
      </c>
      <c r="D47" s="6953">
        <f>IF(Captura_Pegaso!A48="", "", IF(J47=0, "✅ Cuadrado", IF(I47=0, "❌ Falta en Obra", "⚠️ Dif")))</f>
      </c>
      <c r="E47" s="6954">
        <f>IF(Captura_Pegaso!A48="", "", Captura_Pegaso!A48)</f>
      </c>
      <c r="F47" s="6955">
        <f>IF(Captura_Pegaso!A48="", "", Captura_Pegaso!D48)</f>
      </c>
      <c r="G47" s="6956">
        <f>IF(Captura_Pegaso!A48="", "", Captura_Pegaso!E48)</f>
      </c>
      <c r="H47" s="6957">
        <f>IF(Captura_Pegaso!A48="", "", Captura_Pegaso!H48)</f>
      </c>
      <c r="I47" s="6958">
        <f>IF(Captura_Pegaso!A48="", "", SUMIFS(Captura_Obra!$F:$F, Captura_Obra!$A:$A, E47, Captura_Obra!$B:$B, F47, Captura_Obra!$D:$D, G47))</f>
      </c>
      <c r="J47" s="6959">
        <f>IF(Captura_Pegaso!A48="", "", H47 - I47)</f>
      </c>
      <c r="K47" s="3856"/>
    </row>
    <row r="48" spans="1:11">
      <c r="A48" s="6960">
        <f>IF(Captura_Pegaso!A49="", "", "Pegaso")</f>
      </c>
      <c r="B48" s="6961">
        <f>IF(Captura_Pegaso!A49="", "", Captura_Pegaso!N49)</f>
      </c>
      <c r="C48" s="6962">
        <f>IF(Captura_Pegaso!A49="", "", IFERROR(LOOKUP(2, 1/((Captura_Obra!$A$5:$A$1000=E48)*(Captura_Obra!$B$5:$B$1000=F48)*(Captura_Obra!$D$5:$D$1000=G48)), Captura_Obra!$N$5:$N$1000), "No Reportado"))</f>
      </c>
      <c r="D48" s="6963">
        <f>IF(Captura_Pegaso!A49="", "", IF(J48=0, "✅ Cuadrado", IF(I48=0, "❌ Falta en Obra", "⚠️ Dif")))</f>
      </c>
      <c r="E48" s="6964">
        <f>IF(Captura_Pegaso!A49="", "", Captura_Pegaso!A49)</f>
      </c>
      <c r="F48" s="6965">
        <f>IF(Captura_Pegaso!A49="", "", Captura_Pegaso!D49)</f>
      </c>
      <c r="G48" s="6966">
        <f>IF(Captura_Pegaso!A49="", "", Captura_Pegaso!E49)</f>
      </c>
      <c r="H48" s="6967">
        <f>IF(Captura_Pegaso!A49="", "", Captura_Pegaso!H49)</f>
      </c>
      <c r="I48" s="6968">
        <f>IF(Captura_Pegaso!A49="", "", SUMIFS(Captura_Obra!$F:$F, Captura_Obra!$A:$A, E48, Captura_Obra!$B:$B, F48, Captura_Obra!$D:$D, G48))</f>
      </c>
      <c r="J48" s="6969">
        <f>IF(Captura_Pegaso!A49="", "", H48 - I48)</f>
      </c>
      <c r="K48" s="3857"/>
    </row>
    <row r="49" spans="1:11">
      <c r="A49" s="6970">
        <f>IF(Captura_Pegaso!A50="", "", "Pegaso")</f>
      </c>
      <c r="B49" s="6971">
        <f>IF(Captura_Pegaso!A50="", "", Captura_Pegaso!N50)</f>
      </c>
      <c r="C49" s="6972">
        <f>IF(Captura_Pegaso!A50="", "", IFERROR(LOOKUP(2, 1/((Captura_Obra!$A$5:$A$1000=E49)*(Captura_Obra!$B$5:$B$1000=F49)*(Captura_Obra!$D$5:$D$1000=G49)), Captura_Obra!$N$5:$N$1000), "No Reportado"))</f>
      </c>
      <c r="D49" s="6973">
        <f>IF(Captura_Pegaso!A50="", "", IF(J49=0, "✅ Cuadrado", IF(I49=0, "❌ Falta en Obra", "⚠️ Dif")))</f>
      </c>
      <c r="E49" s="6974">
        <f>IF(Captura_Pegaso!A50="", "", Captura_Pegaso!A50)</f>
      </c>
      <c r="F49" s="6975">
        <f>IF(Captura_Pegaso!A50="", "", Captura_Pegaso!D50)</f>
      </c>
      <c r="G49" s="6976">
        <f>IF(Captura_Pegaso!A50="", "", Captura_Pegaso!E50)</f>
      </c>
      <c r="H49" s="6977">
        <f>IF(Captura_Pegaso!A50="", "", Captura_Pegaso!H50)</f>
      </c>
      <c r="I49" s="6978">
        <f>IF(Captura_Pegaso!A50="", "", SUMIFS(Captura_Obra!$F:$F, Captura_Obra!$A:$A, E49, Captura_Obra!$B:$B, F49, Captura_Obra!$D:$D, G49))</f>
      </c>
      <c r="J49" s="6979">
        <f>IF(Captura_Pegaso!A50="", "", H49 - I49)</f>
      </c>
      <c r="K49" s="3858"/>
    </row>
    <row r="50" spans="1:11">
      <c r="A50" s="6980">
        <f>IF(Captura_Pegaso!A51="", "", "Pegaso")</f>
      </c>
      <c r="B50" s="6981">
        <f>IF(Captura_Pegaso!A51="", "", Captura_Pegaso!N51)</f>
      </c>
      <c r="C50" s="6982">
        <f>IF(Captura_Pegaso!A51="", "", IFERROR(LOOKUP(2, 1/((Captura_Obra!$A$5:$A$1000=E50)*(Captura_Obra!$B$5:$B$1000=F50)*(Captura_Obra!$D$5:$D$1000=G50)), Captura_Obra!$N$5:$N$1000), "No Reportado"))</f>
      </c>
      <c r="D50" s="6983">
        <f>IF(Captura_Pegaso!A51="", "", IF(J50=0, "✅ Cuadrado", IF(I50=0, "❌ Falta en Obra", "⚠️ Dif")))</f>
      </c>
      <c r="E50" s="6984">
        <f>IF(Captura_Pegaso!A51="", "", Captura_Pegaso!A51)</f>
      </c>
      <c r="F50" s="6985">
        <f>IF(Captura_Pegaso!A51="", "", Captura_Pegaso!D51)</f>
      </c>
      <c r="G50" s="6986">
        <f>IF(Captura_Pegaso!A51="", "", Captura_Pegaso!E51)</f>
      </c>
      <c r="H50" s="6987">
        <f>IF(Captura_Pegaso!A51="", "", Captura_Pegaso!H51)</f>
      </c>
      <c r="I50" s="6988">
        <f>IF(Captura_Pegaso!A51="", "", SUMIFS(Captura_Obra!$F:$F, Captura_Obra!$A:$A, E50, Captura_Obra!$B:$B, F50, Captura_Obra!$D:$D, G50))</f>
      </c>
      <c r="J50" s="6989">
        <f>IF(Captura_Pegaso!A51="", "", H50 - I50)</f>
      </c>
      <c r="K50" s="3859"/>
    </row>
    <row r="51" spans="1:11">
      <c r="A51" s="6990">
        <f>IF(Captura_Pegaso!A52="", "", "Pegaso")</f>
      </c>
      <c r="B51" s="6991">
        <f>IF(Captura_Pegaso!A52="", "", Captura_Pegaso!N52)</f>
      </c>
      <c r="C51" s="6992">
        <f>IF(Captura_Pegaso!A52="", "", IFERROR(LOOKUP(2, 1/((Captura_Obra!$A$5:$A$1000=E51)*(Captura_Obra!$B$5:$B$1000=F51)*(Captura_Obra!$D$5:$D$1000=G51)), Captura_Obra!$N$5:$N$1000), "No Reportado"))</f>
      </c>
      <c r="D51" s="6993">
        <f>IF(Captura_Pegaso!A52="", "", IF(J51=0, "✅ Cuadrado", IF(I51=0, "❌ Falta en Obra", "⚠️ Dif")))</f>
      </c>
      <c r="E51" s="6994">
        <f>IF(Captura_Pegaso!A52="", "", Captura_Pegaso!A52)</f>
      </c>
      <c r="F51" s="6995">
        <f>IF(Captura_Pegaso!A52="", "", Captura_Pegaso!D52)</f>
      </c>
      <c r="G51" s="6996">
        <f>IF(Captura_Pegaso!A52="", "", Captura_Pegaso!E52)</f>
      </c>
      <c r="H51" s="6997">
        <f>IF(Captura_Pegaso!A52="", "", Captura_Pegaso!H52)</f>
      </c>
      <c r="I51" s="6998">
        <f>IF(Captura_Pegaso!A52="", "", SUMIFS(Captura_Obra!$F:$F, Captura_Obra!$A:$A, E51, Captura_Obra!$B:$B, F51, Captura_Obra!$D:$D, G51))</f>
      </c>
      <c r="J51" s="6999">
        <f>IF(Captura_Pegaso!A52="", "", H51 - I51)</f>
      </c>
      <c r="K51" s="3860"/>
    </row>
    <row r="52" spans="1:11">
      <c r="A52" s="7000">
        <f>IF(Captura_Pegaso!A53="", "", "Pegaso")</f>
      </c>
      <c r="B52" s="7001">
        <f>IF(Captura_Pegaso!A53="", "", Captura_Pegaso!N53)</f>
      </c>
      <c r="C52" s="7002">
        <f>IF(Captura_Pegaso!A53="", "", IFERROR(LOOKUP(2, 1/((Captura_Obra!$A$5:$A$1000=E52)*(Captura_Obra!$B$5:$B$1000=F52)*(Captura_Obra!$D$5:$D$1000=G52)), Captura_Obra!$N$5:$N$1000), "No Reportado"))</f>
      </c>
      <c r="D52" s="7003">
        <f>IF(Captura_Pegaso!A53="", "", IF(J52=0, "✅ Cuadrado", IF(I52=0, "❌ Falta en Obra", "⚠️ Dif")))</f>
      </c>
      <c r="E52" s="7004">
        <f>IF(Captura_Pegaso!A53="", "", Captura_Pegaso!A53)</f>
      </c>
      <c r="F52" s="7005">
        <f>IF(Captura_Pegaso!A53="", "", Captura_Pegaso!D53)</f>
      </c>
      <c r="G52" s="7006">
        <f>IF(Captura_Pegaso!A53="", "", Captura_Pegaso!E53)</f>
      </c>
      <c r="H52" s="7007">
        <f>IF(Captura_Pegaso!A53="", "", Captura_Pegaso!H53)</f>
      </c>
      <c r="I52" s="7008">
        <f>IF(Captura_Pegaso!A53="", "", SUMIFS(Captura_Obra!$F:$F, Captura_Obra!$A:$A, E52, Captura_Obra!$B:$B, F52, Captura_Obra!$D:$D, G52))</f>
      </c>
      <c r="J52" s="7009">
        <f>IF(Captura_Pegaso!A53="", "", H52 - I52)</f>
      </c>
      <c r="K52" s="3861"/>
    </row>
    <row r="53" spans="1:11">
      <c r="A53" s="7010">
        <f>IF(Captura_Pegaso!A54="", "", "Pegaso")</f>
      </c>
      <c r="B53" s="7011">
        <f>IF(Captura_Pegaso!A54="", "", Captura_Pegaso!N54)</f>
      </c>
      <c r="C53" s="7012">
        <f>IF(Captura_Pegaso!A54="", "", IFERROR(LOOKUP(2, 1/((Captura_Obra!$A$5:$A$1000=E53)*(Captura_Obra!$B$5:$B$1000=F53)*(Captura_Obra!$D$5:$D$1000=G53)), Captura_Obra!$N$5:$N$1000), "No Reportado"))</f>
      </c>
      <c r="D53" s="7013">
        <f>IF(Captura_Pegaso!A54="", "", IF(J53=0, "✅ Cuadrado", IF(I53=0, "❌ Falta en Obra", "⚠️ Dif")))</f>
      </c>
      <c r="E53" s="7014">
        <f>IF(Captura_Pegaso!A54="", "", Captura_Pegaso!A54)</f>
      </c>
      <c r="F53" s="7015">
        <f>IF(Captura_Pegaso!A54="", "", Captura_Pegaso!D54)</f>
      </c>
      <c r="G53" s="7016">
        <f>IF(Captura_Pegaso!A54="", "", Captura_Pegaso!E54)</f>
      </c>
      <c r="H53" s="7017">
        <f>IF(Captura_Pegaso!A54="", "", Captura_Pegaso!H54)</f>
      </c>
      <c r="I53" s="7018">
        <f>IF(Captura_Pegaso!A54="", "", SUMIFS(Captura_Obra!$F:$F, Captura_Obra!$A:$A, E53, Captura_Obra!$B:$B, F53, Captura_Obra!$D:$D, G53))</f>
      </c>
      <c r="J53" s="7019">
        <f>IF(Captura_Pegaso!A54="", "", H53 - I53)</f>
      </c>
      <c r="K53" s="3862"/>
    </row>
    <row r="54" spans="1:11">
      <c r="A54" s="7020">
        <f>IF(Captura_Pegaso!A55="", "", "Pegaso")</f>
      </c>
      <c r="B54" s="7021">
        <f>IF(Captura_Pegaso!A55="", "", Captura_Pegaso!N55)</f>
      </c>
      <c r="C54" s="7022">
        <f>IF(Captura_Pegaso!A55="", "", IFERROR(LOOKUP(2, 1/((Captura_Obra!$A$5:$A$1000=E54)*(Captura_Obra!$B$5:$B$1000=F54)*(Captura_Obra!$D$5:$D$1000=G54)), Captura_Obra!$N$5:$N$1000), "No Reportado"))</f>
      </c>
      <c r="D54" s="7023">
        <f>IF(Captura_Pegaso!A55="", "", IF(J54=0, "✅ Cuadrado", IF(I54=0, "❌ Falta en Obra", "⚠️ Dif")))</f>
      </c>
      <c r="E54" s="7024">
        <f>IF(Captura_Pegaso!A55="", "", Captura_Pegaso!A55)</f>
      </c>
      <c r="F54" s="7025">
        <f>IF(Captura_Pegaso!A55="", "", Captura_Pegaso!D55)</f>
      </c>
      <c r="G54" s="7026">
        <f>IF(Captura_Pegaso!A55="", "", Captura_Pegaso!E55)</f>
      </c>
      <c r="H54" s="7027">
        <f>IF(Captura_Pegaso!A55="", "", Captura_Pegaso!H55)</f>
      </c>
      <c r="I54" s="7028">
        <f>IF(Captura_Pegaso!A55="", "", SUMIFS(Captura_Obra!$F:$F, Captura_Obra!$A:$A, E54, Captura_Obra!$B:$B, F54, Captura_Obra!$D:$D, G54))</f>
      </c>
      <c r="J54" s="7029">
        <f>IF(Captura_Pegaso!A55="", "", H54 - I54)</f>
      </c>
      <c r="K54" s="3863"/>
    </row>
    <row r="55" spans="1:11">
      <c r="A55" s="7030">
        <f>IF(Captura_Pegaso!A56="", "", "Pegaso")</f>
      </c>
      <c r="B55" s="7031">
        <f>IF(Captura_Pegaso!A56="", "", Captura_Pegaso!N56)</f>
      </c>
      <c r="C55" s="7032">
        <f>IF(Captura_Pegaso!A56="", "", IFERROR(LOOKUP(2, 1/((Captura_Obra!$A$5:$A$1000=E55)*(Captura_Obra!$B$5:$B$1000=F55)*(Captura_Obra!$D$5:$D$1000=G55)), Captura_Obra!$N$5:$N$1000), "No Reportado"))</f>
      </c>
      <c r="D55" s="7033">
        <f>IF(Captura_Pegaso!A56="", "", IF(J55=0, "✅ Cuadrado", IF(I55=0, "❌ Falta en Obra", "⚠️ Dif")))</f>
      </c>
      <c r="E55" s="7034">
        <f>IF(Captura_Pegaso!A56="", "", Captura_Pegaso!A56)</f>
      </c>
      <c r="F55" s="7035">
        <f>IF(Captura_Pegaso!A56="", "", Captura_Pegaso!D56)</f>
      </c>
      <c r="G55" s="7036">
        <f>IF(Captura_Pegaso!A56="", "", Captura_Pegaso!E56)</f>
      </c>
      <c r="H55" s="7037">
        <f>IF(Captura_Pegaso!A56="", "", Captura_Pegaso!H56)</f>
      </c>
      <c r="I55" s="7038">
        <f>IF(Captura_Pegaso!A56="", "", SUMIFS(Captura_Obra!$F:$F, Captura_Obra!$A:$A, E55, Captura_Obra!$B:$B, F55, Captura_Obra!$D:$D, G55))</f>
      </c>
      <c r="J55" s="7039">
        <f>IF(Captura_Pegaso!A56="", "", H55 - I55)</f>
      </c>
      <c r="K55" s="3864"/>
    </row>
    <row r="56" spans="1:11">
      <c r="A56" s="7040">
        <f>IF(Captura_Pegaso!A57="", "", "Pegaso")</f>
      </c>
      <c r="B56" s="7041">
        <f>IF(Captura_Pegaso!A57="", "", Captura_Pegaso!N57)</f>
      </c>
      <c r="C56" s="7042">
        <f>IF(Captura_Pegaso!A57="", "", IFERROR(LOOKUP(2, 1/((Captura_Obra!$A$5:$A$1000=E56)*(Captura_Obra!$B$5:$B$1000=F56)*(Captura_Obra!$D$5:$D$1000=G56)), Captura_Obra!$N$5:$N$1000), "No Reportado"))</f>
      </c>
      <c r="D56" s="7043">
        <f>IF(Captura_Pegaso!A57="", "", IF(J56=0, "✅ Cuadrado", IF(I56=0, "❌ Falta en Obra", "⚠️ Dif")))</f>
      </c>
      <c r="E56" s="7044">
        <f>IF(Captura_Pegaso!A57="", "", Captura_Pegaso!A57)</f>
      </c>
      <c r="F56" s="7045">
        <f>IF(Captura_Pegaso!A57="", "", Captura_Pegaso!D57)</f>
      </c>
      <c r="G56" s="7046">
        <f>IF(Captura_Pegaso!A57="", "", Captura_Pegaso!E57)</f>
      </c>
      <c r="H56" s="7047">
        <f>IF(Captura_Pegaso!A57="", "", Captura_Pegaso!H57)</f>
      </c>
      <c r="I56" s="7048">
        <f>IF(Captura_Pegaso!A57="", "", SUMIFS(Captura_Obra!$F:$F, Captura_Obra!$A:$A, E56, Captura_Obra!$B:$B, F56, Captura_Obra!$D:$D, G56))</f>
      </c>
      <c r="J56" s="7049">
        <f>IF(Captura_Pegaso!A57="", "", H56 - I56)</f>
      </c>
      <c r="K56" s="3865"/>
    </row>
    <row r="57" spans="1:11">
      <c r="A57" s="7050">
        <f>IF(Captura_Pegaso!A58="", "", "Pegaso")</f>
      </c>
      <c r="B57" s="7051">
        <f>IF(Captura_Pegaso!A58="", "", Captura_Pegaso!N58)</f>
      </c>
      <c r="C57" s="7052">
        <f>IF(Captura_Pegaso!A58="", "", IFERROR(LOOKUP(2, 1/((Captura_Obra!$A$5:$A$1000=E57)*(Captura_Obra!$B$5:$B$1000=F57)*(Captura_Obra!$D$5:$D$1000=G57)), Captura_Obra!$N$5:$N$1000), "No Reportado"))</f>
      </c>
      <c r="D57" s="7053">
        <f>IF(Captura_Pegaso!A58="", "", IF(J57=0, "✅ Cuadrado", IF(I57=0, "❌ Falta en Obra", "⚠️ Dif")))</f>
      </c>
      <c r="E57" s="7054">
        <f>IF(Captura_Pegaso!A58="", "", Captura_Pegaso!A58)</f>
      </c>
      <c r="F57" s="7055">
        <f>IF(Captura_Pegaso!A58="", "", Captura_Pegaso!D58)</f>
      </c>
      <c r="G57" s="7056">
        <f>IF(Captura_Pegaso!A58="", "", Captura_Pegaso!E58)</f>
      </c>
      <c r="H57" s="7057">
        <f>IF(Captura_Pegaso!A58="", "", Captura_Pegaso!H58)</f>
      </c>
      <c r="I57" s="7058">
        <f>IF(Captura_Pegaso!A58="", "", SUMIFS(Captura_Obra!$F:$F, Captura_Obra!$A:$A, E57, Captura_Obra!$B:$B, F57, Captura_Obra!$D:$D, G57))</f>
      </c>
      <c r="J57" s="7059">
        <f>IF(Captura_Pegaso!A58="", "", H57 - I57)</f>
      </c>
      <c r="K57" s="3866"/>
    </row>
    <row r="58" spans="1:11">
      <c r="A58" s="7060">
        <f>IF(Captura_Pegaso!A59="", "", "Pegaso")</f>
      </c>
      <c r="B58" s="7061">
        <f>IF(Captura_Pegaso!A59="", "", Captura_Pegaso!N59)</f>
      </c>
      <c r="C58" s="7062">
        <f>IF(Captura_Pegaso!A59="", "", IFERROR(LOOKUP(2, 1/((Captura_Obra!$A$5:$A$1000=E58)*(Captura_Obra!$B$5:$B$1000=F58)*(Captura_Obra!$D$5:$D$1000=G58)), Captura_Obra!$N$5:$N$1000), "No Reportado"))</f>
      </c>
      <c r="D58" s="7063">
        <f>IF(Captura_Pegaso!A59="", "", IF(J58=0, "✅ Cuadrado", IF(I58=0, "❌ Falta en Obra", "⚠️ Dif")))</f>
      </c>
      <c r="E58" s="7064">
        <f>IF(Captura_Pegaso!A59="", "", Captura_Pegaso!A59)</f>
      </c>
      <c r="F58" s="7065">
        <f>IF(Captura_Pegaso!A59="", "", Captura_Pegaso!D59)</f>
      </c>
      <c r="G58" s="7066">
        <f>IF(Captura_Pegaso!A59="", "", Captura_Pegaso!E59)</f>
      </c>
      <c r="H58" s="7067">
        <f>IF(Captura_Pegaso!A59="", "", Captura_Pegaso!H59)</f>
      </c>
      <c r="I58" s="7068">
        <f>IF(Captura_Pegaso!A59="", "", SUMIFS(Captura_Obra!$F:$F, Captura_Obra!$A:$A, E58, Captura_Obra!$B:$B, F58, Captura_Obra!$D:$D, G58))</f>
      </c>
      <c r="J58" s="7069">
        <f>IF(Captura_Pegaso!A59="", "", H58 - I58)</f>
      </c>
      <c r="K58" s="3867"/>
    </row>
    <row r="59" spans="1:11">
      <c r="A59" s="7070">
        <f>IF(Captura_Pegaso!A60="", "", "Pegaso")</f>
      </c>
      <c r="B59" s="7071">
        <f>IF(Captura_Pegaso!A60="", "", Captura_Pegaso!N60)</f>
      </c>
      <c r="C59" s="7072">
        <f>IF(Captura_Pegaso!A60="", "", IFERROR(LOOKUP(2, 1/((Captura_Obra!$A$5:$A$1000=E59)*(Captura_Obra!$B$5:$B$1000=F59)*(Captura_Obra!$D$5:$D$1000=G59)), Captura_Obra!$N$5:$N$1000), "No Reportado"))</f>
      </c>
      <c r="D59" s="7073">
        <f>IF(Captura_Pegaso!A60="", "", IF(J59=0, "✅ Cuadrado", IF(I59=0, "❌ Falta en Obra", "⚠️ Dif")))</f>
      </c>
      <c r="E59" s="7074">
        <f>IF(Captura_Pegaso!A60="", "", Captura_Pegaso!A60)</f>
      </c>
      <c r="F59" s="7075">
        <f>IF(Captura_Pegaso!A60="", "", Captura_Pegaso!D60)</f>
      </c>
      <c r="G59" s="7076">
        <f>IF(Captura_Pegaso!A60="", "", Captura_Pegaso!E60)</f>
      </c>
      <c r="H59" s="7077">
        <f>IF(Captura_Pegaso!A60="", "", Captura_Pegaso!H60)</f>
      </c>
      <c r="I59" s="7078">
        <f>IF(Captura_Pegaso!A60="", "", SUMIFS(Captura_Obra!$F:$F, Captura_Obra!$A:$A, E59, Captura_Obra!$B:$B, F59, Captura_Obra!$D:$D, G59))</f>
      </c>
      <c r="J59" s="7079">
        <f>IF(Captura_Pegaso!A60="", "", H59 - I59)</f>
      </c>
      <c r="K59" s="3868"/>
    </row>
    <row r="60" spans="1:11">
      <c r="A60" s="7080">
        <f>IF(Captura_Pegaso!A61="", "", "Pegaso")</f>
      </c>
      <c r="B60" s="7081">
        <f>IF(Captura_Pegaso!A61="", "", Captura_Pegaso!N61)</f>
      </c>
      <c r="C60" s="7082">
        <f>IF(Captura_Pegaso!A61="", "", IFERROR(LOOKUP(2, 1/((Captura_Obra!$A$5:$A$1000=E60)*(Captura_Obra!$B$5:$B$1000=F60)*(Captura_Obra!$D$5:$D$1000=G60)), Captura_Obra!$N$5:$N$1000), "No Reportado"))</f>
      </c>
      <c r="D60" s="7083">
        <f>IF(Captura_Pegaso!A61="", "", IF(J60=0, "✅ Cuadrado", IF(I60=0, "❌ Falta en Obra", "⚠️ Dif")))</f>
      </c>
      <c r="E60" s="7084">
        <f>IF(Captura_Pegaso!A61="", "", Captura_Pegaso!A61)</f>
      </c>
      <c r="F60" s="7085">
        <f>IF(Captura_Pegaso!A61="", "", Captura_Pegaso!D61)</f>
      </c>
      <c r="G60" s="7086">
        <f>IF(Captura_Pegaso!A61="", "", Captura_Pegaso!E61)</f>
      </c>
      <c r="H60" s="7087">
        <f>IF(Captura_Pegaso!A61="", "", Captura_Pegaso!H61)</f>
      </c>
      <c r="I60" s="7088">
        <f>IF(Captura_Pegaso!A61="", "", SUMIFS(Captura_Obra!$F:$F, Captura_Obra!$A:$A, E60, Captura_Obra!$B:$B, F60, Captura_Obra!$D:$D, G60))</f>
      </c>
      <c r="J60" s="7089">
        <f>IF(Captura_Pegaso!A61="", "", H60 - I60)</f>
      </c>
      <c r="K60" s="3869"/>
    </row>
    <row r="61" spans="1:11">
      <c r="A61" s="7090">
        <f>IF(Captura_Pegaso!A62="", "", "Pegaso")</f>
      </c>
      <c r="B61" s="7091">
        <f>IF(Captura_Pegaso!A62="", "", Captura_Pegaso!N62)</f>
      </c>
      <c r="C61" s="7092">
        <f>IF(Captura_Pegaso!A62="", "", IFERROR(LOOKUP(2, 1/((Captura_Obra!$A$5:$A$1000=E61)*(Captura_Obra!$B$5:$B$1000=F61)*(Captura_Obra!$D$5:$D$1000=G61)), Captura_Obra!$N$5:$N$1000), "No Reportado"))</f>
      </c>
      <c r="D61" s="7093">
        <f>IF(Captura_Pegaso!A62="", "", IF(J61=0, "✅ Cuadrado", IF(I61=0, "❌ Falta en Obra", "⚠️ Dif")))</f>
      </c>
      <c r="E61" s="7094">
        <f>IF(Captura_Pegaso!A62="", "", Captura_Pegaso!A62)</f>
      </c>
      <c r="F61" s="7095">
        <f>IF(Captura_Pegaso!A62="", "", Captura_Pegaso!D62)</f>
      </c>
      <c r="G61" s="7096">
        <f>IF(Captura_Pegaso!A62="", "", Captura_Pegaso!E62)</f>
      </c>
      <c r="H61" s="7097">
        <f>IF(Captura_Pegaso!A62="", "", Captura_Pegaso!H62)</f>
      </c>
      <c r="I61" s="7098">
        <f>IF(Captura_Pegaso!A62="", "", SUMIFS(Captura_Obra!$F:$F, Captura_Obra!$A:$A, E61, Captura_Obra!$B:$B, F61, Captura_Obra!$D:$D, G61))</f>
      </c>
      <c r="J61" s="7099">
        <f>IF(Captura_Pegaso!A62="", "", H61 - I61)</f>
      </c>
      <c r="K61" s="3870"/>
    </row>
    <row r="62" spans="1:11">
      <c r="A62" s="7100">
        <f>IF(Captura_Pegaso!A63="", "", "Pegaso")</f>
      </c>
      <c r="B62" s="7101">
        <f>IF(Captura_Pegaso!A63="", "", Captura_Pegaso!N63)</f>
      </c>
      <c r="C62" s="7102">
        <f>IF(Captura_Pegaso!A63="", "", IFERROR(LOOKUP(2, 1/((Captura_Obra!$A$5:$A$1000=E62)*(Captura_Obra!$B$5:$B$1000=F62)*(Captura_Obra!$D$5:$D$1000=G62)), Captura_Obra!$N$5:$N$1000), "No Reportado"))</f>
      </c>
      <c r="D62" s="7103">
        <f>IF(Captura_Pegaso!A63="", "", IF(J62=0, "✅ Cuadrado", IF(I62=0, "❌ Falta en Obra", "⚠️ Dif")))</f>
      </c>
      <c r="E62" s="7104">
        <f>IF(Captura_Pegaso!A63="", "", Captura_Pegaso!A63)</f>
      </c>
      <c r="F62" s="7105">
        <f>IF(Captura_Pegaso!A63="", "", Captura_Pegaso!D63)</f>
      </c>
      <c r="G62" s="7106">
        <f>IF(Captura_Pegaso!A63="", "", Captura_Pegaso!E63)</f>
      </c>
      <c r="H62" s="7107">
        <f>IF(Captura_Pegaso!A63="", "", Captura_Pegaso!H63)</f>
      </c>
      <c r="I62" s="7108">
        <f>IF(Captura_Pegaso!A63="", "", SUMIFS(Captura_Obra!$F:$F, Captura_Obra!$A:$A, E62, Captura_Obra!$B:$B, F62, Captura_Obra!$D:$D, G62))</f>
      </c>
      <c r="J62" s="7109">
        <f>IF(Captura_Pegaso!A63="", "", H62 - I62)</f>
      </c>
      <c r="K62" s="3871"/>
    </row>
    <row r="63" spans="1:11">
      <c r="A63" s="7110">
        <f>IF(Captura_Pegaso!A64="", "", "Pegaso")</f>
      </c>
      <c r="B63" s="7111">
        <f>IF(Captura_Pegaso!A64="", "", Captura_Pegaso!N64)</f>
      </c>
      <c r="C63" s="7112">
        <f>IF(Captura_Pegaso!A64="", "", IFERROR(LOOKUP(2, 1/((Captura_Obra!$A$5:$A$1000=E63)*(Captura_Obra!$B$5:$B$1000=F63)*(Captura_Obra!$D$5:$D$1000=G63)), Captura_Obra!$N$5:$N$1000), "No Reportado"))</f>
      </c>
      <c r="D63" s="7113">
        <f>IF(Captura_Pegaso!A64="", "", IF(J63=0, "✅ Cuadrado", IF(I63=0, "❌ Falta en Obra", "⚠️ Dif")))</f>
      </c>
      <c r="E63" s="7114">
        <f>IF(Captura_Pegaso!A64="", "", Captura_Pegaso!A64)</f>
      </c>
      <c r="F63" s="7115">
        <f>IF(Captura_Pegaso!A64="", "", Captura_Pegaso!D64)</f>
      </c>
      <c r="G63" s="7116">
        <f>IF(Captura_Pegaso!A64="", "", Captura_Pegaso!E64)</f>
      </c>
      <c r="H63" s="7117">
        <f>IF(Captura_Pegaso!A64="", "", Captura_Pegaso!H64)</f>
      </c>
      <c r="I63" s="7118">
        <f>IF(Captura_Pegaso!A64="", "", SUMIFS(Captura_Obra!$F:$F, Captura_Obra!$A:$A, E63, Captura_Obra!$B:$B, F63, Captura_Obra!$D:$D, G63))</f>
      </c>
      <c r="J63" s="7119">
        <f>IF(Captura_Pegaso!A64="", "", H63 - I63)</f>
      </c>
      <c r="K63" s="3872"/>
    </row>
    <row r="64" spans="1:11">
      <c r="A64" s="7120">
        <f>IF(Captura_Pegaso!A65="", "", "Pegaso")</f>
      </c>
      <c r="B64" s="7121">
        <f>IF(Captura_Pegaso!A65="", "", Captura_Pegaso!N65)</f>
      </c>
      <c r="C64" s="7122">
        <f>IF(Captura_Pegaso!A65="", "", IFERROR(LOOKUP(2, 1/((Captura_Obra!$A$5:$A$1000=E64)*(Captura_Obra!$B$5:$B$1000=F64)*(Captura_Obra!$D$5:$D$1000=G64)), Captura_Obra!$N$5:$N$1000), "No Reportado"))</f>
      </c>
      <c r="D64" s="7123">
        <f>IF(Captura_Pegaso!A65="", "", IF(J64=0, "✅ Cuadrado", IF(I64=0, "❌ Falta en Obra", "⚠️ Dif")))</f>
      </c>
      <c r="E64" s="7124">
        <f>IF(Captura_Pegaso!A65="", "", Captura_Pegaso!A65)</f>
      </c>
      <c r="F64" s="7125">
        <f>IF(Captura_Pegaso!A65="", "", Captura_Pegaso!D65)</f>
      </c>
      <c r="G64" s="7126">
        <f>IF(Captura_Pegaso!A65="", "", Captura_Pegaso!E65)</f>
      </c>
      <c r="H64" s="7127">
        <f>IF(Captura_Pegaso!A65="", "", Captura_Pegaso!H65)</f>
      </c>
      <c r="I64" s="7128">
        <f>IF(Captura_Pegaso!A65="", "", SUMIFS(Captura_Obra!$F:$F, Captura_Obra!$A:$A, E64, Captura_Obra!$B:$B, F64, Captura_Obra!$D:$D, G64))</f>
      </c>
      <c r="J64" s="7129">
        <f>IF(Captura_Pegaso!A65="", "", H64 - I64)</f>
      </c>
      <c r="K64" s="3873"/>
    </row>
    <row r="65" spans="1:11">
      <c r="A65" s="7130">
        <f>IF(Captura_Pegaso!A66="", "", "Pegaso")</f>
      </c>
      <c r="B65" s="7131">
        <f>IF(Captura_Pegaso!A66="", "", Captura_Pegaso!N66)</f>
      </c>
      <c r="C65" s="7132">
        <f>IF(Captura_Pegaso!A66="", "", IFERROR(LOOKUP(2, 1/((Captura_Obra!$A$5:$A$1000=E65)*(Captura_Obra!$B$5:$B$1000=F65)*(Captura_Obra!$D$5:$D$1000=G65)), Captura_Obra!$N$5:$N$1000), "No Reportado"))</f>
      </c>
      <c r="D65" s="7133">
        <f>IF(Captura_Pegaso!A66="", "", IF(J65=0, "✅ Cuadrado", IF(I65=0, "❌ Falta en Obra", "⚠️ Dif")))</f>
      </c>
      <c r="E65" s="7134">
        <f>IF(Captura_Pegaso!A66="", "", Captura_Pegaso!A66)</f>
      </c>
      <c r="F65" s="7135">
        <f>IF(Captura_Pegaso!A66="", "", Captura_Pegaso!D66)</f>
      </c>
      <c r="G65" s="7136">
        <f>IF(Captura_Pegaso!A66="", "", Captura_Pegaso!E66)</f>
      </c>
      <c r="H65" s="7137">
        <f>IF(Captura_Pegaso!A66="", "", Captura_Pegaso!H66)</f>
      </c>
      <c r="I65" s="7138">
        <f>IF(Captura_Pegaso!A66="", "", SUMIFS(Captura_Obra!$F:$F, Captura_Obra!$A:$A, E65, Captura_Obra!$B:$B, F65, Captura_Obra!$D:$D, G65))</f>
      </c>
      <c r="J65" s="7139">
        <f>IF(Captura_Pegaso!A66="", "", H65 - I65)</f>
      </c>
      <c r="K65" s="3874"/>
    </row>
    <row r="66" spans="1:11">
      <c r="A66" s="7140">
        <f>IF(Captura_Pegaso!A67="", "", "Pegaso")</f>
      </c>
      <c r="B66" s="7141">
        <f>IF(Captura_Pegaso!A67="", "", Captura_Pegaso!N67)</f>
      </c>
      <c r="C66" s="7142">
        <f>IF(Captura_Pegaso!A67="", "", IFERROR(LOOKUP(2, 1/((Captura_Obra!$A$5:$A$1000=E66)*(Captura_Obra!$B$5:$B$1000=F66)*(Captura_Obra!$D$5:$D$1000=G66)), Captura_Obra!$N$5:$N$1000), "No Reportado"))</f>
      </c>
      <c r="D66" s="7143">
        <f>IF(Captura_Pegaso!A67="", "", IF(J66=0, "✅ Cuadrado", IF(I66=0, "❌ Falta en Obra", "⚠️ Dif")))</f>
      </c>
      <c r="E66" s="7144">
        <f>IF(Captura_Pegaso!A67="", "", Captura_Pegaso!A67)</f>
      </c>
      <c r="F66" s="7145">
        <f>IF(Captura_Pegaso!A67="", "", Captura_Pegaso!D67)</f>
      </c>
      <c r="G66" s="7146">
        <f>IF(Captura_Pegaso!A67="", "", Captura_Pegaso!E67)</f>
      </c>
      <c r="H66" s="7147">
        <f>IF(Captura_Pegaso!A67="", "", Captura_Pegaso!H67)</f>
      </c>
      <c r="I66" s="7148">
        <f>IF(Captura_Pegaso!A67="", "", SUMIFS(Captura_Obra!$F:$F, Captura_Obra!$A:$A, E66, Captura_Obra!$B:$B, F66, Captura_Obra!$D:$D, G66))</f>
      </c>
      <c r="J66" s="7149">
        <f>IF(Captura_Pegaso!A67="", "", H66 - I66)</f>
      </c>
      <c r="K66" s="3875"/>
    </row>
    <row r="67" spans="1:11">
      <c r="A67" s="7150">
        <f>IF(Captura_Pegaso!A68="", "", "Pegaso")</f>
      </c>
      <c r="B67" s="7151">
        <f>IF(Captura_Pegaso!A68="", "", Captura_Pegaso!N68)</f>
      </c>
      <c r="C67" s="7152">
        <f>IF(Captura_Pegaso!A68="", "", IFERROR(LOOKUP(2, 1/((Captura_Obra!$A$5:$A$1000=E67)*(Captura_Obra!$B$5:$B$1000=F67)*(Captura_Obra!$D$5:$D$1000=G67)), Captura_Obra!$N$5:$N$1000), "No Reportado"))</f>
      </c>
      <c r="D67" s="7153">
        <f>IF(Captura_Pegaso!A68="", "", IF(J67=0, "✅ Cuadrado", IF(I67=0, "❌ Falta en Obra", "⚠️ Dif")))</f>
      </c>
      <c r="E67" s="7154">
        <f>IF(Captura_Pegaso!A68="", "", Captura_Pegaso!A68)</f>
      </c>
      <c r="F67" s="7155">
        <f>IF(Captura_Pegaso!A68="", "", Captura_Pegaso!D68)</f>
      </c>
      <c r="G67" s="7156">
        <f>IF(Captura_Pegaso!A68="", "", Captura_Pegaso!E68)</f>
      </c>
      <c r="H67" s="7157">
        <f>IF(Captura_Pegaso!A68="", "", Captura_Pegaso!H68)</f>
      </c>
      <c r="I67" s="7158">
        <f>IF(Captura_Pegaso!A68="", "", SUMIFS(Captura_Obra!$F:$F, Captura_Obra!$A:$A, E67, Captura_Obra!$B:$B, F67, Captura_Obra!$D:$D, G67))</f>
      </c>
      <c r="J67" s="7159">
        <f>IF(Captura_Pegaso!A68="", "", H67 - I67)</f>
      </c>
      <c r="K67" s="3876"/>
    </row>
    <row r="68" spans="1:11">
      <c r="A68" s="7160">
        <f>IF(Captura_Pegaso!A69="", "", "Pegaso")</f>
      </c>
      <c r="B68" s="7161">
        <f>IF(Captura_Pegaso!A69="", "", Captura_Pegaso!N69)</f>
      </c>
      <c r="C68" s="7162">
        <f>IF(Captura_Pegaso!A69="", "", IFERROR(LOOKUP(2, 1/((Captura_Obra!$A$5:$A$1000=E68)*(Captura_Obra!$B$5:$B$1000=F68)*(Captura_Obra!$D$5:$D$1000=G68)), Captura_Obra!$N$5:$N$1000), "No Reportado"))</f>
      </c>
      <c r="D68" s="7163">
        <f>IF(Captura_Pegaso!A69="", "", IF(J68=0, "✅ Cuadrado", IF(I68=0, "❌ Falta en Obra", "⚠️ Dif")))</f>
      </c>
      <c r="E68" s="7164">
        <f>IF(Captura_Pegaso!A69="", "", Captura_Pegaso!A69)</f>
      </c>
      <c r="F68" s="7165">
        <f>IF(Captura_Pegaso!A69="", "", Captura_Pegaso!D69)</f>
      </c>
      <c r="G68" s="7166">
        <f>IF(Captura_Pegaso!A69="", "", Captura_Pegaso!E69)</f>
      </c>
      <c r="H68" s="7167">
        <f>IF(Captura_Pegaso!A69="", "", Captura_Pegaso!H69)</f>
      </c>
      <c r="I68" s="7168">
        <f>IF(Captura_Pegaso!A69="", "", SUMIFS(Captura_Obra!$F:$F, Captura_Obra!$A:$A, E68, Captura_Obra!$B:$B, F68, Captura_Obra!$D:$D, G68))</f>
      </c>
      <c r="J68" s="7169">
        <f>IF(Captura_Pegaso!A69="", "", H68 - I68)</f>
      </c>
      <c r="K68" s="3877"/>
    </row>
    <row r="69" spans="1:11">
      <c r="A69" s="7170">
        <f>IF(Captura_Pegaso!A70="", "", "Pegaso")</f>
      </c>
      <c r="B69" s="7171">
        <f>IF(Captura_Pegaso!A70="", "", Captura_Pegaso!N70)</f>
      </c>
      <c r="C69" s="7172">
        <f>IF(Captura_Pegaso!A70="", "", IFERROR(LOOKUP(2, 1/((Captura_Obra!$A$5:$A$1000=E69)*(Captura_Obra!$B$5:$B$1000=F69)*(Captura_Obra!$D$5:$D$1000=G69)), Captura_Obra!$N$5:$N$1000), "No Reportado"))</f>
      </c>
      <c r="D69" s="7173">
        <f>IF(Captura_Pegaso!A70="", "", IF(J69=0, "✅ Cuadrado", IF(I69=0, "❌ Falta en Obra", "⚠️ Dif")))</f>
      </c>
      <c r="E69" s="7174">
        <f>IF(Captura_Pegaso!A70="", "", Captura_Pegaso!A70)</f>
      </c>
      <c r="F69" s="7175">
        <f>IF(Captura_Pegaso!A70="", "", Captura_Pegaso!D70)</f>
      </c>
      <c r="G69" s="7176">
        <f>IF(Captura_Pegaso!A70="", "", Captura_Pegaso!E70)</f>
      </c>
      <c r="H69" s="7177">
        <f>IF(Captura_Pegaso!A70="", "", Captura_Pegaso!H70)</f>
      </c>
      <c r="I69" s="7178">
        <f>IF(Captura_Pegaso!A70="", "", SUMIFS(Captura_Obra!$F:$F, Captura_Obra!$A:$A, E69, Captura_Obra!$B:$B, F69, Captura_Obra!$D:$D, G69))</f>
      </c>
      <c r="J69" s="7179">
        <f>IF(Captura_Pegaso!A70="", "", H69 - I69)</f>
      </c>
      <c r="K69" s="3878"/>
    </row>
    <row r="70" spans="1:11">
      <c r="A70" s="7180">
        <f>IF(Captura_Pegaso!A71="", "", "Pegaso")</f>
      </c>
      <c r="B70" s="7181">
        <f>IF(Captura_Pegaso!A71="", "", Captura_Pegaso!N71)</f>
      </c>
      <c r="C70" s="7182">
        <f>IF(Captura_Pegaso!A71="", "", IFERROR(LOOKUP(2, 1/((Captura_Obra!$A$5:$A$1000=E70)*(Captura_Obra!$B$5:$B$1000=F70)*(Captura_Obra!$D$5:$D$1000=G70)), Captura_Obra!$N$5:$N$1000), "No Reportado"))</f>
      </c>
      <c r="D70" s="7183">
        <f>IF(Captura_Pegaso!A71="", "", IF(J70=0, "✅ Cuadrado", IF(I70=0, "❌ Falta en Obra", "⚠️ Dif")))</f>
      </c>
      <c r="E70" s="7184">
        <f>IF(Captura_Pegaso!A71="", "", Captura_Pegaso!A71)</f>
      </c>
      <c r="F70" s="7185">
        <f>IF(Captura_Pegaso!A71="", "", Captura_Pegaso!D71)</f>
      </c>
      <c r="G70" s="7186">
        <f>IF(Captura_Pegaso!A71="", "", Captura_Pegaso!E71)</f>
      </c>
      <c r="H70" s="7187">
        <f>IF(Captura_Pegaso!A71="", "", Captura_Pegaso!H71)</f>
      </c>
      <c r="I70" s="7188">
        <f>IF(Captura_Pegaso!A71="", "", SUMIFS(Captura_Obra!$F:$F, Captura_Obra!$A:$A, E70, Captura_Obra!$B:$B, F70, Captura_Obra!$D:$D, G70))</f>
      </c>
      <c r="J70" s="7189">
        <f>IF(Captura_Pegaso!A71="", "", H70 - I70)</f>
      </c>
      <c r="K70" s="3879"/>
    </row>
    <row r="71" spans="1:11">
      <c r="A71" s="7190">
        <f>IF(Captura_Pegaso!A72="", "", "Pegaso")</f>
      </c>
      <c r="B71" s="7191">
        <f>IF(Captura_Pegaso!A72="", "", Captura_Pegaso!N72)</f>
      </c>
      <c r="C71" s="7192">
        <f>IF(Captura_Pegaso!A72="", "", IFERROR(LOOKUP(2, 1/((Captura_Obra!$A$5:$A$1000=E71)*(Captura_Obra!$B$5:$B$1000=F71)*(Captura_Obra!$D$5:$D$1000=G71)), Captura_Obra!$N$5:$N$1000), "No Reportado"))</f>
      </c>
      <c r="D71" s="7193">
        <f>IF(Captura_Pegaso!A72="", "", IF(J71=0, "✅ Cuadrado", IF(I71=0, "❌ Falta en Obra", "⚠️ Dif")))</f>
      </c>
      <c r="E71" s="7194">
        <f>IF(Captura_Pegaso!A72="", "", Captura_Pegaso!A72)</f>
      </c>
      <c r="F71" s="7195">
        <f>IF(Captura_Pegaso!A72="", "", Captura_Pegaso!D72)</f>
      </c>
      <c r="G71" s="7196">
        <f>IF(Captura_Pegaso!A72="", "", Captura_Pegaso!E72)</f>
      </c>
      <c r="H71" s="7197">
        <f>IF(Captura_Pegaso!A72="", "", Captura_Pegaso!H72)</f>
      </c>
      <c r="I71" s="7198">
        <f>IF(Captura_Pegaso!A72="", "", SUMIFS(Captura_Obra!$F:$F, Captura_Obra!$A:$A, E71, Captura_Obra!$B:$B, F71, Captura_Obra!$D:$D, G71))</f>
      </c>
      <c r="J71" s="7199">
        <f>IF(Captura_Pegaso!A72="", "", H71 - I71)</f>
      </c>
      <c r="K71" s="3880"/>
    </row>
    <row r="72" spans="1:11">
      <c r="A72" s="7200">
        <f>IF(Captura_Pegaso!A73="", "", "Pegaso")</f>
      </c>
      <c r="B72" s="7201">
        <f>IF(Captura_Pegaso!A73="", "", Captura_Pegaso!N73)</f>
      </c>
      <c r="C72" s="7202">
        <f>IF(Captura_Pegaso!A73="", "", IFERROR(LOOKUP(2, 1/((Captura_Obra!$A$5:$A$1000=E72)*(Captura_Obra!$B$5:$B$1000=F72)*(Captura_Obra!$D$5:$D$1000=G72)), Captura_Obra!$N$5:$N$1000), "No Reportado"))</f>
      </c>
      <c r="D72" s="7203">
        <f>IF(Captura_Pegaso!A73="", "", IF(J72=0, "✅ Cuadrado", IF(I72=0, "❌ Falta en Obra", "⚠️ Dif")))</f>
      </c>
      <c r="E72" s="7204">
        <f>IF(Captura_Pegaso!A73="", "", Captura_Pegaso!A73)</f>
      </c>
      <c r="F72" s="7205">
        <f>IF(Captura_Pegaso!A73="", "", Captura_Pegaso!D73)</f>
      </c>
      <c r="G72" s="7206">
        <f>IF(Captura_Pegaso!A73="", "", Captura_Pegaso!E73)</f>
      </c>
      <c r="H72" s="7207">
        <f>IF(Captura_Pegaso!A73="", "", Captura_Pegaso!H73)</f>
      </c>
      <c r="I72" s="7208">
        <f>IF(Captura_Pegaso!A73="", "", SUMIFS(Captura_Obra!$F:$F, Captura_Obra!$A:$A, E72, Captura_Obra!$B:$B, F72, Captura_Obra!$D:$D, G72))</f>
      </c>
      <c r="J72" s="7209">
        <f>IF(Captura_Pegaso!A73="", "", H72 - I72)</f>
      </c>
      <c r="K72" s="3881"/>
    </row>
    <row r="73" spans="1:11">
      <c r="A73" s="7210">
        <f>IF(Captura_Pegaso!A74="", "", "Pegaso")</f>
      </c>
      <c r="B73" s="7211">
        <f>IF(Captura_Pegaso!A74="", "", Captura_Pegaso!N74)</f>
      </c>
      <c r="C73" s="7212">
        <f>IF(Captura_Pegaso!A74="", "", IFERROR(LOOKUP(2, 1/((Captura_Obra!$A$5:$A$1000=E73)*(Captura_Obra!$B$5:$B$1000=F73)*(Captura_Obra!$D$5:$D$1000=G73)), Captura_Obra!$N$5:$N$1000), "No Reportado"))</f>
      </c>
      <c r="D73" s="7213">
        <f>IF(Captura_Pegaso!A74="", "", IF(J73=0, "✅ Cuadrado", IF(I73=0, "❌ Falta en Obra", "⚠️ Dif")))</f>
      </c>
      <c r="E73" s="7214">
        <f>IF(Captura_Pegaso!A74="", "", Captura_Pegaso!A74)</f>
      </c>
      <c r="F73" s="7215">
        <f>IF(Captura_Pegaso!A74="", "", Captura_Pegaso!D74)</f>
      </c>
      <c r="G73" s="7216">
        <f>IF(Captura_Pegaso!A74="", "", Captura_Pegaso!E74)</f>
      </c>
      <c r="H73" s="7217">
        <f>IF(Captura_Pegaso!A74="", "", Captura_Pegaso!H74)</f>
      </c>
      <c r="I73" s="7218">
        <f>IF(Captura_Pegaso!A74="", "", SUMIFS(Captura_Obra!$F:$F, Captura_Obra!$A:$A, E73, Captura_Obra!$B:$B, F73, Captura_Obra!$D:$D, G73))</f>
      </c>
      <c r="J73" s="7219">
        <f>IF(Captura_Pegaso!A74="", "", H73 - I73)</f>
      </c>
      <c r="K73" s="3882"/>
    </row>
    <row r="74" spans="1:11">
      <c r="A74" s="7220">
        <f>IF(Captura_Pegaso!A75="", "", "Pegaso")</f>
      </c>
      <c r="B74" s="7221">
        <f>IF(Captura_Pegaso!A75="", "", Captura_Pegaso!N75)</f>
      </c>
      <c r="C74" s="7222">
        <f>IF(Captura_Pegaso!A75="", "", IFERROR(LOOKUP(2, 1/((Captura_Obra!$A$5:$A$1000=E74)*(Captura_Obra!$B$5:$B$1000=F74)*(Captura_Obra!$D$5:$D$1000=G74)), Captura_Obra!$N$5:$N$1000), "No Reportado"))</f>
      </c>
      <c r="D74" s="7223">
        <f>IF(Captura_Pegaso!A75="", "", IF(J74=0, "✅ Cuadrado", IF(I74=0, "❌ Falta en Obra", "⚠️ Dif")))</f>
      </c>
      <c r="E74" s="7224">
        <f>IF(Captura_Pegaso!A75="", "", Captura_Pegaso!A75)</f>
      </c>
      <c r="F74" s="7225">
        <f>IF(Captura_Pegaso!A75="", "", Captura_Pegaso!D75)</f>
      </c>
      <c r="G74" s="7226">
        <f>IF(Captura_Pegaso!A75="", "", Captura_Pegaso!E75)</f>
      </c>
      <c r="H74" s="7227">
        <f>IF(Captura_Pegaso!A75="", "", Captura_Pegaso!H75)</f>
      </c>
      <c r="I74" s="7228">
        <f>IF(Captura_Pegaso!A75="", "", SUMIFS(Captura_Obra!$F:$F, Captura_Obra!$A:$A, E74, Captura_Obra!$B:$B, F74, Captura_Obra!$D:$D, G74))</f>
      </c>
      <c r="J74" s="7229">
        <f>IF(Captura_Pegaso!A75="", "", H74 - I74)</f>
      </c>
      <c r="K74" s="3883"/>
    </row>
    <row r="75" spans="1:11">
      <c r="A75" s="7230">
        <f>IF(Captura_Pegaso!A76="", "", "Pegaso")</f>
      </c>
      <c r="B75" s="7231">
        <f>IF(Captura_Pegaso!A76="", "", Captura_Pegaso!N76)</f>
      </c>
      <c r="C75" s="7232">
        <f>IF(Captura_Pegaso!A76="", "", IFERROR(LOOKUP(2, 1/((Captura_Obra!$A$5:$A$1000=E75)*(Captura_Obra!$B$5:$B$1000=F75)*(Captura_Obra!$D$5:$D$1000=G75)), Captura_Obra!$N$5:$N$1000), "No Reportado"))</f>
      </c>
      <c r="D75" s="7233">
        <f>IF(Captura_Pegaso!A76="", "", IF(J75=0, "✅ Cuadrado", IF(I75=0, "❌ Falta en Obra", "⚠️ Dif")))</f>
      </c>
      <c r="E75" s="7234">
        <f>IF(Captura_Pegaso!A76="", "", Captura_Pegaso!A76)</f>
      </c>
      <c r="F75" s="7235">
        <f>IF(Captura_Pegaso!A76="", "", Captura_Pegaso!D76)</f>
      </c>
      <c r="G75" s="7236">
        <f>IF(Captura_Pegaso!A76="", "", Captura_Pegaso!E76)</f>
      </c>
      <c r="H75" s="7237">
        <f>IF(Captura_Pegaso!A76="", "", Captura_Pegaso!H76)</f>
      </c>
      <c r="I75" s="7238">
        <f>IF(Captura_Pegaso!A76="", "", SUMIFS(Captura_Obra!$F:$F, Captura_Obra!$A:$A, E75, Captura_Obra!$B:$B, F75, Captura_Obra!$D:$D, G75))</f>
      </c>
      <c r="J75" s="7239">
        <f>IF(Captura_Pegaso!A76="", "", H75 - I75)</f>
      </c>
      <c r="K75" s="3884"/>
    </row>
    <row r="76" spans="1:11">
      <c r="A76" s="7240">
        <f>IF(Captura_Pegaso!A77="", "", "Pegaso")</f>
      </c>
      <c r="B76" s="7241">
        <f>IF(Captura_Pegaso!A77="", "", Captura_Pegaso!N77)</f>
      </c>
      <c r="C76" s="7242">
        <f>IF(Captura_Pegaso!A77="", "", IFERROR(LOOKUP(2, 1/((Captura_Obra!$A$5:$A$1000=E76)*(Captura_Obra!$B$5:$B$1000=F76)*(Captura_Obra!$D$5:$D$1000=G76)), Captura_Obra!$N$5:$N$1000), "No Reportado"))</f>
      </c>
      <c r="D76" s="7243">
        <f>IF(Captura_Pegaso!A77="", "", IF(J76=0, "✅ Cuadrado", IF(I76=0, "❌ Falta en Obra", "⚠️ Dif")))</f>
      </c>
      <c r="E76" s="7244">
        <f>IF(Captura_Pegaso!A77="", "", Captura_Pegaso!A77)</f>
      </c>
      <c r="F76" s="7245">
        <f>IF(Captura_Pegaso!A77="", "", Captura_Pegaso!D77)</f>
      </c>
      <c r="G76" s="7246">
        <f>IF(Captura_Pegaso!A77="", "", Captura_Pegaso!E77)</f>
      </c>
      <c r="H76" s="7247">
        <f>IF(Captura_Pegaso!A77="", "", Captura_Pegaso!H77)</f>
      </c>
      <c r="I76" s="7248">
        <f>IF(Captura_Pegaso!A77="", "", SUMIFS(Captura_Obra!$F:$F, Captura_Obra!$A:$A, E76, Captura_Obra!$B:$B, F76, Captura_Obra!$D:$D, G76))</f>
      </c>
      <c r="J76" s="7249">
        <f>IF(Captura_Pegaso!A77="", "", H76 - I76)</f>
      </c>
      <c r="K76" s="3885"/>
    </row>
    <row r="77" spans="1:11">
      <c r="A77" s="7250">
        <f>IF(Captura_Pegaso!A78="", "", "Pegaso")</f>
      </c>
      <c r="B77" s="7251">
        <f>IF(Captura_Pegaso!A78="", "", Captura_Pegaso!N78)</f>
      </c>
      <c r="C77" s="7252">
        <f>IF(Captura_Pegaso!A78="", "", IFERROR(LOOKUP(2, 1/((Captura_Obra!$A$5:$A$1000=E77)*(Captura_Obra!$B$5:$B$1000=F77)*(Captura_Obra!$D$5:$D$1000=G77)), Captura_Obra!$N$5:$N$1000), "No Reportado"))</f>
      </c>
      <c r="D77" s="7253">
        <f>IF(Captura_Pegaso!A78="", "", IF(J77=0, "✅ Cuadrado", IF(I77=0, "❌ Falta en Obra", "⚠️ Dif")))</f>
      </c>
      <c r="E77" s="7254">
        <f>IF(Captura_Pegaso!A78="", "", Captura_Pegaso!A78)</f>
      </c>
      <c r="F77" s="7255">
        <f>IF(Captura_Pegaso!A78="", "", Captura_Pegaso!D78)</f>
      </c>
      <c r="G77" s="7256">
        <f>IF(Captura_Pegaso!A78="", "", Captura_Pegaso!E78)</f>
      </c>
      <c r="H77" s="7257">
        <f>IF(Captura_Pegaso!A78="", "", Captura_Pegaso!H78)</f>
      </c>
      <c r="I77" s="7258">
        <f>IF(Captura_Pegaso!A78="", "", SUMIFS(Captura_Obra!$F:$F, Captura_Obra!$A:$A, E77, Captura_Obra!$B:$B, F77, Captura_Obra!$D:$D, G77))</f>
      </c>
      <c r="J77" s="7259">
        <f>IF(Captura_Pegaso!A78="", "", H77 - I77)</f>
      </c>
      <c r="K77" s="3886"/>
    </row>
    <row r="78" spans="1:11">
      <c r="A78" s="7260">
        <f>IF(Captura_Pegaso!A79="", "", "Pegaso")</f>
      </c>
      <c r="B78" s="7261">
        <f>IF(Captura_Pegaso!A79="", "", Captura_Pegaso!N79)</f>
      </c>
      <c r="C78" s="7262">
        <f>IF(Captura_Pegaso!A79="", "", IFERROR(LOOKUP(2, 1/((Captura_Obra!$A$5:$A$1000=E78)*(Captura_Obra!$B$5:$B$1000=F78)*(Captura_Obra!$D$5:$D$1000=G78)), Captura_Obra!$N$5:$N$1000), "No Reportado"))</f>
      </c>
      <c r="D78" s="7263">
        <f>IF(Captura_Pegaso!A79="", "", IF(J78=0, "✅ Cuadrado", IF(I78=0, "❌ Falta en Obra", "⚠️ Dif")))</f>
      </c>
      <c r="E78" s="7264">
        <f>IF(Captura_Pegaso!A79="", "", Captura_Pegaso!A79)</f>
      </c>
      <c r="F78" s="7265">
        <f>IF(Captura_Pegaso!A79="", "", Captura_Pegaso!D79)</f>
      </c>
      <c r="G78" s="7266">
        <f>IF(Captura_Pegaso!A79="", "", Captura_Pegaso!E79)</f>
      </c>
      <c r="H78" s="7267">
        <f>IF(Captura_Pegaso!A79="", "", Captura_Pegaso!H79)</f>
      </c>
      <c r="I78" s="7268">
        <f>IF(Captura_Pegaso!A79="", "", SUMIFS(Captura_Obra!$F:$F, Captura_Obra!$A:$A, E78, Captura_Obra!$B:$B, F78, Captura_Obra!$D:$D, G78))</f>
      </c>
      <c r="J78" s="7269">
        <f>IF(Captura_Pegaso!A79="", "", H78 - I78)</f>
      </c>
      <c r="K78" s="3887"/>
    </row>
    <row r="79" spans="1:11">
      <c r="A79" s="7270">
        <f>IF(Captura_Pegaso!A80="", "", "Pegaso")</f>
      </c>
      <c r="B79" s="7271">
        <f>IF(Captura_Pegaso!A80="", "", Captura_Pegaso!N80)</f>
      </c>
      <c r="C79" s="7272">
        <f>IF(Captura_Pegaso!A80="", "", IFERROR(LOOKUP(2, 1/((Captura_Obra!$A$5:$A$1000=E79)*(Captura_Obra!$B$5:$B$1000=F79)*(Captura_Obra!$D$5:$D$1000=G79)), Captura_Obra!$N$5:$N$1000), "No Reportado"))</f>
      </c>
      <c r="D79" s="7273">
        <f>IF(Captura_Pegaso!A80="", "", IF(J79=0, "✅ Cuadrado", IF(I79=0, "❌ Falta en Obra", "⚠️ Dif")))</f>
      </c>
      <c r="E79" s="7274">
        <f>IF(Captura_Pegaso!A80="", "", Captura_Pegaso!A80)</f>
      </c>
      <c r="F79" s="7275">
        <f>IF(Captura_Pegaso!A80="", "", Captura_Pegaso!D80)</f>
      </c>
      <c r="G79" s="7276">
        <f>IF(Captura_Pegaso!A80="", "", Captura_Pegaso!E80)</f>
      </c>
      <c r="H79" s="7277">
        <f>IF(Captura_Pegaso!A80="", "", Captura_Pegaso!H80)</f>
      </c>
      <c r="I79" s="7278">
        <f>IF(Captura_Pegaso!A80="", "", SUMIFS(Captura_Obra!$F:$F, Captura_Obra!$A:$A, E79, Captura_Obra!$B:$B, F79, Captura_Obra!$D:$D, G79))</f>
      </c>
      <c r="J79" s="7279">
        <f>IF(Captura_Pegaso!A80="", "", H79 - I79)</f>
      </c>
      <c r="K79" s="3888"/>
    </row>
    <row r="80" spans="1:11">
      <c r="A80" s="7280">
        <f>IF(Captura_Pegaso!A81="", "", "Pegaso")</f>
      </c>
      <c r="B80" s="7281">
        <f>IF(Captura_Pegaso!A81="", "", Captura_Pegaso!N81)</f>
      </c>
      <c r="C80" s="7282">
        <f>IF(Captura_Pegaso!A81="", "", IFERROR(LOOKUP(2, 1/((Captura_Obra!$A$5:$A$1000=E80)*(Captura_Obra!$B$5:$B$1000=F80)*(Captura_Obra!$D$5:$D$1000=G80)), Captura_Obra!$N$5:$N$1000), "No Reportado"))</f>
      </c>
      <c r="D80" s="7283">
        <f>IF(Captura_Pegaso!A81="", "", IF(J80=0, "✅ Cuadrado", IF(I80=0, "❌ Falta en Obra", "⚠️ Dif")))</f>
      </c>
      <c r="E80" s="7284">
        <f>IF(Captura_Pegaso!A81="", "", Captura_Pegaso!A81)</f>
      </c>
      <c r="F80" s="7285">
        <f>IF(Captura_Pegaso!A81="", "", Captura_Pegaso!D81)</f>
      </c>
      <c r="G80" s="7286">
        <f>IF(Captura_Pegaso!A81="", "", Captura_Pegaso!E81)</f>
      </c>
      <c r="H80" s="7287">
        <f>IF(Captura_Pegaso!A81="", "", Captura_Pegaso!H81)</f>
      </c>
      <c r="I80" s="7288">
        <f>IF(Captura_Pegaso!A81="", "", SUMIFS(Captura_Obra!$F:$F, Captura_Obra!$A:$A, E80, Captura_Obra!$B:$B, F80, Captura_Obra!$D:$D, G80))</f>
      </c>
      <c r="J80" s="7289">
        <f>IF(Captura_Pegaso!A81="", "", H80 - I80)</f>
      </c>
      <c r="K80" s="3889"/>
    </row>
    <row r="81" spans="1:11">
      <c r="A81" s="7290">
        <f>IF(Captura_Pegaso!A82="", "", "Pegaso")</f>
      </c>
      <c r="B81" s="7291">
        <f>IF(Captura_Pegaso!A82="", "", Captura_Pegaso!N82)</f>
      </c>
      <c r="C81" s="7292">
        <f>IF(Captura_Pegaso!A82="", "", IFERROR(LOOKUP(2, 1/((Captura_Obra!$A$5:$A$1000=E81)*(Captura_Obra!$B$5:$B$1000=F81)*(Captura_Obra!$D$5:$D$1000=G81)), Captura_Obra!$N$5:$N$1000), "No Reportado"))</f>
      </c>
      <c r="D81" s="7293">
        <f>IF(Captura_Pegaso!A82="", "", IF(J81=0, "✅ Cuadrado", IF(I81=0, "❌ Falta en Obra", "⚠️ Dif")))</f>
      </c>
      <c r="E81" s="7294">
        <f>IF(Captura_Pegaso!A82="", "", Captura_Pegaso!A82)</f>
      </c>
      <c r="F81" s="7295">
        <f>IF(Captura_Pegaso!A82="", "", Captura_Pegaso!D82)</f>
      </c>
      <c r="G81" s="7296">
        <f>IF(Captura_Pegaso!A82="", "", Captura_Pegaso!E82)</f>
      </c>
      <c r="H81" s="7297">
        <f>IF(Captura_Pegaso!A82="", "", Captura_Pegaso!H82)</f>
      </c>
      <c r="I81" s="7298">
        <f>IF(Captura_Pegaso!A82="", "", SUMIFS(Captura_Obra!$F:$F, Captura_Obra!$A:$A, E81, Captura_Obra!$B:$B, F81, Captura_Obra!$D:$D, G81))</f>
      </c>
      <c r="J81" s="7299">
        <f>IF(Captura_Pegaso!A82="", "", H81 - I81)</f>
      </c>
      <c r="K81" s="3890"/>
    </row>
    <row r="82" spans="1:11">
      <c r="A82" s="7300">
        <f>IF(Captura_Pegaso!A83="", "", "Pegaso")</f>
      </c>
      <c r="B82" s="7301">
        <f>IF(Captura_Pegaso!A83="", "", Captura_Pegaso!N83)</f>
      </c>
      <c r="C82" s="7302">
        <f>IF(Captura_Pegaso!A83="", "", IFERROR(LOOKUP(2, 1/((Captura_Obra!$A$5:$A$1000=E82)*(Captura_Obra!$B$5:$B$1000=F82)*(Captura_Obra!$D$5:$D$1000=G82)), Captura_Obra!$N$5:$N$1000), "No Reportado"))</f>
      </c>
      <c r="D82" s="7303">
        <f>IF(Captura_Pegaso!A83="", "", IF(J82=0, "✅ Cuadrado", IF(I82=0, "❌ Falta en Obra", "⚠️ Dif")))</f>
      </c>
      <c r="E82" s="7304">
        <f>IF(Captura_Pegaso!A83="", "", Captura_Pegaso!A83)</f>
      </c>
      <c r="F82" s="7305">
        <f>IF(Captura_Pegaso!A83="", "", Captura_Pegaso!D83)</f>
      </c>
      <c r="G82" s="7306">
        <f>IF(Captura_Pegaso!A83="", "", Captura_Pegaso!E83)</f>
      </c>
      <c r="H82" s="7307">
        <f>IF(Captura_Pegaso!A83="", "", Captura_Pegaso!H83)</f>
      </c>
      <c r="I82" s="7308">
        <f>IF(Captura_Pegaso!A83="", "", SUMIFS(Captura_Obra!$F:$F, Captura_Obra!$A:$A, E82, Captura_Obra!$B:$B, F82, Captura_Obra!$D:$D, G82))</f>
      </c>
      <c r="J82" s="7309">
        <f>IF(Captura_Pegaso!A83="", "", H82 - I82)</f>
      </c>
      <c r="K82" s="3891"/>
    </row>
    <row r="83" spans="1:11">
      <c r="A83" s="7310">
        <f>IF(Captura_Pegaso!A84="", "", "Pegaso")</f>
      </c>
      <c r="B83" s="7311">
        <f>IF(Captura_Pegaso!A84="", "", Captura_Pegaso!N84)</f>
      </c>
      <c r="C83" s="7312">
        <f>IF(Captura_Pegaso!A84="", "", IFERROR(LOOKUP(2, 1/((Captura_Obra!$A$5:$A$1000=E83)*(Captura_Obra!$B$5:$B$1000=F83)*(Captura_Obra!$D$5:$D$1000=G83)), Captura_Obra!$N$5:$N$1000), "No Reportado"))</f>
      </c>
      <c r="D83" s="7313">
        <f>IF(Captura_Pegaso!A84="", "", IF(J83=0, "✅ Cuadrado", IF(I83=0, "❌ Falta en Obra", "⚠️ Dif")))</f>
      </c>
      <c r="E83" s="7314">
        <f>IF(Captura_Pegaso!A84="", "", Captura_Pegaso!A84)</f>
      </c>
      <c r="F83" s="7315">
        <f>IF(Captura_Pegaso!A84="", "", Captura_Pegaso!D84)</f>
      </c>
      <c r="G83" s="7316">
        <f>IF(Captura_Pegaso!A84="", "", Captura_Pegaso!E84)</f>
      </c>
      <c r="H83" s="7317">
        <f>IF(Captura_Pegaso!A84="", "", Captura_Pegaso!H84)</f>
      </c>
      <c r="I83" s="7318">
        <f>IF(Captura_Pegaso!A84="", "", SUMIFS(Captura_Obra!$F:$F, Captura_Obra!$A:$A, E83, Captura_Obra!$B:$B, F83, Captura_Obra!$D:$D, G83))</f>
      </c>
      <c r="J83" s="7319">
        <f>IF(Captura_Pegaso!A84="", "", H83 - I83)</f>
      </c>
      <c r="K83" s="3892"/>
    </row>
    <row r="84" spans="1:11">
      <c r="A84" s="7320">
        <f>IF(Captura_Pegaso!A85="", "", "Pegaso")</f>
      </c>
      <c r="B84" s="7321">
        <f>IF(Captura_Pegaso!A85="", "", Captura_Pegaso!N85)</f>
      </c>
      <c r="C84" s="7322">
        <f>IF(Captura_Pegaso!A85="", "", IFERROR(LOOKUP(2, 1/((Captura_Obra!$A$5:$A$1000=E84)*(Captura_Obra!$B$5:$B$1000=F84)*(Captura_Obra!$D$5:$D$1000=G84)), Captura_Obra!$N$5:$N$1000), "No Reportado"))</f>
      </c>
      <c r="D84" s="7323">
        <f>IF(Captura_Pegaso!A85="", "", IF(J84=0, "✅ Cuadrado", IF(I84=0, "❌ Falta en Obra", "⚠️ Dif")))</f>
      </c>
      <c r="E84" s="7324">
        <f>IF(Captura_Pegaso!A85="", "", Captura_Pegaso!A85)</f>
      </c>
      <c r="F84" s="7325">
        <f>IF(Captura_Pegaso!A85="", "", Captura_Pegaso!D85)</f>
      </c>
      <c r="G84" s="7326">
        <f>IF(Captura_Pegaso!A85="", "", Captura_Pegaso!E85)</f>
      </c>
      <c r="H84" s="7327">
        <f>IF(Captura_Pegaso!A85="", "", Captura_Pegaso!H85)</f>
      </c>
      <c r="I84" s="7328">
        <f>IF(Captura_Pegaso!A85="", "", SUMIFS(Captura_Obra!$F:$F, Captura_Obra!$A:$A, E84, Captura_Obra!$B:$B, F84, Captura_Obra!$D:$D, G84))</f>
      </c>
      <c r="J84" s="7329">
        <f>IF(Captura_Pegaso!A85="", "", H84 - I84)</f>
      </c>
      <c r="K84" s="3893"/>
    </row>
    <row r="85" spans="1:11">
      <c r="A85" s="7330">
        <f>IF(Captura_Pegaso!A86="", "", "Pegaso")</f>
      </c>
      <c r="B85" s="7331">
        <f>IF(Captura_Pegaso!A86="", "", Captura_Pegaso!N86)</f>
      </c>
      <c r="C85" s="7332">
        <f>IF(Captura_Pegaso!A86="", "", IFERROR(LOOKUP(2, 1/((Captura_Obra!$A$5:$A$1000=E85)*(Captura_Obra!$B$5:$B$1000=F85)*(Captura_Obra!$D$5:$D$1000=G85)), Captura_Obra!$N$5:$N$1000), "No Reportado"))</f>
      </c>
      <c r="D85" s="7333">
        <f>IF(Captura_Pegaso!A86="", "", IF(J85=0, "✅ Cuadrado", IF(I85=0, "❌ Falta en Obra", "⚠️ Dif")))</f>
      </c>
      <c r="E85" s="7334">
        <f>IF(Captura_Pegaso!A86="", "", Captura_Pegaso!A86)</f>
      </c>
      <c r="F85" s="7335">
        <f>IF(Captura_Pegaso!A86="", "", Captura_Pegaso!D86)</f>
      </c>
      <c r="G85" s="7336">
        <f>IF(Captura_Pegaso!A86="", "", Captura_Pegaso!E86)</f>
      </c>
      <c r="H85" s="7337">
        <f>IF(Captura_Pegaso!A86="", "", Captura_Pegaso!H86)</f>
      </c>
      <c r="I85" s="7338">
        <f>IF(Captura_Pegaso!A86="", "", SUMIFS(Captura_Obra!$F:$F, Captura_Obra!$A:$A, E85, Captura_Obra!$B:$B, F85, Captura_Obra!$D:$D, G85))</f>
      </c>
      <c r="J85" s="7339">
        <f>IF(Captura_Pegaso!A86="", "", H85 - I85)</f>
      </c>
      <c r="K85" s="3894"/>
    </row>
    <row r="86" spans="1:11">
      <c r="A86" s="7340">
        <f>IF(Captura_Pegaso!A87="", "", "Pegaso")</f>
      </c>
      <c r="B86" s="7341">
        <f>IF(Captura_Pegaso!A87="", "", Captura_Pegaso!N87)</f>
      </c>
      <c r="C86" s="7342">
        <f>IF(Captura_Pegaso!A87="", "", IFERROR(LOOKUP(2, 1/((Captura_Obra!$A$5:$A$1000=E86)*(Captura_Obra!$B$5:$B$1000=F86)*(Captura_Obra!$D$5:$D$1000=G86)), Captura_Obra!$N$5:$N$1000), "No Reportado"))</f>
      </c>
      <c r="D86" s="7343">
        <f>IF(Captura_Pegaso!A87="", "", IF(J86=0, "✅ Cuadrado", IF(I86=0, "❌ Falta en Obra", "⚠️ Dif")))</f>
      </c>
      <c r="E86" s="7344">
        <f>IF(Captura_Pegaso!A87="", "", Captura_Pegaso!A87)</f>
      </c>
      <c r="F86" s="7345">
        <f>IF(Captura_Pegaso!A87="", "", Captura_Pegaso!D87)</f>
      </c>
      <c r="G86" s="7346">
        <f>IF(Captura_Pegaso!A87="", "", Captura_Pegaso!E87)</f>
      </c>
      <c r="H86" s="7347">
        <f>IF(Captura_Pegaso!A87="", "", Captura_Pegaso!H87)</f>
      </c>
      <c r="I86" s="7348">
        <f>IF(Captura_Pegaso!A87="", "", SUMIFS(Captura_Obra!$F:$F, Captura_Obra!$A:$A, E86, Captura_Obra!$B:$B, F86, Captura_Obra!$D:$D, G86))</f>
      </c>
      <c r="J86" s="7349">
        <f>IF(Captura_Pegaso!A87="", "", H86 - I86)</f>
      </c>
      <c r="K86" s="3895"/>
    </row>
    <row r="87" spans="1:11">
      <c r="A87" s="7350">
        <f>IF(Captura_Pegaso!A88="", "", "Pegaso")</f>
      </c>
      <c r="B87" s="7351">
        <f>IF(Captura_Pegaso!A88="", "", Captura_Pegaso!N88)</f>
      </c>
      <c r="C87" s="7352">
        <f>IF(Captura_Pegaso!A88="", "", IFERROR(LOOKUP(2, 1/((Captura_Obra!$A$5:$A$1000=E87)*(Captura_Obra!$B$5:$B$1000=F87)*(Captura_Obra!$D$5:$D$1000=G87)), Captura_Obra!$N$5:$N$1000), "No Reportado"))</f>
      </c>
      <c r="D87" s="7353">
        <f>IF(Captura_Pegaso!A88="", "", IF(J87=0, "✅ Cuadrado", IF(I87=0, "❌ Falta en Obra", "⚠️ Dif")))</f>
      </c>
      <c r="E87" s="7354">
        <f>IF(Captura_Pegaso!A88="", "", Captura_Pegaso!A88)</f>
      </c>
      <c r="F87" s="7355">
        <f>IF(Captura_Pegaso!A88="", "", Captura_Pegaso!D88)</f>
      </c>
      <c r="G87" s="7356">
        <f>IF(Captura_Pegaso!A88="", "", Captura_Pegaso!E88)</f>
      </c>
      <c r="H87" s="7357">
        <f>IF(Captura_Pegaso!A88="", "", Captura_Pegaso!H88)</f>
      </c>
      <c r="I87" s="7358">
        <f>IF(Captura_Pegaso!A88="", "", SUMIFS(Captura_Obra!$F:$F, Captura_Obra!$A:$A, E87, Captura_Obra!$B:$B, F87, Captura_Obra!$D:$D, G87))</f>
      </c>
      <c r="J87" s="7359">
        <f>IF(Captura_Pegaso!A88="", "", H87 - I87)</f>
      </c>
      <c r="K87" s="3896"/>
    </row>
    <row r="88" spans="1:11">
      <c r="A88" s="7360">
        <f>IF(Captura_Pegaso!A89="", "", "Pegaso")</f>
      </c>
      <c r="B88" s="7361">
        <f>IF(Captura_Pegaso!A89="", "", Captura_Pegaso!N89)</f>
      </c>
      <c r="C88" s="7362">
        <f>IF(Captura_Pegaso!A89="", "", IFERROR(LOOKUP(2, 1/((Captura_Obra!$A$5:$A$1000=E88)*(Captura_Obra!$B$5:$B$1000=F88)*(Captura_Obra!$D$5:$D$1000=G88)), Captura_Obra!$N$5:$N$1000), "No Reportado"))</f>
      </c>
      <c r="D88" s="7363">
        <f>IF(Captura_Pegaso!A89="", "", IF(J88=0, "✅ Cuadrado", IF(I88=0, "❌ Falta en Obra", "⚠️ Dif")))</f>
      </c>
      <c r="E88" s="7364">
        <f>IF(Captura_Pegaso!A89="", "", Captura_Pegaso!A89)</f>
      </c>
      <c r="F88" s="7365">
        <f>IF(Captura_Pegaso!A89="", "", Captura_Pegaso!D89)</f>
      </c>
      <c r="G88" s="7366">
        <f>IF(Captura_Pegaso!A89="", "", Captura_Pegaso!E89)</f>
      </c>
      <c r="H88" s="7367">
        <f>IF(Captura_Pegaso!A89="", "", Captura_Pegaso!H89)</f>
      </c>
      <c r="I88" s="7368">
        <f>IF(Captura_Pegaso!A89="", "", SUMIFS(Captura_Obra!$F:$F, Captura_Obra!$A:$A, E88, Captura_Obra!$B:$B, F88, Captura_Obra!$D:$D, G88))</f>
      </c>
      <c r="J88" s="7369">
        <f>IF(Captura_Pegaso!A89="", "", H88 - I88)</f>
      </c>
      <c r="K88" s="3897"/>
    </row>
    <row r="89" spans="1:11">
      <c r="A89" s="7370">
        <f>IF(Captura_Pegaso!A90="", "", "Pegaso")</f>
      </c>
      <c r="B89" s="7371">
        <f>IF(Captura_Pegaso!A90="", "", Captura_Pegaso!N90)</f>
      </c>
      <c r="C89" s="7372">
        <f>IF(Captura_Pegaso!A90="", "", IFERROR(LOOKUP(2, 1/((Captura_Obra!$A$5:$A$1000=E89)*(Captura_Obra!$B$5:$B$1000=F89)*(Captura_Obra!$D$5:$D$1000=G89)), Captura_Obra!$N$5:$N$1000), "No Reportado"))</f>
      </c>
      <c r="D89" s="7373">
        <f>IF(Captura_Pegaso!A90="", "", IF(J89=0, "✅ Cuadrado", IF(I89=0, "❌ Falta en Obra", "⚠️ Dif")))</f>
      </c>
      <c r="E89" s="7374">
        <f>IF(Captura_Pegaso!A90="", "", Captura_Pegaso!A90)</f>
      </c>
      <c r="F89" s="7375">
        <f>IF(Captura_Pegaso!A90="", "", Captura_Pegaso!D90)</f>
      </c>
      <c r="G89" s="7376">
        <f>IF(Captura_Pegaso!A90="", "", Captura_Pegaso!E90)</f>
      </c>
      <c r="H89" s="7377">
        <f>IF(Captura_Pegaso!A90="", "", Captura_Pegaso!H90)</f>
      </c>
      <c r="I89" s="7378">
        <f>IF(Captura_Pegaso!A90="", "", SUMIFS(Captura_Obra!$F:$F, Captura_Obra!$A:$A, E89, Captura_Obra!$B:$B, F89, Captura_Obra!$D:$D, G89))</f>
      </c>
      <c r="J89" s="7379">
        <f>IF(Captura_Pegaso!A90="", "", H89 - I89)</f>
      </c>
      <c r="K89" s="3898"/>
    </row>
    <row r="90" spans="1:11">
      <c r="A90" s="7380">
        <f>IF(Captura_Pegaso!A91="", "", "Pegaso")</f>
      </c>
      <c r="B90" s="7381">
        <f>IF(Captura_Pegaso!A91="", "", Captura_Pegaso!N91)</f>
      </c>
      <c r="C90" s="7382">
        <f>IF(Captura_Pegaso!A91="", "", IFERROR(LOOKUP(2, 1/((Captura_Obra!$A$5:$A$1000=E90)*(Captura_Obra!$B$5:$B$1000=F90)*(Captura_Obra!$D$5:$D$1000=G90)), Captura_Obra!$N$5:$N$1000), "No Reportado"))</f>
      </c>
      <c r="D90" s="7383">
        <f>IF(Captura_Pegaso!A91="", "", IF(J90=0, "✅ Cuadrado", IF(I90=0, "❌ Falta en Obra", "⚠️ Dif")))</f>
      </c>
      <c r="E90" s="7384">
        <f>IF(Captura_Pegaso!A91="", "", Captura_Pegaso!A91)</f>
      </c>
      <c r="F90" s="7385">
        <f>IF(Captura_Pegaso!A91="", "", Captura_Pegaso!D91)</f>
      </c>
      <c r="G90" s="7386">
        <f>IF(Captura_Pegaso!A91="", "", Captura_Pegaso!E91)</f>
      </c>
      <c r="H90" s="7387">
        <f>IF(Captura_Pegaso!A91="", "", Captura_Pegaso!H91)</f>
      </c>
      <c r="I90" s="7388">
        <f>IF(Captura_Pegaso!A91="", "", SUMIFS(Captura_Obra!$F:$F, Captura_Obra!$A:$A, E90, Captura_Obra!$B:$B, F90, Captura_Obra!$D:$D, G90))</f>
      </c>
      <c r="J90" s="7389">
        <f>IF(Captura_Pegaso!A91="", "", H90 - I90)</f>
      </c>
      <c r="K90" s="3899"/>
    </row>
    <row r="91" spans="1:11">
      <c r="A91" s="7390">
        <f>IF(Captura_Pegaso!A92="", "", "Pegaso")</f>
      </c>
      <c r="B91" s="7391">
        <f>IF(Captura_Pegaso!A92="", "", Captura_Pegaso!N92)</f>
      </c>
      <c r="C91" s="7392">
        <f>IF(Captura_Pegaso!A92="", "", IFERROR(LOOKUP(2, 1/((Captura_Obra!$A$5:$A$1000=E91)*(Captura_Obra!$B$5:$B$1000=F91)*(Captura_Obra!$D$5:$D$1000=G91)), Captura_Obra!$N$5:$N$1000), "No Reportado"))</f>
      </c>
      <c r="D91" s="7393">
        <f>IF(Captura_Pegaso!A92="", "", IF(J91=0, "✅ Cuadrado", IF(I91=0, "❌ Falta en Obra", "⚠️ Dif")))</f>
      </c>
      <c r="E91" s="7394">
        <f>IF(Captura_Pegaso!A92="", "", Captura_Pegaso!A92)</f>
      </c>
      <c r="F91" s="7395">
        <f>IF(Captura_Pegaso!A92="", "", Captura_Pegaso!D92)</f>
      </c>
      <c r="G91" s="7396">
        <f>IF(Captura_Pegaso!A92="", "", Captura_Pegaso!E92)</f>
      </c>
      <c r="H91" s="7397">
        <f>IF(Captura_Pegaso!A92="", "", Captura_Pegaso!H92)</f>
      </c>
      <c r="I91" s="7398">
        <f>IF(Captura_Pegaso!A92="", "", SUMIFS(Captura_Obra!$F:$F, Captura_Obra!$A:$A, E91, Captura_Obra!$B:$B, F91, Captura_Obra!$D:$D, G91))</f>
      </c>
      <c r="J91" s="7399">
        <f>IF(Captura_Pegaso!A92="", "", H91 - I91)</f>
      </c>
      <c r="K91" s="3900"/>
    </row>
    <row r="92" spans="1:11">
      <c r="A92" s="7400">
        <f>IF(Captura_Pegaso!A93="", "", "Pegaso")</f>
      </c>
      <c r="B92" s="7401">
        <f>IF(Captura_Pegaso!A93="", "", Captura_Pegaso!N93)</f>
      </c>
      <c r="C92" s="7402">
        <f>IF(Captura_Pegaso!A93="", "", IFERROR(LOOKUP(2, 1/((Captura_Obra!$A$5:$A$1000=E92)*(Captura_Obra!$B$5:$B$1000=F92)*(Captura_Obra!$D$5:$D$1000=G92)), Captura_Obra!$N$5:$N$1000), "No Reportado"))</f>
      </c>
      <c r="D92" s="7403">
        <f>IF(Captura_Pegaso!A93="", "", IF(J92=0, "✅ Cuadrado", IF(I92=0, "❌ Falta en Obra", "⚠️ Dif")))</f>
      </c>
      <c r="E92" s="7404">
        <f>IF(Captura_Pegaso!A93="", "", Captura_Pegaso!A93)</f>
      </c>
      <c r="F92" s="7405">
        <f>IF(Captura_Pegaso!A93="", "", Captura_Pegaso!D93)</f>
      </c>
      <c r="G92" s="7406">
        <f>IF(Captura_Pegaso!A93="", "", Captura_Pegaso!E93)</f>
      </c>
      <c r="H92" s="7407">
        <f>IF(Captura_Pegaso!A93="", "", Captura_Pegaso!H93)</f>
      </c>
      <c r="I92" s="7408">
        <f>IF(Captura_Pegaso!A93="", "", SUMIFS(Captura_Obra!$F:$F, Captura_Obra!$A:$A, E92, Captura_Obra!$B:$B, F92, Captura_Obra!$D:$D, G92))</f>
      </c>
      <c r="J92" s="7409">
        <f>IF(Captura_Pegaso!A93="", "", H92 - I92)</f>
      </c>
      <c r="K92" s="3901"/>
    </row>
    <row r="93" spans="1:11">
      <c r="A93" s="7410">
        <f>IF(Captura_Pegaso!A94="", "", "Pegaso")</f>
      </c>
      <c r="B93" s="7411">
        <f>IF(Captura_Pegaso!A94="", "", Captura_Pegaso!N94)</f>
      </c>
      <c r="C93" s="7412">
        <f>IF(Captura_Pegaso!A94="", "", IFERROR(LOOKUP(2, 1/((Captura_Obra!$A$5:$A$1000=E93)*(Captura_Obra!$B$5:$B$1000=F93)*(Captura_Obra!$D$5:$D$1000=G93)), Captura_Obra!$N$5:$N$1000), "No Reportado"))</f>
      </c>
      <c r="D93" s="7413">
        <f>IF(Captura_Pegaso!A94="", "", IF(J93=0, "✅ Cuadrado", IF(I93=0, "❌ Falta en Obra", "⚠️ Dif")))</f>
      </c>
      <c r="E93" s="7414">
        <f>IF(Captura_Pegaso!A94="", "", Captura_Pegaso!A94)</f>
      </c>
      <c r="F93" s="7415">
        <f>IF(Captura_Pegaso!A94="", "", Captura_Pegaso!D94)</f>
      </c>
      <c r="G93" s="7416">
        <f>IF(Captura_Pegaso!A94="", "", Captura_Pegaso!E94)</f>
      </c>
      <c r="H93" s="7417">
        <f>IF(Captura_Pegaso!A94="", "", Captura_Pegaso!H94)</f>
      </c>
      <c r="I93" s="7418">
        <f>IF(Captura_Pegaso!A94="", "", SUMIFS(Captura_Obra!$F:$F, Captura_Obra!$A:$A, E93, Captura_Obra!$B:$B, F93, Captura_Obra!$D:$D, G93))</f>
      </c>
      <c r="J93" s="7419">
        <f>IF(Captura_Pegaso!A94="", "", H93 - I93)</f>
      </c>
      <c r="K93" s="3902"/>
    </row>
    <row r="94" spans="1:11">
      <c r="A94" s="7420">
        <f>IF(Captura_Pegaso!A95="", "", "Pegaso")</f>
      </c>
      <c r="B94" s="7421">
        <f>IF(Captura_Pegaso!A95="", "", Captura_Pegaso!N95)</f>
      </c>
      <c r="C94" s="7422">
        <f>IF(Captura_Pegaso!A95="", "", IFERROR(LOOKUP(2, 1/((Captura_Obra!$A$5:$A$1000=E94)*(Captura_Obra!$B$5:$B$1000=F94)*(Captura_Obra!$D$5:$D$1000=G94)), Captura_Obra!$N$5:$N$1000), "No Reportado"))</f>
      </c>
      <c r="D94" s="7423">
        <f>IF(Captura_Pegaso!A95="", "", IF(J94=0, "✅ Cuadrado", IF(I94=0, "❌ Falta en Obra", "⚠️ Dif")))</f>
      </c>
      <c r="E94" s="7424">
        <f>IF(Captura_Pegaso!A95="", "", Captura_Pegaso!A95)</f>
      </c>
      <c r="F94" s="7425">
        <f>IF(Captura_Pegaso!A95="", "", Captura_Pegaso!D95)</f>
      </c>
      <c r="G94" s="7426">
        <f>IF(Captura_Pegaso!A95="", "", Captura_Pegaso!E95)</f>
      </c>
      <c r="H94" s="7427">
        <f>IF(Captura_Pegaso!A95="", "", Captura_Pegaso!H95)</f>
      </c>
      <c r="I94" s="7428">
        <f>IF(Captura_Pegaso!A95="", "", SUMIFS(Captura_Obra!$F:$F, Captura_Obra!$A:$A, E94, Captura_Obra!$B:$B, F94, Captura_Obra!$D:$D, G94))</f>
      </c>
      <c r="J94" s="7429">
        <f>IF(Captura_Pegaso!A95="", "", H94 - I94)</f>
      </c>
      <c r="K94" s="3903"/>
    </row>
    <row r="95" spans="1:11">
      <c r="A95" s="7430">
        <f>IF(Captura_Pegaso!A96="", "", "Pegaso")</f>
      </c>
      <c r="B95" s="7431">
        <f>IF(Captura_Pegaso!A96="", "", Captura_Pegaso!N96)</f>
      </c>
      <c r="C95" s="7432">
        <f>IF(Captura_Pegaso!A96="", "", IFERROR(LOOKUP(2, 1/((Captura_Obra!$A$5:$A$1000=E95)*(Captura_Obra!$B$5:$B$1000=F95)*(Captura_Obra!$D$5:$D$1000=G95)), Captura_Obra!$N$5:$N$1000), "No Reportado"))</f>
      </c>
      <c r="D95" s="7433">
        <f>IF(Captura_Pegaso!A96="", "", IF(J95=0, "✅ Cuadrado", IF(I95=0, "❌ Falta en Obra", "⚠️ Dif")))</f>
      </c>
      <c r="E95" s="7434">
        <f>IF(Captura_Pegaso!A96="", "", Captura_Pegaso!A96)</f>
      </c>
      <c r="F95" s="7435">
        <f>IF(Captura_Pegaso!A96="", "", Captura_Pegaso!D96)</f>
      </c>
      <c r="G95" s="7436">
        <f>IF(Captura_Pegaso!A96="", "", Captura_Pegaso!E96)</f>
      </c>
      <c r="H95" s="7437">
        <f>IF(Captura_Pegaso!A96="", "", Captura_Pegaso!H96)</f>
      </c>
      <c r="I95" s="7438">
        <f>IF(Captura_Pegaso!A96="", "", SUMIFS(Captura_Obra!$F:$F, Captura_Obra!$A:$A, E95, Captura_Obra!$B:$B, F95, Captura_Obra!$D:$D, G95))</f>
      </c>
      <c r="J95" s="7439">
        <f>IF(Captura_Pegaso!A96="", "", H95 - I95)</f>
      </c>
      <c r="K95" s="3904"/>
    </row>
    <row r="96" spans="1:11">
      <c r="A96" s="7440">
        <f>IF(Captura_Pegaso!A97="", "", "Pegaso")</f>
      </c>
      <c r="B96" s="7441">
        <f>IF(Captura_Pegaso!A97="", "", Captura_Pegaso!N97)</f>
      </c>
      <c r="C96" s="7442">
        <f>IF(Captura_Pegaso!A97="", "", IFERROR(LOOKUP(2, 1/((Captura_Obra!$A$5:$A$1000=E96)*(Captura_Obra!$B$5:$B$1000=F96)*(Captura_Obra!$D$5:$D$1000=G96)), Captura_Obra!$N$5:$N$1000), "No Reportado"))</f>
      </c>
      <c r="D96" s="7443">
        <f>IF(Captura_Pegaso!A97="", "", IF(J96=0, "✅ Cuadrado", IF(I96=0, "❌ Falta en Obra", "⚠️ Dif")))</f>
      </c>
      <c r="E96" s="7444">
        <f>IF(Captura_Pegaso!A97="", "", Captura_Pegaso!A97)</f>
      </c>
      <c r="F96" s="7445">
        <f>IF(Captura_Pegaso!A97="", "", Captura_Pegaso!D97)</f>
      </c>
      <c r="G96" s="7446">
        <f>IF(Captura_Pegaso!A97="", "", Captura_Pegaso!E97)</f>
      </c>
      <c r="H96" s="7447">
        <f>IF(Captura_Pegaso!A97="", "", Captura_Pegaso!H97)</f>
      </c>
      <c r="I96" s="7448">
        <f>IF(Captura_Pegaso!A97="", "", SUMIFS(Captura_Obra!$F:$F, Captura_Obra!$A:$A, E96, Captura_Obra!$B:$B, F96, Captura_Obra!$D:$D, G96))</f>
      </c>
      <c r="J96" s="7449">
        <f>IF(Captura_Pegaso!A97="", "", H96 - I96)</f>
      </c>
      <c r="K96" s="3905"/>
    </row>
    <row r="97" spans="1:11">
      <c r="A97" s="7450">
        <f>IF(Captura_Pegaso!A98="", "", "Pegaso")</f>
      </c>
      <c r="B97" s="7451">
        <f>IF(Captura_Pegaso!A98="", "", Captura_Pegaso!N98)</f>
      </c>
      <c r="C97" s="7452">
        <f>IF(Captura_Pegaso!A98="", "", IFERROR(LOOKUP(2, 1/((Captura_Obra!$A$5:$A$1000=E97)*(Captura_Obra!$B$5:$B$1000=F97)*(Captura_Obra!$D$5:$D$1000=G97)), Captura_Obra!$N$5:$N$1000), "No Reportado"))</f>
      </c>
      <c r="D97" s="7453">
        <f>IF(Captura_Pegaso!A98="", "", IF(J97=0, "✅ Cuadrado", IF(I97=0, "❌ Falta en Obra", "⚠️ Dif")))</f>
      </c>
      <c r="E97" s="7454">
        <f>IF(Captura_Pegaso!A98="", "", Captura_Pegaso!A98)</f>
      </c>
      <c r="F97" s="7455">
        <f>IF(Captura_Pegaso!A98="", "", Captura_Pegaso!D98)</f>
      </c>
      <c r="G97" s="7456">
        <f>IF(Captura_Pegaso!A98="", "", Captura_Pegaso!E98)</f>
      </c>
      <c r="H97" s="7457">
        <f>IF(Captura_Pegaso!A98="", "", Captura_Pegaso!H98)</f>
      </c>
      <c r="I97" s="7458">
        <f>IF(Captura_Pegaso!A98="", "", SUMIFS(Captura_Obra!$F:$F, Captura_Obra!$A:$A, E97, Captura_Obra!$B:$B, F97, Captura_Obra!$D:$D, G97))</f>
      </c>
      <c r="J97" s="7459">
        <f>IF(Captura_Pegaso!A98="", "", H97 - I97)</f>
      </c>
      <c r="K97" s="3906"/>
    </row>
    <row r="98" spans="1:11">
      <c r="A98" s="7460">
        <f>IF(Captura_Pegaso!A99="", "", "Pegaso")</f>
      </c>
      <c r="B98" s="7461">
        <f>IF(Captura_Pegaso!A99="", "", Captura_Pegaso!N99)</f>
      </c>
      <c r="C98" s="7462">
        <f>IF(Captura_Pegaso!A99="", "", IFERROR(LOOKUP(2, 1/((Captura_Obra!$A$5:$A$1000=E98)*(Captura_Obra!$B$5:$B$1000=F98)*(Captura_Obra!$D$5:$D$1000=G98)), Captura_Obra!$N$5:$N$1000), "No Reportado"))</f>
      </c>
      <c r="D98" s="7463">
        <f>IF(Captura_Pegaso!A99="", "", IF(J98=0, "✅ Cuadrado", IF(I98=0, "❌ Falta en Obra", "⚠️ Dif")))</f>
      </c>
      <c r="E98" s="7464">
        <f>IF(Captura_Pegaso!A99="", "", Captura_Pegaso!A99)</f>
      </c>
      <c r="F98" s="7465">
        <f>IF(Captura_Pegaso!A99="", "", Captura_Pegaso!D99)</f>
      </c>
      <c r="G98" s="7466">
        <f>IF(Captura_Pegaso!A99="", "", Captura_Pegaso!E99)</f>
      </c>
      <c r="H98" s="7467">
        <f>IF(Captura_Pegaso!A99="", "", Captura_Pegaso!H99)</f>
      </c>
      <c r="I98" s="7468">
        <f>IF(Captura_Pegaso!A99="", "", SUMIFS(Captura_Obra!$F:$F, Captura_Obra!$A:$A, E98, Captura_Obra!$B:$B, F98, Captura_Obra!$D:$D, G98))</f>
      </c>
      <c r="J98" s="7469">
        <f>IF(Captura_Pegaso!A99="", "", H98 - I98)</f>
      </c>
      <c r="K98" s="3907"/>
    </row>
    <row r="99" spans="1:11">
      <c r="A99" s="7470">
        <f>IF(Captura_Pegaso!A100="", "", "Pegaso")</f>
      </c>
      <c r="B99" s="7471">
        <f>IF(Captura_Pegaso!A100="", "", Captura_Pegaso!N100)</f>
      </c>
      <c r="C99" s="7472">
        <f>IF(Captura_Pegaso!A100="", "", IFERROR(LOOKUP(2, 1/((Captura_Obra!$A$5:$A$1000=E99)*(Captura_Obra!$B$5:$B$1000=F99)*(Captura_Obra!$D$5:$D$1000=G99)), Captura_Obra!$N$5:$N$1000), "No Reportado"))</f>
      </c>
      <c r="D99" s="7473">
        <f>IF(Captura_Pegaso!A100="", "", IF(J99=0, "✅ Cuadrado", IF(I99=0, "❌ Falta en Obra", "⚠️ Dif")))</f>
      </c>
      <c r="E99" s="7474">
        <f>IF(Captura_Pegaso!A100="", "", Captura_Pegaso!A100)</f>
      </c>
      <c r="F99" s="7475">
        <f>IF(Captura_Pegaso!A100="", "", Captura_Pegaso!D100)</f>
      </c>
      <c r="G99" s="7476">
        <f>IF(Captura_Pegaso!A100="", "", Captura_Pegaso!E100)</f>
      </c>
      <c r="H99" s="7477">
        <f>IF(Captura_Pegaso!A100="", "", Captura_Pegaso!H100)</f>
      </c>
      <c r="I99" s="7478">
        <f>IF(Captura_Pegaso!A100="", "", SUMIFS(Captura_Obra!$F:$F, Captura_Obra!$A:$A, E99, Captura_Obra!$B:$B, F99, Captura_Obra!$D:$D, G99))</f>
      </c>
      <c r="J99" s="7479">
        <f>IF(Captura_Pegaso!A100="", "", H99 - I99)</f>
      </c>
      <c r="K99" s="3908"/>
    </row>
    <row r="100" spans="1:11">
      <c r="A100" s="7480">
        <f>IF(Captura_Pegaso!A101="", "", "Pegaso")</f>
      </c>
      <c r="B100" s="7481">
        <f>IF(Captura_Pegaso!A101="", "", Captura_Pegaso!N101)</f>
      </c>
      <c r="C100" s="7482">
        <f>IF(Captura_Pegaso!A101="", "", IFERROR(LOOKUP(2, 1/((Captura_Obra!$A$5:$A$1000=E100)*(Captura_Obra!$B$5:$B$1000=F100)*(Captura_Obra!$D$5:$D$1000=G100)), Captura_Obra!$N$5:$N$1000), "No Reportado"))</f>
      </c>
      <c r="D100" s="7483">
        <f>IF(Captura_Pegaso!A101="", "", IF(J100=0, "✅ Cuadrado", IF(I100=0, "❌ Falta en Obra", "⚠️ Dif")))</f>
      </c>
      <c r="E100" s="7484">
        <f>IF(Captura_Pegaso!A101="", "", Captura_Pegaso!A101)</f>
      </c>
      <c r="F100" s="7485">
        <f>IF(Captura_Pegaso!A101="", "", Captura_Pegaso!D101)</f>
      </c>
      <c r="G100" s="7486">
        <f>IF(Captura_Pegaso!A101="", "", Captura_Pegaso!E101)</f>
      </c>
      <c r="H100" s="7487">
        <f>IF(Captura_Pegaso!A101="", "", Captura_Pegaso!H101)</f>
      </c>
      <c r="I100" s="7488">
        <f>IF(Captura_Pegaso!A101="", "", SUMIFS(Captura_Obra!$F:$F, Captura_Obra!$A:$A, E100, Captura_Obra!$B:$B, F100, Captura_Obra!$D:$D, G100))</f>
      </c>
      <c r="J100" s="7489">
        <f>IF(Captura_Pegaso!A101="", "", H100 - I100)</f>
      </c>
      <c r="K100" s="3909"/>
    </row>
    <row r="101" spans="1:11">
      <c r="A101" s="7490">
        <f>IF(Captura_Pegaso!A102="", "", "Pegaso")</f>
      </c>
      <c r="B101" s="7491">
        <f>IF(Captura_Pegaso!A102="", "", Captura_Pegaso!N102)</f>
      </c>
      <c r="C101" s="7492">
        <f>IF(Captura_Pegaso!A102="", "", IFERROR(LOOKUP(2, 1/((Captura_Obra!$A$5:$A$1000=E101)*(Captura_Obra!$B$5:$B$1000=F101)*(Captura_Obra!$D$5:$D$1000=G101)), Captura_Obra!$N$5:$N$1000), "No Reportado"))</f>
      </c>
      <c r="D101" s="7493">
        <f>IF(Captura_Pegaso!A102="", "", IF(J101=0, "✅ Cuadrado", IF(I101=0, "❌ Falta en Obra", "⚠️ Dif")))</f>
      </c>
      <c r="E101" s="7494">
        <f>IF(Captura_Pegaso!A102="", "", Captura_Pegaso!A102)</f>
      </c>
      <c r="F101" s="7495">
        <f>IF(Captura_Pegaso!A102="", "", Captura_Pegaso!D102)</f>
      </c>
      <c r="G101" s="7496">
        <f>IF(Captura_Pegaso!A102="", "", Captura_Pegaso!E102)</f>
      </c>
      <c r="H101" s="7497">
        <f>IF(Captura_Pegaso!A102="", "", Captura_Pegaso!H102)</f>
      </c>
      <c r="I101" s="7498">
        <f>IF(Captura_Pegaso!A102="", "", SUMIFS(Captura_Obra!$F:$F, Captura_Obra!$A:$A, E101, Captura_Obra!$B:$B, F101, Captura_Obra!$D:$D, G101))</f>
      </c>
      <c r="J101" s="7499">
        <f>IF(Captura_Pegaso!A102="", "", H101 - I101)</f>
      </c>
      <c r="K101" s="3910"/>
    </row>
    <row r="102" spans="1:11">
      <c r="A102" s="7500">
        <f>IF(Captura_Pegaso!A103="", "", "Pegaso")</f>
      </c>
      <c r="B102" s="7501">
        <f>IF(Captura_Pegaso!A103="", "", Captura_Pegaso!N103)</f>
      </c>
      <c r="C102" s="7502">
        <f>IF(Captura_Pegaso!A103="", "", IFERROR(LOOKUP(2, 1/((Captura_Obra!$A$5:$A$1000=E102)*(Captura_Obra!$B$5:$B$1000=F102)*(Captura_Obra!$D$5:$D$1000=G102)), Captura_Obra!$N$5:$N$1000), "No Reportado"))</f>
      </c>
      <c r="D102" s="7503">
        <f>IF(Captura_Pegaso!A103="", "", IF(J102=0, "✅ Cuadrado", IF(I102=0, "❌ Falta en Obra", "⚠️ Dif")))</f>
      </c>
      <c r="E102" s="7504">
        <f>IF(Captura_Pegaso!A103="", "", Captura_Pegaso!A103)</f>
      </c>
      <c r="F102" s="7505">
        <f>IF(Captura_Pegaso!A103="", "", Captura_Pegaso!D103)</f>
      </c>
      <c r="G102" s="7506">
        <f>IF(Captura_Pegaso!A103="", "", Captura_Pegaso!E103)</f>
      </c>
      <c r="H102" s="7507">
        <f>IF(Captura_Pegaso!A103="", "", Captura_Pegaso!H103)</f>
      </c>
      <c r="I102" s="7508">
        <f>IF(Captura_Pegaso!A103="", "", SUMIFS(Captura_Obra!$F:$F, Captura_Obra!$A:$A, E102, Captura_Obra!$B:$B, F102, Captura_Obra!$D:$D, G102))</f>
      </c>
      <c r="J102" s="7509">
        <f>IF(Captura_Pegaso!A103="", "", H102 - I102)</f>
      </c>
      <c r="K102" s="3911"/>
    </row>
    <row r="103" spans="1:11">
      <c r="A103" s="7510">
        <f>IF(Captura_Pegaso!A104="", "", "Pegaso")</f>
      </c>
      <c r="B103" s="7511">
        <f>IF(Captura_Pegaso!A104="", "", Captura_Pegaso!N104)</f>
      </c>
      <c r="C103" s="7512">
        <f>IF(Captura_Pegaso!A104="", "", IFERROR(LOOKUP(2, 1/((Captura_Obra!$A$5:$A$1000=E103)*(Captura_Obra!$B$5:$B$1000=F103)*(Captura_Obra!$D$5:$D$1000=G103)), Captura_Obra!$N$5:$N$1000), "No Reportado"))</f>
      </c>
      <c r="D103" s="7513">
        <f>IF(Captura_Pegaso!A104="", "", IF(J103=0, "✅ Cuadrado", IF(I103=0, "❌ Falta en Obra", "⚠️ Dif")))</f>
      </c>
      <c r="E103" s="7514">
        <f>IF(Captura_Pegaso!A104="", "", Captura_Pegaso!A104)</f>
      </c>
      <c r="F103" s="7515">
        <f>IF(Captura_Pegaso!A104="", "", Captura_Pegaso!D104)</f>
      </c>
      <c r="G103" s="7516">
        <f>IF(Captura_Pegaso!A104="", "", Captura_Pegaso!E104)</f>
      </c>
      <c r="H103" s="7517">
        <f>IF(Captura_Pegaso!A104="", "", Captura_Pegaso!H104)</f>
      </c>
      <c r="I103" s="7518">
        <f>IF(Captura_Pegaso!A104="", "", SUMIFS(Captura_Obra!$F:$F, Captura_Obra!$A:$A, E103, Captura_Obra!$B:$B, F103, Captura_Obra!$D:$D, G103))</f>
      </c>
      <c r="J103" s="7519">
        <f>IF(Captura_Pegaso!A104="", "", H103 - I103)</f>
      </c>
      <c r="K103" s="3912"/>
    </row>
    <row r="104" spans="1:11">
      <c r="A104" s="7520">
        <f>IF(Captura_Pegaso!A105="", "", "Pegaso")</f>
      </c>
      <c r="B104" s="7521">
        <f>IF(Captura_Pegaso!A105="", "", Captura_Pegaso!N105)</f>
      </c>
      <c r="C104" s="7522">
        <f>IF(Captura_Pegaso!A105="", "", IFERROR(LOOKUP(2, 1/((Captura_Obra!$A$5:$A$1000=E104)*(Captura_Obra!$B$5:$B$1000=F104)*(Captura_Obra!$D$5:$D$1000=G104)), Captura_Obra!$N$5:$N$1000), "No Reportado"))</f>
      </c>
      <c r="D104" s="7523">
        <f>IF(Captura_Pegaso!A105="", "", IF(J104=0, "✅ Cuadrado", IF(I104=0, "❌ Falta en Obra", "⚠️ Dif")))</f>
      </c>
      <c r="E104" s="7524">
        <f>IF(Captura_Pegaso!A105="", "", Captura_Pegaso!A105)</f>
      </c>
      <c r="F104" s="7525">
        <f>IF(Captura_Pegaso!A105="", "", Captura_Pegaso!D105)</f>
      </c>
      <c r="G104" s="7526">
        <f>IF(Captura_Pegaso!A105="", "", Captura_Pegaso!E105)</f>
      </c>
      <c r="H104" s="7527">
        <f>IF(Captura_Pegaso!A105="", "", Captura_Pegaso!H105)</f>
      </c>
      <c r="I104" s="7528">
        <f>IF(Captura_Pegaso!A105="", "", SUMIFS(Captura_Obra!$F:$F, Captura_Obra!$A:$A, E104, Captura_Obra!$B:$B, F104, Captura_Obra!$D:$D, G104))</f>
      </c>
      <c r="J104" s="7529">
        <f>IF(Captura_Pegaso!A105="", "", H104 - I104)</f>
      </c>
      <c r="K104" s="3913"/>
    </row>
    <row r="105" spans="1:11">
      <c r="A105" s="7530">
        <f>IF(Captura_Pegaso!A106="", "", "Pegaso")</f>
      </c>
      <c r="B105" s="7531">
        <f>IF(Captura_Pegaso!A106="", "", Captura_Pegaso!N106)</f>
      </c>
      <c r="C105" s="7532">
        <f>IF(Captura_Pegaso!A106="", "", IFERROR(LOOKUP(2, 1/((Captura_Obra!$A$5:$A$1000=E105)*(Captura_Obra!$B$5:$B$1000=F105)*(Captura_Obra!$D$5:$D$1000=G105)), Captura_Obra!$N$5:$N$1000), "No Reportado"))</f>
      </c>
      <c r="D105" s="7533">
        <f>IF(Captura_Pegaso!A106="", "", IF(J105=0, "✅ Cuadrado", IF(I105=0, "❌ Falta en Obra", "⚠️ Dif")))</f>
      </c>
      <c r="E105" s="7534">
        <f>IF(Captura_Pegaso!A106="", "", Captura_Pegaso!A106)</f>
      </c>
      <c r="F105" s="7535">
        <f>IF(Captura_Pegaso!A106="", "", Captura_Pegaso!D106)</f>
      </c>
      <c r="G105" s="7536">
        <f>IF(Captura_Pegaso!A106="", "", Captura_Pegaso!E106)</f>
      </c>
      <c r="H105" s="7537">
        <f>IF(Captura_Pegaso!A106="", "", Captura_Pegaso!H106)</f>
      </c>
      <c r="I105" s="7538">
        <f>IF(Captura_Pegaso!A106="", "", SUMIFS(Captura_Obra!$F:$F, Captura_Obra!$A:$A, E105, Captura_Obra!$B:$B, F105, Captura_Obra!$D:$D, G105))</f>
      </c>
      <c r="J105" s="7539">
        <f>IF(Captura_Pegaso!A106="", "", H105 - I105)</f>
      </c>
      <c r="K105" s="3914"/>
    </row>
    <row r="106" spans="1:11">
      <c r="A106" s="7540">
        <f>IF(Captura_Pegaso!A107="", "", "Pegaso")</f>
      </c>
      <c r="B106" s="7541">
        <f>IF(Captura_Pegaso!A107="", "", Captura_Pegaso!N107)</f>
      </c>
      <c r="C106" s="7542">
        <f>IF(Captura_Pegaso!A107="", "", IFERROR(LOOKUP(2, 1/((Captura_Obra!$A$5:$A$1000=E106)*(Captura_Obra!$B$5:$B$1000=F106)*(Captura_Obra!$D$5:$D$1000=G106)), Captura_Obra!$N$5:$N$1000), "No Reportado"))</f>
      </c>
      <c r="D106" s="7543">
        <f>IF(Captura_Pegaso!A107="", "", IF(J106=0, "✅ Cuadrado", IF(I106=0, "❌ Falta en Obra", "⚠️ Dif")))</f>
      </c>
      <c r="E106" s="7544">
        <f>IF(Captura_Pegaso!A107="", "", Captura_Pegaso!A107)</f>
      </c>
      <c r="F106" s="7545">
        <f>IF(Captura_Pegaso!A107="", "", Captura_Pegaso!D107)</f>
      </c>
      <c r="G106" s="7546">
        <f>IF(Captura_Pegaso!A107="", "", Captura_Pegaso!E107)</f>
      </c>
      <c r="H106" s="7547">
        <f>IF(Captura_Pegaso!A107="", "", Captura_Pegaso!H107)</f>
      </c>
      <c r="I106" s="7548">
        <f>IF(Captura_Pegaso!A107="", "", SUMIFS(Captura_Obra!$F:$F, Captura_Obra!$A:$A, E106, Captura_Obra!$B:$B, F106, Captura_Obra!$D:$D, G106))</f>
      </c>
      <c r="J106" s="7549">
        <f>IF(Captura_Pegaso!A107="", "", H106 - I106)</f>
      </c>
      <c r="K106" s="3915"/>
    </row>
    <row r="107" spans="1:11">
      <c r="A107" s="7550">
        <f>IF(Captura_Pegaso!A108="", "", "Pegaso")</f>
      </c>
      <c r="B107" s="7551">
        <f>IF(Captura_Pegaso!A108="", "", Captura_Pegaso!N108)</f>
      </c>
      <c r="C107" s="7552">
        <f>IF(Captura_Pegaso!A108="", "", IFERROR(LOOKUP(2, 1/((Captura_Obra!$A$5:$A$1000=E107)*(Captura_Obra!$B$5:$B$1000=F107)*(Captura_Obra!$D$5:$D$1000=G107)), Captura_Obra!$N$5:$N$1000), "No Reportado"))</f>
      </c>
      <c r="D107" s="7553">
        <f>IF(Captura_Pegaso!A108="", "", IF(J107=0, "✅ Cuadrado", IF(I107=0, "❌ Falta en Obra", "⚠️ Dif")))</f>
      </c>
      <c r="E107" s="7554">
        <f>IF(Captura_Pegaso!A108="", "", Captura_Pegaso!A108)</f>
      </c>
      <c r="F107" s="7555">
        <f>IF(Captura_Pegaso!A108="", "", Captura_Pegaso!D108)</f>
      </c>
      <c r="G107" s="7556">
        <f>IF(Captura_Pegaso!A108="", "", Captura_Pegaso!E108)</f>
      </c>
      <c r="H107" s="7557">
        <f>IF(Captura_Pegaso!A108="", "", Captura_Pegaso!H108)</f>
      </c>
      <c r="I107" s="7558">
        <f>IF(Captura_Pegaso!A108="", "", SUMIFS(Captura_Obra!$F:$F, Captura_Obra!$A:$A, E107, Captura_Obra!$B:$B, F107, Captura_Obra!$D:$D, G107))</f>
      </c>
      <c r="J107" s="7559">
        <f>IF(Captura_Pegaso!A108="", "", H107 - I107)</f>
      </c>
      <c r="K107" s="3916"/>
    </row>
    <row r="108" spans="1:11">
      <c r="A108" s="7560">
        <f>IF(Captura_Pegaso!A109="", "", "Pegaso")</f>
      </c>
      <c r="B108" s="7561">
        <f>IF(Captura_Pegaso!A109="", "", Captura_Pegaso!N109)</f>
      </c>
      <c r="C108" s="7562">
        <f>IF(Captura_Pegaso!A109="", "", IFERROR(LOOKUP(2, 1/((Captura_Obra!$A$5:$A$1000=E108)*(Captura_Obra!$B$5:$B$1000=F108)*(Captura_Obra!$D$5:$D$1000=G108)), Captura_Obra!$N$5:$N$1000), "No Reportado"))</f>
      </c>
      <c r="D108" s="7563">
        <f>IF(Captura_Pegaso!A109="", "", IF(J108=0, "✅ Cuadrado", IF(I108=0, "❌ Falta en Obra", "⚠️ Dif")))</f>
      </c>
      <c r="E108" s="7564">
        <f>IF(Captura_Pegaso!A109="", "", Captura_Pegaso!A109)</f>
      </c>
      <c r="F108" s="7565">
        <f>IF(Captura_Pegaso!A109="", "", Captura_Pegaso!D109)</f>
      </c>
      <c r="G108" s="7566">
        <f>IF(Captura_Pegaso!A109="", "", Captura_Pegaso!E109)</f>
      </c>
      <c r="H108" s="7567">
        <f>IF(Captura_Pegaso!A109="", "", Captura_Pegaso!H109)</f>
      </c>
      <c r="I108" s="7568">
        <f>IF(Captura_Pegaso!A109="", "", SUMIFS(Captura_Obra!$F:$F, Captura_Obra!$A:$A, E108, Captura_Obra!$B:$B, F108, Captura_Obra!$D:$D, G108))</f>
      </c>
      <c r="J108" s="7569">
        <f>IF(Captura_Pegaso!A109="", "", H108 - I108)</f>
      </c>
      <c r="K108" s="3917"/>
    </row>
    <row r="109" spans="1:11">
      <c r="A109" s="7570">
        <f>IF(Captura_Pegaso!A110="", "", "Pegaso")</f>
      </c>
      <c r="B109" s="7571">
        <f>IF(Captura_Pegaso!A110="", "", Captura_Pegaso!N110)</f>
      </c>
      <c r="C109" s="7572">
        <f>IF(Captura_Pegaso!A110="", "", IFERROR(LOOKUP(2, 1/((Captura_Obra!$A$5:$A$1000=E109)*(Captura_Obra!$B$5:$B$1000=F109)*(Captura_Obra!$D$5:$D$1000=G109)), Captura_Obra!$N$5:$N$1000), "No Reportado"))</f>
      </c>
      <c r="D109" s="7573">
        <f>IF(Captura_Pegaso!A110="", "", IF(J109=0, "✅ Cuadrado", IF(I109=0, "❌ Falta en Obra", "⚠️ Dif")))</f>
      </c>
      <c r="E109" s="7574">
        <f>IF(Captura_Pegaso!A110="", "", Captura_Pegaso!A110)</f>
      </c>
      <c r="F109" s="7575">
        <f>IF(Captura_Pegaso!A110="", "", Captura_Pegaso!D110)</f>
      </c>
      <c r="G109" s="7576">
        <f>IF(Captura_Pegaso!A110="", "", Captura_Pegaso!E110)</f>
      </c>
      <c r="H109" s="7577">
        <f>IF(Captura_Pegaso!A110="", "", Captura_Pegaso!H110)</f>
      </c>
      <c r="I109" s="7578">
        <f>IF(Captura_Pegaso!A110="", "", SUMIFS(Captura_Obra!$F:$F, Captura_Obra!$A:$A, E109, Captura_Obra!$B:$B, F109, Captura_Obra!$D:$D, G109))</f>
      </c>
      <c r="J109" s="7579">
        <f>IF(Captura_Pegaso!A110="", "", H109 - I109)</f>
      </c>
      <c r="K109" s="3918"/>
    </row>
    <row r="110" spans="1:11">
      <c r="A110" s="7580">
        <f>IF(Captura_Pegaso!A111="", "", "Pegaso")</f>
      </c>
      <c r="B110" s="7581">
        <f>IF(Captura_Pegaso!A111="", "", Captura_Pegaso!N111)</f>
      </c>
      <c r="C110" s="7582">
        <f>IF(Captura_Pegaso!A111="", "", IFERROR(LOOKUP(2, 1/((Captura_Obra!$A$5:$A$1000=E110)*(Captura_Obra!$B$5:$B$1000=F110)*(Captura_Obra!$D$5:$D$1000=G110)), Captura_Obra!$N$5:$N$1000), "No Reportado"))</f>
      </c>
      <c r="D110" s="7583">
        <f>IF(Captura_Pegaso!A111="", "", IF(J110=0, "✅ Cuadrado", IF(I110=0, "❌ Falta en Obra", "⚠️ Dif")))</f>
      </c>
      <c r="E110" s="7584">
        <f>IF(Captura_Pegaso!A111="", "", Captura_Pegaso!A111)</f>
      </c>
      <c r="F110" s="7585">
        <f>IF(Captura_Pegaso!A111="", "", Captura_Pegaso!D111)</f>
      </c>
      <c r="G110" s="7586">
        <f>IF(Captura_Pegaso!A111="", "", Captura_Pegaso!E111)</f>
      </c>
      <c r="H110" s="7587">
        <f>IF(Captura_Pegaso!A111="", "", Captura_Pegaso!H111)</f>
      </c>
      <c r="I110" s="7588">
        <f>IF(Captura_Pegaso!A111="", "", SUMIFS(Captura_Obra!$F:$F, Captura_Obra!$A:$A, E110, Captura_Obra!$B:$B, F110, Captura_Obra!$D:$D, G110))</f>
      </c>
      <c r="J110" s="7589">
        <f>IF(Captura_Pegaso!A111="", "", H110 - I110)</f>
      </c>
      <c r="K110" s="3919"/>
    </row>
    <row r="111" spans="1:11">
      <c r="A111" s="7590">
        <f>IF(Captura_Pegaso!A112="", "", "Pegaso")</f>
      </c>
      <c r="B111" s="7591">
        <f>IF(Captura_Pegaso!A112="", "", Captura_Pegaso!N112)</f>
      </c>
      <c r="C111" s="7592">
        <f>IF(Captura_Pegaso!A112="", "", IFERROR(LOOKUP(2, 1/((Captura_Obra!$A$5:$A$1000=E111)*(Captura_Obra!$B$5:$B$1000=F111)*(Captura_Obra!$D$5:$D$1000=G111)), Captura_Obra!$N$5:$N$1000), "No Reportado"))</f>
      </c>
      <c r="D111" s="7593">
        <f>IF(Captura_Pegaso!A112="", "", IF(J111=0, "✅ Cuadrado", IF(I111=0, "❌ Falta en Obra", "⚠️ Dif")))</f>
      </c>
      <c r="E111" s="7594">
        <f>IF(Captura_Pegaso!A112="", "", Captura_Pegaso!A112)</f>
      </c>
      <c r="F111" s="7595">
        <f>IF(Captura_Pegaso!A112="", "", Captura_Pegaso!D112)</f>
      </c>
      <c r="G111" s="7596">
        <f>IF(Captura_Pegaso!A112="", "", Captura_Pegaso!E112)</f>
      </c>
      <c r="H111" s="7597">
        <f>IF(Captura_Pegaso!A112="", "", Captura_Pegaso!H112)</f>
      </c>
      <c r="I111" s="7598">
        <f>IF(Captura_Pegaso!A112="", "", SUMIFS(Captura_Obra!$F:$F, Captura_Obra!$A:$A, E111, Captura_Obra!$B:$B, F111, Captura_Obra!$D:$D, G111))</f>
      </c>
      <c r="J111" s="7599">
        <f>IF(Captura_Pegaso!A112="", "", H111 - I111)</f>
      </c>
      <c r="K111" s="3920"/>
    </row>
    <row r="112" spans="1:11">
      <c r="A112" s="7600">
        <f>IF(Captura_Pegaso!A113="", "", "Pegaso")</f>
      </c>
      <c r="B112" s="7601">
        <f>IF(Captura_Pegaso!A113="", "", Captura_Pegaso!N113)</f>
      </c>
      <c r="C112" s="7602">
        <f>IF(Captura_Pegaso!A113="", "", IFERROR(LOOKUP(2, 1/((Captura_Obra!$A$5:$A$1000=E112)*(Captura_Obra!$B$5:$B$1000=F112)*(Captura_Obra!$D$5:$D$1000=G112)), Captura_Obra!$N$5:$N$1000), "No Reportado"))</f>
      </c>
      <c r="D112" s="7603">
        <f>IF(Captura_Pegaso!A113="", "", IF(J112=0, "✅ Cuadrado", IF(I112=0, "❌ Falta en Obra", "⚠️ Dif")))</f>
      </c>
      <c r="E112" s="7604">
        <f>IF(Captura_Pegaso!A113="", "", Captura_Pegaso!A113)</f>
      </c>
      <c r="F112" s="7605">
        <f>IF(Captura_Pegaso!A113="", "", Captura_Pegaso!D113)</f>
      </c>
      <c r="G112" s="7606">
        <f>IF(Captura_Pegaso!A113="", "", Captura_Pegaso!E113)</f>
      </c>
      <c r="H112" s="7607">
        <f>IF(Captura_Pegaso!A113="", "", Captura_Pegaso!H113)</f>
      </c>
      <c r="I112" s="7608">
        <f>IF(Captura_Pegaso!A113="", "", SUMIFS(Captura_Obra!$F:$F, Captura_Obra!$A:$A, E112, Captura_Obra!$B:$B, F112, Captura_Obra!$D:$D, G112))</f>
      </c>
      <c r="J112" s="7609">
        <f>IF(Captura_Pegaso!A113="", "", H112 - I112)</f>
      </c>
      <c r="K112" s="3921"/>
    </row>
    <row r="113" spans="1:11">
      <c r="A113" s="7610">
        <f>IF(Captura_Pegaso!A114="", "", "Pegaso")</f>
      </c>
      <c r="B113" s="7611">
        <f>IF(Captura_Pegaso!A114="", "", Captura_Pegaso!N114)</f>
      </c>
      <c r="C113" s="7612">
        <f>IF(Captura_Pegaso!A114="", "", IFERROR(LOOKUP(2, 1/((Captura_Obra!$A$5:$A$1000=E113)*(Captura_Obra!$B$5:$B$1000=F113)*(Captura_Obra!$D$5:$D$1000=G113)), Captura_Obra!$N$5:$N$1000), "No Reportado"))</f>
      </c>
      <c r="D113" s="7613">
        <f>IF(Captura_Pegaso!A114="", "", IF(J113=0, "✅ Cuadrado", IF(I113=0, "❌ Falta en Obra", "⚠️ Dif")))</f>
      </c>
      <c r="E113" s="7614">
        <f>IF(Captura_Pegaso!A114="", "", Captura_Pegaso!A114)</f>
      </c>
      <c r="F113" s="7615">
        <f>IF(Captura_Pegaso!A114="", "", Captura_Pegaso!D114)</f>
      </c>
      <c r="G113" s="7616">
        <f>IF(Captura_Pegaso!A114="", "", Captura_Pegaso!E114)</f>
      </c>
      <c r="H113" s="7617">
        <f>IF(Captura_Pegaso!A114="", "", Captura_Pegaso!H114)</f>
      </c>
      <c r="I113" s="7618">
        <f>IF(Captura_Pegaso!A114="", "", SUMIFS(Captura_Obra!$F:$F, Captura_Obra!$A:$A, E113, Captura_Obra!$B:$B, F113, Captura_Obra!$D:$D, G113))</f>
      </c>
      <c r="J113" s="7619">
        <f>IF(Captura_Pegaso!A114="", "", H113 - I113)</f>
      </c>
      <c r="K113" s="3922"/>
    </row>
    <row r="114" spans="1:11">
      <c r="A114" s="7620">
        <f>IF(Captura_Pegaso!A115="", "", "Pegaso")</f>
      </c>
      <c r="B114" s="7621">
        <f>IF(Captura_Pegaso!A115="", "", Captura_Pegaso!N115)</f>
      </c>
      <c r="C114" s="7622">
        <f>IF(Captura_Pegaso!A115="", "", IFERROR(LOOKUP(2, 1/((Captura_Obra!$A$5:$A$1000=E114)*(Captura_Obra!$B$5:$B$1000=F114)*(Captura_Obra!$D$5:$D$1000=G114)), Captura_Obra!$N$5:$N$1000), "No Reportado"))</f>
      </c>
      <c r="D114" s="7623">
        <f>IF(Captura_Pegaso!A115="", "", IF(J114=0, "✅ Cuadrado", IF(I114=0, "❌ Falta en Obra", "⚠️ Dif")))</f>
      </c>
      <c r="E114" s="7624">
        <f>IF(Captura_Pegaso!A115="", "", Captura_Pegaso!A115)</f>
      </c>
      <c r="F114" s="7625">
        <f>IF(Captura_Pegaso!A115="", "", Captura_Pegaso!D115)</f>
      </c>
      <c r="G114" s="7626">
        <f>IF(Captura_Pegaso!A115="", "", Captura_Pegaso!E115)</f>
      </c>
      <c r="H114" s="7627">
        <f>IF(Captura_Pegaso!A115="", "", Captura_Pegaso!H115)</f>
      </c>
      <c r="I114" s="7628">
        <f>IF(Captura_Pegaso!A115="", "", SUMIFS(Captura_Obra!$F:$F, Captura_Obra!$A:$A, E114, Captura_Obra!$B:$B, F114, Captura_Obra!$D:$D, G114))</f>
      </c>
      <c r="J114" s="7629">
        <f>IF(Captura_Pegaso!A115="", "", H114 - I114)</f>
      </c>
      <c r="K114" s="3923"/>
    </row>
    <row r="115" spans="1:11">
      <c r="A115" s="7630">
        <f>IF(Captura_Pegaso!A116="", "", "Pegaso")</f>
      </c>
      <c r="B115" s="7631">
        <f>IF(Captura_Pegaso!A116="", "", Captura_Pegaso!N116)</f>
      </c>
      <c r="C115" s="7632">
        <f>IF(Captura_Pegaso!A116="", "", IFERROR(LOOKUP(2, 1/((Captura_Obra!$A$5:$A$1000=E115)*(Captura_Obra!$B$5:$B$1000=F115)*(Captura_Obra!$D$5:$D$1000=G115)), Captura_Obra!$N$5:$N$1000), "No Reportado"))</f>
      </c>
      <c r="D115" s="7633">
        <f>IF(Captura_Pegaso!A116="", "", IF(J115=0, "✅ Cuadrado", IF(I115=0, "❌ Falta en Obra", "⚠️ Dif")))</f>
      </c>
      <c r="E115" s="7634">
        <f>IF(Captura_Pegaso!A116="", "", Captura_Pegaso!A116)</f>
      </c>
      <c r="F115" s="7635">
        <f>IF(Captura_Pegaso!A116="", "", Captura_Pegaso!D116)</f>
      </c>
      <c r="G115" s="7636">
        <f>IF(Captura_Pegaso!A116="", "", Captura_Pegaso!E116)</f>
      </c>
      <c r="H115" s="7637">
        <f>IF(Captura_Pegaso!A116="", "", Captura_Pegaso!H116)</f>
      </c>
      <c r="I115" s="7638">
        <f>IF(Captura_Pegaso!A116="", "", SUMIFS(Captura_Obra!$F:$F, Captura_Obra!$A:$A, E115, Captura_Obra!$B:$B, F115, Captura_Obra!$D:$D, G115))</f>
      </c>
      <c r="J115" s="7639">
        <f>IF(Captura_Pegaso!A116="", "", H115 - I115)</f>
      </c>
      <c r="K115" s="3924"/>
    </row>
    <row r="116" spans="1:11">
      <c r="A116" s="7640">
        <f>IF(Captura_Pegaso!A117="", "", "Pegaso")</f>
      </c>
      <c r="B116" s="7641">
        <f>IF(Captura_Pegaso!A117="", "", Captura_Pegaso!N117)</f>
      </c>
      <c r="C116" s="7642">
        <f>IF(Captura_Pegaso!A117="", "", IFERROR(LOOKUP(2, 1/((Captura_Obra!$A$5:$A$1000=E116)*(Captura_Obra!$B$5:$B$1000=F116)*(Captura_Obra!$D$5:$D$1000=G116)), Captura_Obra!$N$5:$N$1000), "No Reportado"))</f>
      </c>
      <c r="D116" s="7643">
        <f>IF(Captura_Pegaso!A117="", "", IF(J116=0, "✅ Cuadrado", IF(I116=0, "❌ Falta en Obra", "⚠️ Dif")))</f>
      </c>
      <c r="E116" s="7644">
        <f>IF(Captura_Pegaso!A117="", "", Captura_Pegaso!A117)</f>
      </c>
      <c r="F116" s="7645">
        <f>IF(Captura_Pegaso!A117="", "", Captura_Pegaso!D117)</f>
      </c>
      <c r="G116" s="7646">
        <f>IF(Captura_Pegaso!A117="", "", Captura_Pegaso!E117)</f>
      </c>
      <c r="H116" s="7647">
        <f>IF(Captura_Pegaso!A117="", "", Captura_Pegaso!H117)</f>
      </c>
      <c r="I116" s="7648">
        <f>IF(Captura_Pegaso!A117="", "", SUMIFS(Captura_Obra!$F:$F, Captura_Obra!$A:$A, E116, Captura_Obra!$B:$B, F116, Captura_Obra!$D:$D, G116))</f>
      </c>
      <c r="J116" s="7649">
        <f>IF(Captura_Pegaso!A117="", "", H116 - I116)</f>
      </c>
      <c r="K116" s="3925"/>
    </row>
    <row r="117" spans="1:11">
      <c r="A117" s="7650">
        <f>IF(Captura_Pegaso!A118="", "", "Pegaso")</f>
      </c>
      <c r="B117" s="7651">
        <f>IF(Captura_Pegaso!A118="", "", Captura_Pegaso!N118)</f>
      </c>
      <c r="C117" s="7652">
        <f>IF(Captura_Pegaso!A118="", "", IFERROR(LOOKUP(2, 1/((Captura_Obra!$A$5:$A$1000=E117)*(Captura_Obra!$B$5:$B$1000=F117)*(Captura_Obra!$D$5:$D$1000=G117)), Captura_Obra!$N$5:$N$1000), "No Reportado"))</f>
      </c>
      <c r="D117" s="7653">
        <f>IF(Captura_Pegaso!A118="", "", IF(J117=0, "✅ Cuadrado", IF(I117=0, "❌ Falta en Obra", "⚠️ Dif")))</f>
      </c>
      <c r="E117" s="7654">
        <f>IF(Captura_Pegaso!A118="", "", Captura_Pegaso!A118)</f>
      </c>
      <c r="F117" s="7655">
        <f>IF(Captura_Pegaso!A118="", "", Captura_Pegaso!D118)</f>
      </c>
      <c r="G117" s="7656">
        <f>IF(Captura_Pegaso!A118="", "", Captura_Pegaso!E118)</f>
      </c>
      <c r="H117" s="7657">
        <f>IF(Captura_Pegaso!A118="", "", Captura_Pegaso!H118)</f>
      </c>
      <c r="I117" s="7658">
        <f>IF(Captura_Pegaso!A118="", "", SUMIFS(Captura_Obra!$F:$F, Captura_Obra!$A:$A, E117, Captura_Obra!$B:$B, F117, Captura_Obra!$D:$D, G117))</f>
      </c>
      <c r="J117" s="7659">
        <f>IF(Captura_Pegaso!A118="", "", H117 - I117)</f>
      </c>
      <c r="K117" s="3926"/>
    </row>
    <row r="118" spans="1:11">
      <c r="A118" s="7660">
        <f>IF(Captura_Pegaso!A119="", "", "Pegaso")</f>
      </c>
      <c r="B118" s="7661">
        <f>IF(Captura_Pegaso!A119="", "", Captura_Pegaso!N119)</f>
      </c>
      <c r="C118" s="7662">
        <f>IF(Captura_Pegaso!A119="", "", IFERROR(LOOKUP(2, 1/((Captura_Obra!$A$5:$A$1000=E118)*(Captura_Obra!$B$5:$B$1000=F118)*(Captura_Obra!$D$5:$D$1000=G118)), Captura_Obra!$N$5:$N$1000), "No Reportado"))</f>
      </c>
      <c r="D118" s="7663">
        <f>IF(Captura_Pegaso!A119="", "", IF(J118=0, "✅ Cuadrado", IF(I118=0, "❌ Falta en Obra", "⚠️ Dif")))</f>
      </c>
      <c r="E118" s="7664">
        <f>IF(Captura_Pegaso!A119="", "", Captura_Pegaso!A119)</f>
      </c>
      <c r="F118" s="7665">
        <f>IF(Captura_Pegaso!A119="", "", Captura_Pegaso!D119)</f>
      </c>
      <c r="G118" s="7666">
        <f>IF(Captura_Pegaso!A119="", "", Captura_Pegaso!E119)</f>
      </c>
      <c r="H118" s="7667">
        <f>IF(Captura_Pegaso!A119="", "", Captura_Pegaso!H119)</f>
      </c>
      <c r="I118" s="7668">
        <f>IF(Captura_Pegaso!A119="", "", SUMIFS(Captura_Obra!$F:$F, Captura_Obra!$A:$A, E118, Captura_Obra!$B:$B, F118, Captura_Obra!$D:$D, G118))</f>
      </c>
      <c r="J118" s="7669">
        <f>IF(Captura_Pegaso!A119="", "", H118 - I118)</f>
      </c>
      <c r="K118" s="3927"/>
    </row>
    <row r="119" spans="1:11">
      <c r="A119" s="7670">
        <f>IF(Captura_Pegaso!A120="", "", "Pegaso")</f>
      </c>
      <c r="B119" s="7671">
        <f>IF(Captura_Pegaso!A120="", "", Captura_Pegaso!N120)</f>
      </c>
      <c r="C119" s="7672">
        <f>IF(Captura_Pegaso!A120="", "", IFERROR(LOOKUP(2, 1/((Captura_Obra!$A$5:$A$1000=E119)*(Captura_Obra!$B$5:$B$1000=F119)*(Captura_Obra!$D$5:$D$1000=G119)), Captura_Obra!$N$5:$N$1000), "No Reportado"))</f>
      </c>
      <c r="D119" s="7673">
        <f>IF(Captura_Pegaso!A120="", "", IF(J119=0, "✅ Cuadrado", IF(I119=0, "❌ Falta en Obra", "⚠️ Dif")))</f>
      </c>
      <c r="E119" s="7674">
        <f>IF(Captura_Pegaso!A120="", "", Captura_Pegaso!A120)</f>
      </c>
      <c r="F119" s="7675">
        <f>IF(Captura_Pegaso!A120="", "", Captura_Pegaso!D120)</f>
      </c>
      <c r="G119" s="7676">
        <f>IF(Captura_Pegaso!A120="", "", Captura_Pegaso!E120)</f>
      </c>
      <c r="H119" s="7677">
        <f>IF(Captura_Pegaso!A120="", "", Captura_Pegaso!H120)</f>
      </c>
      <c r="I119" s="7678">
        <f>IF(Captura_Pegaso!A120="", "", SUMIFS(Captura_Obra!$F:$F, Captura_Obra!$A:$A, E119, Captura_Obra!$B:$B, F119, Captura_Obra!$D:$D, G119))</f>
      </c>
      <c r="J119" s="7679">
        <f>IF(Captura_Pegaso!A120="", "", H119 - I119)</f>
      </c>
      <c r="K119" s="3928"/>
    </row>
    <row r="120" spans="1:11">
      <c r="A120" s="7680">
        <f>IF(Captura_Pegaso!A121="", "", "Pegaso")</f>
      </c>
      <c r="B120" s="7681">
        <f>IF(Captura_Pegaso!A121="", "", Captura_Pegaso!N121)</f>
      </c>
      <c r="C120" s="7682">
        <f>IF(Captura_Pegaso!A121="", "", IFERROR(LOOKUP(2, 1/((Captura_Obra!$A$5:$A$1000=E120)*(Captura_Obra!$B$5:$B$1000=F120)*(Captura_Obra!$D$5:$D$1000=G120)), Captura_Obra!$N$5:$N$1000), "No Reportado"))</f>
      </c>
      <c r="D120" s="7683">
        <f>IF(Captura_Pegaso!A121="", "", IF(J120=0, "✅ Cuadrado", IF(I120=0, "❌ Falta en Obra", "⚠️ Dif")))</f>
      </c>
      <c r="E120" s="7684">
        <f>IF(Captura_Pegaso!A121="", "", Captura_Pegaso!A121)</f>
      </c>
      <c r="F120" s="7685">
        <f>IF(Captura_Pegaso!A121="", "", Captura_Pegaso!D121)</f>
      </c>
      <c r="G120" s="7686">
        <f>IF(Captura_Pegaso!A121="", "", Captura_Pegaso!E121)</f>
      </c>
      <c r="H120" s="7687">
        <f>IF(Captura_Pegaso!A121="", "", Captura_Pegaso!H121)</f>
      </c>
      <c r="I120" s="7688">
        <f>IF(Captura_Pegaso!A121="", "", SUMIFS(Captura_Obra!$F:$F, Captura_Obra!$A:$A, E120, Captura_Obra!$B:$B, F120, Captura_Obra!$D:$D, G120))</f>
      </c>
      <c r="J120" s="7689">
        <f>IF(Captura_Pegaso!A121="", "", H120 - I120)</f>
      </c>
      <c r="K120" s="3929"/>
    </row>
    <row r="121" spans="1:11">
      <c r="A121" s="7690">
        <f>IF(Captura_Pegaso!A122="", "", "Pegaso")</f>
      </c>
      <c r="B121" s="7691">
        <f>IF(Captura_Pegaso!A122="", "", Captura_Pegaso!N122)</f>
      </c>
      <c r="C121" s="7692">
        <f>IF(Captura_Pegaso!A122="", "", IFERROR(LOOKUP(2, 1/((Captura_Obra!$A$5:$A$1000=E121)*(Captura_Obra!$B$5:$B$1000=F121)*(Captura_Obra!$D$5:$D$1000=G121)), Captura_Obra!$N$5:$N$1000), "No Reportado"))</f>
      </c>
      <c r="D121" s="7693">
        <f>IF(Captura_Pegaso!A122="", "", IF(J121=0, "✅ Cuadrado", IF(I121=0, "❌ Falta en Obra", "⚠️ Dif")))</f>
      </c>
      <c r="E121" s="7694">
        <f>IF(Captura_Pegaso!A122="", "", Captura_Pegaso!A122)</f>
      </c>
      <c r="F121" s="7695">
        <f>IF(Captura_Pegaso!A122="", "", Captura_Pegaso!D122)</f>
      </c>
      <c r="G121" s="7696">
        <f>IF(Captura_Pegaso!A122="", "", Captura_Pegaso!E122)</f>
      </c>
      <c r="H121" s="7697">
        <f>IF(Captura_Pegaso!A122="", "", Captura_Pegaso!H122)</f>
      </c>
      <c r="I121" s="7698">
        <f>IF(Captura_Pegaso!A122="", "", SUMIFS(Captura_Obra!$F:$F, Captura_Obra!$A:$A, E121, Captura_Obra!$B:$B, F121, Captura_Obra!$D:$D, G121))</f>
      </c>
      <c r="J121" s="7699">
        <f>IF(Captura_Pegaso!A122="", "", H121 - I121)</f>
      </c>
      <c r="K121" s="3930"/>
    </row>
    <row r="122" spans="1:11">
      <c r="A122" s="7700">
        <f>IF(Captura_Pegaso!A123="", "", "Pegaso")</f>
      </c>
      <c r="B122" s="7701">
        <f>IF(Captura_Pegaso!A123="", "", Captura_Pegaso!N123)</f>
      </c>
      <c r="C122" s="7702">
        <f>IF(Captura_Pegaso!A123="", "", IFERROR(LOOKUP(2, 1/((Captura_Obra!$A$5:$A$1000=E122)*(Captura_Obra!$B$5:$B$1000=F122)*(Captura_Obra!$D$5:$D$1000=G122)), Captura_Obra!$N$5:$N$1000), "No Reportado"))</f>
      </c>
      <c r="D122" s="7703">
        <f>IF(Captura_Pegaso!A123="", "", IF(J122=0, "✅ Cuadrado", IF(I122=0, "❌ Falta en Obra", "⚠️ Dif")))</f>
      </c>
      <c r="E122" s="7704">
        <f>IF(Captura_Pegaso!A123="", "", Captura_Pegaso!A123)</f>
      </c>
      <c r="F122" s="7705">
        <f>IF(Captura_Pegaso!A123="", "", Captura_Pegaso!D123)</f>
      </c>
      <c r="G122" s="7706">
        <f>IF(Captura_Pegaso!A123="", "", Captura_Pegaso!E123)</f>
      </c>
      <c r="H122" s="7707">
        <f>IF(Captura_Pegaso!A123="", "", Captura_Pegaso!H123)</f>
      </c>
      <c r="I122" s="7708">
        <f>IF(Captura_Pegaso!A123="", "", SUMIFS(Captura_Obra!$F:$F, Captura_Obra!$A:$A, E122, Captura_Obra!$B:$B, F122, Captura_Obra!$D:$D, G122))</f>
      </c>
      <c r="J122" s="7709">
        <f>IF(Captura_Pegaso!A123="", "", H122 - I122)</f>
      </c>
      <c r="K122" s="3931"/>
    </row>
    <row r="123" spans="1:11">
      <c r="A123" s="7710">
        <f>IF(Captura_Pegaso!A124="", "", "Pegaso")</f>
      </c>
      <c r="B123" s="7711">
        <f>IF(Captura_Pegaso!A124="", "", Captura_Pegaso!N124)</f>
      </c>
      <c r="C123" s="7712">
        <f>IF(Captura_Pegaso!A124="", "", IFERROR(LOOKUP(2, 1/((Captura_Obra!$A$5:$A$1000=E123)*(Captura_Obra!$B$5:$B$1000=F123)*(Captura_Obra!$D$5:$D$1000=G123)), Captura_Obra!$N$5:$N$1000), "No Reportado"))</f>
      </c>
      <c r="D123" s="7713">
        <f>IF(Captura_Pegaso!A124="", "", IF(J123=0, "✅ Cuadrado", IF(I123=0, "❌ Falta en Obra", "⚠️ Dif")))</f>
      </c>
      <c r="E123" s="7714">
        <f>IF(Captura_Pegaso!A124="", "", Captura_Pegaso!A124)</f>
      </c>
      <c r="F123" s="7715">
        <f>IF(Captura_Pegaso!A124="", "", Captura_Pegaso!D124)</f>
      </c>
      <c r="G123" s="7716">
        <f>IF(Captura_Pegaso!A124="", "", Captura_Pegaso!E124)</f>
      </c>
      <c r="H123" s="7717">
        <f>IF(Captura_Pegaso!A124="", "", Captura_Pegaso!H124)</f>
      </c>
      <c r="I123" s="7718">
        <f>IF(Captura_Pegaso!A124="", "", SUMIFS(Captura_Obra!$F:$F, Captura_Obra!$A:$A, E123, Captura_Obra!$B:$B, F123, Captura_Obra!$D:$D, G123))</f>
      </c>
      <c r="J123" s="7719">
        <f>IF(Captura_Pegaso!A124="", "", H123 - I123)</f>
      </c>
      <c r="K123" s="3932"/>
    </row>
    <row r="124" spans="1:11">
      <c r="A124" s="7720">
        <f>IF(Captura_Pegaso!A125="", "", "Pegaso")</f>
      </c>
      <c r="B124" s="7721">
        <f>IF(Captura_Pegaso!A125="", "", Captura_Pegaso!N125)</f>
      </c>
      <c r="C124" s="7722">
        <f>IF(Captura_Pegaso!A125="", "", IFERROR(LOOKUP(2, 1/((Captura_Obra!$A$5:$A$1000=E124)*(Captura_Obra!$B$5:$B$1000=F124)*(Captura_Obra!$D$5:$D$1000=G124)), Captura_Obra!$N$5:$N$1000), "No Reportado"))</f>
      </c>
      <c r="D124" s="7723">
        <f>IF(Captura_Pegaso!A125="", "", IF(J124=0, "✅ Cuadrado", IF(I124=0, "❌ Falta en Obra", "⚠️ Dif")))</f>
      </c>
      <c r="E124" s="7724">
        <f>IF(Captura_Pegaso!A125="", "", Captura_Pegaso!A125)</f>
      </c>
      <c r="F124" s="7725">
        <f>IF(Captura_Pegaso!A125="", "", Captura_Pegaso!D125)</f>
      </c>
      <c r="G124" s="7726">
        <f>IF(Captura_Pegaso!A125="", "", Captura_Pegaso!E125)</f>
      </c>
      <c r="H124" s="7727">
        <f>IF(Captura_Pegaso!A125="", "", Captura_Pegaso!H125)</f>
      </c>
      <c r="I124" s="7728">
        <f>IF(Captura_Pegaso!A125="", "", SUMIFS(Captura_Obra!$F:$F, Captura_Obra!$A:$A, E124, Captura_Obra!$B:$B, F124, Captura_Obra!$D:$D, G124))</f>
      </c>
      <c r="J124" s="7729">
        <f>IF(Captura_Pegaso!A125="", "", H124 - I124)</f>
      </c>
      <c r="K124" s="3933"/>
    </row>
    <row r="125" spans="1:11">
      <c r="A125" s="7730">
        <f>IF(Captura_Pegaso!A126="", "", "Pegaso")</f>
      </c>
      <c r="B125" s="7731">
        <f>IF(Captura_Pegaso!A126="", "", Captura_Pegaso!N126)</f>
      </c>
      <c r="C125" s="7732">
        <f>IF(Captura_Pegaso!A126="", "", IFERROR(LOOKUP(2, 1/((Captura_Obra!$A$5:$A$1000=E125)*(Captura_Obra!$B$5:$B$1000=F125)*(Captura_Obra!$D$5:$D$1000=G125)), Captura_Obra!$N$5:$N$1000), "No Reportado"))</f>
      </c>
      <c r="D125" s="7733">
        <f>IF(Captura_Pegaso!A126="", "", IF(J125=0, "✅ Cuadrado", IF(I125=0, "❌ Falta en Obra", "⚠️ Dif")))</f>
      </c>
      <c r="E125" s="7734">
        <f>IF(Captura_Pegaso!A126="", "", Captura_Pegaso!A126)</f>
      </c>
      <c r="F125" s="7735">
        <f>IF(Captura_Pegaso!A126="", "", Captura_Pegaso!D126)</f>
      </c>
      <c r="G125" s="7736">
        <f>IF(Captura_Pegaso!A126="", "", Captura_Pegaso!E126)</f>
      </c>
      <c r="H125" s="7737">
        <f>IF(Captura_Pegaso!A126="", "", Captura_Pegaso!H126)</f>
      </c>
      <c r="I125" s="7738">
        <f>IF(Captura_Pegaso!A126="", "", SUMIFS(Captura_Obra!$F:$F, Captura_Obra!$A:$A, E125, Captura_Obra!$B:$B, F125, Captura_Obra!$D:$D, G125))</f>
      </c>
      <c r="J125" s="7739">
        <f>IF(Captura_Pegaso!A126="", "", H125 - I125)</f>
      </c>
      <c r="K125" s="3934"/>
    </row>
    <row r="126" spans="1:11">
      <c r="A126" s="7740">
        <f>IF(Captura_Pegaso!A127="", "", "Pegaso")</f>
      </c>
      <c r="B126" s="7741">
        <f>IF(Captura_Pegaso!A127="", "", Captura_Pegaso!N127)</f>
      </c>
      <c r="C126" s="7742">
        <f>IF(Captura_Pegaso!A127="", "", IFERROR(LOOKUP(2, 1/((Captura_Obra!$A$5:$A$1000=E126)*(Captura_Obra!$B$5:$B$1000=F126)*(Captura_Obra!$D$5:$D$1000=G126)), Captura_Obra!$N$5:$N$1000), "No Reportado"))</f>
      </c>
      <c r="D126" s="7743">
        <f>IF(Captura_Pegaso!A127="", "", IF(J126=0, "✅ Cuadrado", IF(I126=0, "❌ Falta en Obra", "⚠️ Dif")))</f>
      </c>
      <c r="E126" s="7744">
        <f>IF(Captura_Pegaso!A127="", "", Captura_Pegaso!A127)</f>
      </c>
      <c r="F126" s="7745">
        <f>IF(Captura_Pegaso!A127="", "", Captura_Pegaso!D127)</f>
      </c>
      <c r="G126" s="7746">
        <f>IF(Captura_Pegaso!A127="", "", Captura_Pegaso!E127)</f>
      </c>
      <c r="H126" s="7747">
        <f>IF(Captura_Pegaso!A127="", "", Captura_Pegaso!H127)</f>
      </c>
      <c r="I126" s="7748">
        <f>IF(Captura_Pegaso!A127="", "", SUMIFS(Captura_Obra!$F:$F, Captura_Obra!$A:$A, E126, Captura_Obra!$B:$B, F126, Captura_Obra!$D:$D, G126))</f>
      </c>
      <c r="J126" s="7749">
        <f>IF(Captura_Pegaso!A127="", "", H126 - I126)</f>
      </c>
      <c r="K126" s="3935"/>
    </row>
    <row r="127" spans="1:11">
      <c r="A127" s="7750">
        <f>IF(Captura_Pegaso!A128="", "", "Pegaso")</f>
      </c>
      <c r="B127" s="7751">
        <f>IF(Captura_Pegaso!A128="", "", Captura_Pegaso!N128)</f>
      </c>
      <c r="C127" s="7752">
        <f>IF(Captura_Pegaso!A128="", "", IFERROR(LOOKUP(2, 1/((Captura_Obra!$A$5:$A$1000=E127)*(Captura_Obra!$B$5:$B$1000=F127)*(Captura_Obra!$D$5:$D$1000=G127)), Captura_Obra!$N$5:$N$1000), "No Reportado"))</f>
      </c>
      <c r="D127" s="7753">
        <f>IF(Captura_Pegaso!A128="", "", IF(J127=0, "✅ Cuadrado", IF(I127=0, "❌ Falta en Obra", "⚠️ Dif")))</f>
      </c>
      <c r="E127" s="7754">
        <f>IF(Captura_Pegaso!A128="", "", Captura_Pegaso!A128)</f>
      </c>
      <c r="F127" s="7755">
        <f>IF(Captura_Pegaso!A128="", "", Captura_Pegaso!D128)</f>
      </c>
      <c r="G127" s="7756">
        <f>IF(Captura_Pegaso!A128="", "", Captura_Pegaso!E128)</f>
      </c>
      <c r="H127" s="7757">
        <f>IF(Captura_Pegaso!A128="", "", Captura_Pegaso!H128)</f>
      </c>
      <c r="I127" s="7758">
        <f>IF(Captura_Pegaso!A128="", "", SUMIFS(Captura_Obra!$F:$F, Captura_Obra!$A:$A, E127, Captura_Obra!$B:$B, F127, Captura_Obra!$D:$D, G127))</f>
      </c>
      <c r="J127" s="7759">
        <f>IF(Captura_Pegaso!A128="", "", H127 - I127)</f>
      </c>
      <c r="K127" s="3936"/>
    </row>
    <row r="128" spans="1:11">
      <c r="A128" s="7760">
        <f>IF(Captura_Pegaso!A129="", "", "Pegaso")</f>
      </c>
      <c r="B128" s="7761">
        <f>IF(Captura_Pegaso!A129="", "", Captura_Pegaso!N129)</f>
      </c>
      <c r="C128" s="7762">
        <f>IF(Captura_Pegaso!A129="", "", IFERROR(LOOKUP(2, 1/((Captura_Obra!$A$5:$A$1000=E128)*(Captura_Obra!$B$5:$B$1000=F128)*(Captura_Obra!$D$5:$D$1000=G128)), Captura_Obra!$N$5:$N$1000), "No Reportado"))</f>
      </c>
      <c r="D128" s="7763">
        <f>IF(Captura_Pegaso!A129="", "", IF(J128=0, "✅ Cuadrado", IF(I128=0, "❌ Falta en Obra", "⚠️ Dif")))</f>
      </c>
      <c r="E128" s="7764">
        <f>IF(Captura_Pegaso!A129="", "", Captura_Pegaso!A129)</f>
      </c>
      <c r="F128" s="7765">
        <f>IF(Captura_Pegaso!A129="", "", Captura_Pegaso!D129)</f>
      </c>
      <c r="G128" s="7766">
        <f>IF(Captura_Pegaso!A129="", "", Captura_Pegaso!E129)</f>
      </c>
      <c r="H128" s="7767">
        <f>IF(Captura_Pegaso!A129="", "", Captura_Pegaso!H129)</f>
      </c>
      <c r="I128" s="7768">
        <f>IF(Captura_Pegaso!A129="", "", SUMIFS(Captura_Obra!$F:$F, Captura_Obra!$A:$A, E128, Captura_Obra!$B:$B, F128, Captura_Obra!$D:$D, G128))</f>
      </c>
      <c r="J128" s="7769">
        <f>IF(Captura_Pegaso!A129="", "", H128 - I128)</f>
      </c>
      <c r="K128" s="3937"/>
    </row>
    <row r="129" spans="1:11">
      <c r="A129" s="7770">
        <f>IF(Captura_Pegaso!A130="", "", "Pegaso")</f>
      </c>
      <c r="B129" s="7771">
        <f>IF(Captura_Pegaso!A130="", "", Captura_Pegaso!N130)</f>
      </c>
      <c r="C129" s="7772">
        <f>IF(Captura_Pegaso!A130="", "", IFERROR(LOOKUP(2, 1/((Captura_Obra!$A$5:$A$1000=E129)*(Captura_Obra!$B$5:$B$1000=F129)*(Captura_Obra!$D$5:$D$1000=G129)), Captura_Obra!$N$5:$N$1000), "No Reportado"))</f>
      </c>
      <c r="D129" s="7773">
        <f>IF(Captura_Pegaso!A130="", "", IF(J129=0, "✅ Cuadrado", IF(I129=0, "❌ Falta en Obra", "⚠️ Dif")))</f>
      </c>
      <c r="E129" s="7774">
        <f>IF(Captura_Pegaso!A130="", "", Captura_Pegaso!A130)</f>
      </c>
      <c r="F129" s="7775">
        <f>IF(Captura_Pegaso!A130="", "", Captura_Pegaso!D130)</f>
      </c>
      <c r="G129" s="7776">
        <f>IF(Captura_Pegaso!A130="", "", Captura_Pegaso!E130)</f>
      </c>
      <c r="H129" s="7777">
        <f>IF(Captura_Pegaso!A130="", "", Captura_Pegaso!H130)</f>
      </c>
      <c r="I129" s="7778">
        <f>IF(Captura_Pegaso!A130="", "", SUMIFS(Captura_Obra!$F:$F, Captura_Obra!$A:$A, E129, Captura_Obra!$B:$B, F129, Captura_Obra!$D:$D, G129))</f>
      </c>
      <c r="J129" s="7779">
        <f>IF(Captura_Pegaso!A130="", "", H129 - I129)</f>
      </c>
      <c r="K129" s="3938"/>
    </row>
    <row r="130" spans="1:11">
      <c r="A130" s="7780">
        <f>IF(Captura_Pegaso!A131="", "", "Pegaso")</f>
      </c>
      <c r="B130" s="7781">
        <f>IF(Captura_Pegaso!A131="", "", Captura_Pegaso!N131)</f>
      </c>
      <c r="C130" s="7782">
        <f>IF(Captura_Pegaso!A131="", "", IFERROR(LOOKUP(2, 1/((Captura_Obra!$A$5:$A$1000=E130)*(Captura_Obra!$B$5:$B$1000=F130)*(Captura_Obra!$D$5:$D$1000=G130)), Captura_Obra!$N$5:$N$1000), "No Reportado"))</f>
      </c>
      <c r="D130" s="7783">
        <f>IF(Captura_Pegaso!A131="", "", IF(J130=0, "✅ Cuadrado", IF(I130=0, "❌ Falta en Obra", "⚠️ Dif")))</f>
      </c>
      <c r="E130" s="7784">
        <f>IF(Captura_Pegaso!A131="", "", Captura_Pegaso!A131)</f>
      </c>
      <c r="F130" s="7785">
        <f>IF(Captura_Pegaso!A131="", "", Captura_Pegaso!D131)</f>
      </c>
      <c r="G130" s="7786">
        <f>IF(Captura_Pegaso!A131="", "", Captura_Pegaso!E131)</f>
      </c>
      <c r="H130" s="7787">
        <f>IF(Captura_Pegaso!A131="", "", Captura_Pegaso!H131)</f>
      </c>
      <c r="I130" s="7788">
        <f>IF(Captura_Pegaso!A131="", "", SUMIFS(Captura_Obra!$F:$F, Captura_Obra!$A:$A, E130, Captura_Obra!$B:$B, F130, Captura_Obra!$D:$D, G130))</f>
      </c>
      <c r="J130" s="7789">
        <f>IF(Captura_Pegaso!A131="", "", H130 - I130)</f>
      </c>
      <c r="K130" s="3939"/>
    </row>
    <row r="131" spans="1:11">
      <c r="A131" s="7790">
        <f>IF(Captura_Pegaso!A132="", "", "Pegaso")</f>
      </c>
      <c r="B131" s="7791">
        <f>IF(Captura_Pegaso!A132="", "", Captura_Pegaso!N132)</f>
      </c>
      <c r="C131" s="7792">
        <f>IF(Captura_Pegaso!A132="", "", IFERROR(LOOKUP(2, 1/((Captura_Obra!$A$5:$A$1000=E131)*(Captura_Obra!$B$5:$B$1000=F131)*(Captura_Obra!$D$5:$D$1000=G131)), Captura_Obra!$N$5:$N$1000), "No Reportado"))</f>
      </c>
      <c r="D131" s="7793">
        <f>IF(Captura_Pegaso!A132="", "", IF(J131=0, "✅ Cuadrado", IF(I131=0, "❌ Falta en Obra", "⚠️ Dif")))</f>
      </c>
      <c r="E131" s="7794">
        <f>IF(Captura_Pegaso!A132="", "", Captura_Pegaso!A132)</f>
      </c>
      <c r="F131" s="7795">
        <f>IF(Captura_Pegaso!A132="", "", Captura_Pegaso!D132)</f>
      </c>
      <c r="G131" s="7796">
        <f>IF(Captura_Pegaso!A132="", "", Captura_Pegaso!E132)</f>
      </c>
      <c r="H131" s="7797">
        <f>IF(Captura_Pegaso!A132="", "", Captura_Pegaso!H132)</f>
      </c>
      <c r="I131" s="7798">
        <f>IF(Captura_Pegaso!A132="", "", SUMIFS(Captura_Obra!$F:$F, Captura_Obra!$A:$A, E131, Captura_Obra!$B:$B, F131, Captura_Obra!$D:$D, G131))</f>
      </c>
      <c r="J131" s="7799">
        <f>IF(Captura_Pegaso!A132="", "", H131 - I131)</f>
      </c>
      <c r="K131" s="3940"/>
    </row>
    <row r="132" spans="1:11">
      <c r="A132" s="7800">
        <f>IF(Captura_Pegaso!A133="", "", "Pegaso")</f>
      </c>
      <c r="B132" s="7801">
        <f>IF(Captura_Pegaso!A133="", "", Captura_Pegaso!N133)</f>
      </c>
      <c r="C132" s="7802">
        <f>IF(Captura_Pegaso!A133="", "", IFERROR(LOOKUP(2, 1/((Captura_Obra!$A$5:$A$1000=E132)*(Captura_Obra!$B$5:$B$1000=F132)*(Captura_Obra!$D$5:$D$1000=G132)), Captura_Obra!$N$5:$N$1000), "No Reportado"))</f>
      </c>
      <c r="D132" s="7803">
        <f>IF(Captura_Pegaso!A133="", "", IF(J132=0, "✅ Cuadrado", IF(I132=0, "❌ Falta en Obra", "⚠️ Dif")))</f>
      </c>
      <c r="E132" s="7804">
        <f>IF(Captura_Pegaso!A133="", "", Captura_Pegaso!A133)</f>
      </c>
      <c r="F132" s="7805">
        <f>IF(Captura_Pegaso!A133="", "", Captura_Pegaso!D133)</f>
      </c>
      <c r="G132" s="7806">
        <f>IF(Captura_Pegaso!A133="", "", Captura_Pegaso!E133)</f>
      </c>
      <c r="H132" s="7807">
        <f>IF(Captura_Pegaso!A133="", "", Captura_Pegaso!H133)</f>
      </c>
      <c r="I132" s="7808">
        <f>IF(Captura_Pegaso!A133="", "", SUMIFS(Captura_Obra!$F:$F, Captura_Obra!$A:$A, E132, Captura_Obra!$B:$B, F132, Captura_Obra!$D:$D, G132))</f>
      </c>
      <c r="J132" s="7809">
        <f>IF(Captura_Pegaso!A133="", "", H132 - I132)</f>
      </c>
      <c r="K132" s="3941"/>
    </row>
    <row r="133" spans="1:11">
      <c r="A133" s="7810">
        <f>IF(Captura_Pegaso!A134="", "", "Pegaso")</f>
      </c>
      <c r="B133" s="7811">
        <f>IF(Captura_Pegaso!A134="", "", Captura_Pegaso!N134)</f>
      </c>
      <c r="C133" s="7812">
        <f>IF(Captura_Pegaso!A134="", "", IFERROR(LOOKUP(2, 1/((Captura_Obra!$A$5:$A$1000=E133)*(Captura_Obra!$B$5:$B$1000=F133)*(Captura_Obra!$D$5:$D$1000=G133)), Captura_Obra!$N$5:$N$1000), "No Reportado"))</f>
      </c>
      <c r="D133" s="7813">
        <f>IF(Captura_Pegaso!A134="", "", IF(J133=0, "✅ Cuadrado", IF(I133=0, "❌ Falta en Obra", "⚠️ Dif")))</f>
      </c>
      <c r="E133" s="7814">
        <f>IF(Captura_Pegaso!A134="", "", Captura_Pegaso!A134)</f>
      </c>
      <c r="F133" s="7815">
        <f>IF(Captura_Pegaso!A134="", "", Captura_Pegaso!D134)</f>
      </c>
      <c r="G133" s="7816">
        <f>IF(Captura_Pegaso!A134="", "", Captura_Pegaso!E134)</f>
      </c>
      <c r="H133" s="7817">
        <f>IF(Captura_Pegaso!A134="", "", Captura_Pegaso!H134)</f>
      </c>
      <c r="I133" s="7818">
        <f>IF(Captura_Pegaso!A134="", "", SUMIFS(Captura_Obra!$F:$F, Captura_Obra!$A:$A, E133, Captura_Obra!$B:$B, F133, Captura_Obra!$D:$D, G133))</f>
      </c>
      <c r="J133" s="7819">
        <f>IF(Captura_Pegaso!A134="", "", H133 - I133)</f>
      </c>
      <c r="K133" s="3942"/>
    </row>
    <row r="134" spans="1:11">
      <c r="A134" s="7820">
        <f>IF(Captura_Pegaso!A135="", "", "Pegaso")</f>
      </c>
      <c r="B134" s="7821">
        <f>IF(Captura_Pegaso!A135="", "", Captura_Pegaso!N135)</f>
      </c>
      <c r="C134" s="7822">
        <f>IF(Captura_Pegaso!A135="", "", IFERROR(LOOKUP(2, 1/((Captura_Obra!$A$5:$A$1000=E134)*(Captura_Obra!$B$5:$B$1000=F134)*(Captura_Obra!$D$5:$D$1000=G134)), Captura_Obra!$N$5:$N$1000), "No Reportado"))</f>
      </c>
      <c r="D134" s="7823">
        <f>IF(Captura_Pegaso!A135="", "", IF(J134=0, "✅ Cuadrado", IF(I134=0, "❌ Falta en Obra", "⚠️ Dif")))</f>
      </c>
      <c r="E134" s="7824">
        <f>IF(Captura_Pegaso!A135="", "", Captura_Pegaso!A135)</f>
      </c>
      <c r="F134" s="7825">
        <f>IF(Captura_Pegaso!A135="", "", Captura_Pegaso!D135)</f>
      </c>
      <c r="G134" s="7826">
        <f>IF(Captura_Pegaso!A135="", "", Captura_Pegaso!E135)</f>
      </c>
      <c r="H134" s="7827">
        <f>IF(Captura_Pegaso!A135="", "", Captura_Pegaso!H135)</f>
      </c>
      <c r="I134" s="7828">
        <f>IF(Captura_Pegaso!A135="", "", SUMIFS(Captura_Obra!$F:$F, Captura_Obra!$A:$A, E134, Captura_Obra!$B:$B, F134, Captura_Obra!$D:$D, G134))</f>
      </c>
      <c r="J134" s="7829">
        <f>IF(Captura_Pegaso!A135="", "", H134 - I134)</f>
      </c>
      <c r="K134" s="3943"/>
    </row>
    <row r="135" spans="1:11">
      <c r="A135" s="7830">
        <f>IF(Captura_Pegaso!A136="", "", "Pegaso")</f>
      </c>
      <c r="B135" s="7831">
        <f>IF(Captura_Pegaso!A136="", "", Captura_Pegaso!N136)</f>
      </c>
      <c r="C135" s="7832">
        <f>IF(Captura_Pegaso!A136="", "", IFERROR(LOOKUP(2, 1/((Captura_Obra!$A$5:$A$1000=E135)*(Captura_Obra!$B$5:$B$1000=F135)*(Captura_Obra!$D$5:$D$1000=G135)), Captura_Obra!$N$5:$N$1000), "No Reportado"))</f>
      </c>
      <c r="D135" s="7833">
        <f>IF(Captura_Pegaso!A136="", "", IF(J135=0, "✅ Cuadrado", IF(I135=0, "❌ Falta en Obra", "⚠️ Dif")))</f>
      </c>
      <c r="E135" s="7834">
        <f>IF(Captura_Pegaso!A136="", "", Captura_Pegaso!A136)</f>
      </c>
      <c r="F135" s="7835">
        <f>IF(Captura_Pegaso!A136="", "", Captura_Pegaso!D136)</f>
      </c>
      <c r="G135" s="7836">
        <f>IF(Captura_Pegaso!A136="", "", Captura_Pegaso!E136)</f>
      </c>
      <c r="H135" s="7837">
        <f>IF(Captura_Pegaso!A136="", "", Captura_Pegaso!H136)</f>
      </c>
      <c r="I135" s="7838">
        <f>IF(Captura_Pegaso!A136="", "", SUMIFS(Captura_Obra!$F:$F, Captura_Obra!$A:$A, E135, Captura_Obra!$B:$B, F135, Captura_Obra!$D:$D, G135))</f>
      </c>
      <c r="J135" s="7839">
        <f>IF(Captura_Pegaso!A136="", "", H135 - I135)</f>
      </c>
      <c r="K135" s="3944"/>
    </row>
    <row r="136" spans="1:11">
      <c r="A136" s="7840">
        <f>IF(Captura_Pegaso!A137="", "", "Pegaso")</f>
      </c>
      <c r="B136" s="7841">
        <f>IF(Captura_Pegaso!A137="", "", Captura_Pegaso!N137)</f>
      </c>
      <c r="C136" s="7842">
        <f>IF(Captura_Pegaso!A137="", "", IFERROR(LOOKUP(2, 1/((Captura_Obra!$A$5:$A$1000=E136)*(Captura_Obra!$B$5:$B$1000=F136)*(Captura_Obra!$D$5:$D$1000=G136)), Captura_Obra!$N$5:$N$1000), "No Reportado"))</f>
      </c>
      <c r="D136" s="7843">
        <f>IF(Captura_Pegaso!A137="", "", IF(J136=0, "✅ Cuadrado", IF(I136=0, "❌ Falta en Obra", "⚠️ Dif")))</f>
      </c>
      <c r="E136" s="7844">
        <f>IF(Captura_Pegaso!A137="", "", Captura_Pegaso!A137)</f>
      </c>
      <c r="F136" s="7845">
        <f>IF(Captura_Pegaso!A137="", "", Captura_Pegaso!D137)</f>
      </c>
      <c r="G136" s="7846">
        <f>IF(Captura_Pegaso!A137="", "", Captura_Pegaso!E137)</f>
      </c>
      <c r="H136" s="7847">
        <f>IF(Captura_Pegaso!A137="", "", Captura_Pegaso!H137)</f>
      </c>
      <c r="I136" s="7848">
        <f>IF(Captura_Pegaso!A137="", "", SUMIFS(Captura_Obra!$F:$F, Captura_Obra!$A:$A, E136, Captura_Obra!$B:$B, F136, Captura_Obra!$D:$D, G136))</f>
      </c>
      <c r="J136" s="7849">
        <f>IF(Captura_Pegaso!A137="", "", H136 - I136)</f>
      </c>
      <c r="K136" s="3945"/>
    </row>
    <row r="137" spans="1:11">
      <c r="A137" s="7850">
        <f>IF(Captura_Pegaso!A138="", "", "Pegaso")</f>
      </c>
      <c r="B137" s="7851">
        <f>IF(Captura_Pegaso!A138="", "", Captura_Pegaso!N138)</f>
      </c>
      <c r="C137" s="7852">
        <f>IF(Captura_Pegaso!A138="", "", IFERROR(LOOKUP(2, 1/((Captura_Obra!$A$5:$A$1000=E137)*(Captura_Obra!$B$5:$B$1000=F137)*(Captura_Obra!$D$5:$D$1000=G137)), Captura_Obra!$N$5:$N$1000), "No Reportado"))</f>
      </c>
      <c r="D137" s="7853">
        <f>IF(Captura_Pegaso!A138="", "", IF(J137=0, "✅ Cuadrado", IF(I137=0, "❌ Falta en Obra", "⚠️ Dif")))</f>
      </c>
      <c r="E137" s="7854">
        <f>IF(Captura_Pegaso!A138="", "", Captura_Pegaso!A138)</f>
      </c>
      <c r="F137" s="7855">
        <f>IF(Captura_Pegaso!A138="", "", Captura_Pegaso!D138)</f>
      </c>
      <c r="G137" s="7856">
        <f>IF(Captura_Pegaso!A138="", "", Captura_Pegaso!E138)</f>
      </c>
      <c r="H137" s="7857">
        <f>IF(Captura_Pegaso!A138="", "", Captura_Pegaso!H138)</f>
      </c>
      <c r="I137" s="7858">
        <f>IF(Captura_Pegaso!A138="", "", SUMIFS(Captura_Obra!$F:$F, Captura_Obra!$A:$A, E137, Captura_Obra!$B:$B, F137, Captura_Obra!$D:$D, G137))</f>
      </c>
      <c r="J137" s="7859">
        <f>IF(Captura_Pegaso!A138="", "", H137 - I137)</f>
      </c>
      <c r="K137" s="3946"/>
    </row>
    <row r="138" spans="1:11">
      <c r="A138" s="7860">
        <f>IF(Captura_Pegaso!A139="", "", "Pegaso")</f>
      </c>
      <c r="B138" s="7861">
        <f>IF(Captura_Pegaso!A139="", "", Captura_Pegaso!N139)</f>
      </c>
      <c r="C138" s="7862">
        <f>IF(Captura_Pegaso!A139="", "", IFERROR(LOOKUP(2, 1/((Captura_Obra!$A$5:$A$1000=E138)*(Captura_Obra!$B$5:$B$1000=F138)*(Captura_Obra!$D$5:$D$1000=G138)), Captura_Obra!$N$5:$N$1000), "No Reportado"))</f>
      </c>
      <c r="D138" s="7863">
        <f>IF(Captura_Pegaso!A139="", "", IF(J138=0, "✅ Cuadrado", IF(I138=0, "❌ Falta en Obra", "⚠️ Dif")))</f>
      </c>
      <c r="E138" s="7864">
        <f>IF(Captura_Pegaso!A139="", "", Captura_Pegaso!A139)</f>
      </c>
      <c r="F138" s="7865">
        <f>IF(Captura_Pegaso!A139="", "", Captura_Pegaso!D139)</f>
      </c>
      <c r="G138" s="7866">
        <f>IF(Captura_Pegaso!A139="", "", Captura_Pegaso!E139)</f>
      </c>
      <c r="H138" s="7867">
        <f>IF(Captura_Pegaso!A139="", "", Captura_Pegaso!H139)</f>
      </c>
      <c r="I138" s="7868">
        <f>IF(Captura_Pegaso!A139="", "", SUMIFS(Captura_Obra!$F:$F, Captura_Obra!$A:$A, E138, Captura_Obra!$B:$B, F138, Captura_Obra!$D:$D, G138))</f>
      </c>
      <c r="J138" s="7869">
        <f>IF(Captura_Pegaso!A139="", "", H138 - I138)</f>
      </c>
      <c r="K138" s="3947"/>
    </row>
    <row r="139" spans="1:11">
      <c r="A139" s="7870">
        <f>IF(Captura_Pegaso!A140="", "", "Pegaso")</f>
      </c>
      <c r="B139" s="7871">
        <f>IF(Captura_Pegaso!A140="", "", Captura_Pegaso!N140)</f>
      </c>
      <c r="C139" s="7872">
        <f>IF(Captura_Pegaso!A140="", "", IFERROR(LOOKUP(2, 1/((Captura_Obra!$A$5:$A$1000=E139)*(Captura_Obra!$B$5:$B$1000=F139)*(Captura_Obra!$D$5:$D$1000=G139)), Captura_Obra!$N$5:$N$1000), "No Reportado"))</f>
      </c>
      <c r="D139" s="7873">
        <f>IF(Captura_Pegaso!A140="", "", IF(J139=0, "✅ Cuadrado", IF(I139=0, "❌ Falta en Obra", "⚠️ Dif")))</f>
      </c>
      <c r="E139" s="7874">
        <f>IF(Captura_Pegaso!A140="", "", Captura_Pegaso!A140)</f>
      </c>
      <c r="F139" s="7875">
        <f>IF(Captura_Pegaso!A140="", "", Captura_Pegaso!D140)</f>
      </c>
      <c r="G139" s="7876">
        <f>IF(Captura_Pegaso!A140="", "", Captura_Pegaso!E140)</f>
      </c>
      <c r="H139" s="7877">
        <f>IF(Captura_Pegaso!A140="", "", Captura_Pegaso!H140)</f>
      </c>
      <c r="I139" s="7878">
        <f>IF(Captura_Pegaso!A140="", "", SUMIFS(Captura_Obra!$F:$F, Captura_Obra!$A:$A, E139, Captura_Obra!$B:$B, F139, Captura_Obra!$D:$D, G139))</f>
      </c>
      <c r="J139" s="7879">
        <f>IF(Captura_Pegaso!A140="", "", H139 - I139)</f>
      </c>
      <c r="K139" s="3948"/>
    </row>
    <row r="140" spans="1:11">
      <c r="A140" s="7880">
        <f>IF(Captura_Pegaso!A141="", "", "Pegaso")</f>
      </c>
      <c r="B140" s="7881">
        <f>IF(Captura_Pegaso!A141="", "", Captura_Pegaso!N141)</f>
      </c>
      <c r="C140" s="7882">
        <f>IF(Captura_Pegaso!A141="", "", IFERROR(LOOKUP(2, 1/((Captura_Obra!$A$5:$A$1000=E140)*(Captura_Obra!$B$5:$B$1000=F140)*(Captura_Obra!$D$5:$D$1000=G140)), Captura_Obra!$N$5:$N$1000), "No Reportado"))</f>
      </c>
      <c r="D140" s="7883">
        <f>IF(Captura_Pegaso!A141="", "", IF(J140=0, "✅ Cuadrado", IF(I140=0, "❌ Falta en Obra", "⚠️ Dif")))</f>
      </c>
      <c r="E140" s="7884">
        <f>IF(Captura_Pegaso!A141="", "", Captura_Pegaso!A141)</f>
      </c>
      <c r="F140" s="7885">
        <f>IF(Captura_Pegaso!A141="", "", Captura_Pegaso!D141)</f>
      </c>
      <c r="G140" s="7886">
        <f>IF(Captura_Pegaso!A141="", "", Captura_Pegaso!E141)</f>
      </c>
      <c r="H140" s="7887">
        <f>IF(Captura_Pegaso!A141="", "", Captura_Pegaso!H141)</f>
      </c>
      <c r="I140" s="7888">
        <f>IF(Captura_Pegaso!A141="", "", SUMIFS(Captura_Obra!$F:$F, Captura_Obra!$A:$A, E140, Captura_Obra!$B:$B, F140, Captura_Obra!$D:$D, G140))</f>
      </c>
      <c r="J140" s="7889">
        <f>IF(Captura_Pegaso!A141="", "", H140 - I140)</f>
      </c>
      <c r="K140" s="3949"/>
    </row>
    <row r="141" spans="1:11">
      <c r="A141" s="7890">
        <f>IF(Captura_Pegaso!A142="", "", "Pegaso")</f>
      </c>
      <c r="B141" s="7891">
        <f>IF(Captura_Pegaso!A142="", "", Captura_Pegaso!N142)</f>
      </c>
      <c r="C141" s="7892">
        <f>IF(Captura_Pegaso!A142="", "", IFERROR(LOOKUP(2, 1/((Captura_Obra!$A$5:$A$1000=E141)*(Captura_Obra!$B$5:$B$1000=F141)*(Captura_Obra!$D$5:$D$1000=G141)), Captura_Obra!$N$5:$N$1000), "No Reportado"))</f>
      </c>
      <c r="D141" s="7893">
        <f>IF(Captura_Pegaso!A142="", "", IF(J141=0, "✅ Cuadrado", IF(I141=0, "❌ Falta en Obra", "⚠️ Dif")))</f>
      </c>
      <c r="E141" s="7894">
        <f>IF(Captura_Pegaso!A142="", "", Captura_Pegaso!A142)</f>
      </c>
      <c r="F141" s="7895">
        <f>IF(Captura_Pegaso!A142="", "", Captura_Pegaso!D142)</f>
      </c>
      <c r="G141" s="7896">
        <f>IF(Captura_Pegaso!A142="", "", Captura_Pegaso!E142)</f>
      </c>
      <c r="H141" s="7897">
        <f>IF(Captura_Pegaso!A142="", "", Captura_Pegaso!H142)</f>
      </c>
      <c r="I141" s="7898">
        <f>IF(Captura_Pegaso!A142="", "", SUMIFS(Captura_Obra!$F:$F, Captura_Obra!$A:$A, E141, Captura_Obra!$B:$B, F141, Captura_Obra!$D:$D, G141))</f>
      </c>
      <c r="J141" s="7899">
        <f>IF(Captura_Pegaso!A142="", "", H141 - I141)</f>
      </c>
      <c r="K141" s="3950"/>
    </row>
    <row r="142" spans="1:11">
      <c r="A142" s="7900">
        <f>IF(Captura_Pegaso!A143="", "", "Pegaso")</f>
      </c>
      <c r="B142" s="7901">
        <f>IF(Captura_Pegaso!A143="", "", Captura_Pegaso!N143)</f>
      </c>
      <c r="C142" s="7902">
        <f>IF(Captura_Pegaso!A143="", "", IFERROR(LOOKUP(2, 1/((Captura_Obra!$A$5:$A$1000=E142)*(Captura_Obra!$B$5:$B$1000=F142)*(Captura_Obra!$D$5:$D$1000=G142)), Captura_Obra!$N$5:$N$1000), "No Reportado"))</f>
      </c>
      <c r="D142" s="7903">
        <f>IF(Captura_Pegaso!A143="", "", IF(J142=0, "✅ Cuadrado", IF(I142=0, "❌ Falta en Obra", "⚠️ Dif")))</f>
      </c>
      <c r="E142" s="7904">
        <f>IF(Captura_Pegaso!A143="", "", Captura_Pegaso!A143)</f>
      </c>
      <c r="F142" s="7905">
        <f>IF(Captura_Pegaso!A143="", "", Captura_Pegaso!D143)</f>
      </c>
      <c r="G142" s="7906">
        <f>IF(Captura_Pegaso!A143="", "", Captura_Pegaso!E143)</f>
      </c>
      <c r="H142" s="7907">
        <f>IF(Captura_Pegaso!A143="", "", Captura_Pegaso!H143)</f>
      </c>
      <c r="I142" s="7908">
        <f>IF(Captura_Pegaso!A143="", "", SUMIFS(Captura_Obra!$F:$F, Captura_Obra!$A:$A, E142, Captura_Obra!$B:$B, F142, Captura_Obra!$D:$D, G142))</f>
      </c>
      <c r="J142" s="7909">
        <f>IF(Captura_Pegaso!A143="", "", H142 - I142)</f>
      </c>
      <c r="K142" s="3951"/>
    </row>
    <row r="143" spans="1:11">
      <c r="A143" s="7910">
        <f>IF(Captura_Pegaso!A144="", "", "Pegaso")</f>
      </c>
      <c r="B143" s="7911">
        <f>IF(Captura_Pegaso!A144="", "", Captura_Pegaso!N144)</f>
      </c>
      <c r="C143" s="7912">
        <f>IF(Captura_Pegaso!A144="", "", IFERROR(LOOKUP(2, 1/((Captura_Obra!$A$5:$A$1000=E143)*(Captura_Obra!$B$5:$B$1000=F143)*(Captura_Obra!$D$5:$D$1000=G143)), Captura_Obra!$N$5:$N$1000), "No Reportado"))</f>
      </c>
      <c r="D143" s="7913">
        <f>IF(Captura_Pegaso!A144="", "", IF(J143=0, "✅ Cuadrado", IF(I143=0, "❌ Falta en Obra", "⚠️ Dif")))</f>
      </c>
      <c r="E143" s="7914">
        <f>IF(Captura_Pegaso!A144="", "", Captura_Pegaso!A144)</f>
      </c>
      <c r="F143" s="7915">
        <f>IF(Captura_Pegaso!A144="", "", Captura_Pegaso!D144)</f>
      </c>
      <c r="G143" s="7916">
        <f>IF(Captura_Pegaso!A144="", "", Captura_Pegaso!E144)</f>
      </c>
      <c r="H143" s="7917">
        <f>IF(Captura_Pegaso!A144="", "", Captura_Pegaso!H144)</f>
      </c>
      <c r="I143" s="7918">
        <f>IF(Captura_Pegaso!A144="", "", SUMIFS(Captura_Obra!$F:$F, Captura_Obra!$A:$A, E143, Captura_Obra!$B:$B, F143, Captura_Obra!$D:$D, G143))</f>
      </c>
      <c r="J143" s="7919">
        <f>IF(Captura_Pegaso!A144="", "", H143 - I143)</f>
      </c>
      <c r="K143" s="3952"/>
    </row>
    <row r="144" spans="1:11">
      <c r="A144" s="7920">
        <f>IF(Captura_Pegaso!A145="", "", "Pegaso")</f>
      </c>
      <c r="B144" s="7921">
        <f>IF(Captura_Pegaso!A145="", "", Captura_Pegaso!N145)</f>
      </c>
      <c r="C144" s="7922">
        <f>IF(Captura_Pegaso!A145="", "", IFERROR(LOOKUP(2, 1/((Captura_Obra!$A$5:$A$1000=E144)*(Captura_Obra!$B$5:$B$1000=F144)*(Captura_Obra!$D$5:$D$1000=G144)), Captura_Obra!$N$5:$N$1000), "No Reportado"))</f>
      </c>
      <c r="D144" s="7923">
        <f>IF(Captura_Pegaso!A145="", "", IF(J144=0, "✅ Cuadrado", IF(I144=0, "❌ Falta en Obra", "⚠️ Dif")))</f>
      </c>
      <c r="E144" s="7924">
        <f>IF(Captura_Pegaso!A145="", "", Captura_Pegaso!A145)</f>
      </c>
      <c r="F144" s="7925">
        <f>IF(Captura_Pegaso!A145="", "", Captura_Pegaso!D145)</f>
      </c>
      <c r="G144" s="7926">
        <f>IF(Captura_Pegaso!A145="", "", Captura_Pegaso!E145)</f>
      </c>
      <c r="H144" s="7927">
        <f>IF(Captura_Pegaso!A145="", "", Captura_Pegaso!H145)</f>
      </c>
      <c r="I144" s="7928">
        <f>IF(Captura_Pegaso!A145="", "", SUMIFS(Captura_Obra!$F:$F, Captura_Obra!$A:$A, E144, Captura_Obra!$B:$B, F144, Captura_Obra!$D:$D, G144))</f>
      </c>
      <c r="J144" s="7929">
        <f>IF(Captura_Pegaso!A145="", "", H144 - I144)</f>
      </c>
      <c r="K144" s="3953"/>
    </row>
    <row r="145" spans="1:11">
      <c r="A145" s="7930">
        <f>IF(Captura_Pegaso!A146="", "", "Pegaso")</f>
      </c>
      <c r="B145" s="7931">
        <f>IF(Captura_Pegaso!A146="", "", Captura_Pegaso!N146)</f>
      </c>
      <c r="C145" s="7932">
        <f>IF(Captura_Pegaso!A146="", "", IFERROR(LOOKUP(2, 1/((Captura_Obra!$A$5:$A$1000=E145)*(Captura_Obra!$B$5:$B$1000=F145)*(Captura_Obra!$D$5:$D$1000=G145)), Captura_Obra!$N$5:$N$1000), "No Reportado"))</f>
      </c>
      <c r="D145" s="7933">
        <f>IF(Captura_Pegaso!A146="", "", IF(J145=0, "✅ Cuadrado", IF(I145=0, "❌ Falta en Obra", "⚠️ Dif")))</f>
      </c>
      <c r="E145" s="7934">
        <f>IF(Captura_Pegaso!A146="", "", Captura_Pegaso!A146)</f>
      </c>
      <c r="F145" s="7935">
        <f>IF(Captura_Pegaso!A146="", "", Captura_Pegaso!D146)</f>
      </c>
      <c r="G145" s="7936">
        <f>IF(Captura_Pegaso!A146="", "", Captura_Pegaso!E146)</f>
      </c>
      <c r="H145" s="7937">
        <f>IF(Captura_Pegaso!A146="", "", Captura_Pegaso!H146)</f>
      </c>
      <c r="I145" s="7938">
        <f>IF(Captura_Pegaso!A146="", "", SUMIFS(Captura_Obra!$F:$F, Captura_Obra!$A:$A, E145, Captura_Obra!$B:$B, F145, Captura_Obra!$D:$D, G145))</f>
      </c>
      <c r="J145" s="7939">
        <f>IF(Captura_Pegaso!A146="", "", H145 - I145)</f>
      </c>
      <c r="K145" s="3954"/>
    </row>
    <row r="146" spans="1:11">
      <c r="A146" s="7940">
        <f>IF(Captura_Pegaso!A147="", "", "Pegaso")</f>
      </c>
      <c r="B146" s="7941">
        <f>IF(Captura_Pegaso!A147="", "", Captura_Pegaso!N147)</f>
      </c>
      <c r="C146" s="7942">
        <f>IF(Captura_Pegaso!A147="", "", IFERROR(LOOKUP(2, 1/((Captura_Obra!$A$5:$A$1000=E146)*(Captura_Obra!$B$5:$B$1000=F146)*(Captura_Obra!$D$5:$D$1000=G146)), Captura_Obra!$N$5:$N$1000), "No Reportado"))</f>
      </c>
      <c r="D146" s="7943">
        <f>IF(Captura_Pegaso!A147="", "", IF(J146=0, "✅ Cuadrado", IF(I146=0, "❌ Falta en Obra", "⚠️ Dif")))</f>
      </c>
      <c r="E146" s="7944">
        <f>IF(Captura_Pegaso!A147="", "", Captura_Pegaso!A147)</f>
      </c>
      <c r="F146" s="7945">
        <f>IF(Captura_Pegaso!A147="", "", Captura_Pegaso!D147)</f>
      </c>
      <c r="G146" s="7946">
        <f>IF(Captura_Pegaso!A147="", "", Captura_Pegaso!E147)</f>
      </c>
      <c r="H146" s="7947">
        <f>IF(Captura_Pegaso!A147="", "", Captura_Pegaso!H147)</f>
      </c>
      <c r="I146" s="7948">
        <f>IF(Captura_Pegaso!A147="", "", SUMIFS(Captura_Obra!$F:$F, Captura_Obra!$A:$A, E146, Captura_Obra!$B:$B, F146, Captura_Obra!$D:$D, G146))</f>
      </c>
      <c r="J146" s="7949">
        <f>IF(Captura_Pegaso!A147="", "", H146 - I146)</f>
      </c>
      <c r="K146" s="3955"/>
    </row>
    <row r="147" spans="1:11">
      <c r="A147" s="7950">
        <f>IF(Captura_Pegaso!A148="", "", "Pegaso")</f>
      </c>
      <c r="B147" s="7951">
        <f>IF(Captura_Pegaso!A148="", "", Captura_Pegaso!N148)</f>
      </c>
      <c r="C147" s="7952">
        <f>IF(Captura_Pegaso!A148="", "", IFERROR(LOOKUP(2, 1/((Captura_Obra!$A$5:$A$1000=E147)*(Captura_Obra!$B$5:$B$1000=F147)*(Captura_Obra!$D$5:$D$1000=G147)), Captura_Obra!$N$5:$N$1000), "No Reportado"))</f>
      </c>
      <c r="D147" s="7953">
        <f>IF(Captura_Pegaso!A148="", "", IF(J147=0, "✅ Cuadrado", IF(I147=0, "❌ Falta en Obra", "⚠️ Dif")))</f>
      </c>
      <c r="E147" s="7954">
        <f>IF(Captura_Pegaso!A148="", "", Captura_Pegaso!A148)</f>
      </c>
      <c r="F147" s="7955">
        <f>IF(Captura_Pegaso!A148="", "", Captura_Pegaso!D148)</f>
      </c>
      <c r="G147" s="7956">
        <f>IF(Captura_Pegaso!A148="", "", Captura_Pegaso!E148)</f>
      </c>
      <c r="H147" s="7957">
        <f>IF(Captura_Pegaso!A148="", "", Captura_Pegaso!H148)</f>
      </c>
      <c r="I147" s="7958">
        <f>IF(Captura_Pegaso!A148="", "", SUMIFS(Captura_Obra!$F:$F, Captura_Obra!$A:$A, E147, Captura_Obra!$B:$B, F147, Captura_Obra!$D:$D, G147))</f>
      </c>
      <c r="J147" s="7959">
        <f>IF(Captura_Pegaso!A148="", "", H147 - I147)</f>
      </c>
      <c r="K147" s="3956"/>
    </row>
    <row r="148" spans="1:11">
      <c r="A148" s="7960">
        <f>IF(Captura_Pegaso!A149="", "", "Pegaso")</f>
      </c>
      <c r="B148" s="7961">
        <f>IF(Captura_Pegaso!A149="", "", Captura_Pegaso!N149)</f>
      </c>
      <c r="C148" s="7962">
        <f>IF(Captura_Pegaso!A149="", "", IFERROR(LOOKUP(2, 1/((Captura_Obra!$A$5:$A$1000=E148)*(Captura_Obra!$B$5:$B$1000=F148)*(Captura_Obra!$D$5:$D$1000=G148)), Captura_Obra!$N$5:$N$1000), "No Reportado"))</f>
      </c>
      <c r="D148" s="7963">
        <f>IF(Captura_Pegaso!A149="", "", IF(J148=0, "✅ Cuadrado", IF(I148=0, "❌ Falta en Obra", "⚠️ Dif")))</f>
      </c>
      <c r="E148" s="7964">
        <f>IF(Captura_Pegaso!A149="", "", Captura_Pegaso!A149)</f>
      </c>
      <c r="F148" s="7965">
        <f>IF(Captura_Pegaso!A149="", "", Captura_Pegaso!D149)</f>
      </c>
      <c r="G148" s="7966">
        <f>IF(Captura_Pegaso!A149="", "", Captura_Pegaso!E149)</f>
      </c>
      <c r="H148" s="7967">
        <f>IF(Captura_Pegaso!A149="", "", Captura_Pegaso!H149)</f>
      </c>
      <c r="I148" s="7968">
        <f>IF(Captura_Pegaso!A149="", "", SUMIFS(Captura_Obra!$F:$F, Captura_Obra!$A:$A, E148, Captura_Obra!$B:$B, F148, Captura_Obra!$D:$D, G148))</f>
      </c>
      <c r="J148" s="7969">
        <f>IF(Captura_Pegaso!A149="", "", H148 - I148)</f>
      </c>
      <c r="K148" s="3957"/>
    </row>
    <row r="149" spans="1:11">
      <c r="A149" s="7970">
        <f>IF(Captura_Pegaso!A150="", "", "Pegaso")</f>
      </c>
      <c r="B149" s="7971">
        <f>IF(Captura_Pegaso!A150="", "", Captura_Pegaso!N150)</f>
      </c>
      <c r="C149" s="7972">
        <f>IF(Captura_Pegaso!A150="", "", IFERROR(LOOKUP(2, 1/((Captura_Obra!$A$5:$A$1000=E149)*(Captura_Obra!$B$5:$B$1000=F149)*(Captura_Obra!$D$5:$D$1000=G149)), Captura_Obra!$N$5:$N$1000), "No Reportado"))</f>
      </c>
      <c r="D149" s="7973">
        <f>IF(Captura_Pegaso!A150="", "", IF(J149=0, "✅ Cuadrado", IF(I149=0, "❌ Falta en Obra", "⚠️ Dif")))</f>
      </c>
      <c r="E149" s="7974">
        <f>IF(Captura_Pegaso!A150="", "", Captura_Pegaso!A150)</f>
      </c>
      <c r="F149" s="7975">
        <f>IF(Captura_Pegaso!A150="", "", Captura_Pegaso!D150)</f>
      </c>
      <c r="G149" s="7976">
        <f>IF(Captura_Pegaso!A150="", "", Captura_Pegaso!E150)</f>
      </c>
      <c r="H149" s="7977">
        <f>IF(Captura_Pegaso!A150="", "", Captura_Pegaso!H150)</f>
      </c>
      <c r="I149" s="7978">
        <f>IF(Captura_Pegaso!A150="", "", SUMIFS(Captura_Obra!$F:$F, Captura_Obra!$A:$A, E149, Captura_Obra!$B:$B, F149, Captura_Obra!$D:$D, G149))</f>
      </c>
      <c r="J149" s="7979">
        <f>IF(Captura_Pegaso!A150="", "", H149 - I149)</f>
      </c>
      <c r="K149" s="3958"/>
    </row>
    <row r="150" spans="1:11">
      <c r="A150" s="7980">
        <f>IF(Captura_Pegaso!A151="", "", "Pegaso")</f>
      </c>
      <c r="B150" s="7981">
        <f>IF(Captura_Pegaso!A151="", "", Captura_Pegaso!N151)</f>
      </c>
      <c r="C150" s="7982">
        <f>IF(Captura_Pegaso!A151="", "", IFERROR(LOOKUP(2, 1/((Captura_Obra!$A$5:$A$1000=E150)*(Captura_Obra!$B$5:$B$1000=F150)*(Captura_Obra!$D$5:$D$1000=G150)), Captura_Obra!$N$5:$N$1000), "No Reportado"))</f>
      </c>
      <c r="D150" s="7983">
        <f>IF(Captura_Pegaso!A151="", "", IF(J150=0, "✅ Cuadrado", IF(I150=0, "❌ Falta en Obra", "⚠️ Dif")))</f>
      </c>
      <c r="E150" s="7984">
        <f>IF(Captura_Pegaso!A151="", "", Captura_Pegaso!A151)</f>
      </c>
      <c r="F150" s="7985">
        <f>IF(Captura_Pegaso!A151="", "", Captura_Pegaso!D151)</f>
      </c>
      <c r="G150" s="7986">
        <f>IF(Captura_Pegaso!A151="", "", Captura_Pegaso!E151)</f>
      </c>
      <c r="H150" s="7987">
        <f>IF(Captura_Pegaso!A151="", "", Captura_Pegaso!H151)</f>
      </c>
      <c r="I150" s="7988">
        <f>IF(Captura_Pegaso!A151="", "", SUMIFS(Captura_Obra!$F:$F, Captura_Obra!$A:$A, E150, Captura_Obra!$B:$B, F150, Captura_Obra!$D:$D, G150))</f>
      </c>
      <c r="J150" s="7989">
        <f>IF(Captura_Pegaso!A151="", "", H150 - I150)</f>
      </c>
      <c r="K150" s="3959"/>
    </row>
    <row r="151" spans="1:11">
      <c r="A151" s="7990">
        <f>IF(Captura_Marimba_M01!A5="", "", "Marimba")</f>
      </c>
      <c r="B151" s="7991">
        <f>IF(Captura_Marimba_M01!A5="", "", Captura_Marimba_M01!N5)</f>
      </c>
      <c r="C151" s="7992">
        <f>IF(Captura_Marimba_M01!A5="", "", IFERROR(LOOKUP(2, 1/((Captura_Obra!$A$5:$A$1000=E151)*(Captura_Obra!$B$5:$B$1000=F151)*(Captura_Obra!$D$5:$D$1000=G151)), Captura_Obra!$N$5:$N$1000), "No Reportado"))</f>
      </c>
      <c r="D151" s="7993">
        <f>IF(Captura_Marimba_M01!A5="", "", IF(J151=0, "✅ Cuadrado", IF(I151=0, "❌ Falta en Obra", "⚠️ Dif")))</f>
      </c>
      <c r="E151" s="7994">
        <f>IF(Captura_Marimba_M01!A5="", "", Captura_Marimba_M01!A5)</f>
      </c>
      <c r="F151" s="7995">
        <f>IF(Captura_Marimba_M01!A5="", "", Captura_Marimba_M01!C5)</f>
      </c>
      <c r="G151" s="7996">
        <f>IF(Captura_Marimba_M01!A5="", "", Captura_Marimba_M01!D5)</f>
      </c>
      <c r="H151" s="7997">
        <f>IF(Captura_Marimba_M01!A5="", "", Captura_Marimba_M01!G5)</f>
      </c>
      <c r="I151" s="7998">
        <f>IF(Captura_Marimba_M01!A5="", "", SUMIFS(Captura_Obra!$F:$F, Captura_Obra!$A:$A, E151, Captura_Obra!$B:$B, F151, Captura_Obra!$D:$D, G151))</f>
      </c>
      <c r="J151" s="7999">
        <f>IF(Captura_Marimba_M01!A5="", "", H151 - I151)</f>
      </c>
      <c r="K151" s="3960"/>
    </row>
    <row r="152" spans="1:11">
      <c r="A152" s="8000">
        <f>IF(Captura_Marimba_M01!A6="", "", "Marimba")</f>
      </c>
      <c r="B152" s="8001">
        <f>IF(Captura_Marimba_M01!A6="", "", Captura_Marimba_M01!N6)</f>
      </c>
      <c r="C152" s="8002">
        <f>IF(Captura_Marimba_M01!A6="", "", IFERROR(LOOKUP(2, 1/((Captura_Obra!$A$5:$A$1000=E152)*(Captura_Obra!$B$5:$B$1000=F152)*(Captura_Obra!$D$5:$D$1000=G152)), Captura_Obra!$N$5:$N$1000), "No Reportado"))</f>
      </c>
      <c r="D152" s="8003">
        <f>IF(Captura_Marimba_M01!A6="", "", IF(J152=0, "✅ Cuadrado", IF(I152=0, "❌ Falta en Obra", "⚠️ Dif")))</f>
      </c>
      <c r="E152" s="8004">
        <f>IF(Captura_Marimba_M01!A6="", "", Captura_Marimba_M01!A6)</f>
      </c>
      <c r="F152" s="8005">
        <f>IF(Captura_Marimba_M01!A6="", "", Captura_Marimba_M01!C6)</f>
      </c>
      <c r="G152" s="8006">
        <f>IF(Captura_Marimba_M01!A6="", "", Captura_Marimba_M01!D6)</f>
      </c>
      <c r="H152" s="8007">
        <f>IF(Captura_Marimba_M01!A6="", "", Captura_Marimba_M01!G6)</f>
      </c>
      <c r="I152" s="8008">
        <f>IF(Captura_Marimba_M01!A6="", "", SUMIFS(Captura_Obra!$F:$F, Captura_Obra!$A:$A, E152, Captura_Obra!$B:$B, F152, Captura_Obra!$D:$D, G152))</f>
      </c>
      <c r="J152" s="8009">
        <f>IF(Captura_Marimba_M01!A6="", "", H152 - I152)</f>
      </c>
      <c r="K152" s="3961"/>
    </row>
    <row r="153" spans="1:11">
      <c r="A153" s="8010">
        <f>IF(Captura_Marimba_M01!A7="", "", "Marimba")</f>
      </c>
      <c r="B153" s="8011">
        <f>IF(Captura_Marimba_M01!A7="", "", Captura_Marimba_M01!N7)</f>
      </c>
      <c r="C153" s="8012">
        <f>IF(Captura_Marimba_M01!A7="", "", IFERROR(LOOKUP(2, 1/((Captura_Obra!$A$5:$A$1000=E153)*(Captura_Obra!$B$5:$B$1000=F153)*(Captura_Obra!$D$5:$D$1000=G153)), Captura_Obra!$N$5:$N$1000), "No Reportado"))</f>
      </c>
      <c r="D153" s="8013">
        <f>IF(Captura_Marimba_M01!A7="", "", IF(J153=0, "✅ Cuadrado", IF(I153=0, "❌ Falta en Obra", "⚠️ Dif")))</f>
      </c>
      <c r="E153" s="8014">
        <f>IF(Captura_Marimba_M01!A7="", "", Captura_Marimba_M01!A7)</f>
      </c>
      <c r="F153" s="8015">
        <f>IF(Captura_Marimba_M01!A7="", "", Captura_Marimba_M01!C7)</f>
      </c>
      <c r="G153" s="8016">
        <f>IF(Captura_Marimba_M01!A7="", "", Captura_Marimba_M01!D7)</f>
      </c>
      <c r="H153" s="8017">
        <f>IF(Captura_Marimba_M01!A7="", "", Captura_Marimba_M01!G7)</f>
      </c>
      <c r="I153" s="8018">
        <f>IF(Captura_Marimba_M01!A7="", "", SUMIFS(Captura_Obra!$F:$F, Captura_Obra!$A:$A, E153, Captura_Obra!$B:$B, F153, Captura_Obra!$D:$D, G153))</f>
      </c>
      <c r="J153" s="8019">
        <f>IF(Captura_Marimba_M01!A7="", "", H153 - I153)</f>
      </c>
      <c r="K153" s="3962"/>
    </row>
    <row r="154" spans="1:11">
      <c r="A154" s="8020">
        <f>IF(Captura_Marimba_M01!A8="", "", "Marimba")</f>
      </c>
      <c r="B154" s="8021">
        <f>IF(Captura_Marimba_M01!A8="", "", Captura_Marimba_M01!N8)</f>
      </c>
      <c r="C154" s="8022">
        <f>IF(Captura_Marimba_M01!A8="", "", IFERROR(LOOKUP(2, 1/((Captura_Obra!$A$5:$A$1000=E154)*(Captura_Obra!$B$5:$B$1000=F154)*(Captura_Obra!$D$5:$D$1000=G154)), Captura_Obra!$N$5:$N$1000), "No Reportado"))</f>
      </c>
      <c r="D154" s="8023">
        <f>IF(Captura_Marimba_M01!A8="", "", IF(J154=0, "✅ Cuadrado", IF(I154=0, "❌ Falta en Obra", "⚠️ Dif")))</f>
      </c>
      <c r="E154" s="8024">
        <f>IF(Captura_Marimba_M01!A8="", "", Captura_Marimba_M01!A8)</f>
      </c>
      <c r="F154" s="8025">
        <f>IF(Captura_Marimba_M01!A8="", "", Captura_Marimba_M01!C8)</f>
      </c>
      <c r="G154" s="8026">
        <f>IF(Captura_Marimba_M01!A8="", "", Captura_Marimba_M01!D8)</f>
      </c>
      <c r="H154" s="8027">
        <f>IF(Captura_Marimba_M01!A8="", "", Captura_Marimba_M01!G8)</f>
      </c>
      <c r="I154" s="8028">
        <f>IF(Captura_Marimba_M01!A8="", "", SUMIFS(Captura_Obra!$F:$F, Captura_Obra!$A:$A, E154, Captura_Obra!$B:$B, F154, Captura_Obra!$D:$D, G154))</f>
      </c>
      <c r="J154" s="8029">
        <f>IF(Captura_Marimba_M01!A8="", "", H154 - I154)</f>
      </c>
      <c r="K154" s="3963"/>
    </row>
    <row r="155" spans="1:11">
      <c r="A155" s="8030">
        <f>IF(Captura_Marimba_M01!A9="", "", "Marimba")</f>
      </c>
      <c r="B155" s="8031">
        <f>IF(Captura_Marimba_M01!A9="", "", Captura_Marimba_M01!N9)</f>
      </c>
      <c r="C155" s="8032">
        <f>IF(Captura_Marimba_M01!A9="", "", IFERROR(LOOKUP(2, 1/((Captura_Obra!$A$5:$A$1000=E155)*(Captura_Obra!$B$5:$B$1000=F155)*(Captura_Obra!$D$5:$D$1000=G155)), Captura_Obra!$N$5:$N$1000), "No Reportado"))</f>
      </c>
      <c r="D155" s="8033">
        <f>IF(Captura_Marimba_M01!A9="", "", IF(J155=0, "✅ Cuadrado", IF(I155=0, "❌ Falta en Obra", "⚠️ Dif")))</f>
      </c>
      <c r="E155" s="8034">
        <f>IF(Captura_Marimba_M01!A9="", "", Captura_Marimba_M01!A9)</f>
      </c>
      <c r="F155" s="8035">
        <f>IF(Captura_Marimba_M01!A9="", "", Captura_Marimba_M01!C9)</f>
      </c>
      <c r="G155" s="8036">
        <f>IF(Captura_Marimba_M01!A9="", "", Captura_Marimba_M01!D9)</f>
      </c>
      <c r="H155" s="8037">
        <f>IF(Captura_Marimba_M01!A9="", "", Captura_Marimba_M01!G9)</f>
      </c>
      <c r="I155" s="8038">
        <f>IF(Captura_Marimba_M01!A9="", "", SUMIFS(Captura_Obra!$F:$F, Captura_Obra!$A:$A, E155, Captura_Obra!$B:$B, F155, Captura_Obra!$D:$D, G155))</f>
      </c>
      <c r="J155" s="8039">
        <f>IF(Captura_Marimba_M01!A9="", "", H155 - I155)</f>
      </c>
      <c r="K155" s="3964"/>
    </row>
    <row r="156" spans="1:11">
      <c r="A156" s="8040">
        <f>IF(Captura_Marimba_M01!A10="", "", "Marimba")</f>
      </c>
      <c r="B156" s="8041">
        <f>IF(Captura_Marimba_M01!A10="", "", Captura_Marimba_M01!N10)</f>
      </c>
      <c r="C156" s="8042">
        <f>IF(Captura_Marimba_M01!A10="", "", IFERROR(LOOKUP(2, 1/((Captura_Obra!$A$5:$A$1000=E156)*(Captura_Obra!$B$5:$B$1000=F156)*(Captura_Obra!$D$5:$D$1000=G156)), Captura_Obra!$N$5:$N$1000), "No Reportado"))</f>
      </c>
      <c r="D156" s="8043">
        <f>IF(Captura_Marimba_M01!A10="", "", IF(J156=0, "✅ Cuadrado", IF(I156=0, "❌ Falta en Obra", "⚠️ Dif")))</f>
      </c>
      <c r="E156" s="8044">
        <f>IF(Captura_Marimba_M01!A10="", "", Captura_Marimba_M01!A10)</f>
      </c>
      <c r="F156" s="8045">
        <f>IF(Captura_Marimba_M01!A10="", "", Captura_Marimba_M01!C10)</f>
      </c>
      <c r="G156" s="8046">
        <f>IF(Captura_Marimba_M01!A10="", "", Captura_Marimba_M01!D10)</f>
      </c>
      <c r="H156" s="8047">
        <f>IF(Captura_Marimba_M01!A10="", "", Captura_Marimba_M01!G10)</f>
      </c>
      <c r="I156" s="8048">
        <f>IF(Captura_Marimba_M01!A10="", "", SUMIFS(Captura_Obra!$F:$F, Captura_Obra!$A:$A, E156, Captura_Obra!$B:$B, F156, Captura_Obra!$D:$D, G156))</f>
      </c>
      <c r="J156" s="8049">
        <f>IF(Captura_Marimba_M01!A10="", "", H156 - I156)</f>
      </c>
      <c r="K156" s="3965"/>
    </row>
    <row r="157" spans="1:11">
      <c r="A157" s="8050">
        <f>IF(Captura_Marimba_M01!A11="", "", "Marimba")</f>
      </c>
      <c r="B157" s="8051">
        <f>IF(Captura_Marimba_M01!A11="", "", Captura_Marimba_M01!N11)</f>
      </c>
      <c r="C157" s="8052">
        <f>IF(Captura_Marimba_M01!A11="", "", IFERROR(LOOKUP(2, 1/((Captura_Obra!$A$5:$A$1000=E157)*(Captura_Obra!$B$5:$B$1000=F157)*(Captura_Obra!$D$5:$D$1000=G157)), Captura_Obra!$N$5:$N$1000), "No Reportado"))</f>
      </c>
      <c r="D157" s="8053">
        <f>IF(Captura_Marimba_M01!A11="", "", IF(J157=0, "✅ Cuadrado", IF(I157=0, "❌ Falta en Obra", "⚠️ Dif")))</f>
      </c>
      <c r="E157" s="8054">
        <f>IF(Captura_Marimba_M01!A11="", "", Captura_Marimba_M01!A11)</f>
      </c>
      <c r="F157" s="8055">
        <f>IF(Captura_Marimba_M01!A11="", "", Captura_Marimba_M01!C11)</f>
      </c>
      <c r="G157" s="8056">
        <f>IF(Captura_Marimba_M01!A11="", "", Captura_Marimba_M01!D11)</f>
      </c>
      <c r="H157" s="8057">
        <f>IF(Captura_Marimba_M01!A11="", "", Captura_Marimba_M01!G11)</f>
      </c>
      <c r="I157" s="8058">
        <f>IF(Captura_Marimba_M01!A11="", "", SUMIFS(Captura_Obra!$F:$F, Captura_Obra!$A:$A, E157, Captura_Obra!$B:$B, F157, Captura_Obra!$D:$D, G157))</f>
      </c>
      <c r="J157" s="8059">
        <f>IF(Captura_Marimba_M01!A11="", "", H157 - I157)</f>
      </c>
      <c r="K157" s="3966"/>
    </row>
    <row r="158" spans="1:11">
      <c r="A158" s="8060">
        <f>IF(Captura_Marimba_M01!A12="", "", "Marimba")</f>
      </c>
      <c r="B158" s="8061">
        <f>IF(Captura_Marimba_M01!A12="", "", Captura_Marimba_M01!N12)</f>
      </c>
      <c r="C158" s="8062">
        <f>IF(Captura_Marimba_M01!A12="", "", IFERROR(LOOKUP(2, 1/((Captura_Obra!$A$5:$A$1000=E158)*(Captura_Obra!$B$5:$B$1000=F158)*(Captura_Obra!$D$5:$D$1000=G158)), Captura_Obra!$N$5:$N$1000), "No Reportado"))</f>
      </c>
      <c r="D158" s="8063">
        <f>IF(Captura_Marimba_M01!A12="", "", IF(J158=0, "✅ Cuadrado", IF(I158=0, "❌ Falta en Obra", "⚠️ Dif")))</f>
      </c>
      <c r="E158" s="8064">
        <f>IF(Captura_Marimba_M01!A12="", "", Captura_Marimba_M01!A12)</f>
      </c>
      <c r="F158" s="8065">
        <f>IF(Captura_Marimba_M01!A12="", "", Captura_Marimba_M01!C12)</f>
      </c>
      <c r="G158" s="8066">
        <f>IF(Captura_Marimba_M01!A12="", "", Captura_Marimba_M01!D12)</f>
      </c>
      <c r="H158" s="8067">
        <f>IF(Captura_Marimba_M01!A12="", "", Captura_Marimba_M01!G12)</f>
      </c>
      <c r="I158" s="8068">
        <f>IF(Captura_Marimba_M01!A12="", "", SUMIFS(Captura_Obra!$F:$F, Captura_Obra!$A:$A, E158, Captura_Obra!$B:$B, F158, Captura_Obra!$D:$D, G158))</f>
      </c>
      <c r="J158" s="8069">
        <f>IF(Captura_Marimba_M01!A12="", "", H158 - I158)</f>
      </c>
      <c r="K158" s="3967"/>
    </row>
    <row r="159" spans="1:11">
      <c r="A159" s="8070">
        <f>IF(Captura_Marimba_M01!A13="", "", "Marimba")</f>
      </c>
      <c r="B159" s="8071">
        <f>IF(Captura_Marimba_M01!A13="", "", Captura_Marimba_M01!N13)</f>
      </c>
      <c r="C159" s="8072">
        <f>IF(Captura_Marimba_M01!A13="", "", IFERROR(LOOKUP(2, 1/((Captura_Obra!$A$5:$A$1000=E159)*(Captura_Obra!$B$5:$B$1000=F159)*(Captura_Obra!$D$5:$D$1000=G159)), Captura_Obra!$N$5:$N$1000), "No Reportado"))</f>
      </c>
      <c r="D159" s="8073">
        <f>IF(Captura_Marimba_M01!A13="", "", IF(J159=0, "✅ Cuadrado", IF(I159=0, "❌ Falta en Obra", "⚠️ Dif")))</f>
      </c>
      <c r="E159" s="8074">
        <f>IF(Captura_Marimba_M01!A13="", "", Captura_Marimba_M01!A13)</f>
      </c>
      <c r="F159" s="8075">
        <f>IF(Captura_Marimba_M01!A13="", "", Captura_Marimba_M01!C13)</f>
      </c>
      <c r="G159" s="8076">
        <f>IF(Captura_Marimba_M01!A13="", "", Captura_Marimba_M01!D13)</f>
      </c>
      <c r="H159" s="8077">
        <f>IF(Captura_Marimba_M01!A13="", "", Captura_Marimba_M01!G13)</f>
      </c>
      <c r="I159" s="8078">
        <f>IF(Captura_Marimba_M01!A13="", "", SUMIFS(Captura_Obra!$F:$F, Captura_Obra!$A:$A, E159, Captura_Obra!$B:$B, F159, Captura_Obra!$D:$D, G159))</f>
      </c>
      <c r="J159" s="8079">
        <f>IF(Captura_Marimba_M01!A13="", "", H159 - I159)</f>
      </c>
      <c r="K159" s="3968"/>
    </row>
    <row r="160" spans="1:11">
      <c r="A160" s="8080">
        <f>IF(Captura_Marimba_M01!A14="", "", "Marimba")</f>
      </c>
      <c r="B160" s="8081">
        <f>IF(Captura_Marimba_M01!A14="", "", Captura_Marimba_M01!N14)</f>
      </c>
      <c r="C160" s="8082">
        <f>IF(Captura_Marimba_M01!A14="", "", IFERROR(LOOKUP(2, 1/((Captura_Obra!$A$5:$A$1000=E160)*(Captura_Obra!$B$5:$B$1000=F160)*(Captura_Obra!$D$5:$D$1000=G160)), Captura_Obra!$N$5:$N$1000), "No Reportado"))</f>
      </c>
      <c r="D160" s="8083">
        <f>IF(Captura_Marimba_M01!A14="", "", IF(J160=0, "✅ Cuadrado", IF(I160=0, "❌ Falta en Obra", "⚠️ Dif")))</f>
      </c>
      <c r="E160" s="8084">
        <f>IF(Captura_Marimba_M01!A14="", "", Captura_Marimba_M01!A14)</f>
      </c>
      <c r="F160" s="8085">
        <f>IF(Captura_Marimba_M01!A14="", "", Captura_Marimba_M01!C14)</f>
      </c>
      <c r="G160" s="8086">
        <f>IF(Captura_Marimba_M01!A14="", "", Captura_Marimba_M01!D14)</f>
      </c>
      <c r="H160" s="8087">
        <f>IF(Captura_Marimba_M01!A14="", "", Captura_Marimba_M01!G14)</f>
      </c>
      <c r="I160" s="8088">
        <f>IF(Captura_Marimba_M01!A14="", "", SUMIFS(Captura_Obra!$F:$F, Captura_Obra!$A:$A, E160, Captura_Obra!$B:$B, F160, Captura_Obra!$D:$D, G160))</f>
      </c>
      <c r="J160" s="8089">
        <f>IF(Captura_Marimba_M01!A14="", "", H160 - I160)</f>
      </c>
      <c r="K160" s="3969"/>
    </row>
    <row r="161" spans="1:11">
      <c r="A161" s="8090">
        <f>IF(Captura_Marimba_M01!A15="", "", "Marimba")</f>
      </c>
      <c r="B161" s="8091">
        <f>IF(Captura_Marimba_M01!A15="", "", Captura_Marimba_M01!N15)</f>
      </c>
      <c r="C161" s="8092">
        <f>IF(Captura_Marimba_M01!A15="", "", IFERROR(LOOKUP(2, 1/((Captura_Obra!$A$5:$A$1000=E161)*(Captura_Obra!$B$5:$B$1000=F161)*(Captura_Obra!$D$5:$D$1000=G161)), Captura_Obra!$N$5:$N$1000), "No Reportado"))</f>
      </c>
      <c r="D161" s="8093">
        <f>IF(Captura_Marimba_M01!A15="", "", IF(J161=0, "✅ Cuadrado", IF(I161=0, "❌ Falta en Obra", "⚠️ Dif")))</f>
      </c>
      <c r="E161" s="8094">
        <f>IF(Captura_Marimba_M01!A15="", "", Captura_Marimba_M01!A15)</f>
      </c>
      <c r="F161" s="8095">
        <f>IF(Captura_Marimba_M01!A15="", "", Captura_Marimba_M01!C15)</f>
      </c>
      <c r="G161" s="8096">
        <f>IF(Captura_Marimba_M01!A15="", "", Captura_Marimba_M01!D15)</f>
      </c>
      <c r="H161" s="8097">
        <f>IF(Captura_Marimba_M01!A15="", "", Captura_Marimba_M01!G15)</f>
      </c>
      <c r="I161" s="8098">
        <f>IF(Captura_Marimba_M01!A15="", "", SUMIFS(Captura_Obra!$F:$F, Captura_Obra!$A:$A, E161, Captura_Obra!$B:$B, F161, Captura_Obra!$D:$D, G161))</f>
      </c>
      <c r="J161" s="8099">
        <f>IF(Captura_Marimba_M01!A15="", "", H161 - I161)</f>
      </c>
      <c r="K161" s="3970"/>
    </row>
    <row r="162" spans="1:11">
      <c r="A162" s="8100">
        <f>IF(Captura_Marimba_M01!A16="", "", "Marimba")</f>
      </c>
      <c r="B162" s="8101">
        <f>IF(Captura_Marimba_M01!A16="", "", Captura_Marimba_M01!N16)</f>
      </c>
      <c r="C162" s="8102">
        <f>IF(Captura_Marimba_M01!A16="", "", IFERROR(LOOKUP(2, 1/((Captura_Obra!$A$5:$A$1000=E162)*(Captura_Obra!$B$5:$B$1000=F162)*(Captura_Obra!$D$5:$D$1000=G162)), Captura_Obra!$N$5:$N$1000), "No Reportado"))</f>
      </c>
      <c r="D162" s="8103">
        <f>IF(Captura_Marimba_M01!A16="", "", IF(J162=0, "✅ Cuadrado", IF(I162=0, "❌ Falta en Obra", "⚠️ Dif")))</f>
      </c>
      <c r="E162" s="8104">
        <f>IF(Captura_Marimba_M01!A16="", "", Captura_Marimba_M01!A16)</f>
      </c>
      <c r="F162" s="8105">
        <f>IF(Captura_Marimba_M01!A16="", "", Captura_Marimba_M01!C16)</f>
      </c>
      <c r="G162" s="8106">
        <f>IF(Captura_Marimba_M01!A16="", "", Captura_Marimba_M01!D16)</f>
      </c>
      <c r="H162" s="8107">
        <f>IF(Captura_Marimba_M01!A16="", "", Captura_Marimba_M01!G16)</f>
      </c>
      <c r="I162" s="8108">
        <f>IF(Captura_Marimba_M01!A16="", "", SUMIFS(Captura_Obra!$F:$F, Captura_Obra!$A:$A, E162, Captura_Obra!$B:$B, F162, Captura_Obra!$D:$D, G162))</f>
      </c>
      <c r="J162" s="8109">
        <f>IF(Captura_Marimba_M01!A16="", "", H162 - I162)</f>
      </c>
      <c r="K162" s="3971"/>
    </row>
    <row r="163" spans="1:11">
      <c r="A163" s="8110">
        <f>IF(Captura_Marimba_M01!A17="", "", "Marimba")</f>
      </c>
      <c r="B163" s="8111">
        <f>IF(Captura_Marimba_M01!A17="", "", Captura_Marimba_M01!N17)</f>
      </c>
      <c r="C163" s="8112">
        <f>IF(Captura_Marimba_M01!A17="", "", IFERROR(LOOKUP(2, 1/((Captura_Obra!$A$5:$A$1000=E163)*(Captura_Obra!$B$5:$B$1000=F163)*(Captura_Obra!$D$5:$D$1000=G163)), Captura_Obra!$N$5:$N$1000), "No Reportado"))</f>
      </c>
      <c r="D163" s="8113">
        <f>IF(Captura_Marimba_M01!A17="", "", IF(J163=0, "✅ Cuadrado", IF(I163=0, "❌ Falta en Obra", "⚠️ Dif")))</f>
      </c>
      <c r="E163" s="8114">
        <f>IF(Captura_Marimba_M01!A17="", "", Captura_Marimba_M01!A17)</f>
      </c>
      <c r="F163" s="8115">
        <f>IF(Captura_Marimba_M01!A17="", "", Captura_Marimba_M01!C17)</f>
      </c>
      <c r="G163" s="8116">
        <f>IF(Captura_Marimba_M01!A17="", "", Captura_Marimba_M01!D17)</f>
      </c>
      <c r="H163" s="8117">
        <f>IF(Captura_Marimba_M01!A17="", "", Captura_Marimba_M01!G17)</f>
      </c>
      <c r="I163" s="8118">
        <f>IF(Captura_Marimba_M01!A17="", "", SUMIFS(Captura_Obra!$F:$F, Captura_Obra!$A:$A, E163, Captura_Obra!$B:$B, F163, Captura_Obra!$D:$D, G163))</f>
      </c>
      <c r="J163" s="8119">
        <f>IF(Captura_Marimba_M01!A17="", "", H163 - I163)</f>
      </c>
      <c r="K163" s="3972"/>
    </row>
    <row r="164" spans="1:11">
      <c r="A164" s="8120">
        <f>IF(Captura_Marimba_M01!A18="", "", "Marimba")</f>
      </c>
      <c r="B164" s="8121">
        <f>IF(Captura_Marimba_M01!A18="", "", Captura_Marimba_M01!N18)</f>
      </c>
      <c r="C164" s="8122">
        <f>IF(Captura_Marimba_M01!A18="", "", IFERROR(LOOKUP(2, 1/((Captura_Obra!$A$5:$A$1000=E164)*(Captura_Obra!$B$5:$B$1000=F164)*(Captura_Obra!$D$5:$D$1000=G164)), Captura_Obra!$N$5:$N$1000), "No Reportado"))</f>
      </c>
      <c r="D164" s="8123">
        <f>IF(Captura_Marimba_M01!A18="", "", IF(J164=0, "✅ Cuadrado", IF(I164=0, "❌ Falta en Obra", "⚠️ Dif")))</f>
      </c>
      <c r="E164" s="8124">
        <f>IF(Captura_Marimba_M01!A18="", "", Captura_Marimba_M01!A18)</f>
      </c>
      <c r="F164" s="8125">
        <f>IF(Captura_Marimba_M01!A18="", "", Captura_Marimba_M01!C18)</f>
      </c>
      <c r="G164" s="8126">
        <f>IF(Captura_Marimba_M01!A18="", "", Captura_Marimba_M01!D18)</f>
      </c>
      <c r="H164" s="8127">
        <f>IF(Captura_Marimba_M01!A18="", "", Captura_Marimba_M01!G18)</f>
      </c>
      <c r="I164" s="8128">
        <f>IF(Captura_Marimba_M01!A18="", "", SUMIFS(Captura_Obra!$F:$F, Captura_Obra!$A:$A, E164, Captura_Obra!$B:$B, F164, Captura_Obra!$D:$D, G164))</f>
      </c>
      <c r="J164" s="8129">
        <f>IF(Captura_Marimba_M01!A18="", "", H164 - I164)</f>
      </c>
      <c r="K164" s="3973"/>
    </row>
    <row r="165" spans="1:11">
      <c r="A165" s="8130">
        <f>IF(Captura_Marimba_M01!A19="", "", "Marimba")</f>
      </c>
      <c r="B165" s="8131">
        <f>IF(Captura_Marimba_M01!A19="", "", Captura_Marimba_M01!N19)</f>
      </c>
      <c r="C165" s="8132">
        <f>IF(Captura_Marimba_M01!A19="", "", IFERROR(LOOKUP(2, 1/((Captura_Obra!$A$5:$A$1000=E165)*(Captura_Obra!$B$5:$B$1000=F165)*(Captura_Obra!$D$5:$D$1000=G165)), Captura_Obra!$N$5:$N$1000), "No Reportado"))</f>
      </c>
      <c r="D165" s="8133">
        <f>IF(Captura_Marimba_M01!A19="", "", IF(J165=0, "✅ Cuadrado", IF(I165=0, "❌ Falta en Obra", "⚠️ Dif")))</f>
      </c>
      <c r="E165" s="8134">
        <f>IF(Captura_Marimba_M01!A19="", "", Captura_Marimba_M01!A19)</f>
      </c>
      <c r="F165" s="8135">
        <f>IF(Captura_Marimba_M01!A19="", "", Captura_Marimba_M01!C19)</f>
      </c>
      <c r="G165" s="8136">
        <f>IF(Captura_Marimba_M01!A19="", "", Captura_Marimba_M01!D19)</f>
      </c>
      <c r="H165" s="8137">
        <f>IF(Captura_Marimba_M01!A19="", "", Captura_Marimba_M01!G19)</f>
      </c>
      <c r="I165" s="8138">
        <f>IF(Captura_Marimba_M01!A19="", "", SUMIFS(Captura_Obra!$F:$F, Captura_Obra!$A:$A, E165, Captura_Obra!$B:$B, F165, Captura_Obra!$D:$D, G165))</f>
      </c>
      <c r="J165" s="8139">
        <f>IF(Captura_Marimba_M01!A19="", "", H165 - I165)</f>
      </c>
      <c r="K165" s="3974"/>
    </row>
    <row r="166" spans="1:11">
      <c r="A166" s="8140">
        <f>IF(Captura_Marimba_M01!A20="", "", "Marimba")</f>
      </c>
      <c r="B166" s="8141">
        <f>IF(Captura_Marimba_M01!A20="", "", Captura_Marimba_M01!N20)</f>
      </c>
      <c r="C166" s="8142">
        <f>IF(Captura_Marimba_M01!A20="", "", IFERROR(LOOKUP(2, 1/((Captura_Obra!$A$5:$A$1000=E166)*(Captura_Obra!$B$5:$B$1000=F166)*(Captura_Obra!$D$5:$D$1000=G166)), Captura_Obra!$N$5:$N$1000), "No Reportado"))</f>
      </c>
      <c r="D166" s="8143">
        <f>IF(Captura_Marimba_M01!A20="", "", IF(J166=0, "✅ Cuadrado", IF(I166=0, "❌ Falta en Obra", "⚠️ Dif")))</f>
      </c>
      <c r="E166" s="8144">
        <f>IF(Captura_Marimba_M01!A20="", "", Captura_Marimba_M01!A20)</f>
      </c>
      <c r="F166" s="8145">
        <f>IF(Captura_Marimba_M01!A20="", "", Captura_Marimba_M01!C20)</f>
      </c>
      <c r="G166" s="8146">
        <f>IF(Captura_Marimba_M01!A20="", "", Captura_Marimba_M01!D20)</f>
      </c>
      <c r="H166" s="8147">
        <f>IF(Captura_Marimba_M01!A20="", "", Captura_Marimba_M01!G20)</f>
      </c>
      <c r="I166" s="8148">
        <f>IF(Captura_Marimba_M01!A20="", "", SUMIFS(Captura_Obra!$F:$F, Captura_Obra!$A:$A, E166, Captura_Obra!$B:$B, F166, Captura_Obra!$D:$D, G166))</f>
      </c>
      <c r="J166" s="8149">
        <f>IF(Captura_Marimba_M01!A20="", "", H166 - I166)</f>
      </c>
      <c r="K166" s="3975"/>
    </row>
    <row r="167" spans="1:11">
      <c r="A167" s="8150">
        <f>IF(Captura_Marimba_M01!A21="", "", "Marimba")</f>
      </c>
      <c r="B167" s="8151">
        <f>IF(Captura_Marimba_M01!A21="", "", Captura_Marimba_M01!N21)</f>
      </c>
      <c r="C167" s="8152">
        <f>IF(Captura_Marimba_M01!A21="", "", IFERROR(LOOKUP(2, 1/((Captura_Obra!$A$5:$A$1000=E167)*(Captura_Obra!$B$5:$B$1000=F167)*(Captura_Obra!$D$5:$D$1000=G167)), Captura_Obra!$N$5:$N$1000), "No Reportado"))</f>
      </c>
      <c r="D167" s="8153">
        <f>IF(Captura_Marimba_M01!A21="", "", IF(J167=0, "✅ Cuadrado", IF(I167=0, "❌ Falta en Obra", "⚠️ Dif")))</f>
      </c>
      <c r="E167" s="8154">
        <f>IF(Captura_Marimba_M01!A21="", "", Captura_Marimba_M01!A21)</f>
      </c>
      <c r="F167" s="8155">
        <f>IF(Captura_Marimba_M01!A21="", "", Captura_Marimba_M01!C21)</f>
      </c>
      <c r="G167" s="8156">
        <f>IF(Captura_Marimba_M01!A21="", "", Captura_Marimba_M01!D21)</f>
      </c>
      <c r="H167" s="8157">
        <f>IF(Captura_Marimba_M01!A21="", "", Captura_Marimba_M01!G21)</f>
      </c>
      <c r="I167" s="8158">
        <f>IF(Captura_Marimba_M01!A21="", "", SUMIFS(Captura_Obra!$F:$F, Captura_Obra!$A:$A, E167, Captura_Obra!$B:$B, F167, Captura_Obra!$D:$D, G167))</f>
      </c>
      <c r="J167" s="8159">
        <f>IF(Captura_Marimba_M01!A21="", "", H167 - I167)</f>
      </c>
      <c r="K167" s="3976"/>
    </row>
    <row r="168" spans="1:11">
      <c r="A168" s="8160">
        <f>IF(Captura_Marimba_M01!A22="", "", "Marimba")</f>
      </c>
      <c r="B168" s="8161">
        <f>IF(Captura_Marimba_M01!A22="", "", Captura_Marimba_M01!N22)</f>
      </c>
      <c r="C168" s="8162">
        <f>IF(Captura_Marimba_M01!A22="", "", IFERROR(LOOKUP(2, 1/((Captura_Obra!$A$5:$A$1000=E168)*(Captura_Obra!$B$5:$B$1000=F168)*(Captura_Obra!$D$5:$D$1000=G168)), Captura_Obra!$N$5:$N$1000), "No Reportado"))</f>
      </c>
      <c r="D168" s="8163">
        <f>IF(Captura_Marimba_M01!A22="", "", IF(J168=0, "✅ Cuadrado", IF(I168=0, "❌ Falta en Obra", "⚠️ Dif")))</f>
      </c>
      <c r="E168" s="8164">
        <f>IF(Captura_Marimba_M01!A22="", "", Captura_Marimba_M01!A22)</f>
      </c>
      <c r="F168" s="8165">
        <f>IF(Captura_Marimba_M01!A22="", "", Captura_Marimba_M01!C22)</f>
      </c>
      <c r="G168" s="8166">
        <f>IF(Captura_Marimba_M01!A22="", "", Captura_Marimba_M01!D22)</f>
      </c>
      <c r="H168" s="8167">
        <f>IF(Captura_Marimba_M01!A22="", "", Captura_Marimba_M01!G22)</f>
      </c>
      <c r="I168" s="8168">
        <f>IF(Captura_Marimba_M01!A22="", "", SUMIFS(Captura_Obra!$F:$F, Captura_Obra!$A:$A, E168, Captura_Obra!$B:$B, F168, Captura_Obra!$D:$D, G168))</f>
      </c>
      <c r="J168" s="8169">
        <f>IF(Captura_Marimba_M01!A22="", "", H168 - I168)</f>
      </c>
      <c r="K168" s="3977"/>
    </row>
    <row r="169" spans="1:11">
      <c r="A169" s="8170">
        <f>IF(Captura_Marimba_M01!A23="", "", "Marimba")</f>
      </c>
      <c r="B169" s="8171">
        <f>IF(Captura_Marimba_M01!A23="", "", Captura_Marimba_M01!N23)</f>
      </c>
      <c r="C169" s="8172">
        <f>IF(Captura_Marimba_M01!A23="", "", IFERROR(LOOKUP(2, 1/((Captura_Obra!$A$5:$A$1000=E169)*(Captura_Obra!$B$5:$B$1000=F169)*(Captura_Obra!$D$5:$D$1000=G169)), Captura_Obra!$N$5:$N$1000), "No Reportado"))</f>
      </c>
      <c r="D169" s="8173">
        <f>IF(Captura_Marimba_M01!A23="", "", IF(J169=0, "✅ Cuadrado", IF(I169=0, "❌ Falta en Obra", "⚠️ Dif")))</f>
      </c>
      <c r="E169" s="8174">
        <f>IF(Captura_Marimba_M01!A23="", "", Captura_Marimba_M01!A23)</f>
      </c>
      <c r="F169" s="8175">
        <f>IF(Captura_Marimba_M01!A23="", "", Captura_Marimba_M01!C23)</f>
      </c>
      <c r="G169" s="8176">
        <f>IF(Captura_Marimba_M01!A23="", "", Captura_Marimba_M01!D23)</f>
      </c>
      <c r="H169" s="8177">
        <f>IF(Captura_Marimba_M01!A23="", "", Captura_Marimba_M01!G23)</f>
      </c>
      <c r="I169" s="8178">
        <f>IF(Captura_Marimba_M01!A23="", "", SUMIFS(Captura_Obra!$F:$F, Captura_Obra!$A:$A, E169, Captura_Obra!$B:$B, F169, Captura_Obra!$D:$D, G169))</f>
      </c>
      <c r="J169" s="8179">
        <f>IF(Captura_Marimba_M01!A23="", "", H169 - I169)</f>
      </c>
      <c r="K169" s="3978"/>
    </row>
    <row r="170" spans="1:11">
      <c r="A170" s="8180">
        <f>IF(Captura_Marimba_M01!A24="", "", "Marimba")</f>
      </c>
      <c r="B170" s="8181">
        <f>IF(Captura_Marimba_M01!A24="", "", Captura_Marimba_M01!N24)</f>
      </c>
      <c r="C170" s="8182">
        <f>IF(Captura_Marimba_M01!A24="", "", IFERROR(LOOKUP(2, 1/((Captura_Obra!$A$5:$A$1000=E170)*(Captura_Obra!$B$5:$B$1000=F170)*(Captura_Obra!$D$5:$D$1000=G170)), Captura_Obra!$N$5:$N$1000), "No Reportado"))</f>
      </c>
      <c r="D170" s="8183">
        <f>IF(Captura_Marimba_M01!A24="", "", IF(J170=0, "✅ Cuadrado", IF(I170=0, "❌ Falta en Obra", "⚠️ Dif")))</f>
      </c>
      <c r="E170" s="8184">
        <f>IF(Captura_Marimba_M01!A24="", "", Captura_Marimba_M01!A24)</f>
      </c>
      <c r="F170" s="8185">
        <f>IF(Captura_Marimba_M01!A24="", "", Captura_Marimba_M01!C24)</f>
      </c>
      <c r="G170" s="8186">
        <f>IF(Captura_Marimba_M01!A24="", "", Captura_Marimba_M01!D24)</f>
      </c>
      <c r="H170" s="8187">
        <f>IF(Captura_Marimba_M01!A24="", "", Captura_Marimba_M01!G24)</f>
      </c>
      <c r="I170" s="8188">
        <f>IF(Captura_Marimba_M01!A24="", "", SUMIFS(Captura_Obra!$F:$F, Captura_Obra!$A:$A, E170, Captura_Obra!$B:$B, F170, Captura_Obra!$D:$D, G170))</f>
      </c>
      <c r="J170" s="8189">
        <f>IF(Captura_Marimba_M01!A24="", "", H170 - I170)</f>
      </c>
      <c r="K170" s="3979"/>
    </row>
    <row r="171" spans="1:11">
      <c r="A171" s="8190">
        <f>IF(Captura_Marimba_M01!A25="", "", "Marimba")</f>
      </c>
      <c r="B171" s="8191">
        <f>IF(Captura_Marimba_M01!A25="", "", Captura_Marimba_M01!N25)</f>
      </c>
      <c r="C171" s="8192">
        <f>IF(Captura_Marimba_M01!A25="", "", IFERROR(LOOKUP(2, 1/((Captura_Obra!$A$5:$A$1000=E171)*(Captura_Obra!$B$5:$B$1000=F171)*(Captura_Obra!$D$5:$D$1000=G171)), Captura_Obra!$N$5:$N$1000), "No Reportado"))</f>
      </c>
      <c r="D171" s="8193">
        <f>IF(Captura_Marimba_M01!A25="", "", IF(J171=0, "✅ Cuadrado", IF(I171=0, "❌ Falta en Obra", "⚠️ Dif")))</f>
      </c>
      <c r="E171" s="8194">
        <f>IF(Captura_Marimba_M01!A25="", "", Captura_Marimba_M01!A25)</f>
      </c>
      <c r="F171" s="8195">
        <f>IF(Captura_Marimba_M01!A25="", "", Captura_Marimba_M01!C25)</f>
      </c>
      <c r="G171" s="8196">
        <f>IF(Captura_Marimba_M01!A25="", "", Captura_Marimba_M01!D25)</f>
      </c>
      <c r="H171" s="8197">
        <f>IF(Captura_Marimba_M01!A25="", "", Captura_Marimba_M01!G25)</f>
      </c>
      <c r="I171" s="8198">
        <f>IF(Captura_Marimba_M01!A25="", "", SUMIFS(Captura_Obra!$F:$F, Captura_Obra!$A:$A, E171, Captura_Obra!$B:$B, F171, Captura_Obra!$D:$D, G171))</f>
      </c>
      <c r="J171" s="8199">
        <f>IF(Captura_Marimba_M01!A25="", "", H171 - I171)</f>
      </c>
      <c r="K171" s="3980"/>
    </row>
    <row r="172" spans="1:11">
      <c r="A172" s="8200">
        <f>IF(Captura_Marimba_M01!A26="", "", "Marimba")</f>
      </c>
      <c r="B172" s="8201">
        <f>IF(Captura_Marimba_M01!A26="", "", Captura_Marimba_M01!N26)</f>
      </c>
      <c r="C172" s="8202">
        <f>IF(Captura_Marimba_M01!A26="", "", IFERROR(LOOKUP(2, 1/((Captura_Obra!$A$5:$A$1000=E172)*(Captura_Obra!$B$5:$B$1000=F172)*(Captura_Obra!$D$5:$D$1000=G172)), Captura_Obra!$N$5:$N$1000), "No Reportado"))</f>
      </c>
      <c r="D172" s="8203">
        <f>IF(Captura_Marimba_M01!A26="", "", IF(J172=0, "✅ Cuadrado", IF(I172=0, "❌ Falta en Obra", "⚠️ Dif")))</f>
      </c>
      <c r="E172" s="8204">
        <f>IF(Captura_Marimba_M01!A26="", "", Captura_Marimba_M01!A26)</f>
      </c>
      <c r="F172" s="8205">
        <f>IF(Captura_Marimba_M01!A26="", "", Captura_Marimba_M01!C26)</f>
      </c>
      <c r="G172" s="8206">
        <f>IF(Captura_Marimba_M01!A26="", "", Captura_Marimba_M01!D26)</f>
      </c>
      <c r="H172" s="8207">
        <f>IF(Captura_Marimba_M01!A26="", "", Captura_Marimba_M01!G26)</f>
      </c>
      <c r="I172" s="8208">
        <f>IF(Captura_Marimba_M01!A26="", "", SUMIFS(Captura_Obra!$F:$F, Captura_Obra!$A:$A, E172, Captura_Obra!$B:$B, F172, Captura_Obra!$D:$D, G172))</f>
      </c>
      <c r="J172" s="8209">
        <f>IF(Captura_Marimba_M01!A26="", "", H172 - I172)</f>
      </c>
      <c r="K172" s="3981"/>
    </row>
    <row r="173" spans="1:11">
      <c r="A173" s="8210">
        <f>IF(Captura_Marimba_M01!A27="", "", "Marimba")</f>
      </c>
      <c r="B173" s="8211">
        <f>IF(Captura_Marimba_M01!A27="", "", Captura_Marimba_M01!N27)</f>
      </c>
      <c r="C173" s="8212">
        <f>IF(Captura_Marimba_M01!A27="", "", IFERROR(LOOKUP(2, 1/((Captura_Obra!$A$5:$A$1000=E173)*(Captura_Obra!$B$5:$B$1000=F173)*(Captura_Obra!$D$5:$D$1000=G173)), Captura_Obra!$N$5:$N$1000), "No Reportado"))</f>
      </c>
      <c r="D173" s="8213">
        <f>IF(Captura_Marimba_M01!A27="", "", IF(J173=0, "✅ Cuadrado", IF(I173=0, "❌ Falta en Obra", "⚠️ Dif")))</f>
      </c>
      <c r="E173" s="8214">
        <f>IF(Captura_Marimba_M01!A27="", "", Captura_Marimba_M01!A27)</f>
      </c>
      <c r="F173" s="8215">
        <f>IF(Captura_Marimba_M01!A27="", "", Captura_Marimba_M01!C27)</f>
      </c>
      <c r="G173" s="8216">
        <f>IF(Captura_Marimba_M01!A27="", "", Captura_Marimba_M01!D27)</f>
      </c>
      <c r="H173" s="8217">
        <f>IF(Captura_Marimba_M01!A27="", "", Captura_Marimba_M01!G27)</f>
      </c>
      <c r="I173" s="8218">
        <f>IF(Captura_Marimba_M01!A27="", "", SUMIFS(Captura_Obra!$F:$F, Captura_Obra!$A:$A, E173, Captura_Obra!$B:$B, F173, Captura_Obra!$D:$D, G173))</f>
      </c>
      <c r="J173" s="8219">
        <f>IF(Captura_Marimba_M01!A27="", "", H173 - I173)</f>
      </c>
      <c r="K173" s="3982"/>
    </row>
    <row r="174" spans="1:11">
      <c r="A174" s="8220">
        <f>IF(Captura_Marimba_M01!A28="", "", "Marimba")</f>
      </c>
      <c r="B174" s="8221">
        <f>IF(Captura_Marimba_M01!A28="", "", Captura_Marimba_M01!N28)</f>
      </c>
      <c r="C174" s="8222">
        <f>IF(Captura_Marimba_M01!A28="", "", IFERROR(LOOKUP(2, 1/((Captura_Obra!$A$5:$A$1000=E174)*(Captura_Obra!$B$5:$B$1000=F174)*(Captura_Obra!$D$5:$D$1000=G174)), Captura_Obra!$N$5:$N$1000), "No Reportado"))</f>
      </c>
      <c r="D174" s="8223">
        <f>IF(Captura_Marimba_M01!A28="", "", IF(J174=0, "✅ Cuadrado", IF(I174=0, "❌ Falta en Obra", "⚠️ Dif")))</f>
      </c>
      <c r="E174" s="8224">
        <f>IF(Captura_Marimba_M01!A28="", "", Captura_Marimba_M01!A28)</f>
      </c>
      <c r="F174" s="8225">
        <f>IF(Captura_Marimba_M01!A28="", "", Captura_Marimba_M01!C28)</f>
      </c>
      <c r="G174" s="8226">
        <f>IF(Captura_Marimba_M01!A28="", "", Captura_Marimba_M01!D28)</f>
      </c>
      <c r="H174" s="8227">
        <f>IF(Captura_Marimba_M01!A28="", "", Captura_Marimba_M01!G28)</f>
      </c>
      <c r="I174" s="8228">
        <f>IF(Captura_Marimba_M01!A28="", "", SUMIFS(Captura_Obra!$F:$F, Captura_Obra!$A:$A, E174, Captura_Obra!$B:$B, F174, Captura_Obra!$D:$D, G174))</f>
      </c>
      <c r="J174" s="8229">
        <f>IF(Captura_Marimba_M01!A28="", "", H174 - I174)</f>
      </c>
      <c r="K174" s="3983"/>
    </row>
    <row r="175" spans="1:11">
      <c r="A175" s="8230">
        <f>IF(Captura_Marimba_M01!A29="", "", "Marimba")</f>
      </c>
      <c r="B175" s="8231">
        <f>IF(Captura_Marimba_M01!A29="", "", Captura_Marimba_M01!N29)</f>
      </c>
      <c r="C175" s="8232">
        <f>IF(Captura_Marimba_M01!A29="", "", IFERROR(LOOKUP(2, 1/((Captura_Obra!$A$5:$A$1000=E175)*(Captura_Obra!$B$5:$B$1000=F175)*(Captura_Obra!$D$5:$D$1000=G175)), Captura_Obra!$N$5:$N$1000), "No Reportado"))</f>
      </c>
      <c r="D175" s="8233">
        <f>IF(Captura_Marimba_M01!A29="", "", IF(J175=0, "✅ Cuadrado", IF(I175=0, "❌ Falta en Obra", "⚠️ Dif")))</f>
      </c>
      <c r="E175" s="8234">
        <f>IF(Captura_Marimba_M01!A29="", "", Captura_Marimba_M01!A29)</f>
      </c>
      <c r="F175" s="8235">
        <f>IF(Captura_Marimba_M01!A29="", "", Captura_Marimba_M01!C29)</f>
      </c>
      <c r="G175" s="8236">
        <f>IF(Captura_Marimba_M01!A29="", "", Captura_Marimba_M01!D29)</f>
      </c>
      <c r="H175" s="8237">
        <f>IF(Captura_Marimba_M01!A29="", "", Captura_Marimba_M01!G29)</f>
      </c>
      <c r="I175" s="8238">
        <f>IF(Captura_Marimba_M01!A29="", "", SUMIFS(Captura_Obra!$F:$F, Captura_Obra!$A:$A, E175, Captura_Obra!$B:$B, F175, Captura_Obra!$D:$D, G175))</f>
      </c>
      <c r="J175" s="8239">
        <f>IF(Captura_Marimba_M01!A29="", "", H175 - I175)</f>
      </c>
      <c r="K175" s="3984"/>
    </row>
    <row r="176" spans="1:11">
      <c r="A176" s="8240">
        <f>IF(Captura_Marimba_M01!A30="", "", "Marimba")</f>
      </c>
      <c r="B176" s="8241">
        <f>IF(Captura_Marimba_M01!A30="", "", Captura_Marimba_M01!N30)</f>
      </c>
      <c r="C176" s="8242">
        <f>IF(Captura_Marimba_M01!A30="", "", IFERROR(LOOKUP(2, 1/((Captura_Obra!$A$5:$A$1000=E176)*(Captura_Obra!$B$5:$B$1000=F176)*(Captura_Obra!$D$5:$D$1000=G176)), Captura_Obra!$N$5:$N$1000), "No Reportado"))</f>
      </c>
      <c r="D176" s="8243">
        <f>IF(Captura_Marimba_M01!A30="", "", IF(J176=0, "✅ Cuadrado", IF(I176=0, "❌ Falta en Obra", "⚠️ Dif")))</f>
      </c>
      <c r="E176" s="8244">
        <f>IF(Captura_Marimba_M01!A30="", "", Captura_Marimba_M01!A30)</f>
      </c>
      <c r="F176" s="8245">
        <f>IF(Captura_Marimba_M01!A30="", "", Captura_Marimba_M01!C30)</f>
      </c>
      <c r="G176" s="8246">
        <f>IF(Captura_Marimba_M01!A30="", "", Captura_Marimba_M01!D30)</f>
      </c>
      <c r="H176" s="8247">
        <f>IF(Captura_Marimba_M01!A30="", "", Captura_Marimba_M01!G30)</f>
      </c>
      <c r="I176" s="8248">
        <f>IF(Captura_Marimba_M01!A30="", "", SUMIFS(Captura_Obra!$F:$F, Captura_Obra!$A:$A, E176, Captura_Obra!$B:$B, F176, Captura_Obra!$D:$D, G176))</f>
      </c>
      <c r="J176" s="8249">
        <f>IF(Captura_Marimba_M01!A30="", "", H176 - I176)</f>
      </c>
      <c r="K176" s="3985"/>
    </row>
    <row r="177" spans="1:11">
      <c r="A177" s="8250">
        <f>IF(Captura_Marimba_M01!A31="", "", "Marimba")</f>
      </c>
      <c r="B177" s="8251">
        <f>IF(Captura_Marimba_M01!A31="", "", Captura_Marimba_M01!N31)</f>
      </c>
      <c r="C177" s="8252">
        <f>IF(Captura_Marimba_M01!A31="", "", IFERROR(LOOKUP(2, 1/((Captura_Obra!$A$5:$A$1000=E177)*(Captura_Obra!$B$5:$B$1000=F177)*(Captura_Obra!$D$5:$D$1000=G177)), Captura_Obra!$N$5:$N$1000), "No Reportado"))</f>
      </c>
      <c r="D177" s="8253">
        <f>IF(Captura_Marimba_M01!A31="", "", IF(J177=0, "✅ Cuadrado", IF(I177=0, "❌ Falta en Obra", "⚠️ Dif")))</f>
      </c>
      <c r="E177" s="8254">
        <f>IF(Captura_Marimba_M01!A31="", "", Captura_Marimba_M01!A31)</f>
      </c>
      <c r="F177" s="8255">
        <f>IF(Captura_Marimba_M01!A31="", "", Captura_Marimba_M01!C31)</f>
      </c>
      <c r="G177" s="8256">
        <f>IF(Captura_Marimba_M01!A31="", "", Captura_Marimba_M01!D31)</f>
      </c>
      <c r="H177" s="8257">
        <f>IF(Captura_Marimba_M01!A31="", "", Captura_Marimba_M01!G31)</f>
      </c>
      <c r="I177" s="8258">
        <f>IF(Captura_Marimba_M01!A31="", "", SUMIFS(Captura_Obra!$F:$F, Captura_Obra!$A:$A, E177, Captura_Obra!$B:$B, F177, Captura_Obra!$D:$D, G177))</f>
      </c>
      <c r="J177" s="8259">
        <f>IF(Captura_Marimba_M01!A31="", "", H177 - I177)</f>
      </c>
      <c r="K177" s="3986"/>
    </row>
    <row r="178" spans="1:11">
      <c r="A178" s="8260">
        <f>IF(Captura_Marimba_M01!A32="", "", "Marimba")</f>
      </c>
      <c r="B178" s="8261">
        <f>IF(Captura_Marimba_M01!A32="", "", Captura_Marimba_M01!N32)</f>
      </c>
      <c r="C178" s="8262">
        <f>IF(Captura_Marimba_M01!A32="", "", IFERROR(LOOKUP(2, 1/((Captura_Obra!$A$5:$A$1000=E178)*(Captura_Obra!$B$5:$B$1000=F178)*(Captura_Obra!$D$5:$D$1000=G178)), Captura_Obra!$N$5:$N$1000), "No Reportado"))</f>
      </c>
      <c r="D178" s="8263">
        <f>IF(Captura_Marimba_M01!A32="", "", IF(J178=0, "✅ Cuadrado", IF(I178=0, "❌ Falta en Obra", "⚠️ Dif")))</f>
      </c>
      <c r="E178" s="8264">
        <f>IF(Captura_Marimba_M01!A32="", "", Captura_Marimba_M01!A32)</f>
      </c>
      <c r="F178" s="8265">
        <f>IF(Captura_Marimba_M01!A32="", "", Captura_Marimba_M01!C32)</f>
      </c>
      <c r="G178" s="8266">
        <f>IF(Captura_Marimba_M01!A32="", "", Captura_Marimba_M01!D32)</f>
      </c>
      <c r="H178" s="8267">
        <f>IF(Captura_Marimba_M01!A32="", "", Captura_Marimba_M01!G32)</f>
      </c>
      <c r="I178" s="8268">
        <f>IF(Captura_Marimba_M01!A32="", "", SUMIFS(Captura_Obra!$F:$F, Captura_Obra!$A:$A, E178, Captura_Obra!$B:$B, F178, Captura_Obra!$D:$D, G178))</f>
      </c>
      <c r="J178" s="8269">
        <f>IF(Captura_Marimba_M01!A32="", "", H178 - I178)</f>
      </c>
      <c r="K178" s="3987"/>
    </row>
    <row r="179" spans="1:11">
      <c r="A179" s="8270">
        <f>IF(Captura_Marimba_M01!A33="", "", "Marimba")</f>
      </c>
      <c r="B179" s="8271">
        <f>IF(Captura_Marimba_M01!A33="", "", Captura_Marimba_M01!N33)</f>
      </c>
      <c r="C179" s="8272">
        <f>IF(Captura_Marimba_M01!A33="", "", IFERROR(LOOKUP(2, 1/((Captura_Obra!$A$5:$A$1000=E179)*(Captura_Obra!$B$5:$B$1000=F179)*(Captura_Obra!$D$5:$D$1000=G179)), Captura_Obra!$N$5:$N$1000), "No Reportado"))</f>
      </c>
      <c r="D179" s="8273">
        <f>IF(Captura_Marimba_M01!A33="", "", IF(J179=0, "✅ Cuadrado", IF(I179=0, "❌ Falta en Obra", "⚠️ Dif")))</f>
      </c>
      <c r="E179" s="8274">
        <f>IF(Captura_Marimba_M01!A33="", "", Captura_Marimba_M01!A33)</f>
      </c>
      <c r="F179" s="8275">
        <f>IF(Captura_Marimba_M01!A33="", "", Captura_Marimba_M01!C33)</f>
      </c>
      <c r="G179" s="8276">
        <f>IF(Captura_Marimba_M01!A33="", "", Captura_Marimba_M01!D33)</f>
      </c>
      <c r="H179" s="8277">
        <f>IF(Captura_Marimba_M01!A33="", "", Captura_Marimba_M01!G33)</f>
      </c>
      <c r="I179" s="8278">
        <f>IF(Captura_Marimba_M01!A33="", "", SUMIFS(Captura_Obra!$F:$F, Captura_Obra!$A:$A, E179, Captura_Obra!$B:$B, F179, Captura_Obra!$D:$D, G179))</f>
      </c>
      <c r="J179" s="8279">
        <f>IF(Captura_Marimba_M01!A33="", "", H179 - I179)</f>
      </c>
      <c r="K179" s="3988"/>
    </row>
    <row r="180" spans="1:11">
      <c r="A180" s="8280">
        <f>IF(Captura_Marimba_M01!A34="", "", "Marimba")</f>
      </c>
      <c r="B180" s="8281">
        <f>IF(Captura_Marimba_M01!A34="", "", Captura_Marimba_M01!N34)</f>
      </c>
      <c r="C180" s="8282">
        <f>IF(Captura_Marimba_M01!A34="", "", IFERROR(LOOKUP(2, 1/((Captura_Obra!$A$5:$A$1000=E180)*(Captura_Obra!$B$5:$B$1000=F180)*(Captura_Obra!$D$5:$D$1000=G180)), Captura_Obra!$N$5:$N$1000), "No Reportado"))</f>
      </c>
      <c r="D180" s="8283">
        <f>IF(Captura_Marimba_M01!A34="", "", IF(J180=0, "✅ Cuadrado", IF(I180=0, "❌ Falta en Obra", "⚠️ Dif")))</f>
      </c>
      <c r="E180" s="8284">
        <f>IF(Captura_Marimba_M01!A34="", "", Captura_Marimba_M01!A34)</f>
      </c>
      <c r="F180" s="8285">
        <f>IF(Captura_Marimba_M01!A34="", "", Captura_Marimba_M01!C34)</f>
      </c>
      <c r="G180" s="8286">
        <f>IF(Captura_Marimba_M01!A34="", "", Captura_Marimba_M01!D34)</f>
      </c>
      <c r="H180" s="8287">
        <f>IF(Captura_Marimba_M01!A34="", "", Captura_Marimba_M01!G34)</f>
      </c>
      <c r="I180" s="8288">
        <f>IF(Captura_Marimba_M01!A34="", "", SUMIFS(Captura_Obra!$F:$F, Captura_Obra!$A:$A, E180, Captura_Obra!$B:$B, F180, Captura_Obra!$D:$D, G180))</f>
      </c>
      <c r="J180" s="8289">
        <f>IF(Captura_Marimba_M01!A34="", "", H180 - I180)</f>
      </c>
      <c r="K180" s="3989"/>
    </row>
    <row r="181" spans="1:11">
      <c r="A181" s="8290">
        <f>IF(Captura_Marimba_M01!A35="", "", "Marimba")</f>
      </c>
      <c r="B181" s="8291">
        <f>IF(Captura_Marimba_M01!A35="", "", Captura_Marimba_M01!N35)</f>
      </c>
      <c r="C181" s="8292">
        <f>IF(Captura_Marimba_M01!A35="", "", IFERROR(LOOKUP(2, 1/((Captura_Obra!$A$5:$A$1000=E181)*(Captura_Obra!$B$5:$B$1000=F181)*(Captura_Obra!$D$5:$D$1000=G181)), Captura_Obra!$N$5:$N$1000), "No Reportado"))</f>
      </c>
      <c r="D181" s="8293">
        <f>IF(Captura_Marimba_M01!A35="", "", IF(J181=0, "✅ Cuadrado", IF(I181=0, "❌ Falta en Obra", "⚠️ Dif")))</f>
      </c>
      <c r="E181" s="8294">
        <f>IF(Captura_Marimba_M01!A35="", "", Captura_Marimba_M01!A35)</f>
      </c>
      <c r="F181" s="8295">
        <f>IF(Captura_Marimba_M01!A35="", "", Captura_Marimba_M01!C35)</f>
      </c>
      <c r="G181" s="8296">
        <f>IF(Captura_Marimba_M01!A35="", "", Captura_Marimba_M01!D35)</f>
      </c>
      <c r="H181" s="8297">
        <f>IF(Captura_Marimba_M01!A35="", "", Captura_Marimba_M01!G35)</f>
      </c>
      <c r="I181" s="8298">
        <f>IF(Captura_Marimba_M01!A35="", "", SUMIFS(Captura_Obra!$F:$F, Captura_Obra!$A:$A, E181, Captura_Obra!$B:$B, F181, Captura_Obra!$D:$D, G181))</f>
      </c>
      <c r="J181" s="8299">
        <f>IF(Captura_Marimba_M01!A35="", "", H181 - I181)</f>
      </c>
      <c r="K181" s="3990"/>
    </row>
    <row r="182" spans="1:11">
      <c r="A182" s="8300">
        <f>IF(Captura_Marimba_M01!A36="", "", "Marimba")</f>
      </c>
      <c r="B182" s="8301">
        <f>IF(Captura_Marimba_M01!A36="", "", Captura_Marimba_M01!N36)</f>
      </c>
      <c r="C182" s="8302">
        <f>IF(Captura_Marimba_M01!A36="", "", IFERROR(LOOKUP(2, 1/((Captura_Obra!$A$5:$A$1000=E182)*(Captura_Obra!$B$5:$B$1000=F182)*(Captura_Obra!$D$5:$D$1000=G182)), Captura_Obra!$N$5:$N$1000), "No Reportado"))</f>
      </c>
      <c r="D182" s="8303">
        <f>IF(Captura_Marimba_M01!A36="", "", IF(J182=0, "✅ Cuadrado", IF(I182=0, "❌ Falta en Obra", "⚠️ Dif")))</f>
      </c>
      <c r="E182" s="8304">
        <f>IF(Captura_Marimba_M01!A36="", "", Captura_Marimba_M01!A36)</f>
      </c>
      <c r="F182" s="8305">
        <f>IF(Captura_Marimba_M01!A36="", "", Captura_Marimba_M01!C36)</f>
      </c>
      <c r="G182" s="8306">
        <f>IF(Captura_Marimba_M01!A36="", "", Captura_Marimba_M01!D36)</f>
      </c>
      <c r="H182" s="8307">
        <f>IF(Captura_Marimba_M01!A36="", "", Captura_Marimba_M01!G36)</f>
      </c>
      <c r="I182" s="8308">
        <f>IF(Captura_Marimba_M01!A36="", "", SUMIFS(Captura_Obra!$F:$F, Captura_Obra!$A:$A, E182, Captura_Obra!$B:$B, F182, Captura_Obra!$D:$D, G182))</f>
      </c>
      <c r="J182" s="8309">
        <f>IF(Captura_Marimba_M01!A36="", "", H182 - I182)</f>
      </c>
      <c r="K182" s="3991"/>
    </row>
    <row r="183" spans="1:11">
      <c r="A183" s="8310">
        <f>IF(Captura_Marimba_M01!A37="", "", "Marimba")</f>
      </c>
      <c r="B183" s="8311">
        <f>IF(Captura_Marimba_M01!A37="", "", Captura_Marimba_M01!N37)</f>
      </c>
      <c r="C183" s="8312">
        <f>IF(Captura_Marimba_M01!A37="", "", IFERROR(LOOKUP(2, 1/((Captura_Obra!$A$5:$A$1000=E183)*(Captura_Obra!$B$5:$B$1000=F183)*(Captura_Obra!$D$5:$D$1000=G183)), Captura_Obra!$N$5:$N$1000), "No Reportado"))</f>
      </c>
      <c r="D183" s="8313">
        <f>IF(Captura_Marimba_M01!A37="", "", IF(J183=0, "✅ Cuadrado", IF(I183=0, "❌ Falta en Obra", "⚠️ Dif")))</f>
      </c>
      <c r="E183" s="8314">
        <f>IF(Captura_Marimba_M01!A37="", "", Captura_Marimba_M01!A37)</f>
      </c>
      <c r="F183" s="8315">
        <f>IF(Captura_Marimba_M01!A37="", "", Captura_Marimba_M01!C37)</f>
      </c>
      <c r="G183" s="8316">
        <f>IF(Captura_Marimba_M01!A37="", "", Captura_Marimba_M01!D37)</f>
      </c>
      <c r="H183" s="8317">
        <f>IF(Captura_Marimba_M01!A37="", "", Captura_Marimba_M01!G37)</f>
      </c>
      <c r="I183" s="8318">
        <f>IF(Captura_Marimba_M01!A37="", "", SUMIFS(Captura_Obra!$F:$F, Captura_Obra!$A:$A, E183, Captura_Obra!$B:$B, F183, Captura_Obra!$D:$D, G183))</f>
      </c>
      <c r="J183" s="8319">
        <f>IF(Captura_Marimba_M01!A37="", "", H183 - I183)</f>
      </c>
      <c r="K183" s="3992"/>
    </row>
    <row r="184" spans="1:11">
      <c r="A184" s="8320">
        <f>IF(Captura_Marimba_M01!A38="", "", "Marimba")</f>
      </c>
      <c r="B184" s="8321">
        <f>IF(Captura_Marimba_M01!A38="", "", Captura_Marimba_M01!N38)</f>
      </c>
      <c r="C184" s="8322">
        <f>IF(Captura_Marimba_M01!A38="", "", IFERROR(LOOKUP(2, 1/((Captura_Obra!$A$5:$A$1000=E184)*(Captura_Obra!$B$5:$B$1000=F184)*(Captura_Obra!$D$5:$D$1000=G184)), Captura_Obra!$N$5:$N$1000), "No Reportado"))</f>
      </c>
      <c r="D184" s="8323">
        <f>IF(Captura_Marimba_M01!A38="", "", IF(J184=0, "✅ Cuadrado", IF(I184=0, "❌ Falta en Obra", "⚠️ Dif")))</f>
      </c>
      <c r="E184" s="8324">
        <f>IF(Captura_Marimba_M01!A38="", "", Captura_Marimba_M01!A38)</f>
      </c>
      <c r="F184" s="8325">
        <f>IF(Captura_Marimba_M01!A38="", "", Captura_Marimba_M01!C38)</f>
      </c>
      <c r="G184" s="8326">
        <f>IF(Captura_Marimba_M01!A38="", "", Captura_Marimba_M01!D38)</f>
      </c>
      <c r="H184" s="8327">
        <f>IF(Captura_Marimba_M01!A38="", "", Captura_Marimba_M01!G38)</f>
      </c>
      <c r="I184" s="8328">
        <f>IF(Captura_Marimba_M01!A38="", "", SUMIFS(Captura_Obra!$F:$F, Captura_Obra!$A:$A, E184, Captura_Obra!$B:$B, F184, Captura_Obra!$D:$D, G184))</f>
      </c>
      <c r="J184" s="8329">
        <f>IF(Captura_Marimba_M01!A38="", "", H184 - I184)</f>
      </c>
      <c r="K184" s="3993"/>
    </row>
    <row r="185" spans="1:11">
      <c r="A185" s="8330">
        <f>IF(Captura_Marimba_M01!A39="", "", "Marimba")</f>
      </c>
      <c r="B185" s="8331">
        <f>IF(Captura_Marimba_M01!A39="", "", Captura_Marimba_M01!N39)</f>
      </c>
      <c r="C185" s="8332">
        <f>IF(Captura_Marimba_M01!A39="", "", IFERROR(LOOKUP(2, 1/((Captura_Obra!$A$5:$A$1000=E185)*(Captura_Obra!$B$5:$B$1000=F185)*(Captura_Obra!$D$5:$D$1000=G185)), Captura_Obra!$N$5:$N$1000), "No Reportado"))</f>
      </c>
      <c r="D185" s="8333">
        <f>IF(Captura_Marimba_M01!A39="", "", IF(J185=0, "✅ Cuadrado", IF(I185=0, "❌ Falta en Obra", "⚠️ Dif")))</f>
      </c>
      <c r="E185" s="8334">
        <f>IF(Captura_Marimba_M01!A39="", "", Captura_Marimba_M01!A39)</f>
      </c>
      <c r="F185" s="8335">
        <f>IF(Captura_Marimba_M01!A39="", "", Captura_Marimba_M01!C39)</f>
      </c>
      <c r="G185" s="8336">
        <f>IF(Captura_Marimba_M01!A39="", "", Captura_Marimba_M01!D39)</f>
      </c>
      <c r="H185" s="8337">
        <f>IF(Captura_Marimba_M01!A39="", "", Captura_Marimba_M01!G39)</f>
      </c>
      <c r="I185" s="8338">
        <f>IF(Captura_Marimba_M01!A39="", "", SUMIFS(Captura_Obra!$F:$F, Captura_Obra!$A:$A, E185, Captura_Obra!$B:$B, F185, Captura_Obra!$D:$D, G185))</f>
      </c>
      <c r="J185" s="8339">
        <f>IF(Captura_Marimba_M01!A39="", "", H185 - I185)</f>
      </c>
      <c r="K185" s="3994"/>
    </row>
    <row r="186" spans="1:11">
      <c r="A186" s="8340">
        <f>IF(Captura_Marimba_M01!A40="", "", "Marimba")</f>
      </c>
      <c r="B186" s="8341">
        <f>IF(Captura_Marimba_M01!A40="", "", Captura_Marimba_M01!N40)</f>
      </c>
      <c r="C186" s="8342">
        <f>IF(Captura_Marimba_M01!A40="", "", IFERROR(LOOKUP(2, 1/((Captura_Obra!$A$5:$A$1000=E186)*(Captura_Obra!$B$5:$B$1000=F186)*(Captura_Obra!$D$5:$D$1000=G186)), Captura_Obra!$N$5:$N$1000), "No Reportado"))</f>
      </c>
      <c r="D186" s="8343">
        <f>IF(Captura_Marimba_M01!A40="", "", IF(J186=0, "✅ Cuadrado", IF(I186=0, "❌ Falta en Obra", "⚠️ Dif")))</f>
      </c>
      <c r="E186" s="8344">
        <f>IF(Captura_Marimba_M01!A40="", "", Captura_Marimba_M01!A40)</f>
      </c>
      <c r="F186" s="8345">
        <f>IF(Captura_Marimba_M01!A40="", "", Captura_Marimba_M01!C40)</f>
      </c>
      <c r="G186" s="8346">
        <f>IF(Captura_Marimba_M01!A40="", "", Captura_Marimba_M01!D40)</f>
      </c>
      <c r="H186" s="8347">
        <f>IF(Captura_Marimba_M01!A40="", "", Captura_Marimba_M01!G40)</f>
      </c>
      <c r="I186" s="8348">
        <f>IF(Captura_Marimba_M01!A40="", "", SUMIFS(Captura_Obra!$F:$F, Captura_Obra!$A:$A, E186, Captura_Obra!$B:$B, F186, Captura_Obra!$D:$D, G186))</f>
      </c>
      <c r="J186" s="8349">
        <f>IF(Captura_Marimba_M01!A40="", "", H186 - I186)</f>
      </c>
      <c r="K186" s="3995"/>
    </row>
    <row r="187" spans="1:11">
      <c r="A187" s="8350">
        <f>IF(Captura_Marimba_M01!A41="", "", "Marimba")</f>
      </c>
      <c r="B187" s="8351">
        <f>IF(Captura_Marimba_M01!A41="", "", Captura_Marimba_M01!N41)</f>
      </c>
      <c r="C187" s="8352">
        <f>IF(Captura_Marimba_M01!A41="", "", IFERROR(LOOKUP(2, 1/((Captura_Obra!$A$5:$A$1000=E187)*(Captura_Obra!$B$5:$B$1000=F187)*(Captura_Obra!$D$5:$D$1000=G187)), Captura_Obra!$N$5:$N$1000), "No Reportado"))</f>
      </c>
      <c r="D187" s="8353">
        <f>IF(Captura_Marimba_M01!A41="", "", IF(J187=0, "✅ Cuadrado", IF(I187=0, "❌ Falta en Obra", "⚠️ Dif")))</f>
      </c>
      <c r="E187" s="8354">
        <f>IF(Captura_Marimba_M01!A41="", "", Captura_Marimba_M01!A41)</f>
      </c>
      <c r="F187" s="8355">
        <f>IF(Captura_Marimba_M01!A41="", "", Captura_Marimba_M01!C41)</f>
      </c>
      <c r="G187" s="8356">
        <f>IF(Captura_Marimba_M01!A41="", "", Captura_Marimba_M01!D41)</f>
      </c>
      <c r="H187" s="8357">
        <f>IF(Captura_Marimba_M01!A41="", "", Captura_Marimba_M01!G41)</f>
      </c>
      <c r="I187" s="8358">
        <f>IF(Captura_Marimba_M01!A41="", "", SUMIFS(Captura_Obra!$F:$F, Captura_Obra!$A:$A, E187, Captura_Obra!$B:$B, F187, Captura_Obra!$D:$D, G187))</f>
      </c>
      <c r="J187" s="8359">
        <f>IF(Captura_Marimba_M01!A41="", "", H187 - I187)</f>
      </c>
      <c r="K187" s="3996"/>
    </row>
    <row r="188" spans="1:11">
      <c r="A188" s="8360">
        <f>IF(Captura_Marimba_M01!A42="", "", "Marimba")</f>
      </c>
      <c r="B188" s="8361">
        <f>IF(Captura_Marimba_M01!A42="", "", Captura_Marimba_M01!N42)</f>
      </c>
      <c r="C188" s="8362">
        <f>IF(Captura_Marimba_M01!A42="", "", IFERROR(LOOKUP(2, 1/((Captura_Obra!$A$5:$A$1000=E188)*(Captura_Obra!$B$5:$B$1000=F188)*(Captura_Obra!$D$5:$D$1000=G188)), Captura_Obra!$N$5:$N$1000), "No Reportado"))</f>
      </c>
      <c r="D188" s="8363">
        <f>IF(Captura_Marimba_M01!A42="", "", IF(J188=0, "✅ Cuadrado", IF(I188=0, "❌ Falta en Obra", "⚠️ Dif")))</f>
      </c>
      <c r="E188" s="8364">
        <f>IF(Captura_Marimba_M01!A42="", "", Captura_Marimba_M01!A42)</f>
      </c>
      <c r="F188" s="8365">
        <f>IF(Captura_Marimba_M01!A42="", "", Captura_Marimba_M01!C42)</f>
      </c>
      <c r="G188" s="8366">
        <f>IF(Captura_Marimba_M01!A42="", "", Captura_Marimba_M01!D42)</f>
      </c>
      <c r="H188" s="8367">
        <f>IF(Captura_Marimba_M01!A42="", "", Captura_Marimba_M01!G42)</f>
      </c>
      <c r="I188" s="8368">
        <f>IF(Captura_Marimba_M01!A42="", "", SUMIFS(Captura_Obra!$F:$F, Captura_Obra!$A:$A, E188, Captura_Obra!$B:$B, F188, Captura_Obra!$D:$D, G188))</f>
      </c>
      <c r="J188" s="8369">
        <f>IF(Captura_Marimba_M01!A42="", "", H188 - I188)</f>
      </c>
      <c r="K188" s="3997"/>
    </row>
    <row r="189" spans="1:11">
      <c r="A189" s="8370">
        <f>IF(Captura_Marimba_M01!A43="", "", "Marimba")</f>
      </c>
      <c r="B189" s="8371">
        <f>IF(Captura_Marimba_M01!A43="", "", Captura_Marimba_M01!N43)</f>
      </c>
      <c r="C189" s="8372">
        <f>IF(Captura_Marimba_M01!A43="", "", IFERROR(LOOKUP(2, 1/((Captura_Obra!$A$5:$A$1000=E189)*(Captura_Obra!$B$5:$B$1000=F189)*(Captura_Obra!$D$5:$D$1000=G189)), Captura_Obra!$N$5:$N$1000), "No Reportado"))</f>
      </c>
      <c r="D189" s="8373">
        <f>IF(Captura_Marimba_M01!A43="", "", IF(J189=0, "✅ Cuadrado", IF(I189=0, "❌ Falta en Obra", "⚠️ Dif")))</f>
      </c>
      <c r="E189" s="8374">
        <f>IF(Captura_Marimba_M01!A43="", "", Captura_Marimba_M01!A43)</f>
      </c>
      <c r="F189" s="8375">
        <f>IF(Captura_Marimba_M01!A43="", "", Captura_Marimba_M01!C43)</f>
      </c>
      <c r="G189" s="8376">
        <f>IF(Captura_Marimba_M01!A43="", "", Captura_Marimba_M01!D43)</f>
      </c>
      <c r="H189" s="8377">
        <f>IF(Captura_Marimba_M01!A43="", "", Captura_Marimba_M01!G43)</f>
      </c>
      <c r="I189" s="8378">
        <f>IF(Captura_Marimba_M01!A43="", "", SUMIFS(Captura_Obra!$F:$F, Captura_Obra!$A:$A, E189, Captura_Obra!$B:$B, F189, Captura_Obra!$D:$D, G189))</f>
      </c>
      <c r="J189" s="8379">
        <f>IF(Captura_Marimba_M01!A43="", "", H189 - I189)</f>
      </c>
      <c r="K189" s="3998"/>
    </row>
    <row r="190" spans="1:11">
      <c r="A190" s="8380">
        <f>IF(Captura_Marimba_M01!A44="", "", "Marimba")</f>
      </c>
      <c r="B190" s="8381">
        <f>IF(Captura_Marimba_M01!A44="", "", Captura_Marimba_M01!N44)</f>
      </c>
      <c r="C190" s="8382">
        <f>IF(Captura_Marimba_M01!A44="", "", IFERROR(LOOKUP(2, 1/((Captura_Obra!$A$5:$A$1000=E190)*(Captura_Obra!$B$5:$B$1000=F190)*(Captura_Obra!$D$5:$D$1000=G190)), Captura_Obra!$N$5:$N$1000), "No Reportado"))</f>
      </c>
      <c r="D190" s="8383">
        <f>IF(Captura_Marimba_M01!A44="", "", IF(J190=0, "✅ Cuadrado", IF(I190=0, "❌ Falta en Obra", "⚠️ Dif")))</f>
      </c>
      <c r="E190" s="8384">
        <f>IF(Captura_Marimba_M01!A44="", "", Captura_Marimba_M01!A44)</f>
      </c>
      <c r="F190" s="8385">
        <f>IF(Captura_Marimba_M01!A44="", "", Captura_Marimba_M01!C44)</f>
      </c>
      <c r="G190" s="8386">
        <f>IF(Captura_Marimba_M01!A44="", "", Captura_Marimba_M01!D44)</f>
      </c>
      <c r="H190" s="8387">
        <f>IF(Captura_Marimba_M01!A44="", "", Captura_Marimba_M01!G44)</f>
      </c>
      <c r="I190" s="8388">
        <f>IF(Captura_Marimba_M01!A44="", "", SUMIFS(Captura_Obra!$F:$F, Captura_Obra!$A:$A, E190, Captura_Obra!$B:$B, F190, Captura_Obra!$D:$D, G190))</f>
      </c>
      <c r="J190" s="8389">
        <f>IF(Captura_Marimba_M01!A44="", "", H190 - I190)</f>
      </c>
      <c r="K190" s="3999"/>
    </row>
    <row r="191" spans="1:11">
      <c r="A191" s="8390">
        <f>IF(Captura_Marimba_M01!A45="", "", "Marimba")</f>
      </c>
      <c r="B191" s="8391">
        <f>IF(Captura_Marimba_M01!A45="", "", Captura_Marimba_M01!N45)</f>
      </c>
      <c r="C191" s="8392">
        <f>IF(Captura_Marimba_M01!A45="", "", IFERROR(LOOKUP(2, 1/((Captura_Obra!$A$5:$A$1000=E191)*(Captura_Obra!$B$5:$B$1000=F191)*(Captura_Obra!$D$5:$D$1000=G191)), Captura_Obra!$N$5:$N$1000), "No Reportado"))</f>
      </c>
      <c r="D191" s="8393">
        <f>IF(Captura_Marimba_M01!A45="", "", IF(J191=0, "✅ Cuadrado", IF(I191=0, "❌ Falta en Obra", "⚠️ Dif")))</f>
      </c>
      <c r="E191" s="8394">
        <f>IF(Captura_Marimba_M01!A45="", "", Captura_Marimba_M01!A45)</f>
      </c>
      <c r="F191" s="8395">
        <f>IF(Captura_Marimba_M01!A45="", "", Captura_Marimba_M01!C45)</f>
      </c>
      <c r="G191" s="8396">
        <f>IF(Captura_Marimba_M01!A45="", "", Captura_Marimba_M01!D45)</f>
      </c>
      <c r="H191" s="8397">
        <f>IF(Captura_Marimba_M01!A45="", "", Captura_Marimba_M01!G45)</f>
      </c>
      <c r="I191" s="8398">
        <f>IF(Captura_Marimba_M01!A45="", "", SUMIFS(Captura_Obra!$F:$F, Captura_Obra!$A:$A, E191, Captura_Obra!$B:$B, F191, Captura_Obra!$D:$D, G191))</f>
      </c>
      <c r="J191" s="8399">
        <f>IF(Captura_Marimba_M01!A45="", "", H191 - I191)</f>
      </c>
      <c r="K191" s="4000"/>
    </row>
    <row r="192" spans="1:11">
      <c r="A192" s="8400">
        <f>IF(Captura_Marimba_M01!A46="", "", "Marimba")</f>
      </c>
      <c r="B192" s="8401">
        <f>IF(Captura_Marimba_M01!A46="", "", Captura_Marimba_M01!N46)</f>
      </c>
      <c r="C192" s="8402">
        <f>IF(Captura_Marimba_M01!A46="", "", IFERROR(LOOKUP(2, 1/((Captura_Obra!$A$5:$A$1000=E192)*(Captura_Obra!$B$5:$B$1000=F192)*(Captura_Obra!$D$5:$D$1000=G192)), Captura_Obra!$N$5:$N$1000), "No Reportado"))</f>
      </c>
      <c r="D192" s="8403">
        <f>IF(Captura_Marimba_M01!A46="", "", IF(J192=0, "✅ Cuadrado", IF(I192=0, "❌ Falta en Obra", "⚠️ Dif")))</f>
      </c>
      <c r="E192" s="8404">
        <f>IF(Captura_Marimba_M01!A46="", "", Captura_Marimba_M01!A46)</f>
      </c>
      <c r="F192" s="8405">
        <f>IF(Captura_Marimba_M01!A46="", "", Captura_Marimba_M01!C46)</f>
      </c>
      <c r="G192" s="8406">
        <f>IF(Captura_Marimba_M01!A46="", "", Captura_Marimba_M01!D46)</f>
      </c>
      <c r="H192" s="8407">
        <f>IF(Captura_Marimba_M01!A46="", "", Captura_Marimba_M01!G46)</f>
      </c>
      <c r="I192" s="8408">
        <f>IF(Captura_Marimba_M01!A46="", "", SUMIFS(Captura_Obra!$F:$F, Captura_Obra!$A:$A, E192, Captura_Obra!$B:$B, F192, Captura_Obra!$D:$D, G192))</f>
      </c>
      <c r="J192" s="8409">
        <f>IF(Captura_Marimba_M01!A46="", "", H192 - I192)</f>
      </c>
      <c r="K192" s="4001"/>
    </row>
    <row r="193" spans="1:11">
      <c r="A193" s="8410">
        <f>IF(Captura_Marimba_M01!A47="", "", "Marimba")</f>
      </c>
      <c r="B193" s="8411">
        <f>IF(Captura_Marimba_M01!A47="", "", Captura_Marimba_M01!N47)</f>
      </c>
      <c r="C193" s="8412">
        <f>IF(Captura_Marimba_M01!A47="", "", IFERROR(LOOKUP(2, 1/((Captura_Obra!$A$5:$A$1000=E193)*(Captura_Obra!$B$5:$B$1000=F193)*(Captura_Obra!$D$5:$D$1000=G193)), Captura_Obra!$N$5:$N$1000), "No Reportado"))</f>
      </c>
      <c r="D193" s="8413">
        <f>IF(Captura_Marimba_M01!A47="", "", IF(J193=0, "✅ Cuadrado", IF(I193=0, "❌ Falta en Obra", "⚠️ Dif")))</f>
      </c>
      <c r="E193" s="8414">
        <f>IF(Captura_Marimba_M01!A47="", "", Captura_Marimba_M01!A47)</f>
      </c>
      <c r="F193" s="8415">
        <f>IF(Captura_Marimba_M01!A47="", "", Captura_Marimba_M01!C47)</f>
      </c>
      <c r="G193" s="8416">
        <f>IF(Captura_Marimba_M01!A47="", "", Captura_Marimba_M01!D47)</f>
      </c>
      <c r="H193" s="8417">
        <f>IF(Captura_Marimba_M01!A47="", "", Captura_Marimba_M01!G47)</f>
      </c>
      <c r="I193" s="8418">
        <f>IF(Captura_Marimba_M01!A47="", "", SUMIFS(Captura_Obra!$F:$F, Captura_Obra!$A:$A, E193, Captura_Obra!$B:$B, F193, Captura_Obra!$D:$D, G193))</f>
      </c>
      <c r="J193" s="8419">
        <f>IF(Captura_Marimba_M01!A47="", "", H193 - I193)</f>
      </c>
      <c r="K193" s="4002"/>
    </row>
    <row r="194" spans="1:11">
      <c r="A194" s="8420">
        <f>IF(Captura_Marimba_M01!A48="", "", "Marimba")</f>
      </c>
      <c r="B194" s="8421">
        <f>IF(Captura_Marimba_M01!A48="", "", Captura_Marimba_M01!N48)</f>
      </c>
      <c r="C194" s="8422">
        <f>IF(Captura_Marimba_M01!A48="", "", IFERROR(LOOKUP(2, 1/((Captura_Obra!$A$5:$A$1000=E194)*(Captura_Obra!$B$5:$B$1000=F194)*(Captura_Obra!$D$5:$D$1000=G194)), Captura_Obra!$N$5:$N$1000), "No Reportado"))</f>
      </c>
      <c r="D194" s="8423">
        <f>IF(Captura_Marimba_M01!A48="", "", IF(J194=0, "✅ Cuadrado", IF(I194=0, "❌ Falta en Obra", "⚠️ Dif")))</f>
      </c>
      <c r="E194" s="8424">
        <f>IF(Captura_Marimba_M01!A48="", "", Captura_Marimba_M01!A48)</f>
      </c>
      <c r="F194" s="8425">
        <f>IF(Captura_Marimba_M01!A48="", "", Captura_Marimba_M01!C48)</f>
      </c>
      <c r="G194" s="8426">
        <f>IF(Captura_Marimba_M01!A48="", "", Captura_Marimba_M01!D48)</f>
      </c>
      <c r="H194" s="8427">
        <f>IF(Captura_Marimba_M01!A48="", "", Captura_Marimba_M01!G48)</f>
      </c>
      <c r="I194" s="8428">
        <f>IF(Captura_Marimba_M01!A48="", "", SUMIFS(Captura_Obra!$F:$F, Captura_Obra!$A:$A, E194, Captura_Obra!$B:$B, F194, Captura_Obra!$D:$D, G194))</f>
      </c>
      <c r="J194" s="8429">
        <f>IF(Captura_Marimba_M01!A48="", "", H194 - I194)</f>
      </c>
      <c r="K194" s="4003"/>
    </row>
    <row r="195" spans="1:11">
      <c r="A195" s="8430">
        <f>IF(Captura_Marimba_M01!A49="", "", "Marimba")</f>
      </c>
      <c r="B195" s="8431">
        <f>IF(Captura_Marimba_M01!A49="", "", Captura_Marimba_M01!N49)</f>
      </c>
      <c r="C195" s="8432">
        <f>IF(Captura_Marimba_M01!A49="", "", IFERROR(LOOKUP(2, 1/((Captura_Obra!$A$5:$A$1000=E195)*(Captura_Obra!$B$5:$B$1000=F195)*(Captura_Obra!$D$5:$D$1000=G195)), Captura_Obra!$N$5:$N$1000), "No Reportado"))</f>
      </c>
      <c r="D195" s="8433">
        <f>IF(Captura_Marimba_M01!A49="", "", IF(J195=0, "✅ Cuadrado", IF(I195=0, "❌ Falta en Obra", "⚠️ Dif")))</f>
      </c>
      <c r="E195" s="8434">
        <f>IF(Captura_Marimba_M01!A49="", "", Captura_Marimba_M01!A49)</f>
      </c>
      <c r="F195" s="8435">
        <f>IF(Captura_Marimba_M01!A49="", "", Captura_Marimba_M01!C49)</f>
      </c>
      <c r="G195" s="8436">
        <f>IF(Captura_Marimba_M01!A49="", "", Captura_Marimba_M01!D49)</f>
      </c>
      <c r="H195" s="8437">
        <f>IF(Captura_Marimba_M01!A49="", "", Captura_Marimba_M01!G49)</f>
      </c>
      <c r="I195" s="8438">
        <f>IF(Captura_Marimba_M01!A49="", "", SUMIFS(Captura_Obra!$F:$F, Captura_Obra!$A:$A, E195, Captura_Obra!$B:$B, F195, Captura_Obra!$D:$D, G195))</f>
      </c>
      <c r="J195" s="8439">
        <f>IF(Captura_Marimba_M01!A49="", "", H195 - I195)</f>
      </c>
      <c r="K195" s="4004"/>
    </row>
    <row r="196" spans="1:11">
      <c r="A196" s="8440">
        <f>IF(Captura_Marimba_M01!A50="", "", "Marimba")</f>
      </c>
      <c r="B196" s="8441">
        <f>IF(Captura_Marimba_M01!A50="", "", Captura_Marimba_M01!N50)</f>
      </c>
      <c r="C196" s="8442">
        <f>IF(Captura_Marimba_M01!A50="", "", IFERROR(LOOKUP(2, 1/((Captura_Obra!$A$5:$A$1000=E196)*(Captura_Obra!$B$5:$B$1000=F196)*(Captura_Obra!$D$5:$D$1000=G196)), Captura_Obra!$N$5:$N$1000), "No Reportado"))</f>
      </c>
      <c r="D196" s="8443">
        <f>IF(Captura_Marimba_M01!A50="", "", IF(J196=0, "✅ Cuadrado", IF(I196=0, "❌ Falta en Obra", "⚠️ Dif")))</f>
      </c>
      <c r="E196" s="8444">
        <f>IF(Captura_Marimba_M01!A50="", "", Captura_Marimba_M01!A50)</f>
      </c>
      <c r="F196" s="8445">
        <f>IF(Captura_Marimba_M01!A50="", "", Captura_Marimba_M01!C50)</f>
      </c>
      <c r="G196" s="8446">
        <f>IF(Captura_Marimba_M01!A50="", "", Captura_Marimba_M01!D50)</f>
      </c>
      <c r="H196" s="8447">
        <f>IF(Captura_Marimba_M01!A50="", "", Captura_Marimba_M01!G50)</f>
      </c>
      <c r="I196" s="8448">
        <f>IF(Captura_Marimba_M01!A50="", "", SUMIFS(Captura_Obra!$F:$F, Captura_Obra!$A:$A, E196, Captura_Obra!$B:$B, F196, Captura_Obra!$D:$D, G196))</f>
      </c>
      <c r="J196" s="8449">
        <f>IF(Captura_Marimba_M01!A50="", "", H196 - I196)</f>
      </c>
      <c r="K196" s="4005"/>
    </row>
    <row r="197" spans="1:11">
      <c r="A197" s="8450">
        <f>IF(Captura_Marimba_M01!A51="", "", "Marimba")</f>
      </c>
      <c r="B197" s="8451">
        <f>IF(Captura_Marimba_M01!A51="", "", Captura_Marimba_M01!N51)</f>
      </c>
      <c r="C197" s="8452">
        <f>IF(Captura_Marimba_M01!A51="", "", IFERROR(LOOKUP(2, 1/((Captura_Obra!$A$5:$A$1000=E197)*(Captura_Obra!$B$5:$B$1000=F197)*(Captura_Obra!$D$5:$D$1000=G197)), Captura_Obra!$N$5:$N$1000), "No Reportado"))</f>
      </c>
      <c r="D197" s="8453">
        <f>IF(Captura_Marimba_M01!A51="", "", IF(J197=0, "✅ Cuadrado", IF(I197=0, "❌ Falta en Obra", "⚠️ Dif")))</f>
      </c>
      <c r="E197" s="8454">
        <f>IF(Captura_Marimba_M01!A51="", "", Captura_Marimba_M01!A51)</f>
      </c>
      <c r="F197" s="8455">
        <f>IF(Captura_Marimba_M01!A51="", "", Captura_Marimba_M01!C51)</f>
      </c>
      <c r="G197" s="8456">
        <f>IF(Captura_Marimba_M01!A51="", "", Captura_Marimba_M01!D51)</f>
      </c>
      <c r="H197" s="8457">
        <f>IF(Captura_Marimba_M01!A51="", "", Captura_Marimba_M01!G51)</f>
      </c>
      <c r="I197" s="8458">
        <f>IF(Captura_Marimba_M01!A51="", "", SUMIFS(Captura_Obra!$F:$F, Captura_Obra!$A:$A, E197, Captura_Obra!$B:$B, F197, Captura_Obra!$D:$D, G197))</f>
      </c>
      <c r="J197" s="8459">
        <f>IF(Captura_Marimba_M01!A51="", "", H197 - I197)</f>
      </c>
      <c r="K197" s="4006"/>
    </row>
    <row r="198" spans="1:11">
      <c r="A198" s="8460">
        <f>IF(Captura_Marimba_M01!A52="", "", "Marimba")</f>
      </c>
      <c r="B198" s="8461">
        <f>IF(Captura_Marimba_M01!A52="", "", Captura_Marimba_M01!N52)</f>
      </c>
      <c r="C198" s="8462">
        <f>IF(Captura_Marimba_M01!A52="", "", IFERROR(LOOKUP(2, 1/((Captura_Obra!$A$5:$A$1000=E198)*(Captura_Obra!$B$5:$B$1000=F198)*(Captura_Obra!$D$5:$D$1000=G198)), Captura_Obra!$N$5:$N$1000), "No Reportado"))</f>
      </c>
      <c r="D198" s="8463">
        <f>IF(Captura_Marimba_M01!A52="", "", IF(J198=0, "✅ Cuadrado", IF(I198=0, "❌ Falta en Obra", "⚠️ Dif")))</f>
      </c>
      <c r="E198" s="8464">
        <f>IF(Captura_Marimba_M01!A52="", "", Captura_Marimba_M01!A52)</f>
      </c>
      <c r="F198" s="8465">
        <f>IF(Captura_Marimba_M01!A52="", "", Captura_Marimba_M01!C52)</f>
      </c>
      <c r="G198" s="8466">
        <f>IF(Captura_Marimba_M01!A52="", "", Captura_Marimba_M01!D52)</f>
      </c>
      <c r="H198" s="8467">
        <f>IF(Captura_Marimba_M01!A52="", "", Captura_Marimba_M01!G52)</f>
      </c>
      <c r="I198" s="8468">
        <f>IF(Captura_Marimba_M01!A52="", "", SUMIFS(Captura_Obra!$F:$F, Captura_Obra!$A:$A, E198, Captura_Obra!$B:$B, F198, Captura_Obra!$D:$D, G198))</f>
      </c>
      <c r="J198" s="8469">
        <f>IF(Captura_Marimba_M01!A52="", "", H198 - I198)</f>
      </c>
      <c r="K198" s="4007"/>
    </row>
    <row r="199" spans="1:11">
      <c r="A199" s="8470">
        <f>IF(Captura_Marimba_M01!A53="", "", "Marimba")</f>
      </c>
      <c r="B199" s="8471">
        <f>IF(Captura_Marimba_M01!A53="", "", Captura_Marimba_M01!N53)</f>
      </c>
      <c r="C199" s="8472">
        <f>IF(Captura_Marimba_M01!A53="", "", IFERROR(LOOKUP(2, 1/((Captura_Obra!$A$5:$A$1000=E199)*(Captura_Obra!$B$5:$B$1000=F199)*(Captura_Obra!$D$5:$D$1000=G199)), Captura_Obra!$N$5:$N$1000), "No Reportado"))</f>
      </c>
      <c r="D199" s="8473">
        <f>IF(Captura_Marimba_M01!A53="", "", IF(J199=0, "✅ Cuadrado", IF(I199=0, "❌ Falta en Obra", "⚠️ Dif")))</f>
      </c>
      <c r="E199" s="8474">
        <f>IF(Captura_Marimba_M01!A53="", "", Captura_Marimba_M01!A53)</f>
      </c>
      <c r="F199" s="8475">
        <f>IF(Captura_Marimba_M01!A53="", "", Captura_Marimba_M01!C53)</f>
      </c>
      <c r="G199" s="8476">
        <f>IF(Captura_Marimba_M01!A53="", "", Captura_Marimba_M01!D53)</f>
      </c>
      <c r="H199" s="8477">
        <f>IF(Captura_Marimba_M01!A53="", "", Captura_Marimba_M01!G53)</f>
      </c>
      <c r="I199" s="8478">
        <f>IF(Captura_Marimba_M01!A53="", "", SUMIFS(Captura_Obra!$F:$F, Captura_Obra!$A:$A, E199, Captura_Obra!$B:$B, F199, Captura_Obra!$D:$D, G199))</f>
      </c>
      <c r="J199" s="8479">
        <f>IF(Captura_Marimba_M01!A53="", "", H199 - I199)</f>
      </c>
      <c r="K199" s="4008"/>
    </row>
    <row r="200" spans="1:11">
      <c r="A200" s="8480">
        <f>IF(Captura_Marimba_M01!A54="", "", "Marimba")</f>
      </c>
      <c r="B200" s="8481">
        <f>IF(Captura_Marimba_M01!A54="", "", Captura_Marimba_M01!N54)</f>
      </c>
      <c r="C200" s="8482">
        <f>IF(Captura_Marimba_M01!A54="", "", IFERROR(LOOKUP(2, 1/((Captura_Obra!$A$5:$A$1000=E200)*(Captura_Obra!$B$5:$B$1000=F200)*(Captura_Obra!$D$5:$D$1000=G200)), Captura_Obra!$N$5:$N$1000), "No Reportado"))</f>
      </c>
      <c r="D200" s="8483">
        <f>IF(Captura_Marimba_M01!A54="", "", IF(J200=0, "✅ Cuadrado", IF(I200=0, "❌ Falta en Obra", "⚠️ Dif")))</f>
      </c>
      <c r="E200" s="8484">
        <f>IF(Captura_Marimba_M01!A54="", "", Captura_Marimba_M01!A54)</f>
      </c>
      <c r="F200" s="8485">
        <f>IF(Captura_Marimba_M01!A54="", "", Captura_Marimba_M01!C54)</f>
      </c>
      <c r="G200" s="8486">
        <f>IF(Captura_Marimba_M01!A54="", "", Captura_Marimba_M01!D54)</f>
      </c>
      <c r="H200" s="8487">
        <f>IF(Captura_Marimba_M01!A54="", "", Captura_Marimba_M01!G54)</f>
      </c>
      <c r="I200" s="8488">
        <f>IF(Captura_Marimba_M01!A54="", "", SUMIFS(Captura_Obra!$F:$F, Captura_Obra!$A:$A, E200, Captura_Obra!$B:$B, F200, Captura_Obra!$D:$D, G200))</f>
      </c>
      <c r="J200" s="8489">
        <f>IF(Captura_Marimba_M01!A54="", "", H200 - I200)</f>
      </c>
      <c r="K200" s="4009"/>
    </row>
    <row r="201" spans="1:11">
      <c r="A201" s="8490">
        <f>IF(Captura_Marimba_M01!A55="", "", "Marimba")</f>
      </c>
      <c r="B201" s="8491">
        <f>IF(Captura_Marimba_M01!A55="", "", Captura_Marimba_M01!N55)</f>
      </c>
      <c r="C201" s="8492">
        <f>IF(Captura_Marimba_M01!A55="", "", IFERROR(LOOKUP(2, 1/((Captura_Obra!$A$5:$A$1000=E201)*(Captura_Obra!$B$5:$B$1000=F201)*(Captura_Obra!$D$5:$D$1000=G201)), Captura_Obra!$N$5:$N$1000), "No Reportado"))</f>
      </c>
      <c r="D201" s="8493">
        <f>IF(Captura_Marimba_M01!A55="", "", IF(J201=0, "✅ Cuadrado", IF(I201=0, "❌ Falta en Obra", "⚠️ Dif")))</f>
      </c>
      <c r="E201" s="8494">
        <f>IF(Captura_Marimba_M01!A55="", "", Captura_Marimba_M01!A55)</f>
      </c>
      <c r="F201" s="8495">
        <f>IF(Captura_Marimba_M01!A55="", "", Captura_Marimba_M01!C55)</f>
      </c>
      <c r="G201" s="8496">
        <f>IF(Captura_Marimba_M01!A55="", "", Captura_Marimba_M01!D55)</f>
      </c>
      <c r="H201" s="8497">
        <f>IF(Captura_Marimba_M01!A55="", "", Captura_Marimba_M01!G55)</f>
      </c>
      <c r="I201" s="8498">
        <f>IF(Captura_Marimba_M01!A55="", "", SUMIFS(Captura_Obra!$F:$F, Captura_Obra!$A:$A, E201, Captura_Obra!$B:$B, F201, Captura_Obra!$D:$D, G201))</f>
      </c>
      <c r="J201" s="8499">
        <f>IF(Captura_Marimba_M01!A55="", "", H201 - I201)</f>
      </c>
      <c r="K201" s="4010"/>
    </row>
    <row r="202" spans="1:11">
      <c r="A202" s="8500">
        <f>IF(Captura_Marimba_M01!A56="", "", "Marimba")</f>
      </c>
      <c r="B202" s="8501">
        <f>IF(Captura_Marimba_M01!A56="", "", Captura_Marimba_M01!N56)</f>
      </c>
      <c r="C202" s="8502">
        <f>IF(Captura_Marimba_M01!A56="", "", IFERROR(LOOKUP(2, 1/((Captura_Obra!$A$5:$A$1000=E202)*(Captura_Obra!$B$5:$B$1000=F202)*(Captura_Obra!$D$5:$D$1000=G202)), Captura_Obra!$N$5:$N$1000), "No Reportado"))</f>
      </c>
      <c r="D202" s="8503">
        <f>IF(Captura_Marimba_M01!A56="", "", IF(J202=0, "✅ Cuadrado", IF(I202=0, "❌ Falta en Obra", "⚠️ Dif")))</f>
      </c>
      <c r="E202" s="8504">
        <f>IF(Captura_Marimba_M01!A56="", "", Captura_Marimba_M01!A56)</f>
      </c>
      <c r="F202" s="8505">
        <f>IF(Captura_Marimba_M01!A56="", "", Captura_Marimba_M01!C56)</f>
      </c>
      <c r="G202" s="8506">
        <f>IF(Captura_Marimba_M01!A56="", "", Captura_Marimba_M01!D56)</f>
      </c>
      <c r="H202" s="8507">
        <f>IF(Captura_Marimba_M01!A56="", "", Captura_Marimba_M01!G56)</f>
      </c>
      <c r="I202" s="8508">
        <f>IF(Captura_Marimba_M01!A56="", "", SUMIFS(Captura_Obra!$F:$F, Captura_Obra!$A:$A, E202, Captura_Obra!$B:$B, F202, Captura_Obra!$D:$D, G202))</f>
      </c>
      <c r="J202" s="8509">
        <f>IF(Captura_Marimba_M01!A56="", "", H202 - I202)</f>
      </c>
      <c r="K202" s="4011"/>
    </row>
    <row r="203" spans="1:11">
      <c r="A203" s="8510">
        <f>IF(Captura_Marimba_M01!A57="", "", "Marimba")</f>
      </c>
      <c r="B203" s="8511">
        <f>IF(Captura_Marimba_M01!A57="", "", Captura_Marimba_M01!N57)</f>
      </c>
      <c r="C203" s="8512">
        <f>IF(Captura_Marimba_M01!A57="", "", IFERROR(LOOKUP(2, 1/((Captura_Obra!$A$5:$A$1000=E203)*(Captura_Obra!$B$5:$B$1000=F203)*(Captura_Obra!$D$5:$D$1000=G203)), Captura_Obra!$N$5:$N$1000), "No Reportado"))</f>
      </c>
      <c r="D203" s="8513">
        <f>IF(Captura_Marimba_M01!A57="", "", IF(J203=0, "✅ Cuadrado", IF(I203=0, "❌ Falta en Obra", "⚠️ Dif")))</f>
      </c>
      <c r="E203" s="8514">
        <f>IF(Captura_Marimba_M01!A57="", "", Captura_Marimba_M01!A57)</f>
      </c>
      <c r="F203" s="8515">
        <f>IF(Captura_Marimba_M01!A57="", "", Captura_Marimba_M01!C57)</f>
      </c>
      <c r="G203" s="8516">
        <f>IF(Captura_Marimba_M01!A57="", "", Captura_Marimba_M01!D57)</f>
      </c>
      <c r="H203" s="8517">
        <f>IF(Captura_Marimba_M01!A57="", "", Captura_Marimba_M01!G57)</f>
      </c>
      <c r="I203" s="8518">
        <f>IF(Captura_Marimba_M01!A57="", "", SUMIFS(Captura_Obra!$F:$F, Captura_Obra!$A:$A, E203, Captura_Obra!$B:$B, F203, Captura_Obra!$D:$D, G203))</f>
      </c>
      <c r="J203" s="8519">
        <f>IF(Captura_Marimba_M01!A57="", "", H203 - I203)</f>
      </c>
      <c r="K203" s="4012"/>
    </row>
    <row r="204" spans="1:11">
      <c r="A204" s="8520">
        <f>IF(Captura_Marimba_M01!A58="", "", "Marimba")</f>
      </c>
      <c r="B204" s="8521">
        <f>IF(Captura_Marimba_M01!A58="", "", Captura_Marimba_M01!N58)</f>
      </c>
      <c r="C204" s="8522">
        <f>IF(Captura_Marimba_M01!A58="", "", IFERROR(LOOKUP(2, 1/((Captura_Obra!$A$5:$A$1000=E204)*(Captura_Obra!$B$5:$B$1000=F204)*(Captura_Obra!$D$5:$D$1000=G204)), Captura_Obra!$N$5:$N$1000), "No Reportado"))</f>
      </c>
      <c r="D204" s="8523">
        <f>IF(Captura_Marimba_M01!A58="", "", IF(J204=0, "✅ Cuadrado", IF(I204=0, "❌ Falta en Obra", "⚠️ Dif")))</f>
      </c>
      <c r="E204" s="8524">
        <f>IF(Captura_Marimba_M01!A58="", "", Captura_Marimba_M01!A58)</f>
      </c>
      <c r="F204" s="8525">
        <f>IF(Captura_Marimba_M01!A58="", "", Captura_Marimba_M01!C58)</f>
      </c>
      <c r="G204" s="8526">
        <f>IF(Captura_Marimba_M01!A58="", "", Captura_Marimba_M01!D58)</f>
      </c>
      <c r="H204" s="8527">
        <f>IF(Captura_Marimba_M01!A58="", "", Captura_Marimba_M01!G58)</f>
      </c>
      <c r="I204" s="8528">
        <f>IF(Captura_Marimba_M01!A58="", "", SUMIFS(Captura_Obra!$F:$F, Captura_Obra!$A:$A, E204, Captura_Obra!$B:$B, F204, Captura_Obra!$D:$D, G204))</f>
      </c>
      <c r="J204" s="8529">
        <f>IF(Captura_Marimba_M01!A58="", "", H204 - I204)</f>
      </c>
      <c r="K204" s="4013"/>
    </row>
    <row r="205" spans="1:11">
      <c r="A205" s="8530">
        <f>IF(Captura_Marimba_M01!A59="", "", "Marimba")</f>
      </c>
      <c r="B205" s="8531">
        <f>IF(Captura_Marimba_M01!A59="", "", Captura_Marimba_M01!N59)</f>
      </c>
      <c r="C205" s="8532">
        <f>IF(Captura_Marimba_M01!A59="", "", IFERROR(LOOKUP(2, 1/((Captura_Obra!$A$5:$A$1000=E205)*(Captura_Obra!$B$5:$B$1000=F205)*(Captura_Obra!$D$5:$D$1000=G205)), Captura_Obra!$N$5:$N$1000), "No Reportado"))</f>
      </c>
      <c r="D205" s="8533">
        <f>IF(Captura_Marimba_M01!A59="", "", IF(J205=0, "✅ Cuadrado", IF(I205=0, "❌ Falta en Obra", "⚠️ Dif")))</f>
      </c>
      <c r="E205" s="8534">
        <f>IF(Captura_Marimba_M01!A59="", "", Captura_Marimba_M01!A59)</f>
      </c>
      <c r="F205" s="8535">
        <f>IF(Captura_Marimba_M01!A59="", "", Captura_Marimba_M01!C59)</f>
      </c>
      <c r="G205" s="8536">
        <f>IF(Captura_Marimba_M01!A59="", "", Captura_Marimba_M01!D59)</f>
      </c>
      <c r="H205" s="8537">
        <f>IF(Captura_Marimba_M01!A59="", "", Captura_Marimba_M01!G59)</f>
      </c>
      <c r="I205" s="8538">
        <f>IF(Captura_Marimba_M01!A59="", "", SUMIFS(Captura_Obra!$F:$F, Captura_Obra!$A:$A, E205, Captura_Obra!$B:$B, F205, Captura_Obra!$D:$D, G205))</f>
      </c>
      <c r="J205" s="8539">
        <f>IF(Captura_Marimba_M01!A59="", "", H205 - I205)</f>
      </c>
      <c r="K205" s="4014"/>
    </row>
    <row r="206" spans="1:11">
      <c r="A206" s="8540">
        <f>IF(Captura_Marimba_M01!A60="", "", "Marimba")</f>
      </c>
      <c r="B206" s="8541">
        <f>IF(Captura_Marimba_M01!A60="", "", Captura_Marimba_M01!N60)</f>
      </c>
      <c r="C206" s="8542">
        <f>IF(Captura_Marimba_M01!A60="", "", IFERROR(LOOKUP(2, 1/((Captura_Obra!$A$5:$A$1000=E206)*(Captura_Obra!$B$5:$B$1000=F206)*(Captura_Obra!$D$5:$D$1000=G206)), Captura_Obra!$N$5:$N$1000), "No Reportado"))</f>
      </c>
      <c r="D206" s="8543">
        <f>IF(Captura_Marimba_M01!A60="", "", IF(J206=0, "✅ Cuadrado", IF(I206=0, "❌ Falta en Obra", "⚠️ Dif")))</f>
      </c>
      <c r="E206" s="8544">
        <f>IF(Captura_Marimba_M01!A60="", "", Captura_Marimba_M01!A60)</f>
      </c>
      <c r="F206" s="8545">
        <f>IF(Captura_Marimba_M01!A60="", "", Captura_Marimba_M01!C60)</f>
      </c>
      <c r="G206" s="8546">
        <f>IF(Captura_Marimba_M01!A60="", "", Captura_Marimba_M01!D60)</f>
      </c>
      <c r="H206" s="8547">
        <f>IF(Captura_Marimba_M01!A60="", "", Captura_Marimba_M01!G60)</f>
      </c>
      <c r="I206" s="8548">
        <f>IF(Captura_Marimba_M01!A60="", "", SUMIFS(Captura_Obra!$F:$F, Captura_Obra!$A:$A, E206, Captura_Obra!$B:$B, F206, Captura_Obra!$D:$D, G206))</f>
      </c>
      <c r="J206" s="8549">
        <f>IF(Captura_Marimba_M01!A60="", "", H206 - I206)</f>
      </c>
      <c r="K206" s="4015"/>
    </row>
    <row r="207" spans="1:11">
      <c r="A207" s="8550">
        <f>IF(Captura_Marimba_M01!A61="", "", "Marimba")</f>
      </c>
      <c r="B207" s="8551">
        <f>IF(Captura_Marimba_M01!A61="", "", Captura_Marimba_M01!N61)</f>
      </c>
      <c r="C207" s="8552">
        <f>IF(Captura_Marimba_M01!A61="", "", IFERROR(LOOKUP(2, 1/((Captura_Obra!$A$5:$A$1000=E207)*(Captura_Obra!$B$5:$B$1000=F207)*(Captura_Obra!$D$5:$D$1000=G207)), Captura_Obra!$N$5:$N$1000), "No Reportado"))</f>
      </c>
      <c r="D207" s="8553">
        <f>IF(Captura_Marimba_M01!A61="", "", IF(J207=0, "✅ Cuadrado", IF(I207=0, "❌ Falta en Obra", "⚠️ Dif")))</f>
      </c>
      <c r="E207" s="8554">
        <f>IF(Captura_Marimba_M01!A61="", "", Captura_Marimba_M01!A61)</f>
      </c>
      <c r="F207" s="8555">
        <f>IF(Captura_Marimba_M01!A61="", "", Captura_Marimba_M01!C61)</f>
      </c>
      <c r="G207" s="8556">
        <f>IF(Captura_Marimba_M01!A61="", "", Captura_Marimba_M01!D61)</f>
      </c>
      <c r="H207" s="8557">
        <f>IF(Captura_Marimba_M01!A61="", "", Captura_Marimba_M01!G61)</f>
      </c>
      <c r="I207" s="8558">
        <f>IF(Captura_Marimba_M01!A61="", "", SUMIFS(Captura_Obra!$F:$F, Captura_Obra!$A:$A, E207, Captura_Obra!$B:$B, F207, Captura_Obra!$D:$D, G207))</f>
      </c>
      <c r="J207" s="8559">
        <f>IF(Captura_Marimba_M01!A61="", "", H207 - I207)</f>
      </c>
      <c r="K207" s="4016"/>
    </row>
    <row r="208" spans="1:11">
      <c r="A208" s="8560">
        <f>IF(Captura_Marimba_M01!A62="", "", "Marimba")</f>
      </c>
      <c r="B208" s="8561">
        <f>IF(Captura_Marimba_M01!A62="", "", Captura_Marimba_M01!N62)</f>
      </c>
      <c r="C208" s="8562">
        <f>IF(Captura_Marimba_M01!A62="", "", IFERROR(LOOKUP(2, 1/((Captura_Obra!$A$5:$A$1000=E208)*(Captura_Obra!$B$5:$B$1000=F208)*(Captura_Obra!$D$5:$D$1000=G208)), Captura_Obra!$N$5:$N$1000), "No Reportado"))</f>
      </c>
      <c r="D208" s="8563">
        <f>IF(Captura_Marimba_M01!A62="", "", IF(J208=0, "✅ Cuadrado", IF(I208=0, "❌ Falta en Obra", "⚠️ Dif")))</f>
      </c>
      <c r="E208" s="8564">
        <f>IF(Captura_Marimba_M01!A62="", "", Captura_Marimba_M01!A62)</f>
      </c>
      <c r="F208" s="8565">
        <f>IF(Captura_Marimba_M01!A62="", "", Captura_Marimba_M01!C62)</f>
      </c>
      <c r="G208" s="8566">
        <f>IF(Captura_Marimba_M01!A62="", "", Captura_Marimba_M01!D62)</f>
      </c>
      <c r="H208" s="8567">
        <f>IF(Captura_Marimba_M01!A62="", "", Captura_Marimba_M01!G62)</f>
      </c>
      <c r="I208" s="8568">
        <f>IF(Captura_Marimba_M01!A62="", "", SUMIFS(Captura_Obra!$F:$F, Captura_Obra!$A:$A, E208, Captura_Obra!$B:$B, F208, Captura_Obra!$D:$D, G208))</f>
      </c>
      <c r="J208" s="8569">
        <f>IF(Captura_Marimba_M01!A62="", "", H208 - I208)</f>
      </c>
      <c r="K208" s="4017"/>
    </row>
    <row r="209" spans="1:11">
      <c r="A209" s="8570">
        <f>IF(Captura_Marimba_M01!A63="", "", "Marimba")</f>
      </c>
      <c r="B209" s="8571">
        <f>IF(Captura_Marimba_M01!A63="", "", Captura_Marimba_M01!N63)</f>
      </c>
      <c r="C209" s="8572">
        <f>IF(Captura_Marimba_M01!A63="", "", IFERROR(LOOKUP(2, 1/((Captura_Obra!$A$5:$A$1000=E209)*(Captura_Obra!$B$5:$B$1000=F209)*(Captura_Obra!$D$5:$D$1000=G209)), Captura_Obra!$N$5:$N$1000), "No Reportado"))</f>
      </c>
      <c r="D209" s="8573">
        <f>IF(Captura_Marimba_M01!A63="", "", IF(J209=0, "✅ Cuadrado", IF(I209=0, "❌ Falta en Obra", "⚠️ Dif")))</f>
      </c>
      <c r="E209" s="8574">
        <f>IF(Captura_Marimba_M01!A63="", "", Captura_Marimba_M01!A63)</f>
      </c>
      <c r="F209" s="8575">
        <f>IF(Captura_Marimba_M01!A63="", "", Captura_Marimba_M01!C63)</f>
      </c>
      <c r="G209" s="8576">
        <f>IF(Captura_Marimba_M01!A63="", "", Captura_Marimba_M01!D63)</f>
      </c>
      <c r="H209" s="8577">
        <f>IF(Captura_Marimba_M01!A63="", "", Captura_Marimba_M01!G63)</f>
      </c>
      <c r="I209" s="8578">
        <f>IF(Captura_Marimba_M01!A63="", "", SUMIFS(Captura_Obra!$F:$F, Captura_Obra!$A:$A, E209, Captura_Obra!$B:$B, F209, Captura_Obra!$D:$D, G209))</f>
      </c>
      <c r="J209" s="8579">
        <f>IF(Captura_Marimba_M01!A63="", "", H209 - I209)</f>
      </c>
      <c r="K209" s="4018"/>
    </row>
    <row r="210" spans="1:11">
      <c r="A210" s="8580">
        <f>IF(Captura_Marimba_M01!A64="", "", "Marimba")</f>
      </c>
      <c r="B210" s="8581">
        <f>IF(Captura_Marimba_M01!A64="", "", Captura_Marimba_M01!N64)</f>
      </c>
      <c r="C210" s="8582">
        <f>IF(Captura_Marimba_M01!A64="", "", IFERROR(LOOKUP(2, 1/((Captura_Obra!$A$5:$A$1000=E210)*(Captura_Obra!$B$5:$B$1000=F210)*(Captura_Obra!$D$5:$D$1000=G210)), Captura_Obra!$N$5:$N$1000), "No Reportado"))</f>
      </c>
      <c r="D210" s="8583">
        <f>IF(Captura_Marimba_M01!A64="", "", IF(J210=0, "✅ Cuadrado", IF(I210=0, "❌ Falta en Obra", "⚠️ Dif")))</f>
      </c>
      <c r="E210" s="8584">
        <f>IF(Captura_Marimba_M01!A64="", "", Captura_Marimba_M01!A64)</f>
      </c>
      <c r="F210" s="8585">
        <f>IF(Captura_Marimba_M01!A64="", "", Captura_Marimba_M01!C64)</f>
      </c>
      <c r="G210" s="8586">
        <f>IF(Captura_Marimba_M01!A64="", "", Captura_Marimba_M01!D64)</f>
      </c>
      <c r="H210" s="8587">
        <f>IF(Captura_Marimba_M01!A64="", "", Captura_Marimba_M01!G64)</f>
      </c>
      <c r="I210" s="8588">
        <f>IF(Captura_Marimba_M01!A64="", "", SUMIFS(Captura_Obra!$F:$F, Captura_Obra!$A:$A, E210, Captura_Obra!$B:$B, F210, Captura_Obra!$D:$D, G210))</f>
      </c>
      <c r="J210" s="8589">
        <f>IF(Captura_Marimba_M01!A64="", "", H210 - I210)</f>
      </c>
      <c r="K210" s="4019"/>
    </row>
    <row r="211" spans="1:11">
      <c r="A211" s="8590">
        <f>IF(Captura_Marimba_M01!A65="", "", "Marimba")</f>
      </c>
      <c r="B211" s="8591">
        <f>IF(Captura_Marimba_M01!A65="", "", Captura_Marimba_M01!N65)</f>
      </c>
      <c r="C211" s="8592">
        <f>IF(Captura_Marimba_M01!A65="", "", IFERROR(LOOKUP(2, 1/((Captura_Obra!$A$5:$A$1000=E211)*(Captura_Obra!$B$5:$B$1000=F211)*(Captura_Obra!$D$5:$D$1000=G211)), Captura_Obra!$N$5:$N$1000), "No Reportado"))</f>
      </c>
      <c r="D211" s="8593">
        <f>IF(Captura_Marimba_M01!A65="", "", IF(J211=0, "✅ Cuadrado", IF(I211=0, "❌ Falta en Obra", "⚠️ Dif")))</f>
      </c>
      <c r="E211" s="8594">
        <f>IF(Captura_Marimba_M01!A65="", "", Captura_Marimba_M01!A65)</f>
      </c>
      <c r="F211" s="8595">
        <f>IF(Captura_Marimba_M01!A65="", "", Captura_Marimba_M01!C65)</f>
      </c>
      <c r="G211" s="8596">
        <f>IF(Captura_Marimba_M01!A65="", "", Captura_Marimba_M01!D65)</f>
      </c>
      <c r="H211" s="8597">
        <f>IF(Captura_Marimba_M01!A65="", "", Captura_Marimba_M01!G65)</f>
      </c>
      <c r="I211" s="8598">
        <f>IF(Captura_Marimba_M01!A65="", "", SUMIFS(Captura_Obra!$F:$F, Captura_Obra!$A:$A, E211, Captura_Obra!$B:$B, F211, Captura_Obra!$D:$D, G211))</f>
      </c>
      <c r="J211" s="8599">
        <f>IF(Captura_Marimba_M01!A65="", "", H211 - I211)</f>
      </c>
      <c r="K211" s="4020"/>
    </row>
    <row r="212" spans="1:11">
      <c r="A212" s="8600">
        <f>IF(Captura_Marimba_M01!A66="", "", "Marimba")</f>
      </c>
      <c r="B212" s="8601">
        <f>IF(Captura_Marimba_M01!A66="", "", Captura_Marimba_M01!N66)</f>
      </c>
      <c r="C212" s="8602">
        <f>IF(Captura_Marimba_M01!A66="", "", IFERROR(LOOKUP(2, 1/((Captura_Obra!$A$5:$A$1000=E212)*(Captura_Obra!$B$5:$B$1000=F212)*(Captura_Obra!$D$5:$D$1000=G212)), Captura_Obra!$N$5:$N$1000), "No Reportado"))</f>
      </c>
      <c r="D212" s="8603">
        <f>IF(Captura_Marimba_M01!A66="", "", IF(J212=0, "✅ Cuadrado", IF(I212=0, "❌ Falta en Obra", "⚠️ Dif")))</f>
      </c>
      <c r="E212" s="8604">
        <f>IF(Captura_Marimba_M01!A66="", "", Captura_Marimba_M01!A66)</f>
      </c>
      <c r="F212" s="8605">
        <f>IF(Captura_Marimba_M01!A66="", "", Captura_Marimba_M01!C66)</f>
      </c>
      <c r="G212" s="8606">
        <f>IF(Captura_Marimba_M01!A66="", "", Captura_Marimba_M01!D66)</f>
      </c>
      <c r="H212" s="8607">
        <f>IF(Captura_Marimba_M01!A66="", "", Captura_Marimba_M01!G66)</f>
      </c>
      <c r="I212" s="8608">
        <f>IF(Captura_Marimba_M01!A66="", "", SUMIFS(Captura_Obra!$F:$F, Captura_Obra!$A:$A, E212, Captura_Obra!$B:$B, F212, Captura_Obra!$D:$D, G212))</f>
      </c>
      <c r="J212" s="8609">
        <f>IF(Captura_Marimba_M01!A66="", "", H212 - I212)</f>
      </c>
      <c r="K212" s="4021"/>
    </row>
    <row r="213" spans="1:11">
      <c r="A213" s="8610">
        <f>IF(Captura_Marimba_M01!A67="", "", "Marimba")</f>
      </c>
      <c r="B213" s="8611">
        <f>IF(Captura_Marimba_M01!A67="", "", Captura_Marimba_M01!N67)</f>
      </c>
      <c r="C213" s="8612">
        <f>IF(Captura_Marimba_M01!A67="", "", IFERROR(LOOKUP(2, 1/((Captura_Obra!$A$5:$A$1000=E213)*(Captura_Obra!$B$5:$B$1000=F213)*(Captura_Obra!$D$5:$D$1000=G213)), Captura_Obra!$N$5:$N$1000), "No Reportado"))</f>
      </c>
      <c r="D213" s="8613">
        <f>IF(Captura_Marimba_M01!A67="", "", IF(J213=0, "✅ Cuadrado", IF(I213=0, "❌ Falta en Obra", "⚠️ Dif")))</f>
      </c>
      <c r="E213" s="8614">
        <f>IF(Captura_Marimba_M01!A67="", "", Captura_Marimba_M01!A67)</f>
      </c>
      <c r="F213" s="8615">
        <f>IF(Captura_Marimba_M01!A67="", "", Captura_Marimba_M01!C67)</f>
      </c>
      <c r="G213" s="8616">
        <f>IF(Captura_Marimba_M01!A67="", "", Captura_Marimba_M01!D67)</f>
      </c>
      <c r="H213" s="8617">
        <f>IF(Captura_Marimba_M01!A67="", "", Captura_Marimba_M01!G67)</f>
      </c>
      <c r="I213" s="8618">
        <f>IF(Captura_Marimba_M01!A67="", "", SUMIFS(Captura_Obra!$F:$F, Captura_Obra!$A:$A, E213, Captura_Obra!$B:$B, F213, Captura_Obra!$D:$D, G213))</f>
      </c>
      <c r="J213" s="8619">
        <f>IF(Captura_Marimba_M01!A67="", "", H213 - I213)</f>
      </c>
      <c r="K213" s="4022"/>
    </row>
    <row r="214" spans="1:11">
      <c r="A214" s="8620">
        <f>IF(Captura_Marimba_M01!A68="", "", "Marimba")</f>
      </c>
      <c r="B214" s="8621">
        <f>IF(Captura_Marimba_M01!A68="", "", Captura_Marimba_M01!N68)</f>
      </c>
      <c r="C214" s="8622">
        <f>IF(Captura_Marimba_M01!A68="", "", IFERROR(LOOKUP(2, 1/((Captura_Obra!$A$5:$A$1000=E214)*(Captura_Obra!$B$5:$B$1000=F214)*(Captura_Obra!$D$5:$D$1000=G214)), Captura_Obra!$N$5:$N$1000), "No Reportado"))</f>
      </c>
      <c r="D214" s="8623">
        <f>IF(Captura_Marimba_M01!A68="", "", IF(J214=0, "✅ Cuadrado", IF(I214=0, "❌ Falta en Obra", "⚠️ Dif")))</f>
      </c>
      <c r="E214" s="8624">
        <f>IF(Captura_Marimba_M01!A68="", "", Captura_Marimba_M01!A68)</f>
      </c>
      <c r="F214" s="8625">
        <f>IF(Captura_Marimba_M01!A68="", "", Captura_Marimba_M01!C68)</f>
      </c>
      <c r="G214" s="8626">
        <f>IF(Captura_Marimba_M01!A68="", "", Captura_Marimba_M01!D68)</f>
      </c>
      <c r="H214" s="8627">
        <f>IF(Captura_Marimba_M01!A68="", "", Captura_Marimba_M01!G68)</f>
      </c>
      <c r="I214" s="8628">
        <f>IF(Captura_Marimba_M01!A68="", "", SUMIFS(Captura_Obra!$F:$F, Captura_Obra!$A:$A, E214, Captura_Obra!$B:$B, F214, Captura_Obra!$D:$D, G214))</f>
      </c>
      <c r="J214" s="8629">
        <f>IF(Captura_Marimba_M01!A68="", "", H214 - I214)</f>
      </c>
      <c r="K214" s="4023"/>
    </row>
    <row r="215" spans="1:11">
      <c r="A215" s="8630">
        <f>IF(Captura_Marimba_M01!A69="", "", "Marimba")</f>
      </c>
      <c r="B215" s="8631">
        <f>IF(Captura_Marimba_M01!A69="", "", Captura_Marimba_M01!N69)</f>
      </c>
      <c r="C215" s="8632">
        <f>IF(Captura_Marimba_M01!A69="", "", IFERROR(LOOKUP(2, 1/((Captura_Obra!$A$5:$A$1000=E215)*(Captura_Obra!$B$5:$B$1000=F215)*(Captura_Obra!$D$5:$D$1000=G215)), Captura_Obra!$N$5:$N$1000), "No Reportado"))</f>
      </c>
      <c r="D215" s="8633">
        <f>IF(Captura_Marimba_M01!A69="", "", IF(J215=0, "✅ Cuadrado", IF(I215=0, "❌ Falta en Obra", "⚠️ Dif")))</f>
      </c>
      <c r="E215" s="8634">
        <f>IF(Captura_Marimba_M01!A69="", "", Captura_Marimba_M01!A69)</f>
      </c>
      <c r="F215" s="8635">
        <f>IF(Captura_Marimba_M01!A69="", "", Captura_Marimba_M01!C69)</f>
      </c>
      <c r="G215" s="8636">
        <f>IF(Captura_Marimba_M01!A69="", "", Captura_Marimba_M01!D69)</f>
      </c>
      <c r="H215" s="8637">
        <f>IF(Captura_Marimba_M01!A69="", "", Captura_Marimba_M01!G69)</f>
      </c>
      <c r="I215" s="8638">
        <f>IF(Captura_Marimba_M01!A69="", "", SUMIFS(Captura_Obra!$F:$F, Captura_Obra!$A:$A, E215, Captura_Obra!$B:$B, F215, Captura_Obra!$D:$D, G215))</f>
      </c>
      <c r="J215" s="8639">
        <f>IF(Captura_Marimba_M01!A69="", "", H215 - I215)</f>
      </c>
      <c r="K215" s="4024"/>
    </row>
    <row r="216" spans="1:11">
      <c r="A216" s="8640">
        <f>IF(Captura_Marimba_M01!A70="", "", "Marimba")</f>
      </c>
      <c r="B216" s="8641">
        <f>IF(Captura_Marimba_M01!A70="", "", Captura_Marimba_M01!N70)</f>
      </c>
      <c r="C216" s="8642">
        <f>IF(Captura_Marimba_M01!A70="", "", IFERROR(LOOKUP(2, 1/((Captura_Obra!$A$5:$A$1000=E216)*(Captura_Obra!$B$5:$B$1000=F216)*(Captura_Obra!$D$5:$D$1000=G216)), Captura_Obra!$N$5:$N$1000), "No Reportado"))</f>
      </c>
      <c r="D216" s="8643">
        <f>IF(Captura_Marimba_M01!A70="", "", IF(J216=0, "✅ Cuadrado", IF(I216=0, "❌ Falta en Obra", "⚠️ Dif")))</f>
      </c>
      <c r="E216" s="8644">
        <f>IF(Captura_Marimba_M01!A70="", "", Captura_Marimba_M01!A70)</f>
      </c>
      <c r="F216" s="8645">
        <f>IF(Captura_Marimba_M01!A70="", "", Captura_Marimba_M01!C70)</f>
      </c>
      <c r="G216" s="8646">
        <f>IF(Captura_Marimba_M01!A70="", "", Captura_Marimba_M01!D70)</f>
      </c>
      <c r="H216" s="8647">
        <f>IF(Captura_Marimba_M01!A70="", "", Captura_Marimba_M01!G70)</f>
      </c>
      <c r="I216" s="8648">
        <f>IF(Captura_Marimba_M01!A70="", "", SUMIFS(Captura_Obra!$F:$F, Captura_Obra!$A:$A, E216, Captura_Obra!$B:$B, F216, Captura_Obra!$D:$D, G216))</f>
      </c>
      <c r="J216" s="8649">
        <f>IF(Captura_Marimba_M01!A70="", "", H216 - I216)</f>
      </c>
      <c r="K216" s="4025"/>
    </row>
    <row r="217" spans="1:11">
      <c r="A217" s="8650">
        <f>IF(Captura_Marimba_M01!A71="", "", "Marimba")</f>
      </c>
      <c r="B217" s="8651">
        <f>IF(Captura_Marimba_M01!A71="", "", Captura_Marimba_M01!N71)</f>
      </c>
      <c r="C217" s="8652">
        <f>IF(Captura_Marimba_M01!A71="", "", IFERROR(LOOKUP(2, 1/((Captura_Obra!$A$5:$A$1000=E217)*(Captura_Obra!$B$5:$B$1000=F217)*(Captura_Obra!$D$5:$D$1000=G217)), Captura_Obra!$N$5:$N$1000), "No Reportado"))</f>
      </c>
      <c r="D217" s="8653">
        <f>IF(Captura_Marimba_M01!A71="", "", IF(J217=0, "✅ Cuadrado", IF(I217=0, "❌ Falta en Obra", "⚠️ Dif")))</f>
      </c>
      <c r="E217" s="8654">
        <f>IF(Captura_Marimba_M01!A71="", "", Captura_Marimba_M01!A71)</f>
      </c>
      <c r="F217" s="8655">
        <f>IF(Captura_Marimba_M01!A71="", "", Captura_Marimba_M01!C71)</f>
      </c>
      <c r="G217" s="8656">
        <f>IF(Captura_Marimba_M01!A71="", "", Captura_Marimba_M01!D71)</f>
      </c>
      <c r="H217" s="8657">
        <f>IF(Captura_Marimba_M01!A71="", "", Captura_Marimba_M01!G71)</f>
      </c>
      <c r="I217" s="8658">
        <f>IF(Captura_Marimba_M01!A71="", "", SUMIFS(Captura_Obra!$F:$F, Captura_Obra!$A:$A, E217, Captura_Obra!$B:$B, F217, Captura_Obra!$D:$D, G217))</f>
      </c>
      <c r="J217" s="8659">
        <f>IF(Captura_Marimba_M01!A71="", "", H217 - I217)</f>
      </c>
      <c r="K217" s="4026"/>
    </row>
    <row r="218" spans="1:11">
      <c r="A218" s="8660">
        <f>IF(Captura_Marimba_M01!A72="", "", "Marimba")</f>
      </c>
      <c r="B218" s="8661">
        <f>IF(Captura_Marimba_M01!A72="", "", Captura_Marimba_M01!N72)</f>
      </c>
      <c r="C218" s="8662">
        <f>IF(Captura_Marimba_M01!A72="", "", IFERROR(LOOKUP(2, 1/((Captura_Obra!$A$5:$A$1000=E218)*(Captura_Obra!$B$5:$B$1000=F218)*(Captura_Obra!$D$5:$D$1000=G218)), Captura_Obra!$N$5:$N$1000), "No Reportado"))</f>
      </c>
      <c r="D218" s="8663">
        <f>IF(Captura_Marimba_M01!A72="", "", IF(J218=0, "✅ Cuadrado", IF(I218=0, "❌ Falta en Obra", "⚠️ Dif")))</f>
      </c>
      <c r="E218" s="8664">
        <f>IF(Captura_Marimba_M01!A72="", "", Captura_Marimba_M01!A72)</f>
      </c>
      <c r="F218" s="8665">
        <f>IF(Captura_Marimba_M01!A72="", "", Captura_Marimba_M01!C72)</f>
      </c>
      <c r="G218" s="8666">
        <f>IF(Captura_Marimba_M01!A72="", "", Captura_Marimba_M01!D72)</f>
      </c>
      <c r="H218" s="8667">
        <f>IF(Captura_Marimba_M01!A72="", "", Captura_Marimba_M01!G72)</f>
      </c>
      <c r="I218" s="8668">
        <f>IF(Captura_Marimba_M01!A72="", "", SUMIFS(Captura_Obra!$F:$F, Captura_Obra!$A:$A, E218, Captura_Obra!$B:$B, F218, Captura_Obra!$D:$D, G218))</f>
      </c>
      <c r="J218" s="8669">
        <f>IF(Captura_Marimba_M01!A72="", "", H218 - I218)</f>
      </c>
      <c r="K218" s="4027"/>
    </row>
    <row r="219" spans="1:11">
      <c r="A219" s="8670">
        <f>IF(Captura_Marimba_M01!A73="", "", "Marimba")</f>
      </c>
      <c r="B219" s="8671">
        <f>IF(Captura_Marimba_M01!A73="", "", Captura_Marimba_M01!N73)</f>
      </c>
      <c r="C219" s="8672">
        <f>IF(Captura_Marimba_M01!A73="", "", IFERROR(LOOKUP(2, 1/((Captura_Obra!$A$5:$A$1000=E219)*(Captura_Obra!$B$5:$B$1000=F219)*(Captura_Obra!$D$5:$D$1000=G219)), Captura_Obra!$N$5:$N$1000), "No Reportado"))</f>
      </c>
      <c r="D219" s="8673">
        <f>IF(Captura_Marimba_M01!A73="", "", IF(J219=0, "✅ Cuadrado", IF(I219=0, "❌ Falta en Obra", "⚠️ Dif")))</f>
      </c>
      <c r="E219" s="8674">
        <f>IF(Captura_Marimba_M01!A73="", "", Captura_Marimba_M01!A73)</f>
      </c>
      <c r="F219" s="8675">
        <f>IF(Captura_Marimba_M01!A73="", "", Captura_Marimba_M01!C73)</f>
      </c>
      <c r="G219" s="8676">
        <f>IF(Captura_Marimba_M01!A73="", "", Captura_Marimba_M01!D73)</f>
      </c>
      <c r="H219" s="8677">
        <f>IF(Captura_Marimba_M01!A73="", "", Captura_Marimba_M01!G73)</f>
      </c>
      <c r="I219" s="8678">
        <f>IF(Captura_Marimba_M01!A73="", "", SUMIFS(Captura_Obra!$F:$F, Captura_Obra!$A:$A, E219, Captura_Obra!$B:$B, F219, Captura_Obra!$D:$D, G219))</f>
      </c>
      <c r="J219" s="8679">
        <f>IF(Captura_Marimba_M01!A73="", "", H219 - I219)</f>
      </c>
      <c r="K219" s="4028"/>
    </row>
    <row r="220" spans="1:11">
      <c r="A220" s="8680">
        <f>IF(Captura_Marimba_M01!A74="", "", "Marimba")</f>
      </c>
      <c r="B220" s="8681">
        <f>IF(Captura_Marimba_M01!A74="", "", Captura_Marimba_M01!N74)</f>
      </c>
      <c r="C220" s="8682">
        <f>IF(Captura_Marimba_M01!A74="", "", IFERROR(LOOKUP(2, 1/((Captura_Obra!$A$5:$A$1000=E220)*(Captura_Obra!$B$5:$B$1000=F220)*(Captura_Obra!$D$5:$D$1000=G220)), Captura_Obra!$N$5:$N$1000), "No Reportado"))</f>
      </c>
      <c r="D220" s="8683">
        <f>IF(Captura_Marimba_M01!A74="", "", IF(J220=0, "✅ Cuadrado", IF(I220=0, "❌ Falta en Obra", "⚠️ Dif")))</f>
      </c>
      <c r="E220" s="8684">
        <f>IF(Captura_Marimba_M01!A74="", "", Captura_Marimba_M01!A74)</f>
      </c>
      <c r="F220" s="8685">
        <f>IF(Captura_Marimba_M01!A74="", "", Captura_Marimba_M01!C74)</f>
      </c>
      <c r="G220" s="8686">
        <f>IF(Captura_Marimba_M01!A74="", "", Captura_Marimba_M01!D74)</f>
      </c>
      <c r="H220" s="8687">
        <f>IF(Captura_Marimba_M01!A74="", "", Captura_Marimba_M01!G74)</f>
      </c>
      <c r="I220" s="8688">
        <f>IF(Captura_Marimba_M01!A74="", "", SUMIFS(Captura_Obra!$F:$F, Captura_Obra!$A:$A, E220, Captura_Obra!$B:$B, F220, Captura_Obra!$D:$D, G220))</f>
      </c>
      <c r="J220" s="8689">
        <f>IF(Captura_Marimba_M01!A74="", "", H220 - I220)</f>
      </c>
      <c r="K220" s="4029"/>
    </row>
    <row r="221" spans="1:11">
      <c r="A221" s="8690">
        <f>IF(Captura_Marimba_M01!A75="", "", "Marimba")</f>
      </c>
      <c r="B221" s="8691">
        <f>IF(Captura_Marimba_M01!A75="", "", Captura_Marimba_M01!N75)</f>
      </c>
      <c r="C221" s="8692">
        <f>IF(Captura_Marimba_M01!A75="", "", IFERROR(LOOKUP(2, 1/((Captura_Obra!$A$5:$A$1000=E221)*(Captura_Obra!$B$5:$B$1000=F221)*(Captura_Obra!$D$5:$D$1000=G221)), Captura_Obra!$N$5:$N$1000), "No Reportado"))</f>
      </c>
      <c r="D221" s="8693">
        <f>IF(Captura_Marimba_M01!A75="", "", IF(J221=0, "✅ Cuadrado", IF(I221=0, "❌ Falta en Obra", "⚠️ Dif")))</f>
      </c>
      <c r="E221" s="8694">
        <f>IF(Captura_Marimba_M01!A75="", "", Captura_Marimba_M01!A75)</f>
      </c>
      <c r="F221" s="8695">
        <f>IF(Captura_Marimba_M01!A75="", "", Captura_Marimba_M01!C75)</f>
      </c>
      <c r="G221" s="8696">
        <f>IF(Captura_Marimba_M01!A75="", "", Captura_Marimba_M01!D75)</f>
      </c>
      <c r="H221" s="8697">
        <f>IF(Captura_Marimba_M01!A75="", "", Captura_Marimba_M01!G75)</f>
      </c>
      <c r="I221" s="8698">
        <f>IF(Captura_Marimba_M01!A75="", "", SUMIFS(Captura_Obra!$F:$F, Captura_Obra!$A:$A, E221, Captura_Obra!$B:$B, F221, Captura_Obra!$D:$D, G221))</f>
      </c>
      <c r="J221" s="8699">
        <f>IF(Captura_Marimba_M01!A75="", "", H221 - I221)</f>
      </c>
      <c r="K221" s="4030"/>
    </row>
    <row r="222" spans="1:11">
      <c r="A222" s="8700">
        <f>IF(Captura_Marimba_M01!A76="", "", "Marimba")</f>
      </c>
      <c r="B222" s="8701">
        <f>IF(Captura_Marimba_M01!A76="", "", Captura_Marimba_M01!N76)</f>
      </c>
      <c r="C222" s="8702">
        <f>IF(Captura_Marimba_M01!A76="", "", IFERROR(LOOKUP(2, 1/((Captura_Obra!$A$5:$A$1000=E222)*(Captura_Obra!$B$5:$B$1000=F222)*(Captura_Obra!$D$5:$D$1000=G222)), Captura_Obra!$N$5:$N$1000), "No Reportado"))</f>
      </c>
      <c r="D222" s="8703">
        <f>IF(Captura_Marimba_M01!A76="", "", IF(J222=0, "✅ Cuadrado", IF(I222=0, "❌ Falta en Obra", "⚠️ Dif")))</f>
      </c>
      <c r="E222" s="8704">
        <f>IF(Captura_Marimba_M01!A76="", "", Captura_Marimba_M01!A76)</f>
      </c>
      <c r="F222" s="8705">
        <f>IF(Captura_Marimba_M01!A76="", "", Captura_Marimba_M01!C76)</f>
      </c>
      <c r="G222" s="8706">
        <f>IF(Captura_Marimba_M01!A76="", "", Captura_Marimba_M01!D76)</f>
      </c>
      <c r="H222" s="8707">
        <f>IF(Captura_Marimba_M01!A76="", "", Captura_Marimba_M01!G76)</f>
      </c>
      <c r="I222" s="8708">
        <f>IF(Captura_Marimba_M01!A76="", "", SUMIFS(Captura_Obra!$F:$F, Captura_Obra!$A:$A, E222, Captura_Obra!$B:$B, F222, Captura_Obra!$D:$D, G222))</f>
      </c>
      <c r="J222" s="8709">
        <f>IF(Captura_Marimba_M01!A76="", "", H222 - I222)</f>
      </c>
      <c r="K222" s="4031"/>
    </row>
    <row r="223" spans="1:11">
      <c r="A223" s="8710">
        <f>IF(Captura_Marimba_M01!A77="", "", "Marimba")</f>
      </c>
      <c r="B223" s="8711">
        <f>IF(Captura_Marimba_M01!A77="", "", Captura_Marimba_M01!N77)</f>
      </c>
      <c r="C223" s="8712">
        <f>IF(Captura_Marimba_M01!A77="", "", IFERROR(LOOKUP(2, 1/((Captura_Obra!$A$5:$A$1000=E223)*(Captura_Obra!$B$5:$B$1000=F223)*(Captura_Obra!$D$5:$D$1000=G223)), Captura_Obra!$N$5:$N$1000), "No Reportado"))</f>
      </c>
      <c r="D223" s="8713">
        <f>IF(Captura_Marimba_M01!A77="", "", IF(J223=0, "✅ Cuadrado", IF(I223=0, "❌ Falta en Obra", "⚠️ Dif")))</f>
      </c>
      <c r="E223" s="8714">
        <f>IF(Captura_Marimba_M01!A77="", "", Captura_Marimba_M01!A77)</f>
      </c>
      <c r="F223" s="8715">
        <f>IF(Captura_Marimba_M01!A77="", "", Captura_Marimba_M01!C77)</f>
      </c>
      <c r="G223" s="8716">
        <f>IF(Captura_Marimba_M01!A77="", "", Captura_Marimba_M01!D77)</f>
      </c>
      <c r="H223" s="8717">
        <f>IF(Captura_Marimba_M01!A77="", "", Captura_Marimba_M01!G77)</f>
      </c>
      <c r="I223" s="8718">
        <f>IF(Captura_Marimba_M01!A77="", "", SUMIFS(Captura_Obra!$F:$F, Captura_Obra!$A:$A, E223, Captura_Obra!$B:$B, F223, Captura_Obra!$D:$D, G223))</f>
      </c>
      <c r="J223" s="8719">
        <f>IF(Captura_Marimba_M01!A77="", "", H223 - I223)</f>
      </c>
      <c r="K223" s="4032"/>
    </row>
    <row r="224" spans="1:11">
      <c r="A224" s="8720">
        <f>IF(Captura_Marimba_M01!A78="", "", "Marimba")</f>
      </c>
      <c r="B224" s="8721">
        <f>IF(Captura_Marimba_M01!A78="", "", Captura_Marimba_M01!N78)</f>
      </c>
      <c r="C224" s="8722">
        <f>IF(Captura_Marimba_M01!A78="", "", IFERROR(LOOKUP(2, 1/((Captura_Obra!$A$5:$A$1000=E224)*(Captura_Obra!$B$5:$B$1000=F224)*(Captura_Obra!$D$5:$D$1000=G224)), Captura_Obra!$N$5:$N$1000), "No Reportado"))</f>
      </c>
      <c r="D224" s="8723">
        <f>IF(Captura_Marimba_M01!A78="", "", IF(J224=0, "✅ Cuadrado", IF(I224=0, "❌ Falta en Obra", "⚠️ Dif")))</f>
      </c>
      <c r="E224" s="8724">
        <f>IF(Captura_Marimba_M01!A78="", "", Captura_Marimba_M01!A78)</f>
      </c>
      <c r="F224" s="8725">
        <f>IF(Captura_Marimba_M01!A78="", "", Captura_Marimba_M01!C78)</f>
      </c>
      <c r="G224" s="8726">
        <f>IF(Captura_Marimba_M01!A78="", "", Captura_Marimba_M01!D78)</f>
      </c>
      <c r="H224" s="8727">
        <f>IF(Captura_Marimba_M01!A78="", "", Captura_Marimba_M01!G78)</f>
      </c>
      <c r="I224" s="8728">
        <f>IF(Captura_Marimba_M01!A78="", "", SUMIFS(Captura_Obra!$F:$F, Captura_Obra!$A:$A, E224, Captura_Obra!$B:$B, F224, Captura_Obra!$D:$D, G224))</f>
      </c>
      <c r="J224" s="8729">
        <f>IF(Captura_Marimba_M01!A78="", "", H224 - I224)</f>
      </c>
      <c r="K224" s="4033"/>
    </row>
    <row r="225" spans="1:11">
      <c r="A225" s="8730">
        <f>IF(Captura_Marimba_M01!A79="", "", "Marimba")</f>
      </c>
      <c r="B225" s="8731">
        <f>IF(Captura_Marimba_M01!A79="", "", Captura_Marimba_M01!N79)</f>
      </c>
      <c r="C225" s="8732">
        <f>IF(Captura_Marimba_M01!A79="", "", IFERROR(LOOKUP(2, 1/((Captura_Obra!$A$5:$A$1000=E225)*(Captura_Obra!$B$5:$B$1000=F225)*(Captura_Obra!$D$5:$D$1000=G225)), Captura_Obra!$N$5:$N$1000), "No Reportado"))</f>
      </c>
      <c r="D225" s="8733">
        <f>IF(Captura_Marimba_M01!A79="", "", IF(J225=0, "✅ Cuadrado", IF(I225=0, "❌ Falta en Obra", "⚠️ Dif")))</f>
      </c>
      <c r="E225" s="8734">
        <f>IF(Captura_Marimba_M01!A79="", "", Captura_Marimba_M01!A79)</f>
      </c>
      <c r="F225" s="8735">
        <f>IF(Captura_Marimba_M01!A79="", "", Captura_Marimba_M01!C79)</f>
      </c>
      <c r="G225" s="8736">
        <f>IF(Captura_Marimba_M01!A79="", "", Captura_Marimba_M01!D79)</f>
      </c>
      <c r="H225" s="8737">
        <f>IF(Captura_Marimba_M01!A79="", "", Captura_Marimba_M01!G79)</f>
      </c>
      <c r="I225" s="8738">
        <f>IF(Captura_Marimba_M01!A79="", "", SUMIFS(Captura_Obra!$F:$F, Captura_Obra!$A:$A, E225, Captura_Obra!$B:$B, F225, Captura_Obra!$D:$D, G225))</f>
      </c>
      <c r="J225" s="8739">
        <f>IF(Captura_Marimba_M01!A79="", "", H225 - I225)</f>
      </c>
      <c r="K225" s="4034"/>
    </row>
    <row r="226" spans="1:11">
      <c r="A226" s="8740">
        <f>IF(Captura_Marimba_M01!A80="", "", "Marimba")</f>
      </c>
      <c r="B226" s="8741">
        <f>IF(Captura_Marimba_M01!A80="", "", Captura_Marimba_M01!N80)</f>
      </c>
      <c r="C226" s="8742">
        <f>IF(Captura_Marimba_M01!A80="", "", IFERROR(LOOKUP(2, 1/((Captura_Obra!$A$5:$A$1000=E226)*(Captura_Obra!$B$5:$B$1000=F226)*(Captura_Obra!$D$5:$D$1000=G226)), Captura_Obra!$N$5:$N$1000), "No Reportado"))</f>
      </c>
      <c r="D226" s="8743">
        <f>IF(Captura_Marimba_M01!A80="", "", IF(J226=0, "✅ Cuadrado", IF(I226=0, "❌ Falta en Obra", "⚠️ Dif")))</f>
      </c>
      <c r="E226" s="8744">
        <f>IF(Captura_Marimba_M01!A80="", "", Captura_Marimba_M01!A80)</f>
      </c>
      <c r="F226" s="8745">
        <f>IF(Captura_Marimba_M01!A80="", "", Captura_Marimba_M01!C80)</f>
      </c>
      <c r="G226" s="8746">
        <f>IF(Captura_Marimba_M01!A80="", "", Captura_Marimba_M01!D80)</f>
      </c>
      <c r="H226" s="8747">
        <f>IF(Captura_Marimba_M01!A80="", "", Captura_Marimba_M01!G80)</f>
      </c>
      <c r="I226" s="8748">
        <f>IF(Captura_Marimba_M01!A80="", "", SUMIFS(Captura_Obra!$F:$F, Captura_Obra!$A:$A, E226, Captura_Obra!$B:$B, F226, Captura_Obra!$D:$D, G226))</f>
      </c>
      <c r="J226" s="8749">
        <f>IF(Captura_Marimba_M01!A80="", "", H226 - I226)</f>
      </c>
      <c r="K226" s="4035"/>
    </row>
    <row r="227" spans="1:11">
      <c r="A227" s="8750">
        <f>IF(Captura_Marimba_M01!A81="", "", "Marimba")</f>
      </c>
      <c r="B227" s="8751">
        <f>IF(Captura_Marimba_M01!A81="", "", Captura_Marimba_M01!N81)</f>
      </c>
      <c r="C227" s="8752">
        <f>IF(Captura_Marimba_M01!A81="", "", IFERROR(LOOKUP(2, 1/((Captura_Obra!$A$5:$A$1000=E227)*(Captura_Obra!$B$5:$B$1000=F227)*(Captura_Obra!$D$5:$D$1000=G227)), Captura_Obra!$N$5:$N$1000), "No Reportado"))</f>
      </c>
      <c r="D227" s="8753">
        <f>IF(Captura_Marimba_M01!A81="", "", IF(J227=0, "✅ Cuadrado", IF(I227=0, "❌ Falta en Obra", "⚠️ Dif")))</f>
      </c>
      <c r="E227" s="8754">
        <f>IF(Captura_Marimba_M01!A81="", "", Captura_Marimba_M01!A81)</f>
      </c>
      <c r="F227" s="8755">
        <f>IF(Captura_Marimba_M01!A81="", "", Captura_Marimba_M01!C81)</f>
      </c>
      <c r="G227" s="8756">
        <f>IF(Captura_Marimba_M01!A81="", "", Captura_Marimba_M01!D81)</f>
      </c>
      <c r="H227" s="8757">
        <f>IF(Captura_Marimba_M01!A81="", "", Captura_Marimba_M01!G81)</f>
      </c>
      <c r="I227" s="8758">
        <f>IF(Captura_Marimba_M01!A81="", "", SUMIFS(Captura_Obra!$F:$F, Captura_Obra!$A:$A, E227, Captura_Obra!$B:$B, F227, Captura_Obra!$D:$D, G227))</f>
      </c>
      <c r="J227" s="8759">
        <f>IF(Captura_Marimba_M01!A81="", "", H227 - I227)</f>
      </c>
      <c r="K227" s="4036"/>
    </row>
    <row r="228" spans="1:11">
      <c r="A228" s="8760">
        <f>IF(Captura_Marimba_M01!A82="", "", "Marimba")</f>
      </c>
      <c r="B228" s="8761">
        <f>IF(Captura_Marimba_M01!A82="", "", Captura_Marimba_M01!N82)</f>
      </c>
      <c r="C228" s="8762">
        <f>IF(Captura_Marimba_M01!A82="", "", IFERROR(LOOKUP(2, 1/((Captura_Obra!$A$5:$A$1000=E228)*(Captura_Obra!$B$5:$B$1000=F228)*(Captura_Obra!$D$5:$D$1000=G228)), Captura_Obra!$N$5:$N$1000), "No Reportado"))</f>
      </c>
      <c r="D228" s="8763">
        <f>IF(Captura_Marimba_M01!A82="", "", IF(J228=0, "✅ Cuadrado", IF(I228=0, "❌ Falta en Obra", "⚠️ Dif")))</f>
      </c>
      <c r="E228" s="8764">
        <f>IF(Captura_Marimba_M01!A82="", "", Captura_Marimba_M01!A82)</f>
      </c>
      <c r="F228" s="8765">
        <f>IF(Captura_Marimba_M01!A82="", "", Captura_Marimba_M01!C82)</f>
      </c>
      <c r="G228" s="8766">
        <f>IF(Captura_Marimba_M01!A82="", "", Captura_Marimba_M01!D82)</f>
      </c>
      <c r="H228" s="8767">
        <f>IF(Captura_Marimba_M01!A82="", "", Captura_Marimba_M01!G82)</f>
      </c>
      <c r="I228" s="8768">
        <f>IF(Captura_Marimba_M01!A82="", "", SUMIFS(Captura_Obra!$F:$F, Captura_Obra!$A:$A, E228, Captura_Obra!$B:$B, F228, Captura_Obra!$D:$D, G228))</f>
      </c>
      <c r="J228" s="8769">
        <f>IF(Captura_Marimba_M01!A82="", "", H228 - I228)</f>
      </c>
      <c r="K228" s="4037"/>
    </row>
    <row r="229" spans="1:11">
      <c r="A229" s="8770">
        <f>IF(Captura_Marimba_M01!A83="", "", "Marimba")</f>
      </c>
      <c r="B229" s="8771">
        <f>IF(Captura_Marimba_M01!A83="", "", Captura_Marimba_M01!N83)</f>
      </c>
      <c r="C229" s="8772">
        <f>IF(Captura_Marimba_M01!A83="", "", IFERROR(LOOKUP(2, 1/((Captura_Obra!$A$5:$A$1000=E229)*(Captura_Obra!$B$5:$B$1000=F229)*(Captura_Obra!$D$5:$D$1000=G229)), Captura_Obra!$N$5:$N$1000), "No Reportado"))</f>
      </c>
      <c r="D229" s="8773">
        <f>IF(Captura_Marimba_M01!A83="", "", IF(J229=0, "✅ Cuadrado", IF(I229=0, "❌ Falta en Obra", "⚠️ Dif")))</f>
      </c>
      <c r="E229" s="8774">
        <f>IF(Captura_Marimba_M01!A83="", "", Captura_Marimba_M01!A83)</f>
      </c>
      <c r="F229" s="8775">
        <f>IF(Captura_Marimba_M01!A83="", "", Captura_Marimba_M01!C83)</f>
      </c>
      <c r="G229" s="8776">
        <f>IF(Captura_Marimba_M01!A83="", "", Captura_Marimba_M01!D83)</f>
      </c>
      <c r="H229" s="8777">
        <f>IF(Captura_Marimba_M01!A83="", "", Captura_Marimba_M01!G83)</f>
      </c>
      <c r="I229" s="8778">
        <f>IF(Captura_Marimba_M01!A83="", "", SUMIFS(Captura_Obra!$F:$F, Captura_Obra!$A:$A, E229, Captura_Obra!$B:$B, F229, Captura_Obra!$D:$D, G229))</f>
      </c>
      <c r="J229" s="8779">
        <f>IF(Captura_Marimba_M01!A83="", "", H229 - I229)</f>
      </c>
      <c r="K229" s="4038"/>
    </row>
    <row r="230" spans="1:11">
      <c r="A230" s="8780">
        <f>IF(Captura_Marimba_M01!A84="", "", "Marimba")</f>
      </c>
      <c r="B230" s="8781">
        <f>IF(Captura_Marimba_M01!A84="", "", Captura_Marimba_M01!N84)</f>
      </c>
      <c r="C230" s="8782">
        <f>IF(Captura_Marimba_M01!A84="", "", IFERROR(LOOKUP(2, 1/((Captura_Obra!$A$5:$A$1000=E230)*(Captura_Obra!$B$5:$B$1000=F230)*(Captura_Obra!$D$5:$D$1000=G230)), Captura_Obra!$N$5:$N$1000), "No Reportado"))</f>
      </c>
      <c r="D230" s="8783">
        <f>IF(Captura_Marimba_M01!A84="", "", IF(J230=0, "✅ Cuadrado", IF(I230=0, "❌ Falta en Obra", "⚠️ Dif")))</f>
      </c>
      <c r="E230" s="8784">
        <f>IF(Captura_Marimba_M01!A84="", "", Captura_Marimba_M01!A84)</f>
      </c>
      <c r="F230" s="8785">
        <f>IF(Captura_Marimba_M01!A84="", "", Captura_Marimba_M01!C84)</f>
      </c>
      <c r="G230" s="8786">
        <f>IF(Captura_Marimba_M01!A84="", "", Captura_Marimba_M01!D84)</f>
      </c>
      <c r="H230" s="8787">
        <f>IF(Captura_Marimba_M01!A84="", "", Captura_Marimba_M01!G84)</f>
      </c>
      <c r="I230" s="8788">
        <f>IF(Captura_Marimba_M01!A84="", "", SUMIFS(Captura_Obra!$F:$F, Captura_Obra!$A:$A, E230, Captura_Obra!$B:$B, F230, Captura_Obra!$D:$D, G230))</f>
      </c>
      <c r="J230" s="8789">
        <f>IF(Captura_Marimba_M01!A84="", "", H230 - I230)</f>
      </c>
      <c r="K230" s="4039"/>
    </row>
    <row r="231" spans="1:11">
      <c r="A231" s="8790">
        <f>IF(Captura_Marimba_M01!A85="", "", "Marimba")</f>
      </c>
      <c r="B231" s="8791">
        <f>IF(Captura_Marimba_M01!A85="", "", Captura_Marimba_M01!N85)</f>
      </c>
      <c r="C231" s="8792">
        <f>IF(Captura_Marimba_M01!A85="", "", IFERROR(LOOKUP(2, 1/((Captura_Obra!$A$5:$A$1000=E231)*(Captura_Obra!$B$5:$B$1000=F231)*(Captura_Obra!$D$5:$D$1000=G231)), Captura_Obra!$N$5:$N$1000), "No Reportado"))</f>
      </c>
      <c r="D231" s="8793">
        <f>IF(Captura_Marimba_M01!A85="", "", IF(J231=0, "✅ Cuadrado", IF(I231=0, "❌ Falta en Obra", "⚠️ Dif")))</f>
      </c>
      <c r="E231" s="8794">
        <f>IF(Captura_Marimba_M01!A85="", "", Captura_Marimba_M01!A85)</f>
      </c>
      <c r="F231" s="8795">
        <f>IF(Captura_Marimba_M01!A85="", "", Captura_Marimba_M01!C85)</f>
      </c>
      <c r="G231" s="8796">
        <f>IF(Captura_Marimba_M01!A85="", "", Captura_Marimba_M01!D85)</f>
      </c>
      <c r="H231" s="8797">
        <f>IF(Captura_Marimba_M01!A85="", "", Captura_Marimba_M01!G85)</f>
      </c>
      <c r="I231" s="8798">
        <f>IF(Captura_Marimba_M01!A85="", "", SUMIFS(Captura_Obra!$F:$F, Captura_Obra!$A:$A, E231, Captura_Obra!$B:$B, F231, Captura_Obra!$D:$D, G231))</f>
      </c>
      <c r="J231" s="8799">
        <f>IF(Captura_Marimba_M01!A85="", "", H231 - I231)</f>
      </c>
      <c r="K231" s="4040"/>
    </row>
    <row r="232" spans="1:11">
      <c r="A232" s="8800">
        <f>IF(Captura_Marimba_M01!A86="", "", "Marimba")</f>
      </c>
      <c r="B232" s="8801">
        <f>IF(Captura_Marimba_M01!A86="", "", Captura_Marimba_M01!N86)</f>
      </c>
      <c r="C232" s="8802">
        <f>IF(Captura_Marimba_M01!A86="", "", IFERROR(LOOKUP(2, 1/((Captura_Obra!$A$5:$A$1000=E232)*(Captura_Obra!$B$5:$B$1000=F232)*(Captura_Obra!$D$5:$D$1000=G232)), Captura_Obra!$N$5:$N$1000), "No Reportado"))</f>
      </c>
      <c r="D232" s="8803">
        <f>IF(Captura_Marimba_M01!A86="", "", IF(J232=0, "✅ Cuadrado", IF(I232=0, "❌ Falta en Obra", "⚠️ Dif")))</f>
      </c>
      <c r="E232" s="8804">
        <f>IF(Captura_Marimba_M01!A86="", "", Captura_Marimba_M01!A86)</f>
      </c>
      <c r="F232" s="8805">
        <f>IF(Captura_Marimba_M01!A86="", "", Captura_Marimba_M01!C86)</f>
      </c>
      <c r="G232" s="8806">
        <f>IF(Captura_Marimba_M01!A86="", "", Captura_Marimba_M01!D86)</f>
      </c>
      <c r="H232" s="8807">
        <f>IF(Captura_Marimba_M01!A86="", "", Captura_Marimba_M01!G86)</f>
      </c>
      <c r="I232" s="8808">
        <f>IF(Captura_Marimba_M01!A86="", "", SUMIFS(Captura_Obra!$F:$F, Captura_Obra!$A:$A, E232, Captura_Obra!$B:$B, F232, Captura_Obra!$D:$D, G232))</f>
      </c>
      <c r="J232" s="8809">
        <f>IF(Captura_Marimba_M01!A86="", "", H232 - I232)</f>
      </c>
      <c r="K232" s="4041"/>
    </row>
    <row r="233" spans="1:11">
      <c r="A233" s="8810">
        <f>IF(Captura_Marimba_M01!A87="", "", "Marimba")</f>
      </c>
      <c r="B233" s="8811">
        <f>IF(Captura_Marimba_M01!A87="", "", Captura_Marimba_M01!N87)</f>
      </c>
      <c r="C233" s="8812">
        <f>IF(Captura_Marimba_M01!A87="", "", IFERROR(LOOKUP(2, 1/((Captura_Obra!$A$5:$A$1000=E233)*(Captura_Obra!$B$5:$B$1000=F233)*(Captura_Obra!$D$5:$D$1000=G233)), Captura_Obra!$N$5:$N$1000), "No Reportado"))</f>
      </c>
      <c r="D233" s="8813">
        <f>IF(Captura_Marimba_M01!A87="", "", IF(J233=0, "✅ Cuadrado", IF(I233=0, "❌ Falta en Obra", "⚠️ Dif")))</f>
      </c>
      <c r="E233" s="8814">
        <f>IF(Captura_Marimba_M01!A87="", "", Captura_Marimba_M01!A87)</f>
      </c>
      <c r="F233" s="8815">
        <f>IF(Captura_Marimba_M01!A87="", "", Captura_Marimba_M01!C87)</f>
      </c>
      <c r="G233" s="8816">
        <f>IF(Captura_Marimba_M01!A87="", "", Captura_Marimba_M01!D87)</f>
      </c>
      <c r="H233" s="8817">
        <f>IF(Captura_Marimba_M01!A87="", "", Captura_Marimba_M01!G87)</f>
      </c>
      <c r="I233" s="8818">
        <f>IF(Captura_Marimba_M01!A87="", "", SUMIFS(Captura_Obra!$F:$F, Captura_Obra!$A:$A, E233, Captura_Obra!$B:$B, F233, Captura_Obra!$D:$D, G233))</f>
      </c>
      <c r="J233" s="8819">
        <f>IF(Captura_Marimba_M01!A87="", "", H233 - I233)</f>
      </c>
      <c r="K233" s="4042"/>
    </row>
    <row r="234" spans="1:11">
      <c r="A234" s="8820">
        <f>IF(Captura_Marimba_M01!A88="", "", "Marimba")</f>
      </c>
      <c r="B234" s="8821">
        <f>IF(Captura_Marimba_M01!A88="", "", Captura_Marimba_M01!N88)</f>
      </c>
      <c r="C234" s="8822">
        <f>IF(Captura_Marimba_M01!A88="", "", IFERROR(LOOKUP(2, 1/((Captura_Obra!$A$5:$A$1000=E234)*(Captura_Obra!$B$5:$B$1000=F234)*(Captura_Obra!$D$5:$D$1000=G234)), Captura_Obra!$N$5:$N$1000), "No Reportado"))</f>
      </c>
      <c r="D234" s="8823">
        <f>IF(Captura_Marimba_M01!A88="", "", IF(J234=0, "✅ Cuadrado", IF(I234=0, "❌ Falta en Obra", "⚠️ Dif")))</f>
      </c>
      <c r="E234" s="8824">
        <f>IF(Captura_Marimba_M01!A88="", "", Captura_Marimba_M01!A88)</f>
      </c>
      <c r="F234" s="8825">
        <f>IF(Captura_Marimba_M01!A88="", "", Captura_Marimba_M01!C88)</f>
      </c>
      <c r="G234" s="8826">
        <f>IF(Captura_Marimba_M01!A88="", "", Captura_Marimba_M01!D88)</f>
      </c>
      <c r="H234" s="8827">
        <f>IF(Captura_Marimba_M01!A88="", "", Captura_Marimba_M01!G88)</f>
      </c>
      <c r="I234" s="8828">
        <f>IF(Captura_Marimba_M01!A88="", "", SUMIFS(Captura_Obra!$F:$F, Captura_Obra!$A:$A, E234, Captura_Obra!$B:$B, F234, Captura_Obra!$D:$D, G234))</f>
      </c>
      <c r="J234" s="8829">
        <f>IF(Captura_Marimba_M01!A88="", "", H234 - I234)</f>
      </c>
      <c r="K234" s="4043"/>
    </row>
    <row r="235" spans="1:11">
      <c r="A235" s="8830">
        <f>IF(Captura_Marimba_M01!A89="", "", "Marimba")</f>
      </c>
      <c r="B235" s="8831">
        <f>IF(Captura_Marimba_M01!A89="", "", Captura_Marimba_M01!N89)</f>
      </c>
      <c r="C235" s="8832">
        <f>IF(Captura_Marimba_M01!A89="", "", IFERROR(LOOKUP(2, 1/((Captura_Obra!$A$5:$A$1000=E235)*(Captura_Obra!$B$5:$B$1000=F235)*(Captura_Obra!$D$5:$D$1000=G235)), Captura_Obra!$N$5:$N$1000), "No Reportado"))</f>
      </c>
      <c r="D235" s="8833">
        <f>IF(Captura_Marimba_M01!A89="", "", IF(J235=0, "✅ Cuadrado", IF(I235=0, "❌ Falta en Obra", "⚠️ Dif")))</f>
      </c>
      <c r="E235" s="8834">
        <f>IF(Captura_Marimba_M01!A89="", "", Captura_Marimba_M01!A89)</f>
      </c>
      <c r="F235" s="8835">
        <f>IF(Captura_Marimba_M01!A89="", "", Captura_Marimba_M01!C89)</f>
      </c>
      <c r="G235" s="8836">
        <f>IF(Captura_Marimba_M01!A89="", "", Captura_Marimba_M01!D89)</f>
      </c>
      <c r="H235" s="8837">
        <f>IF(Captura_Marimba_M01!A89="", "", Captura_Marimba_M01!G89)</f>
      </c>
      <c r="I235" s="8838">
        <f>IF(Captura_Marimba_M01!A89="", "", SUMIFS(Captura_Obra!$F:$F, Captura_Obra!$A:$A, E235, Captura_Obra!$B:$B, F235, Captura_Obra!$D:$D, G235))</f>
      </c>
      <c r="J235" s="8839">
        <f>IF(Captura_Marimba_M01!A89="", "", H235 - I235)</f>
      </c>
      <c r="K235" s="4044"/>
    </row>
    <row r="236" spans="1:11">
      <c r="A236" s="8840">
        <f>IF(Captura_Marimba_M01!A90="", "", "Marimba")</f>
      </c>
      <c r="B236" s="8841">
        <f>IF(Captura_Marimba_M01!A90="", "", Captura_Marimba_M01!N90)</f>
      </c>
      <c r="C236" s="8842">
        <f>IF(Captura_Marimba_M01!A90="", "", IFERROR(LOOKUP(2, 1/((Captura_Obra!$A$5:$A$1000=E236)*(Captura_Obra!$B$5:$B$1000=F236)*(Captura_Obra!$D$5:$D$1000=G236)), Captura_Obra!$N$5:$N$1000), "No Reportado"))</f>
      </c>
      <c r="D236" s="8843">
        <f>IF(Captura_Marimba_M01!A90="", "", IF(J236=0, "✅ Cuadrado", IF(I236=0, "❌ Falta en Obra", "⚠️ Dif")))</f>
      </c>
      <c r="E236" s="8844">
        <f>IF(Captura_Marimba_M01!A90="", "", Captura_Marimba_M01!A90)</f>
      </c>
      <c r="F236" s="8845">
        <f>IF(Captura_Marimba_M01!A90="", "", Captura_Marimba_M01!C90)</f>
      </c>
      <c r="G236" s="8846">
        <f>IF(Captura_Marimba_M01!A90="", "", Captura_Marimba_M01!D90)</f>
      </c>
      <c r="H236" s="8847">
        <f>IF(Captura_Marimba_M01!A90="", "", Captura_Marimba_M01!G90)</f>
      </c>
      <c r="I236" s="8848">
        <f>IF(Captura_Marimba_M01!A90="", "", SUMIFS(Captura_Obra!$F:$F, Captura_Obra!$A:$A, E236, Captura_Obra!$B:$B, F236, Captura_Obra!$D:$D, G236))</f>
      </c>
      <c r="J236" s="8849">
        <f>IF(Captura_Marimba_M01!A90="", "", H236 - I236)</f>
      </c>
      <c r="K236" s="4045"/>
    </row>
    <row r="237" spans="1:11">
      <c r="A237" s="8850">
        <f>IF(Captura_Marimba_M01!A91="", "", "Marimba")</f>
      </c>
      <c r="B237" s="8851">
        <f>IF(Captura_Marimba_M01!A91="", "", Captura_Marimba_M01!N91)</f>
      </c>
      <c r="C237" s="8852">
        <f>IF(Captura_Marimba_M01!A91="", "", IFERROR(LOOKUP(2, 1/((Captura_Obra!$A$5:$A$1000=E237)*(Captura_Obra!$B$5:$B$1000=F237)*(Captura_Obra!$D$5:$D$1000=G237)), Captura_Obra!$N$5:$N$1000), "No Reportado"))</f>
      </c>
      <c r="D237" s="8853">
        <f>IF(Captura_Marimba_M01!A91="", "", IF(J237=0, "✅ Cuadrado", IF(I237=0, "❌ Falta en Obra", "⚠️ Dif")))</f>
      </c>
      <c r="E237" s="8854">
        <f>IF(Captura_Marimba_M01!A91="", "", Captura_Marimba_M01!A91)</f>
      </c>
      <c r="F237" s="8855">
        <f>IF(Captura_Marimba_M01!A91="", "", Captura_Marimba_M01!C91)</f>
      </c>
      <c r="G237" s="8856">
        <f>IF(Captura_Marimba_M01!A91="", "", Captura_Marimba_M01!D91)</f>
      </c>
      <c r="H237" s="8857">
        <f>IF(Captura_Marimba_M01!A91="", "", Captura_Marimba_M01!G91)</f>
      </c>
      <c r="I237" s="8858">
        <f>IF(Captura_Marimba_M01!A91="", "", SUMIFS(Captura_Obra!$F:$F, Captura_Obra!$A:$A, E237, Captura_Obra!$B:$B, F237, Captura_Obra!$D:$D, G237))</f>
      </c>
      <c r="J237" s="8859">
        <f>IF(Captura_Marimba_M01!A91="", "", H237 - I237)</f>
      </c>
      <c r="K237" s="4046"/>
    </row>
    <row r="238" spans="1:11">
      <c r="A238" s="8860">
        <f>IF(Captura_Marimba_M01!A92="", "", "Marimba")</f>
      </c>
      <c r="B238" s="8861">
        <f>IF(Captura_Marimba_M01!A92="", "", Captura_Marimba_M01!N92)</f>
      </c>
      <c r="C238" s="8862">
        <f>IF(Captura_Marimba_M01!A92="", "", IFERROR(LOOKUP(2, 1/((Captura_Obra!$A$5:$A$1000=E238)*(Captura_Obra!$B$5:$B$1000=F238)*(Captura_Obra!$D$5:$D$1000=G238)), Captura_Obra!$N$5:$N$1000), "No Reportado"))</f>
      </c>
      <c r="D238" s="8863">
        <f>IF(Captura_Marimba_M01!A92="", "", IF(J238=0, "✅ Cuadrado", IF(I238=0, "❌ Falta en Obra", "⚠️ Dif")))</f>
      </c>
      <c r="E238" s="8864">
        <f>IF(Captura_Marimba_M01!A92="", "", Captura_Marimba_M01!A92)</f>
      </c>
      <c r="F238" s="8865">
        <f>IF(Captura_Marimba_M01!A92="", "", Captura_Marimba_M01!C92)</f>
      </c>
      <c r="G238" s="8866">
        <f>IF(Captura_Marimba_M01!A92="", "", Captura_Marimba_M01!D92)</f>
      </c>
      <c r="H238" s="8867">
        <f>IF(Captura_Marimba_M01!A92="", "", Captura_Marimba_M01!G92)</f>
      </c>
      <c r="I238" s="8868">
        <f>IF(Captura_Marimba_M01!A92="", "", SUMIFS(Captura_Obra!$F:$F, Captura_Obra!$A:$A, E238, Captura_Obra!$B:$B, F238, Captura_Obra!$D:$D, G238))</f>
      </c>
      <c r="J238" s="8869">
        <f>IF(Captura_Marimba_M01!A92="", "", H238 - I238)</f>
      </c>
      <c r="K238" s="4047"/>
    </row>
    <row r="239" spans="1:11">
      <c r="A239" s="8870">
        <f>IF(Captura_Marimba_M01!A93="", "", "Marimba")</f>
      </c>
      <c r="B239" s="8871">
        <f>IF(Captura_Marimba_M01!A93="", "", Captura_Marimba_M01!N93)</f>
      </c>
      <c r="C239" s="8872">
        <f>IF(Captura_Marimba_M01!A93="", "", IFERROR(LOOKUP(2, 1/((Captura_Obra!$A$5:$A$1000=E239)*(Captura_Obra!$B$5:$B$1000=F239)*(Captura_Obra!$D$5:$D$1000=G239)), Captura_Obra!$N$5:$N$1000), "No Reportado"))</f>
      </c>
      <c r="D239" s="8873">
        <f>IF(Captura_Marimba_M01!A93="", "", IF(J239=0, "✅ Cuadrado", IF(I239=0, "❌ Falta en Obra", "⚠️ Dif")))</f>
      </c>
      <c r="E239" s="8874">
        <f>IF(Captura_Marimba_M01!A93="", "", Captura_Marimba_M01!A93)</f>
      </c>
      <c r="F239" s="8875">
        <f>IF(Captura_Marimba_M01!A93="", "", Captura_Marimba_M01!C93)</f>
      </c>
      <c r="G239" s="8876">
        <f>IF(Captura_Marimba_M01!A93="", "", Captura_Marimba_M01!D93)</f>
      </c>
      <c r="H239" s="8877">
        <f>IF(Captura_Marimba_M01!A93="", "", Captura_Marimba_M01!G93)</f>
      </c>
      <c r="I239" s="8878">
        <f>IF(Captura_Marimba_M01!A93="", "", SUMIFS(Captura_Obra!$F:$F, Captura_Obra!$A:$A, E239, Captura_Obra!$B:$B, F239, Captura_Obra!$D:$D, G239))</f>
      </c>
      <c r="J239" s="8879">
        <f>IF(Captura_Marimba_M01!A93="", "", H239 - I239)</f>
      </c>
      <c r="K239" s="4048"/>
    </row>
    <row r="240" spans="1:11">
      <c r="A240" s="8880">
        <f>IF(Captura_Marimba_M01!A94="", "", "Marimba")</f>
      </c>
      <c r="B240" s="8881">
        <f>IF(Captura_Marimba_M01!A94="", "", Captura_Marimba_M01!N94)</f>
      </c>
      <c r="C240" s="8882">
        <f>IF(Captura_Marimba_M01!A94="", "", IFERROR(LOOKUP(2, 1/((Captura_Obra!$A$5:$A$1000=E240)*(Captura_Obra!$B$5:$B$1000=F240)*(Captura_Obra!$D$5:$D$1000=G240)), Captura_Obra!$N$5:$N$1000), "No Reportado"))</f>
      </c>
      <c r="D240" s="8883">
        <f>IF(Captura_Marimba_M01!A94="", "", IF(J240=0, "✅ Cuadrado", IF(I240=0, "❌ Falta en Obra", "⚠️ Dif")))</f>
      </c>
      <c r="E240" s="8884">
        <f>IF(Captura_Marimba_M01!A94="", "", Captura_Marimba_M01!A94)</f>
      </c>
      <c r="F240" s="8885">
        <f>IF(Captura_Marimba_M01!A94="", "", Captura_Marimba_M01!C94)</f>
      </c>
      <c r="G240" s="8886">
        <f>IF(Captura_Marimba_M01!A94="", "", Captura_Marimba_M01!D94)</f>
      </c>
      <c r="H240" s="8887">
        <f>IF(Captura_Marimba_M01!A94="", "", Captura_Marimba_M01!G94)</f>
      </c>
      <c r="I240" s="8888">
        <f>IF(Captura_Marimba_M01!A94="", "", SUMIFS(Captura_Obra!$F:$F, Captura_Obra!$A:$A, E240, Captura_Obra!$B:$B, F240, Captura_Obra!$D:$D, G240))</f>
      </c>
      <c r="J240" s="8889">
        <f>IF(Captura_Marimba_M01!A94="", "", H240 - I240)</f>
      </c>
      <c r="K240" s="4049"/>
    </row>
    <row r="241" spans="1:11">
      <c r="A241" s="8890">
        <f>IF(Captura_Marimba_M01!A95="", "", "Marimba")</f>
      </c>
      <c r="B241" s="8891">
        <f>IF(Captura_Marimba_M01!A95="", "", Captura_Marimba_M01!N95)</f>
      </c>
      <c r="C241" s="8892">
        <f>IF(Captura_Marimba_M01!A95="", "", IFERROR(LOOKUP(2, 1/((Captura_Obra!$A$5:$A$1000=E241)*(Captura_Obra!$B$5:$B$1000=F241)*(Captura_Obra!$D$5:$D$1000=G241)), Captura_Obra!$N$5:$N$1000), "No Reportado"))</f>
      </c>
      <c r="D241" s="8893">
        <f>IF(Captura_Marimba_M01!A95="", "", IF(J241=0, "✅ Cuadrado", IF(I241=0, "❌ Falta en Obra", "⚠️ Dif")))</f>
      </c>
      <c r="E241" s="8894">
        <f>IF(Captura_Marimba_M01!A95="", "", Captura_Marimba_M01!A95)</f>
      </c>
      <c r="F241" s="8895">
        <f>IF(Captura_Marimba_M01!A95="", "", Captura_Marimba_M01!C95)</f>
      </c>
      <c r="G241" s="8896">
        <f>IF(Captura_Marimba_M01!A95="", "", Captura_Marimba_M01!D95)</f>
      </c>
      <c r="H241" s="8897">
        <f>IF(Captura_Marimba_M01!A95="", "", Captura_Marimba_M01!G95)</f>
      </c>
      <c r="I241" s="8898">
        <f>IF(Captura_Marimba_M01!A95="", "", SUMIFS(Captura_Obra!$F:$F, Captura_Obra!$A:$A, E241, Captura_Obra!$B:$B, F241, Captura_Obra!$D:$D, G241))</f>
      </c>
      <c r="J241" s="8899">
        <f>IF(Captura_Marimba_M01!A95="", "", H241 - I241)</f>
      </c>
      <c r="K241" s="4050"/>
    </row>
    <row r="242" spans="1:11">
      <c r="A242" s="8900">
        <f>IF(Captura_Marimba_M01!A96="", "", "Marimba")</f>
      </c>
      <c r="B242" s="8901">
        <f>IF(Captura_Marimba_M01!A96="", "", Captura_Marimba_M01!N96)</f>
      </c>
      <c r="C242" s="8902">
        <f>IF(Captura_Marimba_M01!A96="", "", IFERROR(LOOKUP(2, 1/((Captura_Obra!$A$5:$A$1000=E242)*(Captura_Obra!$B$5:$B$1000=F242)*(Captura_Obra!$D$5:$D$1000=G242)), Captura_Obra!$N$5:$N$1000), "No Reportado"))</f>
      </c>
      <c r="D242" s="8903">
        <f>IF(Captura_Marimba_M01!A96="", "", IF(J242=0, "✅ Cuadrado", IF(I242=0, "❌ Falta en Obra", "⚠️ Dif")))</f>
      </c>
      <c r="E242" s="8904">
        <f>IF(Captura_Marimba_M01!A96="", "", Captura_Marimba_M01!A96)</f>
      </c>
      <c r="F242" s="8905">
        <f>IF(Captura_Marimba_M01!A96="", "", Captura_Marimba_M01!C96)</f>
      </c>
      <c r="G242" s="8906">
        <f>IF(Captura_Marimba_M01!A96="", "", Captura_Marimba_M01!D96)</f>
      </c>
      <c r="H242" s="8907">
        <f>IF(Captura_Marimba_M01!A96="", "", Captura_Marimba_M01!G96)</f>
      </c>
      <c r="I242" s="8908">
        <f>IF(Captura_Marimba_M01!A96="", "", SUMIFS(Captura_Obra!$F:$F, Captura_Obra!$A:$A, E242, Captura_Obra!$B:$B, F242, Captura_Obra!$D:$D, G242))</f>
      </c>
      <c r="J242" s="8909">
        <f>IF(Captura_Marimba_M01!A96="", "", H242 - I242)</f>
      </c>
      <c r="K242" s="4051"/>
    </row>
    <row r="243" spans="1:11">
      <c r="A243" s="8910">
        <f>IF(Captura_Marimba_M01!A97="", "", "Marimba")</f>
      </c>
      <c r="B243" s="8911">
        <f>IF(Captura_Marimba_M01!A97="", "", Captura_Marimba_M01!N97)</f>
      </c>
      <c r="C243" s="8912">
        <f>IF(Captura_Marimba_M01!A97="", "", IFERROR(LOOKUP(2, 1/((Captura_Obra!$A$5:$A$1000=E243)*(Captura_Obra!$B$5:$B$1000=F243)*(Captura_Obra!$D$5:$D$1000=G243)), Captura_Obra!$N$5:$N$1000), "No Reportado"))</f>
      </c>
      <c r="D243" s="8913">
        <f>IF(Captura_Marimba_M01!A97="", "", IF(J243=0, "✅ Cuadrado", IF(I243=0, "❌ Falta en Obra", "⚠️ Dif")))</f>
      </c>
      <c r="E243" s="8914">
        <f>IF(Captura_Marimba_M01!A97="", "", Captura_Marimba_M01!A97)</f>
      </c>
      <c r="F243" s="8915">
        <f>IF(Captura_Marimba_M01!A97="", "", Captura_Marimba_M01!C97)</f>
      </c>
      <c r="G243" s="8916">
        <f>IF(Captura_Marimba_M01!A97="", "", Captura_Marimba_M01!D97)</f>
      </c>
      <c r="H243" s="8917">
        <f>IF(Captura_Marimba_M01!A97="", "", Captura_Marimba_M01!G97)</f>
      </c>
      <c r="I243" s="8918">
        <f>IF(Captura_Marimba_M01!A97="", "", SUMIFS(Captura_Obra!$F:$F, Captura_Obra!$A:$A, E243, Captura_Obra!$B:$B, F243, Captura_Obra!$D:$D, G243))</f>
      </c>
      <c r="J243" s="8919">
        <f>IF(Captura_Marimba_M01!A97="", "", H243 - I243)</f>
      </c>
      <c r="K243" s="4052"/>
    </row>
    <row r="244" spans="1:11">
      <c r="A244" s="8920">
        <f>IF(Captura_Marimba_M01!A98="", "", "Marimba")</f>
      </c>
      <c r="B244" s="8921">
        <f>IF(Captura_Marimba_M01!A98="", "", Captura_Marimba_M01!N98)</f>
      </c>
      <c r="C244" s="8922">
        <f>IF(Captura_Marimba_M01!A98="", "", IFERROR(LOOKUP(2, 1/((Captura_Obra!$A$5:$A$1000=E244)*(Captura_Obra!$B$5:$B$1000=F244)*(Captura_Obra!$D$5:$D$1000=G244)), Captura_Obra!$N$5:$N$1000), "No Reportado"))</f>
      </c>
      <c r="D244" s="8923">
        <f>IF(Captura_Marimba_M01!A98="", "", IF(J244=0, "✅ Cuadrado", IF(I244=0, "❌ Falta en Obra", "⚠️ Dif")))</f>
      </c>
      <c r="E244" s="8924">
        <f>IF(Captura_Marimba_M01!A98="", "", Captura_Marimba_M01!A98)</f>
      </c>
      <c r="F244" s="8925">
        <f>IF(Captura_Marimba_M01!A98="", "", Captura_Marimba_M01!C98)</f>
      </c>
      <c r="G244" s="8926">
        <f>IF(Captura_Marimba_M01!A98="", "", Captura_Marimba_M01!D98)</f>
      </c>
      <c r="H244" s="8927">
        <f>IF(Captura_Marimba_M01!A98="", "", Captura_Marimba_M01!G98)</f>
      </c>
      <c r="I244" s="8928">
        <f>IF(Captura_Marimba_M01!A98="", "", SUMIFS(Captura_Obra!$F:$F, Captura_Obra!$A:$A, E244, Captura_Obra!$B:$B, F244, Captura_Obra!$D:$D, G244))</f>
      </c>
      <c r="J244" s="8929">
        <f>IF(Captura_Marimba_M01!A98="", "", H244 - I244)</f>
      </c>
      <c r="K244" s="4053"/>
    </row>
    <row r="245" spans="1:11">
      <c r="A245" s="8930">
        <f>IF(Captura_Marimba_M01!A99="", "", "Marimba")</f>
      </c>
      <c r="B245" s="8931">
        <f>IF(Captura_Marimba_M01!A99="", "", Captura_Marimba_M01!N99)</f>
      </c>
      <c r="C245" s="8932">
        <f>IF(Captura_Marimba_M01!A99="", "", IFERROR(LOOKUP(2, 1/((Captura_Obra!$A$5:$A$1000=E245)*(Captura_Obra!$B$5:$B$1000=F245)*(Captura_Obra!$D$5:$D$1000=G245)), Captura_Obra!$N$5:$N$1000), "No Reportado"))</f>
      </c>
      <c r="D245" s="8933">
        <f>IF(Captura_Marimba_M01!A99="", "", IF(J245=0, "✅ Cuadrado", IF(I245=0, "❌ Falta en Obra", "⚠️ Dif")))</f>
      </c>
      <c r="E245" s="8934">
        <f>IF(Captura_Marimba_M01!A99="", "", Captura_Marimba_M01!A99)</f>
      </c>
      <c r="F245" s="8935">
        <f>IF(Captura_Marimba_M01!A99="", "", Captura_Marimba_M01!C99)</f>
      </c>
      <c r="G245" s="8936">
        <f>IF(Captura_Marimba_M01!A99="", "", Captura_Marimba_M01!D99)</f>
      </c>
      <c r="H245" s="8937">
        <f>IF(Captura_Marimba_M01!A99="", "", Captura_Marimba_M01!G99)</f>
      </c>
      <c r="I245" s="8938">
        <f>IF(Captura_Marimba_M01!A99="", "", SUMIFS(Captura_Obra!$F:$F, Captura_Obra!$A:$A, E245, Captura_Obra!$B:$B, F245, Captura_Obra!$D:$D, G245))</f>
      </c>
      <c r="J245" s="8939">
        <f>IF(Captura_Marimba_M01!A99="", "", H245 - I245)</f>
      </c>
      <c r="K245" s="4054"/>
    </row>
    <row r="246" spans="1:11">
      <c r="A246" s="8940">
        <f>IF(Captura_Marimba_M01!A100="", "", "Marimba")</f>
      </c>
      <c r="B246" s="8941">
        <f>IF(Captura_Marimba_M01!A100="", "", Captura_Marimba_M01!N100)</f>
      </c>
      <c r="C246" s="8942">
        <f>IF(Captura_Marimba_M01!A100="", "", IFERROR(LOOKUP(2, 1/((Captura_Obra!$A$5:$A$1000=E246)*(Captura_Obra!$B$5:$B$1000=F246)*(Captura_Obra!$D$5:$D$1000=G246)), Captura_Obra!$N$5:$N$1000), "No Reportado"))</f>
      </c>
      <c r="D246" s="8943">
        <f>IF(Captura_Marimba_M01!A100="", "", IF(J246=0, "✅ Cuadrado", IF(I246=0, "❌ Falta en Obra", "⚠️ Dif")))</f>
      </c>
      <c r="E246" s="8944">
        <f>IF(Captura_Marimba_M01!A100="", "", Captura_Marimba_M01!A100)</f>
      </c>
      <c r="F246" s="8945">
        <f>IF(Captura_Marimba_M01!A100="", "", Captura_Marimba_M01!C100)</f>
      </c>
      <c r="G246" s="8946">
        <f>IF(Captura_Marimba_M01!A100="", "", Captura_Marimba_M01!D100)</f>
      </c>
      <c r="H246" s="8947">
        <f>IF(Captura_Marimba_M01!A100="", "", Captura_Marimba_M01!G100)</f>
      </c>
      <c r="I246" s="8948">
        <f>IF(Captura_Marimba_M01!A100="", "", SUMIFS(Captura_Obra!$F:$F, Captura_Obra!$A:$A, E246, Captura_Obra!$B:$B, F246, Captura_Obra!$D:$D, G246))</f>
      </c>
      <c r="J246" s="8949">
        <f>IF(Captura_Marimba_M01!A100="", "", H246 - I246)</f>
      </c>
      <c r="K246" s="4055"/>
    </row>
    <row r="247" spans="1:11">
      <c r="A247" s="8950">
        <f>IF(Captura_Marimba_M01!A101="", "", "Marimba")</f>
      </c>
      <c r="B247" s="8951">
        <f>IF(Captura_Marimba_M01!A101="", "", Captura_Marimba_M01!N101)</f>
      </c>
      <c r="C247" s="8952">
        <f>IF(Captura_Marimba_M01!A101="", "", IFERROR(LOOKUP(2, 1/((Captura_Obra!$A$5:$A$1000=E247)*(Captura_Obra!$B$5:$B$1000=F247)*(Captura_Obra!$D$5:$D$1000=G247)), Captura_Obra!$N$5:$N$1000), "No Reportado"))</f>
      </c>
      <c r="D247" s="8953">
        <f>IF(Captura_Marimba_M01!A101="", "", IF(J247=0, "✅ Cuadrado", IF(I247=0, "❌ Falta en Obra", "⚠️ Dif")))</f>
      </c>
      <c r="E247" s="8954">
        <f>IF(Captura_Marimba_M01!A101="", "", Captura_Marimba_M01!A101)</f>
      </c>
      <c r="F247" s="8955">
        <f>IF(Captura_Marimba_M01!A101="", "", Captura_Marimba_M01!C101)</f>
      </c>
      <c r="G247" s="8956">
        <f>IF(Captura_Marimba_M01!A101="", "", Captura_Marimba_M01!D101)</f>
      </c>
      <c r="H247" s="8957">
        <f>IF(Captura_Marimba_M01!A101="", "", Captura_Marimba_M01!G101)</f>
      </c>
      <c r="I247" s="8958">
        <f>IF(Captura_Marimba_M01!A101="", "", SUMIFS(Captura_Obra!$F:$F, Captura_Obra!$A:$A, E247, Captura_Obra!$B:$B, F247, Captura_Obra!$D:$D, G247))</f>
      </c>
      <c r="J247" s="8959">
        <f>IF(Captura_Marimba_M01!A101="", "", H247 - I247)</f>
      </c>
      <c r="K247" s="4056"/>
    </row>
    <row r="248" spans="1:11">
      <c r="A248" s="8960">
        <f>IF(Captura_Marimba_M01!A102="", "", "Marimba")</f>
      </c>
      <c r="B248" s="8961">
        <f>IF(Captura_Marimba_M01!A102="", "", Captura_Marimba_M01!N102)</f>
      </c>
      <c r="C248" s="8962">
        <f>IF(Captura_Marimba_M01!A102="", "", IFERROR(LOOKUP(2, 1/((Captura_Obra!$A$5:$A$1000=E248)*(Captura_Obra!$B$5:$B$1000=F248)*(Captura_Obra!$D$5:$D$1000=G248)), Captura_Obra!$N$5:$N$1000), "No Reportado"))</f>
      </c>
      <c r="D248" s="8963">
        <f>IF(Captura_Marimba_M01!A102="", "", IF(J248=0, "✅ Cuadrado", IF(I248=0, "❌ Falta en Obra", "⚠️ Dif")))</f>
      </c>
      <c r="E248" s="8964">
        <f>IF(Captura_Marimba_M01!A102="", "", Captura_Marimba_M01!A102)</f>
      </c>
      <c r="F248" s="8965">
        <f>IF(Captura_Marimba_M01!A102="", "", Captura_Marimba_M01!C102)</f>
      </c>
      <c r="G248" s="8966">
        <f>IF(Captura_Marimba_M01!A102="", "", Captura_Marimba_M01!D102)</f>
      </c>
      <c r="H248" s="8967">
        <f>IF(Captura_Marimba_M01!A102="", "", Captura_Marimba_M01!G102)</f>
      </c>
      <c r="I248" s="8968">
        <f>IF(Captura_Marimba_M01!A102="", "", SUMIFS(Captura_Obra!$F:$F, Captura_Obra!$A:$A, E248, Captura_Obra!$B:$B, F248, Captura_Obra!$D:$D, G248))</f>
      </c>
      <c r="J248" s="8969">
        <f>IF(Captura_Marimba_M01!A102="", "", H248 - I248)</f>
      </c>
      <c r="K248" s="4057"/>
    </row>
    <row r="249" spans="1:11">
      <c r="A249" s="8970">
        <f>IF(Captura_Marimba_M01!A103="", "", "Marimba")</f>
      </c>
      <c r="B249" s="8971">
        <f>IF(Captura_Marimba_M01!A103="", "", Captura_Marimba_M01!N103)</f>
      </c>
      <c r="C249" s="8972">
        <f>IF(Captura_Marimba_M01!A103="", "", IFERROR(LOOKUP(2, 1/((Captura_Obra!$A$5:$A$1000=E249)*(Captura_Obra!$B$5:$B$1000=F249)*(Captura_Obra!$D$5:$D$1000=G249)), Captura_Obra!$N$5:$N$1000), "No Reportado"))</f>
      </c>
      <c r="D249" s="8973">
        <f>IF(Captura_Marimba_M01!A103="", "", IF(J249=0, "✅ Cuadrado", IF(I249=0, "❌ Falta en Obra", "⚠️ Dif")))</f>
      </c>
      <c r="E249" s="8974">
        <f>IF(Captura_Marimba_M01!A103="", "", Captura_Marimba_M01!A103)</f>
      </c>
      <c r="F249" s="8975">
        <f>IF(Captura_Marimba_M01!A103="", "", Captura_Marimba_M01!C103)</f>
      </c>
      <c r="G249" s="8976">
        <f>IF(Captura_Marimba_M01!A103="", "", Captura_Marimba_M01!D103)</f>
      </c>
      <c r="H249" s="8977">
        <f>IF(Captura_Marimba_M01!A103="", "", Captura_Marimba_M01!G103)</f>
      </c>
      <c r="I249" s="8978">
        <f>IF(Captura_Marimba_M01!A103="", "", SUMIFS(Captura_Obra!$F:$F, Captura_Obra!$A:$A, E249, Captura_Obra!$B:$B, F249, Captura_Obra!$D:$D, G249))</f>
      </c>
      <c r="J249" s="8979">
        <f>IF(Captura_Marimba_M01!A103="", "", H249 - I249)</f>
      </c>
      <c r="K249" s="4058"/>
    </row>
    <row r="250" spans="1:11">
      <c r="A250" s="8980">
        <f>IF(Captura_Marimba_M01!A104="", "", "Marimba")</f>
      </c>
      <c r="B250" s="8981">
        <f>IF(Captura_Marimba_M01!A104="", "", Captura_Marimba_M01!N104)</f>
      </c>
      <c r="C250" s="8982">
        <f>IF(Captura_Marimba_M01!A104="", "", IFERROR(LOOKUP(2, 1/((Captura_Obra!$A$5:$A$1000=E250)*(Captura_Obra!$B$5:$B$1000=F250)*(Captura_Obra!$D$5:$D$1000=G250)), Captura_Obra!$N$5:$N$1000), "No Reportado"))</f>
      </c>
      <c r="D250" s="8983">
        <f>IF(Captura_Marimba_M01!A104="", "", IF(J250=0, "✅ Cuadrado", IF(I250=0, "❌ Falta en Obra", "⚠️ Dif")))</f>
      </c>
      <c r="E250" s="8984">
        <f>IF(Captura_Marimba_M01!A104="", "", Captura_Marimba_M01!A104)</f>
      </c>
      <c r="F250" s="8985">
        <f>IF(Captura_Marimba_M01!A104="", "", Captura_Marimba_M01!C104)</f>
      </c>
      <c r="G250" s="8986">
        <f>IF(Captura_Marimba_M01!A104="", "", Captura_Marimba_M01!D104)</f>
      </c>
      <c r="H250" s="8987">
        <f>IF(Captura_Marimba_M01!A104="", "", Captura_Marimba_M01!G104)</f>
      </c>
      <c r="I250" s="8988">
        <f>IF(Captura_Marimba_M01!A104="", "", SUMIFS(Captura_Obra!$F:$F, Captura_Obra!$A:$A, E250, Captura_Obra!$B:$B, F250, Captura_Obra!$D:$D, G250))</f>
      </c>
      <c r="J250" s="8989">
        <f>IF(Captura_Marimba_M01!A104="", "", H250 - I250)</f>
      </c>
      <c r="K250" s="4059"/>
    </row>
    <row r="251" spans="1:11">
      <c r="A251" s="8990">
        <f>IF(Captura_Marimba_M01!A105="", "", "Marimba")</f>
      </c>
      <c r="B251" s="8991">
        <f>IF(Captura_Marimba_M01!A105="", "", Captura_Marimba_M01!N105)</f>
      </c>
      <c r="C251" s="8992">
        <f>IF(Captura_Marimba_M01!A105="", "", IFERROR(LOOKUP(2, 1/((Captura_Obra!$A$5:$A$1000=E251)*(Captura_Obra!$B$5:$B$1000=F251)*(Captura_Obra!$D$5:$D$1000=G251)), Captura_Obra!$N$5:$N$1000), "No Reportado"))</f>
      </c>
      <c r="D251" s="8993">
        <f>IF(Captura_Marimba_M01!A105="", "", IF(J251=0, "✅ Cuadrado", IF(I251=0, "❌ Falta en Obra", "⚠️ Dif")))</f>
      </c>
      <c r="E251" s="8994">
        <f>IF(Captura_Marimba_M01!A105="", "", Captura_Marimba_M01!A105)</f>
      </c>
      <c r="F251" s="8995">
        <f>IF(Captura_Marimba_M01!A105="", "", Captura_Marimba_M01!C105)</f>
      </c>
      <c r="G251" s="8996">
        <f>IF(Captura_Marimba_M01!A105="", "", Captura_Marimba_M01!D105)</f>
      </c>
      <c r="H251" s="8997">
        <f>IF(Captura_Marimba_M01!A105="", "", Captura_Marimba_M01!G105)</f>
      </c>
      <c r="I251" s="8998">
        <f>IF(Captura_Marimba_M01!A105="", "", SUMIFS(Captura_Obra!$F:$F, Captura_Obra!$A:$A, E251, Captura_Obra!$B:$B, F251, Captura_Obra!$D:$D, G251))</f>
      </c>
      <c r="J251" s="8999">
        <f>IF(Captura_Marimba_M01!A105="", "", H251 - I251)</f>
      </c>
      <c r="K251" s="4060"/>
    </row>
    <row r="252" spans="1:11">
      <c r="A252" s="9000">
        <f>IF(Captura_Marimba_M01!A106="", "", "Marimba")</f>
      </c>
      <c r="B252" s="9001">
        <f>IF(Captura_Marimba_M01!A106="", "", Captura_Marimba_M01!N106)</f>
      </c>
      <c r="C252" s="9002">
        <f>IF(Captura_Marimba_M01!A106="", "", IFERROR(LOOKUP(2, 1/((Captura_Obra!$A$5:$A$1000=E252)*(Captura_Obra!$B$5:$B$1000=F252)*(Captura_Obra!$D$5:$D$1000=G252)), Captura_Obra!$N$5:$N$1000), "No Reportado"))</f>
      </c>
      <c r="D252" s="9003">
        <f>IF(Captura_Marimba_M01!A106="", "", IF(J252=0, "✅ Cuadrado", IF(I252=0, "❌ Falta en Obra", "⚠️ Dif")))</f>
      </c>
      <c r="E252" s="9004">
        <f>IF(Captura_Marimba_M01!A106="", "", Captura_Marimba_M01!A106)</f>
      </c>
      <c r="F252" s="9005">
        <f>IF(Captura_Marimba_M01!A106="", "", Captura_Marimba_M01!C106)</f>
      </c>
      <c r="G252" s="9006">
        <f>IF(Captura_Marimba_M01!A106="", "", Captura_Marimba_M01!D106)</f>
      </c>
      <c r="H252" s="9007">
        <f>IF(Captura_Marimba_M01!A106="", "", Captura_Marimba_M01!G106)</f>
      </c>
      <c r="I252" s="9008">
        <f>IF(Captura_Marimba_M01!A106="", "", SUMIFS(Captura_Obra!$F:$F, Captura_Obra!$A:$A, E252, Captura_Obra!$B:$B, F252, Captura_Obra!$D:$D, G252))</f>
      </c>
      <c r="J252" s="9009">
        <f>IF(Captura_Marimba_M01!A106="", "", H252 - I252)</f>
      </c>
      <c r="K252" s="4061"/>
    </row>
    <row r="253" spans="1:11">
      <c r="A253" s="9010">
        <f>IF(Captura_Marimba_M01!A107="", "", "Marimba")</f>
      </c>
      <c r="B253" s="9011">
        <f>IF(Captura_Marimba_M01!A107="", "", Captura_Marimba_M01!N107)</f>
      </c>
      <c r="C253" s="9012">
        <f>IF(Captura_Marimba_M01!A107="", "", IFERROR(LOOKUP(2, 1/((Captura_Obra!$A$5:$A$1000=E253)*(Captura_Obra!$B$5:$B$1000=F253)*(Captura_Obra!$D$5:$D$1000=G253)), Captura_Obra!$N$5:$N$1000), "No Reportado"))</f>
      </c>
      <c r="D253" s="9013">
        <f>IF(Captura_Marimba_M01!A107="", "", IF(J253=0, "✅ Cuadrado", IF(I253=0, "❌ Falta en Obra", "⚠️ Dif")))</f>
      </c>
      <c r="E253" s="9014">
        <f>IF(Captura_Marimba_M01!A107="", "", Captura_Marimba_M01!A107)</f>
      </c>
      <c r="F253" s="9015">
        <f>IF(Captura_Marimba_M01!A107="", "", Captura_Marimba_M01!C107)</f>
      </c>
      <c r="G253" s="9016">
        <f>IF(Captura_Marimba_M01!A107="", "", Captura_Marimba_M01!D107)</f>
      </c>
      <c r="H253" s="9017">
        <f>IF(Captura_Marimba_M01!A107="", "", Captura_Marimba_M01!G107)</f>
      </c>
      <c r="I253" s="9018">
        <f>IF(Captura_Marimba_M01!A107="", "", SUMIFS(Captura_Obra!$F:$F, Captura_Obra!$A:$A, E253, Captura_Obra!$B:$B, F253, Captura_Obra!$D:$D, G253))</f>
      </c>
      <c r="J253" s="9019">
        <f>IF(Captura_Marimba_M01!A107="", "", H253 - I253)</f>
      </c>
      <c r="K253" s="4062"/>
    </row>
    <row r="254" spans="1:11">
      <c r="A254" s="9020">
        <f>IF(Captura_Marimba_M01!A108="", "", "Marimba")</f>
      </c>
      <c r="B254" s="9021">
        <f>IF(Captura_Marimba_M01!A108="", "", Captura_Marimba_M01!N108)</f>
      </c>
      <c r="C254" s="9022">
        <f>IF(Captura_Marimba_M01!A108="", "", IFERROR(LOOKUP(2, 1/((Captura_Obra!$A$5:$A$1000=E254)*(Captura_Obra!$B$5:$B$1000=F254)*(Captura_Obra!$D$5:$D$1000=G254)), Captura_Obra!$N$5:$N$1000), "No Reportado"))</f>
      </c>
      <c r="D254" s="9023">
        <f>IF(Captura_Marimba_M01!A108="", "", IF(J254=0, "✅ Cuadrado", IF(I254=0, "❌ Falta en Obra", "⚠️ Dif")))</f>
      </c>
      <c r="E254" s="9024">
        <f>IF(Captura_Marimba_M01!A108="", "", Captura_Marimba_M01!A108)</f>
      </c>
      <c r="F254" s="9025">
        <f>IF(Captura_Marimba_M01!A108="", "", Captura_Marimba_M01!C108)</f>
      </c>
      <c r="G254" s="9026">
        <f>IF(Captura_Marimba_M01!A108="", "", Captura_Marimba_M01!D108)</f>
      </c>
      <c r="H254" s="9027">
        <f>IF(Captura_Marimba_M01!A108="", "", Captura_Marimba_M01!G108)</f>
      </c>
      <c r="I254" s="9028">
        <f>IF(Captura_Marimba_M01!A108="", "", SUMIFS(Captura_Obra!$F:$F, Captura_Obra!$A:$A, E254, Captura_Obra!$B:$B, F254, Captura_Obra!$D:$D, G254))</f>
      </c>
      <c r="J254" s="9029">
        <f>IF(Captura_Marimba_M01!A108="", "", H254 - I254)</f>
      </c>
      <c r="K254" s="4063"/>
    </row>
    <row r="255" spans="1:11">
      <c r="A255" s="9030">
        <f>IF(Captura_Marimba_M01!A109="", "", "Marimba")</f>
      </c>
      <c r="B255" s="9031">
        <f>IF(Captura_Marimba_M01!A109="", "", Captura_Marimba_M01!N109)</f>
      </c>
      <c r="C255" s="9032">
        <f>IF(Captura_Marimba_M01!A109="", "", IFERROR(LOOKUP(2, 1/((Captura_Obra!$A$5:$A$1000=E255)*(Captura_Obra!$B$5:$B$1000=F255)*(Captura_Obra!$D$5:$D$1000=G255)), Captura_Obra!$N$5:$N$1000), "No Reportado"))</f>
      </c>
      <c r="D255" s="9033">
        <f>IF(Captura_Marimba_M01!A109="", "", IF(J255=0, "✅ Cuadrado", IF(I255=0, "❌ Falta en Obra", "⚠️ Dif")))</f>
      </c>
      <c r="E255" s="9034">
        <f>IF(Captura_Marimba_M01!A109="", "", Captura_Marimba_M01!A109)</f>
      </c>
      <c r="F255" s="9035">
        <f>IF(Captura_Marimba_M01!A109="", "", Captura_Marimba_M01!C109)</f>
      </c>
      <c r="G255" s="9036">
        <f>IF(Captura_Marimba_M01!A109="", "", Captura_Marimba_M01!D109)</f>
      </c>
      <c r="H255" s="9037">
        <f>IF(Captura_Marimba_M01!A109="", "", Captura_Marimba_M01!G109)</f>
      </c>
      <c r="I255" s="9038">
        <f>IF(Captura_Marimba_M01!A109="", "", SUMIFS(Captura_Obra!$F:$F, Captura_Obra!$A:$A, E255, Captura_Obra!$B:$B, F255, Captura_Obra!$D:$D, G255))</f>
      </c>
      <c r="J255" s="9039">
        <f>IF(Captura_Marimba_M01!A109="", "", H255 - I255)</f>
      </c>
      <c r="K255" s="4064"/>
    </row>
    <row r="256" spans="1:11">
      <c r="A256" s="9040">
        <f>IF(Captura_Marimba_M01!A110="", "", "Marimba")</f>
      </c>
      <c r="B256" s="9041">
        <f>IF(Captura_Marimba_M01!A110="", "", Captura_Marimba_M01!N110)</f>
      </c>
      <c r="C256" s="9042">
        <f>IF(Captura_Marimba_M01!A110="", "", IFERROR(LOOKUP(2, 1/((Captura_Obra!$A$5:$A$1000=E256)*(Captura_Obra!$B$5:$B$1000=F256)*(Captura_Obra!$D$5:$D$1000=G256)), Captura_Obra!$N$5:$N$1000), "No Reportado"))</f>
      </c>
      <c r="D256" s="9043">
        <f>IF(Captura_Marimba_M01!A110="", "", IF(J256=0, "✅ Cuadrado", IF(I256=0, "❌ Falta en Obra", "⚠️ Dif")))</f>
      </c>
      <c r="E256" s="9044">
        <f>IF(Captura_Marimba_M01!A110="", "", Captura_Marimba_M01!A110)</f>
      </c>
      <c r="F256" s="9045">
        <f>IF(Captura_Marimba_M01!A110="", "", Captura_Marimba_M01!C110)</f>
      </c>
      <c r="G256" s="9046">
        <f>IF(Captura_Marimba_M01!A110="", "", Captura_Marimba_M01!D110)</f>
      </c>
      <c r="H256" s="9047">
        <f>IF(Captura_Marimba_M01!A110="", "", Captura_Marimba_M01!G110)</f>
      </c>
      <c r="I256" s="9048">
        <f>IF(Captura_Marimba_M01!A110="", "", SUMIFS(Captura_Obra!$F:$F, Captura_Obra!$A:$A, E256, Captura_Obra!$B:$B, F256, Captura_Obra!$D:$D, G256))</f>
      </c>
      <c r="J256" s="9049">
        <f>IF(Captura_Marimba_M01!A110="", "", H256 - I256)</f>
      </c>
      <c r="K256" s="4065"/>
    </row>
    <row r="257" spans="1:11">
      <c r="A257" s="9050">
        <f>IF(Captura_Marimba_M01!A111="", "", "Marimba")</f>
      </c>
      <c r="B257" s="9051">
        <f>IF(Captura_Marimba_M01!A111="", "", Captura_Marimba_M01!N111)</f>
      </c>
      <c r="C257" s="9052">
        <f>IF(Captura_Marimba_M01!A111="", "", IFERROR(LOOKUP(2, 1/((Captura_Obra!$A$5:$A$1000=E257)*(Captura_Obra!$B$5:$B$1000=F257)*(Captura_Obra!$D$5:$D$1000=G257)), Captura_Obra!$N$5:$N$1000), "No Reportado"))</f>
      </c>
      <c r="D257" s="9053">
        <f>IF(Captura_Marimba_M01!A111="", "", IF(J257=0, "✅ Cuadrado", IF(I257=0, "❌ Falta en Obra", "⚠️ Dif")))</f>
      </c>
      <c r="E257" s="9054">
        <f>IF(Captura_Marimba_M01!A111="", "", Captura_Marimba_M01!A111)</f>
      </c>
      <c r="F257" s="9055">
        <f>IF(Captura_Marimba_M01!A111="", "", Captura_Marimba_M01!C111)</f>
      </c>
      <c r="G257" s="9056">
        <f>IF(Captura_Marimba_M01!A111="", "", Captura_Marimba_M01!D111)</f>
      </c>
      <c r="H257" s="9057">
        <f>IF(Captura_Marimba_M01!A111="", "", Captura_Marimba_M01!G111)</f>
      </c>
      <c r="I257" s="9058">
        <f>IF(Captura_Marimba_M01!A111="", "", SUMIFS(Captura_Obra!$F:$F, Captura_Obra!$A:$A, E257, Captura_Obra!$B:$B, F257, Captura_Obra!$D:$D, G257))</f>
      </c>
      <c r="J257" s="9059">
        <f>IF(Captura_Marimba_M01!A111="", "", H257 - I257)</f>
      </c>
      <c r="K257" s="4066"/>
    </row>
    <row r="258" spans="1:11">
      <c r="A258" s="9060">
        <f>IF(Captura_Marimba_M01!A112="", "", "Marimba")</f>
      </c>
      <c r="B258" s="9061">
        <f>IF(Captura_Marimba_M01!A112="", "", Captura_Marimba_M01!N112)</f>
      </c>
      <c r="C258" s="9062">
        <f>IF(Captura_Marimba_M01!A112="", "", IFERROR(LOOKUP(2, 1/((Captura_Obra!$A$5:$A$1000=E258)*(Captura_Obra!$B$5:$B$1000=F258)*(Captura_Obra!$D$5:$D$1000=G258)), Captura_Obra!$N$5:$N$1000), "No Reportado"))</f>
      </c>
      <c r="D258" s="9063">
        <f>IF(Captura_Marimba_M01!A112="", "", IF(J258=0, "✅ Cuadrado", IF(I258=0, "❌ Falta en Obra", "⚠️ Dif")))</f>
      </c>
      <c r="E258" s="9064">
        <f>IF(Captura_Marimba_M01!A112="", "", Captura_Marimba_M01!A112)</f>
      </c>
      <c r="F258" s="9065">
        <f>IF(Captura_Marimba_M01!A112="", "", Captura_Marimba_M01!C112)</f>
      </c>
      <c r="G258" s="9066">
        <f>IF(Captura_Marimba_M01!A112="", "", Captura_Marimba_M01!D112)</f>
      </c>
      <c r="H258" s="9067">
        <f>IF(Captura_Marimba_M01!A112="", "", Captura_Marimba_M01!G112)</f>
      </c>
      <c r="I258" s="9068">
        <f>IF(Captura_Marimba_M01!A112="", "", SUMIFS(Captura_Obra!$F:$F, Captura_Obra!$A:$A, E258, Captura_Obra!$B:$B, F258, Captura_Obra!$D:$D, G258))</f>
      </c>
      <c r="J258" s="9069">
        <f>IF(Captura_Marimba_M01!A112="", "", H258 - I258)</f>
      </c>
      <c r="K258" s="4067"/>
    </row>
    <row r="259" spans="1:11">
      <c r="A259" s="9070">
        <f>IF(Captura_Marimba_M01!A113="", "", "Marimba")</f>
      </c>
      <c r="B259" s="9071">
        <f>IF(Captura_Marimba_M01!A113="", "", Captura_Marimba_M01!N113)</f>
      </c>
      <c r="C259" s="9072">
        <f>IF(Captura_Marimba_M01!A113="", "", IFERROR(LOOKUP(2, 1/((Captura_Obra!$A$5:$A$1000=E259)*(Captura_Obra!$B$5:$B$1000=F259)*(Captura_Obra!$D$5:$D$1000=G259)), Captura_Obra!$N$5:$N$1000), "No Reportado"))</f>
      </c>
      <c r="D259" s="9073">
        <f>IF(Captura_Marimba_M01!A113="", "", IF(J259=0, "✅ Cuadrado", IF(I259=0, "❌ Falta en Obra", "⚠️ Dif")))</f>
      </c>
      <c r="E259" s="9074">
        <f>IF(Captura_Marimba_M01!A113="", "", Captura_Marimba_M01!A113)</f>
      </c>
      <c r="F259" s="9075">
        <f>IF(Captura_Marimba_M01!A113="", "", Captura_Marimba_M01!C113)</f>
      </c>
      <c r="G259" s="9076">
        <f>IF(Captura_Marimba_M01!A113="", "", Captura_Marimba_M01!D113)</f>
      </c>
      <c r="H259" s="9077">
        <f>IF(Captura_Marimba_M01!A113="", "", Captura_Marimba_M01!G113)</f>
      </c>
      <c r="I259" s="9078">
        <f>IF(Captura_Marimba_M01!A113="", "", SUMIFS(Captura_Obra!$F:$F, Captura_Obra!$A:$A, E259, Captura_Obra!$B:$B, F259, Captura_Obra!$D:$D, G259))</f>
      </c>
      <c r="J259" s="9079">
        <f>IF(Captura_Marimba_M01!A113="", "", H259 - I259)</f>
      </c>
      <c r="K259" s="4068"/>
    </row>
    <row r="260" spans="1:11">
      <c r="A260" s="9080">
        <f>IF(Captura_Marimba_M01!A114="", "", "Marimba")</f>
      </c>
      <c r="B260" s="9081">
        <f>IF(Captura_Marimba_M01!A114="", "", Captura_Marimba_M01!N114)</f>
      </c>
      <c r="C260" s="9082">
        <f>IF(Captura_Marimba_M01!A114="", "", IFERROR(LOOKUP(2, 1/((Captura_Obra!$A$5:$A$1000=E260)*(Captura_Obra!$B$5:$B$1000=F260)*(Captura_Obra!$D$5:$D$1000=G260)), Captura_Obra!$N$5:$N$1000), "No Reportado"))</f>
      </c>
      <c r="D260" s="9083">
        <f>IF(Captura_Marimba_M01!A114="", "", IF(J260=0, "✅ Cuadrado", IF(I260=0, "❌ Falta en Obra", "⚠️ Dif")))</f>
      </c>
      <c r="E260" s="9084">
        <f>IF(Captura_Marimba_M01!A114="", "", Captura_Marimba_M01!A114)</f>
      </c>
      <c r="F260" s="9085">
        <f>IF(Captura_Marimba_M01!A114="", "", Captura_Marimba_M01!C114)</f>
      </c>
      <c r="G260" s="9086">
        <f>IF(Captura_Marimba_M01!A114="", "", Captura_Marimba_M01!D114)</f>
      </c>
      <c r="H260" s="9087">
        <f>IF(Captura_Marimba_M01!A114="", "", Captura_Marimba_M01!G114)</f>
      </c>
      <c r="I260" s="9088">
        <f>IF(Captura_Marimba_M01!A114="", "", SUMIFS(Captura_Obra!$F:$F, Captura_Obra!$A:$A, E260, Captura_Obra!$B:$B, F260, Captura_Obra!$D:$D, G260))</f>
      </c>
      <c r="J260" s="9089">
        <f>IF(Captura_Marimba_M01!A114="", "", H260 - I260)</f>
      </c>
      <c r="K260" s="4069"/>
    </row>
    <row r="261" spans="1:11">
      <c r="A261" s="9090">
        <f>IF(Captura_Marimba_M01!A115="", "", "Marimba")</f>
      </c>
      <c r="B261" s="9091">
        <f>IF(Captura_Marimba_M01!A115="", "", Captura_Marimba_M01!N115)</f>
      </c>
      <c r="C261" s="9092">
        <f>IF(Captura_Marimba_M01!A115="", "", IFERROR(LOOKUP(2, 1/((Captura_Obra!$A$5:$A$1000=E261)*(Captura_Obra!$B$5:$B$1000=F261)*(Captura_Obra!$D$5:$D$1000=G261)), Captura_Obra!$N$5:$N$1000), "No Reportado"))</f>
      </c>
      <c r="D261" s="9093">
        <f>IF(Captura_Marimba_M01!A115="", "", IF(J261=0, "✅ Cuadrado", IF(I261=0, "❌ Falta en Obra", "⚠️ Dif")))</f>
      </c>
      <c r="E261" s="9094">
        <f>IF(Captura_Marimba_M01!A115="", "", Captura_Marimba_M01!A115)</f>
      </c>
      <c r="F261" s="9095">
        <f>IF(Captura_Marimba_M01!A115="", "", Captura_Marimba_M01!C115)</f>
      </c>
      <c r="G261" s="9096">
        <f>IF(Captura_Marimba_M01!A115="", "", Captura_Marimba_M01!D115)</f>
      </c>
      <c r="H261" s="9097">
        <f>IF(Captura_Marimba_M01!A115="", "", Captura_Marimba_M01!G115)</f>
      </c>
      <c r="I261" s="9098">
        <f>IF(Captura_Marimba_M01!A115="", "", SUMIFS(Captura_Obra!$F:$F, Captura_Obra!$A:$A, E261, Captura_Obra!$B:$B, F261, Captura_Obra!$D:$D, G261))</f>
      </c>
      <c r="J261" s="9099">
        <f>IF(Captura_Marimba_M01!A115="", "", H261 - I261)</f>
      </c>
      <c r="K261" s="4070"/>
    </row>
    <row r="262" spans="1:11">
      <c r="A262" s="9100">
        <f>IF(Captura_Marimba_M01!A116="", "", "Marimba")</f>
      </c>
      <c r="B262" s="9101">
        <f>IF(Captura_Marimba_M01!A116="", "", Captura_Marimba_M01!N116)</f>
      </c>
      <c r="C262" s="9102">
        <f>IF(Captura_Marimba_M01!A116="", "", IFERROR(LOOKUP(2, 1/((Captura_Obra!$A$5:$A$1000=E262)*(Captura_Obra!$B$5:$B$1000=F262)*(Captura_Obra!$D$5:$D$1000=G262)), Captura_Obra!$N$5:$N$1000), "No Reportado"))</f>
      </c>
      <c r="D262" s="9103">
        <f>IF(Captura_Marimba_M01!A116="", "", IF(J262=0, "✅ Cuadrado", IF(I262=0, "❌ Falta en Obra", "⚠️ Dif")))</f>
      </c>
      <c r="E262" s="9104">
        <f>IF(Captura_Marimba_M01!A116="", "", Captura_Marimba_M01!A116)</f>
      </c>
      <c r="F262" s="9105">
        <f>IF(Captura_Marimba_M01!A116="", "", Captura_Marimba_M01!C116)</f>
      </c>
      <c r="G262" s="9106">
        <f>IF(Captura_Marimba_M01!A116="", "", Captura_Marimba_M01!D116)</f>
      </c>
      <c r="H262" s="9107">
        <f>IF(Captura_Marimba_M01!A116="", "", Captura_Marimba_M01!G116)</f>
      </c>
      <c r="I262" s="9108">
        <f>IF(Captura_Marimba_M01!A116="", "", SUMIFS(Captura_Obra!$F:$F, Captura_Obra!$A:$A, E262, Captura_Obra!$B:$B, F262, Captura_Obra!$D:$D, G262))</f>
      </c>
      <c r="J262" s="9109">
        <f>IF(Captura_Marimba_M01!A116="", "", H262 - I262)</f>
      </c>
      <c r="K262" s="4071"/>
    </row>
    <row r="263" spans="1:11">
      <c r="A263" s="9110">
        <f>IF(Captura_Marimba_M01!A117="", "", "Marimba")</f>
      </c>
      <c r="B263" s="9111">
        <f>IF(Captura_Marimba_M01!A117="", "", Captura_Marimba_M01!N117)</f>
      </c>
      <c r="C263" s="9112">
        <f>IF(Captura_Marimba_M01!A117="", "", IFERROR(LOOKUP(2, 1/((Captura_Obra!$A$5:$A$1000=E263)*(Captura_Obra!$B$5:$B$1000=F263)*(Captura_Obra!$D$5:$D$1000=G263)), Captura_Obra!$N$5:$N$1000), "No Reportado"))</f>
      </c>
      <c r="D263" s="9113">
        <f>IF(Captura_Marimba_M01!A117="", "", IF(J263=0, "✅ Cuadrado", IF(I263=0, "❌ Falta en Obra", "⚠️ Dif")))</f>
      </c>
      <c r="E263" s="9114">
        <f>IF(Captura_Marimba_M01!A117="", "", Captura_Marimba_M01!A117)</f>
      </c>
      <c r="F263" s="9115">
        <f>IF(Captura_Marimba_M01!A117="", "", Captura_Marimba_M01!C117)</f>
      </c>
      <c r="G263" s="9116">
        <f>IF(Captura_Marimba_M01!A117="", "", Captura_Marimba_M01!D117)</f>
      </c>
      <c r="H263" s="9117">
        <f>IF(Captura_Marimba_M01!A117="", "", Captura_Marimba_M01!G117)</f>
      </c>
      <c r="I263" s="9118">
        <f>IF(Captura_Marimba_M01!A117="", "", SUMIFS(Captura_Obra!$F:$F, Captura_Obra!$A:$A, E263, Captura_Obra!$B:$B, F263, Captura_Obra!$D:$D, G263))</f>
      </c>
      <c r="J263" s="9119">
        <f>IF(Captura_Marimba_M01!A117="", "", H263 - I263)</f>
      </c>
      <c r="K263" s="4072"/>
    </row>
    <row r="264" spans="1:11">
      <c r="A264" s="9120">
        <f>IF(Captura_Marimba_M01!A118="", "", "Marimba")</f>
      </c>
      <c r="B264" s="9121">
        <f>IF(Captura_Marimba_M01!A118="", "", Captura_Marimba_M01!N118)</f>
      </c>
      <c r="C264" s="9122">
        <f>IF(Captura_Marimba_M01!A118="", "", IFERROR(LOOKUP(2, 1/((Captura_Obra!$A$5:$A$1000=E264)*(Captura_Obra!$B$5:$B$1000=F264)*(Captura_Obra!$D$5:$D$1000=G264)), Captura_Obra!$N$5:$N$1000), "No Reportado"))</f>
      </c>
      <c r="D264" s="9123">
        <f>IF(Captura_Marimba_M01!A118="", "", IF(J264=0, "✅ Cuadrado", IF(I264=0, "❌ Falta en Obra", "⚠️ Dif")))</f>
      </c>
      <c r="E264" s="9124">
        <f>IF(Captura_Marimba_M01!A118="", "", Captura_Marimba_M01!A118)</f>
      </c>
      <c r="F264" s="9125">
        <f>IF(Captura_Marimba_M01!A118="", "", Captura_Marimba_M01!C118)</f>
      </c>
      <c r="G264" s="9126">
        <f>IF(Captura_Marimba_M01!A118="", "", Captura_Marimba_M01!D118)</f>
      </c>
      <c r="H264" s="9127">
        <f>IF(Captura_Marimba_M01!A118="", "", Captura_Marimba_M01!G118)</f>
      </c>
      <c r="I264" s="9128">
        <f>IF(Captura_Marimba_M01!A118="", "", SUMIFS(Captura_Obra!$F:$F, Captura_Obra!$A:$A, E264, Captura_Obra!$B:$B, F264, Captura_Obra!$D:$D, G264))</f>
      </c>
      <c r="J264" s="9129">
        <f>IF(Captura_Marimba_M01!A118="", "", H264 - I264)</f>
      </c>
      <c r="K264" s="4073"/>
    </row>
    <row r="265" spans="1:11">
      <c r="A265" s="9130">
        <f>IF(Captura_Marimba_M01!A119="", "", "Marimba")</f>
      </c>
      <c r="B265" s="9131">
        <f>IF(Captura_Marimba_M01!A119="", "", Captura_Marimba_M01!N119)</f>
      </c>
      <c r="C265" s="9132">
        <f>IF(Captura_Marimba_M01!A119="", "", IFERROR(LOOKUP(2, 1/((Captura_Obra!$A$5:$A$1000=E265)*(Captura_Obra!$B$5:$B$1000=F265)*(Captura_Obra!$D$5:$D$1000=G265)), Captura_Obra!$N$5:$N$1000), "No Reportado"))</f>
      </c>
      <c r="D265" s="9133">
        <f>IF(Captura_Marimba_M01!A119="", "", IF(J265=0, "✅ Cuadrado", IF(I265=0, "❌ Falta en Obra", "⚠️ Dif")))</f>
      </c>
      <c r="E265" s="9134">
        <f>IF(Captura_Marimba_M01!A119="", "", Captura_Marimba_M01!A119)</f>
      </c>
      <c r="F265" s="9135">
        <f>IF(Captura_Marimba_M01!A119="", "", Captura_Marimba_M01!C119)</f>
      </c>
      <c r="G265" s="9136">
        <f>IF(Captura_Marimba_M01!A119="", "", Captura_Marimba_M01!D119)</f>
      </c>
      <c r="H265" s="9137">
        <f>IF(Captura_Marimba_M01!A119="", "", Captura_Marimba_M01!G119)</f>
      </c>
      <c r="I265" s="9138">
        <f>IF(Captura_Marimba_M01!A119="", "", SUMIFS(Captura_Obra!$F:$F, Captura_Obra!$A:$A, E265, Captura_Obra!$B:$B, F265, Captura_Obra!$D:$D, G265))</f>
      </c>
      <c r="J265" s="9139">
        <f>IF(Captura_Marimba_M01!A119="", "", H265 - I265)</f>
      </c>
      <c r="K265" s="4074"/>
    </row>
    <row r="266" spans="1:11">
      <c r="A266" s="9140">
        <f>IF(Captura_Marimba_M01!A120="", "", "Marimba")</f>
      </c>
      <c r="B266" s="9141">
        <f>IF(Captura_Marimba_M01!A120="", "", Captura_Marimba_M01!N120)</f>
      </c>
      <c r="C266" s="9142">
        <f>IF(Captura_Marimba_M01!A120="", "", IFERROR(LOOKUP(2, 1/((Captura_Obra!$A$5:$A$1000=E266)*(Captura_Obra!$B$5:$B$1000=F266)*(Captura_Obra!$D$5:$D$1000=G266)), Captura_Obra!$N$5:$N$1000), "No Reportado"))</f>
      </c>
      <c r="D266" s="9143">
        <f>IF(Captura_Marimba_M01!A120="", "", IF(J266=0, "✅ Cuadrado", IF(I266=0, "❌ Falta en Obra", "⚠️ Dif")))</f>
      </c>
      <c r="E266" s="9144">
        <f>IF(Captura_Marimba_M01!A120="", "", Captura_Marimba_M01!A120)</f>
      </c>
      <c r="F266" s="9145">
        <f>IF(Captura_Marimba_M01!A120="", "", Captura_Marimba_M01!C120)</f>
      </c>
      <c r="G266" s="9146">
        <f>IF(Captura_Marimba_M01!A120="", "", Captura_Marimba_M01!D120)</f>
      </c>
      <c r="H266" s="9147">
        <f>IF(Captura_Marimba_M01!A120="", "", Captura_Marimba_M01!G120)</f>
      </c>
      <c r="I266" s="9148">
        <f>IF(Captura_Marimba_M01!A120="", "", SUMIFS(Captura_Obra!$F:$F, Captura_Obra!$A:$A, E266, Captura_Obra!$B:$B, F266, Captura_Obra!$D:$D, G266))</f>
      </c>
      <c r="J266" s="9149">
        <f>IF(Captura_Marimba_M01!A120="", "", H266 - I266)</f>
      </c>
      <c r="K266" s="4075"/>
    </row>
    <row r="267" spans="1:11">
      <c r="A267" s="9150">
        <f>IF(Captura_Marimba_M01!A121="", "", "Marimba")</f>
      </c>
      <c r="B267" s="9151">
        <f>IF(Captura_Marimba_M01!A121="", "", Captura_Marimba_M01!N121)</f>
      </c>
      <c r="C267" s="9152">
        <f>IF(Captura_Marimba_M01!A121="", "", IFERROR(LOOKUP(2, 1/((Captura_Obra!$A$5:$A$1000=E267)*(Captura_Obra!$B$5:$B$1000=F267)*(Captura_Obra!$D$5:$D$1000=G267)), Captura_Obra!$N$5:$N$1000), "No Reportado"))</f>
      </c>
      <c r="D267" s="9153">
        <f>IF(Captura_Marimba_M01!A121="", "", IF(J267=0, "✅ Cuadrado", IF(I267=0, "❌ Falta en Obra", "⚠️ Dif")))</f>
      </c>
      <c r="E267" s="9154">
        <f>IF(Captura_Marimba_M01!A121="", "", Captura_Marimba_M01!A121)</f>
      </c>
      <c r="F267" s="9155">
        <f>IF(Captura_Marimba_M01!A121="", "", Captura_Marimba_M01!C121)</f>
      </c>
      <c r="G267" s="9156">
        <f>IF(Captura_Marimba_M01!A121="", "", Captura_Marimba_M01!D121)</f>
      </c>
      <c r="H267" s="9157">
        <f>IF(Captura_Marimba_M01!A121="", "", Captura_Marimba_M01!G121)</f>
      </c>
      <c r="I267" s="9158">
        <f>IF(Captura_Marimba_M01!A121="", "", SUMIFS(Captura_Obra!$F:$F, Captura_Obra!$A:$A, E267, Captura_Obra!$B:$B, F267, Captura_Obra!$D:$D, G267))</f>
      </c>
      <c r="J267" s="9159">
        <f>IF(Captura_Marimba_M01!A121="", "", H267 - I267)</f>
      </c>
      <c r="K267" s="4076"/>
    </row>
    <row r="268" spans="1:11">
      <c r="A268" s="9160">
        <f>IF(Captura_Marimba_M01!A122="", "", "Marimba")</f>
      </c>
      <c r="B268" s="9161">
        <f>IF(Captura_Marimba_M01!A122="", "", Captura_Marimba_M01!N122)</f>
      </c>
      <c r="C268" s="9162">
        <f>IF(Captura_Marimba_M01!A122="", "", IFERROR(LOOKUP(2, 1/((Captura_Obra!$A$5:$A$1000=E268)*(Captura_Obra!$B$5:$B$1000=F268)*(Captura_Obra!$D$5:$D$1000=G268)), Captura_Obra!$N$5:$N$1000), "No Reportado"))</f>
      </c>
      <c r="D268" s="9163">
        <f>IF(Captura_Marimba_M01!A122="", "", IF(J268=0, "✅ Cuadrado", IF(I268=0, "❌ Falta en Obra", "⚠️ Dif")))</f>
      </c>
      <c r="E268" s="9164">
        <f>IF(Captura_Marimba_M01!A122="", "", Captura_Marimba_M01!A122)</f>
      </c>
      <c r="F268" s="9165">
        <f>IF(Captura_Marimba_M01!A122="", "", Captura_Marimba_M01!C122)</f>
      </c>
      <c r="G268" s="9166">
        <f>IF(Captura_Marimba_M01!A122="", "", Captura_Marimba_M01!D122)</f>
      </c>
      <c r="H268" s="9167">
        <f>IF(Captura_Marimba_M01!A122="", "", Captura_Marimba_M01!G122)</f>
      </c>
      <c r="I268" s="9168">
        <f>IF(Captura_Marimba_M01!A122="", "", SUMIFS(Captura_Obra!$F:$F, Captura_Obra!$A:$A, E268, Captura_Obra!$B:$B, F268, Captura_Obra!$D:$D, G268))</f>
      </c>
      <c r="J268" s="9169">
        <f>IF(Captura_Marimba_M01!A122="", "", H268 - I268)</f>
      </c>
      <c r="K268" s="4077"/>
    </row>
    <row r="269" spans="1:11">
      <c r="A269" s="9170">
        <f>IF(Captura_Marimba_M01!A123="", "", "Marimba")</f>
      </c>
      <c r="B269" s="9171">
        <f>IF(Captura_Marimba_M01!A123="", "", Captura_Marimba_M01!N123)</f>
      </c>
      <c r="C269" s="9172">
        <f>IF(Captura_Marimba_M01!A123="", "", IFERROR(LOOKUP(2, 1/((Captura_Obra!$A$5:$A$1000=E269)*(Captura_Obra!$B$5:$B$1000=F269)*(Captura_Obra!$D$5:$D$1000=G269)), Captura_Obra!$N$5:$N$1000), "No Reportado"))</f>
      </c>
      <c r="D269" s="9173">
        <f>IF(Captura_Marimba_M01!A123="", "", IF(J269=0, "✅ Cuadrado", IF(I269=0, "❌ Falta en Obra", "⚠️ Dif")))</f>
      </c>
      <c r="E269" s="9174">
        <f>IF(Captura_Marimba_M01!A123="", "", Captura_Marimba_M01!A123)</f>
      </c>
      <c r="F269" s="9175">
        <f>IF(Captura_Marimba_M01!A123="", "", Captura_Marimba_M01!C123)</f>
      </c>
      <c r="G269" s="9176">
        <f>IF(Captura_Marimba_M01!A123="", "", Captura_Marimba_M01!D123)</f>
      </c>
      <c r="H269" s="9177">
        <f>IF(Captura_Marimba_M01!A123="", "", Captura_Marimba_M01!G123)</f>
      </c>
      <c r="I269" s="9178">
        <f>IF(Captura_Marimba_M01!A123="", "", SUMIFS(Captura_Obra!$F:$F, Captura_Obra!$A:$A, E269, Captura_Obra!$B:$B, F269, Captura_Obra!$D:$D, G269))</f>
      </c>
      <c r="J269" s="9179">
        <f>IF(Captura_Marimba_M01!A123="", "", H269 - I269)</f>
      </c>
      <c r="K269" s="4078"/>
    </row>
    <row r="270" spans="1:11">
      <c r="A270" s="9180">
        <f>IF(Captura_Marimba_M01!A124="", "", "Marimba")</f>
      </c>
      <c r="B270" s="9181">
        <f>IF(Captura_Marimba_M01!A124="", "", Captura_Marimba_M01!N124)</f>
      </c>
      <c r="C270" s="9182">
        <f>IF(Captura_Marimba_M01!A124="", "", IFERROR(LOOKUP(2, 1/((Captura_Obra!$A$5:$A$1000=E270)*(Captura_Obra!$B$5:$B$1000=F270)*(Captura_Obra!$D$5:$D$1000=G270)), Captura_Obra!$N$5:$N$1000), "No Reportado"))</f>
      </c>
      <c r="D270" s="9183">
        <f>IF(Captura_Marimba_M01!A124="", "", IF(J270=0, "✅ Cuadrado", IF(I270=0, "❌ Falta en Obra", "⚠️ Dif")))</f>
      </c>
      <c r="E270" s="9184">
        <f>IF(Captura_Marimba_M01!A124="", "", Captura_Marimba_M01!A124)</f>
      </c>
      <c r="F270" s="9185">
        <f>IF(Captura_Marimba_M01!A124="", "", Captura_Marimba_M01!C124)</f>
      </c>
      <c r="G270" s="9186">
        <f>IF(Captura_Marimba_M01!A124="", "", Captura_Marimba_M01!D124)</f>
      </c>
      <c r="H270" s="9187">
        <f>IF(Captura_Marimba_M01!A124="", "", Captura_Marimba_M01!G124)</f>
      </c>
      <c r="I270" s="9188">
        <f>IF(Captura_Marimba_M01!A124="", "", SUMIFS(Captura_Obra!$F:$F, Captura_Obra!$A:$A, E270, Captura_Obra!$B:$B, F270, Captura_Obra!$D:$D, G270))</f>
      </c>
      <c r="J270" s="9189">
        <f>IF(Captura_Marimba_M01!A124="", "", H270 - I270)</f>
      </c>
      <c r="K270" s="4079"/>
    </row>
    <row r="271" spans="1:11">
      <c r="A271" s="9190">
        <f>IF(Captura_Marimba_M01!A125="", "", "Marimba")</f>
      </c>
      <c r="B271" s="9191">
        <f>IF(Captura_Marimba_M01!A125="", "", Captura_Marimba_M01!N125)</f>
      </c>
      <c r="C271" s="9192">
        <f>IF(Captura_Marimba_M01!A125="", "", IFERROR(LOOKUP(2, 1/((Captura_Obra!$A$5:$A$1000=E271)*(Captura_Obra!$B$5:$B$1000=F271)*(Captura_Obra!$D$5:$D$1000=G271)), Captura_Obra!$N$5:$N$1000), "No Reportado"))</f>
      </c>
      <c r="D271" s="9193">
        <f>IF(Captura_Marimba_M01!A125="", "", IF(J271=0, "✅ Cuadrado", IF(I271=0, "❌ Falta en Obra", "⚠️ Dif")))</f>
      </c>
      <c r="E271" s="9194">
        <f>IF(Captura_Marimba_M01!A125="", "", Captura_Marimba_M01!A125)</f>
      </c>
      <c r="F271" s="9195">
        <f>IF(Captura_Marimba_M01!A125="", "", Captura_Marimba_M01!C125)</f>
      </c>
      <c r="G271" s="9196">
        <f>IF(Captura_Marimba_M01!A125="", "", Captura_Marimba_M01!D125)</f>
      </c>
      <c r="H271" s="9197">
        <f>IF(Captura_Marimba_M01!A125="", "", Captura_Marimba_M01!G125)</f>
      </c>
      <c r="I271" s="9198">
        <f>IF(Captura_Marimba_M01!A125="", "", SUMIFS(Captura_Obra!$F:$F, Captura_Obra!$A:$A, E271, Captura_Obra!$B:$B, F271, Captura_Obra!$D:$D, G271))</f>
      </c>
      <c r="J271" s="9199">
        <f>IF(Captura_Marimba_M01!A125="", "", H271 - I271)</f>
      </c>
      <c r="K271" s="4080"/>
    </row>
    <row r="272" spans="1:11">
      <c r="A272" s="9200">
        <f>IF(Captura_Marimba_M01!A126="", "", "Marimba")</f>
      </c>
      <c r="B272" s="9201">
        <f>IF(Captura_Marimba_M01!A126="", "", Captura_Marimba_M01!N126)</f>
      </c>
      <c r="C272" s="9202">
        <f>IF(Captura_Marimba_M01!A126="", "", IFERROR(LOOKUP(2, 1/((Captura_Obra!$A$5:$A$1000=E272)*(Captura_Obra!$B$5:$B$1000=F272)*(Captura_Obra!$D$5:$D$1000=G272)), Captura_Obra!$N$5:$N$1000), "No Reportado"))</f>
      </c>
      <c r="D272" s="9203">
        <f>IF(Captura_Marimba_M01!A126="", "", IF(J272=0, "✅ Cuadrado", IF(I272=0, "❌ Falta en Obra", "⚠️ Dif")))</f>
      </c>
      <c r="E272" s="9204">
        <f>IF(Captura_Marimba_M01!A126="", "", Captura_Marimba_M01!A126)</f>
      </c>
      <c r="F272" s="9205">
        <f>IF(Captura_Marimba_M01!A126="", "", Captura_Marimba_M01!C126)</f>
      </c>
      <c r="G272" s="9206">
        <f>IF(Captura_Marimba_M01!A126="", "", Captura_Marimba_M01!D126)</f>
      </c>
      <c r="H272" s="9207">
        <f>IF(Captura_Marimba_M01!A126="", "", Captura_Marimba_M01!G126)</f>
      </c>
      <c r="I272" s="9208">
        <f>IF(Captura_Marimba_M01!A126="", "", SUMIFS(Captura_Obra!$F:$F, Captura_Obra!$A:$A, E272, Captura_Obra!$B:$B, F272, Captura_Obra!$D:$D, G272))</f>
      </c>
      <c r="J272" s="9209">
        <f>IF(Captura_Marimba_M01!A126="", "", H272 - I272)</f>
      </c>
      <c r="K272" s="4081"/>
    </row>
    <row r="273" spans="1:11">
      <c r="A273" s="9210">
        <f>IF(Captura_Marimba_M01!A127="", "", "Marimba")</f>
      </c>
      <c r="B273" s="9211">
        <f>IF(Captura_Marimba_M01!A127="", "", Captura_Marimba_M01!N127)</f>
      </c>
      <c r="C273" s="9212">
        <f>IF(Captura_Marimba_M01!A127="", "", IFERROR(LOOKUP(2, 1/((Captura_Obra!$A$5:$A$1000=E273)*(Captura_Obra!$B$5:$B$1000=F273)*(Captura_Obra!$D$5:$D$1000=G273)), Captura_Obra!$N$5:$N$1000), "No Reportado"))</f>
      </c>
      <c r="D273" s="9213">
        <f>IF(Captura_Marimba_M01!A127="", "", IF(J273=0, "✅ Cuadrado", IF(I273=0, "❌ Falta en Obra", "⚠️ Dif")))</f>
      </c>
      <c r="E273" s="9214">
        <f>IF(Captura_Marimba_M01!A127="", "", Captura_Marimba_M01!A127)</f>
      </c>
      <c r="F273" s="9215">
        <f>IF(Captura_Marimba_M01!A127="", "", Captura_Marimba_M01!C127)</f>
      </c>
      <c r="G273" s="9216">
        <f>IF(Captura_Marimba_M01!A127="", "", Captura_Marimba_M01!D127)</f>
      </c>
      <c r="H273" s="9217">
        <f>IF(Captura_Marimba_M01!A127="", "", Captura_Marimba_M01!G127)</f>
      </c>
      <c r="I273" s="9218">
        <f>IF(Captura_Marimba_M01!A127="", "", SUMIFS(Captura_Obra!$F:$F, Captura_Obra!$A:$A, E273, Captura_Obra!$B:$B, F273, Captura_Obra!$D:$D, G273))</f>
      </c>
      <c r="J273" s="9219">
        <f>IF(Captura_Marimba_M01!A127="", "", H273 - I273)</f>
      </c>
      <c r="K273" s="4082"/>
    </row>
    <row r="274" spans="1:11">
      <c r="A274" s="9220">
        <f>IF(Captura_Marimba_M01!A128="", "", "Marimba")</f>
      </c>
      <c r="B274" s="9221">
        <f>IF(Captura_Marimba_M01!A128="", "", Captura_Marimba_M01!N128)</f>
      </c>
      <c r="C274" s="9222">
        <f>IF(Captura_Marimba_M01!A128="", "", IFERROR(LOOKUP(2, 1/((Captura_Obra!$A$5:$A$1000=E274)*(Captura_Obra!$B$5:$B$1000=F274)*(Captura_Obra!$D$5:$D$1000=G274)), Captura_Obra!$N$5:$N$1000), "No Reportado"))</f>
      </c>
      <c r="D274" s="9223">
        <f>IF(Captura_Marimba_M01!A128="", "", IF(J274=0, "✅ Cuadrado", IF(I274=0, "❌ Falta en Obra", "⚠️ Dif")))</f>
      </c>
      <c r="E274" s="9224">
        <f>IF(Captura_Marimba_M01!A128="", "", Captura_Marimba_M01!A128)</f>
      </c>
      <c r="F274" s="9225">
        <f>IF(Captura_Marimba_M01!A128="", "", Captura_Marimba_M01!C128)</f>
      </c>
      <c r="G274" s="9226">
        <f>IF(Captura_Marimba_M01!A128="", "", Captura_Marimba_M01!D128)</f>
      </c>
      <c r="H274" s="9227">
        <f>IF(Captura_Marimba_M01!A128="", "", Captura_Marimba_M01!G128)</f>
      </c>
      <c r="I274" s="9228">
        <f>IF(Captura_Marimba_M01!A128="", "", SUMIFS(Captura_Obra!$F:$F, Captura_Obra!$A:$A, E274, Captura_Obra!$B:$B, F274, Captura_Obra!$D:$D, G274))</f>
      </c>
      <c r="J274" s="9229">
        <f>IF(Captura_Marimba_M01!A128="", "", H274 - I274)</f>
      </c>
      <c r="K274" s="4083"/>
    </row>
    <row r="275" spans="1:11">
      <c r="A275" s="9230">
        <f>IF(Captura_Marimba_M01!A129="", "", "Marimba")</f>
      </c>
      <c r="B275" s="9231">
        <f>IF(Captura_Marimba_M01!A129="", "", Captura_Marimba_M01!N129)</f>
      </c>
      <c r="C275" s="9232">
        <f>IF(Captura_Marimba_M01!A129="", "", IFERROR(LOOKUP(2, 1/((Captura_Obra!$A$5:$A$1000=E275)*(Captura_Obra!$B$5:$B$1000=F275)*(Captura_Obra!$D$5:$D$1000=G275)), Captura_Obra!$N$5:$N$1000), "No Reportado"))</f>
      </c>
      <c r="D275" s="9233">
        <f>IF(Captura_Marimba_M01!A129="", "", IF(J275=0, "✅ Cuadrado", IF(I275=0, "❌ Falta en Obra", "⚠️ Dif")))</f>
      </c>
      <c r="E275" s="9234">
        <f>IF(Captura_Marimba_M01!A129="", "", Captura_Marimba_M01!A129)</f>
      </c>
      <c r="F275" s="9235">
        <f>IF(Captura_Marimba_M01!A129="", "", Captura_Marimba_M01!C129)</f>
      </c>
      <c r="G275" s="9236">
        <f>IF(Captura_Marimba_M01!A129="", "", Captura_Marimba_M01!D129)</f>
      </c>
      <c r="H275" s="9237">
        <f>IF(Captura_Marimba_M01!A129="", "", Captura_Marimba_M01!G129)</f>
      </c>
      <c r="I275" s="9238">
        <f>IF(Captura_Marimba_M01!A129="", "", SUMIFS(Captura_Obra!$F:$F, Captura_Obra!$A:$A, E275, Captura_Obra!$B:$B, F275, Captura_Obra!$D:$D, G275))</f>
      </c>
      <c r="J275" s="9239">
        <f>IF(Captura_Marimba_M01!A129="", "", H275 - I275)</f>
      </c>
      <c r="K275" s="4084"/>
    </row>
    <row r="276" spans="1:11">
      <c r="A276" s="9240">
        <f>IF(Captura_Marimba_M01!A130="", "", "Marimba")</f>
      </c>
      <c r="B276" s="9241">
        <f>IF(Captura_Marimba_M01!A130="", "", Captura_Marimba_M01!N130)</f>
      </c>
      <c r="C276" s="9242">
        <f>IF(Captura_Marimba_M01!A130="", "", IFERROR(LOOKUP(2, 1/((Captura_Obra!$A$5:$A$1000=E276)*(Captura_Obra!$B$5:$B$1000=F276)*(Captura_Obra!$D$5:$D$1000=G276)), Captura_Obra!$N$5:$N$1000), "No Reportado"))</f>
      </c>
      <c r="D276" s="9243">
        <f>IF(Captura_Marimba_M01!A130="", "", IF(J276=0, "✅ Cuadrado", IF(I276=0, "❌ Falta en Obra", "⚠️ Dif")))</f>
      </c>
      <c r="E276" s="9244">
        <f>IF(Captura_Marimba_M01!A130="", "", Captura_Marimba_M01!A130)</f>
      </c>
      <c r="F276" s="9245">
        <f>IF(Captura_Marimba_M01!A130="", "", Captura_Marimba_M01!C130)</f>
      </c>
      <c r="G276" s="9246">
        <f>IF(Captura_Marimba_M01!A130="", "", Captura_Marimba_M01!D130)</f>
      </c>
      <c r="H276" s="9247">
        <f>IF(Captura_Marimba_M01!A130="", "", Captura_Marimba_M01!G130)</f>
      </c>
      <c r="I276" s="9248">
        <f>IF(Captura_Marimba_M01!A130="", "", SUMIFS(Captura_Obra!$F:$F, Captura_Obra!$A:$A, E276, Captura_Obra!$B:$B, F276, Captura_Obra!$D:$D, G276))</f>
      </c>
      <c r="J276" s="9249">
        <f>IF(Captura_Marimba_M01!A130="", "", H276 - I276)</f>
      </c>
      <c r="K276" s="4085"/>
    </row>
    <row r="277" spans="1:11">
      <c r="A277" s="9250">
        <f>IF(Captura_Marimba_M01!A131="", "", "Marimba")</f>
      </c>
      <c r="B277" s="9251">
        <f>IF(Captura_Marimba_M01!A131="", "", Captura_Marimba_M01!N131)</f>
      </c>
      <c r="C277" s="9252">
        <f>IF(Captura_Marimba_M01!A131="", "", IFERROR(LOOKUP(2, 1/((Captura_Obra!$A$5:$A$1000=E277)*(Captura_Obra!$B$5:$B$1000=F277)*(Captura_Obra!$D$5:$D$1000=G277)), Captura_Obra!$N$5:$N$1000), "No Reportado"))</f>
      </c>
      <c r="D277" s="9253">
        <f>IF(Captura_Marimba_M01!A131="", "", IF(J277=0, "✅ Cuadrado", IF(I277=0, "❌ Falta en Obra", "⚠️ Dif")))</f>
      </c>
      <c r="E277" s="9254">
        <f>IF(Captura_Marimba_M01!A131="", "", Captura_Marimba_M01!A131)</f>
      </c>
      <c r="F277" s="9255">
        <f>IF(Captura_Marimba_M01!A131="", "", Captura_Marimba_M01!C131)</f>
      </c>
      <c r="G277" s="9256">
        <f>IF(Captura_Marimba_M01!A131="", "", Captura_Marimba_M01!D131)</f>
      </c>
      <c r="H277" s="9257">
        <f>IF(Captura_Marimba_M01!A131="", "", Captura_Marimba_M01!G131)</f>
      </c>
      <c r="I277" s="9258">
        <f>IF(Captura_Marimba_M01!A131="", "", SUMIFS(Captura_Obra!$F:$F, Captura_Obra!$A:$A, E277, Captura_Obra!$B:$B, F277, Captura_Obra!$D:$D, G277))</f>
      </c>
      <c r="J277" s="9259">
        <f>IF(Captura_Marimba_M01!A131="", "", H277 - I277)</f>
      </c>
      <c r="K277" s="4086"/>
    </row>
    <row r="278" spans="1:11">
      <c r="A278" s="9260">
        <f>IF(Captura_Marimba_M01!A132="", "", "Marimba")</f>
      </c>
      <c r="B278" s="9261">
        <f>IF(Captura_Marimba_M01!A132="", "", Captura_Marimba_M01!N132)</f>
      </c>
      <c r="C278" s="9262">
        <f>IF(Captura_Marimba_M01!A132="", "", IFERROR(LOOKUP(2, 1/((Captura_Obra!$A$5:$A$1000=E278)*(Captura_Obra!$B$5:$B$1000=F278)*(Captura_Obra!$D$5:$D$1000=G278)), Captura_Obra!$N$5:$N$1000), "No Reportado"))</f>
      </c>
      <c r="D278" s="9263">
        <f>IF(Captura_Marimba_M01!A132="", "", IF(J278=0, "✅ Cuadrado", IF(I278=0, "❌ Falta en Obra", "⚠️ Dif")))</f>
      </c>
      <c r="E278" s="9264">
        <f>IF(Captura_Marimba_M01!A132="", "", Captura_Marimba_M01!A132)</f>
      </c>
      <c r="F278" s="9265">
        <f>IF(Captura_Marimba_M01!A132="", "", Captura_Marimba_M01!C132)</f>
      </c>
      <c r="G278" s="9266">
        <f>IF(Captura_Marimba_M01!A132="", "", Captura_Marimba_M01!D132)</f>
      </c>
      <c r="H278" s="9267">
        <f>IF(Captura_Marimba_M01!A132="", "", Captura_Marimba_M01!G132)</f>
      </c>
      <c r="I278" s="9268">
        <f>IF(Captura_Marimba_M01!A132="", "", SUMIFS(Captura_Obra!$F:$F, Captura_Obra!$A:$A, E278, Captura_Obra!$B:$B, F278, Captura_Obra!$D:$D, G278))</f>
      </c>
      <c r="J278" s="9269">
        <f>IF(Captura_Marimba_M01!A132="", "", H278 - I278)</f>
      </c>
      <c r="K278" s="4087"/>
    </row>
    <row r="279" spans="1:11">
      <c r="A279" s="9270">
        <f>IF(Captura_Marimba_M01!A133="", "", "Marimba")</f>
      </c>
      <c r="B279" s="9271">
        <f>IF(Captura_Marimba_M01!A133="", "", Captura_Marimba_M01!N133)</f>
      </c>
      <c r="C279" s="9272">
        <f>IF(Captura_Marimba_M01!A133="", "", IFERROR(LOOKUP(2, 1/((Captura_Obra!$A$5:$A$1000=E279)*(Captura_Obra!$B$5:$B$1000=F279)*(Captura_Obra!$D$5:$D$1000=G279)), Captura_Obra!$N$5:$N$1000), "No Reportado"))</f>
      </c>
      <c r="D279" s="9273">
        <f>IF(Captura_Marimba_M01!A133="", "", IF(J279=0, "✅ Cuadrado", IF(I279=0, "❌ Falta en Obra", "⚠️ Dif")))</f>
      </c>
      <c r="E279" s="9274">
        <f>IF(Captura_Marimba_M01!A133="", "", Captura_Marimba_M01!A133)</f>
      </c>
      <c r="F279" s="9275">
        <f>IF(Captura_Marimba_M01!A133="", "", Captura_Marimba_M01!C133)</f>
      </c>
      <c r="G279" s="9276">
        <f>IF(Captura_Marimba_M01!A133="", "", Captura_Marimba_M01!D133)</f>
      </c>
      <c r="H279" s="9277">
        <f>IF(Captura_Marimba_M01!A133="", "", Captura_Marimba_M01!G133)</f>
      </c>
      <c r="I279" s="9278">
        <f>IF(Captura_Marimba_M01!A133="", "", SUMIFS(Captura_Obra!$F:$F, Captura_Obra!$A:$A, E279, Captura_Obra!$B:$B, F279, Captura_Obra!$D:$D, G279))</f>
      </c>
      <c r="J279" s="9279">
        <f>IF(Captura_Marimba_M01!A133="", "", H279 - I279)</f>
      </c>
      <c r="K279" s="4088"/>
    </row>
    <row r="280" spans="1:11">
      <c r="A280" s="9280">
        <f>IF(Captura_Marimba_M01!A134="", "", "Marimba")</f>
      </c>
      <c r="B280" s="9281">
        <f>IF(Captura_Marimba_M01!A134="", "", Captura_Marimba_M01!N134)</f>
      </c>
      <c r="C280" s="9282">
        <f>IF(Captura_Marimba_M01!A134="", "", IFERROR(LOOKUP(2, 1/((Captura_Obra!$A$5:$A$1000=E280)*(Captura_Obra!$B$5:$B$1000=F280)*(Captura_Obra!$D$5:$D$1000=G280)), Captura_Obra!$N$5:$N$1000), "No Reportado"))</f>
      </c>
      <c r="D280" s="9283">
        <f>IF(Captura_Marimba_M01!A134="", "", IF(J280=0, "✅ Cuadrado", IF(I280=0, "❌ Falta en Obra", "⚠️ Dif")))</f>
      </c>
      <c r="E280" s="9284">
        <f>IF(Captura_Marimba_M01!A134="", "", Captura_Marimba_M01!A134)</f>
      </c>
      <c r="F280" s="9285">
        <f>IF(Captura_Marimba_M01!A134="", "", Captura_Marimba_M01!C134)</f>
      </c>
      <c r="G280" s="9286">
        <f>IF(Captura_Marimba_M01!A134="", "", Captura_Marimba_M01!D134)</f>
      </c>
      <c r="H280" s="9287">
        <f>IF(Captura_Marimba_M01!A134="", "", Captura_Marimba_M01!G134)</f>
      </c>
      <c r="I280" s="9288">
        <f>IF(Captura_Marimba_M01!A134="", "", SUMIFS(Captura_Obra!$F:$F, Captura_Obra!$A:$A, E280, Captura_Obra!$B:$B, F280, Captura_Obra!$D:$D, G280))</f>
      </c>
      <c r="J280" s="9289">
        <f>IF(Captura_Marimba_M01!A134="", "", H280 - I280)</f>
      </c>
      <c r="K280" s="4089"/>
    </row>
    <row r="281" spans="1:11">
      <c r="A281" s="9290">
        <f>IF(Captura_Marimba_M01!A135="", "", "Marimba")</f>
      </c>
      <c r="B281" s="9291">
        <f>IF(Captura_Marimba_M01!A135="", "", Captura_Marimba_M01!N135)</f>
      </c>
      <c r="C281" s="9292">
        <f>IF(Captura_Marimba_M01!A135="", "", IFERROR(LOOKUP(2, 1/((Captura_Obra!$A$5:$A$1000=E281)*(Captura_Obra!$B$5:$B$1000=F281)*(Captura_Obra!$D$5:$D$1000=G281)), Captura_Obra!$N$5:$N$1000), "No Reportado"))</f>
      </c>
      <c r="D281" s="9293">
        <f>IF(Captura_Marimba_M01!A135="", "", IF(J281=0, "✅ Cuadrado", IF(I281=0, "❌ Falta en Obra", "⚠️ Dif")))</f>
      </c>
      <c r="E281" s="9294">
        <f>IF(Captura_Marimba_M01!A135="", "", Captura_Marimba_M01!A135)</f>
      </c>
      <c r="F281" s="9295">
        <f>IF(Captura_Marimba_M01!A135="", "", Captura_Marimba_M01!C135)</f>
      </c>
      <c r="G281" s="9296">
        <f>IF(Captura_Marimba_M01!A135="", "", Captura_Marimba_M01!D135)</f>
      </c>
      <c r="H281" s="9297">
        <f>IF(Captura_Marimba_M01!A135="", "", Captura_Marimba_M01!G135)</f>
      </c>
      <c r="I281" s="9298">
        <f>IF(Captura_Marimba_M01!A135="", "", SUMIFS(Captura_Obra!$F:$F, Captura_Obra!$A:$A, E281, Captura_Obra!$B:$B, F281, Captura_Obra!$D:$D, G281))</f>
      </c>
      <c r="J281" s="9299">
        <f>IF(Captura_Marimba_M01!A135="", "", H281 - I281)</f>
      </c>
      <c r="K281" s="4090"/>
    </row>
    <row r="282" spans="1:11">
      <c r="A282" s="9300">
        <f>IF(Captura_Marimba_M01!A136="", "", "Marimba")</f>
      </c>
      <c r="B282" s="9301">
        <f>IF(Captura_Marimba_M01!A136="", "", Captura_Marimba_M01!N136)</f>
      </c>
      <c r="C282" s="9302">
        <f>IF(Captura_Marimba_M01!A136="", "", IFERROR(LOOKUP(2, 1/((Captura_Obra!$A$5:$A$1000=E282)*(Captura_Obra!$B$5:$B$1000=F282)*(Captura_Obra!$D$5:$D$1000=G282)), Captura_Obra!$N$5:$N$1000), "No Reportado"))</f>
      </c>
      <c r="D282" s="9303">
        <f>IF(Captura_Marimba_M01!A136="", "", IF(J282=0, "✅ Cuadrado", IF(I282=0, "❌ Falta en Obra", "⚠️ Dif")))</f>
      </c>
      <c r="E282" s="9304">
        <f>IF(Captura_Marimba_M01!A136="", "", Captura_Marimba_M01!A136)</f>
      </c>
      <c r="F282" s="9305">
        <f>IF(Captura_Marimba_M01!A136="", "", Captura_Marimba_M01!C136)</f>
      </c>
      <c r="G282" s="9306">
        <f>IF(Captura_Marimba_M01!A136="", "", Captura_Marimba_M01!D136)</f>
      </c>
      <c r="H282" s="9307">
        <f>IF(Captura_Marimba_M01!A136="", "", Captura_Marimba_M01!G136)</f>
      </c>
      <c r="I282" s="9308">
        <f>IF(Captura_Marimba_M01!A136="", "", SUMIFS(Captura_Obra!$F:$F, Captura_Obra!$A:$A, E282, Captura_Obra!$B:$B, F282, Captura_Obra!$D:$D, G282))</f>
      </c>
      <c r="J282" s="9309">
        <f>IF(Captura_Marimba_M01!A136="", "", H282 - I282)</f>
      </c>
      <c r="K282" s="4091"/>
    </row>
    <row r="283" spans="1:11">
      <c r="A283" s="9310">
        <f>IF(Captura_Marimba_M01!A137="", "", "Marimba")</f>
      </c>
      <c r="B283" s="9311">
        <f>IF(Captura_Marimba_M01!A137="", "", Captura_Marimba_M01!N137)</f>
      </c>
      <c r="C283" s="9312">
        <f>IF(Captura_Marimba_M01!A137="", "", IFERROR(LOOKUP(2, 1/((Captura_Obra!$A$5:$A$1000=E283)*(Captura_Obra!$B$5:$B$1000=F283)*(Captura_Obra!$D$5:$D$1000=G283)), Captura_Obra!$N$5:$N$1000), "No Reportado"))</f>
      </c>
      <c r="D283" s="9313">
        <f>IF(Captura_Marimba_M01!A137="", "", IF(J283=0, "✅ Cuadrado", IF(I283=0, "❌ Falta en Obra", "⚠️ Dif")))</f>
      </c>
      <c r="E283" s="9314">
        <f>IF(Captura_Marimba_M01!A137="", "", Captura_Marimba_M01!A137)</f>
      </c>
      <c r="F283" s="9315">
        <f>IF(Captura_Marimba_M01!A137="", "", Captura_Marimba_M01!C137)</f>
      </c>
      <c r="G283" s="9316">
        <f>IF(Captura_Marimba_M01!A137="", "", Captura_Marimba_M01!D137)</f>
      </c>
      <c r="H283" s="9317">
        <f>IF(Captura_Marimba_M01!A137="", "", Captura_Marimba_M01!G137)</f>
      </c>
      <c r="I283" s="9318">
        <f>IF(Captura_Marimba_M01!A137="", "", SUMIFS(Captura_Obra!$F:$F, Captura_Obra!$A:$A, E283, Captura_Obra!$B:$B, F283, Captura_Obra!$D:$D, G283))</f>
      </c>
      <c r="J283" s="9319">
        <f>IF(Captura_Marimba_M01!A137="", "", H283 - I283)</f>
      </c>
      <c r="K283" s="4092"/>
    </row>
    <row r="284" spans="1:11">
      <c r="A284" s="9320">
        <f>IF(Captura_Marimba_M01!A138="", "", "Marimba")</f>
      </c>
      <c r="B284" s="9321">
        <f>IF(Captura_Marimba_M01!A138="", "", Captura_Marimba_M01!N138)</f>
      </c>
      <c r="C284" s="9322">
        <f>IF(Captura_Marimba_M01!A138="", "", IFERROR(LOOKUP(2, 1/((Captura_Obra!$A$5:$A$1000=E284)*(Captura_Obra!$B$5:$B$1000=F284)*(Captura_Obra!$D$5:$D$1000=G284)), Captura_Obra!$N$5:$N$1000), "No Reportado"))</f>
      </c>
      <c r="D284" s="9323">
        <f>IF(Captura_Marimba_M01!A138="", "", IF(J284=0, "✅ Cuadrado", IF(I284=0, "❌ Falta en Obra", "⚠️ Dif")))</f>
      </c>
      <c r="E284" s="9324">
        <f>IF(Captura_Marimba_M01!A138="", "", Captura_Marimba_M01!A138)</f>
      </c>
      <c r="F284" s="9325">
        <f>IF(Captura_Marimba_M01!A138="", "", Captura_Marimba_M01!C138)</f>
      </c>
      <c r="G284" s="9326">
        <f>IF(Captura_Marimba_M01!A138="", "", Captura_Marimba_M01!D138)</f>
      </c>
      <c r="H284" s="9327">
        <f>IF(Captura_Marimba_M01!A138="", "", Captura_Marimba_M01!G138)</f>
      </c>
      <c r="I284" s="9328">
        <f>IF(Captura_Marimba_M01!A138="", "", SUMIFS(Captura_Obra!$F:$F, Captura_Obra!$A:$A, E284, Captura_Obra!$B:$B, F284, Captura_Obra!$D:$D, G284))</f>
      </c>
      <c r="J284" s="9329">
        <f>IF(Captura_Marimba_M01!A138="", "", H284 - I284)</f>
      </c>
      <c r="K284" s="4093"/>
    </row>
    <row r="285" spans="1:11">
      <c r="A285" s="9330">
        <f>IF(Captura_Marimba_M01!A139="", "", "Marimba")</f>
      </c>
      <c r="B285" s="9331">
        <f>IF(Captura_Marimba_M01!A139="", "", Captura_Marimba_M01!N139)</f>
      </c>
      <c r="C285" s="9332">
        <f>IF(Captura_Marimba_M01!A139="", "", IFERROR(LOOKUP(2, 1/((Captura_Obra!$A$5:$A$1000=E285)*(Captura_Obra!$B$5:$B$1000=F285)*(Captura_Obra!$D$5:$D$1000=G285)), Captura_Obra!$N$5:$N$1000), "No Reportado"))</f>
      </c>
      <c r="D285" s="9333">
        <f>IF(Captura_Marimba_M01!A139="", "", IF(J285=0, "✅ Cuadrado", IF(I285=0, "❌ Falta en Obra", "⚠️ Dif")))</f>
      </c>
      <c r="E285" s="9334">
        <f>IF(Captura_Marimba_M01!A139="", "", Captura_Marimba_M01!A139)</f>
      </c>
      <c r="F285" s="9335">
        <f>IF(Captura_Marimba_M01!A139="", "", Captura_Marimba_M01!C139)</f>
      </c>
      <c r="G285" s="9336">
        <f>IF(Captura_Marimba_M01!A139="", "", Captura_Marimba_M01!D139)</f>
      </c>
      <c r="H285" s="9337">
        <f>IF(Captura_Marimba_M01!A139="", "", Captura_Marimba_M01!G139)</f>
      </c>
      <c r="I285" s="9338">
        <f>IF(Captura_Marimba_M01!A139="", "", SUMIFS(Captura_Obra!$F:$F, Captura_Obra!$A:$A, E285, Captura_Obra!$B:$B, F285, Captura_Obra!$D:$D, G285))</f>
      </c>
      <c r="J285" s="9339">
        <f>IF(Captura_Marimba_M01!A139="", "", H285 - I285)</f>
      </c>
      <c r="K285" s="4094"/>
    </row>
    <row r="286" spans="1:11">
      <c r="A286" s="9340">
        <f>IF(Captura_Marimba_M01!A140="", "", "Marimba")</f>
      </c>
      <c r="B286" s="9341">
        <f>IF(Captura_Marimba_M01!A140="", "", Captura_Marimba_M01!N140)</f>
      </c>
      <c r="C286" s="9342">
        <f>IF(Captura_Marimba_M01!A140="", "", IFERROR(LOOKUP(2, 1/((Captura_Obra!$A$5:$A$1000=E286)*(Captura_Obra!$B$5:$B$1000=F286)*(Captura_Obra!$D$5:$D$1000=G286)), Captura_Obra!$N$5:$N$1000), "No Reportado"))</f>
      </c>
      <c r="D286" s="9343">
        <f>IF(Captura_Marimba_M01!A140="", "", IF(J286=0, "✅ Cuadrado", IF(I286=0, "❌ Falta en Obra", "⚠️ Dif")))</f>
      </c>
      <c r="E286" s="9344">
        <f>IF(Captura_Marimba_M01!A140="", "", Captura_Marimba_M01!A140)</f>
      </c>
      <c r="F286" s="9345">
        <f>IF(Captura_Marimba_M01!A140="", "", Captura_Marimba_M01!C140)</f>
      </c>
      <c r="G286" s="9346">
        <f>IF(Captura_Marimba_M01!A140="", "", Captura_Marimba_M01!D140)</f>
      </c>
      <c r="H286" s="9347">
        <f>IF(Captura_Marimba_M01!A140="", "", Captura_Marimba_M01!G140)</f>
      </c>
      <c r="I286" s="9348">
        <f>IF(Captura_Marimba_M01!A140="", "", SUMIFS(Captura_Obra!$F:$F, Captura_Obra!$A:$A, E286, Captura_Obra!$B:$B, F286, Captura_Obra!$D:$D, G286))</f>
      </c>
      <c r="J286" s="9349">
        <f>IF(Captura_Marimba_M01!A140="", "", H286 - I286)</f>
      </c>
      <c r="K286" s="4095"/>
    </row>
    <row r="287" spans="1:11">
      <c r="A287" s="9350">
        <f>IF(Captura_Marimba_M01!A141="", "", "Marimba")</f>
      </c>
      <c r="B287" s="9351">
        <f>IF(Captura_Marimba_M01!A141="", "", Captura_Marimba_M01!N141)</f>
      </c>
      <c r="C287" s="9352">
        <f>IF(Captura_Marimba_M01!A141="", "", IFERROR(LOOKUP(2, 1/((Captura_Obra!$A$5:$A$1000=E287)*(Captura_Obra!$B$5:$B$1000=F287)*(Captura_Obra!$D$5:$D$1000=G287)), Captura_Obra!$N$5:$N$1000), "No Reportado"))</f>
      </c>
      <c r="D287" s="9353">
        <f>IF(Captura_Marimba_M01!A141="", "", IF(J287=0, "✅ Cuadrado", IF(I287=0, "❌ Falta en Obra", "⚠️ Dif")))</f>
      </c>
      <c r="E287" s="9354">
        <f>IF(Captura_Marimba_M01!A141="", "", Captura_Marimba_M01!A141)</f>
      </c>
      <c r="F287" s="9355">
        <f>IF(Captura_Marimba_M01!A141="", "", Captura_Marimba_M01!C141)</f>
      </c>
      <c r="G287" s="9356">
        <f>IF(Captura_Marimba_M01!A141="", "", Captura_Marimba_M01!D141)</f>
      </c>
      <c r="H287" s="9357">
        <f>IF(Captura_Marimba_M01!A141="", "", Captura_Marimba_M01!G141)</f>
      </c>
      <c r="I287" s="9358">
        <f>IF(Captura_Marimba_M01!A141="", "", SUMIFS(Captura_Obra!$F:$F, Captura_Obra!$A:$A, E287, Captura_Obra!$B:$B, F287, Captura_Obra!$D:$D, G287))</f>
      </c>
      <c r="J287" s="9359">
        <f>IF(Captura_Marimba_M01!A141="", "", H287 - I287)</f>
      </c>
      <c r="K287" s="4096"/>
    </row>
    <row r="288" spans="1:11">
      <c r="A288" s="9360">
        <f>IF(Captura_Marimba_M01!A142="", "", "Marimba")</f>
      </c>
      <c r="B288" s="9361">
        <f>IF(Captura_Marimba_M01!A142="", "", Captura_Marimba_M01!N142)</f>
      </c>
      <c r="C288" s="9362">
        <f>IF(Captura_Marimba_M01!A142="", "", IFERROR(LOOKUP(2, 1/((Captura_Obra!$A$5:$A$1000=E288)*(Captura_Obra!$B$5:$B$1000=F288)*(Captura_Obra!$D$5:$D$1000=G288)), Captura_Obra!$N$5:$N$1000), "No Reportado"))</f>
      </c>
      <c r="D288" s="9363">
        <f>IF(Captura_Marimba_M01!A142="", "", IF(J288=0, "✅ Cuadrado", IF(I288=0, "❌ Falta en Obra", "⚠️ Dif")))</f>
      </c>
      <c r="E288" s="9364">
        <f>IF(Captura_Marimba_M01!A142="", "", Captura_Marimba_M01!A142)</f>
      </c>
      <c r="F288" s="9365">
        <f>IF(Captura_Marimba_M01!A142="", "", Captura_Marimba_M01!C142)</f>
      </c>
      <c r="G288" s="9366">
        <f>IF(Captura_Marimba_M01!A142="", "", Captura_Marimba_M01!D142)</f>
      </c>
      <c r="H288" s="9367">
        <f>IF(Captura_Marimba_M01!A142="", "", Captura_Marimba_M01!G142)</f>
      </c>
      <c r="I288" s="9368">
        <f>IF(Captura_Marimba_M01!A142="", "", SUMIFS(Captura_Obra!$F:$F, Captura_Obra!$A:$A, E288, Captura_Obra!$B:$B, F288, Captura_Obra!$D:$D, G288))</f>
      </c>
      <c r="J288" s="9369">
        <f>IF(Captura_Marimba_M01!A142="", "", H288 - I288)</f>
      </c>
      <c r="K288" s="4097"/>
    </row>
    <row r="289" spans="1:11">
      <c r="A289" s="9370">
        <f>IF(Captura_Marimba_M01!A143="", "", "Marimba")</f>
      </c>
      <c r="B289" s="9371">
        <f>IF(Captura_Marimba_M01!A143="", "", Captura_Marimba_M01!N143)</f>
      </c>
      <c r="C289" s="9372">
        <f>IF(Captura_Marimba_M01!A143="", "", IFERROR(LOOKUP(2, 1/((Captura_Obra!$A$5:$A$1000=E289)*(Captura_Obra!$B$5:$B$1000=F289)*(Captura_Obra!$D$5:$D$1000=G289)), Captura_Obra!$N$5:$N$1000), "No Reportado"))</f>
      </c>
      <c r="D289" s="9373">
        <f>IF(Captura_Marimba_M01!A143="", "", IF(J289=0, "✅ Cuadrado", IF(I289=0, "❌ Falta en Obra", "⚠️ Dif")))</f>
      </c>
      <c r="E289" s="9374">
        <f>IF(Captura_Marimba_M01!A143="", "", Captura_Marimba_M01!A143)</f>
      </c>
      <c r="F289" s="9375">
        <f>IF(Captura_Marimba_M01!A143="", "", Captura_Marimba_M01!C143)</f>
      </c>
      <c r="G289" s="9376">
        <f>IF(Captura_Marimba_M01!A143="", "", Captura_Marimba_M01!D143)</f>
      </c>
      <c r="H289" s="9377">
        <f>IF(Captura_Marimba_M01!A143="", "", Captura_Marimba_M01!G143)</f>
      </c>
      <c r="I289" s="9378">
        <f>IF(Captura_Marimba_M01!A143="", "", SUMIFS(Captura_Obra!$F:$F, Captura_Obra!$A:$A, E289, Captura_Obra!$B:$B, F289, Captura_Obra!$D:$D, G289))</f>
      </c>
      <c r="J289" s="9379">
        <f>IF(Captura_Marimba_M01!A143="", "", H289 - I289)</f>
      </c>
      <c r="K289" s="4098"/>
    </row>
    <row r="290" spans="1:11">
      <c r="A290" s="9380">
        <f>IF(Captura_Marimba_M01!A144="", "", "Marimba")</f>
      </c>
      <c r="B290" s="9381">
        <f>IF(Captura_Marimba_M01!A144="", "", Captura_Marimba_M01!N144)</f>
      </c>
      <c r="C290" s="9382">
        <f>IF(Captura_Marimba_M01!A144="", "", IFERROR(LOOKUP(2, 1/((Captura_Obra!$A$5:$A$1000=E290)*(Captura_Obra!$B$5:$B$1000=F290)*(Captura_Obra!$D$5:$D$1000=G290)), Captura_Obra!$N$5:$N$1000), "No Reportado"))</f>
      </c>
      <c r="D290" s="9383">
        <f>IF(Captura_Marimba_M01!A144="", "", IF(J290=0, "✅ Cuadrado", IF(I290=0, "❌ Falta en Obra", "⚠️ Dif")))</f>
      </c>
      <c r="E290" s="9384">
        <f>IF(Captura_Marimba_M01!A144="", "", Captura_Marimba_M01!A144)</f>
      </c>
      <c r="F290" s="9385">
        <f>IF(Captura_Marimba_M01!A144="", "", Captura_Marimba_M01!C144)</f>
      </c>
      <c r="G290" s="9386">
        <f>IF(Captura_Marimba_M01!A144="", "", Captura_Marimba_M01!D144)</f>
      </c>
      <c r="H290" s="9387">
        <f>IF(Captura_Marimba_M01!A144="", "", Captura_Marimba_M01!G144)</f>
      </c>
      <c r="I290" s="9388">
        <f>IF(Captura_Marimba_M01!A144="", "", SUMIFS(Captura_Obra!$F:$F, Captura_Obra!$A:$A, E290, Captura_Obra!$B:$B, F290, Captura_Obra!$D:$D, G290))</f>
      </c>
      <c r="J290" s="9389">
        <f>IF(Captura_Marimba_M01!A144="", "", H290 - I290)</f>
      </c>
      <c r="K290" s="4099"/>
    </row>
    <row r="291" spans="1:11">
      <c r="A291" s="9390">
        <f>IF(Captura_Marimba_M01!A145="", "", "Marimba")</f>
      </c>
      <c r="B291" s="9391">
        <f>IF(Captura_Marimba_M01!A145="", "", Captura_Marimba_M01!N145)</f>
      </c>
      <c r="C291" s="9392">
        <f>IF(Captura_Marimba_M01!A145="", "", IFERROR(LOOKUP(2, 1/((Captura_Obra!$A$5:$A$1000=E291)*(Captura_Obra!$B$5:$B$1000=F291)*(Captura_Obra!$D$5:$D$1000=G291)), Captura_Obra!$N$5:$N$1000), "No Reportado"))</f>
      </c>
      <c r="D291" s="9393">
        <f>IF(Captura_Marimba_M01!A145="", "", IF(J291=0, "✅ Cuadrado", IF(I291=0, "❌ Falta en Obra", "⚠️ Dif")))</f>
      </c>
      <c r="E291" s="9394">
        <f>IF(Captura_Marimba_M01!A145="", "", Captura_Marimba_M01!A145)</f>
      </c>
      <c r="F291" s="9395">
        <f>IF(Captura_Marimba_M01!A145="", "", Captura_Marimba_M01!C145)</f>
      </c>
      <c r="G291" s="9396">
        <f>IF(Captura_Marimba_M01!A145="", "", Captura_Marimba_M01!D145)</f>
      </c>
      <c r="H291" s="9397">
        <f>IF(Captura_Marimba_M01!A145="", "", Captura_Marimba_M01!G145)</f>
      </c>
      <c r="I291" s="9398">
        <f>IF(Captura_Marimba_M01!A145="", "", SUMIFS(Captura_Obra!$F:$F, Captura_Obra!$A:$A, E291, Captura_Obra!$B:$B, F291, Captura_Obra!$D:$D, G291))</f>
      </c>
      <c r="J291" s="9399">
        <f>IF(Captura_Marimba_M01!A145="", "", H291 - I291)</f>
      </c>
      <c r="K291" s="4100"/>
    </row>
    <row r="292" spans="1:11">
      <c r="A292" s="9400">
        <f>IF(Captura_Marimba_M01!A146="", "", "Marimba")</f>
      </c>
      <c r="B292" s="9401">
        <f>IF(Captura_Marimba_M01!A146="", "", Captura_Marimba_M01!N146)</f>
      </c>
      <c r="C292" s="9402">
        <f>IF(Captura_Marimba_M01!A146="", "", IFERROR(LOOKUP(2, 1/((Captura_Obra!$A$5:$A$1000=E292)*(Captura_Obra!$B$5:$B$1000=F292)*(Captura_Obra!$D$5:$D$1000=G292)), Captura_Obra!$N$5:$N$1000), "No Reportado"))</f>
      </c>
      <c r="D292" s="9403">
        <f>IF(Captura_Marimba_M01!A146="", "", IF(J292=0, "✅ Cuadrado", IF(I292=0, "❌ Falta en Obra", "⚠️ Dif")))</f>
      </c>
      <c r="E292" s="9404">
        <f>IF(Captura_Marimba_M01!A146="", "", Captura_Marimba_M01!A146)</f>
      </c>
      <c r="F292" s="9405">
        <f>IF(Captura_Marimba_M01!A146="", "", Captura_Marimba_M01!C146)</f>
      </c>
      <c r="G292" s="9406">
        <f>IF(Captura_Marimba_M01!A146="", "", Captura_Marimba_M01!D146)</f>
      </c>
      <c r="H292" s="9407">
        <f>IF(Captura_Marimba_M01!A146="", "", Captura_Marimba_M01!G146)</f>
      </c>
      <c r="I292" s="9408">
        <f>IF(Captura_Marimba_M01!A146="", "", SUMIFS(Captura_Obra!$F:$F, Captura_Obra!$A:$A, E292, Captura_Obra!$B:$B, F292, Captura_Obra!$D:$D, G292))</f>
      </c>
      <c r="J292" s="9409">
        <f>IF(Captura_Marimba_M01!A146="", "", H292 - I292)</f>
      </c>
      <c r="K292" s="4101"/>
    </row>
    <row r="293" spans="1:11">
      <c r="A293" s="9410">
        <f>IF(Captura_Marimba_M01!A147="", "", "Marimba")</f>
      </c>
      <c r="B293" s="9411">
        <f>IF(Captura_Marimba_M01!A147="", "", Captura_Marimba_M01!N147)</f>
      </c>
      <c r="C293" s="9412">
        <f>IF(Captura_Marimba_M01!A147="", "", IFERROR(LOOKUP(2, 1/((Captura_Obra!$A$5:$A$1000=E293)*(Captura_Obra!$B$5:$B$1000=F293)*(Captura_Obra!$D$5:$D$1000=G293)), Captura_Obra!$N$5:$N$1000), "No Reportado"))</f>
      </c>
      <c r="D293" s="9413">
        <f>IF(Captura_Marimba_M01!A147="", "", IF(J293=0, "✅ Cuadrado", IF(I293=0, "❌ Falta en Obra", "⚠️ Dif")))</f>
      </c>
      <c r="E293" s="9414">
        <f>IF(Captura_Marimba_M01!A147="", "", Captura_Marimba_M01!A147)</f>
      </c>
      <c r="F293" s="9415">
        <f>IF(Captura_Marimba_M01!A147="", "", Captura_Marimba_M01!C147)</f>
      </c>
      <c r="G293" s="9416">
        <f>IF(Captura_Marimba_M01!A147="", "", Captura_Marimba_M01!D147)</f>
      </c>
      <c r="H293" s="9417">
        <f>IF(Captura_Marimba_M01!A147="", "", Captura_Marimba_M01!G147)</f>
      </c>
      <c r="I293" s="9418">
        <f>IF(Captura_Marimba_M01!A147="", "", SUMIFS(Captura_Obra!$F:$F, Captura_Obra!$A:$A, E293, Captura_Obra!$B:$B, F293, Captura_Obra!$D:$D, G293))</f>
      </c>
      <c r="J293" s="9419">
        <f>IF(Captura_Marimba_M01!A147="", "", H293 - I293)</f>
      </c>
      <c r="K293" s="4102"/>
    </row>
    <row r="294" spans="1:11">
      <c r="A294" s="9420">
        <f>IF(Captura_Marimba_M01!A148="", "", "Marimba")</f>
      </c>
      <c r="B294" s="9421">
        <f>IF(Captura_Marimba_M01!A148="", "", Captura_Marimba_M01!N148)</f>
      </c>
      <c r="C294" s="9422">
        <f>IF(Captura_Marimba_M01!A148="", "", IFERROR(LOOKUP(2, 1/((Captura_Obra!$A$5:$A$1000=E294)*(Captura_Obra!$B$5:$B$1000=F294)*(Captura_Obra!$D$5:$D$1000=G294)), Captura_Obra!$N$5:$N$1000), "No Reportado"))</f>
      </c>
      <c r="D294" s="9423">
        <f>IF(Captura_Marimba_M01!A148="", "", IF(J294=0, "✅ Cuadrado", IF(I294=0, "❌ Falta en Obra", "⚠️ Dif")))</f>
      </c>
      <c r="E294" s="9424">
        <f>IF(Captura_Marimba_M01!A148="", "", Captura_Marimba_M01!A148)</f>
      </c>
      <c r="F294" s="9425">
        <f>IF(Captura_Marimba_M01!A148="", "", Captura_Marimba_M01!C148)</f>
      </c>
      <c r="G294" s="9426">
        <f>IF(Captura_Marimba_M01!A148="", "", Captura_Marimba_M01!D148)</f>
      </c>
      <c r="H294" s="9427">
        <f>IF(Captura_Marimba_M01!A148="", "", Captura_Marimba_M01!G148)</f>
      </c>
      <c r="I294" s="9428">
        <f>IF(Captura_Marimba_M01!A148="", "", SUMIFS(Captura_Obra!$F:$F, Captura_Obra!$A:$A, E294, Captura_Obra!$B:$B, F294, Captura_Obra!$D:$D, G294))</f>
      </c>
      <c r="J294" s="9429">
        <f>IF(Captura_Marimba_M01!A148="", "", H294 - I294)</f>
      </c>
      <c r="K294" s="4103"/>
    </row>
    <row r="295" spans="1:11">
      <c r="A295" s="9430">
        <f>IF(Captura_Marimba_M01!A149="", "", "Marimba")</f>
      </c>
      <c r="B295" s="9431">
        <f>IF(Captura_Marimba_M01!A149="", "", Captura_Marimba_M01!N149)</f>
      </c>
      <c r="C295" s="9432">
        <f>IF(Captura_Marimba_M01!A149="", "", IFERROR(LOOKUP(2, 1/((Captura_Obra!$A$5:$A$1000=E295)*(Captura_Obra!$B$5:$B$1000=F295)*(Captura_Obra!$D$5:$D$1000=G295)), Captura_Obra!$N$5:$N$1000), "No Reportado"))</f>
      </c>
      <c r="D295" s="9433">
        <f>IF(Captura_Marimba_M01!A149="", "", IF(J295=0, "✅ Cuadrado", IF(I295=0, "❌ Falta en Obra", "⚠️ Dif")))</f>
      </c>
      <c r="E295" s="9434">
        <f>IF(Captura_Marimba_M01!A149="", "", Captura_Marimba_M01!A149)</f>
      </c>
      <c r="F295" s="9435">
        <f>IF(Captura_Marimba_M01!A149="", "", Captura_Marimba_M01!C149)</f>
      </c>
      <c r="G295" s="9436">
        <f>IF(Captura_Marimba_M01!A149="", "", Captura_Marimba_M01!D149)</f>
      </c>
      <c r="H295" s="9437">
        <f>IF(Captura_Marimba_M01!A149="", "", Captura_Marimba_M01!G149)</f>
      </c>
      <c r="I295" s="9438">
        <f>IF(Captura_Marimba_M01!A149="", "", SUMIFS(Captura_Obra!$F:$F, Captura_Obra!$A:$A, E295, Captura_Obra!$B:$B, F295, Captura_Obra!$D:$D, G295))</f>
      </c>
      <c r="J295" s="9439">
        <f>IF(Captura_Marimba_M01!A149="", "", H295 - I295)</f>
      </c>
      <c r="K295" s="4104"/>
    </row>
    <row r="296" spans="1:11">
      <c r="A296" s="9440">
        <f>IF(Captura_Marimba_M01!A150="", "", "Marimba")</f>
      </c>
      <c r="B296" s="9441">
        <f>IF(Captura_Marimba_M01!A150="", "", Captura_Marimba_M01!N150)</f>
      </c>
      <c r="C296" s="9442">
        <f>IF(Captura_Marimba_M01!A150="", "", IFERROR(LOOKUP(2, 1/((Captura_Obra!$A$5:$A$1000=E296)*(Captura_Obra!$B$5:$B$1000=F296)*(Captura_Obra!$D$5:$D$1000=G296)), Captura_Obra!$N$5:$N$1000), "No Reportado"))</f>
      </c>
      <c r="D296" s="9443">
        <f>IF(Captura_Marimba_M01!A150="", "", IF(J296=0, "✅ Cuadrado", IF(I296=0, "❌ Falta en Obra", "⚠️ Dif")))</f>
      </c>
      <c r="E296" s="9444">
        <f>IF(Captura_Marimba_M01!A150="", "", Captura_Marimba_M01!A150)</f>
      </c>
      <c r="F296" s="9445">
        <f>IF(Captura_Marimba_M01!A150="", "", Captura_Marimba_M01!C150)</f>
      </c>
      <c r="G296" s="9446">
        <f>IF(Captura_Marimba_M01!A150="", "", Captura_Marimba_M01!D150)</f>
      </c>
      <c r="H296" s="9447">
        <f>IF(Captura_Marimba_M01!A150="", "", Captura_Marimba_M01!G150)</f>
      </c>
      <c r="I296" s="9448">
        <f>IF(Captura_Marimba_M01!A150="", "", SUMIFS(Captura_Obra!$F:$F, Captura_Obra!$A:$A, E296, Captura_Obra!$B:$B, F296, Captura_Obra!$D:$D, G296))</f>
      </c>
      <c r="J296" s="9449">
        <f>IF(Captura_Marimba_M01!A150="", "", H296 - I296)</f>
      </c>
      <c r="K296" s="4105"/>
    </row>
    <row r="297" spans="1:11">
      <c r="A297" s="9450">
        <f>IF(Captura_Marimba_M01!A151="", "", "Marimba")</f>
      </c>
      <c r="B297" s="9451">
        <f>IF(Captura_Marimba_M01!A151="", "", Captura_Marimba_M01!N151)</f>
      </c>
      <c r="C297" s="9452">
        <f>IF(Captura_Marimba_M01!A151="", "", IFERROR(LOOKUP(2, 1/((Captura_Obra!$A$5:$A$1000=E297)*(Captura_Obra!$B$5:$B$1000=F297)*(Captura_Obra!$D$5:$D$1000=G297)), Captura_Obra!$N$5:$N$1000), "No Reportado"))</f>
      </c>
      <c r="D297" s="9453">
        <f>IF(Captura_Marimba_M01!A151="", "", IF(J297=0, "✅ Cuadrado", IF(I297=0, "❌ Falta en Obra", "⚠️ Dif")))</f>
      </c>
      <c r="E297" s="9454">
        <f>IF(Captura_Marimba_M01!A151="", "", Captura_Marimba_M01!A151)</f>
      </c>
      <c r="F297" s="9455">
        <f>IF(Captura_Marimba_M01!A151="", "", Captura_Marimba_M01!C151)</f>
      </c>
      <c r="G297" s="9456">
        <f>IF(Captura_Marimba_M01!A151="", "", Captura_Marimba_M01!D151)</f>
      </c>
      <c r="H297" s="9457">
        <f>IF(Captura_Marimba_M01!A151="", "", Captura_Marimba_M01!G151)</f>
      </c>
      <c r="I297" s="9458">
        <f>IF(Captura_Marimba_M01!A151="", "", SUMIFS(Captura_Obra!$F:$F, Captura_Obra!$A:$A, E297, Captura_Obra!$B:$B, F297, Captura_Obra!$D:$D, G297))</f>
      </c>
      <c r="J297" s="9459">
        <f>IF(Captura_Marimba_M01!A151="", "", H297 - I297)</f>
      </c>
      <c r="K297" s="4106"/>
    </row>
    <row r="298" spans="1:11">
      <c r="A298" s="9460">
        <f>IF(Captura_Marimba_M01!A152="", "", "Marimba")</f>
      </c>
      <c r="B298" s="9461">
        <f>IF(Captura_Marimba_M01!A152="", "", Captura_Marimba_M01!N152)</f>
      </c>
      <c r="C298" s="9462">
        <f>IF(Captura_Marimba_M01!A152="", "", IFERROR(LOOKUP(2, 1/((Captura_Obra!$A$5:$A$1000=E298)*(Captura_Obra!$B$5:$B$1000=F298)*(Captura_Obra!$D$5:$D$1000=G298)), Captura_Obra!$N$5:$N$1000), "No Reportado"))</f>
      </c>
      <c r="D298" s="9463">
        <f>IF(Captura_Marimba_M01!A152="", "", IF(J298=0, "✅ Cuadrado", IF(I298=0, "❌ Falta en Obra", "⚠️ Dif")))</f>
      </c>
      <c r="E298" s="9464">
        <f>IF(Captura_Marimba_M01!A152="", "", Captura_Marimba_M01!A152)</f>
      </c>
      <c r="F298" s="9465">
        <f>IF(Captura_Marimba_M01!A152="", "", Captura_Marimba_M01!C152)</f>
      </c>
      <c r="G298" s="9466">
        <f>IF(Captura_Marimba_M01!A152="", "", Captura_Marimba_M01!D152)</f>
      </c>
      <c r="H298" s="9467">
        <f>IF(Captura_Marimba_M01!A152="", "", Captura_Marimba_M01!G152)</f>
      </c>
      <c r="I298" s="9468">
        <f>IF(Captura_Marimba_M01!A152="", "", SUMIFS(Captura_Obra!$F:$F, Captura_Obra!$A:$A, E298, Captura_Obra!$B:$B, F298, Captura_Obra!$D:$D, G298))</f>
      </c>
      <c r="J298" s="9469">
        <f>IF(Captura_Marimba_M01!A152="", "", H298 - I298)</f>
      </c>
      <c r="K298" s="4107"/>
    </row>
    <row r="299" spans="1:11">
      <c r="A299" s="9470">
        <f>IF(Captura_Marimba_M01!A153="", "", "Marimba")</f>
      </c>
      <c r="B299" s="9471">
        <f>IF(Captura_Marimba_M01!A153="", "", Captura_Marimba_M01!N153)</f>
      </c>
      <c r="C299" s="9472">
        <f>IF(Captura_Marimba_M01!A153="", "", IFERROR(LOOKUP(2, 1/((Captura_Obra!$A$5:$A$1000=E299)*(Captura_Obra!$B$5:$B$1000=F299)*(Captura_Obra!$D$5:$D$1000=G299)), Captura_Obra!$N$5:$N$1000), "No Reportado"))</f>
      </c>
      <c r="D299" s="9473">
        <f>IF(Captura_Marimba_M01!A153="", "", IF(J299=0, "✅ Cuadrado", IF(I299=0, "❌ Falta en Obra", "⚠️ Dif")))</f>
      </c>
      <c r="E299" s="9474">
        <f>IF(Captura_Marimba_M01!A153="", "", Captura_Marimba_M01!A153)</f>
      </c>
      <c r="F299" s="9475">
        <f>IF(Captura_Marimba_M01!A153="", "", Captura_Marimba_M01!C153)</f>
      </c>
      <c r="G299" s="9476">
        <f>IF(Captura_Marimba_M01!A153="", "", Captura_Marimba_M01!D153)</f>
      </c>
      <c r="H299" s="9477">
        <f>IF(Captura_Marimba_M01!A153="", "", Captura_Marimba_M01!G153)</f>
      </c>
      <c r="I299" s="9478">
        <f>IF(Captura_Marimba_M01!A153="", "", SUMIFS(Captura_Obra!$F:$F, Captura_Obra!$A:$A, E299, Captura_Obra!$B:$B, F299, Captura_Obra!$D:$D, G299))</f>
      </c>
      <c r="J299" s="9479">
        <f>IF(Captura_Marimba_M01!A153="", "", H299 - I299)</f>
      </c>
      <c r="K299" s="4108"/>
    </row>
    <row r="300" spans="1:11">
      <c r="A300" s="9480">
        <f>IF(Captura_Marimba_M01!A154="", "", "Marimba")</f>
      </c>
      <c r="B300" s="9481">
        <f>IF(Captura_Marimba_M01!A154="", "", Captura_Marimba_M01!N154)</f>
      </c>
      <c r="C300" s="9482">
        <f>IF(Captura_Marimba_M01!A154="", "", IFERROR(LOOKUP(2, 1/((Captura_Obra!$A$5:$A$1000=E300)*(Captura_Obra!$B$5:$B$1000=F300)*(Captura_Obra!$D$5:$D$1000=G300)), Captura_Obra!$N$5:$N$1000), "No Reportado"))</f>
      </c>
      <c r="D300" s="9483">
        <f>IF(Captura_Marimba_M01!A154="", "", IF(J300=0, "✅ Cuadrado", IF(I300=0, "❌ Falta en Obra", "⚠️ Dif")))</f>
      </c>
      <c r="E300" s="9484">
        <f>IF(Captura_Marimba_M01!A154="", "", Captura_Marimba_M01!A154)</f>
      </c>
      <c r="F300" s="9485">
        <f>IF(Captura_Marimba_M01!A154="", "", Captura_Marimba_M01!C154)</f>
      </c>
      <c r="G300" s="9486">
        <f>IF(Captura_Marimba_M01!A154="", "", Captura_Marimba_M01!D154)</f>
      </c>
      <c r="H300" s="9487">
        <f>IF(Captura_Marimba_M01!A154="", "", Captura_Marimba_M01!G154)</f>
      </c>
      <c r="I300" s="9488">
        <f>IF(Captura_Marimba_M01!A154="", "", SUMIFS(Captura_Obra!$F:$F, Captura_Obra!$A:$A, E300, Captura_Obra!$B:$B, F300, Captura_Obra!$D:$D, G300))</f>
      </c>
      <c r="J300" s="9489">
        <f>IF(Captura_Marimba_M01!A154="", "", H300 - I300)</f>
      </c>
      <c r="K300" s="4109"/>
    </row>
    <row r="301" spans="1:11">
      <c r="A301" s="9490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"Huérfano Obra")</f>
      </c>
      <c r="B301" s="9491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"No Reportado")</f>
      </c>
      <c r="C301" s="9492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Captura_Obra!N5)</f>
      </c>
      <c r="D301" s="9493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"❌ Falta en Pipa")</f>
      </c>
      <c r="E301" s="9494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Captura_Obra!A5)</f>
      </c>
      <c r="F301" s="9495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Captura_Obra!B5)</f>
      </c>
      <c r="G301" s="9496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Captura_Obra!D5)</f>
      </c>
      <c r="H301" s="9497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0)</f>
      </c>
      <c r="I301" s="9498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Captura_Obra!F5)</f>
      </c>
      <c r="J301" s="9499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H301 - I301)</f>
      </c>
      <c r="K301" s="4110"/>
    </row>
    <row r="302" spans="1:11">
      <c r="A302" s="9500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"Huérfano Obra")</f>
      </c>
      <c r="B302" s="9501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"No Reportado")</f>
      </c>
      <c r="C302" s="9502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Captura_Obra!N6)</f>
      </c>
      <c r="D302" s="9503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"❌ Falta en Pipa")</f>
      </c>
      <c r="E302" s="9504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Captura_Obra!A6)</f>
      </c>
      <c r="F302" s="9505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Captura_Obra!B6)</f>
      </c>
      <c r="G302" s="9506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Captura_Obra!D6)</f>
      </c>
      <c r="H302" s="9507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0)</f>
      </c>
      <c r="I302" s="9508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Captura_Obra!F6)</f>
      </c>
      <c r="J302" s="9509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H302 - I302)</f>
      </c>
      <c r="K302" s="4111"/>
    </row>
    <row r="303" spans="1:11">
      <c r="A303" s="9510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"Huérfano Obra")</f>
      </c>
      <c r="B303" s="9511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"No Reportado")</f>
      </c>
      <c r="C303" s="9512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Captura_Obra!N7)</f>
      </c>
      <c r="D303" s="9513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"❌ Falta en Pipa")</f>
      </c>
      <c r="E303" s="9514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Captura_Obra!A7)</f>
      </c>
      <c r="F303" s="9515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Captura_Obra!B7)</f>
      </c>
      <c r="G303" s="9516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Captura_Obra!D7)</f>
      </c>
      <c r="H303" s="9517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0)</f>
      </c>
      <c r="I303" s="9518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Captura_Obra!F7)</f>
      </c>
      <c r="J303" s="9519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H303 - I303)</f>
      </c>
      <c r="K303" s="4112"/>
    </row>
    <row r="304" spans="1:11">
      <c r="A304" s="9520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"Huérfano Obra")</f>
      </c>
      <c r="B304" s="9521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"No Reportado")</f>
      </c>
      <c r="C304" s="9522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Captura_Obra!N8)</f>
      </c>
      <c r="D304" s="9523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"❌ Falta en Pipa")</f>
      </c>
      <c r="E304" s="9524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Captura_Obra!A8)</f>
      </c>
      <c r="F304" s="9525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Captura_Obra!B8)</f>
      </c>
      <c r="G304" s="9526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Captura_Obra!D8)</f>
      </c>
      <c r="H304" s="9527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0)</f>
      </c>
      <c r="I304" s="9528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Captura_Obra!F8)</f>
      </c>
      <c r="J304" s="9529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H304 - I304)</f>
      </c>
      <c r="K304" s="4113"/>
    </row>
    <row r="305" spans="1:11">
      <c r="A305" s="9530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"Huérfano Obra")</f>
      </c>
      <c r="B305" s="9531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"No Reportado")</f>
      </c>
      <c r="C305" s="9532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Captura_Obra!N9)</f>
      </c>
      <c r="D305" s="9533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"❌ Falta en Pipa")</f>
      </c>
      <c r="E305" s="9534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Captura_Obra!A9)</f>
      </c>
      <c r="F305" s="9535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Captura_Obra!B9)</f>
      </c>
      <c r="G305" s="9536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Captura_Obra!D9)</f>
      </c>
      <c r="H305" s="9537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0)</f>
      </c>
      <c r="I305" s="9538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Captura_Obra!F9)</f>
      </c>
      <c r="J305" s="9539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H305 - I305)</f>
      </c>
      <c r="K305" s="4114"/>
    </row>
    <row r="306" spans="1:11">
      <c r="A306" s="9540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"Huérfano Obra")</f>
      </c>
      <c r="B306" s="9541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"No Reportado")</f>
      </c>
      <c r="C306" s="9542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Captura_Obra!N10)</f>
      </c>
      <c r="D306" s="9543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"❌ Falta en Pipa")</f>
      </c>
      <c r="E306" s="9544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Captura_Obra!A10)</f>
      </c>
      <c r="F306" s="9545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Captura_Obra!B10)</f>
      </c>
      <c r="G306" s="9546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Captura_Obra!D10)</f>
      </c>
      <c r="H306" s="9547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0)</f>
      </c>
      <c r="I306" s="9548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Captura_Obra!F10)</f>
      </c>
      <c r="J306" s="9549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H306 - I306)</f>
      </c>
      <c r="K306" s="4115"/>
    </row>
    <row r="307" spans="1:11">
      <c r="A307" s="9550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"Huérfano Obra")</f>
      </c>
      <c r="B307" s="9551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"No Reportado")</f>
      </c>
      <c r="C307" s="9552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Captura_Obra!N11)</f>
      </c>
      <c r="D307" s="9553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"❌ Falta en Pipa")</f>
      </c>
      <c r="E307" s="9554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Captura_Obra!A11)</f>
      </c>
      <c r="F307" s="9555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Captura_Obra!B11)</f>
      </c>
      <c r="G307" s="9556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Captura_Obra!D11)</f>
      </c>
      <c r="H307" s="9557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0)</f>
      </c>
      <c r="I307" s="9558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Captura_Obra!F11)</f>
      </c>
      <c r="J307" s="9559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H307 - I307)</f>
      </c>
      <c r="K307" s="4116"/>
    </row>
    <row r="308" spans="1:11">
      <c r="A308" s="9560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"Huérfano Obra")</f>
      </c>
      <c r="B308" s="9561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"No Reportado")</f>
      </c>
      <c r="C308" s="9562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Captura_Obra!N12)</f>
      </c>
      <c r="D308" s="9563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"❌ Falta en Pipa")</f>
      </c>
      <c r="E308" s="9564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Captura_Obra!A12)</f>
      </c>
      <c r="F308" s="9565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Captura_Obra!B12)</f>
      </c>
      <c r="G308" s="9566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Captura_Obra!D12)</f>
      </c>
      <c r="H308" s="9567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0)</f>
      </c>
      <c r="I308" s="9568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Captura_Obra!F12)</f>
      </c>
      <c r="J308" s="9569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H308 - I308)</f>
      </c>
      <c r="K308" s="4117"/>
    </row>
    <row r="309" spans="1:11">
      <c r="A309" s="9570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"Huérfano Obra")</f>
      </c>
      <c r="B309" s="9571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"No Reportado")</f>
      </c>
      <c r="C309" s="9572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Captura_Obra!N13)</f>
      </c>
      <c r="D309" s="9573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"❌ Falta en Pipa")</f>
      </c>
      <c r="E309" s="9574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Captura_Obra!A13)</f>
      </c>
      <c r="F309" s="9575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Captura_Obra!B13)</f>
      </c>
      <c r="G309" s="9576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Captura_Obra!D13)</f>
      </c>
      <c r="H309" s="9577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0)</f>
      </c>
      <c r="I309" s="9578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Captura_Obra!F13)</f>
      </c>
      <c r="J309" s="9579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H309 - I309)</f>
      </c>
      <c r="K309" s="4118"/>
    </row>
    <row r="310" spans="1:11">
      <c r="A310" s="9580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"Huérfano Obra")</f>
      </c>
      <c r="B310" s="9581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"No Reportado")</f>
      </c>
      <c r="C310" s="9582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Captura_Obra!N14)</f>
      </c>
      <c r="D310" s="9583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"❌ Falta en Pipa")</f>
      </c>
      <c r="E310" s="9584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Captura_Obra!A14)</f>
      </c>
      <c r="F310" s="9585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Captura_Obra!B14)</f>
      </c>
      <c r="G310" s="9586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Captura_Obra!D14)</f>
      </c>
      <c r="H310" s="9587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0)</f>
      </c>
      <c r="I310" s="9588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Captura_Obra!F14)</f>
      </c>
      <c r="J310" s="9589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H310 - I310)</f>
      </c>
      <c r="K310" s="4119"/>
    </row>
    <row r="311" spans="1:11">
      <c r="A311" s="9590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"Huérfano Obra")</f>
      </c>
      <c r="B311" s="9591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"No Reportado")</f>
      </c>
      <c r="C311" s="9592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Captura_Obra!N15)</f>
      </c>
      <c r="D311" s="9593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"❌ Falta en Pipa")</f>
      </c>
      <c r="E311" s="9594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Captura_Obra!A15)</f>
      </c>
      <c r="F311" s="9595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Captura_Obra!B15)</f>
      </c>
      <c r="G311" s="9596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Captura_Obra!D15)</f>
      </c>
      <c r="H311" s="9597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0)</f>
      </c>
      <c r="I311" s="9598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Captura_Obra!F15)</f>
      </c>
      <c r="J311" s="9599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H311 - I311)</f>
      </c>
      <c r="K311" s="4120"/>
    </row>
    <row r="312" spans="1:11">
      <c r="A312" s="9600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"Huérfano Obra")</f>
      </c>
      <c r="B312" s="9601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"No Reportado")</f>
      </c>
      <c r="C312" s="9602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Captura_Obra!N16)</f>
      </c>
      <c r="D312" s="9603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"❌ Falta en Pipa")</f>
      </c>
      <c r="E312" s="9604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Captura_Obra!A16)</f>
      </c>
      <c r="F312" s="9605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Captura_Obra!B16)</f>
      </c>
      <c r="G312" s="9606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Captura_Obra!D16)</f>
      </c>
      <c r="H312" s="9607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0)</f>
      </c>
      <c r="I312" s="9608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Captura_Obra!F16)</f>
      </c>
      <c r="J312" s="9609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H312 - I312)</f>
      </c>
      <c r="K312" s="4121"/>
    </row>
    <row r="313" spans="1:11">
      <c r="A313" s="9610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"Huérfano Obra")</f>
      </c>
      <c r="B313" s="9611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"No Reportado")</f>
      </c>
      <c r="C313" s="9612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Captura_Obra!N17)</f>
      </c>
      <c r="D313" s="9613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"❌ Falta en Pipa")</f>
      </c>
      <c r="E313" s="9614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Captura_Obra!A17)</f>
      </c>
      <c r="F313" s="9615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Captura_Obra!B17)</f>
      </c>
      <c r="G313" s="9616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Captura_Obra!D17)</f>
      </c>
      <c r="H313" s="9617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0)</f>
      </c>
      <c r="I313" s="9618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Captura_Obra!F17)</f>
      </c>
      <c r="J313" s="9619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H313 - I313)</f>
      </c>
      <c r="K313" s="4122"/>
    </row>
    <row r="314" spans="1:11">
      <c r="A314" s="9620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"Huérfano Obra")</f>
      </c>
      <c r="B314" s="9621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"No Reportado")</f>
      </c>
      <c r="C314" s="9622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Captura_Obra!N18)</f>
      </c>
      <c r="D314" s="9623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"❌ Falta en Pipa")</f>
      </c>
      <c r="E314" s="9624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Captura_Obra!A18)</f>
      </c>
      <c r="F314" s="9625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Captura_Obra!B18)</f>
      </c>
      <c r="G314" s="9626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Captura_Obra!D18)</f>
      </c>
      <c r="H314" s="9627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0)</f>
      </c>
      <c r="I314" s="9628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Captura_Obra!F18)</f>
      </c>
      <c r="J314" s="9629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H314 - I314)</f>
      </c>
      <c r="K314" s="4123"/>
    </row>
    <row r="315" spans="1:11">
      <c r="A315" s="9630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"Huérfano Obra")</f>
      </c>
      <c r="B315" s="9631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"No Reportado")</f>
      </c>
      <c r="C315" s="9632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Captura_Obra!N19)</f>
      </c>
      <c r="D315" s="9633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"❌ Falta en Pipa")</f>
      </c>
      <c r="E315" s="9634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Captura_Obra!A19)</f>
      </c>
      <c r="F315" s="9635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Captura_Obra!B19)</f>
      </c>
      <c r="G315" s="9636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Captura_Obra!D19)</f>
      </c>
      <c r="H315" s="9637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0)</f>
      </c>
      <c r="I315" s="9638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Captura_Obra!F19)</f>
      </c>
      <c r="J315" s="9639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H315 - I315)</f>
      </c>
      <c r="K315" s="4124"/>
    </row>
    <row r="316" spans="1:11">
      <c r="A316" s="9640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"Huérfano Obra")</f>
      </c>
      <c r="B316" s="9641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"No Reportado")</f>
      </c>
      <c r="C316" s="9642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Captura_Obra!N20)</f>
      </c>
      <c r="D316" s="9643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"❌ Falta en Pipa")</f>
      </c>
      <c r="E316" s="9644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Captura_Obra!A20)</f>
      </c>
      <c r="F316" s="9645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Captura_Obra!B20)</f>
      </c>
      <c r="G316" s="9646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Captura_Obra!D20)</f>
      </c>
      <c r="H316" s="9647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0)</f>
      </c>
      <c r="I316" s="9648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Captura_Obra!F20)</f>
      </c>
      <c r="J316" s="9649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H316 - I316)</f>
      </c>
      <c r="K316" s="4125"/>
    </row>
    <row r="317" spans="1:11">
      <c r="A317" s="9650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"Huérfano Obra")</f>
      </c>
      <c r="B317" s="9651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"No Reportado")</f>
      </c>
      <c r="C317" s="9652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Captura_Obra!N21)</f>
      </c>
      <c r="D317" s="9653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"❌ Falta en Pipa")</f>
      </c>
      <c r="E317" s="9654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Captura_Obra!A21)</f>
      </c>
      <c r="F317" s="9655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Captura_Obra!B21)</f>
      </c>
      <c r="G317" s="9656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Captura_Obra!D21)</f>
      </c>
      <c r="H317" s="9657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0)</f>
      </c>
      <c r="I317" s="9658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Captura_Obra!F21)</f>
      </c>
      <c r="J317" s="9659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H317 - I317)</f>
      </c>
      <c r="K317" s="4126"/>
    </row>
    <row r="318" spans="1:11">
      <c r="A318" s="9660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"Huérfano Obra")</f>
      </c>
      <c r="B318" s="9661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"No Reportado")</f>
      </c>
      <c r="C318" s="9662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Captura_Obra!N22)</f>
      </c>
      <c r="D318" s="9663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"❌ Falta en Pipa")</f>
      </c>
      <c r="E318" s="9664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Captura_Obra!A22)</f>
      </c>
      <c r="F318" s="9665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Captura_Obra!B22)</f>
      </c>
      <c r="G318" s="9666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Captura_Obra!D22)</f>
      </c>
      <c r="H318" s="9667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0)</f>
      </c>
      <c r="I318" s="9668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Captura_Obra!F22)</f>
      </c>
      <c r="J318" s="9669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H318 - I318)</f>
      </c>
      <c r="K318" s="4127"/>
    </row>
    <row r="319" spans="1:11">
      <c r="A319" s="9670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"Huérfano Obra")</f>
      </c>
      <c r="B319" s="9671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"No Reportado")</f>
      </c>
      <c r="C319" s="9672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Captura_Obra!N23)</f>
      </c>
      <c r="D319" s="9673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"❌ Falta en Pipa")</f>
      </c>
      <c r="E319" s="9674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Captura_Obra!A23)</f>
      </c>
      <c r="F319" s="9675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Captura_Obra!B23)</f>
      </c>
      <c r="G319" s="9676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Captura_Obra!D23)</f>
      </c>
      <c r="H319" s="9677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0)</f>
      </c>
      <c r="I319" s="9678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Captura_Obra!F23)</f>
      </c>
      <c r="J319" s="9679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H319 - I319)</f>
      </c>
      <c r="K319" s="4128"/>
    </row>
    <row r="320" spans="1:11">
      <c r="A320" s="9680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"Huérfano Obra")</f>
      </c>
      <c r="B320" s="9681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"No Reportado")</f>
      </c>
      <c r="C320" s="9682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Captura_Obra!N24)</f>
      </c>
      <c r="D320" s="9683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"❌ Falta en Pipa")</f>
      </c>
      <c r="E320" s="9684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Captura_Obra!A24)</f>
      </c>
      <c r="F320" s="9685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Captura_Obra!B24)</f>
      </c>
      <c r="G320" s="9686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Captura_Obra!D24)</f>
      </c>
      <c r="H320" s="9687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0)</f>
      </c>
      <c r="I320" s="9688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Captura_Obra!F24)</f>
      </c>
      <c r="J320" s="9689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H320 - I320)</f>
      </c>
      <c r="K320" s="4129"/>
    </row>
    <row r="321" spans="1:11">
      <c r="A321" s="9690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"Huérfano Obra")</f>
      </c>
      <c r="B321" s="9691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"No Reportado")</f>
      </c>
      <c r="C321" s="9692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Captura_Obra!N25)</f>
      </c>
      <c r="D321" s="9693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"❌ Falta en Pipa")</f>
      </c>
      <c r="E321" s="9694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Captura_Obra!A25)</f>
      </c>
      <c r="F321" s="9695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Captura_Obra!B25)</f>
      </c>
      <c r="G321" s="9696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Captura_Obra!D25)</f>
      </c>
      <c r="H321" s="9697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0)</f>
      </c>
      <c r="I321" s="9698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Captura_Obra!F25)</f>
      </c>
      <c r="J321" s="9699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H321 - I321)</f>
      </c>
      <c r="K321" s="4130"/>
    </row>
    <row r="322" spans="1:11">
      <c r="A322" s="9700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"Huérfano Obra")</f>
      </c>
      <c r="B322" s="9701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"No Reportado")</f>
      </c>
      <c r="C322" s="9702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Captura_Obra!N26)</f>
      </c>
      <c r="D322" s="9703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"❌ Falta en Pipa")</f>
      </c>
      <c r="E322" s="9704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Captura_Obra!A26)</f>
      </c>
      <c r="F322" s="9705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Captura_Obra!B26)</f>
      </c>
      <c r="G322" s="9706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Captura_Obra!D26)</f>
      </c>
      <c r="H322" s="9707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0)</f>
      </c>
      <c r="I322" s="9708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Captura_Obra!F26)</f>
      </c>
      <c r="J322" s="9709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H322 - I322)</f>
      </c>
      <c r="K322" s="4131"/>
    </row>
    <row r="323" spans="1:11">
      <c r="A323" s="9710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"Huérfano Obra")</f>
      </c>
      <c r="B323" s="9711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"No Reportado")</f>
      </c>
      <c r="C323" s="9712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Captura_Obra!N27)</f>
      </c>
      <c r="D323" s="9713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"❌ Falta en Pipa")</f>
      </c>
      <c r="E323" s="9714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Captura_Obra!A27)</f>
      </c>
      <c r="F323" s="9715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Captura_Obra!B27)</f>
      </c>
      <c r="G323" s="9716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Captura_Obra!D27)</f>
      </c>
      <c r="H323" s="9717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0)</f>
      </c>
      <c r="I323" s="9718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Captura_Obra!F27)</f>
      </c>
      <c r="J323" s="9719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H323 - I323)</f>
      </c>
      <c r="K323" s="4132"/>
    </row>
    <row r="324" spans="1:11">
      <c r="A324" s="9720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"Huérfano Obra")</f>
      </c>
      <c r="B324" s="9721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"No Reportado")</f>
      </c>
      <c r="C324" s="9722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Captura_Obra!N28)</f>
      </c>
      <c r="D324" s="9723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"❌ Falta en Pipa")</f>
      </c>
      <c r="E324" s="9724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Captura_Obra!A28)</f>
      </c>
      <c r="F324" s="9725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Captura_Obra!B28)</f>
      </c>
      <c r="G324" s="9726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Captura_Obra!D28)</f>
      </c>
      <c r="H324" s="9727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0)</f>
      </c>
      <c r="I324" s="9728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Captura_Obra!F28)</f>
      </c>
      <c r="J324" s="9729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H324 - I324)</f>
      </c>
      <c r="K324" s="4133"/>
    </row>
    <row r="325" spans="1:11">
      <c r="A325" s="9730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"Huérfano Obra")</f>
      </c>
      <c r="B325" s="9731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"No Reportado")</f>
      </c>
      <c r="C325" s="9732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Captura_Obra!N29)</f>
      </c>
      <c r="D325" s="9733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"❌ Falta en Pipa")</f>
      </c>
      <c r="E325" s="9734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Captura_Obra!A29)</f>
      </c>
      <c r="F325" s="9735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Captura_Obra!B29)</f>
      </c>
      <c r="G325" s="9736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Captura_Obra!D29)</f>
      </c>
      <c r="H325" s="9737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0)</f>
      </c>
      <c r="I325" s="9738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Captura_Obra!F29)</f>
      </c>
      <c r="J325" s="9739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H325 - I325)</f>
      </c>
      <c r="K325" s="4134"/>
    </row>
    <row r="326" spans="1:11">
      <c r="A326" s="9740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"Huérfano Obra")</f>
      </c>
      <c r="B326" s="9741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"No Reportado")</f>
      </c>
      <c r="C326" s="9742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Captura_Obra!N30)</f>
      </c>
      <c r="D326" s="9743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"❌ Falta en Pipa")</f>
      </c>
      <c r="E326" s="9744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Captura_Obra!A30)</f>
      </c>
      <c r="F326" s="9745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Captura_Obra!B30)</f>
      </c>
      <c r="G326" s="9746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Captura_Obra!D30)</f>
      </c>
      <c r="H326" s="9747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0)</f>
      </c>
      <c r="I326" s="9748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Captura_Obra!F30)</f>
      </c>
      <c r="J326" s="9749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H326 - I326)</f>
      </c>
      <c r="K326" s="4135"/>
    </row>
    <row r="327" spans="1:11">
      <c r="A327" s="9750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"Huérfano Obra")</f>
      </c>
      <c r="B327" s="9751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"No Reportado")</f>
      </c>
      <c r="C327" s="9752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Captura_Obra!N31)</f>
      </c>
      <c r="D327" s="9753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"❌ Falta en Pipa")</f>
      </c>
      <c r="E327" s="9754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Captura_Obra!A31)</f>
      </c>
      <c r="F327" s="9755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Captura_Obra!B31)</f>
      </c>
      <c r="G327" s="9756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Captura_Obra!D31)</f>
      </c>
      <c r="H327" s="9757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0)</f>
      </c>
      <c r="I327" s="9758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Captura_Obra!F31)</f>
      </c>
      <c r="J327" s="9759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H327 - I327)</f>
      </c>
      <c r="K327" s="4136"/>
    </row>
    <row r="328" spans="1:11">
      <c r="A328" s="9760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"Huérfano Obra")</f>
      </c>
      <c r="B328" s="9761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"No Reportado")</f>
      </c>
      <c r="C328" s="9762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Captura_Obra!N32)</f>
      </c>
      <c r="D328" s="9763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"❌ Falta en Pipa")</f>
      </c>
      <c r="E328" s="9764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Captura_Obra!A32)</f>
      </c>
      <c r="F328" s="9765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Captura_Obra!B32)</f>
      </c>
      <c r="G328" s="9766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Captura_Obra!D32)</f>
      </c>
      <c r="H328" s="9767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0)</f>
      </c>
      <c r="I328" s="9768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Captura_Obra!F32)</f>
      </c>
      <c r="J328" s="9769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H328 - I328)</f>
      </c>
      <c r="K328" s="4137"/>
    </row>
    <row r="329" spans="1:11">
      <c r="A329" s="9770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"Huérfano Obra")</f>
      </c>
      <c r="B329" s="9771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"No Reportado")</f>
      </c>
      <c r="C329" s="9772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Captura_Obra!N33)</f>
      </c>
      <c r="D329" s="9773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"❌ Falta en Pipa")</f>
      </c>
      <c r="E329" s="9774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Captura_Obra!A33)</f>
      </c>
      <c r="F329" s="9775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Captura_Obra!B33)</f>
      </c>
      <c r="G329" s="9776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Captura_Obra!D33)</f>
      </c>
      <c r="H329" s="9777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0)</f>
      </c>
      <c r="I329" s="9778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Captura_Obra!F33)</f>
      </c>
      <c r="J329" s="9779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H329 - I329)</f>
      </c>
      <c r="K329" s="4138"/>
    </row>
    <row r="330" spans="1:11">
      <c r="A330" s="9780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"Huérfano Obra")</f>
      </c>
      <c r="B330" s="9781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"No Reportado")</f>
      </c>
      <c r="C330" s="9782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Captura_Obra!N34)</f>
      </c>
      <c r="D330" s="9783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"❌ Falta en Pipa")</f>
      </c>
      <c r="E330" s="9784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Captura_Obra!A34)</f>
      </c>
      <c r="F330" s="9785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Captura_Obra!B34)</f>
      </c>
      <c r="G330" s="9786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Captura_Obra!D34)</f>
      </c>
      <c r="H330" s="9787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0)</f>
      </c>
      <c r="I330" s="9788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Captura_Obra!F34)</f>
      </c>
      <c r="J330" s="9789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H330 - I330)</f>
      </c>
      <c r="K330" s="4139"/>
    </row>
    <row r="331" spans="1:11">
      <c r="A331" s="9790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"Huérfano Obra")</f>
      </c>
      <c r="B331" s="9791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"No Reportado")</f>
      </c>
      <c r="C331" s="9792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Captura_Obra!N35)</f>
      </c>
      <c r="D331" s="9793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"❌ Falta en Pipa")</f>
      </c>
      <c r="E331" s="9794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Captura_Obra!A35)</f>
      </c>
      <c r="F331" s="9795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Captura_Obra!B35)</f>
      </c>
      <c r="G331" s="9796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Captura_Obra!D35)</f>
      </c>
      <c r="H331" s="9797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0)</f>
      </c>
      <c r="I331" s="9798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Captura_Obra!F35)</f>
      </c>
      <c r="J331" s="9799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H331 - I331)</f>
      </c>
      <c r="K331" s="4140"/>
    </row>
    <row r="332" spans="1:11">
      <c r="A332" s="9800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"Huérfano Obra")</f>
      </c>
      <c r="B332" s="9801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"No Reportado")</f>
      </c>
      <c r="C332" s="9802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Captura_Obra!N36)</f>
      </c>
      <c r="D332" s="9803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"❌ Falta en Pipa")</f>
      </c>
      <c r="E332" s="9804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Captura_Obra!A36)</f>
      </c>
      <c r="F332" s="9805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Captura_Obra!B36)</f>
      </c>
      <c r="G332" s="9806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Captura_Obra!D36)</f>
      </c>
      <c r="H332" s="9807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0)</f>
      </c>
      <c r="I332" s="9808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Captura_Obra!F36)</f>
      </c>
      <c r="J332" s="9809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H332 - I332)</f>
      </c>
      <c r="K332" s="4141"/>
    </row>
    <row r="333" spans="1:11">
      <c r="A333" s="9810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"Huérfano Obra")</f>
      </c>
      <c r="B333" s="9811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"No Reportado")</f>
      </c>
      <c r="C333" s="9812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Captura_Obra!N37)</f>
      </c>
      <c r="D333" s="9813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"❌ Falta en Pipa")</f>
      </c>
      <c r="E333" s="9814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Captura_Obra!A37)</f>
      </c>
      <c r="F333" s="9815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Captura_Obra!B37)</f>
      </c>
      <c r="G333" s="9816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Captura_Obra!D37)</f>
      </c>
      <c r="H333" s="9817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0)</f>
      </c>
      <c r="I333" s="9818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Captura_Obra!F37)</f>
      </c>
      <c r="J333" s="9819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H333 - I333)</f>
      </c>
      <c r="K333" s="4142"/>
    </row>
    <row r="334" spans="1:11">
      <c r="A334" s="9820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"Huérfano Obra")</f>
      </c>
      <c r="B334" s="9821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"No Reportado")</f>
      </c>
      <c r="C334" s="9822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Captura_Obra!N38)</f>
      </c>
      <c r="D334" s="9823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"❌ Falta en Pipa")</f>
      </c>
      <c r="E334" s="9824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Captura_Obra!A38)</f>
      </c>
      <c r="F334" s="9825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Captura_Obra!B38)</f>
      </c>
      <c r="G334" s="9826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Captura_Obra!D38)</f>
      </c>
      <c r="H334" s="9827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0)</f>
      </c>
      <c r="I334" s="9828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Captura_Obra!F38)</f>
      </c>
      <c r="J334" s="9829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H334 - I334)</f>
      </c>
      <c r="K334" s="4143"/>
    </row>
    <row r="335" spans="1:11">
      <c r="A335" s="9830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"Huérfano Obra")</f>
      </c>
      <c r="B335" s="9831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"No Reportado")</f>
      </c>
      <c r="C335" s="9832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Captura_Obra!N39)</f>
      </c>
      <c r="D335" s="9833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"❌ Falta en Pipa")</f>
      </c>
      <c r="E335" s="9834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Captura_Obra!A39)</f>
      </c>
      <c r="F335" s="9835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Captura_Obra!B39)</f>
      </c>
      <c r="G335" s="9836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Captura_Obra!D39)</f>
      </c>
      <c r="H335" s="9837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0)</f>
      </c>
      <c r="I335" s="9838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Captura_Obra!F39)</f>
      </c>
      <c r="J335" s="9839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H335 - I335)</f>
      </c>
      <c r="K335" s="4144"/>
    </row>
    <row r="336" spans="1:11">
      <c r="A336" s="9840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"Huérfano Obra")</f>
      </c>
      <c r="B336" s="9841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"No Reportado")</f>
      </c>
      <c r="C336" s="9842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Captura_Obra!N40)</f>
      </c>
      <c r="D336" s="9843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"❌ Falta en Pipa")</f>
      </c>
      <c r="E336" s="9844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Captura_Obra!A40)</f>
      </c>
      <c r="F336" s="9845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Captura_Obra!B40)</f>
      </c>
      <c r="G336" s="9846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Captura_Obra!D40)</f>
      </c>
      <c r="H336" s="9847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0)</f>
      </c>
      <c r="I336" s="9848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Captura_Obra!F40)</f>
      </c>
      <c r="J336" s="9849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H336 - I336)</f>
      </c>
      <c r="K336" s="4145"/>
    </row>
    <row r="337" spans="1:11">
      <c r="A337" s="9850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"Huérfano Obra")</f>
      </c>
      <c r="B337" s="9851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"No Reportado")</f>
      </c>
      <c r="C337" s="9852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Captura_Obra!N41)</f>
      </c>
      <c r="D337" s="9853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"❌ Falta en Pipa")</f>
      </c>
      <c r="E337" s="9854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Captura_Obra!A41)</f>
      </c>
      <c r="F337" s="9855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Captura_Obra!B41)</f>
      </c>
      <c r="G337" s="9856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Captura_Obra!D41)</f>
      </c>
      <c r="H337" s="9857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0)</f>
      </c>
      <c r="I337" s="9858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Captura_Obra!F41)</f>
      </c>
      <c r="J337" s="9859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H337 - I337)</f>
      </c>
      <c r="K337" s="4146"/>
    </row>
    <row r="338" spans="1:11">
      <c r="A338" s="9860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"Huérfano Obra")</f>
      </c>
      <c r="B338" s="9861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"No Reportado")</f>
      </c>
      <c r="C338" s="9862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Captura_Obra!N42)</f>
      </c>
      <c r="D338" s="9863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"❌ Falta en Pipa")</f>
      </c>
      <c r="E338" s="9864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Captura_Obra!A42)</f>
      </c>
      <c r="F338" s="9865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Captura_Obra!B42)</f>
      </c>
      <c r="G338" s="9866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Captura_Obra!D42)</f>
      </c>
      <c r="H338" s="9867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0)</f>
      </c>
      <c r="I338" s="9868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Captura_Obra!F42)</f>
      </c>
      <c r="J338" s="9869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H338 - I338)</f>
      </c>
      <c r="K338" s="4147"/>
    </row>
    <row r="339" spans="1:11">
      <c r="A339" s="9870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"Huérfano Obra")</f>
      </c>
      <c r="B339" s="9871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"No Reportado")</f>
      </c>
      <c r="C339" s="9872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Captura_Obra!N43)</f>
      </c>
      <c r="D339" s="9873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"❌ Falta en Pipa")</f>
      </c>
      <c r="E339" s="9874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Captura_Obra!A43)</f>
      </c>
      <c r="F339" s="9875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Captura_Obra!B43)</f>
      </c>
      <c r="G339" s="9876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Captura_Obra!D43)</f>
      </c>
      <c r="H339" s="9877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0)</f>
      </c>
      <c r="I339" s="9878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Captura_Obra!F43)</f>
      </c>
      <c r="J339" s="9879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H339 - I339)</f>
      </c>
      <c r="K339" s="4148"/>
    </row>
    <row r="340" spans="1:11">
      <c r="A340" s="9880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"Huérfano Obra")</f>
      </c>
      <c r="B340" s="9881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"No Reportado")</f>
      </c>
      <c r="C340" s="9882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Captura_Obra!N44)</f>
      </c>
      <c r="D340" s="9883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"❌ Falta en Pipa")</f>
      </c>
      <c r="E340" s="9884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Captura_Obra!A44)</f>
      </c>
      <c r="F340" s="9885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Captura_Obra!B44)</f>
      </c>
      <c r="G340" s="9886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Captura_Obra!D44)</f>
      </c>
      <c r="H340" s="9887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0)</f>
      </c>
      <c r="I340" s="9888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Captura_Obra!F44)</f>
      </c>
      <c r="J340" s="9889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H340 - I340)</f>
      </c>
      <c r="K340" s="4149"/>
    </row>
    <row r="341" spans="1:11">
      <c r="A341" s="9890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"Huérfano Obra")</f>
      </c>
      <c r="B341" s="9891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"No Reportado")</f>
      </c>
      <c r="C341" s="9892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Captura_Obra!N45)</f>
      </c>
      <c r="D341" s="9893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"❌ Falta en Pipa")</f>
      </c>
      <c r="E341" s="9894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Captura_Obra!A45)</f>
      </c>
      <c r="F341" s="9895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Captura_Obra!B45)</f>
      </c>
      <c r="G341" s="9896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Captura_Obra!D45)</f>
      </c>
      <c r="H341" s="9897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0)</f>
      </c>
      <c r="I341" s="9898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Captura_Obra!F45)</f>
      </c>
      <c r="J341" s="9899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H341 - I341)</f>
      </c>
      <c r="K341" s="4150"/>
    </row>
    <row r="342" spans="1:11">
      <c r="A342" s="9900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"Huérfano Obra")</f>
      </c>
      <c r="B342" s="9901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"No Reportado")</f>
      </c>
      <c r="C342" s="9902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Captura_Obra!N46)</f>
      </c>
      <c r="D342" s="9903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"❌ Falta en Pipa")</f>
      </c>
      <c r="E342" s="9904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Captura_Obra!A46)</f>
      </c>
      <c r="F342" s="9905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Captura_Obra!B46)</f>
      </c>
      <c r="G342" s="9906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Captura_Obra!D46)</f>
      </c>
      <c r="H342" s="9907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0)</f>
      </c>
      <c r="I342" s="9908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Captura_Obra!F46)</f>
      </c>
      <c r="J342" s="9909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H342 - I342)</f>
      </c>
      <c r="K342" s="4151"/>
    </row>
    <row r="343" spans="1:11">
      <c r="A343" s="9910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"Huérfano Obra")</f>
      </c>
      <c r="B343" s="9911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"No Reportado")</f>
      </c>
      <c r="C343" s="9912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Captura_Obra!N47)</f>
      </c>
      <c r="D343" s="9913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"❌ Falta en Pipa")</f>
      </c>
      <c r="E343" s="9914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Captura_Obra!A47)</f>
      </c>
      <c r="F343" s="9915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Captura_Obra!B47)</f>
      </c>
      <c r="G343" s="9916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Captura_Obra!D47)</f>
      </c>
      <c r="H343" s="9917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0)</f>
      </c>
      <c r="I343" s="9918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Captura_Obra!F47)</f>
      </c>
      <c r="J343" s="9919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H343 - I343)</f>
      </c>
      <c r="K343" s="4152"/>
    </row>
    <row r="344" spans="1:11">
      <c r="A344" s="9920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"Huérfano Obra")</f>
      </c>
      <c r="B344" s="9921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"No Reportado")</f>
      </c>
      <c r="C344" s="9922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Captura_Obra!N48)</f>
      </c>
      <c r="D344" s="9923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"❌ Falta en Pipa")</f>
      </c>
      <c r="E344" s="9924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Captura_Obra!A48)</f>
      </c>
      <c r="F344" s="9925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Captura_Obra!B48)</f>
      </c>
      <c r="G344" s="9926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Captura_Obra!D48)</f>
      </c>
      <c r="H344" s="9927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0)</f>
      </c>
      <c r="I344" s="9928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Captura_Obra!F48)</f>
      </c>
      <c r="J344" s="9929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H344 - I344)</f>
      </c>
      <c r="K344" s="4153"/>
    </row>
    <row r="345" spans="1:11">
      <c r="A345" s="9930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"Huérfano Obra")</f>
      </c>
      <c r="B345" s="9931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"No Reportado")</f>
      </c>
      <c r="C345" s="9932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Captura_Obra!N49)</f>
      </c>
      <c r="D345" s="9933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"❌ Falta en Pipa")</f>
      </c>
      <c r="E345" s="9934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Captura_Obra!A49)</f>
      </c>
      <c r="F345" s="9935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Captura_Obra!B49)</f>
      </c>
      <c r="G345" s="9936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Captura_Obra!D49)</f>
      </c>
      <c r="H345" s="9937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0)</f>
      </c>
      <c r="I345" s="9938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Captura_Obra!F49)</f>
      </c>
      <c r="J345" s="9939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H345 - I345)</f>
      </c>
      <c r="K345" s="4154"/>
    </row>
    <row r="346" spans="1:11">
      <c r="A346" s="9940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"Huérfano Obra")</f>
      </c>
      <c r="B346" s="9941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"No Reportado")</f>
      </c>
      <c r="C346" s="9942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Captura_Obra!N50)</f>
      </c>
      <c r="D346" s="9943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"❌ Falta en Pipa")</f>
      </c>
      <c r="E346" s="9944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Captura_Obra!A50)</f>
      </c>
      <c r="F346" s="9945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Captura_Obra!B50)</f>
      </c>
      <c r="G346" s="9946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Captura_Obra!D50)</f>
      </c>
      <c r="H346" s="9947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0)</f>
      </c>
      <c r="I346" s="9948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Captura_Obra!F50)</f>
      </c>
      <c r="J346" s="9949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H346 - I346)</f>
      </c>
      <c r="K346" s="4155"/>
    </row>
    <row r="347" spans="1:11">
      <c r="A347" s="9950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"Huérfano Obra")</f>
      </c>
      <c r="B347" s="9951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"No Reportado")</f>
      </c>
      <c r="C347" s="9952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Captura_Obra!N51)</f>
      </c>
      <c r="D347" s="9953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"❌ Falta en Pipa")</f>
      </c>
      <c r="E347" s="9954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Captura_Obra!A51)</f>
      </c>
      <c r="F347" s="9955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Captura_Obra!B51)</f>
      </c>
      <c r="G347" s="9956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Captura_Obra!D51)</f>
      </c>
      <c r="H347" s="9957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0)</f>
      </c>
      <c r="I347" s="9958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Captura_Obra!F51)</f>
      </c>
      <c r="J347" s="9959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H347 - I347)</f>
      </c>
      <c r="K347" s="4156"/>
    </row>
    <row r="348" spans="1:11">
      <c r="A348" s="9960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"Huérfano Obra")</f>
      </c>
      <c r="B348" s="9961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"No Reportado")</f>
      </c>
      <c r="C348" s="9962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Captura_Obra!N52)</f>
      </c>
      <c r="D348" s="9963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"❌ Falta en Pipa")</f>
      </c>
      <c r="E348" s="9964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Captura_Obra!A52)</f>
      </c>
      <c r="F348" s="9965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Captura_Obra!B52)</f>
      </c>
      <c r="G348" s="9966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Captura_Obra!D52)</f>
      </c>
      <c r="H348" s="9967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0)</f>
      </c>
      <c r="I348" s="9968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Captura_Obra!F52)</f>
      </c>
      <c r="J348" s="9969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H348 - I348)</f>
      </c>
      <c r="K348" s="4157"/>
    </row>
    <row r="349" spans="1:11">
      <c r="A349" s="9970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"Huérfano Obra")</f>
      </c>
      <c r="B349" s="9971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"No Reportado")</f>
      </c>
      <c r="C349" s="9972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Captura_Obra!N53)</f>
      </c>
      <c r="D349" s="9973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"❌ Falta en Pipa")</f>
      </c>
      <c r="E349" s="9974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Captura_Obra!A53)</f>
      </c>
      <c r="F349" s="9975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Captura_Obra!B53)</f>
      </c>
      <c r="G349" s="9976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Captura_Obra!D53)</f>
      </c>
      <c r="H349" s="9977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0)</f>
      </c>
      <c r="I349" s="9978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Captura_Obra!F53)</f>
      </c>
      <c r="J349" s="9979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H349 - I349)</f>
      </c>
      <c r="K349" s="4158"/>
    </row>
    <row r="350" spans="1:11">
      <c r="A350" s="9980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"Huérfano Obra")</f>
      </c>
      <c r="B350" s="9981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"No Reportado")</f>
      </c>
      <c r="C350" s="9982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Captura_Obra!N54)</f>
      </c>
      <c r="D350" s="9983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"❌ Falta en Pipa")</f>
      </c>
      <c r="E350" s="9984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Captura_Obra!A54)</f>
      </c>
      <c r="F350" s="9985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Captura_Obra!B54)</f>
      </c>
      <c r="G350" s="9986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Captura_Obra!D54)</f>
      </c>
      <c r="H350" s="9987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0)</f>
      </c>
      <c r="I350" s="9988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Captura_Obra!F54)</f>
      </c>
      <c r="J350" s="9989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H350 - I350)</f>
      </c>
      <c r="K350" s="4159"/>
    </row>
    <row r="351" spans="1:11">
      <c r="A351" s="9990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"Huérfano Obra")</f>
      </c>
      <c r="B351" s="9991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"No Reportado")</f>
      </c>
      <c r="C351" s="9992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Captura_Obra!N55)</f>
      </c>
      <c r="D351" s="9993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"❌ Falta en Pipa")</f>
      </c>
      <c r="E351" s="9994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Captura_Obra!A55)</f>
      </c>
      <c r="F351" s="9995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Captura_Obra!B55)</f>
      </c>
      <c r="G351" s="9996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Captura_Obra!D55)</f>
      </c>
      <c r="H351" s="9997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0)</f>
      </c>
      <c r="I351" s="9998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Captura_Obra!F55)</f>
      </c>
      <c r="J351" s="9999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H351 - I351)</f>
      </c>
      <c r="K351" s="4160"/>
    </row>
    <row r="352" spans="1:11">
      <c r="A352" s="10000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"Huérfano Obra")</f>
      </c>
      <c r="B352" s="10001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"No Reportado")</f>
      </c>
      <c r="C352" s="10002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Captura_Obra!N56)</f>
      </c>
      <c r="D352" s="10003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"❌ Falta en Pipa")</f>
      </c>
      <c r="E352" s="10004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Captura_Obra!A56)</f>
      </c>
      <c r="F352" s="10005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Captura_Obra!B56)</f>
      </c>
      <c r="G352" s="10006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Captura_Obra!D56)</f>
      </c>
      <c r="H352" s="10007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0)</f>
      </c>
      <c r="I352" s="10008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Captura_Obra!F56)</f>
      </c>
      <c r="J352" s="10009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H352 - I352)</f>
      </c>
      <c r="K352" s="4161"/>
    </row>
    <row r="353" spans="1:11">
      <c r="A353" s="10010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"Huérfano Obra")</f>
      </c>
      <c r="B353" s="10011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"No Reportado")</f>
      </c>
      <c r="C353" s="10012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Captura_Obra!N57)</f>
      </c>
      <c r="D353" s="10013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"❌ Falta en Pipa")</f>
      </c>
      <c r="E353" s="10014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Captura_Obra!A57)</f>
      </c>
      <c r="F353" s="10015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Captura_Obra!B57)</f>
      </c>
      <c r="G353" s="10016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Captura_Obra!D57)</f>
      </c>
      <c r="H353" s="10017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0)</f>
      </c>
      <c r="I353" s="10018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Captura_Obra!F57)</f>
      </c>
      <c r="J353" s="10019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H353 - I353)</f>
      </c>
      <c r="K353" s="4162"/>
    </row>
    <row r="354" spans="1:11">
      <c r="A354" s="10020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"Huérfano Obra")</f>
      </c>
      <c r="B354" s="10021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"No Reportado")</f>
      </c>
      <c r="C354" s="10022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Captura_Obra!N58)</f>
      </c>
      <c r="D354" s="10023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"❌ Falta en Pipa")</f>
      </c>
      <c r="E354" s="10024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Captura_Obra!A58)</f>
      </c>
      <c r="F354" s="10025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Captura_Obra!B58)</f>
      </c>
      <c r="G354" s="10026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Captura_Obra!D58)</f>
      </c>
      <c r="H354" s="10027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0)</f>
      </c>
      <c r="I354" s="10028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Captura_Obra!F58)</f>
      </c>
      <c r="J354" s="10029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H354 - I354)</f>
      </c>
      <c r="K354" s="4163"/>
    </row>
    <row r="355" spans="1:11">
      <c r="A355" s="10030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"Huérfano Obra")</f>
      </c>
      <c r="B355" s="10031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"No Reportado")</f>
      </c>
      <c r="C355" s="10032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Captura_Obra!N59)</f>
      </c>
      <c r="D355" s="10033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"❌ Falta en Pipa")</f>
      </c>
      <c r="E355" s="10034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Captura_Obra!A59)</f>
      </c>
      <c r="F355" s="10035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Captura_Obra!B59)</f>
      </c>
      <c r="G355" s="10036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Captura_Obra!D59)</f>
      </c>
      <c r="H355" s="10037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0)</f>
      </c>
      <c r="I355" s="10038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Captura_Obra!F59)</f>
      </c>
      <c r="J355" s="10039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H355 - I355)</f>
      </c>
      <c r="K355" s="4164"/>
    </row>
    <row r="356" spans="1:11">
      <c r="A356" s="10040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"Huérfano Obra")</f>
      </c>
      <c r="B356" s="10041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"No Reportado")</f>
      </c>
      <c r="C356" s="10042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Captura_Obra!N60)</f>
      </c>
      <c r="D356" s="10043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"❌ Falta en Pipa")</f>
      </c>
      <c r="E356" s="10044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Captura_Obra!A60)</f>
      </c>
      <c r="F356" s="10045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Captura_Obra!B60)</f>
      </c>
      <c r="G356" s="10046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Captura_Obra!D60)</f>
      </c>
      <c r="H356" s="10047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0)</f>
      </c>
      <c r="I356" s="10048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Captura_Obra!F60)</f>
      </c>
      <c r="J356" s="10049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H356 - I356)</f>
      </c>
      <c r="K356" s="4165"/>
    </row>
    <row r="357" spans="1:11">
      <c r="A357" s="10050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"Huérfano Obra")</f>
      </c>
      <c r="B357" s="10051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"No Reportado")</f>
      </c>
      <c r="C357" s="10052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Captura_Obra!N61)</f>
      </c>
      <c r="D357" s="10053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"❌ Falta en Pipa")</f>
      </c>
      <c r="E357" s="10054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Captura_Obra!A61)</f>
      </c>
      <c r="F357" s="10055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Captura_Obra!B61)</f>
      </c>
      <c r="G357" s="10056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Captura_Obra!D61)</f>
      </c>
      <c r="H357" s="10057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0)</f>
      </c>
      <c r="I357" s="10058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Captura_Obra!F61)</f>
      </c>
      <c r="J357" s="10059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H357 - I357)</f>
      </c>
      <c r="K357" s="4166"/>
    </row>
    <row r="358" spans="1:11">
      <c r="A358" s="10060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"Huérfano Obra")</f>
      </c>
      <c r="B358" s="10061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"No Reportado")</f>
      </c>
      <c r="C358" s="10062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Captura_Obra!N62)</f>
      </c>
      <c r="D358" s="10063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"❌ Falta en Pipa")</f>
      </c>
      <c r="E358" s="10064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Captura_Obra!A62)</f>
      </c>
      <c r="F358" s="10065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Captura_Obra!B62)</f>
      </c>
      <c r="G358" s="10066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Captura_Obra!D62)</f>
      </c>
      <c r="H358" s="10067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0)</f>
      </c>
      <c r="I358" s="10068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Captura_Obra!F62)</f>
      </c>
      <c r="J358" s="10069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H358 - I358)</f>
      </c>
      <c r="K358" s="4167"/>
    </row>
    <row r="359" spans="1:11">
      <c r="A359" s="10070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"Huérfano Obra")</f>
      </c>
      <c r="B359" s="10071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"No Reportado")</f>
      </c>
      <c r="C359" s="10072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Captura_Obra!N63)</f>
      </c>
      <c r="D359" s="10073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"❌ Falta en Pipa")</f>
      </c>
      <c r="E359" s="10074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Captura_Obra!A63)</f>
      </c>
      <c r="F359" s="10075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Captura_Obra!B63)</f>
      </c>
      <c r="G359" s="10076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Captura_Obra!D63)</f>
      </c>
      <c r="H359" s="10077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0)</f>
      </c>
      <c r="I359" s="10078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Captura_Obra!F63)</f>
      </c>
      <c r="J359" s="10079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H359 - I359)</f>
      </c>
      <c r="K359" s="4168"/>
    </row>
    <row r="360" spans="1:11">
      <c r="A360" s="10080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"Huérfano Obra")</f>
      </c>
      <c r="B360" s="10081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"No Reportado")</f>
      </c>
      <c r="C360" s="10082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Captura_Obra!N64)</f>
      </c>
      <c r="D360" s="10083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"❌ Falta en Pipa")</f>
      </c>
      <c r="E360" s="10084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Captura_Obra!A64)</f>
      </c>
      <c r="F360" s="10085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Captura_Obra!B64)</f>
      </c>
      <c r="G360" s="10086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Captura_Obra!D64)</f>
      </c>
      <c r="H360" s="10087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0)</f>
      </c>
      <c r="I360" s="10088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Captura_Obra!F64)</f>
      </c>
      <c r="J360" s="10089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H360 - I360)</f>
      </c>
      <c r="K360" s="4169"/>
    </row>
    <row r="361" spans="1:11">
      <c r="A361" s="10090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"Huérfano Obra")</f>
      </c>
      <c r="B361" s="10091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"No Reportado")</f>
      </c>
      <c r="C361" s="10092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Captura_Obra!N65)</f>
      </c>
      <c r="D361" s="10093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"❌ Falta en Pipa")</f>
      </c>
      <c r="E361" s="10094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Captura_Obra!A65)</f>
      </c>
      <c r="F361" s="10095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Captura_Obra!B65)</f>
      </c>
      <c r="G361" s="10096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Captura_Obra!D65)</f>
      </c>
      <c r="H361" s="10097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0)</f>
      </c>
      <c r="I361" s="10098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Captura_Obra!F65)</f>
      </c>
      <c r="J361" s="10099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H361 - I361)</f>
      </c>
      <c r="K361" s="4170"/>
    </row>
    <row r="362" spans="1:11">
      <c r="A362" s="10100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"Huérfano Obra")</f>
      </c>
      <c r="B362" s="10101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"No Reportado")</f>
      </c>
      <c r="C362" s="10102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Captura_Obra!N66)</f>
      </c>
      <c r="D362" s="10103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"❌ Falta en Pipa")</f>
      </c>
      <c r="E362" s="10104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Captura_Obra!A66)</f>
      </c>
      <c r="F362" s="10105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Captura_Obra!B66)</f>
      </c>
      <c r="G362" s="10106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Captura_Obra!D66)</f>
      </c>
      <c r="H362" s="10107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0)</f>
      </c>
      <c r="I362" s="10108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Captura_Obra!F66)</f>
      </c>
      <c r="J362" s="10109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H362 - I362)</f>
      </c>
      <c r="K362" s="4171"/>
    </row>
    <row r="363" spans="1:11">
      <c r="A363" s="10110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"Huérfano Obra")</f>
      </c>
      <c r="B363" s="10111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"No Reportado")</f>
      </c>
      <c r="C363" s="10112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Captura_Obra!N67)</f>
      </c>
      <c r="D363" s="10113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"❌ Falta en Pipa")</f>
      </c>
      <c r="E363" s="10114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Captura_Obra!A67)</f>
      </c>
      <c r="F363" s="10115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Captura_Obra!B67)</f>
      </c>
      <c r="G363" s="10116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Captura_Obra!D67)</f>
      </c>
      <c r="H363" s="10117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0)</f>
      </c>
      <c r="I363" s="10118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Captura_Obra!F67)</f>
      </c>
      <c r="J363" s="10119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H363 - I363)</f>
      </c>
      <c r="K363" s="4172"/>
    </row>
    <row r="364" spans="1:11">
      <c r="A364" s="10120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"Huérfano Obra")</f>
      </c>
      <c r="B364" s="10121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"No Reportado")</f>
      </c>
      <c r="C364" s="10122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Captura_Obra!N68)</f>
      </c>
      <c r="D364" s="10123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"❌ Falta en Pipa")</f>
      </c>
      <c r="E364" s="10124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Captura_Obra!A68)</f>
      </c>
      <c r="F364" s="10125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Captura_Obra!B68)</f>
      </c>
      <c r="G364" s="10126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Captura_Obra!D68)</f>
      </c>
      <c r="H364" s="10127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0)</f>
      </c>
      <c r="I364" s="10128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Captura_Obra!F68)</f>
      </c>
      <c r="J364" s="10129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H364 - I364)</f>
      </c>
      <c r="K364" s="4173"/>
    </row>
    <row r="365" spans="1:11">
      <c r="A365" s="10130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"Huérfano Obra")</f>
      </c>
      <c r="B365" s="10131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"No Reportado")</f>
      </c>
      <c r="C365" s="10132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Captura_Obra!N69)</f>
      </c>
      <c r="D365" s="10133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"❌ Falta en Pipa")</f>
      </c>
      <c r="E365" s="10134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Captura_Obra!A69)</f>
      </c>
      <c r="F365" s="10135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Captura_Obra!B69)</f>
      </c>
      <c r="G365" s="10136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Captura_Obra!D69)</f>
      </c>
      <c r="H365" s="10137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0)</f>
      </c>
      <c r="I365" s="10138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Captura_Obra!F69)</f>
      </c>
      <c r="J365" s="10139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H365 - I365)</f>
      </c>
      <c r="K365" s="4174"/>
    </row>
    <row r="366" spans="1:11">
      <c r="A366" s="10140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"Huérfano Obra")</f>
      </c>
      <c r="B366" s="10141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"No Reportado")</f>
      </c>
      <c r="C366" s="10142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Captura_Obra!N70)</f>
      </c>
      <c r="D366" s="10143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"❌ Falta en Pipa")</f>
      </c>
      <c r="E366" s="10144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Captura_Obra!A70)</f>
      </c>
      <c r="F366" s="10145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Captura_Obra!B70)</f>
      </c>
      <c r="G366" s="10146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Captura_Obra!D70)</f>
      </c>
      <c r="H366" s="10147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0)</f>
      </c>
      <c r="I366" s="10148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Captura_Obra!F70)</f>
      </c>
      <c r="J366" s="10149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H366 - I366)</f>
      </c>
      <c r="K366" s="4175"/>
    </row>
    <row r="367" spans="1:11">
      <c r="A367" s="10150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"Huérfano Obra")</f>
      </c>
      <c r="B367" s="10151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"No Reportado")</f>
      </c>
      <c r="C367" s="10152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Captura_Obra!N71)</f>
      </c>
      <c r="D367" s="10153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"❌ Falta en Pipa")</f>
      </c>
      <c r="E367" s="10154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Captura_Obra!A71)</f>
      </c>
      <c r="F367" s="10155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Captura_Obra!B71)</f>
      </c>
      <c r="G367" s="10156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Captura_Obra!D71)</f>
      </c>
      <c r="H367" s="10157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0)</f>
      </c>
      <c r="I367" s="10158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Captura_Obra!F71)</f>
      </c>
      <c r="J367" s="10159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H367 - I367)</f>
      </c>
      <c r="K367" s="4176"/>
    </row>
    <row r="368" spans="1:11">
      <c r="A368" s="10160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"Huérfano Obra")</f>
      </c>
      <c r="B368" s="10161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"No Reportado")</f>
      </c>
      <c r="C368" s="10162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Captura_Obra!N72)</f>
      </c>
      <c r="D368" s="10163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"❌ Falta en Pipa")</f>
      </c>
      <c r="E368" s="10164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Captura_Obra!A72)</f>
      </c>
      <c r="F368" s="10165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Captura_Obra!B72)</f>
      </c>
      <c r="G368" s="10166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Captura_Obra!D72)</f>
      </c>
      <c r="H368" s="10167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0)</f>
      </c>
      <c r="I368" s="10168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Captura_Obra!F72)</f>
      </c>
      <c r="J368" s="10169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H368 - I368)</f>
      </c>
      <c r="K368" s="4177"/>
    </row>
    <row r="369" spans="1:11">
      <c r="A369" s="10170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"Huérfano Obra")</f>
      </c>
      <c r="B369" s="10171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"No Reportado")</f>
      </c>
      <c r="C369" s="10172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Captura_Obra!N73)</f>
      </c>
      <c r="D369" s="10173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"❌ Falta en Pipa")</f>
      </c>
      <c r="E369" s="10174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Captura_Obra!A73)</f>
      </c>
      <c r="F369" s="10175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Captura_Obra!B73)</f>
      </c>
      <c r="G369" s="10176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Captura_Obra!D73)</f>
      </c>
      <c r="H369" s="10177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0)</f>
      </c>
      <c r="I369" s="10178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Captura_Obra!F73)</f>
      </c>
      <c r="J369" s="10179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H369 - I369)</f>
      </c>
      <c r="K369" s="4178"/>
    </row>
    <row r="370" spans="1:11">
      <c r="A370" s="10180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"Huérfano Obra")</f>
      </c>
      <c r="B370" s="10181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"No Reportado")</f>
      </c>
      <c r="C370" s="10182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Captura_Obra!N74)</f>
      </c>
      <c r="D370" s="10183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"❌ Falta en Pipa")</f>
      </c>
      <c r="E370" s="10184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Captura_Obra!A74)</f>
      </c>
      <c r="F370" s="10185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Captura_Obra!B74)</f>
      </c>
      <c r="G370" s="10186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Captura_Obra!D74)</f>
      </c>
      <c r="H370" s="10187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0)</f>
      </c>
      <c r="I370" s="10188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Captura_Obra!F74)</f>
      </c>
      <c r="J370" s="10189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H370 - I370)</f>
      </c>
      <c r="K370" s="4179"/>
    </row>
    <row r="371" spans="1:11">
      <c r="A371" s="10190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"Huérfano Obra")</f>
      </c>
      <c r="B371" s="10191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"No Reportado")</f>
      </c>
      <c r="C371" s="10192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Captura_Obra!N75)</f>
      </c>
      <c r="D371" s="10193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"❌ Falta en Pipa")</f>
      </c>
      <c r="E371" s="10194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Captura_Obra!A75)</f>
      </c>
      <c r="F371" s="10195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Captura_Obra!B75)</f>
      </c>
      <c r="G371" s="10196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Captura_Obra!D75)</f>
      </c>
      <c r="H371" s="10197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0)</f>
      </c>
      <c r="I371" s="10198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Captura_Obra!F75)</f>
      </c>
      <c r="J371" s="10199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H371 - I371)</f>
      </c>
      <c r="K371" s="4180"/>
    </row>
    <row r="372" spans="1:11">
      <c r="A372" s="10200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"Huérfano Obra")</f>
      </c>
      <c r="B372" s="10201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"No Reportado")</f>
      </c>
      <c r="C372" s="10202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Captura_Obra!N76)</f>
      </c>
      <c r="D372" s="10203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"❌ Falta en Pipa")</f>
      </c>
      <c r="E372" s="10204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Captura_Obra!A76)</f>
      </c>
      <c r="F372" s="10205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Captura_Obra!B76)</f>
      </c>
      <c r="G372" s="10206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Captura_Obra!D76)</f>
      </c>
      <c r="H372" s="10207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0)</f>
      </c>
      <c r="I372" s="10208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Captura_Obra!F76)</f>
      </c>
      <c r="J372" s="10209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H372 - I372)</f>
      </c>
      <c r="K372" s="4181"/>
    </row>
    <row r="373" spans="1:11">
      <c r="A373" s="10210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"Huérfano Obra")</f>
      </c>
      <c r="B373" s="10211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"No Reportado")</f>
      </c>
      <c r="C373" s="10212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Captura_Obra!N77)</f>
      </c>
      <c r="D373" s="10213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"❌ Falta en Pipa")</f>
      </c>
      <c r="E373" s="10214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Captura_Obra!A77)</f>
      </c>
      <c r="F373" s="10215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Captura_Obra!B77)</f>
      </c>
      <c r="G373" s="10216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Captura_Obra!D77)</f>
      </c>
      <c r="H373" s="10217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0)</f>
      </c>
      <c r="I373" s="10218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Captura_Obra!F77)</f>
      </c>
      <c r="J373" s="10219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H373 - I373)</f>
      </c>
      <c r="K373" s="4182"/>
    </row>
    <row r="374" spans="1:11">
      <c r="A374" s="10220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"Huérfano Obra")</f>
      </c>
      <c r="B374" s="10221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"No Reportado")</f>
      </c>
      <c r="C374" s="10222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Captura_Obra!N78)</f>
      </c>
      <c r="D374" s="10223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"❌ Falta en Pipa")</f>
      </c>
      <c r="E374" s="10224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Captura_Obra!A78)</f>
      </c>
      <c r="F374" s="10225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Captura_Obra!B78)</f>
      </c>
      <c r="G374" s="10226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Captura_Obra!D78)</f>
      </c>
      <c r="H374" s="10227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0)</f>
      </c>
      <c r="I374" s="10228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Captura_Obra!F78)</f>
      </c>
      <c r="J374" s="10229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H374 - I374)</f>
      </c>
      <c r="K374" s="4183"/>
    </row>
    <row r="375" spans="1:11">
      <c r="A375" s="10230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"Huérfano Obra")</f>
      </c>
      <c r="B375" s="10231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"No Reportado")</f>
      </c>
      <c r="C375" s="10232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Captura_Obra!N79)</f>
      </c>
      <c r="D375" s="10233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"❌ Falta en Pipa")</f>
      </c>
      <c r="E375" s="10234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Captura_Obra!A79)</f>
      </c>
      <c r="F375" s="10235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Captura_Obra!B79)</f>
      </c>
      <c r="G375" s="10236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Captura_Obra!D79)</f>
      </c>
      <c r="H375" s="10237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0)</f>
      </c>
      <c r="I375" s="10238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Captura_Obra!F79)</f>
      </c>
      <c r="J375" s="10239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H375 - I375)</f>
      </c>
      <c r="K375" s="4184"/>
    </row>
    <row r="376" spans="1:11">
      <c r="A376" s="10240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"Huérfano Obra")</f>
      </c>
      <c r="B376" s="10241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"No Reportado")</f>
      </c>
      <c r="C376" s="10242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Captura_Obra!N80)</f>
      </c>
      <c r="D376" s="10243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"❌ Falta en Pipa")</f>
      </c>
      <c r="E376" s="10244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Captura_Obra!A80)</f>
      </c>
      <c r="F376" s="10245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Captura_Obra!B80)</f>
      </c>
      <c r="G376" s="10246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Captura_Obra!D80)</f>
      </c>
      <c r="H376" s="10247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0)</f>
      </c>
      <c r="I376" s="10248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Captura_Obra!F80)</f>
      </c>
      <c r="J376" s="10249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H376 - I376)</f>
      </c>
      <c r="K376" s="4185"/>
    </row>
    <row r="377" spans="1:11">
      <c r="A377" s="10250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"Huérfano Obra")</f>
      </c>
      <c r="B377" s="10251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"No Reportado")</f>
      </c>
      <c r="C377" s="10252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Captura_Obra!N81)</f>
      </c>
      <c r="D377" s="10253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"❌ Falta en Pipa")</f>
      </c>
      <c r="E377" s="10254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Captura_Obra!A81)</f>
      </c>
      <c r="F377" s="10255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Captura_Obra!B81)</f>
      </c>
      <c r="G377" s="10256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Captura_Obra!D81)</f>
      </c>
      <c r="H377" s="10257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0)</f>
      </c>
      <c r="I377" s="10258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Captura_Obra!F81)</f>
      </c>
      <c r="J377" s="10259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H377 - I377)</f>
      </c>
      <c r="K377" s="4186"/>
    </row>
    <row r="378" spans="1:11">
      <c r="A378" s="10260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"Huérfano Obra")</f>
      </c>
      <c r="B378" s="10261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"No Reportado")</f>
      </c>
      <c r="C378" s="10262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Captura_Obra!N82)</f>
      </c>
      <c r="D378" s="10263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"❌ Falta en Pipa")</f>
      </c>
      <c r="E378" s="10264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Captura_Obra!A82)</f>
      </c>
      <c r="F378" s="10265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Captura_Obra!B82)</f>
      </c>
      <c r="G378" s="10266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Captura_Obra!D82)</f>
      </c>
      <c r="H378" s="10267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0)</f>
      </c>
      <c r="I378" s="10268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Captura_Obra!F82)</f>
      </c>
      <c r="J378" s="10269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H378 - I378)</f>
      </c>
      <c r="K378" s="4187"/>
    </row>
    <row r="379" spans="1:11">
      <c r="A379" s="10270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"Huérfano Obra")</f>
      </c>
      <c r="B379" s="10271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"No Reportado")</f>
      </c>
      <c r="C379" s="10272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Captura_Obra!N83)</f>
      </c>
      <c r="D379" s="10273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"❌ Falta en Pipa")</f>
      </c>
      <c r="E379" s="10274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Captura_Obra!A83)</f>
      </c>
      <c r="F379" s="10275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Captura_Obra!B83)</f>
      </c>
      <c r="G379" s="10276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Captura_Obra!D83)</f>
      </c>
      <c r="H379" s="10277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0)</f>
      </c>
      <c r="I379" s="10278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Captura_Obra!F83)</f>
      </c>
      <c r="J379" s="10279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H379 - I379)</f>
      </c>
      <c r="K379" s="4188"/>
    </row>
    <row r="380" spans="1:11">
      <c r="A380" s="10280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"Huérfano Obra")</f>
      </c>
      <c r="B380" s="10281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"No Reportado")</f>
      </c>
      <c r="C380" s="10282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Captura_Obra!N84)</f>
      </c>
      <c r="D380" s="10283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"❌ Falta en Pipa")</f>
      </c>
      <c r="E380" s="10284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Captura_Obra!A84)</f>
      </c>
      <c r="F380" s="10285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Captura_Obra!B84)</f>
      </c>
      <c r="G380" s="10286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Captura_Obra!D84)</f>
      </c>
      <c r="H380" s="10287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0)</f>
      </c>
      <c r="I380" s="10288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Captura_Obra!F84)</f>
      </c>
      <c r="J380" s="10289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H380 - I380)</f>
      </c>
      <c r="K380" s="4189"/>
    </row>
    <row r="381" spans="1:11">
      <c r="A381" s="10290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"Huérfano Obra")</f>
      </c>
      <c r="B381" s="10291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"No Reportado")</f>
      </c>
      <c r="C381" s="10292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Captura_Obra!N85)</f>
      </c>
      <c r="D381" s="10293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"❌ Falta en Pipa")</f>
      </c>
      <c r="E381" s="10294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Captura_Obra!A85)</f>
      </c>
      <c r="F381" s="10295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Captura_Obra!B85)</f>
      </c>
      <c r="G381" s="10296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Captura_Obra!D85)</f>
      </c>
      <c r="H381" s="10297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0)</f>
      </c>
      <c r="I381" s="10298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Captura_Obra!F85)</f>
      </c>
      <c r="J381" s="10299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H381 - I381)</f>
      </c>
      <c r="K381" s="4190"/>
    </row>
    <row r="382" spans="1:11">
      <c r="A382" s="10300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"Huérfano Obra")</f>
      </c>
      <c r="B382" s="10301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"No Reportado")</f>
      </c>
      <c r="C382" s="10302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Captura_Obra!N86)</f>
      </c>
      <c r="D382" s="10303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"❌ Falta en Pipa")</f>
      </c>
      <c r="E382" s="10304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Captura_Obra!A86)</f>
      </c>
      <c r="F382" s="10305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Captura_Obra!B86)</f>
      </c>
      <c r="G382" s="10306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Captura_Obra!D86)</f>
      </c>
      <c r="H382" s="10307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0)</f>
      </c>
      <c r="I382" s="10308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Captura_Obra!F86)</f>
      </c>
      <c r="J382" s="10309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H382 - I382)</f>
      </c>
      <c r="K382" s="4191"/>
    </row>
    <row r="383" spans="1:11">
      <c r="A383" s="10310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"Huérfano Obra")</f>
      </c>
      <c r="B383" s="10311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"No Reportado")</f>
      </c>
      <c r="C383" s="10312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Captura_Obra!N87)</f>
      </c>
      <c r="D383" s="10313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"❌ Falta en Pipa")</f>
      </c>
      <c r="E383" s="10314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Captura_Obra!A87)</f>
      </c>
      <c r="F383" s="10315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Captura_Obra!B87)</f>
      </c>
      <c r="G383" s="10316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Captura_Obra!D87)</f>
      </c>
      <c r="H383" s="10317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0)</f>
      </c>
      <c r="I383" s="10318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Captura_Obra!F87)</f>
      </c>
      <c r="J383" s="10319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H383 - I383)</f>
      </c>
      <c r="K383" s="4192"/>
    </row>
    <row r="384" spans="1:11">
      <c r="A384" s="10320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"Huérfano Obra")</f>
      </c>
      <c r="B384" s="10321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"No Reportado")</f>
      </c>
      <c r="C384" s="10322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Captura_Obra!N88)</f>
      </c>
      <c r="D384" s="10323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"❌ Falta en Pipa")</f>
      </c>
      <c r="E384" s="10324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Captura_Obra!A88)</f>
      </c>
      <c r="F384" s="10325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Captura_Obra!B88)</f>
      </c>
      <c r="G384" s="10326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Captura_Obra!D88)</f>
      </c>
      <c r="H384" s="10327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0)</f>
      </c>
      <c r="I384" s="10328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Captura_Obra!F88)</f>
      </c>
      <c r="J384" s="10329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H384 - I384)</f>
      </c>
      <c r="K384" s="4193"/>
    </row>
    <row r="385" spans="1:11">
      <c r="A385" s="10330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"Huérfano Obra")</f>
      </c>
      <c r="B385" s="10331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"No Reportado")</f>
      </c>
      <c r="C385" s="10332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Captura_Obra!N89)</f>
      </c>
      <c r="D385" s="10333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"❌ Falta en Pipa")</f>
      </c>
      <c r="E385" s="10334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Captura_Obra!A89)</f>
      </c>
      <c r="F385" s="10335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Captura_Obra!B89)</f>
      </c>
      <c r="G385" s="10336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Captura_Obra!D89)</f>
      </c>
      <c r="H385" s="10337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0)</f>
      </c>
      <c r="I385" s="10338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Captura_Obra!F89)</f>
      </c>
      <c r="J385" s="10339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H385 - I385)</f>
      </c>
      <c r="K385" s="4194"/>
    </row>
    <row r="386" spans="1:11">
      <c r="A386" s="10340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"Huérfano Obra")</f>
      </c>
      <c r="B386" s="10341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"No Reportado")</f>
      </c>
      <c r="C386" s="10342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Captura_Obra!N90)</f>
      </c>
      <c r="D386" s="10343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"❌ Falta en Pipa")</f>
      </c>
      <c r="E386" s="10344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Captura_Obra!A90)</f>
      </c>
      <c r="F386" s="10345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Captura_Obra!B90)</f>
      </c>
      <c r="G386" s="10346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Captura_Obra!D90)</f>
      </c>
      <c r="H386" s="10347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0)</f>
      </c>
      <c r="I386" s="10348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Captura_Obra!F90)</f>
      </c>
      <c r="J386" s="10349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H386 - I386)</f>
      </c>
      <c r="K386" s="4195"/>
    </row>
    <row r="387" spans="1:11">
      <c r="A387" s="10350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"Huérfano Obra")</f>
      </c>
      <c r="B387" s="10351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"No Reportado")</f>
      </c>
      <c r="C387" s="10352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Captura_Obra!N91)</f>
      </c>
      <c r="D387" s="10353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"❌ Falta en Pipa")</f>
      </c>
      <c r="E387" s="10354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Captura_Obra!A91)</f>
      </c>
      <c r="F387" s="10355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Captura_Obra!B91)</f>
      </c>
      <c r="G387" s="10356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Captura_Obra!D91)</f>
      </c>
      <c r="H387" s="10357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0)</f>
      </c>
      <c r="I387" s="10358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Captura_Obra!F91)</f>
      </c>
      <c r="J387" s="10359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H387 - I387)</f>
      </c>
      <c r="K387" s="4196"/>
    </row>
    <row r="388" spans="1:11">
      <c r="A388" s="10360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"Huérfano Obra")</f>
      </c>
      <c r="B388" s="10361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"No Reportado")</f>
      </c>
      <c r="C388" s="10362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Captura_Obra!N92)</f>
      </c>
      <c r="D388" s="10363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"❌ Falta en Pipa")</f>
      </c>
      <c r="E388" s="10364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Captura_Obra!A92)</f>
      </c>
      <c r="F388" s="10365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Captura_Obra!B92)</f>
      </c>
      <c r="G388" s="10366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Captura_Obra!D92)</f>
      </c>
      <c r="H388" s="10367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0)</f>
      </c>
      <c r="I388" s="10368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Captura_Obra!F92)</f>
      </c>
      <c r="J388" s="10369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H388 - I388)</f>
      </c>
      <c r="K388" s="4197"/>
    </row>
    <row r="389" spans="1:11">
      <c r="A389" s="10370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"Huérfano Obra")</f>
      </c>
      <c r="B389" s="10371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"No Reportado")</f>
      </c>
      <c r="C389" s="10372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Captura_Obra!N93)</f>
      </c>
      <c r="D389" s="10373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"❌ Falta en Pipa")</f>
      </c>
      <c r="E389" s="10374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Captura_Obra!A93)</f>
      </c>
      <c r="F389" s="10375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Captura_Obra!B93)</f>
      </c>
      <c r="G389" s="10376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Captura_Obra!D93)</f>
      </c>
      <c r="H389" s="10377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0)</f>
      </c>
      <c r="I389" s="10378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Captura_Obra!F93)</f>
      </c>
      <c r="J389" s="10379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H389 - I389)</f>
      </c>
      <c r="K389" s="4198"/>
    </row>
    <row r="390" spans="1:11">
      <c r="A390" s="10380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"Huérfano Obra")</f>
      </c>
      <c r="B390" s="10381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"No Reportado")</f>
      </c>
      <c r="C390" s="10382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Captura_Obra!N94)</f>
      </c>
      <c r="D390" s="10383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"❌ Falta en Pipa")</f>
      </c>
      <c r="E390" s="10384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Captura_Obra!A94)</f>
      </c>
      <c r="F390" s="10385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Captura_Obra!B94)</f>
      </c>
      <c r="G390" s="10386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Captura_Obra!D94)</f>
      </c>
      <c r="H390" s="10387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0)</f>
      </c>
      <c r="I390" s="10388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Captura_Obra!F94)</f>
      </c>
      <c r="J390" s="10389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H390 - I390)</f>
      </c>
      <c r="K390" s="4199"/>
    </row>
    <row r="391" spans="1:11">
      <c r="A391" s="10390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"Huérfano Obra")</f>
      </c>
      <c r="B391" s="10391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"No Reportado")</f>
      </c>
      <c r="C391" s="10392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Captura_Obra!N95)</f>
      </c>
      <c r="D391" s="10393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"❌ Falta en Pipa")</f>
      </c>
      <c r="E391" s="10394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Captura_Obra!A95)</f>
      </c>
      <c r="F391" s="10395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Captura_Obra!B95)</f>
      </c>
      <c r="G391" s="10396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Captura_Obra!D95)</f>
      </c>
      <c r="H391" s="10397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0)</f>
      </c>
      <c r="I391" s="10398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Captura_Obra!F95)</f>
      </c>
      <c r="J391" s="10399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H391 - I391)</f>
      </c>
      <c r="K391" s="4200"/>
    </row>
    <row r="392" spans="1:11">
      <c r="A392" s="10400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"Huérfano Obra")</f>
      </c>
      <c r="B392" s="10401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"No Reportado")</f>
      </c>
      <c r="C392" s="10402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Captura_Obra!N96)</f>
      </c>
      <c r="D392" s="10403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"❌ Falta en Pipa")</f>
      </c>
      <c r="E392" s="10404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Captura_Obra!A96)</f>
      </c>
      <c r="F392" s="10405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Captura_Obra!B96)</f>
      </c>
      <c r="G392" s="10406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Captura_Obra!D96)</f>
      </c>
      <c r="H392" s="10407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0)</f>
      </c>
      <c r="I392" s="10408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Captura_Obra!F96)</f>
      </c>
      <c r="J392" s="10409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H392 - I392)</f>
      </c>
      <c r="K392" s="4201"/>
    </row>
    <row r="393" spans="1:11">
      <c r="A393" s="10410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"Huérfano Obra")</f>
      </c>
      <c r="B393" s="10411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"No Reportado")</f>
      </c>
      <c r="C393" s="10412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Captura_Obra!N97)</f>
      </c>
      <c r="D393" s="10413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"❌ Falta en Pipa")</f>
      </c>
      <c r="E393" s="10414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Captura_Obra!A97)</f>
      </c>
      <c r="F393" s="10415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Captura_Obra!B97)</f>
      </c>
      <c r="G393" s="10416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Captura_Obra!D97)</f>
      </c>
      <c r="H393" s="10417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0)</f>
      </c>
      <c r="I393" s="10418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Captura_Obra!F97)</f>
      </c>
      <c r="J393" s="10419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H393 - I393)</f>
      </c>
      <c r="K393" s="4202"/>
    </row>
    <row r="394" spans="1:11">
      <c r="A394" s="10420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"Huérfano Obra")</f>
      </c>
      <c r="B394" s="10421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"No Reportado")</f>
      </c>
      <c r="C394" s="10422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Captura_Obra!N98)</f>
      </c>
      <c r="D394" s="10423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"❌ Falta en Pipa")</f>
      </c>
      <c r="E394" s="10424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Captura_Obra!A98)</f>
      </c>
      <c r="F394" s="10425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Captura_Obra!B98)</f>
      </c>
      <c r="G394" s="10426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Captura_Obra!D98)</f>
      </c>
      <c r="H394" s="10427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0)</f>
      </c>
      <c r="I394" s="10428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Captura_Obra!F98)</f>
      </c>
      <c r="J394" s="10429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H394 - I394)</f>
      </c>
      <c r="K394" s="4203"/>
    </row>
    <row r="395" spans="1:11">
      <c r="A395" s="10430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"Huérfano Obra")</f>
      </c>
      <c r="B395" s="10431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"No Reportado")</f>
      </c>
      <c r="C395" s="10432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Captura_Obra!N99)</f>
      </c>
      <c r="D395" s="10433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"❌ Falta en Pipa")</f>
      </c>
      <c r="E395" s="10434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Captura_Obra!A99)</f>
      </c>
      <c r="F395" s="10435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Captura_Obra!B99)</f>
      </c>
      <c r="G395" s="10436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Captura_Obra!D99)</f>
      </c>
      <c r="H395" s="10437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0)</f>
      </c>
      <c r="I395" s="10438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Captura_Obra!F99)</f>
      </c>
      <c r="J395" s="10439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H395 - I395)</f>
      </c>
      <c r="K395" s="4204"/>
    </row>
    <row r="396" spans="1:11">
      <c r="A396" s="10440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"Huérfano Obra")</f>
      </c>
      <c r="B396" s="10441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"No Reportado")</f>
      </c>
      <c r="C396" s="10442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Captura_Obra!N100)</f>
      </c>
      <c r="D396" s="10443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"❌ Falta en Pipa")</f>
      </c>
      <c r="E396" s="10444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Captura_Obra!A100)</f>
      </c>
      <c r="F396" s="10445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Captura_Obra!B100)</f>
      </c>
      <c r="G396" s="10446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Captura_Obra!D100)</f>
      </c>
      <c r="H396" s="10447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0)</f>
      </c>
      <c r="I396" s="10448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Captura_Obra!F100)</f>
      </c>
      <c r="J396" s="10449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H396 - I396)</f>
      </c>
      <c r="K396" s="4205"/>
    </row>
    <row r="397" spans="1:11">
      <c r="A397" s="10450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"Huérfano Obra")</f>
      </c>
      <c r="B397" s="10451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"No Reportado")</f>
      </c>
      <c r="C397" s="10452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Captura_Obra!N101)</f>
      </c>
      <c r="D397" s="10453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"❌ Falta en Pipa")</f>
      </c>
      <c r="E397" s="10454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Captura_Obra!A101)</f>
      </c>
      <c r="F397" s="10455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Captura_Obra!B101)</f>
      </c>
      <c r="G397" s="10456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Captura_Obra!D101)</f>
      </c>
      <c r="H397" s="10457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0)</f>
      </c>
      <c r="I397" s="10458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Captura_Obra!F101)</f>
      </c>
      <c r="J397" s="10459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H397 - I397)</f>
      </c>
      <c r="K397" s="4206"/>
    </row>
    <row r="398" spans="1:11">
      <c r="A398" s="10460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"Huérfano Obra")</f>
      </c>
      <c r="B398" s="10461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"No Reportado")</f>
      </c>
      <c r="C398" s="10462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Captura_Obra!N102)</f>
      </c>
      <c r="D398" s="10463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"❌ Falta en Pipa")</f>
      </c>
      <c r="E398" s="10464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Captura_Obra!A102)</f>
      </c>
      <c r="F398" s="10465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Captura_Obra!B102)</f>
      </c>
      <c r="G398" s="10466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Captura_Obra!D102)</f>
      </c>
      <c r="H398" s="10467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0)</f>
      </c>
      <c r="I398" s="10468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Captura_Obra!F102)</f>
      </c>
      <c r="J398" s="10469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H398 - I398)</f>
      </c>
      <c r="K398" s="4207"/>
    </row>
    <row r="399" spans="1:11">
      <c r="A399" s="10470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"Huérfano Obra")</f>
      </c>
      <c r="B399" s="10471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"No Reportado")</f>
      </c>
      <c r="C399" s="10472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Captura_Obra!N103)</f>
      </c>
      <c r="D399" s="10473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"❌ Falta en Pipa")</f>
      </c>
      <c r="E399" s="10474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Captura_Obra!A103)</f>
      </c>
      <c r="F399" s="10475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Captura_Obra!B103)</f>
      </c>
      <c r="G399" s="10476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Captura_Obra!D103)</f>
      </c>
      <c r="H399" s="10477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0)</f>
      </c>
      <c r="I399" s="10478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Captura_Obra!F103)</f>
      </c>
      <c r="J399" s="10479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H399 - I399)</f>
      </c>
      <c r="K399" s="4208"/>
    </row>
    <row r="400" spans="1:11">
      <c r="A400" s="10480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"Huérfano Obra")</f>
      </c>
      <c r="B400" s="10481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"No Reportado")</f>
      </c>
      <c r="C400" s="10482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Captura_Obra!N104)</f>
      </c>
      <c r="D400" s="10483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"❌ Falta en Pipa")</f>
      </c>
      <c r="E400" s="10484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Captura_Obra!A104)</f>
      </c>
      <c r="F400" s="10485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Captura_Obra!B104)</f>
      </c>
      <c r="G400" s="10486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Captura_Obra!D104)</f>
      </c>
      <c r="H400" s="10487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0)</f>
      </c>
      <c r="I400" s="10488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Captura_Obra!F104)</f>
      </c>
      <c r="J400" s="10489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H400 - I400)</f>
      </c>
      <c r="K400" s="4209"/>
    </row>
    <row r="401" spans="1:11">
      <c r="A401" s="10490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"Huérfano Obra")</f>
      </c>
      <c r="B401" s="10491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"No Reportado")</f>
      </c>
      <c r="C401" s="10492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Captura_Obra!N105)</f>
      </c>
      <c r="D401" s="10493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"❌ Falta en Pipa")</f>
      </c>
      <c r="E401" s="10494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Captura_Obra!A105)</f>
      </c>
      <c r="F401" s="10495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Captura_Obra!B105)</f>
      </c>
      <c r="G401" s="10496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Captura_Obra!D105)</f>
      </c>
      <c r="H401" s="10497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0)</f>
      </c>
      <c r="I401" s="10498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Captura_Obra!F105)</f>
      </c>
      <c r="J401" s="10499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H401 - I401)</f>
      </c>
      <c r="K401" s="4210"/>
    </row>
    <row r="402" spans="1:11">
      <c r="A402" s="10500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"Huérfano Obra")</f>
      </c>
      <c r="B402" s="10501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"No Reportado")</f>
      </c>
      <c r="C402" s="10502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Captura_Obra!N106)</f>
      </c>
      <c r="D402" s="10503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"❌ Falta en Pipa")</f>
      </c>
      <c r="E402" s="10504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Captura_Obra!A106)</f>
      </c>
      <c r="F402" s="10505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Captura_Obra!B106)</f>
      </c>
      <c r="G402" s="10506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Captura_Obra!D106)</f>
      </c>
      <c r="H402" s="10507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0)</f>
      </c>
      <c r="I402" s="10508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Captura_Obra!F106)</f>
      </c>
      <c r="J402" s="10509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H402 - I402)</f>
      </c>
      <c r="K402" s="4211"/>
    </row>
    <row r="403" spans="1:11">
      <c r="A403" s="10510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"Huérfano Obra")</f>
      </c>
      <c r="B403" s="10511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"No Reportado")</f>
      </c>
      <c r="C403" s="10512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Captura_Obra!N107)</f>
      </c>
      <c r="D403" s="10513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"❌ Falta en Pipa")</f>
      </c>
      <c r="E403" s="10514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Captura_Obra!A107)</f>
      </c>
      <c r="F403" s="10515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Captura_Obra!B107)</f>
      </c>
      <c r="G403" s="10516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Captura_Obra!D107)</f>
      </c>
      <c r="H403" s="10517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0)</f>
      </c>
      <c r="I403" s="10518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Captura_Obra!F107)</f>
      </c>
      <c r="J403" s="10519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H403 - I403)</f>
      </c>
      <c r="K403" s="4212"/>
    </row>
    <row r="404" spans="1:11">
      <c r="A404" s="10520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"Huérfano Obra")</f>
      </c>
      <c r="B404" s="10521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"No Reportado")</f>
      </c>
      <c r="C404" s="10522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Captura_Obra!N108)</f>
      </c>
      <c r="D404" s="10523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"❌ Falta en Pipa")</f>
      </c>
      <c r="E404" s="10524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Captura_Obra!A108)</f>
      </c>
      <c r="F404" s="10525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Captura_Obra!B108)</f>
      </c>
      <c r="G404" s="10526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Captura_Obra!D108)</f>
      </c>
      <c r="H404" s="10527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0)</f>
      </c>
      <c r="I404" s="10528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Captura_Obra!F108)</f>
      </c>
      <c r="J404" s="10529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H404 - I404)</f>
      </c>
      <c r="K404" s="4213"/>
    </row>
    <row r="405" spans="1:11">
      <c r="A405" s="10530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"Huérfano Obra")</f>
      </c>
      <c r="B405" s="10531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"No Reportado")</f>
      </c>
      <c r="C405" s="10532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Captura_Obra!N109)</f>
      </c>
      <c r="D405" s="10533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"❌ Falta en Pipa")</f>
      </c>
      <c r="E405" s="10534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Captura_Obra!A109)</f>
      </c>
      <c r="F405" s="10535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Captura_Obra!B109)</f>
      </c>
      <c r="G405" s="10536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Captura_Obra!D109)</f>
      </c>
      <c r="H405" s="10537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0)</f>
      </c>
      <c r="I405" s="10538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Captura_Obra!F109)</f>
      </c>
      <c r="J405" s="10539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H405 - I405)</f>
      </c>
      <c r="K405" s="4214"/>
    </row>
    <row r="406" spans="1:11">
      <c r="A406" s="10540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"Huérfano Obra")</f>
      </c>
      <c r="B406" s="10541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"No Reportado")</f>
      </c>
      <c r="C406" s="10542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Captura_Obra!N110)</f>
      </c>
      <c r="D406" s="10543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"❌ Falta en Pipa")</f>
      </c>
      <c r="E406" s="10544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Captura_Obra!A110)</f>
      </c>
      <c r="F406" s="10545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Captura_Obra!B110)</f>
      </c>
      <c r="G406" s="10546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Captura_Obra!D110)</f>
      </c>
      <c r="H406" s="10547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0)</f>
      </c>
      <c r="I406" s="10548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Captura_Obra!F110)</f>
      </c>
      <c r="J406" s="10549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H406 - I406)</f>
      </c>
      <c r="K406" s="4215"/>
    </row>
    <row r="407" spans="1:11">
      <c r="A407" s="10550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"Huérfano Obra")</f>
      </c>
      <c r="B407" s="10551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"No Reportado")</f>
      </c>
      <c r="C407" s="10552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Captura_Obra!N111)</f>
      </c>
      <c r="D407" s="10553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"❌ Falta en Pipa")</f>
      </c>
      <c r="E407" s="10554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Captura_Obra!A111)</f>
      </c>
      <c r="F407" s="10555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Captura_Obra!B111)</f>
      </c>
      <c r="G407" s="10556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Captura_Obra!D111)</f>
      </c>
      <c r="H407" s="10557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0)</f>
      </c>
      <c r="I407" s="10558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Captura_Obra!F111)</f>
      </c>
      <c r="J407" s="10559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H407 - I407)</f>
      </c>
      <c r="K407" s="4216"/>
    </row>
    <row r="408" spans="1:11">
      <c r="A408" s="10560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"Huérfano Obra")</f>
      </c>
      <c r="B408" s="10561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"No Reportado")</f>
      </c>
      <c r="C408" s="10562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Captura_Obra!N112)</f>
      </c>
      <c r="D408" s="10563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"❌ Falta en Pipa")</f>
      </c>
      <c r="E408" s="10564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Captura_Obra!A112)</f>
      </c>
      <c r="F408" s="10565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Captura_Obra!B112)</f>
      </c>
      <c r="G408" s="10566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Captura_Obra!D112)</f>
      </c>
      <c r="H408" s="10567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0)</f>
      </c>
      <c r="I408" s="10568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Captura_Obra!F112)</f>
      </c>
      <c r="J408" s="10569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H408 - I408)</f>
      </c>
      <c r="K408" s="4217"/>
    </row>
    <row r="409" spans="1:11">
      <c r="A409" s="10570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"Huérfano Obra")</f>
      </c>
      <c r="B409" s="10571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"No Reportado")</f>
      </c>
      <c r="C409" s="10572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Captura_Obra!N113)</f>
      </c>
      <c r="D409" s="10573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"❌ Falta en Pipa")</f>
      </c>
      <c r="E409" s="10574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Captura_Obra!A113)</f>
      </c>
      <c r="F409" s="10575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Captura_Obra!B113)</f>
      </c>
      <c r="G409" s="10576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Captura_Obra!D113)</f>
      </c>
      <c r="H409" s="10577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0)</f>
      </c>
      <c r="I409" s="10578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Captura_Obra!F113)</f>
      </c>
      <c r="J409" s="10579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H409 - I409)</f>
      </c>
      <c r="K409" s="4218"/>
    </row>
    <row r="410" spans="1:11">
      <c r="A410" s="10580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"Huérfano Obra")</f>
      </c>
      <c r="B410" s="10581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"No Reportado")</f>
      </c>
      <c r="C410" s="10582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Captura_Obra!N114)</f>
      </c>
      <c r="D410" s="10583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"❌ Falta en Pipa")</f>
      </c>
      <c r="E410" s="10584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Captura_Obra!A114)</f>
      </c>
      <c r="F410" s="10585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Captura_Obra!B114)</f>
      </c>
      <c r="G410" s="10586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Captura_Obra!D114)</f>
      </c>
      <c r="H410" s="10587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0)</f>
      </c>
      <c r="I410" s="10588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Captura_Obra!F114)</f>
      </c>
      <c r="J410" s="10589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H410 - I410)</f>
      </c>
      <c r="K410" s="4219"/>
    </row>
    <row r="411" spans="1:11">
      <c r="A411" s="10590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"Huérfano Obra")</f>
      </c>
      <c r="B411" s="10591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"No Reportado")</f>
      </c>
      <c r="C411" s="10592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Captura_Obra!N115)</f>
      </c>
      <c r="D411" s="10593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"❌ Falta en Pipa")</f>
      </c>
      <c r="E411" s="10594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Captura_Obra!A115)</f>
      </c>
      <c r="F411" s="10595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Captura_Obra!B115)</f>
      </c>
      <c r="G411" s="10596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Captura_Obra!D115)</f>
      </c>
      <c r="H411" s="10597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0)</f>
      </c>
      <c r="I411" s="10598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Captura_Obra!F115)</f>
      </c>
      <c r="J411" s="10599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H411 - I411)</f>
      </c>
      <c r="K411" s="4220"/>
    </row>
    <row r="412" spans="1:11">
      <c r="A412" s="10600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"Huérfano Obra")</f>
      </c>
      <c r="B412" s="10601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"No Reportado")</f>
      </c>
      <c r="C412" s="10602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Captura_Obra!N116)</f>
      </c>
      <c r="D412" s="10603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"❌ Falta en Pipa")</f>
      </c>
      <c r="E412" s="10604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Captura_Obra!A116)</f>
      </c>
      <c r="F412" s="10605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Captura_Obra!B116)</f>
      </c>
      <c r="G412" s="10606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Captura_Obra!D116)</f>
      </c>
      <c r="H412" s="10607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0)</f>
      </c>
      <c r="I412" s="10608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Captura_Obra!F116)</f>
      </c>
      <c r="J412" s="10609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H412 - I412)</f>
      </c>
      <c r="K412" s="4221"/>
    </row>
    <row r="413" spans="1:11">
      <c r="A413" s="10610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"Huérfano Obra")</f>
      </c>
      <c r="B413" s="10611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"No Reportado")</f>
      </c>
      <c r="C413" s="10612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Captura_Obra!N117)</f>
      </c>
      <c r="D413" s="10613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"❌ Falta en Pipa")</f>
      </c>
      <c r="E413" s="10614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Captura_Obra!A117)</f>
      </c>
      <c r="F413" s="10615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Captura_Obra!B117)</f>
      </c>
      <c r="G413" s="10616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Captura_Obra!D117)</f>
      </c>
      <c r="H413" s="10617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0)</f>
      </c>
      <c r="I413" s="10618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Captura_Obra!F117)</f>
      </c>
      <c r="J413" s="10619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H413 - I413)</f>
      </c>
      <c r="K413" s="4222"/>
    </row>
    <row r="414" spans="1:11">
      <c r="A414" s="10620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"Huérfano Obra")</f>
      </c>
      <c r="B414" s="10621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"No Reportado")</f>
      </c>
      <c r="C414" s="10622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Captura_Obra!N118)</f>
      </c>
      <c r="D414" s="10623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"❌ Falta en Pipa")</f>
      </c>
      <c r="E414" s="10624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Captura_Obra!A118)</f>
      </c>
      <c r="F414" s="10625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Captura_Obra!B118)</f>
      </c>
      <c r="G414" s="10626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Captura_Obra!D118)</f>
      </c>
      <c r="H414" s="10627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0)</f>
      </c>
      <c r="I414" s="10628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Captura_Obra!F118)</f>
      </c>
      <c r="J414" s="10629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H414 - I414)</f>
      </c>
      <c r="K414" s="4223"/>
    </row>
    <row r="415" spans="1:11">
      <c r="A415" s="10630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"Huérfano Obra")</f>
      </c>
      <c r="B415" s="10631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"No Reportado")</f>
      </c>
      <c r="C415" s="10632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Captura_Obra!N119)</f>
      </c>
      <c r="D415" s="10633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"❌ Falta en Pipa")</f>
      </c>
      <c r="E415" s="10634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Captura_Obra!A119)</f>
      </c>
      <c r="F415" s="10635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Captura_Obra!B119)</f>
      </c>
      <c r="G415" s="10636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Captura_Obra!D119)</f>
      </c>
      <c r="H415" s="10637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0)</f>
      </c>
      <c r="I415" s="10638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Captura_Obra!F119)</f>
      </c>
      <c r="J415" s="10639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H415 - I415)</f>
      </c>
      <c r="K415" s="4224"/>
    </row>
    <row r="416" spans="1:11">
      <c r="A416" s="10640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"Huérfano Obra")</f>
      </c>
      <c r="B416" s="10641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"No Reportado")</f>
      </c>
      <c r="C416" s="10642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Captura_Obra!N120)</f>
      </c>
      <c r="D416" s="10643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"❌ Falta en Pipa")</f>
      </c>
      <c r="E416" s="10644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Captura_Obra!A120)</f>
      </c>
      <c r="F416" s="10645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Captura_Obra!B120)</f>
      </c>
      <c r="G416" s="10646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Captura_Obra!D120)</f>
      </c>
      <c r="H416" s="10647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0)</f>
      </c>
      <c r="I416" s="10648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Captura_Obra!F120)</f>
      </c>
      <c r="J416" s="10649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H416 - I416)</f>
      </c>
      <c r="K416" s="4225"/>
    </row>
    <row r="417" spans="1:11">
      <c r="A417" s="10650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"Huérfano Obra")</f>
      </c>
      <c r="B417" s="10651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"No Reportado")</f>
      </c>
      <c r="C417" s="10652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Captura_Obra!N121)</f>
      </c>
      <c r="D417" s="10653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"❌ Falta en Pipa")</f>
      </c>
      <c r="E417" s="10654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Captura_Obra!A121)</f>
      </c>
      <c r="F417" s="10655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Captura_Obra!B121)</f>
      </c>
      <c r="G417" s="10656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Captura_Obra!D121)</f>
      </c>
      <c r="H417" s="10657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0)</f>
      </c>
      <c r="I417" s="10658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Captura_Obra!F121)</f>
      </c>
      <c r="J417" s="10659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H417 - I417)</f>
      </c>
      <c r="K417" s="4226"/>
    </row>
    <row r="418" spans="1:11">
      <c r="A418" s="10660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"Huérfano Obra")</f>
      </c>
      <c r="B418" s="10661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"No Reportado")</f>
      </c>
      <c r="C418" s="10662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Captura_Obra!N122)</f>
      </c>
      <c r="D418" s="10663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"❌ Falta en Pipa")</f>
      </c>
      <c r="E418" s="10664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Captura_Obra!A122)</f>
      </c>
      <c r="F418" s="10665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Captura_Obra!B122)</f>
      </c>
      <c r="G418" s="10666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Captura_Obra!D122)</f>
      </c>
      <c r="H418" s="10667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0)</f>
      </c>
      <c r="I418" s="10668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Captura_Obra!F122)</f>
      </c>
      <c r="J418" s="10669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H418 - I418)</f>
      </c>
      <c r="K418" s="4227"/>
    </row>
    <row r="419" spans="1:11">
      <c r="A419" s="10670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"Huérfano Obra")</f>
      </c>
      <c r="B419" s="10671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"No Reportado")</f>
      </c>
      <c r="C419" s="10672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Captura_Obra!N123)</f>
      </c>
      <c r="D419" s="10673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"❌ Falta en Pipa")</f>
      </c>
      <c r="E419" s="10674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Captura_Obra!A123)</f>
      </c>
      <c r="F419" s="10675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Captura_Obra!B123)</f>
      </c>
      <c r="G419" s="10676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Captura_Obra!D123)</f>
      </c>
      <c r="H419" s="10677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0)</f>
      </c>
      <c r="I419" s="10678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Captura_Obra!F123)</f>
      </c>
      <c r="J419" s="10679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H419 - I419)</f>
      </c>
      <c r="K419" s="4228"/>
    </row>
    <row r="420" spans="1:11">
      <c r="A420" s="10680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"Huérfano Obra")</f>
      </c>
      <c r="B420" s="10681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"No Reportado")</f>
      </c>
      <c r="C420" s="10682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Captura_Obra!N124)</f>
      </c>
      <c r="D420" s="10683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"❌ Falta en Pipa")</f>
      </c>
      <c r="E420" s="10684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Captura_Obra!A124)</f>
      </c>
      <c r="F420" s="10685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Captura_Obra!B124)</f>
      </c>
      <c r="G420" s="10686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Captura_Obra!D124)</f>
      </c>
      <c r="H420" s="10687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0)</f>
      </c>
      <c r="I420" s="10688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Captura_Obra!F124)</f>
      </c>
      <c r="J420" s="10689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H420 - I420)</f>
      </c>
      <c r="K420" s="4229"/>
    </row>
    <row r="421" spans="1:11">
      <c r="A421" s="10690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"Huérfano Obra")</f>
      </c>
      <c r="B421" s="10691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"No Reportado")</f>
      </c>
      <c r="C421" s="10692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Captura_Obra!N125)</f>
      </c>
      <c r="D421" s="10693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"❌ Falta en Pipa")</f>
      </c>
      <c r="E421" s="10694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Captura_Obra!A125)</f>
      </c>
      <c r="F421" s="10695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Captura_Obra!B125)</f>
      </c>
      <c r="G421" s="10696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Captura_Obra!D125)</f>
      </c>
      <c r="H421" s="10697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0)</f>
      </c>
      <c r="I421" s="10698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Captura_Obra!F125)</f>
      </c>
      <c r="J421" s="10699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H421 - I421)</f>
      </c>
      <c r="K421" s="4230"/>
    </row>
    <row r="422" spans="1:11">
      <c r="A422" s="10700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"Huérfano Obra")</f>
      </c>
      <c r="B422" s="10701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"No Reportado")</f>
      </c>
      <c r="C422" s="10702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Captura_Obra!N126)</f>
      </c>
      <c r="D422" s="10703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"❌ Falta en Pipa")</f>
      </c>
      <c r="E422" s="10704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Captura_Obra!A126)</f>
      </c>
      <c r="F422" s="10705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Captura_Obra!B126)</f>
      </c>
      <c r="G422" s="10706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Captura_Obra!D126)</f>
      </c>
      <c r="H422" s="10707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0)</f>
      </c>
      <c r="I422" s="10708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Captura_Obra!F126)</f>
      </c>
      <c r="J422" s="10709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H422 - I422)</f>
      </c>
      <c r="K422" s="4231"/>
    </row>
    <row r="423" spans="1:11">
      <c r="A423" s="10710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"Huérfano Obra")</f>
      </c>
      <c r="B423" s="10711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"No Reportado")</f>
      </c>
      <c r="C423" s="10712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Captura_Obra!N127)</f>
      </c>
      <c r="D423" s="10713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"❌ Falta en Pipa")</f>
      </c>
      <c r="E423" s="10714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Captura_Obra!A127)</f>
      </c>
      <c r="F423" s="10715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Captura_Obra!B127)</f>
      </c>
      <c r="G423" s="10716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Captura_Obra!D127)</f>
      </c>
      <c r="H423" s="10717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0)</f>
      </c>
      <c r="I423" s="10718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Captura_Obra!F127)</f>
      </c>
      <c r="J423" s="10719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H423 - I423)</f>
      </c>
      <c r="K423" s="4232"/>
    </row>
    <row r="424" spans="1:11">
      <c r="A424" s="10720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"Huérfano Obra")</f>
      </c>
      <c r="B424" s="10721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"No Reportado")</f>
      </c>
      <c r="C424" s="10722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Captura_Obra!N128)</f>
      </c>
      <c r="D424" s="10723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"❌ Falta en Pipa")</f>
      </c>
      <c r="E424" s="10724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Captura_Obra!A128)</f>
      </c>
      <c r="F424" s="10725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Captura_Obra!B128)</f>
      </c>
      <c r="G424" s="10726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Captura_Obra!D128)</f>
      </c>
      <c r="H424" s="10727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0)</f>
      </c>
      <c r="I424" s="10728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Captura_Obra!F128)</f>
      </c>
      <c r="J424" s="10729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H424 - I424)</f>
      </c>
      <c r="K424" s="4233"/>
    </row>
    <row r="425" spans="1:11">
      <c r="A425" s="10730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"Huérfano Obra")</f>
      </c>
      <c r="B425" s="10731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"No Reportado")</f>
      </c>
      <c r="C425" s="10732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Captura_Obra!N129)</f>
      </c>
      <c r="D425" s="10733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"❌ Falta en Pipa")</f>
      </c>
      <c r="E425" s="10734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Captura_Obra!A129)</f>
      </c>
      <c r="F425" s="10735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Captura_Obra!B129)</f>
      </c>
      <c r="G425" s="10736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Captura_Obra!D129)</f>
      </c>
      <c r="H425" s="10737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0)</f>
      </c>
      <c r="I425" s="10738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Captura_Obra!F129)</f>
      </c>
      <c r="J425" s="10739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H425 - I425)</f>
      </c>
      <c r="K425" s="4234"/>
    </row>
    <row r="426" spans="1:11">
      <c r="A426" s="10740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"Huérfano Obra")</f>
      </c>
      <c r="B426" s="10741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"No Reportado")</f>
      </c>
      <c r="C426" s="10742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Captura_Obra!N130)</f>
      </c>
      <c r="D426" s="10743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"❌ Falta en Pipa")</f>
      </c>
      <c r="E426" s="10744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Captura_Obra!A130)</f>
      </c>
      <c r="F426" s="10745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Captura_Obra!B130)</f>
      </c>
      <c r="G426" s="10746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Captura_Obra!D130)</f>
      </c>
      <c r="H426" s="10747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0)</f>
      </c>
      <c r="I426" s="10748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Captura_Obra!F130)</f>
      </c>
      <c r="J426" s="10749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H426 - I426)</f>
      </c>
      <c r="K426" s="4235"/>
    </row>
    <row r="427" spans="1:11">
      <c r="A427" s="10750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"Huérfano Obra")</f>
      </c>
      <c r="B427" s="10751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"No Reportado")</f>
      </c>
      <c r="C427" s="10752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Captura_Obra!N131)</f>
      </c>
      <c r="D427" s="10753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"❌ Falta en Pipa")</f>
      </c>
      <c r="E427" s="10754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Captura_Obra!A131)</f>
      </c>
      <c r="F427" s="10755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Captura_Obra!B131)</f>
      </c>
      <c r="G427" s="10756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Captura_Obra!D131)</f>
      </c>
      <c r="H427" s="10757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0)</f>
      </c>
      <c r="I427" s="10758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Captura_Obra!F131)</f>
      </c>
      <c r="J427" s="10759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H427 - I427)</f>
      </c>
      <c r="K427" s="4236"/>
    </row>
    <row r="428" spans="1:11">
      <c r="A428" s="10760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"Huérfano Obra")</f>
      </c>
      <c r="B428" s="10761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"No Reportado")</f>
      </c>
      <c r="C428" s="10762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Captura_Obra!N132)</f>
      </c>
      <c r="D428" s="10763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"❌ Falta en Pipa")</f>
      </c>
      <c r="E428" s="10764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Captura_Obra!A132)</f>
      </c>
      <c r="F428" s="10765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Captura_Obra!B132)</f>
      </c>
      <c r="G428" s="10766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Captura_Obra!D132)</f>
      </c>
      <c r="H428" s="10767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0)</f>
      </c>
      <c r="I428" s="10768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Captura_Obra!F132)</f>
      </c>
      <c r="J428" s="10769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H428 - I428)</f>
      </c>
      <c r="K428" s="4237"/>
    </row>
    <row r="429" spans="1:11">
      <c r="A429" s="10770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"Huérfano Obra")</f>
      </c>
      <c r="B429" s="10771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"No Reportado")</f>
      </c>
      <c r="C429" s="10772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Captura_Obra!N133)</f>
      </c>
      <c r="D429" s="10773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"❌ Falta en Pipa")</f>
      </c>
      <c r="E429" s="10774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Captura_Obra!A133)</f>
      </c>
      <c r="F429" s="10775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Captura_Obra!B133)</f>
      </c>
      <c r="G429" s="10776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Captura_Obra!D133)</f>
      </c>
      <c r="H429" s="10777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0)</f>
      </c>
      <c r="I429" s="10778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Captura_Obra!F133)</f>
      </c>
      <c r="J429" s="10779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H429 - I429)</f>
      </c>
      <c r="K429" s="4238"/>
    </row>
    <row r="430" spans="1:11">
      <c r="A430" s="10780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"Huérfano Obra")</f>
      </c>
      <c r="B430" s="10781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"No Reportado")</f>
      </c>
      <c r="C430" s="10782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Captura_Obra!N134)</f>
      </c>
      <c r="D430" s="10783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"❌ Falta en Pipa")</f>
      </c>
      <c r="E430" s="10784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Captura_Obra!A134)</f>
      </c>
      <c r="F430" s="10785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Captura_Obra!B134)</f>
      </c>
      <c r="G430" s="10786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Captura_Obra!D134)</f>
      </c>
      <c r="H430" s="10787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0)</f>
      </c>
      <c r="I430" s="10788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Captura_Obra!F134)</f>
      </c>
      <c r="J430" s="10789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H430 - I430)</f>
      </c>
      <c r="K430" s="4239"/>
    </row>
    <row r="431" spans="1:11">
      <c r="A431" s="10790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"Huérfano Obra")</f>
      </c>
      <c r="B431" s="10791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"No Reportado")</f>
      </c>
      <c r="C431" s="10792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Captura_Obra!N135)</f>
      </c>
      <c r="D431" s="10793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"❌ Falta en Pipa")</f>
      </c>
      <c r="E431" s="10794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Captura_Obra!A135)</f>
      </c>
      <c r="F431" s="10795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Captura_Obra!B135)</f>
      </c>
      <c r="G431" s="10796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Captura_Obra!D135)</f>
      </c>
      <c r="H431" s="10797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0)</f>
      </c>
      <c r="I431" s="10798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Captura_Obra!F135)</f>
      </c>
      <c r="J431" s="10799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H431 - I431)</f>
      </c>
      <c r="K431" s="4240"/>
    </row>
    <row r="432" spans="1:11">
      <c r="A432" s="10800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"Huérfano Obra")</f>
      </c>
      <c r="B432" s="10801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"No Reportado")</f>
      </c>
      <c r="C432" s="10802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Captura_Obra!N136)</f>
      </c>
      <c r="D432" s="10803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"❌ Falta en Pipa")</f>
      </c>
      <c r="E432" s="10804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Captura_Obra!A136)</f>
      </c>
      <c r="F432" s="10805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Captura_Obra!B136)</f>
      </c>
      <c r="G432" s="10806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Captura_Obra!D136)</f>
      </c>
      <c r="H432" s="10807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0)</f>
      </c>
      <c r="I432" s="10808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Captura_Obra!F136)</f>
      </c>
      <c r="J432" s="10809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H432 - I432)</f>
      </c>
      <c r="K432" s="4241"/>
    </row>
    <row r="433" spans="1:11">
      <c r="A433" s="10810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"Huérfano Obra")</f>
      </c>
      <c r="B433" s="10811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"No Reportado")</f>
      </c>
      <c r="C433" s="10812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Captura_Obra!N137)</f>
      </c>
      <c r="D433" s="10813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"❌ Falta en Pipa")</f>
      </c>
      <c r="E433" s="10814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Captura_Obra!A137)</f>
      </c>
      <c r="F433" s="10815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Captura_Obra!B137)</f>
      </c>
      <c r="G433" s="10816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Captura_Obra!D137)</f>
      </c>
      <c r="H433" s="10817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0)</f>
      </c>
      <c r="I433" s="10818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Captura_Obra!F137)</f>
      </c>
      <c r="J433" s="10819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H433 - I433)</f>
      </c>
      <c r="K433" s="4242"/>
    </row>
    <row r="434" spans="1:11">
      <c r="A434" s="10820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"Huérfano Obra")</f>
      </c>
      <c r="B434" s="10821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"No Reportado")</f>
      </c>
      <c r="C434" s="10822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Captura_Obra!N138)</f>
      </c>
      <c r="D434" s="10823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"❌ Falta en Pipa")</f>
      </c>
      <c r="E434" s="10824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Captura_Obra!A138)</f>
      </c>
      <c r="F434" s="10825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Captura_Obra!B138)</f>
      </c>
      <c r="G434" s="10826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Captura_Obra!D138)</f>
      </c>
      <c r="H434" s="10827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0)</f>
      </c>
      <c r="I434" s="10828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Captura_Obra!F138)</f>
      </c>
      <c r="J434" s="10829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H434 - I434)</f>
      </c>
      <c r="K434" s="4243"/>
    </row>
    <row r="435" spans="1:11">
      <c r="A435" s="10830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"Huérfano Obra")</f>
      </c>
      <c r="B435" s="10831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"No Reportado")</f>
      </c>
      <c r="C435" s="10832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Captura_Obra!N139)</f>
      </c>
      <c r="D435" s="10833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"❌ Falta en Pipa")</f>
      </c>
      <c r="E435" s="10834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Captura_Obra!A139)</f>
      </c>
      <c r="F435" s="10835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Captura_Obra!B139)</f>
      </c>
      <c r="G435" s="10836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Captura_Obra!D139)</f>
      </c>
      <c r="H435" s="10837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0)</f>
      </c>
      <c r="I435" s="10838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Captura_Obra!F139)</f>
      </c>
      <c r="J435" s="10839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H435 - I435)</f>
      </c>
      <c r="K435" s="4244"/>
    </row>
    <row r="436" spans="1:11">
      <c r="A436" s="10840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"Huérfano Obra")</f>
      </c>
      <c r="B436" s="10841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"No Reportado")</f>
      </c>
      <c r="C436" s="10842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Captura_Obra!N140)</f>
      </c>
      <c r="D436" s="10843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"❌ Falta en Pipa")</f>
      </c>
      <c r="E436" s="10844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Captura_Obra!A140)</f>
      </c>
      <c r="F436" s="10845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Captura_Obra!B140)</f>
      </c>
      <c r="G436" s="10846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Captura_Obra!D140)</f>
      </c>
      <c r="H436" s="10847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0)</f>
      </c>
      <c r="I436" s="10848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Captura_Obra!F140)</f>
      </c>
      <c r="J436" s="10849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H436 - I436)</f>
      </c>
      <c r="K436" s="4245"/>
    </row>
    <row r="437" spans="1:11">
      <c r="A437" s="10850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"Huérfano Obra")</f>
      </c>
      <c r="B437" s="10851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"No Reportado")</f>
      </c>
      <c r="C437" s="10852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Captura_Obra!N141)</f>
      </c>
      <c r="D437" s="10853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"❌ Falta en Pipa")</f>
      </c>
      <c r="E437" s="10854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Captura_Obra!A141)</f>
      </c>
      <c r="F437" s="10855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Captura_Obra!B141)</f>
      </c>
      <c r="G437" s="10856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Captura_Obra!D141)</f>
      </c>
      <c r="H437" s="10857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0)</f>
      </c>
      <c r="I437" s="10858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Captura_Obra!F141)</f>
      </c>
      <c r="J437" s="10859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H437 - I437)</f>
      </c>
      <c r="K437" s="4246"/>
    </row>
    <row r="438" spans="1:11">
      <c r="A438" s="10860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"Huérfano Obra")</f>
      </c>
      <c r="B438" s="10861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"No Reportado")</f>
      </c>
      <c r="C438" s="10862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Captura_Obra!N142)</f>
      </c>
      <c r="D438" s="10863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"❌ Falta en Pipa")</f>
      </c>
      <c r="E438" s="10864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Captura_Obra!A142)</f>
      </c>
      <c r="F438" s="10865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Captura_Obra!B142)</f>
      </c>
      <c r="G438" s="10866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Captura_Obra!D142)</f>
      </c>
      <c r="H438" s="10867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0)</f>
      </c>
      <c r="I438" s="10868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Captura_Obra!F142)</f>
      </c>
      <c r="J438" s="10869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H438 - I438)</f>
      </c>
      <c r="K438" s="4247"/>
    </row>
    <row r="439" spans="1:11">
      <c r="A439" s="10870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"Huérfano Obra")</f>
      </c>
      <c r="B439" s="10871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"No Reportado")</f>
      </c>
      <c r="C439" s="10872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Captura_Obra!N143)</f>
      </c>
      <c r="D439" s="10873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"❌ Falta en Pipa")</f>
      </c>
      <c r="E439" s="10874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Captura_Obra!A143)</f>
      </c>
      <c r="F439" s="10875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Captura_Obra!B143)</f>
      </c>
      <c r="G439" s="10876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Captura_Obra!D143)</f>
      </c>
      <c r="H439" s="10877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0)</f>
      </c>
      <c r="I439" s="10878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Captura_Obra!F143)</f>
      </c>
      <c r="J439" s="10879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H439 - I439)</f>
      </c>
      <c r="K439" s="4248"/>
    </row>
    <row r="440" spans="1:11">
      <c r="A440" s="10880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"Huérfano Obra")</f>
      </c>
      <c r="B440" s="10881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"No Reportado")</f>
      </c>
      <c r="C440" s="10882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Captura_Obra!N144)</f>
      </c>
      <c r="D440" s="10883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"❌ Falta en Pipa")</f>
      </c>
      <c r="E440" s="10884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Captura_Obra!A144)</f>
      </c>
      <c r="F440" s="10885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Captura_Obra!B144)</f>
      </c>
      <c r="G440" s="10886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Captura_Obra!D144)</f>
      </c>
      <c r="H440" s="10887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0)</f>
      </c>
      <c r="I440" s="10888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Captura_Obra!F144)</f>
      </c>
      <c r="J440" s="10889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H440 - I440)</f>
      </c>
      <c r="K440" s="4249"/>
    </row>
    <row r="441" spans="1:11">
      <c r="A441" s="10890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"Huérfano Obra")</f>
      </c>
      <c r="B441" s="10891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"No Reportado")</f>
      </c>
      <c r="C441" s="10892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Captura_Obra!N145)</f>
      </c>
      <c r="D441" s="10893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"❌ Falta en Pipa")</f>
      </c>
      <c r="E441" s="10894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Captura_Obra!A145)</f>
      </c>
      <c r="F441" s="10895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Captura_Obra!B145)</f>
      </c>
      <c r="G441" s="10896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Captura_Obra!D145)</f>
      </c>
      <c r="H441" s="10897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0)</f>
      </c>
      <c r="I441" s="10898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Captura_Obra!F145)</f>
      </c>
      <c r="J441" s="10899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H441 - I441)</f>
      </c>
      <c r="K441" s="4250"/>
    </row>
    <row r="442" spans="1:11">
      <c r="A442" s="10900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"Huérfano Obra")</f>
      </c>
      <c r="B442" s="10901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"No Reportado")</f>
      </c>
      <c r="C442" s="10902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Captura_Obra!N146)</f>
      </c>
      <c r="D442" s="10903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"❌ Falta en Pipa")</f>
      </c>
      <c r="E442" s="10904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Captura_Obra!A146)</f>
      </c>
      <c r="F442" s="10905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Captura_Obra!B146)</f>
      </c>
      <c r="G442" s="10906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Captura_Obra!D146)</f>
      </c>
      <c r="H442" s="10907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0)</f>
      </c>
      <c r="I442" s="10908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Captura_Obra!F146)</f>
      </c>
      <c r="J442" s="10909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H442 - I442)</f>
      </c>
      <c r="K442" s="4251"/>
    </row>
    <row r="443" spans="1:11">
      <c r="A443" s="10910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"Huérfano Obra")</f>
      </c>
      <c r="B443" s="10911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"No Reportado")</f>
      </c>
      <c r="C443" s="10912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Captura_Obra!N147)</f>
      </c>
      <c r="D443" s="10913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"❌ Falta en Pipa")</f>
      </c>
      <c r="E443" s="10914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Captura_Obra!A147)</f>
      </c>
      <c r="F443" s="10915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Captura_Obra!B147)</f>
      </c>
      <c r="G443" s="10916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Captura_Obra!D147)</f>
      </c>
      <c r="H443" s="10917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0)</f>
      </c>
      <c r="I443" s="10918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Captura_Obra!F147)</f>
      </c>
      <c r="J443" s="10919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H443 - I443)</f>
      </c>
      <c r="K443" s="4252"/>
    </row>
    <row r="444" spans="1:11">
      <c r="A444" s="10920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"Huérfano Obra")</f>
      </c>
      <c r="B444" s="10921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"No Reportado")</f>
      </c>
      <c r="C444" s="10922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Captura_Obra!N148)</f>
      </c>
      <c r="D444" s="10923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"❌ Falta en Pipa")</f>
      </c>
      <c r="E444" s="10924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Captura_Obra!A148)</f>
      </c>
      <c r="F444" s="10925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Captura_Obra!B148)</f>
      </c>
      <c r="G444" s="10926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Captura_Obra!D148)</f>
      </c>
      <c r="H444" s="10927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0)</f>
      </c>
      <c r="I444" s="10928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Captura_Obra!F148)</f>
      </c>
      <c r="J444" s="10929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H444 - I444)</f>
      </c>
      <c r="K444" s="4253"/>
    </row>
    <row r="445" spans="1:11">
      <c r="A445" s="10930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"Huérfano Obra")</f>
      </c>
      <c r="B445" s="10931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"No Reportado")</f>
      </c>
      <c r="C445" s="10932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Captura_Obra!N149)</f>
      </c>
      <c r="D445" s="10933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"❌ Falta en Pipa")</f>
      </c>
      <c r="E445" s="10934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Captura_Obra!A149)</f>
      </c>
      <c r="F445" s="10935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Captura_Obra!B149)</f>
      </c>
      <c r="G445" s="10936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Captura_Obra!D149)</f>
      </c>
      <c r="H445" s="10937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0)</f>
      </c>
      <c r="I445" s="10938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Captura_Obra!F149)</f>
      </c>
      <c r="J445" s="10939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H445 - I445)</f>
      </c>
      <c r="K445" s="4254"/>
    </row>
    <row r="446" spans="1:11">
      <c r="A446" s="10940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"Huérfano Obra")</f>
      </c>
      <c r="B446" s="10941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"No Reportado")</f>
      </c>
      <c r="C446" s="10942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Captura_Obra!N150)</f>
      </c>
      <c r="D446" s="10943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"❌ Falta en Pipa")</f>
      </c>
      <c r="E446" s="10944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Captura_Obra!A150)</f>
      </c>
      <c r="F446" s="10945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Captura_Obra!B150)</f>
      </c>
      <c r="G446" s="10946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Captura_Obra!D150)</f>
      </c>
      <c r="H446" s="10947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0)</f>
      </c>
      <c r="I446" s="10948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Captura_Obra!F150)</f>
      </c>
      <c r="J446" s="10949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H446 - I446)</f>
      </c>
      <c r="K446" s="4255"/>
    </row>
    <row r="447" spans="1:11">
      <c r="A447" s="10950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"Huérfano Obra")</f>
      </c>
      <c r="B447" s="10951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"No Reportado")</f>
      </c>
      <c r="C447" s="10952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Captura_Obra!N151)</f>
      </c>
      <c r="D447" s="10953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"❌ Falta en Pipa")</f>
      </c>
      <c r="E447" s="10954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Captura_Obra!A151)</f>
      </c>
      <c r="F447" s="10955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Captura_Obra!B151)</f>
      </c>
      <c r="G447" s="10956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Captura_Obra!D151)</f>
      </c>
      <c r="H447" s="10957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0)</f>
      </c>
      <c r="I447" s="10958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Captura_Obra!F151)</f>
      </c>
      <c r="J447" s="10959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H447 - I447)</f>
      </c>
      <c r="K447" s="4256"/>
    </row>
    <row r="448" spans="1:11">
      <c r="A448" s="10960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"Huérfano Obra")</f>
      </c>
      <c r="B448" s="10961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"No Reportado")</f>
      </c>
      <c r="C448" s="10962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Captura_Obra!N152)</f>
      </c>
      <c r="D448" s="10963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"❌ Falta en Pipa")</f>
      </c>
      <c r="E448" s="10964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Captura_Obra!A152)</f>
      </c>
      <c r="F448" s="10965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Captura_Obra!B152)</f>
      </c>
      <c r="G448" s="10966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Captura_Obra!D152)</f>
      </c>
      <c r="H448" s="10967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0)</f>
      </c>
      <c r="I448" s="10968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Captura_Obra!F152)</f>
      </c>
      <c r="J448" s="10969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H448 - I448)</f>
      </c>
      <c r="K448" s="4257"/>
    </row>
    <row r="449" spans="1:11">
      <c r="A449" s="10970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"Huérfano Obra")</f>
      </c>
      <c r="B449" s="10971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"No Reportado")</f>
      </c>
      <c r="C449" s="10972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Captura_Obra!N153)</f>
      </c>
      <c r="D449" s="10973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"❌ Falta en Pipa")</f>
      </c>
      <c r="E449" s="10974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Captura_Obra!A153)</f>
      </c>
      <c r="F449" s="10975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Captura_Obra!B153)</f>
      </c>
      <c r="G449" s="10976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Captura_Obra!D153)</f>
      </c>
      <c r="H449" s="10977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0)</f>
      </c>
      <c r="I449" s="10978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Captura_Obra!F153)</f>
      </c>
      <c r="J449" s="10979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H449 - I449)</f>
      </c>
      <c r="K449" s="4258"/>
    </row>
    <row r="450" spans="1:11">
      <c r="A450" s="10980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"Huérfano Obra")</f>
      </c>
      <c r="B450" s="10981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"No Reportado")</f>
      </c>
      <c r="C450" s="10982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Captura_Obra!N154)</f>
      </c>
      <c r="D450" s="10983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"❌ Falta en Pipa")</f>
      </c>
      <c r="E450" s="10984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Captura_Obra!A154)</f>
      </c>
      <c r="F450" s="10985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Captura_Obra!B154)</f>
      </c>
      <c r="G450" s="10986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Captura_Obra!D154)</f>
      </c>
      <c r="H450" s="10987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0)</f>
      </c>
      <c r="I450" s="10988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Captura_Obra!F154)</f>
      </c>
      <c r="J450" s="10989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H450 - I450)</f>
      </c>
      <c r="K450" s="4259"/>
    </row>
    <row r="451" spans="1:11">
      <c r="A451" s="10990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"Huérfano Obra")</f>
      </c>
      <c r="B451" s="10991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"No Reportado")</f>
      </c>
      <c r="C451" s="10992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Captura_Obra!N155)</f>
      </c>
      <c r="D451" s="10993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"❌ Falta en Pipa")</f>
      </c>
      <c r="E451" s="10994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Captura_Obra!A155)</f>
      </c>
      <c r="F451" s="10995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Captura_Obra!B155)</f>
      </c>
      <c r="G451" s="10996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Captura_Obra!D155)</f>
      </c>
      <c r="H451" s="10997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0)</f>
      </c>
      <c r="I451" s="10998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Captura_Obra!F155)</f>
      </c>
      <c r="J451" s="10999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H451 - I451)</f>
      </c>
      <c r="K451" s="4260"/>
    </row>
    <row r="452" spans="1:11">
      <c r="A452" s="11000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"Huérfano Obra")</f>
      </c>
      <c r="B452" s="11001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"No Reportado")</f>
      </c>
      <c r="C452" s="11002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Captura_Obra!N156)</f>
      </c>
      <c r="D452" s="11003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"❌ Falta en Pipa")</f>
      </c>
      <c r="E452" s="11004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Captura_Obra!A156)</f>
      </c>
      <c r="F452" s="11005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Captura_Obra!B156)</f>
      </c>
      <c r="G452" s="11006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Captura_Obra!D156)</f>
      </c>
      <c r="H452" s="11007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0)</f>
      </c>
      <c r="I452" s="11008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Captura_Obra!F156)</f>
      </c>
      <c r="J452" s="11009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H452 - I452)</f>
      </c>
      <c r="K452" s="4261"/>
    </row>
    <row r="453" spans="1:11">
      <c r="A453" s="11010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"Huérfano Obra")</f>
      </c>
      <c r="B453" s="11011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"No Reportado")</f>
      </c>
      <c r="C453" s="11012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Captura_Obra!N157)</f>
      </c>
      <c r="D453" s="11013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"❌ Falta en Pipa")</f>
      </c>
      <c r="E453" s="11014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Captura_Obra!A157)</f>
      </c>
      <c r="F453" s="11015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Captura_Obra!B157)</f>
      </c>
      <c r="G453" s="11016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Captura_Obra!D157)</f>
      </c>
      <c r="H453" s="11017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0)</f>
      </c>
      <c r="I453" s="11018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Captura_Obra!F157)</f>
      </c>
      <c r="J453" s="11019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H453 - I453)</f>
      </c>
      <c r="K453" s="4262"/>
    </row>
    <row r="454" spans="1:11">
      <c r="A454" s="11020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"Huérfano Obra")</f>
      </c>
      <c r="B454" s="11021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"No Reportado")</f>
      </c>
      <c r="C454" s="11022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Captura_Obra!N158)</f>
      </c>
      <c r="D454" s="11023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"❌ Falta en Pipa")</f>
      </c>
      <c r="E454" s="11024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Captura_Obra!A158)</f>
      </c>
      <c r="F454" s="11025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Captura_Obra!B158)</f>
      </c>
      <c r="G454" s="11026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Captura_Obra!D158)</f>
      </c>
      <c r="H454" s="11027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0)</f>
      </c>
      <c r="I454" s="11028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Captura_Obra!F158)</f>
      </c>
      <c r="J454" s="11029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H454 - I454)</f>
      </c>
      <c r="K454" s="4263"/>
    </row>
    <row r="455" spans="1:11">
      <c r="A455" s="11030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"Huérfano Obra")</f>
      </c>
      <c r="B455" s="11031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"No Reportado")</f>
      </c>
      <c r="C455" s="11032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Captura_Obra!N159)</f>
      </c>
      <c r="D455" s="11033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"❌ Falta en Pipa")</f>
      </c>
      <c r="E455" s="11034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Captura_Obra!A159)</f>
      </c>
      <c r="F455" s="11035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Captura_Obra!B159)</f>
      </c>
      <c r="G455" s="11036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Captura_Obra!D159)</f>
      </c>
      <c r="H455" s="11037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0)</f>
      </c>
      <c r="I455" s="11038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Captura_Obra!F159)</f>
      </c>
      <c r="J455" s="11039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H455 - I455)</f>
      </c>
      <c r="K455" s="4264"/>
    </row>
    <row r="456" spans="1:11">
      <c r="A456" s="11040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"Huérfano Obra")</f>
      </c>
      <c r="B456" s="11041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"No Reportado")</f>
      </c>
      <c r="C456" s="11042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Captura_Obra!N160)</f>
      </c>
      <c r="D456" s="11043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"❌ Falta en Pipa")</f>
      </c>
      <c r="E456" s="11044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Captura_Obra!A160)</f>
      </c>
      <c r="F456" s="11045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Captura_Obra!B160)</f>
      </c>
      <c r="G456" s="11046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Captura_Obra!D160)</f>
      </c>
      <c r="H456" s="11047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0)</f>
      </c>
      <c r="I456" s="11048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Captura_Obra!F160)</f>
      </c>
      <c r="J456" s="11049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H456 - I456)</f>
      </c>
      <c r="K456" s="4265"/>
    </row>
    <row r="457" spans="1:11">
      <c r="A457" s="11050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"Huérfano Obra")</f>
      </c>
      <c r="B457" s="11051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"No Reportado")</f>
      </c>
      <c r="C457" s="11052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Captura_Obra!N161)</f>
      </c>
      <c r="D457" s="11053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"❌ Falta en Pipa")</f>
      </c>
      <c r="E457" s="11054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Captura_Obra!A161)</f>
      </c>
      <c r="F457" s="11055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Captura_Obra!B161)</f>
      </c>
      <c r="G457" s="11056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Captura_Obra!D161)</f>
      </c>
      <c r="H457" s="11057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0)</f>
      </c>
      <c r="I457" s="11058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Captura_Obra!F161)</f>
      </c>
      <c r="J457" s="11059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H457 - I457)</f>
      </c>
      <c r="K457" s="4266"/>
    </row>
    <row r="458" spans="1:11">
      <c r="A458" s="11060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"Huérfano Obra")</f>
      </c>
      <c r="B458" s="11061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"No Reportado")</f>
      </c>
      <c r="C458" s="11062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Captura_Obra!N162)</f>
      </c>
      <c r="D458" s="11063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"❌ Falta en Pipa")</f>
      </c>
      <c r="E458" s="11064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Captura_Obra!A162)</f>
      </c>
      <c r="F458" s="11065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Captura_Obra!B162)</f>
      </c>
      <c r="G458" s="11066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Captura_Obra!D162)</f>
      </c>
      <c r="H458" s="11067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0)</f>
      </c>
      <c r="I458" s="11068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Captura_Obra!F162)</f>
      </c>
      <c r="J458" s="11069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H458 - I458)</f>
      </c>
      <c r="K458" s="4267"/>
    </row>
    <row r="459" spans="1:11">
      <c r="A459" s="11070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"Huérfano Obra")</f>
      </c>
      <c r="B459" s="11071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"No Reportado")</f>
      </c>
      <c r="C459" s="11072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Captura_Obra!N163)</f>
      </c>
      <c r="D459" s="11073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"❌ Falta en Pipa")</f>
      </c>
      <c r="E459" s="11074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Captura_Obra!A163)</f>
      </c>
      <c r="F459" s="11075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Captura_Obra!B163)</f>
      </c>
      <c r="G459" s="11076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Captura_Obra!D163)</f>
      </c>
      <c r="H459" s="11077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0)</f>
      </c>
      <c r="I459" s="11078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Captura_Obra!F163)</f>
      </c>
      <c r="J459" s="11079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H459 - I459)</f>
      </c>
      <c r="K459" s="4268"/>
    </row>
    <row r="460" spans="1:11">
      <c r="A460" s="11080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"Huérfano Obra")</f>
      </c>
      <c r="B460" s="11081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"No Reportado")</f>
      </c>
      <c r="C460" s="11082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Captura_Obra!N164)</f>
      </c>
      <c r="D460" s="11083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"❌ Falta en Pipa")</f>
      </c>
      <c r="E460" s="11084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Captura_Obra!A164)</f>
      </c>
      <c r="F460" s="11085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Captura_Obra!B164)</f>
      </c>
      <c r="G460" s="11086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Captura_Obra!D164)</f>
      </c>
      <c r="H460" s="11087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0)</f>
      </c>
      <c r="I460" s="11088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Captura_Obra!F164)</f>
      </c>
      <c r="J460" s="11089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H460 - I460)</f>
      </c>
      <c r="K460" s="4269"/>
    </row>
    <row r="461" spans="1:11">
      <c r="A461" s="11090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"Huérfano Obra")</f>
      </c>
      <c r="B461" s="11091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"No Reportado")</f>
      </c>
      <c r="C461" s="11092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Captura_Obra!N165)</f>
      </c>
      <c r="D461" s="11093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"❌ Falta en Pipa")</f>
      </c>
      <c r="E461" s="11094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Captura_Obra!A165)</f>
      </c>
      <c r="F461" s="11095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Captura_Obra!B165)</f>
      </c>
      <c r="G461" s="11096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Captura_Obra!D165)</f>
      </c>
      <c r="H461" s="11097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0)</f>
      </c>
      <c r="I461" s="11098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Captura_Obra!F165)</f>
      </c>
      <c r="J461" s="11099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H461 - I461)</f>
      </c>
      <c r="K461" s="4270"/>
    </row>
    <row r="462" spans="1:11">
      <c r="A462" s="11100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"Huérfano Obra")</f>
      </c>
      <c r="B462" s="11101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"No Reportado")</f>
      </c>
      <c r="C462" s="11102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Captura_Obra!N166)</f>
      </c>
      <c r="D462" s="11103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"❌ Falta en Pipa")</f>
      </c>
      <c r="E462" s="11104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Captura_Obra!A166)</f>
      </c>
      <c r="F462" s="11105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Captura_Obra!B166)</f>
      </c>
      <c r="G462" s="11106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Captura_Obra!D166)</f>
      </c>
      <c r="H462" s="11107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0)</f>
      </c>
      <c r="I462" s="11108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Captura_Obra!F166)</f>
      </c>
      <c r="J462" s="11109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H462 - I462)</f>
      </c>
      <c r="K462" s="4271"/>
    </row>
    <row r="463" spans="1:11">
      <c r="A463" s="11110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"Huérfano Obra")</f>
      </c>
      <c r="B463" s="11111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"No Reportado")</f>
      </c>
      <c r="C463" s="11112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Captura_Obra!N167)</f>
      </c>
      <c r="D463" s="11113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"❌ Falta en Pipa")</f>
      </c>
      <c r="E463" s="11114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Captura_Obra!A167)</f>
      </c>
      <c r="F463" s="11115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Captura_Obra!B167)</f>
      </c>
      <c r="G463" s="11116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Captura_Obra!D167)</f>
      </c>
      <c r="H463" s="11117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0)</f>
      </c>
      <c r="I463" s="11118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Captura_Obra!F167)</f>
      </c>
      <c r="J463" s="11119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H463 - I463)</f>
      </c>
      <c r="K463" s="4272"/>
    </row>
    <row r="464" spans="1:11">
      <c r="A464" s="11120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"Huérfano Obra")</f>
      </c>
      <c r="B464" s="11121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"No Reportado")</f>
      </c>
      <c r="C464" s="11122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Captura_Obra!N168)</f>
      </c>
      <c r="D464" s="11123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"❌ Falta en Pipa")</f>
      </c>
      <c r="E464" s="11124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Captura_Obra!A168)</f>
      </c>
      <c r="F464" s="11125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Captura_Obra!B168)</f>
      </c>
      <c r="G464" s="11126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Captura_Obra!D168)</f>
      </c>
      <c r="H464" s="11127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0)</f>
      </c>
      <c r="I464" s="11128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Captura_Obra!F168)</f>
      </c>
      <c r="J464" s="11129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H464 - I464)</f>
      </c>
      <c r="K464" s="4273"/>
    </row>
    <row r="465" spans="1:11">
      <c r="A465" s="11130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"Huérfano Obra")</f>
      </c>
      <c r="B465" s="11131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"No Reportado")</f>
      </c>
      <c r="C465" s="11132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Captura_Obra!N169)</f>
      </c>
      <c r="D465" s="11133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"❌ Falta en Pipa")</f>
      </c>
      <c r="E465" s="11134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Captura_Obra!A169)</f>
      </c>
      <c r="F465" s="11135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Captura_Obra!B169)</f>
      </c>
      <c r="G465" s="11136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Captura_Obra!D169)</f>
      </c>
      <c r="H465" s="11137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0)</f>
      </c>
      <c r="I465" s="11138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Captura_Obra!F169)</f>
      </c>
      <c r="J465" s="11139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H465 - I465)</f>
      </c>
      <c r="K465" s="4274"/>
    </row>
    <row r="466" spans="1:11">
      <c r="A466" s="11140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"Huérfano Obra")</f>
      </c>
      <c r="B466" s="11141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"No Reportado")</f>
      </c>
      <c r="C466" s="11142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Captura_Obra!N170)</f>
      </c>
      <c r="D466" s="11143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"❌ Falta en Pipa")</f>
      </c>
      <c r="E466" s="11144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Captura_Obra!A170)</f>
      </c>
      <c r="F466" s="11145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Captura_Obra!B170)</f>
      </c>
      <c r="G466" s="11146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Captura_Obra!D170)</f>
      </c>
      <c r="H466" s="11147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0)</f>
      </c>
      <c r="I466" s="11148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Captura_Obra!F170)</f>
      </c>
      <c r="J466" s="11149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H466 - I466)</f>
      </c>
      <c r="K466" s="4275"/>
    </row>
    <row r="467" spans="1:11">
      <c r="A467" s="11150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"Huérfano Obra")</f>
      </c>
      <c r="B467" s="11151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"No Reportado")</f>
      </c>
      <c r="C467" s="11152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Captura_Obra!N171)</f>
      </c>
      <c r="D467" s="11153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"❌ Falta en Pipa")</f>
      </c>
      <c r="E467" s="11154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Captura_Obra!A171)</f>
      </c>
      <c r="F467" s="11155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Captura_Obra!B171)</f>
      </c>
      <c r="G467" s="11156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Captura_Obra!D171)</f>
      </c>
      <c r="H467" s="11157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0)</f>
      </c>
      <c r="I467" s="11158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Captura_Obra!F171)</f>
      </c>
      <c r="J467" s="11159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H467 - I467)</f>
      </c>
      <c r="K467" s="4276"/>
    </row>
    <row r="468" spans="1:11">
      <c r="A468" s="11160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"Huérfano Obra")</f>
      </c>
      <c r="B468" s="11161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"No Reportado")</f>
      </c>
      <c r="C468" s="11162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Captura_Obra!N172)</f>
      </c>
      <c r="D468" s="11163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"❌ Falta en Pipa")</f>
      </c>
      <c r="E468" s="11164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Captura_Obra!A172)</f>
      </c>
      <c r="F468" s="11165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Captura_Obra!B172)</f>
      </c>
      <c r="G468" s="11166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Captura_Obra!D172)</f>
      </c>
      <c r="H468" s="11167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0)</f>
      </c>
      <c r="I468" s="11168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Captura_Obra!F172)</f>
      </c>
      <c r="J468" s="11169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H468 - I468)</f>
      </c>
      <c r="K468" s="4277"/>
    </row>
    <row r="469" spans="1:11">
      <c r="A469" s="11170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"Huérfano Obra")</f>
      </c>
      <c r="B469" s="11171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"No Reportado")</f>
      </c>
      <c r="C469" s="11172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Captura_Obra!N173)</f>
      </c>
      <c r="D469" s="11173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"❌ Falta en Pipa")</f>
      </c>
      <c r="E469" s="11174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Captura_Obra!A173)</f>
      </c>
      <c r="F469" s="11175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Captura_Obra!B173)</f>
      </c>
      <c r="G469" s="11176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Captura_Obra!D173)</f>
      </c>
      <c r="H469" s="11177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0)</f>
      </c>
      <c r="I469" s="11178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Captura_Obra!F173)</f>
      </c>
      <c r="J469" s="11179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H469 - I469)</f>
      </c>
      <c r="K469" s="4278"/>
    </row>
    <row r="470" spans="1:11">
      <c r="A470" s="11180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"Huérfano Obra")</f>
      </c>
      <c r="B470" s="11181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"No Reportado")</f>
      </c>
      <c r="C470" s="11182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Captura_Obra!N174)</f>
      </c>
      <c r="D470" s="11183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"❌ Falta en Pipa")</f>
      </c>
      <c r="E470" s="11184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Captura_Obra!A174)</f>
      </c>
      <c r="F470" s="11185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Captura_Obra!B174)</f>
      </c>
      <c r="G470" s="11186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Captura_Obra!D174)</f>
      </c>
      <c r="H470" s="11187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0)</f>
      </c>
      <c r="I470" s="11188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Captura_Obra!F174)</f>
      </c>
      <c r="J470" s="11189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H470 - I470)</f>
      </c>
      <c r="K470" s="4279"/>
    </row>
    <row r="471" spans="1:11">
      <c r="A471" s="11190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"Huérfano Obra")</f>
      </c>
      <c r="B471" s="11191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"No Reportado")</f>
      </c>
      <c r="C471" s="11192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Captura_Obra!N175)</f>
      </c>
      <c r="D471" s="11193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"❌ Falta en Pipa")</f>
      </c>
      <c r="E471" s="11194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Captura_Obra!A175)</f>
      </c>
      <c r="F471" s="11195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Captura_Obra!B175)</f>
      </c>
      <c r="G471" s="11196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Captura_Obra!D175)</f>
      </c>
      <c r="H471" s="11197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0)</f>
      </c>
      <c r="I471" s="11198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Captura_Obra!F175)</f>
      </c>
      <c r="J471" s="11199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H471 - I471)</f>
      </c>
      <c r="K471" s="4280"/>
    </row>
    <row r="472" spans="1:11">
      <c r="A472" s="11200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"Huérfano Obra")</f>
      </c>
      <c r="B472" s="11201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"No Reportado")</f>
      </c>
      <c r="C472" s="11202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Captura_Obra!N176)</f>
      </c>
      <c r="D472" s="11203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"❌ Falta en Pipa")</f>
      </c>
      <c r="E472" s="11204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Captura_Obra!A176)</f>
      </c>
      <c r="F472" s="11205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Captura_Obra!B176)</f>
      </c>
      <c r="G472" s="11206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Captura_Obra!D176)</f>
      </c>
      <c r="H472" s="11207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0)</f>
      </c>
      <c r="I472" s="11208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Captura_Obra!F176)</f>
      </c>
      <c r="J472" s="11209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H472 - I472)</f>
      </c>
      <c r="K472" s="4281"/>
    </row>
    <row r="473" spans="1:11">
      <c r="A473" s="11210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"Huérfano Obra")</f>
      </c>
      <c r="B473" s="11211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"No Reportado")</f>
      </c>
      <c r="C473" s="11212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Captura_Obra!N177)</f>
      </c>
      <c r="D473" s="11213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"❌ Falta en Pipa")</f>
      </c>
      <c r="E473" s="11214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Captura_Obra!A177)</f>
      </c>
      <c r="F473" s="11215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Captura_Obra!B177)</f>
      </c>
      <c r="G473" s="11216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Captura_Obra!D177)</f>
      </c>
      <c r="H473" s="11217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0)</f>
      </c>
      <c r="I473" s="11218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Captura_Obra!F177)</f>
      </c>
      <c r="J473" s="11219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H473 - I473)</f>
      </c>
      <c r="K473" s="4282"/>
    </row>
    <row r="474" spans="1:11">
      <c r="A474" s="11220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"Huérfano Obra")</f>
      </c>
      <c r="B474" s="11221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"No Reportado")</f>
      </c>
      <c r="C474" s="11222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Captura_Obra!N178)</f>
      </c>
      <c r="D474" s="11223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"❌ Falta en Pipa")</f>
      </c>
      <c r="E474" s="11224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Captura_Obra!A178)</f>
      </c>
      <c r="F474" s="11225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Captura_Obra!B178)</f>
      </c>
      <c r="G474" s="11226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Captura_Obra!D178)</f>
      </c>
      <c r="H474" s="11227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0)</f>
      </c>
      <c r="I474" s="11228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Captura_Obra!F178)</f>
      </c>
      <c r="J474" s="11229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H474 - I474)</f>
      </c>
      <c r="K474" s="4283"/>
    </row>
    <row r="475" spans="1:11">
      <c r="A475" s="11230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"Huérfano Obra")</f>
      </c>
      <c r="B475" s="11231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"No Reportado")</f>
      </c>
      <c r="C475" s="11232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Captura_Obra!N179)</f>
      </c>
      <c r="D475" s="11233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"❌ Falta en Pipa")</f>
      </c>
      <c r="E475" s="11234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Captura_Obra!A179)</f>
      </c>
      <c r="F475" s="11235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Captura_Obra!B179)</f>
      </c>
      <c r="G475" s="11236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Captura_Obra!D179)</f>
      </c>
      <c r="H475" s="11237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0)</f>
      </c>
      <c r="I475" s="11238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Captura_Obra!F179)</f>
      </c>
      <c r="J475" s="11239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H475 - I475)</f>
      </c>
      <c r="K475" s="4284"/>
    </row>
    <row r="476" spans="1:11">
      <c r="A476" s="11240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"Huérfano Obra")</f>
      </c>
      <c r="B476" s="11241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"No Reportado")</f>
      </c>
      <c r="C476" s="11242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Captura_Obra!N180)</f>
      </c>
      <c r="D476" s="11243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"❌ Falta en Pipa")</f>
      </c>
      <c r="E476" s="11244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Captura_Obra!A180)</f>
      </c>
      <c r="F476" s="11245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Captura_Obra!B180)</f>
      </c>
      <c r="G476" s="11246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Captura_Obra!D180)</f>
      </c>
      <c r="H476" s="11247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0)</f>
      </c>
      <c r="I476" s="11248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Captura_Obra!F180)</f>
      </c>
      <c r="J476" s="11249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H476 - I476)</f>
      </c>
      <c r="K476" s="4285"/>
    </row>
    <row r="477" spans="1:11">
      <c r="A477" s="11250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"Huérfano Obra")</f>
      </c>
      <c r="B477" s="11251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"No Reportado")</f>
      </c>
      <c r="C477" s="11252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Captura_Obra!N181)</f>
      </c>
      <c r="D477" s="11253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"❌ Falta en Pipa")</f>
      </c>
      <c r="E477" s="11254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Captura_Obra!A181)</f>
      </c>
      <c r="F477" s="11255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Captura_Obra!B181)</f>
      </c>
      <c r="G477" s="11256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Captura_Obra!D181)</f>
      </c>
      <c r="H477" s="11257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0)</f>
      </c>
      <c r="I477" s="11258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Captura_Obra!F181)</f>
      </c>
      <c r="J477" s="11259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H477 - I477)</f>
      </c>
      <c r="K477" s="4286"/>
    </row>
    <row r="478" spans="1:11">
      <c r="A478" s="11260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"Huérfano Obra")</f>
      </c>
      <c r="B478" s="11261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"No Reportado")</f>
      </c>
      <c r="C478" s="11262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Captura_Obra!N182)</f>
      </c>
      <c r="D478" s="11263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"❌ Falta en Pipa")</f>
      </c>
      <c r="E478" s="11264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Captura_Obra!A182)</f>
      </c>
      <c r="F478" s="11265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Captura_Obra!B182)</f>
      </c>
      <c r="G478" s="11266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Captura_Obra!D182)</f>
      </c>
      <c r="H478" s="11267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0)</f>
      </c>
      <c r="I478" s="11268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Captura_Obra!F182)</f>
      </c>
      <c r="J478" s="11269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H478 - I478)</f>
      </c>
      <c r="K478" s="4287"/>
    </row>
    <row r="479" spans="1:11">
      <c r="A479" s="11270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"Huérfano Obra")</f>
      </c>
      <c r="B479" s="11271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"No Reportado")</f>
      </c>
      <c r="C479" s="11272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Captura_Obra!N183)</f>
      </c>
      <c r="D479" s="11273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"❌ Falta en Pipa")</f>
      </c>
      <c r="E479" s="11274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Captura_Obra!A183)</f>
      </c>
      <c r="F479" s="11275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Captura_Obra!B183)</f>
      </c>
      <c r="G479" s="11276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Captura_Obra!D183)</f>
      </c>
      <c r="H479" s="11277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0)</f>
      </c>
      <c r="I479" s="11278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Captura_Obra!F183)</f>
      </c>
      <c r="J479" s="11279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H479 - I479)</f>
      </c>
      <c r="K479" s="4288"/>
    </row>
    <row r="480" spans="1:11">
      <c r="A480" s="11280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"Huérfano Obra")</f>
      </c>
      <c r="B480" s="11281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"No Reportado")</f>
      </c>
      <c r="C480" s="11282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Captura_Obra!N184)</f>
      </c>
      <c r="D480" s="11283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"❌ Falta en Pipa")</f>
      </c>
      <c r="E480" s="11284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Captura_Obra!A184)</f>
      </c>
      <c r="F480" s="11285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Captura_Obra!B184)</f>
      </c>
      <c r="G480" s="11286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Captura_Obra!D184)</f>
      </c>
      <c r="H480" s="11287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0)</f>
      </c>
      <c r="I480" s="11288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Captura_Obra!F184)</f>
      </c>
      <c r="J480" s="11289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H480 - I480)</f>
      </c>
      <c r="K480" s="4289"/>
    </row>
    <row r="481" spans="1:11">
      <c r="A481" s="11290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"Huérfano Obra")</f>
      </c>
      <c r="B481" s="11291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"No Reportado")</f>
      </c>
      <c r="C481" s="11292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Captura_Obra!N185)</f>
      </c>
      <c r="D481" s="11293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"❌ Falta en Pipa")</f>
      </c>
      <c r="E481" s="11294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Captura_Obra!A185)</f>
      </c>
      <c r="F481" s="11295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Captura_Obra!B185)</f>
      </c>
      <c r="G481" s="11296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Captura_Obra!D185)</f>
      </c>
      <c r="H481" s="11297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0)</f>
      </c>
      <c r="I481" s="11298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Captura_Obra!F185)</f>
      </c>
      <c r="J481" s="11299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H481 - I481)</f>
      </c>
      <c r="K481" s="4290"/>
    </row>
    <row r="482" spans="1:11">
      <c r="A482" s="11300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"Huérfano Obra")</f>
      </c>
      <c r="B482" s="11301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"No Reportado")</f>
      </c>
      <c r="C482" s="11302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Captura_Obra!N186)</f>
      </c>
      <c r="D482" s="11303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"❌ Falta en Pipa")</f>
      </c>
      <c r="E482" s="11304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Captura_Obra!A186)</f>
      </c>
      <c r="F482" s="11305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Captura_Obra!B186)</f>
      </c>
      <c r="G482" s="11306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Captura_Obra!D186)</f>
      </c>
      <c r="H482" s="11307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0)</f>
      </c>
      <c r="I482" s="11308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Captura_Obra!F186)</f>
      </c>
      <c r="J482" s="11309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H482 - I482)</f>
      </c>
      <c r="K482" s="4291"/>
    </row>
    <row r="483" spans="1:11">
      <c r="A483" s="11310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</c>
      <c r="B483" s="11311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</c>
      <c r="C483" s="11312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Captura_Obra!N187)</f>
      </c>
      <c r="D483" s="11313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</c>
      <c r="E483" s="11314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F483" s="11315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G483" s="11316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H483" s="11317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</c>
      <c r="I483" s="11318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J483" s="11319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H483 - I483)</f>
      </c>
      <c r="K483" s="4292"/>
    </row>
    <row r="484" spans="1:11">
      <c r="A484" s="11320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</c>
      <c r="B484" s="11321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</c>
      <c r="C484" s="11322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Captura_Obra!N188)</f>
      </c>
      <c r="D484" s="11323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</c>
      <c r="E484" s="11324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F484" s="11325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G484" s="11326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H484" s="11327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</c>
      <c r="I484" s="11328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</c>
      <c r="J484" s="11329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H484 - I484)</f>
      </c>
      <c r="K484" s="4293"/>
    </row>
    <row r="485" spans="1:11">
      <c r="A485" s="11330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"Huérfano Obra")</f>
      </c>
      <c r="B485" s="11331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"No Reportado")</f>
      </c>
      <c r="C485" s="11332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Captura_Obra!N189)</f>
      </c>
      <c r="D485" s="11333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"❌ Falta en Pipa")</f>
      </c>
      <c r="E485" s="11334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Captura_Obra!A189)</f>
      </c>
      <c r="F485" s="11335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Captura_Obra!B189)</f>
      </c>
      <c r="G485" s="11336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Captura_Obra!D189)</f>
      </c>
      <c r="H485" s="11337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0)</f>
      </c>
      <c r="I485" s="11338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Captura_Obra!F189)</f>
      </c>
      <c r="J485" s="11339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H485 - I485)</f>
      </c>
      <c r="K485" s="4294"/>
    </row>
    <row r="486" spans="1:11">
      <c r="A486" s="11340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"Huérfano Obra")</f>
      </c>
      <c r="B486" s="11341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"No Reportado")</f>
      </c>
      <c r="C486" s="11342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Captura_Obra!N190)</f>
      </c>
      <c r="D486" s="11343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"❌ Falta en Pipa")</f>
      </c>
      <c r="E486" s="11344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Captura_Obra!A190)</f>
      </c>
      <c r="F486" s="11345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Captura_Obra!B190)</f>
      </c>
      <c r="G486" s="11346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Captura_Obra!D190)</f>
      </c>
      <c r="H486" s="11347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0)</f>
      </c>
      <c r="I486" s="11348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Captura_Obra!F190)</f>
      </c>
      <c r="J486" s="11349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H486 - I486)</f>
      </c>
      <c r="K486" s="4295"/>
    </row>
    <row r="487" spans="1:11">
      <c r="A487" s="11350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"Huérfano Obra")</f>
      </c>
      <c r="B487" s="11351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"No Reportado")</f>
      </c>
      <c r="C487" s="11352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Captura_Obra!N191)</f>
      </c>
      <c r="D487" s="11353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"❌ Falta en Pipa")</f>
      </c>
      <c r="E487" s="11354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Captura_Obra!A191)</f>
      </c>
      <c r="F487" s="11355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Captura_Obra!B191)</f>
      </c>
      <c r="G487" s="11356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Captura_Obra!D191)</f>
      </c>
      <c r="H487" s="11357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0)</f>
      </c>
      <c r="I487" s="11358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Captura_Obra!F191)</f>
      </c>
      <c r="J487" s="11359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H487 - I487)</f>
      </c>
      <c r="K487" s="4296"/>
    </row>
    <row r="488" spans="1:11">
      <c r="A488" s="11360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"Huérfano Obra")</f>
      </c>
      <c r="B488" s="11361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"No Reportado")</f>
      </c>
      <c r="C488" s="11362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Captura_Obra!N192)</f>
      </c>
      <c r="D488" s="11363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"❌ Falta en Pipa")</f>
      </c>
      <c r="E488" s="11364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Captura_Obra!A192)</f>
      </c>
      <c r="F488" s="11365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Captura_Obra!B192)</f>
      </c>
      <c r="G488" s="11366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Captura_Obra!D192)</f>
      </c>
      <c r="H488" s="11367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0)</f>
      </c>
      <c r="I488" s="11368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Captura_Obra!F192)</f>
      </c>
      <c r="J488" s="11369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H488 - I488)</f>
      </c>
      <c r="K488" s="4297"/>
    </row>
    <row r="489" spans="1:11">
      <c r="A489" s="11370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"Huérfano Obra")</f>
      </c>
      <c r="B489" s="11371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"No Reportado")</f>
      </c>
      <c r="C489" s="11372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Captura_Obra!N193)</f>
      </c>
      <c r="D489" s="11373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"❌ Falta en Pipa")</f>
      </c>
      <c r="E489" s="11374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Captura_Obra!A193)</f>
      </c>
      <c r="F489" s="11375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Captura_Obra!B193)</f>
      </c>
      <c r="G489" s="11376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Captura_Obra!D193)</f>
      </c>
      <c r="H489" s="11377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0)</f>
      </c>
      <c r="I489" s="11378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Captura_Obra!F193)</f>
      </c>
      <c r="J489" s="11379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H489 - I489)</f>
      </c>
      <c r="K489" s="4298"/>
    </row>
    <row r="490" spans="1:11">
      <c r="A490" s="11380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"Huérfano Obra")</f>
      </c>
      <c r="B490" s="11381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"No Reportado")</f>
      </c>
      <c r="C490" s="11382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Captura_Obra!N194)</f>
      </c>
      <c r="D490" s="11383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"❌ Falta en Pipa")</f>
      </c>
      <c r="E490" s="11384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Captura_Obra!A194)</f>
      </c>
      <c r="F490" s="11385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Captura_Obra!B194)</f>
      </c>
      <c r="G490" s="11386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Captura_Obra!D194)</f>
      </c>
      <c r="H490" s="11387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0)</f>
      </c>
      <c r="I490" s="11388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Captura_Obra!F194)</f>
      </c>
      <c r="J490" s="11389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H490 - I490)</f>
      </c>
      <c r="K490" s="4299"/>
    </row>
    <row r="491" spans="1:11">
      <c r="A491" s="11390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"Huérfano Obra")</f>
      </c>
      <c r="B491" s="11391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"No Reportado")</f>
      </c>
      <c r="C491" s="11392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Captura_Obra!N195)</f>
      </c>
      <c r="D491" s="11393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"❌ Falta en Pipa")</f>
      </c>
      <c r="E491" s="11394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Captura_Obra!A195)</f>
      </c>
      <c r="F491" s="11395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Captura_Obra!B195)</f>
      </c>
      <c r="G491" s="11396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Captura_Obra!D195)</f>
      </c>
      <c r="H491" s="11397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0)</f>
      </c>
      <c r="I491" s="11398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Captura_Obra!F195)</f>
      </c>
      <c r="J491" s="11399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H491 - I491)</f>
      </c>
      <c r="K491" s="4300"/>
    </row>
    <row r="492" spans="1:11">
      <c r="A492" s="11400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"Huérfano Obra")</f>
      </c>
      <c r="B492" s="11401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"No Reportado")</f>
      </c>
      <c r="C492" s="11402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Captura_Obra!N196)</f>
      </c>
      <c r="D492" s="11403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"❌ Falta en Pipa")</f>
      </c>
      <c r="E492" s="11404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Captura_Obra!A196)</f>
      </c>
      <c r="F492" s="11405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Captura_Obra!B196)</f>
      </c>
      <c r="G492" s="11406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Captura_Obra!D196)</f>
      </c>
      <c r="H492" s="11407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0)</f>
      </c>
      <c r="I492" s="11408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Captura_Obra!F196)</f>
      </c>
      <c r="J492" s="11409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H492 - I492)</f>
      </c>
      <c r="K492" s="4301"/>
    </row>
    <row r="493" spans="1:11">
      <c r="A493" s="11410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"Huérfano Obra")</f>
      </c>
      <c r="B493" s="11411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"No Reportado")</f>
      </c>
      <c r="C493" s="11412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Captura_Obra!N197)</f>
      </c>
      <c r="D493" s="11413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"❌ Falta en Pipa")</f>
      </c>
      <c r="E493" s="11414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Captura_Obra!A197)</f>
      </c>
      <c r="F493" s="11415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Captura_Obra!B197)</f>
      </c>
      <c r="G493" s="11416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Captura_Obra!D197)</f>
      </c>
      <c r="H493" s="11417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0)</f>
      </c>
      <c r="I493" s="11418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Captura_Obra!F197)</f>
      </c>
      <c r="J493" s="11419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H493 - I493)</f>
      </c>
      <c r="K493" s="4302"/>
    </row>
    <row r="494" spans="1:11">
      <c r="A494" s="11420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"Huérfano Obra")</f>
      </c>
      <c r="B494" s="11421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"No Reportado")</f>
      </c>
      <c r="C494" s="11422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Captura_Obra!N198)</f>
      </c>
      <c r="D494" s="11423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"❌ Falta en Pipa")</f>
      </c>
      <c r="E494" s="11424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Captura_Obra!A198)</f>
      </c>
      <c r="F494" s="11425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Captura_Obra!B198)</f>
      </c>
      <c r="G494" s="11426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Captura_Obra!D198)</f>
      </c>
      <c r="H494" s="11427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0)</f>
      </c>
      <c r="I494" s="11428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Captura_Obra!F198)</f>
      </c>
      <c r="J494" s="11429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H494 - I494)</f>
      </c>
      <c r="K494" s="4303"/>
    </row>
    <row r="495" spans="1:11">
      <c r="A495" s="11430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"Huérfano Obra")</f>
      </c>
      <c r="B495" s="11431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"No Reportado")</f>
      </c>
      <c r="C495" s="11432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Captura_Obra!N199)</f>
      </c>
      <c r="D495" s="11433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"❌ Falta en Pipa")</f>
      </c>
      <c r="E495" s="11434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Captura_Obra!A199)</f>
      </c>
      <c r="F495" s="11435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Captura_Obra!B199)</f>
      </c>
      <c r="G495" s="11436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Captura_Obra!D199)</f>
      </c>
      <c r="H495" s="11437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0)</f>
      </c>
      <c r="I495" s="11438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Captura_Obra!F199)</f>
      </c>
      <c r="J495" s="11439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H495 - I495)</f>
      </c>
      <c r="K495" s="4304"/>
    </row>
    <row r="496" spans="1:11">
      <c r="A496" s="11440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"Huérfano Obra")</f>
      </c>
      <c r="B496" s="11441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"No Reportado")</f>
      </c>
      <c r="C496" s="11442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Captura_Obra!N200)</f>
      </c>
      <c r="D496" s="11443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"❌ Falta en Pipa")</f>
      </c>
      <c r="E496" s="11444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Captura_Obra!A200)</f>
      </c>
      <c r="F496" s="11445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Captura_Obra!B200)</f>
      </c>
      <c r="G496" s="11446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Captura_Obra!D200)</f>
      </c>
      <c r="H496" s="11447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0)</f>
      </c>
      <c r="I496" s="11448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Captura_Obra!F200)</f>
      </c>
      <c r="J496" s="11449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H496 - I496)</f>
      </c>
      <c r="K496" s="4305"/>
    </row>
    <row r="497" spans="1:11">
      <c r="A497" s="11450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"Huérfano Obra")</f>
      </c>
      <c r="B497" s="11451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"No Reportado")</f>
      </c>
      <c r="C497" s="11452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Captura_Obra!N201)</f>
      </c>
      <c r="D497" s="11453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"❌ Falta en Pipa")</f>
      </c>
      <c r="E497" s="11454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Captura_Obra!A201)</f>
      </c>
      <c r="F497" s="11455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Captura_Obra!B201)</f>
      </c>
      <c r="G497" s="11456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Captura_Obra!D201)</f>
      </c>
      <c r="H497" s="11457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0)</f>
      </c>
      <c r="I497" s="11458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Captura_Obra!F201)</f>
      </c>
      <c r="J497" s="11459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H497 - I497)</f>
      </c>
      <c r="K497" s="4306"/>
    </row>
    <row r="498" spans="1:11">
      <c r="A498" s="11460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"Huérfano Obra")</f>
      </c>
      <c r="B498" s="11461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"No Reportado")</f>
      </c>
      <c r="C498" s="11462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Captura_Obra!N202)</f>
      </c>
      <c r="D498" s="11463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"❌ Falta en Pipa")</f>
      </c>
      <c r="E498" s="11464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Captura_Obra!A202)</f>
      </c>
      <c r="F498" s="11465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Captura_Obra!B202)</f>
      </c>
      <c r="G498" s="11466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Captura_Obra!D202)</f>
      </c>
      <c r="H498" s="11467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0)</f>
      </c>
      <c r="I498" s="11468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Captura_Obra!F202)</f>
      </c>
      <c r="J498" s="11469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H498 - I498)</f>
      </c>
      <c r="K498" s="4307"/>
    </row>
    <row r="499" spans="1:11">
      <c r="A499" s="11470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"Huérfano Obra")</f>
      </c>
      <c r="B499" s="11471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"No Reportado")</f>
      </c>
      <c r="C499" s="11472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Captura_Obra!N203)</f>
      </c>
      <c r="D499" s="11473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"❌ Falta en Pipa")</f>
      </c>
      <c r="E499" s="11474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Captura_Obra!A203)</f>
      </c>
      <c r="F499" s="11475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Captura_Obra!B203)</f>
      </c>
      <c r="G499" s="11476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Captura_Obra!D203)</f>
      </c>
      <c r="H499" s="11477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0)</f>
      </c>
      <c r="I499" s="11478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Captura_Obra!F203)</f>
      </c>
      <c r="J499" s="11479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H499 - I499)</f>
      </c>
      <c r="K499" s="4308"/>
    </row>
    <row r="500" spans="1:11">
      <c r="A500" s="11480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"Huérfano Obra")</f>
      </c>
      <c r="B500" s="11481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"No Reportado")</f>
      </c>
      <c r="C500" s="11482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Captura_Obra!N204)</f>
      </c>
      <c r="D500" s="11483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"❌ Falta en Pipa")</f>
      </c>
      <c r="E500" s="11484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Captura_Obra!A204)</f>
      </c>
      <c r="F500" s="11485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Captura_Obra!B204)</f>
      </c>
      <c r="G500" s="11486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Captura_Obra!D204)</f>
      </c>
      <c r="H500" s="11487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0)</f>
      </c>
      <c r="I500" s="11488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Captura_Obra!F204)</f>
      </c>
      <c r="J500" s="11489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H500 - I500)</f>
      </c>
      <c r="K500" s="4309"/>
    </row>
    <row r="501" spans="1:11">
      <c r="A501" s="4310"/>
      <c r="B501" s="4311"/>
      <c r="C501" s="4312"/>
      <c r="D501" s="4313"/>
      <c r="E501" s="4314"/>
      <c r="F501" s="4315"/>
      <c r="G501" s="4316"/>
      <c r="H501" s="4317"/>
      <c r="I501" s="4318"/>
      <c r="J501" s="4319"/>
      <c r="K501" s="4320"/>
    </row>
    <row r="502" spans="1:11">
      <c r="A502" s="4321"/>
      <c r="B502" s="4322"/>
      <c r="C502" s="4323"/>
      <c r="D502" s="4324"/>
      <c r="E502" s="4325"/>
      <c r="F502" s="4326"/>
      <c r="G502" s="4327"/>
      <c r="H502" s="4328"/>
      <c r="I502" s="4329"/>
      <c r="J502" s="4330"/>
      <c r="K502" s="4331"/>
    </row>
    <row r="503" spans="1:11">
      <c r="A503" s="4332"/>
      <c r="B503" s="4333"/>
      <c r="C503" s="4334"/>
      <c r="D503" s="4335"/>
      <c r="E503" s="4336"/>
      <c r="F503" s="4337"/>
      <c r="G503" s="4338"/>
      <c r="H503" s="4339"/>
      <c r="I503" s="4340"/>
      <c r="J503" s="4341"/>
      <c r="K503" s="4342"/>
    </row>
    <row r="504" spans="1:11">
      <c r="A504" s="4343"/>
      <c r="B504" s="4344"/>
      <c r="C504" s="4345"/>
      <c r="D504" s="4346"/>
      <c r="E504" s="4347"/>
      <c r="F504" s="4348"/>
      <c r="G504" s="4349"/>
      <c r="H504" s="4350"/>
      <c r="I504" s="4351"/>
      <c r="J504" s="4352"/>
      <c r="K504" s="4353"/>
    </row>
    <row r="505" spans="1:11">
      <c r="A505" s="4354"/>
      <c r="B505" s="4355"/>
      <c r="C505" s="4356"/>
      <c r="D505" s="4357"/>
      <c r="E505" s="4358"/>
      <c r="F505" s="4359"/>
      <c r="G505" s="4360"/>
      <c r="H505" s="4361"/>
      <c r="I505" s="4362"/>
      <c r="J505" s="4363"/>
      <c r="K505" s="4364"/>
    </row>
    <row r="506" spans="1:11">
      <c r="A506" s="4365"/>
      <c r="B506" s="4366"/>
      <c r="C506" s="4367"/>
      <c r="D506" s="4368"/>
      <c r="E506" s="4369"/>
      <c r="F506" s="4370"/>
      <c r="G506" s="4371"/>
      <c r="H506" s="4372"/>
      <c r="I506" s="4373"/>
      <c r="J506" s="4374"/>
      <c r="K506" s="4375"/>
    </row>
    <row r="507" spans="1:11">
      <c r="A507" s="4376"/>
      <c r="B507" s="4377"/>
      <c r="C507" s="4378"/>
      <c r="D507" s="4379"/>
      <c r="E507" s="4380"/>
      <c r="F507" s="4381"/>
      <c r="G507" s="4382"/>
      <c r="H507" s="4383"/>
      <c r="I507" s="4384"/>
      <c r="J507" s="4385"/>
      <c r="K507" s="4386"/>
    </row>
    <row r="508" spans="1:11">
      <c r="A508" s="4387"/>
      <c r="B508" s="4388"/>
      <c r="C508" s="4389"/>
      <c r="D508" s="4390"/>
      <c r="E508" s="4391"/>
      <c r="F508" s="4392"/>
      <c r="G508" s="4393"/>
      <c r="H508" s="4394"/>
      <c r="I508" s="4395"/>
      <c r="J508" s="4396"/>
      <c r="K508" s="4397"/>
    </row>
    <row r="509" spans="1:11">
      <c r="A509" s="4398"/>
      <c r="B509" s="4399"/>
      <c r="C509" s="4400"/>
      <c r="D509" s="4401"/>
      <c r="E509" s="4402"/>
      <c r="F509" s="4403"/>
      <c r="G509" s="4404"/>
      <c r="H509" s="4405"/>
      <c r="I509" s="4406"/>
      <c r="J509" s="4407"/>
      <c r="K509" s="4408"/>
    </row>
    <row r="510" spans="1:11">
      <c r="A510" s="4409"/>
      <c r="B510" s="4410"/>
      <c r="C510" s="4411"/>
      <c r="D510" s="4412"/>
      <c r="E510" s="4413"/>
      <c r="F510" s="4414"/>
      <c r="G510" s="4415"/>
      <c r="H510" s="4416"/>
      <c r="I510" s="4417"/>
      <c r="J510" s="4418"/>
      <c r="K510" s="4419"/>
    </row>
    <row r="511" spans="1:11">
      <c r="A511" s="4420"/>
      <c r="B511" s="4421"/>
      <c r="C511" s="4422"/>
      <c r="D511" s="4423"/>
      <c r="E511" s="4424"/>
      <c r="F511" s="4425"/>
      <c r="G511" s="4426"/>
      <c r="H511" s="4427"/>
      <c r="I511" s="4428"/>
      <c r="J511" s="4429"/>
      <c r="K511" s="4430"/>
    </row>
    <row r="512" spans="1:11">
      <c r="A512" s="4431"/>
      <c r="B512" s="4432"/>
      <c r="C512" s="4433"/>
      <c r="D512" s="4434"/>
      <c r="E512" s="4435"/>
      <c r="F512" s="4436"/>
      <c r="G512" s="4437"/>
      <c r="H512" s="4438"/>
      <c r="I512" s="4439"/>
      <c r="J512" s="4440"/>
      <c r="K512" s="4441"/>
    </row>
    <row r="513" spans="1:11">
      <c r="A513" s="4442"/>
      <c r="B513" s="4443"/>
      <c r="C513" s="4444"/>
      <c r="D513" s="4445"/>
      <c r="E513" s="4446"/>
      <c r="F513" s="4447"/>
      <c r="G513" s="4448"/>
      <c r="H513" s="4449"/>
      <c r="I513" s="4450"/>
      <c r="J513" s="4451"/>
      <c r="K513" s="4452"/>
    </row>
    <row r="514" spans="1:11">
      <c r="A514" s="4453"/>
      <c r="B514" s="4454"/>
      <c r="C514" s="4455"/>
      <c r="D514" s="4456"/>
      <c r="E514" s="4457"/>
      <c r="F514" s="4458"/>
      <c r="G514" s="4459"/>
      <c r="H514" s="4460"/>
      <c r="I514" s="4461"/>
      <c r="J514" s="4462"/>
      <c r="K514" s="4463"/>
    </row>
    <row r="515" spans="1:11">
      <c r="A515" s="4464"/>
      <c r="B515" s="4465"/>
      <c r="C515" s="4466"/>
      <c r="D515" s="4467"/>
      <c r="E515" s="4468"/>
      <c r="F515" s="4469"/>
      <c r="G515" s="4470"/>
      <c r="H515" s="4471"/>
      <c r="I515" s="4472"/>
      <c r="J515" s="4473"/>
      <c r="K515" s="4474"/>
    </row>
    <row r="516" spans="1:11">
      <c r="A516" s="4475"/>
      <c r="B516" s="4476"/>
      <c r="C516" s="4477"/>
      <c r="D516" s="4478"/>
      <c r="E516" s="4479"/>
      <c r="F516" s="4480"/>
      <c r="G516" s="4481"/>
      <c r="H516" s="4482"/>
      <c r="I516" s="4483"/>
      <c r="J516" s="4484"/>
      <c r="K516" s="4485"/>
    </row>
    <row r="517" spans="1:11">
      <c r="A517" s="4486"/>
      <c r="B517" s="4487"/>
      <c r="C517" s="4488"/>
      <c r="D517" s="4489"/>
      <c r="E517" s="4490"/>
      <c r="F517" s="4491"/>
      <c r="G517" s="4492"/>
      <c r="H517" s="4493"/>
      <c r="I517" s="4494"/>
      <c r="J517" s="4495"/>
      <c r="K517" s="4496"/>
    </row>
    <row r="518" spans="1:11">
      <c r="A518" s="4497"/>
      <c r="B518" s="4498"/>
      <c r="C518" s="4499"/>
      <c r="D518" s="4500"/>
      <c r="E518" s="4501"/>
      <c r="F518" s="4502"/>
      <c r="G518" s="4503"/>
      <c r="H518" s="4504"/>
      <c r="I518" s="4505"/>
      <c r="J518" s="4506"/>
      <c r="K518" s="4507"/>
    </row>
    <row r="519" spans="1:11">
      <c r="A519" s="4508"/>
      <c r="B519" s="4509"/>
      <c r="C519" s="4510"/>
      <c r="D519" s="4511"/>
      <c r="E519" s="4512"/>
      <c r="F519" s="4513"/>
      <c r="G519" s="4514"/>
      <c r="H519" s="4515"/>
      <c r="I519" s="4516"/>
      <c r="J519" s="4517"/>
      <c r="K519" s="4518"/>
    </row>
    <row r="520" spans="1:11">
      <c r="A520" s="4519"/>
      <c r="B520" s="4520"/>
      <c r="C520" s="4521"/>
      <c r="D520" s="4522"/>
      <c r="E520" s="4523"/>
      <c r="F520" s="4524"/>
      <c r="G520" s="4525"/>
      <c r="H520" s="4526"/>
      <c r="I520" s="4527"/>
      <c r="J520" s="4528"/>
      <c r="K520" s="4529"/>
    </row>
    <row r="521" spans="1:11">
      <c r="A521" s="4530"/>
      <c r="B521" s="4531"/>
      <c r="C521" s="4532"/>
      <c r="D521" s="4533"/>
      <c r="E521" s="4534"/>
      <c r="F521" s="4535"/>
      <c r="G521" s="4536"/>
      <c r="H521" s="4537"/>
      <c r="I521" s="4538"/>
      <c r="J521" s="4539"/>
      <c r="K521" s="4540"/>
    </row>
    <row r="522" spans="1:11">
      <c r="A522" s="4541"/>
      <c r="B522" s="4542"/>
      <c r="C522" s="4543"/>
      <c r="D522" s="4544"/>
      <c r="E522" s="4545"/>
      <c r="F522" s="4546"/>
      <c r="G522" s="4547"/>
      <c r="H522" s="4548"/>
      <c r="I522" s="4549"/>
      <c r="J522" s="4550"/>
      <c r="K522" s="4551"/>
    </row>
    <row r="523" spans="1:11">
      <c r="A523" s="4552"/>
      <c r="B523" s="4553"/>
      <c r="C523" s="4554"/>
      <c r="D523" s="4555"/>
      <c r="E523" s="4556"/>
      <c r="F523" s="4557"/>
      <c r="G523" s="4558"/>
      <c r="H523" s="4559"/>
      <c r="I523" s="4560"/>
      <c r="J523" s="4561"/>
      <c r="K523" s="4562"/>
    </row>
    <row r="524" spans="1:11">
      <c r="A524" s="4563"/>
      <c r="B524" s="4564"/>
      <c r="C524" s="4565"/>
      <c r="D524" s="4566"/>
      <c r="E524" s="4567"/>
      <c r="F524" s="4568"/>
      <c r="G524" s="4569"/>
      <c r="H524" s="4570"/>
      <c r="I524" s="4571"/>
      <c r="J524" s="4572"/>
      <c r="K524" s="4573"/>
    </row>
    <row r="525" spans="1:11">
      <c r="A525" s="4574"/>
      <c r="B525" s="4575"/>
      <c r="C525" s="4576"/>
      <c r="D525" s="4577"/>
      <c r="E525" s="4578"/>
      <c r="F525" s="4579"/>
      <c r="G525" s="4580"/>
      <c r="H525" s="4581"/>
      <c r="I525" s="4582"/>
      <c r="J525" s="4583"/>
      <c r="K525" s="4584"/>
    </row>
    <row r="526" spans="1:11">
      <c r="A526" s="4585"/>
      <c r="B526" s="4586"/>
      <c r="C526" s="4587"/>
      <c r="D526" s="4588"/>
      <c r="E526" s="4589"/>
      <c r="F526" s="4590"/>
      <c r="G526" s="4591"/>
      <c r="H526" s="4592"/>
      <c r="I526" s="4593"/>
      <c r="J526" s="4594"/>
      <c r="K526" s="4595"/>
    </row>
    <row r="527" spans="1:11">
      <c r="A527" s="4596"/>
      <c r="B527" s="4597"/>
      <c r="C527" s="4598"/>
      <c r="D527" s="4599"/>
      <c r="E527" s="4600"/>
      <c r="F527" s="4601"/>
      <c r="G527" s="4602"/>
      <c r="H527" s="4603"/>
      <c r="I527" s="4604"/>
      <c r="J527" s="4605"/>
      <c r="K527" s="4606"/>
    </row>
    <row r="528" spans="1:11">
      <c r="A528" s="4607"/>
      <c r="B528" s="4608"/>
      <c r="C528" s="4609"/>
      <c r="D528" s="4610"/>
      <c r="E528" s="4611"/>
      <c r="F528" s="4612"/>
      <c r="G528" s="4613"/>
      <c r="H528" s="4614"/>
      <c r="I528" s="4615"/>
      <c r="J528" s="4616"/>
      <c r="K528" s="4617"/>
    </row>
    <row r="529" spans="1:11">
      <c r="A529" s="4618"/>
      <c r="B529" s="4619"/>
      <c r="C529" s="4620"/>
      <c r="D529" s="4621"/>
      <c r="E529" s="4622"/>
      <c r="F529" s="4623"/>
      <c r="G529" s="4624"/>
      <c r="H529" s="4625"/>
      <c r="I529" s="4626"/>
      <c r="J529" s="4627"/>
      <c r="K529" s="4628"/>
    </row>
    <row r="530" spans="1:11">
      <c r="A530" s="4629"/>
      <c r="B530" s="4630"/>
      <c r="C530" s="4631"/>
      <c r="D530" s="4632"/>
      <c r="E530" s="4633"/>
      <c r="F530" s="4634"/>
      <c r="G530" s="4635"/>
      <c r="H530" s="4636"/>
      <c r="I530" s="4637"/>
      <c r="J530" s="4638"/>
      <c r="K530" s="4639"/>
    </row>
    <row r="531" spans="1:11">
      <c r="A531" s="4640"/>
      <c r="B531" s="4641"/>
      <c r="C531" s="4642"/>
      <c r="D531" s="4643"/>
      <c r="E531" s="4644"/>
      <c r="F531" s="4645"/>
      <c r="G531" s="4646"/>
      <c r="H531" s="4647"/>
      <c r="I531" s="4648"/>
      <c r="J531" s="4649"/>
      <c r="K531" s="4650"/>
    </row>
    <row r="532" spans="1:11">
      <c r="A532" s="4651"/>
      <c r="B532" s="4652"/>
      <c r="C532" s="4653"/>
      <c r="D532" s="4654"/>
      <c r="E532" s="4655"/>
      <c r="F532" s="4656"/>
      <c r="G532" s="4657"/>
      <c r="H532" s="4658"/>
      <c r="I532" s="4659"/>
      <c r="J532" s="4660"/>
      <c r="K532" s="4661"/>
    </row>
    <row r="533" spans="1:11">
      <c r="A533" s="4662"/>
      <c r="B533" s="4663"/>
      <c r="C533" s="4664"/>
      <c r="D533" s="4665"/>
      <c r="E533" s="4666"/>
      <c r="F533" s="4667"/>
      <c r="G533" s="4668"/>
      <c r="H533" s="4669"/>
      <c r="I533" s="4670"/>
      <c r="J533" s="4671"/>
      <c r="K533" s="4672"/>
    </row>
    <row r="534" spans="1:11">
      <c r="A534" s="4673"/>
      <c r="B534" s="4674"/>
      <c r="C534" s="4675"/>
      <c r="D534" s="4676"/>
      <c r="E534" s="4677"/>
      <c r="F534" s="4678"/>
      <c r="G534" s="4679"/>
      <c r="H534" s="4680"/>
      <c r="I534" s="4681"/>
      <c r="J534" s="4682"/>
      <c r="K534" s="4683"/>
    </row>
    <row r="535" spans="1:11">
      <c r="A535" s="4684"/>
      <c r="B535" s="4685"/>
      <c r="C535" s="4686"/>
      <c r="D535" s="4687"/>
      <c r="E535" s="4688"/>
      <c r="F535" s="4689"/>
      <c r="G535" s="4690"/>
      <c r="H535" s="4691"/>
      <c r="I535" s="4692"/>
      <c r="J535" s="4693"/>
      <c r="K535" s="4694"/>
    </row>
    <row r="536" spans="1:11">
      <c r="A536" s="4695"/>
      <c r="B536" s="4696"/>
      <c r="C536" s="4697"/>
      <c r="D536" s="4698"/>
      <c r="E536" s="4699"/>
      <c r="F536" s="4700"/>
      <c r="G536" s="4701"/>
      <c r="H536" s="4702"/>
      <c r="I536" s="4703"/>
      <c r="J536" s="4704"/>
      <c r="K536" s="4705"/>
    </row>
    <row r="537" spans="1:11">
      <c r="A537" s="4706"/>
      <c r="B537" s="4707"/>
      <c r="C537" s="4708"/>
      <c r="D537" s="4709"/>
      <c r="E537" s="4710"/>
      <c r="F537" s="4711"/>
      <c r="G537" s="4712"/>
      <c r="H537" s="4713"/>
      <c r="I537" s="4714"/>
      <c r="J537" s="4715"/>
      <c r="K537" s="4716"/>
    </row>
    <row r="538" spans="1:11">
      <c r="A538" s="4717"/>
      <c r="B538" s="4718"/>
      <c r="C538" s="4719"/>
      <c r="D538" s="4720"/>
      <c r="E538" s="4721"/>
      <c r="F538" s="4722"/>
      <c r="G538" s="4723"/>
      <c r="H538" s="4724"/>
      <c r="I538" s="4725"/>
      <c r="J538" s="4726"/>
      <c r="K538" s="4727"/>
    </row>
    <row r="539" spans="1:11">
      <c r="A539" s="4728"/>
      <c r="B539" s="4729"/>
      <c r="C539" s="4730"/>
      <c r="D539" s="4731"/>
      <c r="E539" s="4732"/>
      <c r="F539" s="4733"/>
      <c r="G539" s="4734"/>
      <c r="H539" s="4735"/>
      <c r="I539" s="4736"/>
      <c r="J539" s="4737"/>
      <c r="K539" s="4738"/>
    </row>
    <row r="540" spans="1:11">
      <c r="A540" s="4739"/>
      <c r="B540" s="4740"/>
      <c r="C540" s="4741"/>
      <c r="D540" s="4742"/>
      <c r="E540" s="4743"/>
      <c r="F540" s="4744"/>
      <c r="G540" s="4745"/>
      <c r="H540" s="4746"/>
      <c r="I540" s="4747"/>
      <c r="J540" s="4748"/>
      <c r="K540" s="4749"/>
    </row>
    <row r="541" spans="1:11">
      <c r="A541" s="4750"/>
      <c r="B541" s="4751"/>
      <c r="C541" s="4752"/>
      <c r="D541" s="4753"/>
      <c r="E541" s="4754"/>
      <c r="F541" s="4755"/>
      <c r="G541" s="4756"/>
      <c r="H541" s="4757"/>
      <c r="I541" s="4758"/>
      <c r="J541" s="4759"/>
      <c r="K541" s="4760"/>
    </row>
    <row r="542" spans="1:11">
      <c r="A542" s="4761"/>
      <c r="B542" s="4762"/>
      <c r="C542" s="4763"/>
      <c r="D542" s="4764"/>
      <c r="E542" s="4765"/>
      <c r="F542" s="4766"/>
      <c r="G542" s="4767"/>
      <c r="H542" s="4768"/>
      <c r="I542" s="4769"/>
      <c r="J542" s="4770"/>
      <c r="K542" s="4771"/>
    </row>
    <row r="543" spans="1:11">
      <c r="A543" s="4772"/>
      <c r="B543" s="4773"/>
      <c r="C543" s="4774"/>
      <c r="D543" s="4775"/>
      <c r="E543" s="4776"/>
      <c r="F543" s="4777"/>
      <c r="G543" s="4778"/>
      <c r="H543" s="4779"/>
      <c r="I543" s="4780"/>
      <c r="J543" s="4781"/>
      <c r="K543" s="4782"/>
    </row>
    <row r="544" spans="1:11">
      <c r="A544" s="4783"/>
      <c r="B544" s="4784"/>
      <c r="C544" s="4785"/>
      <c r="D544" s="4786"/>
      <c r="E544" s="4787"/>
      <c r="F544" s="4788"/>
      <c r="G544" s="4789"/>
      <c r="H544" s="4790"/>
      <c r="I544" s="4791"/>
      <c r="J544" s="4792"/>
      <c r="K544" s="4793"/>
    </row>
    <row r="545" spans="1:11">
      <c r="A545" s="4794"/>
      <c r="B545" s="4795"/>
      <c r="C545" s="4796"/>
      <c r="D545" s="4797"/>
      <c r="E545" s="4798"/>
      <c r="F545" s="4799"/>
      <c r="G545" s="4800"/>
      <c r="H545" s="4801"/>
      <c r="I545" s="4802"/>
      <c r="J545" s="4803"/>
      <c r="K545" s="4804"/>
    </row>
    <row r="546" spans="1:11">
      <c r="A546" s="4805"/>
      <c r="B546" s="4806"/>
      <c r="C546" s="4807"/>
      <c r="D546" s="4808"/>
      <c r="E546" s="4809"/>
      <c r="F546" s="4810"/>
      <c r="G546" s="4811"/>
      <c r="H546" s="4812"/>
      <c r="I546" s="4813"/>
      <c r="J546" s="4814"/>
      <c r="K546" s="4815"/>
    </row>
    <row r="547" spans="1:11">
      <c r="A547" s="4816"/>
      <c r="B547" s="4817"/>
      <c r="C547" s="4818"/>
      <c r="D547" s="4819"/>
      <c r="E547" s="4820"/>
      <c r="F547" s="4821"/>
      <c r="G547" s="4822"/>
      <c r="H547" s="4823"/>
      <c r="I547" s="4824"/>
      <c r="J547" s="4825"/>
      <c r="K547" s="4826"/>
    </row>
    <row r="548" spans="1:11">
      <c r="A548" s="4827"/>
      <c r="B548" s="4828"/>
      <c r="C548" s="4829"/>
      <c r="D548" s="4830"/>
      <c r="E548" s="4831"/>
      <c r="F548" s="4832"/>
      <c r="G548" s="4833"/>
      <c r="H548" s="4834"/>
      <c r="I548" s="4835"/>
      <c r="J548" s="4836"/>
      <c r="K548" s="4837"/>
    </row>
    <row r="549" spans="1:11">
      <c r="A549" s="4838"/>
      <c r="B549" s="4839"/>
      <c r="C549" s="4840"/>
      <c r="D549" s="4841"/>
      <c r="E549" s="4842"/>
      <c r="F549" s="4843"/>
      <c r="G549" s="4844"/>
      <c r="H549" s="4845"/>
      <c r="I549" s="4846"/>
      <c r="J549" s="4847"/>
      <c r="K549" s="4848"/>
    </row>
    <row r="550" spans="1:11">
      <c r="A550" s="4849"/>
      <c r="B550" s="4850"/>
      <c r="C550" s="4851"/>
      <c r="D550" s="4852"/>
      <c r="E550" s="4853"/>
      <c r="F550" s="4854"/>
      <c r="G550" s="4855"/>
      <c r="H550" s="4856"/>
      <c r="I550" s="4857"/>
      <c r="J550" s="4858"/>
      <c r="K550" s="4859"/>
    </row>
    <row r="551" spans="1:11">
      <c r="A551" s="4860"/>
      <c r="B551" s="4861"/>
      <c r="C551" s="4862"/>
      <c r="D551" s="4863"/>
      <c r="E551" s="4864"/>
      <c r="F551" s="4865"/>
      <c r="G551" s="4866"/>
      <c r="H551" s="4867"/>
      <c r="I551" s="4868"/>
      <c r="J551" s="4869"/>
      <c r="K551" s="4870"/>
    </row>
    <row r="552" spans="1:11">
      <c r="A552" s="4871"/>
      <c r="B552" s="4872"/>
      <c r="C552" s="4873"/>
      <c r="D552" s="4874"/>
      <c r="E552" s="4875"/>
      <c r="F552" s="4876"/>
      <c r="G552" s="4877"/>
      <c r="H552" s="4878"/>
      <c r="I552" s="4879"/>
      <c r="J552" s="4880"/>
      <c r="K552" s="4881"/>
    </row>
    <row r="553" spans="1:11">
      <c r="A553" s="4882"/>
      <c r="B553" s="4883"/>
      <c r="C553" s="4884"/>
      <c r="D553" s="4885"/>
      <c r="E553" s="4886"/>
      <c r="F553" s="4887"/>
      <c r="G553" s="4888"/>
      <c r="H553" s="4889"/>
      <c r="I553" s="4890"/>
      <c r="J553" s="4891"/>
      <c r="K553" s="4892"/>
    </row>
    <row r="554" spans="1:11">
      <c r="A554" s="4893"/>
      <c r="B554" s="4894"/>
      <c r="C554" s="4895"/>
      <c r="D554" s="4896"/>
      <c r="E554" s="4897"/>
      <c r="F554" s="4898"/>
      <c r="G554" s="4899"/>
      <c r="H554" s="4900"/>
      <c r="I554" s="4901"/>
      <c r="J554" s="4902"/>
      <c r="K554" s="4903"/>
    </row>
    <row r="555" spans="1:11">
      <c r="A555" s="4904"/>
      <c r="B555" s="4905"/>
      <c r="C555" s="4906"/>
      <c r="D555" s="4907"/>
      <c r="E555" s="4908"/>
      <c r="F555" s="4909"/>
      <c r="G555" s="4910"/>
      <c r="H555" s="4911"/>
      <c r="I555" s="4912"/>
      <c r="J555" s="4913"/>
      <c r="K555" s="4914"/>
    </row>
    <row r="556" spans="1:11">
      <c r="A556" s="4915"/>
      <c r="B556" s="4916"/>
      <c r="C556" s="4917"/>
      <c r="D556" s="4918"/>
      <c r="E556" s="4919"/>
      <c r="F556" s="4920"/>
      <c r="G556" s="4921"/>
      <c r="H556" s="4922"/>
      <c r="I556" s="4923"/>
      <c r="J556" s="4924"/>
      <c r="K556" s="4925"/>
    </row>
    <row r="557" spans="1:11">
      <c r="A557" s="4926"/>
      <c r="B557" s="4927"/>
      <c r="C557" s="4928"/>
      <c r="D557" s="4929"/>
      <c r="E557" s="4930"/>
      <c r="F557" s="4931"/>
      <c r="G557" s="4932"/>
      <c r="H557" s="4933"/>
      <c r="I557" s="4934"/>
      <c r="J557" s="4935"/>
      <c r="K557" s="4936"/>
    </row>
    <row r="558" spans="1:11">
      <c r="A558" s="4937"/>
      <c r="B558" s="4938"/>
      <c r="C558" s="4939"/>
      <c r="D558" s="4940"/>
      <c r="E558" s="4941"/>
      <c r="F558" s="4942"/>
      <c r="G558" s="4943"/>
      <c r="H558" s="4944"/>
      <c r="I558" s="4945"/>
      <c r="J558" s="4946"/>
      <c r="K558" s="4947"/>
    </row>
    <row r="559" spans="1:11">
      <c r="A559" s="4948"/>
      <c r="B559" s="4949"/>
      <c r="C559" s="4950"/>
      <c r="D559" s="4951"/>
      <c r="E559" s="4952"/>
      <c r="F559" s="4953"/>
      <c r="G559" s="4954"/>
      <c r="H559" s="4955"/>
      <c r="I559" s="4956"/>
      <c r="J559" s="4957"/>
      <c r="K559" s="4958"/>
    </row>
    <row r="560" spans="1:11">
      <c r="A560" s="4959"/>
      <c r="B560" s="4960"/>
      <c r="C560" s="4961"/>
      <c r="D560" s="4962"/>
      <c r="E560" s="4963"/>
      <c r="F560" s="4964"/>
      <c r="G560" s="4965"/>
      <c r="H560" s="4966"/>
      <c r="I560" s="4967"/>
      <c r="J560" s="4968"/>
      <c r="K560" s="4969"/>
    </row>
    <row r="561" spans="1:11">
      <c r="A561" s="4970"/>
      <c r="B561" s="4971"/>
      <c r="C561" s="4972"/>
      <c r="D561" s="4973"/>
      <c r="E561" s="4974"/>
      <c r="F561" s="4975"/>
      <c r="G561" s="4976"/>
      <c r="H561" s="4977"/>
      <c r="I561" s="4978"/>
      <c r="J561" s="4979"/>
      <c r="K561" s="4980"/>
    </row>
    <row r="562" spans="1:11">
      <c r="A562" s="4981"/>
      <c r="B562" s="4982"/>
      <c r="C562" s="4983"/>
      <c r="D562" s="4984"/>
      <c r="E562" s="4985"/>
      <c r="F562" s="4986"/>
      <c r="G562" s="4987"/>
      <c r="H562" s="4988"/>
      <c r="I562" s="4989"/>
      <c r="J562" s="4990"/>
      <c r="K562" s="4991"/>
    </row>
    <row r="563" spans="1:11">
      <c r="A563" s="4992"/>
      <c r="B563" s="4993"/>
      <c r="C563" s="4994"/>
      <c r="D563" s="4995"/>
      <c r="E563" s="4996"/>
      <c r="F563" s="4997"/>
      <c r="G563" s="4998"/>
      <c r="H563" s="4999"/>
      <c r="I563" s="5000"/>
      <c r="J563" s="5001"/>
      <c r="K563" s="5002"/>
    </row>
    <row r="564" spans="1:11">
      <c r="A564" s="5003"/>
      <c r="B564" s="5004"/>
      <c r="C564" s="5005"/>
      <c r="D564" s="5006"/>
      <c r="E564" s="5007"/>
      <c r="F564" s="5008"/>
      <c r="G564" s="5009"/>
      <c r="H564" s="5010"/>
      <c r="I564" s="5011"/>
      <c r="J564" s="5012"/>
      <c r="K564" s="5013"/>
    </row>
    <row r="565" spans="1:11">
      <c r="A565" s="5014"/>
      <c r="B565" s="5015"/>
      <c r="C565" s="5016"/>
      <c r="D565" s="5017"/>
      <c r="E565" s="5018"/>
      <c r="F565" s="5019"/>
      <c r="G565" s="5020"/>
      <c r="H565" s="5021"/>
      <c r="I565" s="5022"/>
      <c r="J565" s="5023"/>
      <c r="K565" s="5024"/>
    </row>
    <row r="566" spans="1:11">
      <c r="A566" s="5025"/>
      <c r="B566" s="5026"/>
      <c r="C566" s="5027"/>
      <c r="D566" s="5028"/>
      <c r="E566" s="5029"/>
      <c r="F566" s="5030"/>
      <c r="G566" s="5031"/>
      <c r="H566" s="5032"/>
      <c r="I566" s="5033"/>
      <c r="J566" s="5034"/>
      <c r="K566" s="5035"/>
    </row>
    <row r="567" spans="1:11">
      <c r="A567" s="5036"/>
      <c r="B567" s="5037"/>
      <c r="C567" s="5038"/>
      <c r="D567" s="5039"/>
      <c r="E567" s="5040"/>
      <c r="F567" s="5041"/>
      <c r="G567" s="5042"/>
      <c r="H567" s="5043"/>
      <c r="I567" s="5044"/>
      <c r="J567" s="5045"/>
      <c r="K567" s="5046"/>
    </row>
    <row r="568" spans="1:11">
      <c r="A568" s="5047"/>
      <c r="B568" s="5048"/>
      <c r="C568" s="5049"/>
      <c r="D568" s="5050"/>
      <c r="E568" s="5051"/>
      <c r="F568" s="5052"/>
      <c r="G568" s="5053"/>
      <c r="H568" s="5054"/>
      <c r="I568" s="5055"/>
      <c r="J568" s="5056"/>
      <c r="K568" s="5057"/>
    </row>
    <row r="569" spans="1:11">
      <c r="A569" s="5058"/>
      <c r="B569" s="5059"/>
      <c r="C569" s="5060"/>
      <c r="D569" s="5061"/>
      <c r="E569" s="5062"/>
      <c r="F569" s="5063"/>
      <c r="G569" s="5064"/>
      <c r="H569" s="5065"/>
      <c r="I569" s="5066"/>
      <c r="J569" s="5067"/>
      <c r="K569" s="5068"/>
    </row>
    <row r="570" spans="1:11">
      <c r="A570" s="5069"/>
      <c r="B570" s="5070"/>
      <c r="C570" s="5071"/>
      <c r="D570" s="5072"/>
      <c r="E570" s="5073"/>
      <c r="F570" s="5074"/>
      <c r="G570" s="5075"/>
      <c r="H570" s="5076"/>
      <c r="I570" s="5077"/>
      <c r="J570" s="5078"/>
      <c r="K570" s="5079"/>
    </row>
    <row r="571" spans="1:11">
      <c r="A571" s="5080"/>
      <c r="B571" s="5081"/>
      <c r="C571" s="5082"/>
      <c r="D571" s="5083"/>
      <c r="E571" s="5084"/>
      <c r="F571" s="5085"/>
      <c r="G571" s="5086"/>
      <c r="H571" s="5087"/>
      <c r="I571" s="5088"/>
      <c r="J571" s="5089"/>
      <c r="K571" s="5090"/>
    </row>
    <row r="572" spans="1:11">
      <c r="A572" s="5091"/>
      <c r="B572" s="5092"/>
      <c r="C572" s="5093"/>
      <c r="D572" s="5094"/>
      <c r="E572" s="5095"/>
      <c r="F572" s="5096"/>
      <c r="G572" s="5097"/>
      <c r="H572" s="5098"/>
      <c r="I572" s="5099"/>
      <c r="J572" s="5100"/>
      <c r="K572" s="5101"/>
    </row>
    <row r="573" spans="1:11">
      <c r="A573" s="5102"/>
      <c r="B573" s="5103"/>
      <c r="C573" s="5104"/>
      <c r="D573" s="5105"/>
      <c r="E573" s="5106"/>
      <c r="F573" s="5107"/>
      <c r="G573" s="5108"/>
      <c r="H573" s="5109"/>
      <c r="I573" s="5110"/>
      <c r="J573" s="5111"/>
      <c r="K573" s="5112"/>
    </row>
    <row r="574" spans="1:11">
      <c r="A574" s="5113"/>
      <c r="B574" s="5114"/>
      <c r="C574" s="5115"/>
      <c r="D574" s="5116"/>
      <c r="E574" s="5117"/>
      <c r="F574" s="5118"/>
      <c r="G574" s="5119"/>
      <c r="H574" s="5120"/>
      <c r="I574" s="5121"/>
      <c r="J574" s="5122"/>
      <c r="K574" s="5123"/>
    </row>
    <row r="575" spans="1:11">
      <c r="A575" s="5124"/>
      <c r="B575" s="5125"/>
      <c r="C575" s="5126"/>
      <c r="D575" s="5127"/>
      <c r="E575" s="5128"/>
      <c r="F575" s="5129"/>
      <c r="G575" s="5130"/>
      <c r="H575" s="5131"/>
      <c r="I575" s="5132"/>
      <c r="J575" s="5133"/>
      <c r="K575" s="5134"/>
    </row>
    <row r="576" spans="1:11">
      <c r="A576" s="5135"/>
      <c r="B576" s="5136"/>
      <c r="C576" s="5137"/>
      <c r="D576" s="5138"/>
      <c r="E576" s="5139"/>
      <c r="F576" s="5140"/>
      <c r="G576" s="5141"/>
      <c r="H576" s="5142"/>
      <c r="I576" s="5143"/>
      <c r="J576" s="5144"/>
      <c r="K576" s="5145"/>
    </row>
    <row r="577" spans="1:11">
      <c r="A577" s="5146"/>
      <c r="B577" s="5147"/>
      <c r="C577" s="5148"/>
      <c r="D577" s="5149"/>
      <c r="E577" s="5150"/>
      <c r="F577" s="5151"/>
      <c r="G577" s="5152"/>
      <c r="H577" s="5153"/>
      <c r="I577" s="5154"/>
      <c r="J577" s="5155"/>
      <c r="K577" s="5156"/>
    </row>
    <row r="578" spans="1:11">
      <c r="A578" s="5157"/>
      <c r="B578" s="5158"/>
      <c r="C578" s="5159"/>
      <c r="D578" s="5160"/>
      <c r="E578" s="5161"/>
      <c r="F578" s="5162"/>
      <c r="G578" s="5163"/>
      <c r="H578" s="5164"/>
      <c r="I578" s="5165"/>
      <c r="J578" s="5166"/>
      <c r="K578" s="5167"/>
    </row>
    <row r="579" spans="1:11">
      <c r="A579" s="5168"/>
      <c r="B579" s="5169"/>
      <c r="C579" s="5170"/>
      <c r="D579" s="5171"/>
      <c r="E579" s="5172"/>
      <c r="F579" s="5173"/>
      <c r="G579" s="5174"/>
      <c r="H579" s="5175"/>
      <c r="I579" s="5176"/>
      <c r="J579" s="5177"/>
      <c r="K579" s="5178"/>
    </row>
    <row r="580" spans="1:11">
      <c r="A580" s="5179"/>
      <c r="B580" s="5180"/>
      <c r="C580" s="5181"/>
      <c r="D580" s="5182"/>
      <c r="E580" s="5183"/>
      <c r="F580" s="5184"/>
      <c r="G580" s="5185"/>
      <c r="H580" s="5186"/>
      <c r="I580" s="5187"/>
      <c r="J580" s="5188"/>
      <c r="K580" s="5189"/>
    </row>
    <row r="581" spans="1:11">
      <c r="A581" s="5190"/>
      <c r="B581" s="5191"/>
      <c r="C581" s="5192"/>
      <c r="D581" s="5193"/>
      <c r="E581" s="5194"/>
      <c r="F581" s="5195"/>
      <c r="G581" s="5196"/>
      <c r="H581" s="5197"/>
      <c r="I581" s="5198"/>
      <c r="J581" s="5199"/>
      <c r="K581" s="5200"/>
    </row>
    <row r="582" spans="1:11">
      <c r="A582" s="5201"/>
      <c r="B582" s="5202"/>
      <c r="C582" s="5203"/>
      <c r="D582" s="5204"/>
      <c r="E582" s="5205"/>
      <c r="F582" s="5206"/>
      <c r="G582" s="5207"/>
      <c r="H582" s="5208"/>
      <c r="I582" s="5209"/>
      <c r="J582" s="5210"/>
      <c r="K582" s="5211"/>
    </row>
    <row r="583" spans="1:11">
      <c r="A583" s="5212"/>
      <c r="B583" s="5213"/>
      <c r="C583" s="5214"/>
      <c r="D583" s="5215"/>
      <c r="E583" s="5216"/>
      <c r="F583" s="5217"/>
      <c r="G583" s="5218"/>
      <c r="H583" s="5219"/>
      <c r="I583" s="5220"/>
      <c r="J583" s="5221"/>
      <c r="K583" s="5222"/>
    </row>
    <row r="584" spans="1:11">
      <c r="A584" s="5223"/>
      <c r="B584" s="5224"/>
      <c r="C584" s="5225"/>
      <c r="D584" s="5226"/>
      <c r="E584" s="5227"/>
      <c r="F584" s="5228"/>
      <c r="G584" s="5229"/>
      <c r="H584" s="5230"/>
      <c r="I584" s="5231"/>
      <c r="J584" s="5232"/>
      <c r="K584" s="5233"/>
    </row>
    <row r="585" spans="1:11">
      <c r="A585" s="5234"/>
      <c r="B585" s="5235"/>
      <c r="C585" s="5236"/>
      <c r="D585" s="5237"/>
      <c r="E585" s="5238"/>
      <c r="F585" s="5239"/>
      <c r="G585" s="5240"/>
      <c r="H585" s="5241"/>
      <c r="I585" s="5242"/>
      <c r="J585" s="5243"/>
      <c r="K585" s="5244"/>
    </row>
    <row r="586" spans="1:11">
      <c r="A586" s="5245"/>
      <c r="B586" s="5246"/>
      <c r="C586" s="5247"/>
      <c r="D586" s="5248"/>
      <c r="E586" s="5249"/>
      <c r="F586" s="5250"/>
      <c r="G586" s="5251"/>
      <c r="H586" s="5252"/>
      <c r="I586" s="5253"/>
      <c r="J586" s="5254"/>
      <c r="K586" s="5255"/>
    </row>
    <row r="587" spans="1:11">
      <c r="A587" s="5256"/>
      <c r="B587" s="5257"/>
      <c r="C587" s="5258"/>
      <c r="D587" s="5259"/>
      <c r="E587" s="5260"/>
      <c r="F587" s="5261"/>
      <c r="G587" s="5262"/>
      <c r="H587" s="5263"/>
      <c r="I587" s="5264"/>
      <c r="J587" s="5265"/>
      <c r="K587" s="5266"/>
    </row>
    <row r="588" spans="1:11">
      <c r="A588" s="5267"/>
      <c r="B588" s="5268"/>
      <c r="C588" s="5269"/>
      <c r="D588" s="5270"/>
      <c r="E588" s="5271"/>
      <c r="F588" s="5272"/>
      <c r="G588" s="5273"/>
      <c r="H588" s="5274"/>
      <c r="I588" s="5275"/>
      <c r="J588" s="5276"/>
      <c r="K588" s="5277"/>
    </row>
    <row r="589" spans="1:11">
      <c r="A589" s="5278"/>
      <c r="B589" s="5279"/>
      <c r="C589" s="5280"/>
      <c r="D589" s="5281"/>
      <c r="E589" s="5282"/>
      <c r="F589" s="5283"/>
      <c r="G589" s="5284"/>
      <c r="H589" s="5285"/>
      <c r="I589" s="5286"/>
      <c r="J589" s="5287"/>
      <c r="K589" s="5288"/>
    </row>
    <row r="590" spans="1:11">
      <c r="A590" s="5289"/>
      <c r="B590" s="5290"/>
      <c r="C590" s="5291"/>
      <c r="D590" s="5292"/>
      <c r="E590" s="5293"/>
      <c r="F590" s="5294"/>
      <c r="G590" s="5295"/>
      <c r="H590" s="5296"/>
      <c r="I590" s="5297"/>
      <c r="J590" s="5298"/>
      <c r="K590" s="5299"/>
    </row>
    <row r="591" spans="1:11">
      <c r="A591" s="5300"/>
      <c r="B591" s="5301"/>
      <c r="C591" s="5302"/>
      <c r="D591" s="5303"/>
      <c r="E591" s="5304"/>
      <c r="F591" s="5305"/>
      <c r="G591" s="5306"/>
      <c r="H591" s="5307"/>
      <c r="I591" s="5308"/>
      <c r="J591" s="5309"/>
      <c r="K591" s="5310"/>
    </row>
    <row r="592" spans="1:11">
      <c r="A592" s="5311"/>
      <c r="B592" s="5312"/>
      <c r="C592" s="5313"/>
      <c r="D592" s="5314"/>
      <c r="E592" s="5315"/>
      <c r="F592" s="5316"/>
      <c r="G592" s="5317"/>
      <c r="H592" s="5318"/>
      <c r="I592" s="5319"/>
      <c r="J592" s="5320"/>
      <c r="K592" s="5321"/>
    </row>
    <row r="593" spans="1:11">
      <c r="A593" s="5322"/>
      <c r="B593" s="5323"/>
      <c r="C593" s="5324"/>
      <c r="D593" s="5325"/>
      <c r="E593" s="5326"/>
      <c r="F593" s="5327"/>
      <c r="G593" s="5328"/>
      <c r="H593" s="5329"/>
      <c r="I593" s="5330"/>
      <c r="J593" s="5331"/>
      <c r="K593" s="5332"/>
    </row>
    <row r="594" spans="1:11">
      <c r="A594" s="5333"/>
      <c r="B594" s="5334"/>
      <c r="C594" s="5335"/>
      <c r="D594" s="5336"/>
      <c r="E594" s="5337"/>
      <c r="F594" s="5338"/>
      <c r="G594" s="5339"/>
      <c r="H594" s="5340"/>
      <c r="I594" s="5341"/>
      <c r="J594" s="5342"/>
      <c r="K594" s="5343"/>
    </row>
    <row r="595" spans="1:11">
      <c r="A595" s="5344"/>
      <c r="B595" s="5345"/>
      <c r="C595" s="5346"/>
      <c r="D595" s="5347"/>
      <c r="E595" s="5348"/>
      <c r="F595" s="5349"/>
      <c r="G595" s="5350"/>
      <c r="H595" s="5351"/>
      <c r="I595" s="5352"/>
      <c r="J595" s="5353"/>
      <c r="K595" s="5354"/>
    </row>
    <row r="596" spans="1:11">
      <c r="A596" s="5355"/>
      <c r="B596" s="5356"/>
      <c r="C596" s="5357"/>
      <c r="D596" s="5358"/>
      <c r="E596" s="5359"/>
      <c r="F596" s="5360"/>
      <c r="G596" s="5361"/>
      <c r="H596" s="5362"/>
      <c r="I596" s="5363"/>
      <c r="J596" s="5364"/>
      <c r="K596" s="5365"/>
    </row>
    <row r="597" spans="1:11">
      <c r="A597" s="5366"/>
      <c r="B597" s="5367"/>
      <c r="C597" s="5368"/>
      <c r="D597" s="5369"/>
      <c r="E597" s="5370"/>
      <c r="F597" s="5371"/>
      <c r="G597" s="5372"/>
      <c r="H597" s="5373"/>
      <c r="I597" s="5374"/>
      <c r="J597" s="5375"/>
      <c r="K597" s="5376"/>
    </row>
    <row r="598" spans="1:11">
      <c r="A598" s="5377"/>
      <c r="B598" s="5378"/>
      <c r="C598" s="5379"/>
      <c r="D598" s="5380"/>
      <c r="E598" s="5381"/>
      <c r="F598" s="5382"/>
      <c r="G598" s="5383"/>
      <c r="H598" s="5384"/>
      <c r="I598" s="5385"/>
      <c r="J598" s="5386"/>
      <c r="K598" s="5387"/>
    </row>
    <row r="599" spans="1:11">
      <c r="A599" s="5388"/>
      <c r="B599" s="5389"/>
      <c r="C599" s="5390"/>
      <c r="D599" s="5391"/>
      <c r="E599" s="5392"/>
      <c r="F599" s="5393"/>
      <c r="G599" s="5394"/>
      <c r="H599" s="5395"/>
      <c r="I599" s="5396"/>
      <c r="J599" s="5397"/>
      <c r="K599" s="5398"/>
    </row>
    <row r="600" spans="1:11">
      <c r="A600" s="5399"/>
      <c r="B600" s="5400"/>
      <c r="C600" s="5401"/>
      <c r="D600" s="5402"/>
      <c r="E600" s="5403"/>
      <c r="F600" s="5404"/>
      <c r="G600" s="5405"/>
      <c r="H600" s="5406"/>
      <c r="I600" s="5407"/>
      <c r="J600" s="5408"/>
      <c r="K600" s="5409"/>
    </row>
    <row r="601" spans="1:11">
      <c r="A601" s="5410"/>
      <c r="B601" s="5411"/>
      <c r="C601" s="5412"/>
      <c r="D601" s="5413"/>
      <c r="E601" s="5414"/>
      <c r="F601" s="5415"/>
      <c r="G601" s="5416"/>
      <c r="H601" s="5417"/>
      <c r="I601" s="5418"/>
      <c r="J601" s="5419"/>
      <c r="K601" s="5420"/>
    </row>
    <row r="602" spans="1:11">
      <c r="A602" s="5421"/>
      <c r="B602" s="5422"/>
      <c r="C602" s="5423"/>
      <c r="D602" s="5424"/>
      <c r="E602" s="5425"/>
      <c r="F602" s="5426"/>
      <c r="G602" s="5427"/>
      <c r="H602" s="5428"/>
      <c r="I602" s="5429"/>
      <c r="J602" s="5430"/>
      <c r="K602" s="5431"/>
    </row>
    <row r="603" spans="1:11">
      <c r="A603" s="5432"/>
      <c r="B603" s="5433"/>
      <c r="C603" s="5434"/>
      <c r="D603" s="5435"/>
      <c r="E603" s="5436"/>
      <c r="F603" s="5437"/>
      <c r="G603" s="5438"/>
      <c r="H603" s="5439"/>
      <c r="I603" s="5440"/>
      <c r="J603" s="5441"/>
      <c r="K603" s="5442"/>
    </row>
    <row r="604" spans="1:11">
      <c r="A604" s="5443"/>
      <c r="B604" s="5444"/>
      <c r="C604" s="5445"/>
      <c r="D604" s="5446"/>
      <c r="E604" s="5447"/>
      <c r="F604" s="5448"/>
      <c r="G604" s="5449"/>
      <c r="H604" s="5450"/>
      <c r="I604" s="5451"/>
      <c r="J604" s="5452"/>
      <c r="K604" s="5453"/>
    </row>
    <row r="605" spans="1:11">
      <c r="A605" s="5454"/>
      <c r="B605" s="5455"/>
      <c r="C605" s="5456"/>
      <c r="D605" s="5457"/>
      <c r="E605" s="5458"/>
      <c r="F605" s="5459"/>
      <c r="G605" s="5460"/>
      <c r="H605" s="5461"/>
      <c r="I605" s="5462"/>
      <c r="J605" s="5463"/>
      <c r="K605" s="5464"/>
    </row>
    <row r="606" spans="1:11">
      <c r="A606" s="5465"/>
      <c r="B606" s="5466"/>
      <c r="C606" s="5467"/>
      <c r="D606" s="5468"/>
      <c r="E606" s="5469"/>
      <c r="F606" s="5470"/>
      <c r="G606" s="5471"/>
      <c r="H606" s="5472"/>
      <c r="I606" s="5473"/>
      <c r="J606" s="5474"/>
      <c r="K606" s="5475"/>
    </row>
    <row r="607" spans="1:11">
      <c r="A607" s="5476"/>
      <c r="B607" s="5477"/>
      <c r="C607" s="5478"/>
      <c r="D607" s="5479"/>
      <c r="E607" s="5480"/>
      <c r="F607" s="5481"/>
      <c r="G607" s="5482"/>
      <c r="H607" s="5483"/>
      <c r="I607" s="5484"/>
      <c r="J607" s="5485"/>
      <c r="K607" s="5486"/>
    </row>
    <row r="608" spans="1:11">
      <c r="A608" s="5487"/>
      <c r="B608" s="5488"/>
      <c r="C608" s="5489"/>
      <c r="D608" s="5490"/>
      <c r="E608" s="5491"/>
      <c r="F608" s="5492"/>
      <c r="G608" s="5493"/>
      <c r="H608" s="5494"/>
      <c r="I608" s="5495"/>
      <c r="J608" s="5496"/>
      <c r="K608" s="5497"/>
    </row>
    <row r="609" spans="1:11">
      <c r="A609" s="5498"/>
      <c r="B609" s="5499"/>
      <c r="C609" s="5500"/>
      <c r="D609" s="5501"/>
      <c r="E609" s="5502"/>
      <c r="F609" s="5503"/>
      <c r="G609" s="5504"/>
      <c r="H609" s="5505"/>
      <c r="I609" s="5506"/>
      <c r="J609" s="5507"/>
      <c r="K609" s="5508"/>
    </row>
    <row r="610" spans="1:11">
      <c r="A610" s="5509"/>
      <c r="B610" s="5510"/>
      <c r="C610" s="5511"/>
      <c r="D610" s="5512"/>
      <c r="E610" s="5513"/>
      <c r="F610" s="5514"/>
      <c r="G610" s="5515"/>
      <c r="H610" s="5516"/>
      <c r="I610" s="5517"/>
      <c r="J610" s="5518"/>
      <c r="K610" s="5519"/>
    </row>
    <row r="611" spans="1:11">
      <c r="A611" s="5520"/>
      <c r="B611" s="5521"/>
      <c r="C611" s="5522"/>
      <c r="D611" s="5523"/>
      <c r="E611" s="5524"/>
      <c r="F611" s="5525"/>
      <c r="G611" s="5526"/>
      <c r="H611" s="5527"/>
      <c r="I611" s="5528"/>
      <c r="J611" s="5529"/>
      <c r="K611" s="5530"/>
    </row>
    <row r="612" spans="1:11">
      <c r="A612" s="5531"/>
      <c r="B612" s="5532"/>
      <c r="C612" s="5533"/>
      <c r="D612" s="5534"/>
      <c r="E612" s="5535"/>
      <c r="F612" s="5536"/>
      <c r="G612" s="5537"/>
      <c r="H612" s="5538"/>
      <c r="I612" s="5539"/>
      <c r="J612" s="5540"/>
      <c r="K612" s="5541"/>
    </row>
    <row r="613" spans="1:11">
      <c r="A613" s="5542"/>
      <c r="B613" s="5543"/>
      <c r="C613" s="5544"/>
      <c r="D613" s="5545"/>
      <c r="E613" s="5546"/>
      <c r="F613" s="5547"/>
      <c r="G613" s="5548"/>
      <c r="H613" s="5549"/>
      <c r="I613" s="5550"/>
      <c r="J613" s="5551"/>
      <c r="K613" s="5552"/>
    </row>
    <row r="614" spans="1:11">
      <c r="A614" s="5553"/>
      <c r="B614" s="5554"/>
      <c r="C614" s="5555"/>
      <c r="D614" s="5556"/>
      <c r="E614" s="5557"/>
      <c r="F614" s="5558"/>
      <c r="G614" s="5559"/>
      <c r="H614" s="5560"/>
      <c r="I614" s="5561"/>
      <c r="J614" s="5562"/>
      <c r="K614" s="5563"/>
    </row>
    <row r="615" spans="1:11">
      <c r="A615" s="5564"/>
      <c r="B615" s="5565"/>
      <c r="C615" s="5566"/>
      <c r="D615" s="5567"/>
      <c r="E615" s="5568"/>
      <c r="F615" s="5569"/>
      <c r="G615" s="5570"/>
      <c r="H615" s="5571"/>
      <c r="I615" s="5572"/>
      <c r="J615" s="5573"/>
      <c r="K615" s="5574"/>
    </row>
    <row r="616" spans="1:11">
      <c r="A616" s="5575"/>
      <c r="B616" s="5576"/>
      <c r="C616" s="5577"/>
      <c r="D616" s="5578"/>
      <c r="E616" s="5579"/>
      <c r="F616" s="5580"/>
      <c r="G616" s="5581"/>
      <c r="H616" s="5582"/>
      <c r="I616" s="5583"/>
      <c r="J616" s="5584"/>
      <c r="K616" s="5585"/>
    </row>
    <row r="617" spans="1:11">
      <c r="A617" s="5586"/>
      <c r="B617" s="5587"/>
      <c r="C617" s="5588"/>
      <c r="D617" s="5589"/>
      <c r="E617" s="5590"/>
      <c r="F617" s="5591"/>
      <c r="G617" s="5592"/>
      <c r="H617" s="5593"/>
      <c r="I617" s="5594"/>
      <c r="J617" s="5595"/>
      <c r="K617" s="5596"/>
    </row>
    <row r="618" spans="1:11">
      <c r="A618" s="5597"/>
      <c r="B618" s="5598"/>
      <c r="C618" s="5599"/>
      <c r="D618" s="5600"/>
      <c r="E618" s="5601"/>
      <c r="F618" s="5602"/>
      <c r="G618" s="5603"/>
      <c r="H618" s="5604"/>
      <c r="I618" s="5605"/>
      <c r="J618" s="5606"/>
      <c r="K618" s="5607"/>
    </row>
    <row r="619" spans="1:11">
      <c r="A619" s="5608"/>
      <c r="B619" s="5609"/>
      <c r="C619" s="5610"/>
      <c r="D619" s="5611"/>
      <c r="E619" s="5612"/>
      <c r="F619" s="5613"/>
      <c r="G619" s="5614"/>
      <c r="H619" s="5615"/>
      <c r="I619" s="5616"/>
      <c r="J619" s="5617"/>
      <c r="K619" s="5618"/>
    </row>
    <row r="620" spans="1:11">
      <c r="A620" s="5619"/>
      <c r="B620" s="5620"/>
      <c r="C620" s="5621"/>
      <c r="D620" s="5622"/>
      <c r="E620" s="5623"/>
      <c r="F620" s="5624"/>
      <c r="G620" s="5625"/>
      <c r="H620" s="5626"/>
      <c r="I620" s="5627"/>
      <c r="J620" s="5628"/>
      <c r="K620" s="5629"/>
    </row>
    <row r="621" spans="1:11">
      <c r="A621" s="5630"/>
      <c r="B621" s="5631"/>
      <c r="C621" s="5632"/>
      <c r="D621" s="5633"/>
      <c r="E621" s="5634"/>
      <c r="F621" s="5635"/>
      <c r="G621" s="5636"/>
      <c r="H621" s="5637"/>
      <c r="I621" s="5638"/>
      <c r="J621" s="5639"/>
      <c r="K621" s="5640"/>
    </row>
    <row r="622" spans="1:11">
      <c r="A622" s="5641"/>
      <c r="B622" s="5642"/>
      <c r="C622" s="5643"/>
      <c r="D622" s="5644"/>
      <c r="E622" s="5645"/>
      <c r="F622" s="5646"/>
      <c r="G622" s="5647"/>
      <c r="H622" s="5648"/>
      <c r="I622" s="5649"/>
      <c r="J622" s="5650"/>
      <c r="K622" s="5651"/>
    </row>
    <row r="623" spans="1:11">
      <c r="A623" s="5652"/>
      <c r="B623" s="5653"/>
      <c r="C623" s="5654"/>
      <c r="D623" s="5655"/>
      <c r="E623" s="5656"/>
      <c r="F623" s="5657"/>
      <c r="G623" s="5658"/>
      <c r="H623" s="5659"/>
      <c r="I623" s="5660"/>
      <c r="J623" s="5661"/>
      <c r="K623" s="5662"/>
    </row>
    <row r="624" spans="1:11">
      <c r="A624" s="5663"/>
      <c r="B624" s="5664"/>
      <c r="C624" s="5665"/>
      <c r="D624" s="5666"/>
      <c r="E624" s="5667"/>
      <c r="F624" s="5668"/>
      <c r="G624" s="5669"/>
      <c r="H624" s="5670"/>
      <c r="I624" s="5671"/>
      <c r="J624" s="5672"/>
      <c r="K624" s="5673"/>
    </row>
    <row r="625" spans="1:11">
      <c r="A625" s="5674"/>
      <c r="B625" s="5675"/>
      <c r="C625" s="5676"/>
      <c r="D625" s="5677"/>
      <c r="E625" s="5678"/>
      <c r="F625" s="5679"/>
      <c r="G625" s="5680"/>
      <c r="H625" s="5681"/>
      <c r="I625" s="5682"/>
      <c r="J625" s="5683"/>
      <c r="K625" s="5684"/>
    </row>
    <row r="626" spans="1:11">
      <c r="A626" s="5685"/>
      <c r="B626" s="5686"/>
      <c r="C626" s="5687"/>
      <c r="D626" s="5688"/>
      <c r="E626" s="5689"/>
      <c r="F626" s="5690"/>
      <c r="G626" s="5691"/>
      <c r="H626" s="5692"/>
      <c r="I626" s="5693"/>
      <c r="J626" s="5694"/>
      <c r="K626" s="5695"/>
    </row>
    <row r="627" spans="1:11">
      <c r="A627" s="5696"/>
      <c r="B627" s="5697"/>
      <c r="C627" s="5698"/>
      <c r="D627" s="5699"/>
      <c r="E627" s="5700"/>
      <c r="F627" s="5701"/>
      <c r="G627" s="5702"/>
      <c r="H627" s="5703"/>
      <c r="I627" s="5704"/>
      <c r="J627" s="5705"/>
      <c r="K627" s="5706"/>
    </row>
    <row r="628" spans="1:11">
      <c r="A628" s="5707"/>
      <c r="B628" s="5708"/>
      <c r="C628" s="5709"/>
      <c r="D628" s="5710"/>
      <c r="E628" s="5711"/>
      <c r="F628" s="5712"/>
      <c r="G628" s="5713"/>
      <c r="H628" s="5714"/>
      <c r="I628" s="5715"/>
      <c r="J628" s="5716"/>
      <c r="K628" s="5717"/>
    </row>
    <row r="629" spans="1:11">
      <c r="A629" s="5718"/>
      <c r="B629" s="5719"/>
      <c r="C629" s="5720"/>
      <c r="D629" s="5721"/>
      <c r="E629" s="5722"/>
      <c r="F629" s="5723"/>
      <c r="G629" s="5724"/>
      <c r="H629" s="5725"/>
      <c r="I629" s="5726"/>
      <c r="J629" s="5727"/>
      <c r="K629" s="5728"/>
    </row>
    <row r="630" spans="1:11">
      <c r="A630" s="5729"/>
      <c r="B630" s="5730"/>
      <c r="C630" s="5731"/>
      <c r="D630" s="5732"/>
      <c r="E630" s="5733"/>
      <c r="F630" s="5734"/>
      <c r="G630" s="5735"/>
      <c r="H630" s="5736"/>
      <c r="I630" s="5737"/>
      <c r="J630" s="5738"/>
      <c r="K630" s="5739"/>
    </row>
    <row r="631" spans="1:11">
      <c r="A631" s="5740"/>
      <c r="B631" s="5741"/>
      <c r="C631" s="5742"/>
      <c r="D631" s="5743"/>
      <c r="E631" s="5744"/>
      <c r="F631" s="5745"/>
      <c r="G631" s="5746"/>
      <c r="H631" s="5747"/>
      <c r="I631" s="5748"/>
      <c r="J631" s="5749"/>
      <c r="K631" s="5750"/>
    </row>
    <row r="632" spans="1:11">
      <c r="A632" s="5751"/>
      <c r="B632" s="5752"/>
      <c r="C632" s="5753"/>
      <c r="D632" s="5754"/>
      <c r="E632" s="5755"/>
      <c r="F632" s="5756"/>
      <c r="G632" s="5757"/>
      <c r="H632" s="5758"/>
      <c r="I632" s="5759"/>
      <c r="J632" s="5760"/>
      <c r="K632" s="5761"/>
    </row>
    <row r="633" spans="1:11">
      <c r="A633" s="5762"/>
      <c r="B633" s="5763"/>
      <c r="C633" s="5764"/>
      <c r="D633" s="5765"/>
      <c r="E633" s="5766"/>
      <c r="F633" s="5767"/>
      <c r="G633" s="5768"/>
      <c r="H633" s="5769"/>
      <c r="I633" s="5770"/>
      <c r="J633" s="5771"/>
      <c r="K633" s="5772"/>
    </row>
    <row r="634" spans="1:11">
      <c r="A634" s="5773"/>
      <c r="B634" s="5774"/>
      <c r="C634" s="5775"/>
      <c r="D634" s="5776"/>
      <c r="E634" s="5777"/>
      <c r="F634" s="5778"/>
      <c r="G634" s="5779"/>
      <c r="H634" s="5780"/>
      <c r="I634" s="5781"/>
      <c r="J634" s="5782"/>
      <c r="K634" s="5783"/>
    </row>
    <row r="635" spans="1:11">
      <c r="A635" s="5784"/>
      <c r="B635" s="5785"/>
      <c r="C635" s="5786"/>
      <c r="D635" s="5787"/>
      <c r="E635" s="5788"/>
      <c r="F635" s="5789"/>
      <c r="G635" s="5790"/>
      <c r="H635" s="5791"/>
      <c r="I635" s="5792"/>
      <c r="J635" s="5793"/>
      <c r="K635" s="5794"/>
    </row>
    <row r="636" spans="1:11">
      <c r="A636" s="5795"/>
      <c r="B636" s="5796"/>
      <c r="C636" s="5797"/>
      <c r="D636" s="5798"/>
      <c r="E636" s="5799"/>
      <c r="F636" s="5800"/>
      <c r="G636" s="5801"/>
      <c r="H636" s="5802"/>
      <c r="I636" s="5803"/>
      <c r="J636" s="5804"/>
      <c r="K636" s="5805"/>
    </row>
    <row r="637" spans="1:11">
      <c r="A637" s="5806"/>
      <c r="B637" s="5807"/>
      <c r="C637" s="5808"/>
      <c r="D637" s="5809"/>
      <c r="E637" s="5810"/>
      <c r="F637" s="5811"/>
      <c r="G637" s="5812"/>
      <c r="H637" s="5813"/>
      <c r="I637" s="5814"/>
      <c r="J637" s="5815"/>
      <c r="K637" s="5816"/>
    </row>
    <row r="638" spans="1:11">
      <c r="A638" s="5817"/>
      <c r="B638" s="5818"/>
      <c r="C638" s="5819"/>
      <c r="D638" s="5820"/>
      <c r="E638" s="5821"/>
      <c r="F638" s="5822"/>
      <c r="G638" s="5823"/>
      <c r="H638" s="5824"/>
      <c r="I638" s="5825"/>
      <c r="J638" s="5826"/>
      <c r="K638" s="5827"/>
    </row>
    <row r="639" spans="1:11">
      <c r="A639" s="5828"/>
      <c r="B639" s="5829"/>
      <c r="C639" s="5830"/>
      <c r="D639" s="5831"/>
      <c r="E639" s="5832"/>
      <c r="F639" s="5833"/>
      <c r="G639" s="5834"/>
      <c r="H639" s="5835"/>
      <c r="I639" s="5836"/>
      <c r="J639" s="5837"/>
      <c r="K639" s="5838"/>
    </row>
    <row r="640" spans="1:11">
      <c r="A640" s="5839"/>
      <c r="B640" s="5840"/>
      <c r="C640" s="5841"/>
      <c r="D640" s="5842"/>
      <c r="E640" s="5843"/>
      <c r="F640" s="5844"/>
      <c r="G640" s="5845"/>
      <c r="H640" s="5846"/>
      <c r="I640" s="5847"/>
      <c r="J640" s="5848"/>
      <c r="K640" s="5849"/>
    </row>
    <row r="641" spans="1:11">
      <c r="A641" s="5850"/>
      <c r="B641" s="5851"/>
      <c r="C641" s="5852"/>
      <c r="D641" s="5853"/>
      <c r="E641" s="5854"/>
      <c r="F641" s="5855"/>
      <c r="G641" s="5856"/>
      <c r="H641" s="5857"/>
      <c r="I641" s="5858"/>
      <c r="J641" s="5859"/>
      <c r="K641" s="5860"/>
    </row>
    <row r="642" spans="1:11">
      <c r="A642" s="5861"/>
      <c r="B642" s="5862"/>
      <c r="C642" s="5863"/>
      <c r="D642" s="5864"/>
      <c r="E642" s="5865"/>
      <c r="F642" s="5866"/>
      <c r="G642" s="5867"/>
      <c r="H642" s="5868"/>
      <c r="I642" s="5869"/>
      <c r="J642" s="5870"/>
      <c r="K642" s="5871"/>
    </row>
    <row r="643" spans="1:11">
      <c r="A643" s="5872"/>
      <c r="B643" s="5873"/>
      <c r="C643" s="5874"/>
      <c r="D643" s="5875"/>
      <c r="E643" s="5876"/>
      <c r="F643" s="5877"/>
      <c r="G643" s="5878"/>
      <c r="H643" s="5879"/>
      <c r="I643" s="5880"/>
      <c r="J643" s="5881"/>
      <c r="K643" s="5882"/>
    </row>
    <row r="644" spans="1:11">
      <c r="A644" s="5883"/>
      <c r="B644" s="5884"/>
      <c r="C644" s="5885"/>
      <c r="D644" s="5886"/>
      <c r="E644" s="5887"/>
      <c r="F644" s="5888"/>
      <c r="G644" s="5889"/>
      <c r="H644" s="5890"/>
      <c r="I644" s="5891"/>
      <c r="J644" s="5892"/>
      <c r="K644" s="5893"/>
    </row>
    <row r="645" spans="1:11">
      <c r="A645" s="5894"/>
      <c r="B645" s="5895"/>
      <c r="C645" s="5896"/>
      <c r="D645" s="5897"/>
      <c r="E645" s="5898"/>
      <c r="F645" s="5899"/>
      <c r="G645" s="5900"/>
      <c r="H645" s="5901"/>
      <c r="I645" s="5902"/>
      <c r="J645" s="5903"/>
      <c r="K645" s="5904"/>
    </row>
    <row r="646" spans="1:11">
      <c r="A646" s="5905"/>
      <c r="B646" s="5906"/>
      <c r="C646" s="5907"/>
      <c r="D646" s="5908"/>
      <c r="E646" s="5909"/>
      <c r="F646" s="5910"/>
      <c r="G646" s="5911"/>
      <c r="H646" s="5912"/>
      <c r="I646" s="5913"/>
      <c r="J646" s="5914"/>
      <c r="K646" s="5915"/>
    </row>
    <row r="647" spans="1:11">
      <c r="A647" s="5916"/>
      <c r="B647" s="5917"/>
      <c r="C647" s="5918"/>
      <c r="D647" s="5919"/>
      <c r="E647" s="5920"/>
      <c r="F647" s="5921"/>
      <c r="G647" s="5922"/>
      <c r="H647" s="5923"/>
      <c r="I647" s="5924"/>
      <c r="J647" s="5925"/>
      <c r="K647" s="5926"/>
    </row>
    <row r="648" spans="1:11">
      <c r="A648" s="5927"/>
      <c r="B648" s="5928"/>
      <c r="C648" s="5929"/>
      <c r="D648" s="5930"/>
      <c r="E648" s="5931"/>
      <c r="F648" s="5932"/>
      <c r="G648" s="5933"/>
      <c r="H648" s="5934"/>
      <c r="I648" s="5935"/>
      <c r="J648" s="5936"/>
      <c r="K648" s="5937"/>
    </row>
    <row r="649" spans="1:11">
      <c r="A649" s="5938"/>
      <c r="B649" s="5939"/>
      <c r="C649" s="5940"/>
      <c r="D649" s="5941"/>
      <c r="E649" s="5942"/>
      <c r="F649" s="5943"/>
      <c r="G649" s="5944"/>
      <c r="H649" s="5945"/>
      <c r="I649" s="5946"/>
      <c r="J649" s="5947"/>
      <c r="K649" s="5948"/>
    </row>
    <row r="650" spans="1:11">
      <c r="A650" s="5949"/>
      <c r="B650" s="5950"/>
      <c r="C650" s="5951"/>
      <c r="D650" s="5952"/>
      <c r="E650" s="5953"/>
      <c r="F650" s="5954"/>
      <c r="G650" s="5955"/>
      <c r="H650" s="5956"/>
      <c r="I650" s="5957"/>
      <c r="J650" s="5958"/>
      <c r="K650" s="5959"/>
    </row>
    <row r="651" spans="1:11">
      <c r="A651" s="5960"/>
      <c r="B651" s="5961"/>
      <c r="C651" s="5962"/>
      <c r="D651" s="5963"/>
      <c r="E651" s="5964"/>
      <c r="F651" s="5965"/>
      <c r="G651" s="5966"/>
      <c r="H651" s="5967"/>
      <c r="I651" s="5968"/>
      <c r="J651" s="5969"/>
      <c r="K651" s="5970"/>
    </row>
    <row r="652" spans="1:11">
      <c r="A652" s="5971"/>
      <c r="B652" s="5972"/>
      <c r="C652" s="5973"/>
      <c r="D652" s="5974"/>
      <c r="E652" s="5975"/>
      <c r="F652" s="5976"/>
      <c r="G652" s="5977"/>
      <c r="H652" s="5978"/>
      <c r="I652" s="5979"/>
      <c r="J652" s="5980"/>
      <c r="K652" s="5981"/>
    </row>
    <row r="653" spans="1:11">
      <c r="A653" s="5982"/>
      <c r="B653" s="5983"/>
      <c r="C653" s="5984"/>
      <c r="D653" s="5985"/>
      <c r="E653" s="5986"/>
      <c r="F653" s="5987"/>
      <c r="G653" s="5988"/>
      <c r="H653" s="5989"/>
      <c r="I653" s="5990"/>
      <c r="J653" s="5991"/>
      <c r="K653" s="5992"/>
    </row>
    <row r="654" spans="1:11">
      <c r="A654" s="5993"/>
      <c r="B654" s="5994"/>
      <c r="C654" s="5995"/>
      <c r="D654" s="5996"/>
      <c r="E654" s="5997"/>
      <c r="F654" s="5998"/>
      <c r="G654" s="5999"/>
      <c r="H654" s="6000"/>
      <c r="I654" s="6001"/>
      <c r="J654" s="6002"/>
      <c r="K654" s="6003"/>
    </row>
    <row r="655" spans="1:11">
      <c r="A655" s="6004"/>
      <c r="B655" s="6005"/>
      <c r="C655" s="6006"/>
      <c r="D655" s="6007"/>
      <c r="E655" s="6008"/>
      <c r="F655" s="6009"/>
      <c r="G655" s="6010"/>
      <c r="H655" s="6011"/>
      <c r="I655" s="6012"/>
      <c r="J655" s="6013"/>
      <c r="K655" s="6014"/>
    </row>
    <row r="656" spans="1:11">
      <c r="A656" s="6015"/>
      <c r="B656" s="6016"/>
      <c r="C656" s="6017"/>
      <c r="D656" s="6018"/>
      <c r="E656" s="6019"/>
      <c r="F656" s="6020"/>
      <c r="G656" s="6021"/>
      <c r="H656" s="6022"/>
      <c r="I656" s="6023"/>
      <c r="J656" s="6024"/>
      <c r="K656" s="6025"/>
    </row>
    <row r="657" spans="1:11">
      <c r="A657" s="6026"/>
      <c r="B657" s="6027"/>
      <c r="C657" s="6028"/>
      <c r="D657" s="6029"/>
      <c r="E657" s="6030"/>
      <c r="F657" s="6031"/>
      <c r="G657" s="6032"/>
      <c r="H657" s="6033"/>
      <c r="I657" s="6034"/>
      <c r="J657" s="6035"/>
      <c r="K657" s="6036"/>
    </row>
    <row r="658" spans="1:11">
      <c r="A658" s="6037"/>
      <c r="B658" s="6038"/>
      <c r="C658" s="6039"/>
      <c r="D658" s="6040"/>
      <c r="E658" s="6041"/>
      <c r="F658" s="6042"/>
      <c r="G658" s="6043"/>
      <c r="H658" s="6044"/>
      <c r="I658" s="6045"/>
      <c r="J658" s="6046"/>
      <c r="K658" s="6047"/>
    </row>
    <row r="659" spans="1:11">
      <c r="A659" s="6048"/>
      <c r="B659" s="6049"/>
      <c r="C659" s="6050"/>
      <c r="D659" s="6051"/>
      <c r="E659" s="6052"/>
      <c r="F659" s="6053"/>
      <c r="G659" s="6054"/>
      <c r="H659" s="6055"/>
      <c r="I659" s="6056"/>
      <c r="J659" s="6057"/>
      <c r="K659" s="6058"/>
    </row>
    <row r="660" spans="1:11">
      <c r="A660" s="6059"/>
      <c r="B660" s="6060"/>
      <c r="C660" s="6061"/>
      <c r="D660" s="6062"/>
      <c r="E660" s="6063"/>
      <c r="F660" s="6064"/>
      <c r="G660" s="6065"/>
      <c r="H660" s="6066"/>
      <c r="I660" s="6067"/>
      <c r="J660" s="6068"/>
      <c r="K660" s="6069"/>
    </row>
    <row r="661" spans="1:11">
      <c r="A661" s="6070"/>
      <c r="B661" s="6071"/>
      <c r="C661" s="6072"/>
      <c r="D661" s="6073"/>
      <c r="E661" s="6074"/>
      <c r="F661" s="6075"/>
      <c r="G661" s="6076"/>
      <c r="H661" s="6077"/>
      <c r="I661" s="6078"/>
      <c r="J661" s="6079"/>
      <c r="K661" s="6080"/>
    </row>
    <row r="662" spans="1:11">
      <c r="A662" s="6081"/>
      <c r="B662" s="6082"/>
      <c r="C662" s="6083"/>
      <c r="D662" s="6084"/>
      <c r="E662" s="6085"/>
      <c r="F662" s="6086"/>
      <c r="G662" s="6087"/>
      <c r="H662" s="6088"/>
      <c r="I662" s="6089"/>
      <c r="J662" s="6090"/>
      <c r="K662" s="6091"/>
    </row>
    <row r="663" spans="1:11">
      <c r="A663" s="6092"/>
      <c r="B663" s="6093"/>
      <c r="C663" s="6094"/>
      <c r="D663" s="6095"/>
      <c r="E663" s="6096"/>
      <c r="F663" s="6097"/>
      <c r="G663" s="6098"/>
      <c r="H663" s="6099"/>
      <c r="I663" s="6100"/>
      <c r="J663" s="6101"/>
      <c r="K663" s="6102"/>
    </row>
    <row r="664" spans="1:11">
      <c r="A664" s="6103"/>
      <c r="B664" s="6104"/>
      <c r="C664" s="6105"/>
      <c r="D664" s="6106"/>
      <c r="E664" s="6107"/>
      <c r="F664" s="6108"/>
      <c r="G664" s="6109"/>
      <c r="H664" s="6110"/>
      <c r="I664" s="6111"/>
      <c r="J664" s="6112"/>
      <c r="K664" s="6113"/>
    </row>
    <row r="665" spans="1:11">
      <c r="A665" s="6114"/>
      <c r="B665" s="6115"/>
      <c r="C665" s="6116"/>
      <c r="D665" s="6117"/>
      <c r="E665" s="6118"/>
      <c r="F665" s="6119"/>
      <c r="G665" s="6120"/>
      <c r="H665" s="6121"/>
      <c r="I665" s="6122"/>
      <c r="J665" s="6123"/>
      <c r="K665" s="6124"/>
    </row>
    <row r="666" spans="1:11">
      <c r="A666" s="6125"/>
      <c r="B666" s="6126"/>
      <c r="C666" s="6127"/>
      <c r="D666" s="6128"/>
      <c r="E666" s="6129"/>
      <c r="F666" s="6130"/>
      <c r="G666" s="6131"/>
      <c r="H666" s="6132"/>
      <c r="I666" s="6133"/>
      <c r="J666" s="6134"/>
      <c r="K666" s="6135"/>
    </row>
    <row r="667" spans="1:11">
      <c r="A667" s="6136"/>
      <c r="B667" s="6137"/>
      <c r="C667" s="6138"/>
      <c r="D667" s="6139"/>
      <c r="E667" s="6140"/>
      <c r="F667" s="6141"/>
      <c r="G667" s="6142"/>
      <c r="H667" s="6143"/>
      <c r="I667" s="6144"/>
      <c r="J667" s="6145"/>
      <c r="K667" s="6146"/>
    </row>
    <row r="668" spans="1:11">
      <c r="A668" s="6147"/>
      <c r="B668" s="6148"/>
      <c r="C668" s="6149"/>
      <c r="D668" s="6150"/>
      <c r="E668" s="6151"/>
      <c r="F668" s="6152"/>
      <c r="G668" s="6153"/>
      <c r="H668" s="6154"/>
      <c r="I668" s="6155"/>
      <c r="J668" s="6156"/>
      <c r="K668" s="6157"/>
    </row>
    <row r="669" spans="1:11">
      <c r="A669" s="6158"/>
      <c r="B669" s="6159"/>
      <c r="C669" s="6160"/>
      <c r="D669" s="6161"/>
      <c r="E669" s="6162"/>
      <c r="F669" s="6163"/>
      <c r="G669" s="6164"/>
      <c r="H669" s="6165"/>
      <c r="I669" s="6166"/>
      <c r="J669" s="6167"/>
      <c r="K669" s="6168"/>
    </row>
    <row r="670" spans="1:11">
      <c r="A670" s="6169"/>
      <c r="B670" s="6170"/>
      <c r="C670" s="6171"/>
      <c r="D670" s="6172"/>
      <c r="E670" s="6173"/>
      <c r="F670" s="6174"/>
      <c r="G670" s="6175"/>
      <c r="H670" s="6176"/>
      <c r="I670" s="6177"/>
      <c r="J670" s="6178"/>
      <c r="K670" s="6179"/>
    </row>
    <row r="671" spans="1:11">
      <c r="A671" s="6180"/>
      <c r="B671" s="6181"/>
      <c r="C671" s="6182"/>
      <c r="D671" s="6183"/>
      <c r="E671" s="6184"/>
      <c r="F671" s="6185"/>
      <c r="G671" s="6186"/>
      <c r="H671" s="6187"/>
      <c r="I671" s="6188"/>
      <c r="J671" s="6189"/>
      <c r="K671" s="6190"/>
    </row>
    <row r="672" spans="1:11">
      <c r="A672" s="6191"/>
      <c r="B672" s="6192"/>
      <c r="C672" s="6193"/>
      <c r="D672" s="6194"/>
      <c r="E672" s="6195"/>
      <c r="F672" s="6196"/>
      <c r="G672" s="6197"/>
      <c r="H672" s="6198"/>
      <c r="I672" s="6199"/>
      <c r="J672" s="6200"/>
      <c r="K672" s="6201"/>
    </row>
    <row r="673" spans="1:11">
      <c r="A673" s="6202"/>
      <c r="B673" s="6203"/>
      <c r="C673" s="6204"/>
      <c r="D673" s="6205"/>
      <c r="E673" s="6206"/>
      <c r="F673" s="6207"/>
      <c r="G673" s="6208"/>
      <c r="H673" s="6209"/>
      <c r="I673" s="6210"/>
      <c r="J673" s="6211"/>
      <c r="K673" s="6212"/>
    </row>
    <row r="674" spans="1:11">
      <c r="A674" s="6213"/>
      <c r="B674" s="6214"/>
      <c r="C674" s="6215"/>
      <c r="D674" s="6216"/>
      <c r="E674" s="6217"/>
      <c r="F674" s="6218"/>
      <c r="G674" s="6219"/>
      <c r="H674" s="6220"/>
      <c r="I674" s="6221"/>
      <c r="J674" s="6222"/>
      <c r="K674" s="6223"/>
    </row>
    <row r="675" spans="1:11">
      <c r="A675" s="6224"/>
      <c r="B675" s="6225"/>
      <c r="C675" s="6226"/>
      <c r="D675" s="6227"/>
      <c r="E675" s="6228"/>
      <c r="F675" s="6229"/>
      <c r="G675" s="6230"/>
      <c r="H675" s="6231"/>
      <c r="I675" s="6232"/>
      <c r="J675" s="6233"/>
      <c r="K675" s="6234"/>
    </row>
    <row r="676" spans="1:11">
      <c r="A676" s="6235"/>
      <c r="B676" s="6236"/>
      <c r="C676" s="6237"/>
      <c r="D676" s="6238"/>
      <c r="E676" s="6239"/>
      <c r="F676" s="6240"/>
      <c r="G676" s="6241"/>
      <c r="H676" s="6242"/>
      <c r="I676" s="6243"/>
      <c r="J676" s="6244"/>
      <c r="K676" s="6245"/>
    </row>
    <row r="677" spans="1:11">
      <c r="A677" s="6246"/>
      <c r="B677" s="6247"/>
      <c r="C677" s="6248"/>
      <c r="D677" s="6249"/>
      <c r="E677" s="6250"/>
      <c r="F677" s="6251"/>
      <c r="G677" s="6252"/>
      <c r="H677" s="6253"/>
      <c r="I677" s="6254"/>
      <c r="J677" s="6255"/>
      <c r="K677" s="6256"/>
    </row>
    <row r="678" spans="1:11">
      <c r="A678" s="6257"/>
      <c r="B678" s="6258"/>
      <c r="C678" s="6259"/>
      <c r="D678" s="6260"/>
      <c r="E678" s="6261"/>
      <c r="F678" s="6262"/>
      <c r="G678" s="6263"/>
      <c r="H678" s="6264"/>
      <c r="I678" s="6265"/>
      <c r="J678" s="6266"/>
      <c r="K678" s="6267"/>
    </row>
    <row r="679" spans="1:11">
      <c r="A679" s="6268"/>
      <c r="B679" s="6269"/>
      <c r="C679" s="6270"/>
      <c r="D679" s="6271"/>
      <c r="E679" s="6272"/>
      <c r="F679" s="6273"/>
      <c r="G679" s="6274"/>
      <c r="H679" s="6275"/>
      <c r="I679" s="6276"/>
      <c r="J679" s="6277"/>
      <c r="K679" s="6278"/>
    </row>
    <row r="680" spans="1:11">
      <c r="A680" s="6279"/>
      <c r="B680" s="6280"/>
      <c r="C680" s="6281"/>
      <c r="D680" s="6282"/>
      <c r="E680" s="6283"/>
      <c r="F680" s="6284"/>
      <c r="G680" s="6285"/>
      <c r="H680" s="6286"/>
      <c r="I680" s="6287"/>
      <c r="J680" s="6288"/>
      <c r="K680" s="6289"/>
    </row>
    <row r="681" spans="1:11">
      <c r="A681" s="6290"/>
      <c r="B681" s="6291"/>
      <c r="C681" s="6292"/>
      <c r="D681" s="6293"/>
      <c r="E681" s="6294"/>
      <c r="F681" s="6295"/>
      <c r="G681" s="6296"/>
      <c r="H681" s="6297"/>
      <c r="I681" s="6298"/>
      <c r="J681" s="6299"/>
      <c r="K681" s="6300"/>
    </row>
    <row r="682" spans="1:11">
      <c r="A682" s="6301"/>
      <c r="B682" s="6302"/>
      <c r="C682" s="6303"/>
      <c r="D682" s="6304"/>
      <c r="E682" s="6305"/>
      <c r="F682" s="6306"/>
      <c r="G682" s="6307"/>
      <c r="H682" s="6308"/>
      <c r="I682" s="6309"/>
      <c r="J682" s="6310"/>
      <c r="K682" s="6311"/>
    </row>
    <row r="683" spans="1:11">
      <c r="A683" s="6312"/>
      <c r="B683" s="6313"/>
      <c r="C683" s="6314"/>
      <c r="D683" s="6315"/>
      <c r="E683" s="6316"/>
      <c r="F683" s="6317"/>
      <c r="G683" s="6318"/>
      <c r="H683" s="6319"/>
      <c r="I683" s="6320"/>
      <c r="J683" s="6321"/>
      <c r="K683" s="6322"/>
    </row>
    <row r="684" spans="1:11">
      <c r="A684" s="6323"/>
      <c r="B684" s="6324"/>
      <c r="C684" s="6325"/>
      <c r="D684" s="6326"/>
      <c r="E684" s="6327"/>
      <c r="F684" s="6328"/>
      <c r="G684" s="6329"/>
      <c r="H684" s="6330"/>
      <c r="I684" s="6331"/>
      <c r="J684" s="6332"/>
      <c r="K684" s="6333"/>
    </row>
    <row r="685" spans="1:11">
      <c r="A685" s="6334"/>
      <c r="B685" s="6335"/>
      <c r="C685" s="6336"/>
      <c r="D685" s="6337"/>
      <c r="E685" s="6338"/>
      <c r="F685" s="6339"/>
      <c r="G685" s="6340"/>
      <c r="H685" s="6341"/>
      <c r="I685" s="6342"/>
      <c r="J685" s="6343"/>
      <c r="K685" s="6344"/>
    </row>
    <row r="686" spans="1:11">
      <c r="A686" s="6345"/>
      <c r="B686" s="6346"/>
      <c r="C686" s="6347"/>
      <c r="D686" s="6348"/>
      <c r="E686" s="6349"/>
      <c r="F686" s="6350"/>
      <c r="G686" s="6351"/>
      <c r="H686" s="6352"/>
      <c r="I686" s="6353"/>
      <c r="J686" s="6354"/>
      <c r="K686" s="6355"/>
    </row>
    <row r="687" spans="1:11">
      <c r="A687" s="6356"/>
      <c r="B687" s="6357"/>
      <c r="C687" s="6358"/>
      <c r="D687" s="6359"/>
      <c r="E687" s="6360"/>
      <c r="F687" s="6361"/>
      <c r="G687" s="6362"/>
      <c r="H687" s="6363"/>
      <c r="I687" s="6364"/>
      <c r="J687" s="6365"/>
      <c r="K687" s="6366"/>
    </row>
    <row r="688" spans="1:11">
      <c r="A688" s="6367"/>
      <c r="B688" s="6368"/>
      <c r="C688" s="6369"/>
      <c r="D688" s="6370"/>
      <c r="E688" s="6371"/>
      <c r="F688" s="6372"/>
      <c r="G688" s="6373"/>
      <c r="H688" s="6374"/>
      <c r="I688" s="6375"/>
      <c r="J688" s="6376"/>
      <c r="K688" s="6377"/>
    </row>
    <row r="689" spans="1:11">
      <c r="A689" s="6378"/>
      <c r="B689" s="6379"/>
      <c r="C689" s="6380"/>
      <c r="D689" s="6381"/>
      <c r="E689" s="6382"/>
      <c r="F689" s="6383"/>
      <c r="G689" s="6384"/>
      <c r="H689" s="6385"/>
      <c r="I689" s="6386"/>
      <c r="J689" s="6387"/>
      <c r="K689" s="6388"/>
    </row>
    <row r="690" spans="1:11">
      <c r="A690" s="6389"/>
      <c r="B690" s="6390"/>
      <c r="C690" s="6391"/>
      <c r="D690" s="6392"/>
      <c r="E690" s="6393"/>
      <c r="F690" s="6394"/>
      <c r="G690" s="6395"/>
      <c r="H690" s="6396"/>
      <c r="I690" s="6397"/>
      <c r="J690" s="6398"/>
      <c r="K690" s="6399"/>
    </row>
    <row r="691" spans="1:11">
      <c r="A691" s="6400"/>
      <c r="B691" s="6401"/>
      <c r="C691" s="6402"/>
      <c r="D691" s="6403"/>
      <c r="E691" s="6404"/>
      <c r="F691" s="6405"/>
      <c r="G691" s="6406"/>
      <c r="H691" s="6407"/>
      <c r="I691" s="6408"/>
      <c r="J691" s="6409"/>
      <c r="K691" s="6410"/>
    </row>
    <row r="692" spans="1:11">
      <c r="A692" s="6411"/>
      <c r="B692" s="6412"/>
      <c r="C692" s="6413"/>
      <c r="D692" s="6414"/>
      <c r="E692" s="6415"/>
      <c r="F692" s="6416"/>
      <c r="G692" s="6417"/>
      <c r="H692" s="6418"/>
      <c r="I692" s="6419"/>
      <c r="J692" s="6420"/>
      <c r="K692" s="6421"/>
    </row>
    <row r="693" spans="1:11">
      <c r="A693" s="6422"/>
      <c r="B693" s="6423"/>
      <c r="C693" s="6424"/>
      <c r="D693" s="6425"/>
      <c r="E693" s="6426"/>
      <c r="F693" s="6427"/>
      <c r="G693" s="6428"/>
      <c r="H693" s="6429"/>
      <c r="I693" s="6430"/>
      <c r="J693" s="6431"/>
      <c r="K693" s="6432"/>
    </row>
    <row r="694" spans="1:11">
      <c r="A694" s="6433"/>
      <c r="B694" s="6434"/>
      <c r="C694" s="6435"/>
      <c r="D694" s="6436"/>
      <c r="E694" s="6437"/>
      <c r="F694" s="6438"/>
      <c r="G694" s="6439"/>
      <c r="H694" s="6440"/>
      <c r="I694" s="6441"/>
      <c r="J694" s="6442"/>
      <c r="K694" s="6443"/>
    </row>
    <row r="695" spans="1:11">
      <c r="A695" s="6444"/>
      <c r="B695" s="6445"/>
      <c r="C695" s="6446"/>
      <c r="D695" s="6447"/>
      <c r="E695" s="6448"/>
      <c r="F695" s="6449"/>
      <c r="G695" s="6450"/>
      <c r="H695" s="6451"/>
      <c r="I695" s="6452"/>
      <c r="J695" s="6453"/>
      <c r="K695" s="6454"/>
    </row>
    <row r="696" spans="1:11">
      <c r="A696" s="6455"/>
      <c r="B696" s="6456"/>
      <c r="C696" s="6457"/>
      <c r="D696" s="6458"/>
      <c r="E696" s="6459"/>
      <c r="F696" s="6460"/>
      <c r="G696" s="6461"/>
      <c r="H696" s="6462"/>
      <c r="I696" s="6463"/>
      <c r="J696" s="6464"/>
      <c r="K696" s="6465"/>
    </row>
    <row r="697" spans="1:11">
      <c r="A697" s="6466"/>
      <c r="B697" s="6467"/>
      <c r="C697" s="6468"/>
      <c r="D697" s="6469"/>
      <c r="E697" s="6470"/>
      <c r="F697" s="6471"/>
      <c r="G697" s="6472"/>
      <c r="H697" s="6473"/>
      <c r="I697" s="6474"/>
      <c r="J697" s="6475"/>
      <c r="K697" s="6476"/>
    </row>
    <row r="698" spans="1:11">
      <c r="A698" s="6477"/>
      <c r="B698" s="6478"/>
      <c r="C698" s="6479"/>
      <c r="D698" s="6480"/>
      <c r="E698" s="6481"/>
      <c r="F698" s="6482"/>
      <c r="G698" s="6483"/>
      <c r="H698" s="6484"/>
      <c r="I698" s="6485"/>
      <c r="J698" s="6486"/>
      <c r="K698" s="6487"/>
    </row>
    <row r="699" spans="1:11">
      <c r="A699" s="6488"/>
      <c r="B699" s="6489"/>
      <c r="C699" s="6490"/>
      <c r="D699" s="6491"/>
      <c r="E699" s="6492"/>
      <c r="F699" s="6493"/>
      <c r="G699" s="6494"/>
      <c r="H699" s="6495"/>
      <c r="I699" s="6496"/>
      <c r="J699" s="6497"/>
      <c r="K699" s="6498"/>
    </row>
    <row r="700" spans="1:11">
      <c r="A700" s="6499"/>
      <c r="B700" s="6500"/>
      <c r="C700" s="6501"/>
      <c r="D700" s="6502"/>
      <c r="E700" s="6503"/>
      <c r="F700" s="6504"/>
      <c r="G700" s="6505"/>
      <c r="H700" s="6506"/>
      <c r="I700" s="6507"/>
      <c r="J700" s="6508"/>
      <c r="K700" s="6509"/>
    </row>
  </sheetData>
  <autoFilter ref="A3:H1000" xr:uid="{00000000-0001-0000-0D00-000000000000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5AC6-8137-467D-825C-3EE03922234A}">
  <sheetPr/>
  <sheetViews>
    <sheetView topLeftCell="A33" workbookViewId="0">
      <selection activeCell="J53" sqref="J53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20" customWidth="1"/>
    <col min="5" max="5" width="60.69921875" bestFit="1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  <col min="13" max="13" width="0" hidden="1"/>
  </cols>
  <sheetData>
    <row r="1" spans="1:14" ht="22.35" customHeight="1">
      <c r="A1" t="s" s="25171">
        <v>4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  <c r="L1" s="25170"/>
    </row>
    <row r="2" spans="1:14">
      <c r="A2" t="s">
        <v>5</v>
      </c>
      <c r="C2" t="s">
        <v>6</v>
      </c>
      <c r="F2" t="s">
        <v>7</v>
      </c>
      <c r="H2" t="s">
        <v>8</v>
      </c>
      <c r="I2" t="s">
        <v>9</v>
      </c>
      <c r="J2" t="s">
        <v>10</v>
      </c>
    </row>
    <row r="4" spans="1:14" ht="27.6">
      <c r="A4" t="s" s="1">
        <v>11</v>
      </c>
      <c r="B4" t="s" s="1">
        <v>12</v>
      </c>
      <c r="C4" t="s" s="1">
        <v>13</v>
      </c>
      <c r="D4" t="s" s="1">
        <v>0</v>
      </c>
      <c r="E4" t="s" s="1">
        <v>27</v>
      </c>
      <c r="F4" t="s" s="1">
        <v>110</v>
      </c>
      <c r="G4" t="s" s="1">
        <v>14</v>
      </c>
      <c r="H4" t="s" s="1">
        <v>15</v>
      </c>
      <c r="I4" t="s" s="1">
        <v>16</v>
      </c>
      <c r="J4" t="s" s="1">
        <v>17</v>
      </c>
      <c r="K4" t="s" s="1">
        <v>18</v>
      </c>
      <c r="L4" t="s" s="1">
        <v>19</v>
      </c>
      <c r="M4" t="s">
        <v>408</v>
      </c>
      <c r="N4" t="s">
        <v>410</v>
      </c>
    </row>
    <row r="5" spans="1:14">
      <c r="A5" s="2">
        <v>46181</v>
      </c>
      <c r="B5" t="s">
        <v>171</v>
      </c>
      <c r="C5" t="s">
        <v>57</v>
      </c>
      <c r="D5" t="s">
        <v>111</v>
      </c>
      <c r="E5" t="s">
        <v>112</v>
      </c>
      <c r="F5">
        <f>VLOOKUP(TablaPegaso[[#This Row],[Equipo]],Catalogos!$V$4:$W$85,2,FALSE)</f>
      </c>
      <c r="G5" s="3"/>
      <c r="H5" s="3">
        <v>100</v>
      </c>
      <c r="I5" s="3">
        <f t="shared" ref="I5:I69" si="0">IF(ROW()=5,G5-H5,I4+G5-H5)</f>
      </c>
      <c r="J5" s="4">
        <v>28.3</v>
      </c>
      <c r="K5" s="4">
        <f t="shared" ref="K5:K39" si="1">IFERROR((G5+H5)*J5,0)</f>
      </c>
      <c r="M5">
        <v>24</v>
      </c>
      <c r="N5">
        <f>IF(A5="","", "CP-" &amp; IFERROR(VLOOKUP(D5, Catalogos!$Z$4:$AA$20, 2, FALSE), "FOL") &amp; "-" &amp; WEEKNUM(A5,2) &amp; "-" &amp; TEXT(ROW(A1),"000"))</f>
      </c>
    </row>
    <row r="6" spans="1:14">
      <c r="A6" s="2">
        <v>46181</v>
      </c>
      <c r="B6" t="s">
        <v>171</v>
      </c>
      <c r="C6" t="s">
        <v>115</v>
      </c>
      <c r="D6" t="s">
        <v>115</v>
      </c>
      <c r="E6" t="s">
        <v>112</v>
      </c>
      <c r="F6">
        <f>VLOOKUP(TablaPegaso[[#This Row],[Equipo]],Catalogos!$V$4:$W$85,2,FALSE)</f>
      </c>
      <c r="G6" s="3"/>
      <c r="H6" s="3">
        <v>200</v>
      </c>
      <c r="I6" s="3">
        <f t="shared" si="0"/>
      </c>
      <c r="J6" s="4">
        <v>28.3</v>
      </c>
      <c r="K6" s="4">
        <f t="shared" si="1"/>
      </c>
      <c r="M6">
        <v>24</v>
      </c>
      <c r="N6">
        <f>IF(A6="","", "CP-" &amp; IFERROR(VLOOKUP(D6, Catalogos!$Z$4:$AA$20, 2, FALSE), "FOL") &amp; "-" &amp; WEEKNUM(A6,2) &amp; "-" &amp; TEXT(ROW(A2),"000"))</f>
      </c>
    </row>
    <row r="7" spans="1:14">
      <c r="A7" s="2">
        <v>46181</v>
      </c>
      <c r="B7" t="s">
        <v>171</v>
      </c>
      <c r="C7" t="s">
        <v>116</v>
      </c>
      <c r="D7" t="s">
        <v>115</v>
      </c>
      <c r="E7" t="s">
        <v>112</v>
      </c>
      <c r="F7">
        <f>VLOOKUP(TablaPegaso[[#This Row],[Equipo]],Catalogos!$V$4:$W$85,2,FALSE)</f>
      </c>
      <c r="G7" s="3"/>
      <c r="H7" s="3">
        <v>209</v>
      </c>
      <c r="I7" s="3">
        <f t="shared" si="0"/>
      </c>
      <c r="J7" s="4">
        <v>28.3</v>
      </c>
      <c r="K7" s="4">
        <f t="shared" si="1"/>
      </c>
      <c r="M7">
        <v>24</v>
      </c>
      <c r="N7">
        <f>IF(A7="","", "CP-" &amp; IFERROR(VLOOKUP(D7, Catalogos!$Z$4:$AA$20, 2, FALSE), "FOL") &amp; "-" &amp; WEEKNUM(A7,2) &amp; "-" &amp; TEXT(ROW(A3),"000"))</f>
      </c>
    </row>
    <row r="8" spans="1:14">
      <c r="A8" s="2">
        <v>46181</v>
      </c>
      <c r="B8" t="s">
        <v>125</v>
      </c>
      <c r="F8">
        <f>VLOOKUP(TablaPegaso[[#This Row],[Equipo]],Catalogos!$V$4:$W$85,2,FALSE)</f>
      </c>
      <c r="G8" s="3">
        <v>2800</v>
      </c>
      <c r="H8" s="3"/>
      <c r="I8" s="3">
        <f t="shared" si="0"/>
      </c>
      <c r="J8" s="4">
        <v>28.3</v>
      </c>
      <c r="K8" s="4">
        <f t="shared" si="1"/>
      </c>
      <c r="M8">
        <v>24</v>
      </c>
      <c r="N8">
        <f>IF(A8="","", "CP-" &amp; IFERROR(VLOOKUP(D8, Catalogos!$Z$4:$AA$20, 2, FALSE), "FOL") &amp; "-" &amp; WEEKNUM(A8,2) &amp; "-" &amp; TEXT(ROW(A4),"000"))</f>
      </c>
    </row>
    <row r="9" spans="1:14">
      <c r="A9" s="2">
        <v>46181</v>
      </c>
      <c r="B9" t="s">
        <v>171</v>
      </c>
      <c r="C9" t="s">
        <v>54</v>
      </c>
      <c r="D9" t="s">
        <v>111</v>
      </c>
      <c r="E9" t="s">
        <v>112</v>
      </c>
      <c r="F9">
        <f>VLOOKUP(TablaPegaso[[#This Row],[Equipo]],Catalogos!$V$4:$W$85,2,FALSE)</f>
      </c>
      <c r="G9" s="3"/>
      <c r="H9" s="3">
        <v>80</v>
      </c>
      <c r="I9" s="3">
        <f t="shared" si="0"/>
      </c>
      <c r="J9" s="4">
        <v>28.3</v>
      </c>
      <c r="K9" s="4">
        <f t="shared" si="1"/>
      </c>
      <c r="M9">
        <v>24</v>
      </c>
      <c r="N9">
        <f>IF(A9="","", "CP-" &amp; IFERROR(VLOOKUP(D9, Catalogos!$Z$4:$AA$20, 2, FALSE), "FOL") &amp; "-" &amp; WEEKNUM(A9,2) &amp; "-" &amp; TEXT(ROW(A5),"000"))</f>
      </c>
    </row>
    <row r="10" spans="1:14">
      <c r="A10" s="2">
        <v>46182</v>
      </c>
      <c r="B10" t="s">
        <v>171</v>
      </c>
      <c r="C10" t="s">
        <v>54</v>
      </c>
      <c r="D10" t="s">
        <v>2</v>
      </c>
      <c r="E10" t="s">
        <v>56</v>
      </c>
      <c r="F10">
        <f>VLOOKUP(TablaPegaso[[#This Row],[Equipo]],Catalogos!$V$4:$W$85,2,FALSE)</f>
      </c>
      <c r="G10" s="3"/>
      <c r="H10" s="3">
        <v>70</v>
      </c>
      <c r="I10" s="3">
        <f t="shared" si="0"/>
      </c>
      <c r="J10" s="4">
        <v>28.3</v>
      </c>
      <c r="K10" s="4">
        <f t="shared" si="1"/>
      </c>
      <c r="M10">
        <v>24</v>
      </c>
      <c r="N10">
        <f>IF(A10="","", "CP-" &amp; IFERROR(VLOOKUP(D10, Catalogos!$Z$4:$AA$20, 2, FALSE), "FOL") &amp; "-" &amp; WEEKNUM(A10,2) &amp; "-" &amp; TEXT(ROW(A6),"000"))</f>
      </c>
    </row>
    <row r="11" spans="1:14">
      <c r="A11" s="2">
        <v>46182</v>
      </c>
      <c r="B11" t="s">
        <v>171</v>
      </c>
      <c r="C11" t="s">
        <v>54</v>
      </c>
      <c r="D11" t="s">
        <v>2</v>
      </c>
      <c r="E11" t="s">
        <v>104</v>
      </c>
      <c r="F11">
        <f>VLOOKUP(TablaPegaso[[#This Row],[Equipo]],Catalogos!$V$4:$W$85,2,FALSE)</f>
      </c>
      <c r="G11" s="3"/>
      <c r="H11" s="3">
        <v>50</v>
      </c>
      <c r="I11" s="3">
        <f t="shared" si="0"/>
      </c>
      <c r="J11" s="4">
        <v>28.3</v>
      </c>
      <c r="K11" s="4">
        <f t="shared" si="1"/>
      </c>
      <c r="M11">
        <v>24</v>
      </c>
      <c r="N11">
        <f>IF(A11="","", "CP-" &amp; IFERROR(VLOOKUP(D11, Catalogos!$Z$4:$AA$20, 2, FALSE), "FOL") &amp; "-" &amp; WEEKNUM(A11,2) &amp; "-" &amp; TEXT(ROW(A7),"000"))</f>
      </c>
    </row>
    <row r="12" spans="1:14">
      <c r="A12" s="2">
        <v>46182</v>
      </c>
      <c r="B12" t="s">
        <v>171</v>
      </c>
      <c r="C12" t="s">
        <v>54</v>
      </c>
      <c r="D12" t="s">
        <v>2</v>
      </c>
      <c r="E12" t="s">
        <v>60</v>
      </c>
      <c r="F12">
        <f>VLOOKUP(TablaPegaso[[#This Row],[Equipo]],Catalogos!$V$4:$W$85,2,FALSE)</f>
      </c>
      <c r="G12" s="3"/>
      <c r="H12" s="3">
        <v>60</v>
      </c>
      <c r="I12" s="3">
        <f t="shared" si="0"/>
      </c>
      <c r="J12" s="4">
        <v>28.3</v>
      </c>
      <c r="K12" s="4">
        <f t="shared" si="1"/>
      </c>
      <c r="M12">
        <v>24</v>
      </c>
      <c r="N12">
        <f>IF(A12="","", "CP-" &amp; IFERROR(VLOOKUP(D12, Catalogos!$Z$4:$AA$20, 2, FALSE), "FOL") &amp; "-" &amp; WEEKNUM(A12,2) &amp; "-" &amp; TEXT(ROW(A8),"000"))</f>
      </c>
    </row>
    <row r="13" spans="1:14">
      <c r="A13" s="2">
        <v>46183</v>
      </c>
      <c r="B13" t="s">
        <v>171</v>
      </c>
      <c r="C13" t="s">
        <v>57</v>
      </c>
      <c r="D13" t="s">
        <v>111</v>
      </c>
      <c r="E13" t="s">
        <v>112</v>
      </c>
      <c r="F13">
        <f>VLOOKUP(TablaPegaso[[#This Row],[Equipo]],Catalogos!$V$4:$W$85,2,FALSE)</f>
      </c>
      <c r="G13" s="3"/>
      <c r="H13" s="3">
        <v>100</v>
      </c>
      <c r="I13" s="3">
        <f t="shared" si="0"/>
      </c>
      <c r="J13" s="4">
        <v>28.3</v>
      </c>
      <c r="K13" s="4">
        <f t="shared" si="1"/>
      </c>
      <c r="M13">
        <v>24</v>
      </c>
      <c r="N13">
        <f>IF(A13="","", "CP-" &amp; IFERROR(VLOOKUP(D13, Catalogos!$Z$4:$AA$20, 2, FALSE), "FOL") &amp; "-" &amp; WEEKNUM(A13,2) &amp; "-" &amp; TEXT(ROW(A9),"000"))</f>
      </c>
    </row>
    <row r="14" spans="1:14">
      <c r="A14" s="2">
        <v>46184</v>
      </c>
      <c r="B14" t="s">
        <v>171</v>
      </c>
      <c r="C14" t="s">
        <v>115</v>
      </c>
      <c r="D14" t="s">
        <v>115</v>
      </c>
      <c r="E14" t="s">
        <v>117</v>
      </c>
      <c r="F14">
        <f>VLOOKUP(TablaPegaso[[#This Row],[Equipo]],Catalogos!$V$4:$W$85,2,FALSE)</f>
      </c>
      <c r="G14" s="3"/>
      <c r="H14" s="3">
        <v>238</v>
      </c>
      <c r="I14" s="3">
        <f t="shared" si="0"/>
      </c>
      <c r="J14" s="4">
        <v>28.3</v>
      </c>
      <c r="K14" s="4">
        <f t="shared" si="1"/>
      </c>
      <c r="M14">
        <v>24</v>
      </c>
      <c r="N14">
        <f>IF(A14="","", "CP-" &amp; IFERROR(VLOOKUP(D14, Catalogos!$Z$4:$AA$20, 2, FALSE), "FOL") &amp; "-" &amp; WEEKNUM(A14,2) &amp; "-" &amp; TEXT(ROW(A10),"000"))</f>
      </c>
    </row>
    <row r="15" spans="1:14">
      <c r="A15" s="2">
        <v>46184</v>
      </c>
      <c r="B15" t="s">
        <v>171</v>
      </c>
      <c r="C15" t="s">
        <v>54</v>
      </c>
      <c r="D15" t="s">
        <v>2</v>
      </c>
      <c r="E15" t="s">
        <v>60</v>
      </c>
      <c r="F15">
        <f>VLOOKUP(TablaPegaso[[#This Row],[Equipo]],Catalogos!$V$4:$W$85,2,FALSE)</f>
      </c>
      <c r="G15" s="3"/>
      <c r="H15" s="3">
        <v>80</v>
      </c>
      <c r="I15" s="3">
        <f t="shared" si="0"/>
      </c>
      <c r="J15" s="4">
        <v>28.3</v>
      </c>
      <c r="K15" s="4">
        <f t="shared" si="1"/>
      </c>
      <c r="M15">
        <v>24</v>
      </c>
      <c r="N15">
        <f>IF(A15="","", "CP-" &amp; IFERROR(VLOOKUP(D15, Catalogos!$Z$4:$AA$20, 2, FALSE), "FOL") &amp; "-" &amp; WEEKNUM(A15,2) &amp; "-" &amp; TEXT(ROW(A11),"000"))</f>
      </c>
    </row>
    <row r="16" spans="1:14">
      <c r="A16" s="2">
        <v>46184</v>
      </c>
      <c r="B16" t="s">
        <v>171</v>
      </c>
      <c r="C16" t="s">
        <v>54</v>
      </c>
      <c r="D16" t="s">
        <v>2</v>
      </c>
      <c r="E16" t="s">
        <v>98</v>
      </c>
      <c r="F16">
        <f>VLOOKUP(TablaPegaso[[#This Row],[Equipo]],Catalogos!$V$4:$W$85,2,FALSE)</f>
      </c>
      <c r="G16" s="3"/>
      <c r="H16" s="3">
        <v>50</v>
      </c>
      <c r="I16" s="3">
        <f t="shared" si="0"/>
      </c>
      <c r="J16" s="4">
        <v>28.3</v>
      </c>
      <c r="K16" s="4">
        <f t="shared" si="1"/>
      </c>
      <c r="M16">
        <v>24</v>
      </c>
      <c r="N16">
        <f>IF(A16="","", "CP-" &amp; IFERROR(VLOOKUP(D16, Catalogos!$Z$4:$AA$20, 2, FALSE), "FOL") &amp; "-" &amp; WEEKNUM(A16,2) &amp; "-" &amp; TEXT(ROW(A12),"000"))</f>
      </c>
    </row>
    <row r="17" spans="1:14">
      <c r="A17" s="2">
        <v>46184</v>
      </c>
      <c r="B17" t="s">
        <v>171</v>
      </c>
      <c r="C17" t="s">
        <v>54</v>
      </c>
      <c r="D17" t="s">
        <v>2</v>
      </c>
      <c r="E17" t="s">
        <v>56</v>
      </c>
      <c r="F17">
        <f>VLOOKUP(TablaPegaso[[#This Row],[Equipo]],Catalogos!$V$4:$W$85,2,FALSE)</f>
      </c>
      <c r="G17" s="3"/>
      <c r="H17" s="3">
        <v>70</v>
      </c>
      <c r="I17" s="3">
        <f t="shared" si="0"/>
      </c>
      <c r="J17" s="4">
        <v>28.3</v>
      </c>
      <c r="K17" s="4">
        <f t="shared" si="1"/>
      </c>
      <c r="M17">
        <v>24</v>
      </c>
      <c r="N17">
        <f>IF(A17="","", "CP-" &amp; IFERROR(VLOOKUP(D17, Catalogos!$Z$4:$AA$20, 2, FALSE), "FOL") &amp; "-" &amp; WEEKNUM(A17,2) &amp; "-" &amp; TEXT(ROW(A13),"000"))</f>
      </c>
    </row>
    <row r="18" spans="1:14">
      <c r="A18" s="2">
        <v>46184</v>
      </c>
      <c r="B18" t="s">
        <v>171</v>
      </c>
      <c r="C18" t="s">
        <v>54</v>
      </c>
      <c r="D18" t="s">
        <v>2</v>
      </c>
      <c r="E18" t="s">
        <v>94</v>
      </c>
      <c r="F18">
        <f>VLOOKUP(TablaPegaso[[#This Row],[Equipo]],Catalogos!$V$4:$W$85,2,FALSE)</f>
      </c>
      <c r="G18" s="3"/>
      <c r="H18" s="3">
        <v>80</v>
      </c>
      <c r="I18" s="3">
        <f t="shared" si="0"/>
      </c>
      <c r="J18" s="4">
        <v>28.3</v>
      </c>
      <c r="K18" s="4">
        <f t="shared" si="1"/>
      </c>
      <c r="M18">
        <v>24</v>
      </c>
      <c r="N18">
        <f>IF(A18="","", "CP-" &amp; IFERROR(VLOOKUP(D18, Catalogos!$Z$4:$AA$20, 2, FALSE), "FOL") &amp; "-" &amp; WEEKNUM(A18,2) &amp; "-" &amp; TEXT(ROW(A14),"000"))</f>
      </c>
    </row>
    <row r="19" spans="1:14">
      <c r="A19" s="2">
        <v>46184</v>
      </c>
      <c r="B19" t="s">
        <v>171</v>
      </c>
      <c r="C19" t="s">
        <v>54</v>
      </c>
      <c r="D19" t="s">
        <v>2</v>
      </c>
      <c r="E19" t="s">
        <v>65</v>
      </c>
      <c r="F19">
        <f>VLOOKUP(TablaPegaso[[#This Row],[Equipo]],Catalogos!$V$4:$W$85,2,FALSE)</f>
      </c>
      <c r="G19" s="3"/>
      <c r="H19" s="3">
        <v>185</v>
      </c>
      <c r="I19" s="3">
        <f t="shared" si="0"/>
      </c>
      <c r="J19" s="4">
        <v>28.3</v>
      </c>
      <c r="K19" s="4">
        <f t="shared" si="1"/>
      </c>
      <c r="M19">
        <v>24</v>
      </c>
      <c r="N19">
        <f>IF(A19="","", "CP-" &amp; IFERROR(VLOOKUP(D19, Catalogos!$Z$4:$AA$20, 2, FALSE), "FOL") &amp; "-" &amp; WEEKNUM(A19,2) &amp; "-" &amp; TEXT(ROW(A15),"000"))</f>
      </c>
    </row>
    <row r="20" spans="1:14">
      <c r="A20" s="2">
        <v>46184</v>
      </c>
      <c r="B20" t="s">
        <v>171</v>
      </c>
      <c r="C20" t="s">
        <v>54</v>
      </c>
      <c r="D20" t="s">
        <v>2</v>
      </c>
      <c r="E20" t="s">
        <v>104</v>
      </c>
      <c r="F20">
        <f>VLOOKUP(TablaPegaso[[#This Row],[Equipo]],Catalogos!$V$4:$W$85,2,FALSE)</f>
      </c>
      <c r="G20" s="3"/>
      <c r="H20" s="3">
        <v>50</v>
      </c>
      <c r="I20" s="3">
        <f t="shared" si="0"/>
      </c>
      <c r="J20" s="4">
        <v>28.3</v>
      </c>
      <c r="K20" s="4">
        <f t="shared" si="1"/>
      </c>
      <c r="M20">
        <v>24</v>
      </c>
      <c r="N20">
        <f>IF(A20="","", "CP-" &amp; IFERROR(VLOOKUP(D20, Catalogos!$Z$4:$AA$20, 2, FALSE), "FOL") &amp; "-" &amp; WEEKNUM(A20,2) &amp; "-" &amp; TEXT(ROW(A16),"000"))</f>
      </c>
    </row>
    <row r="21" spans="1:14">
      <c r="A21" s="2">
        <v>46184</v>
      </c>
      <c r="B21" t="s">
        <v>171</v>
      </c>
      <c r="C21" t="s">
        <v>54</v>
      </c>
      <c r="D21" t="s">
        <v>2</v>
      </c>
      <c r="E21" t="s">
        <v>104</v>
      </c>
      <c r="F21">
        <f>VLOOKUP(TablaPegaso[[#This Row],[Equipo]],Catalogos!$V$4:$W$85,2,FALSE)</f>
      </c>
      <c r="G21" s="3"/>
      <c r="H21" s="3">
        <v>40</v>
      </c>
      <c r="I21" s="3">
        <f t="shared" si="0"/>
      </c>
      <c r="J21" s="4">
        <v>28.3</v>
      </c>
      <c r="K21" s="4">
        <f t="shared" si="1"/>
      </c>
      <c r="M21">
        <v>24</v>
      </c>
      <c r="N21">
        <f>IF(A21="","", "CP-" &amp; IFERROR(VLOOKUP(D21, Catalogos!$Z$4:$AA$20, 2, FALSE), "FOL") &amp; "-" &amp; WEEKNUM(A21,2) &amp; "-" &amp; TEXT(ROW(A17),"000"))</f>
      </c>
    </row>
    <row r="22" spans="1:14">
      <c r="A22" s="2">
        <v>46184</v>
      </c>
      <c r="B22" t="s">
        <v>171</v>
      </c>
      <c r="C22" t="s">
        <v>54</v>
      </c>
      <c r="D22" t="s">
        <v>2</v>
      </c>
      <c r="E22" t="s">
        <v>85</v>
      </c>
      <c r="F22">
        <f>VLOOKUP(TablaPegaso[[#This Row],[Equipo]],Catalogos!$V$4:$W$85,2,FALSE)</f>
      </c>
      <c r="G22" s="3"/>
      <c r="H22" s="3">
        <v>40</v>
      </c>
      <c r="I22" s="3">
        <f t="shared" si="0"/>
      </c>
      <c r="J22" s="4">
        <v>28.3</v>
      </c>
      <c r="K22" s="4">
        <f t="shared" si="1"/>
      </c>
      <c r="M22">
        <v>24</v>
      </c>
      <c r="N22">
        <f>IF(A22="","", "CP-" &amp; IFERROR(VLOOKUP(D22, Catalogos!$Z$4:$AA$20, 2, FALSE), "FOL") &amp; "-" &amp; WEEKNUM(A22,2) &amp; "-" &amp; TEXT(ROW(A18),"000"))</f>
      </c>
    </row>
    <row r="23" spans="1:14">
      <c r="A23" s="2">
        <v>46185</v>
      </c>
      <c r="B23" t="s">
        <v>171</v>
      </c>
      <c r="C23" t="s">
        <v>54</v>
      </c>
      <c r="D23" t="s">
        <v>111</v>
      </c>
      <c r="E23" t="s">
        <v>79</v>
      </c>
      <c r="F23">
        <f>VLOOKUP(TablaPegaso[[#This Row],[Equipo]],Catalogos!$V$4:$W$85,2,FALSE)</f>
      </c>
      <c r="G23" s="3"/>
      <c r="H23" s="3">
        <v>70</v>
      </c>
      <c r="I23" s="3">
        <f t="shared" si="0"/>
      </c>
      <c r="J23" s="4">
        <v>28.3</v>
      </c>
      <c r="K23" s="4">
        <f t="shared" si="1"/>
      </c>
      <c r="M23">
        <v>24</v>
      </c>
      <c r="N23">
        <f>IF(A23="","", "CP-" &amp; IFERROR(VLOOKUP(D23, Catalogos!$Z$4:$AA$20, 2, FALSE), "FOL") &amp; "-" &amp; WEEKNUM(A23,2) &amp; "-" &amp; TEXT(ROW(A19),"000"))</f>
      </c>
    </row>
    <row r="24" spans="1:14">
      <c r="A24" s="2">
        <v>46188</v>
      </c>
      <c r="B24" t="s">
        <v>171</v>
      </c>
      <c r="C24" t="s">
        <v>47</v>
      </c>
      <c r="D24" t="s">
        <v>111</v>
      </c>
      <c r="E24" t="s">
        <v>237</v>
      </c>
      <c r="F24">
        <f>VLOOKUP(TablaPegaso[[#This Row],[Equipo]],Catalogos!$V$4:$W$85,2,FALSE)</f>
      </c>
      <c r="G24" s="3"/>
      <c r="H24" s="3">
        <v>70</v>
      </c>
      <c r="I24" s="3">
        <f t="shared" si="0"/>
      </c>
      <c r="J24" s="4">
        <v>28.3</v>
      </c>
      <c r="K24" s="4">
        <f t="shared" si="1"/>
      </c>
      <c r="M24">
        <v>25</v>
      </c>
      <c r="N24">
        <f>IF(A24="","", "CP-" &amp; IFERROR(VLOOKUP(D24, Catalogos!$Z$4:$AA$20, 2, FALSE), "FOL") &amp; "-" &amp; WEEKNUM(A24,2) &amp; "-" &amp; TEXT(ROW(A20),"000"))</f>
      </c>
    </row>
    <row r="25" spans="1:14">
      <c r="A25" s="2">
        <v>46188</v>
      </c>
      <c r="B25" t="s">
        <v>171</v>
      </c>
      <c r="C25" t="s">
        <v>47</v>
      </c>
      <c r="D25" t="s">
        <v>2</v>
      </c>
      <c r="E25" t="s">
        <v>221</v>
      </c>
      <c r="F25">
        <f>VLOOKUP(TablaPegaso[[#This Row],[Equipo]],Catalogos!$V$4:$W$85,2,FALSE)</f>
      </c>
      <c r="G25" s="3"/>
      <c r="H25" s="3">
        <v>24</v>
      </c>
      <c r="I25" s="3">
        <f t="shared" si="0"/>
      </c>
      <c r="J25" s="4">
        <v>28.3</v>
      </c>
      <c r="K25" s="4">
        <f t="shared" si="1"/>
      </c>
      <c r="M25">
        <v>25</v>
      </c>
      <c r="N25">
        <f>IF(A25="","", "CP-" &amp; IFERROR(VLOOKUP(D25, Catalogos!$Z$4:$AA$20, 2, FALSE), "FOL") &amp; "-" &amp; WEEKNUM(A25,2) &amp; "-" &amp; TEXT(ROW(A21),"000"))</f>
      </c>
    </row>
    <row r="26" spans="1:14">
      <c r="A26" s="2">
        <v>46188</v>
      </c>
      <c r="B26" t="s">
        <v>171</v>
      </c>
      <c r="C26" t="s">
        <v>47</v>
      </c>
      <c r="D26" t="s">
        <v>115</v>
      </c>
      <c r="E26" t="s">
        <v>245</v>
      </c>
      <c r="F26">
        <f>VLOOKUP(TablaPegaso[[#This Row],[Equipo]],Catalogos!$V$4:$W$85,2,FALSE)</f>
      </c>
      <c r="G26" s="3"/>
      <c r="H26" s="3">
        <v>265</v>
      </c>
      <c r="I26" s="3">
        <f t="shared" si="0"/>
      </c>
      <c r="J26" s="4">
        <v>28.3</v>
      </c>
      <c r="K26" s="4">
        <f t="shared" si="1"/>
      </c>
      <c r="M26">
        <v>25</v>
      </c>
      <c r="N26">
        <f>IF(A26="","", "CP-" &amp; IFERROR(VLOOKUP(D26, Catalogos!$Z$4:$AA$20, 2, FALSE), "FOL") &amp; "-" &amp; WEEKNUM(A26,2) &amp; "-" &amp; TEXT(ROW(A22),"000"))</f>
      </c>
    </row>
    <row r="27" spans="1:14">
      <c r="A27" s="2">
        <v>46188</v>
      </c>
      <c r="B27" t="s">
        <v>171</v>
      </c>
      <c r="C27" t="s">
        <v>47</v>
      </c>
      <c r="D27" t="s">
        <v>111</v>
      </c>
      <c r="E27" t="s">
        <v>220</v>
      </c>
      <c r="F27">
        <f>VLOOKUP(TablaPegaso[[#This Row],[Equipo]],Catalogos!$V$4:$W$85,2,FALSE)</f>
      </c>
      <c r="G27" s="3"/>
      <c r="H27" s="3">
        <v>33</v>
      </c>
      <c r="I27" s="3">
        <f t="shared" si="0"/>
      </c>
      <c r="J27" s="4">
        <v>28.3</v>
      </c>
      <c r="K27" s="4">
        <f t="shared" si="1"/>
      </c>
      <c r="M27">
        <v>25</v>
      </c>
      <c r="N27">
        <f>IF(A27="","", "CP-" &amp; IFERROR(VLOOKUP(D27, Catalogos!$Z$4:$AA$20, 2, FALSE), "FOL") &amp; "-" &amp; WEEKNUM(A27,2) &amp; "-" &amp; TEXT(ROW(A23),"000"))</f>
      </c>
    </row>
    <row r="28" spans="1:14">
      <c r="A28" s="2">
        <v>46188</v>
      </c>
      <c r="B28" t="s">
        <v>171</v>
      </c>
      <c r="C28" t="s">
        <v>47</v>
      </c>
      <c r="D28" t="s">
        <v>2</v>
      </c>
      <c r="E28" t="s">
        <v>383</v>
      </c>
      <c r="F28">
        <f>VLOOKUP(TablaPegaso[[#This Row],[Equipo]],Catalogos!$V$4:$W$85,2,FALSE)</f>
      </c>
      <c r="G28" s="3"/>
      <c r="H28" s="3">
        <v>60</v>
      </c>
      <c r="I28" s="3">
        <f t="shared" si="0"/>
      </c>
      <c r="J28" s="4">
        <v>28.3</v>
      </c>
      <c r="K28" s="4">
        <f t="shared" si="1"/>
      </c>
      <c r="M28">
        <v>25</v>
      </c>
      <c r="N28">
        <f>IF(A28="","", "CP-" &amp; IFERROR(VLOOKUP(D28, Catalogos!$Z$4:$AA$20, 2, FALSE), "FOL") &amp; "-" &amp; WEEKNUM(A28,2) &amp; "-" &amp; TEXT(ROW(A24),"000"))</f>
      </c>
    </row>
    <row r="29" spans="1:14">
      <c r="A29" s="2">
        <v>46188</v>
      </c>
      <c r="B29" t="s">
        <v>171</v>
      </c>
      <c r="C29" t="s">
        <v>47</v>
      </c>
      <c r="D29" t="s">
        <v>2</v>
      </c>
      <c r="E29" t="s">
        <v>217</v>
      </c>
      <c r="F29">
        <f>VLOOKUP(TablaPegaso[[#This Row],[Equipo]],Catalogos!$V$4:$W$85,2,FALSE)</f>
      </c>
      <c r="G29" s="3"/>
      <c r="H29" s="3">
        <v>52</v>
      </c>
      <c r="I29" s="3">
        <f t="shared" si="0"/>
      </c>
      <c r="J29" s="4">
        <v>28.3</v>
      </c>
      <c r="K29" s="4">
        <f t="shared" si="1"/>
      </c>
      <c r="M29">
        <v>25</v>
      </c>
      <c r="N29">
        <f>IF(A29="","", "CP-" &amp; IFERROR(VLOOKUP(D29, Catalogos!$Z$4:$AA$20, 2, FALSE), "FOL") &amp; "-" &amp; WEEKNUM(A29,2) &amp; "-" &amp; TEXT(ROW(A25),"000"))</f>
      </c>
    </row>
    <row r="30" spans="1:14">
      <c r="A30" s="2">
        <v>46188</v>
      </c>
      <c r="B30" t="s">
        <v>171</v>
      </c>
      <c r="C30" t="s">
        <v>47</v>
      </c>
      <c r="D30" t="s">
        <v>2</v>
      </c>
      <c r="E30" t="s">
        <v>246</v>
      </c>
      <c r="F30">
        <f>VLOOKUP(TablaPegaso[[#This Row],[Equipo]],Catalogos!$V$4:$W$85,2,FALSE)</f>
      </c>
      <c r="G30" s="3"/>
      <c r="H30" s="3">
        <v>25</v>
      </c>
      <c r="I30" s="3">
        <f t="shared" si="0"/>
      </c>
      <c r="J30" s="4">
        <v>28.3</v>
      </c>
      <c r="K30" s="4">
        <f t="shared" si="1"/>
      </c>
      <c r="L30" t="s">
        <v>246</v>
      </c>
      <c r="M30">
        <v>25</v>
      </c>
      <c r="N30">
        <f>IF(A30="","", "CP-" &amp; IFERROR(VLOOKUP(D30, Catalogos!$Z$4:$AA$20, 2, FALSE), "FOL") &amp; "-" &amp; WEEKNUM(A30,2) &amp; "-" &amp; TEXT(ROW(A26),"000"))</f>
      </c>
    </row>
    <row r="31" spans="1:14">
      <c r="A31" s="2">
        <v>46188</v>
      </c>
      <c r="B31" t="s">
        <v>171</v>
      </c>
      <c r="C31" t="s">
        <v>47</v>
      </c>
      <c r="D31" t="s">
        <v>2</v>
      </c>
      <c r="E31" t="s">
        <v>228</v>
      </c>
      <c r="F31">
        <f>VLOOKUP(TablaPegaso[[#This Row],[Equipo]],Catalogos!$V$4:$W$85,2,FALSE)</f>
      </c>
      <c r="G31" s="3"/>
      <c r="H31" s="3">
        <v>55</v>
      </c>
      <c r="I31" s="3">
        <f t="shared" si="0"/>
      </c>
      <c r="J31" s="4">
        <v>28.3</v>
      </c>
      <c r="K31" s="4">
        <f t="shared" si="1"/>
      </c>
      <c r="M31">
        <v>25</v>
      </c>
      <c r="N31">
        <f>IF(A31="","", "CP-" &amp; IFERROR(VLOOKUP(D31, Catalogos!$Z$4:$AA$20, 2, FALSE), "FOL") &amp; "-" &amp; WEEKNUM(A31,2) &amp; "-" &amp; TEXT(ROW(A27),"000"))</f>
      </c>
    </row>
    <row r="32" spans="1:14">
      <c r="A32" s="2">
        <v>46189</v>
      </c>
      <c r="B32" t="s">
        <v>171</v>
      </c>
      <c r="C32" t="s">
        <v>47</v>
      </c>
      <c r="D32" t="s">
        <v>2</v>
      </c>
      <c r="E32" t="s">
        <v>235</v>
      </c>
      <c r="F32">
        <f>VLOOKUP(TablaPegaso[[#This Row],[Equipo]],Catalogos!$V$4:$W$85,2,FALSE)</f>
      </c>
      <c r="G32" s="3"/>
      <c r="H32" s="3">
        <v>50</v>
      </c>
      <c r="I32" s="3">
        <f t="shared" si="0"/>
      </c>
      <c r="J32" s="4">
        <v>28.3</v>
      </c>
      <c r="K32" s="4">
        <f t="shared" si="1"/>
      </c>
      <c r="M32">
        <v>25</v>
      </c>
      <c r="N32">
        <f>IF(A32="","", "CP-" &amp; IFERROR(VLOOKUP(D32, Catalogos!$Z$4:$AA$20, 2, FALSE), "FOL") &amp; "-" &amp; WEEKNUM(A32,2) &amp; "-" &amp; TEXT(ROW(A28),"000"))</f>
      </c>
    </row>
    <row r="33" spans="1:14">
      <c r="A33" s="2">
        <v>46189</v>
      </c>
      <c r="B33" t="s">
        <v>171</v>
      </c>
      <c r="C33" t="s">
        <v>47</v>
      </c>
      <c r="D33" t="s">
        <v>115</v>
      </c>
      <c r="E33" t="s">
        <v>233</v>
      </c>
      <c r="F33">
        <f>VLOOKUP(TablaPegaso[[#This Row],[Equipo]],Catalogos!$V$4:$W$85,2,FALSE)</f>
      </c>
      <c r="G33" s="3"/>
      <c r="H33" s="3">
        <v>51</v>
      </c>
      <c r="I33" s="3">
        <f t="shared" si="0"/>
      </c>
      <c r="J33" s="4">
        <v>28.3</v>
      </c>
      <c r="K33" s="4">
        <f t="shared" si="1"/>
      </c>
      <c r="L33" t="s">
        <v>398</v>
      </c>
      <c r="M33">
        <v>25</v>
      </c>
      <c r="N33">
        <f>IF(A33="","", "CP-" &amp; IFERROR(VLOOKUP(D33, Catalogos!$Z$4:$AA$20, 2, FALSE), "FOL") &amp; "-" &amp; WEEKNUM(A33,2) &amp; "-" &amp; TEXT(ROW(A29),"000"))</f>
      </c>
    </row>
    <row r="34" spans="1:14">
      <c r="A34" s="2">
        <v>46189</v>
      </c>
      <c r="B34" t="s">
        <v>171</v>
      </c>
      <c r="C34" t="s">
        <v>47</v>
      </c>
      <c r="D34" t="s">
        <v>115</v>
      </c>
      <c r="E34" t="s">
        <v>237</v>
      </c>
      <c r="F34">
        <f>VLOOKUP(TablaPegaso[[#This Row],[Equipo]],Catalogos!$V$4:$W$85,2,FALSE)</f>
      </c>
      <c r="G34" s="3"/>
      <c r="H34" s="3">
        <v>1001</v>
      </c>
      <c r="I34" s="3">
        <f t="shared" si="0"/>
      </c>
      <c r="J34" s="4">
        <v>28.3</v>
      </c>
      <c r="K34" s="4">
        <f t="shared" si="1"/>
      </c>
      <c r="M34">
        <v>25</v>
      </c>
      <c r="N34">
        <f>IF(A34="","", "CP-" &amp; IFERROR(VLOOKUP(D34, Catalogos!$Z$4:$AA$20, 2, FALSE), "FOL") &amp; "-" &amp; WEEKNUM(A34,2) &amp; "-" &amp; TEXT(ROW(A30),"000"))</f>
      </c>
    </row>
    <row r="35" spans="1:14">
      <c r="A35" s="2">
        <v>46189</v>
      </c>
      <c r="B35" t="s">
        <v>171</v>
      </c>
      <c r="C35" t="s">
        <v>47</v>
      </c>
      <c r="D35" t="s">
        <v>2</v>
      </c>
      <c r="E35" t="s">
        <v>214</v>
      </c>
      <c r="F35">
        <f>VLOOKUP(TablaPegaso[[#This Row],[Equipo]],Catalogos!$V$4:$W$85,2,FALSE)</f>
      </c>
      <c r="G35" s="3"/>
      <c r="H35" s="3">
        <v>350</v>
      </c>
      <c r="I35" s="3">
        <f t="shared" si="0"/>
      </c>
      <c r="J35" s="4">
        <v>28.3</v>
      </c>
      <c r="K35" s="4">
        <f t="shared" si="1"/>
      </c>
      <c r="M35">
        <v>25</v>
      </c>
      <c r="N35">
        <f>IF(A35="","", "CP-" &amp; IFERROR(VLOOKUP(D35, Catalogos!$Z$4:$AA$20, 2, FALSE), "FOL") &amp; "-" &amp; WEEKNUM(A35,2) &amp; "-" &amp; TEXT(ROW(A31),"000"))</f>
      </c>
    </row>
    <row r="36" spans="1:14">
      <c r="A36" s="2">
        <v>46189</v>
      </c>
      <c r="B36" t="s">
        <v>171</v>
      </c>
      <c r="C36" t="s">
        <v>47</v>
      </c>
      <c r="D36" t="s">
        <v>111</v>
      </c>
      <c r="E36" t="s">
        <v>214</v>
      </c>
      <c r="F36">
        <f>VLOOKUP(TablaPegaso[[#This Row],[Equipo]],Catalogos!$V$4:$W$85,2,FALSE)</f>
      </c>
      <c r="G36" s="3"/>
      <c r="H36" s="3">
        <v>200</v>
      </c>
      <c r="I36" s="3">
        <f t="shared" si="0"/>
      </c>
      <c r="J36" s="4">
        <v>28.3</v>
      </c>
      <c r="K36" s="4"/>
      <c r="M36">
        <v>25</v>
      </c>
      <c r="N36">
        <f>IF(A36="","", "CP-" &amp; IFERROR(VLOOKUP(D36, Catalogos!$Z$4:$AA$20, 2, FALSE), "FOL") &amp; "-" &amp; WEEKNUM(A36,2) &amp; "-" &amp; TEXT(ROW(A32),"000"))</f>
      </c>
    </row>
    <row r="37" spans="1:14">
      <c r="A37" s="2">
        <v>46189</v>
      </c>
      <c r="B37" t="s">
        <v>171</v>
      </c>
      <c r="C37" t="s">
        <v>47</v>
      </c>
      <c r="D37" t="s">
        <v>2</v>
      </c>
      <c r="E37" t="s">
        <v>235</v>
      </c>
      <c r="F37">
        <f>VLOOKUP(TablaPegaso[[#This Row],[Equipo]],Catalogos!$V$4:$W$85,2,FALSE)</f>
      </c>
      <c r="G37" s="3"/>
      <c r="H37" s="3">
        <v>50</v>
      </c>
      <c r="I37" s="3">
        <f t="shared" si="0"/>
      </c>
      <c r="J37" s="4">
        <v>28.3</v>
      </c>
      <c r="K37" s="4">
        <f t="shared" si="1"/>
      </c>
      <c r="M37">
        <v>25</v>
      </c>
      <c r="N37">
        <f>IF(A37="","", "CP-" &amp; IFERROR(VLOOKUP(D37, Catalogos!$Z$4:$AA$20, 2, FALSE), "FOL") &amp; "-" &amp; WEEKNUM(A37,2) &amp; "-" &amp; TEXT(ROW(A33),"000"))</f>
      </c>
    </row>
    <row r="38" spans="1:14">
      <c r="A38" s="2">
        <v>46189</v>
      </c>
      <c r="B38" t="s">
        <v>171</v>
      </c>
      <c r="C38" t="s">
        <v>47</v>
      </c>
      <c r="D38" t="s">
        <v>2</v>
      </c>
      <c r="E38" t="s">
        <v>365</v>
      </c>
      <c r="F38">
        <f>VLOOKUP(TablaPegaso[[#This Row],[Equipo]],Catalogos!$V$4:$W$85,2,FALSE)</f>
      </c>
      <c r="G38" s="3"/>
      <c r="H38" s="3">
        <v>165</v>
      </c>
      <c r="I38" s="3">
        <f t="shared" si="0"/>
      </c>
      <c r="J38" s="4">
        <v>28.3</v>
      </c>
      <c r="K38" s="4">
        <f t="shared" si="1"/>
      </c>
      <c r="M38">
        <v>25</v>
      </c>
      <c r="N38">
        <f>IF(A38="","", "CP-" &amp; IFERROR(VLOOKUP(D38, Catalogos!$Z$4:$AA$20, 2, FALSE), "FOL") &amp; "-" &amp; WEEKNUM(A38,2) &amp; "-" &amp; TEXT(ROW(A34),"000"))</f>
      </c>
    </row>
    <row r="39" spans="1:14">
      <c r="A39" s="2">
        <v>46190</v>
      </c>
      <c r="B39" t="s">
        <v>171</v>
      </c>
      <c r="C39" t="s">
        <v>47</v>
      </c>
      <c r="D39" t="s">
        <v>2</v>
      </c>
      <c r="E39" t="s">
        <v>231</v>
      </c>
      <c r="F39">
        <f>VLOOKUP(TablaPegaso[[#This Row],[Equipo]],Catalogos!$V$4:$W$85,2,FALSE)</f>
      </c>
      <c r="G39" s="3"/>
      <c r="H39" s="3">
        <v>81</v>
      </c>
      <c r="I39" s="3">
        <f t="shared" si="0"/>
      </c>
      <c r="J39" s="4">
        <v>28.3</v>
      </c>
      <c r="K39" s="4">
        <f t="shared" si="1"/>
      </c>
      <c r="M39">
        <v>25</v>
      </c>
      <c r="N39">
        <f>IF(A39="","", "CP-" &amp; IFERROR(VLOOKUP(D39, Catalogos!$Z$4:$AA$20, 2, FALSE), "FOL") &amp; "-" &amp; WEEKNUM(A39,2) &amp; "-" &amp; TEXT(ROW(A35),"000"))</f>
      </c>
    </row>
    <row r="40" spans="1:14">
      <c r="A40" s="2">
        <v>46192</v>
      </c>
      <c r="B40" t="s">
        <v>171</v>
      </c>
      <c r="C40" t="s">
        <v>47</v>
      </c>
      <c r="D40" t="s">
        <v>2</v>
      </c>
      <c r="E40" t="s">
        <v>383</v>
      </c>
      <c r="F40">
        <f>VLOOKUP(TablaPegaso[[#This Row],[Equipo]],Catalogos!$V$4:$W$85,2,FALSE)</f>
      </c>
      <c r="G40" s="3"/>
      <c r="H40" s="3">
        <v>40</v>
      </c>
      <c r="I40" s="3">
        <f t="shared" si="0"/>
      </c>
      <c r="J40" s="4">
        <v>28.3</v>
      </c>
      <c r="K40" s="4">
        <f t="shared" ref="K40:K72" si="2">IFERROR((G40+H40)*J40,0)</f>
      </c>
      <c r="M40">
        <v>25</v>
      </c>
      <c r="N40">
        <f>IF(A40="","", "CP-" &amp; IFERROR(VLOOKUP(D40, Catalogos!$Z$4:$AA$20, 2, FALSE), "FOL") &amp; "-" &amp; WEEKNUM(A40,2) &amp; "-" &amp; TEXT(ROW(A36),"000"))</f>
      </c>
    </row>
    <row r="41" spans="1:14">
      <c r="A41" s="2">
        <v>46192</v>
      </c>
      <c r="B41" t="s">
        <v>171</v>
      </c>
      <c r="C41" t="s">
        <v>47</v>
      </c>
      <c r="D41" t="s">
        <v>159</v>
      </c>
      <c r="E41" t="s">
        <v>383</v>
      </c>
      <c r="F41">
        <f>VLOOKUP(TablaPegaso[[#This Row],[Equipo]],Catalogos!$V$4:$W$85,2,FALSE)</f>
      </c>
      <c r="G41" s="3"/>
      <c r="H41" s="3">
        <v>40</v>
      </c>
      <c r="I41" s="3">
        <f t="shared" ref="I41" si="3">IF(ROW()=5,G41-H41,I40+G41-H41)</f>
      </c>
      <c r="J41" s="4">
        <v>28.3</v>
      </c>
      <c r="K41" s="4">
        <f t="shared" si="2"/>
      </c>
      <c r="M41">
        <v>25</v>
      </c>
      <c r="N41">
        <f>IF(A41="","", "CP-" &amp; IFERROR(VLOOKUP(D41, Catalogos!$Z$4:$AA$20, 2, FALSE), "FOL") &amp; "-" &amp; WEEKNUM(A41,2) &amp; "-" &amp; TEXT(ROW(A37),"000"))</f>
      </c>
    </row>
    <row r="42" spans="1:14">
      <c r="A42" s="2">
        <v>46192</v>
      </c>
      <c r="B42" t="s">
        <v>171</v>
      </c>
      <c r="C42" t="s">
        <v>47</v>
      </c>
      <c r="D42" t="s">
        <v>2</v>
      </c>
      <c r="E42" t="s">
        <v>217</v>
      </c>
      <c r="F42">
        <f>VLOOKUP(TablaPegaso[[#This Row],[Equipo]],Catalogos!$V$4:$W$85,2,FALSE)</f>
      </c>
      <c r="G42" s="3"/>
      <c r="H42" s="3">
        <v>43</v>
      </c>
      <c r="I42" s="3">
        <f>IF(ROW()=5,G42-H42,I40+G42-H42)</f>
      </c>
      <c r="J42" s="4">
        <v>28.3</v>
      </c>
      <c r="K42" s="4">
        <f t="shared" si="2"/>
      </c>
      <c r="M42">
        <v>25</v>
      </c>
      <c r="N42">
        <f>IF(A42="","", "CP-" &amp; IFERROR(VLOOKUP(D42, Catalogos!$Z$4:$AA$20, 2, FALSE), "FOL") &amp; "-" &amp; WEEKNUM(A42,2) &amp; "-" &amp; TEXT(ROW(A38),"000"))</f>
      </c>
    </row>
    <row r="43" spans="1:14">
      <c r="A43" s="2">
        <v>46192</v>
      </c>
      <c r="B43" t="s">
        <v>171</v>
      </c>
      <c r="C43" t="s">
        <v>47</v>
      </c>
      <c r="D43" t="s">
        <v>2</v>
      </c>
      <c r="E43" t="s">
        <v>221</v>
      </c>
      <c r="F43">
        <f>VLOOKUP(TablaPegaso[[#This Row],[Equipo]],Catalogos!$V$4:$W$85,2,FALSE)</f>
      </c>
      <c r="G43" s="3"/>
      <c r="H43" s="3">
        <v>50</v>
      </c>
      <c r="I43" s="3">
        <f t="shared" si="0"/>
      </c>
      <c r="J43" s="4">
        <v>28.3</v>
      </c>
      <c r="K43" s="4">
        <f t="shared" si="2"/>
      </c>
      <c r="M43">
        <v>25</v>
      </c>
      <c r="N43">
        <f>IF(A43="","", "CP-" &amp; IFERROR(VLOOKUP(D43, Catalogos!$Z$4:$AA$20, 2, FALSE), "FOL") &amp; "-" &amp; WEEKNUM(A43,2) &amp; "-" &amp; TEXT(ROW(A39),"000"))</f>
      </c>
    </row>
    <row r="44" spans="1:14">
      <c r="A44" s="2">
        <v>46192</v>
      </c>
      <c r="B44" t="s">
        <v>171</v>
      </c>
      <c r="C44" t="s">
        <v>47</v>
      </c>
      <c r="D44" t="s">
        <v>2</v>
      </c>
      <c r="E44" t="s">
        <v>228</v>
      </c>
      <c r="F44">
        <f>VLOOKUP(TablaPegaso[[#This Row],[Equipo]],Catalogos!$V$4:$W$85,2,FALSE)</f>
      </c>
      <c r="G44" s="3"/>
      <c r="H44" s="3">
        <v>80</v>
      </c>
      <c r="I44" s="3">
        <f t="shared" si="0"/>
      </c>
      <c r="J44" s="4">
        <v>28.3</v>
      </c>
      <c r="K44" s="4">
        <f t="shared" si="2"/>
      </c>
      <c r="M44">
        <v>25</v>
      </c>
      <c r="N44">
        <f>IF(A44="","", "CP-" &amp; IFERROR(VLOOKUP(D44, Catalogos!$Z$4:$AA$20, 2, FALSE), "FOL") &amp; "-" &amp; WEEKNUM(A44,2) &amp; "-" &amp; TEXT(ROW(A40),"000"))</f>
      </c>
    </row>
    <row r="45" spans="1:14">
      <c r="A45" s="2">
        <v>46192</v>
      </c>
      <c r="B45" t="s">
        <v>171</v>
      </c>
      <c r="C45" t="s">
        <v>47</v>
      </c>
      <c r="D45" t="s">
        <v>2</v>
      </c>
      <c r="E45" t="s">
        <v>223</v>
      </c>
      <c r="F45">
        <f>VLOOKUP(TablaPegaso[[#This Row],[Equipo]],Catalogos!$V$4:$W$85,2,FALSE)</f>
      </c>
      <c r="G45" s="3"/>
      <c r="H45" s="3">
        <v>30</v>
      </c>
      <c r="I45" s="3">
        <f t="shared" si="0"/>
      </c>
      <c r="J45" s="4">
        <v>28.3</v>
      </c>
      <c r="K45" s="4">
        <f t="shared" si="2"/>
      </c>
      <c r="M45">
        <v>25</v>
      </c>
      <c r="N45">
        <f>IF(A45="","", "CP-" &amp; IFERROR(VLOOKUP(D45, Catalogos!$Z$4:$AA$20, 2, FALSE), "FOL") &amp; "-" &amp; WEEKNUM(A45,2) &amp; "-" &amp; TEXT(ROW(A41),"000"))</f>
      </c>
    </row>
    <row r="46" spans="1:14">
      <c r="A46" s="2">
        <v>46192</v>
      </c>
      <c r="B46" t="s">
        <v>171</v>
      </c>
      <c r="C46" t="s">
        <v>47</v>
      </c>
      <c r="D46" t="s">
        <v>2</v>
      </c>
      <c r="E46" t="s">
        <v>365</v>
      </c>
      <c r="F46">
        <f>VLOOKUP(TablaPegaso[[#This Row],[Equipo]],Catalogos!$V$4:$W$85,2,FALSE)</f>
      </c>
      <c r="G46" s="3"/>
      <c r="H46" s="3">
        <v>160</v>
      </c>
      <c r="I46" s="3">
        <f t="shared" si="0"/>
      </c>
      <c r="J46" s="4">
        <v>28.3</v>
      </c>
      <c r="K46" s="4">
        <f t="shared" si="2"/>
      </c>
      <c r="M46">
        <v>25</v>
      </c>
      <c r="N46">
        <f>IF(A46="","", "CP-" &amp; IFERROR(VLOOKUP(D46, Catalogos!$Z$4:$AA$20, 2, FALSE), "FOL") &amp; "-" &amp; WEEKNUM(A46,2) &amp; "-" &amp; TEXT(ROW(A42),"000"))</f>
      </c>
    </row>
    <row r="47" spans="1:14">
      <c r="A47" s="2">
        <v>46192</v>
      </c>
      <c r="B47" t="s">
        <v>171</v>
      </c>
      <c r="C47" t="s">
        <v>47</v>
      </c>
      <c r="D47" t="s">
        <v>2</v>
      </c>
      <c r="E47" t="s">
        <v>235</v>
      </c>
      <c r="F47">
        <f>VLOOKUP(TablaPegaso[[#This Row],[Equipo]],Catalogos!$V$4:$W$85,2,FALSE)</f>
      </c>
      <c r="G47" s="3"/>
      <c r="H47" s="3">
        <v>50</v>
      </c>
      <c r="I47" s="3">
        <f t="shared" si="0"/>
      </c>
      <c r="J47" s="4">
        <v>28.3</v>
      </c>
      <c r="K47" s="4">
        <f t="shared" si="2"/>
      </c>
      <c r="M47">
        <v>25</v>
      </c>
      <c r="N47">
        <f>IF(A47="","", "CP-" &amp; IFERROR(VLOOKUP(D47, Catalogos!$Z$4:$AA$20, 2, FALSE), "FOL") &amp; "-" &amp; WEEKNUM(A47,2) &amp; "-" &amp; TEXT(ROW(A43),"000"))</f>
      </c>
    </row>
    <row r="48" spans="1:14">
      <c r="A48" s="2">
        <v>46192</v>
      </c>
      <c r="B48" t="s">
        <v>171</v>
      </c>
      <c r="C48" t="s">
        <v>47</v>
      </c>
      <c r="D48" t="s">
        <v>111</v>
      </c>
      <c r="E48" t="s">
        <v>209</v>
      </c>
      <c r="F48">
        <f>VLOOKUP(TablaPegaso[[#This Row],[Equipo]],Catalogos!$V$4:$W$85,2,FALSE)</f>
      </c>
      <c r="G48" s="3"/>
      <c r="H48" s="3">
        <v>60</v>
      </c>
      <c r="I48" s="3">
        <f t="shared" si="0"/>
      </c>
      <c r="J48" s="4">
        <v>28.3</v>
      </c>
      <c r="K48" s="4">
        <f t="shared" si="2"/>
      </c>
      <c r="M48">
        <v>25</v>
      </c>
      <c r="N48">
        <f>IF(A48="","", "CP-" &amp; IFERROR(VLOOKUP(D48, Catalogos!$Z$4:$AA$20, 2, FALSE), "FOL") &amp; "-" &amp; WEEKNUM(A48,2) &amp; "-" &amp; TEXT(ROW(A44),"000"))</f>
      </c>
    </row>
    <row r="49" spans="1:14">
      <c r="A49" s="2">
        <v>46193</v>
      </c>
      <c r="B49" t="s">
        <v>171</v>
      </c>
      <c r="C49" t="s">
        <v>47</v>
      </c>
      <c r="D49" t="s">
        <v>111</v>
      </c>
      <c r="E49" t="s">
        <v>237</v>
      </c>
      <c r="F49">
        <f>VLOOKUP(TablaPegaso[[#This Row],[Equipo]],Catalogos!$V$4:$W$85,2,FALSE)</f>
      </c>
      <c r="G49" s="3"/>
      <c r="H49" s="3">
        <v>70</v>
      </c>
      <c r="I49" s="3">
        <f t="shared" si="0"/>
      </c>
      <c r="J49" s="4">
        <v>28.3</v>
      </c>
      <c r="K49" s="4">
        <f t="shared" si="2"/>
      </c>
      <c r="M49">
        <v>25</v>
      </c>
      <c r="N49">
        <f>IF(A49="","", "CP-" &amp; IFERROR(VLOOKUP(D49, Catalogos!$Z$4:$AA$20, 2, FALSE), "FOL") &amp; "-" &amp; WEEKNUM(A49,2) &amp; "-" &amp; TEXT(ROW(A45),"000"))</f>
      </c>
    </row>
    <row r="50" spans="1:14">
      <c r="A50" s="2">
        <v>46193</v>
      </c>
      <c r="B50" t="s">
        <v>171</v>
      </c>
      <c r="C50" t="s">
        <v>47</v>
      </c>
      <c r="D50" t="s">
        <v>115</v>
      </c>
      <c r="E50" t="s">
        <v>237</v>
      </c>
      <c r="F50">
        <f>VLOOKUP(TablaPegaso[[#This Row],[Equipo]],Catalogos!$V$4:$W$85,2,FALSE)</f>
      </c>
      <c r="G50" s="3"/>
      <c r="H50" s="3">
        <v>600</v>
      </c>
      <c r="I50" s="3">
        <f t="shared" si="0"/>
      </c>
      <c r="J50" s="4">
        <v>28.3</v>
      </c>
      <c r="K50" s="4">
        <f t="shared" si="2"/>
      </c>
      <c r="M50">
        <v>25</v>
      </c>
      <c r="N50">
        <f>IF(A50="","", "CP-" &amp; IFERROR(VLOOKUP(D50, Catalogos!$Z$4:$AA$20, 2, FALSE), "FOL") &amp; "-" &amp; WEEKNUM(A50,2) &amp; "-" &amp; TEXT(ROW(A46),"000"))</f>
      </c>
    </row>
    <row r="51" spans="1:14">
      <c r="A51" s="2">
        <v>46188</v>
      </c>
      <c r="B51" t="s">
        <v>171</v>
      </c>
      <c r="C51" t="s">
        <v>47</v>
      </c>
      <c r="D51" t="s">
        <v>111</v>
      </c>
      <c r="E51" t="s">
        <v>215</v>
      </c>
      <c r="F51">
        <f>VLOOKUP(TablaPegaso[[#This Row],[Equipo]],Catalogos!$V$4:$W$85,2,FALSE)</f>
      </c>
      <c r="G51" s="3"/>
      <c r="H51" s="3">
        <v>200</v>
      </c>
      <c r="I51" s="3">
        <f t="shared" si="0"/>
      </c>
      <c r="J51" s="4">
        <v>28.3</v>
      </c>
      <c r="K51" s="4">
        <f t="shared" si="2"/>
      </c>
      <c r="M51">
        <v>25</v>
      </c>
      <c r="N51">
        <f>IF(A51="","", "CP-" &amp; IFERROR(VLOOKUP(D51, Catalogos!$Z$4:$AA$20, 2, FALSE), "FOL") &amp; "-" &amp; WEEKNUM(A51,2) &amp; "-" &amp; TEXT(ROW(A47),"000"))</f>
      </c>
    </row>
    <row r="52" spans="1:14">
      <c r="A52" s="2">
        <v>46195</v>
      </c>
      <c r="B52" t="s">
        <v>125</v>
      </c>
      <c r="C52" t="s">
        <v>47</v>
      </c>
      <c r="F52">
        <f>VLOOKUP(TablaPegaso[[#This Row],[Equipo]],Catalogos!$V$4:$W$85,2,FALSE)</f>
      </c>
      <c r="G52" s="3">
        <v>6036.51</v>
      </c>
      <c r="H52" s="3"/>
      <c r="I52" s="3">
        <f t="shared" si="0"/>
      </c>
      <c r="J52" s="4">
        <v>28.3</v>
      </c>
      <c r="K52" s="4">
        <f t="shared" si="2"/>
      </c>
      <c r="M52">
        <v>26</v>
      </c>
      <c r="N52">
        <f>IF(A52="","", "CP-" &amp; IFERROR(VLOOKUP(D52, Catalogos!$Z$4:$AA$20, 2, FALSE), "FOL") &amp; "-" &amp; WEEKNUM(A52,2) &amp; "-" &amp; TEXT(ROW(A48),"000"))</f>
      </c>
    </row>
    <row r="53" spans="1:14">
      <c r="A53" s="2"/>
      <c r="C53" t="s">
        <v>47</v>
      </c>
      <c r="F53">
        <f>VLOOKUP(TablaPegaso[[#This Row],[Equipo]],Catalogos!$V$4:$W$85,2,FALSE)</f>
      </c>
      <c r="G53" s="3"/>
      <c r="H53" s="3"/>
      <c r="I53" s="3">
        <f t="shared" si="0"/>
      </c>
      <c r="J53" s="4">
        <v>28.3</v>
      </c>
      <c r="K53" s="4">
        <f t="shared" si="2"/>
      </c>
      <c r="N53">
        <f>IF(A53="","", "CP-" &amp; IFERROR(VLOOKUP(D53, Catalogos!$Z$4:$AA$20, 2, FALSE), "FOL") &amp; "-" &amp; WEEKNUM(A53,2) &amp; "-" &amp; TEXT(ROW(A49),"000"))</f>
      </c>
    </row>
    <row r="54" spans="1:14">
      <c r="A54" s="2"/>
      <c r="C54" t="s">
        <v>47</v>
      </c>
      <c r="F54">
        <f>VLOOKUP(TablaPegaso[[#This Row],[Equipo]],Catalogos!$V$4:$W$85,2,FALSE)</f>
      </c>
      <c r="G54" s="3"/>
      <c r="H54" s="3"/>
      <c r="I54" s="3">
        <f t="shared" si="0"/>
      </c>
      <c r="J54" s="4">
        <v>28.3</v>
      </c>
      <c r="K54" s="4">
        <f t="shared" si="2"/>
      </c>
      <c r="N54">
        <f>IF(A54="","", "CP-" &amp; IFERROR(VLOOKUP(D54, Catalogos!$Z$4:$AA$20, 2, FALSE), "FOL") &amp; "-" &amp; WEEKNUM(A54,2) &amp; "-" &amp; TEXT(ROW(A50),"000"))</f>
      </c>
    </row>
    <row r="55" spans="1:14">
      <c r="A55" s="2"/>
      <c r="C55" t="s">
        <v>47</v>
      </c>
      <c r="F55">
        <f>VLOOKUP(TablaPegaso[[#This Row],[Equipo]],Catalogos!$V$4:$W$85,2,FALSE)</f>
      </c>
      <c r="G55" s="3"/>
      <c r="H55" s="3"/>
      <c r="I55" s="3">
        <f t="shared" si="0"/>
      </c>
      <c r="J55" s="4">
        <v>28.3</v>
      </c>
      <c r="K55" s="4">
        <f t="shared" si="2"/>
      </c>
      <c r="N55">
        <f>IF(A55="","", "CP-" &amp; IFERROR(VLOOKUP(D55, Catalogos!$Z$4:$AA$20, 2, FALSE), "FOL") &amp; "-" &amp; WEEKNUM(A55,2) &amp; "-" &amp; TEXT(ROW(A51),"000"))</f>
      </c>
    </row>
    <row r="56" spans="1:14">
      <c r="A56" s="2"/>
      <c r="C56" t="s">
        <v>47</v>
      </c>
      <c r="F56">
        <f>VLOOKUP(TablaPegaso[[#This Row],[Equipo]],Catalogos!$V$4:$W$85,2,FALSE)</f>
      </c>
      <c r="G56" s="3"/>
      <c r="H56" s="3"/>
      <c r="I56" s="3">
        <f t="shared" si="0"/>
      </c>
      <c r="J56" s="4">
        <v>28.3</v>
      </c>
      <c r="K56" s="4">
        <f t="shared" si="2"/>
      </c>
      <c r="N56">
        <f>IF(A56="","", "CP-" &amp; IFERROR(VLOOKUP(D56, Catalogos!$Z$4:$AA$20, 2, FALSE), "FOL") &amp; "-" &amp; WEEKNUM(A56,2) &amp; "-" &amp; TEXT(ROW(A52),"000"))</f>
      </c>
    </row>
    <row r="57" spans="1:14">
      <c r="A57" s="2"/>
      <c r="C57" t="s">
        <v>47</v>
      </c>
      <c r="F57">
        <f>VLOOKUP(TablaPegaso[[#This Row],[Equipo]],Catalogos!$V$4:$W$85,2,FALSE)</f>
      </c>
      <c r="G57" s="3"/>
      <c r="H57" s="3"/>
      <c r="I57" s="3">
        <f t="shared" si="0"/>
      </c>
      <c r="J57" s="4">
        <v>28.3</v>
      </c>
      <c r="K57" s="4">
        <f t="shared" si="2"/>
      </c>
      <c r="N57">
        <f>IF(A57="","", "CP-" &amp; IFERROR(VLOOKUP(D57, Catalogos!$Z$4:$AA$20, 2, FALSE), "FOL") &amp; "-" &amp; WEEKNUM(A57,2) &amp; "-" &amp; TEXT(ROW(A53),"000"))</f>
      </c>
    </row>
    <row r="58" spans="1:14">
      <c r="A58" s="2"/>
      <c r="C58" t="s">
        <v>47</v>
      </c>
      <c r="F58">
        <f>VLOOKUP(TablaPegaso[[#This Row],[Equipo]],Catalogos!$V$4:$W$85,2,FALSE)</f>
      </c>
      <c r="G58" s="3"/>
      <c r="H58" s="3"/>
      <c r="I58" s="3">
        <f t="shared" si="0"/>
      </c>
      <c r="J58" s="4">
        <v>28.3</v>
      </c>
      <c r="K58" s="4">
        <f t="shared" si="2"/>
      </c>
      <c r="N58">
        <f>IF(A58="","", "CP-" &amp; IFERROR(VLOOKUP(D58, Catalogos!$Z$4:$AA$20, 2, FALSE), "FOL") &amp; "-" &amp; WEEKNUM(A58,2) &amp; "-" &amp; TEXT(ROW(A54),"000"))</f>
      </c>
    </row>
    <row r="59" spans="1:14">
      <c r="A59" s="2"/>
      <c r="C59" t="s">
        <v>47</v>
      </c>
      <c r="F59">
        <f>VLOOKUP(TablaPegaso[[#This Row],[Equipo]],Catalogos!$V$4:$W$85,2,FALSE)</f>
      </c>
      <c r="G59" s="3"/>
      <c r="H59" s="3"/>
      <c r="I59" s="3">
        <f t="shared" si="0"/>
      </c>
      <c r="J59" s="4">
        <v>28.3</v>
      </c>
      <c r="K59" s="4">
        <f t="shared" si="2"/>
      </c>
      <c r="N59">
        <f>IF(A59="","", "CP-" &amp; IFERROR(VLOOKUP(D59, Catalogos!$Z$4:$AA$20, 2, FALSE), "FOL") &amp; "-" &amp; WEEKNUM(A59,2) &amp; "-" &amp; TEXT(ROW(A55),"000"))</f>
      </c>
    </row>
    <row r="60" spans="1:14">
      <c r="A60" s="2"/>
      <c r="C60" t="s">
        <v>47</v>
      </c>
      <c r="F60">
        <f>VLOOKUP(TablaPegaso[[#This Row],[Equipo]],Catalogos!$V$4:$W$85,2,FALSE)</f>
      </c>
      <c r="G60" s="3"/>
      <c r="H60" s="3"/>
      <c r="I60" s="3">
        <f t="shared" si="0"/>
      </c>
      <c r="J60" s="4">
        <v>28.3</v>
      </c>
      <c r="K60" s="4">
        <f t="shared" si="2"/>
      </c>
      <c r="N60">
        <f>IF(A60="","", "CP-" &amp; IFERROR(VLOOKUP(D60, Catalogos!$Z$4:$AA$20, 2, FALSE), "FOL") &amp; "-" &amp; WEEKNUM(A60,2) &amp; "-" &amp; TEXT(ROW(A56),"000"))</f>
      </c>
    </row>
    <row r="61" spans="1:14">
      <c r="A61" s="2"/>
      <c r="C61" t="s">
        <v>47</v>
      </c>
      <c r="F61">
        <f>VLOOKUP(TablaPegaso[[#This Row],[Equipo]],Catalogos!$V$4:$W$85,2,FALSE)</f>
      </c>
      <c r="G61" s="3"/>
      <c r="H61" s="3"/>
      <c r="I61" s="3">
        <f t="shared" si="0"/>
      </c>
      <c r="J61" s="4">
        <v>28.3</v>
      </c>
      <c r="K61" s="4">
        <f t="shared" si="2"/>
      </c>
      <c r="N61">
        <f>IF(A61="","", "CP-" &amp; IFERROR(VLOOKUP(D61, Catalogos!$Z$4:$AA$20, 2, FALSE), "FOL") &amp; "-" &amp; WEEKNUM(A61,2) &amp; "-" &amp; TEXT(ROW(A57),"000"))</f>
      </c>
    </row>
    <row r="62" spans="1:14">
      <c r="A62" s="2"/>
      <c r="C62" t="s">
        <v>47</v>
      </c>
      <c r="F62">
        <f>VLOOKUP(TablaPegaso[[#This Row],[Equipo]],Catalogos!$V$4:$W$85,2,FALSE)</f>
      </c>
      <c r="G62" s="3"/>
      <c r="H62" s="3"/>
      <c r="I62" s="3">
        <f t="shared" si="0"/>
      </c>
      <c r="J62" s="4">
        <v>28.3</v>
      </c>
      <c r="K62" s="4">
        <f t="shared" si="2"/>
      </c>
      <c r="N62">
        <f>IF(A62="","", "CP-" &amp; IFERROR(VLOOKUP(D62, Catalogos!$Z$4:$AA$20, 2, FALSE), "FOL") &amp; "-" &amp; WEEKNUM(A62,2) &amp; "-" &amp; TEXT(ROW(A58),"000"))</f>
      </c>
    </row>
    <row r="63" spans="1:14">
      <c r="A63" s="2"/>
      <c r="C63" t="s">
        <v>47</v>
      </c>
      <c r="F63">
        <f>VLOOKUP(TablaPegaso[[#This Row],[Equipo]],Catalogos!$V$4:$W$85,2,FALSE)</f>
      </c>
      <c r="G63" s="3"/>
      <c r="H63" s="3"/>
      <c r="I63" s="3">
        <f t="shared" si="0"/>
      </c>
      <c r="J63" s="4">
        <v>28.3</v>
      </c>
      <c r="K63" s="4">
        <f t="shared" si="2"/>
      </c>
      <c r="N63">
        <f>IF(A63="","", "CP-" &amp; IFERROR(VLOOKUP(D63, Catalogos!$Z$4:$AA$20, 2, FALSE), "FOL") &amp; "-" &amp; WEEKNUM(A63,2) &amp; "-" &amp; TEXT(ROW(A59),"000"))</f>
      </c>
    </row>
    <row r="64" spans="1:14">
      <c r="A64" s="2"/>
      <c r="C64" t="s">
        <v>47</v>
      </c>
      <c r="F64">
        <f>VLOOKUP(TablaPegaso[[#This Row],[Equipo]],Catalogos!$V$4:$W$85,2,FALSE)</f>
      </c>
      <c r="G64" s="3"/>
      <c r="H64" s="3"/>
      <c r="I64" s="3">
        <f t="shared" si="0"/>
      </c>
      <c r="J64" s="4">
        <v>28.3</v>
      </c>
      <c r="K64" s="4">
        <f t="shared" si="2"/>
      </c>
      <c r="N64">
        <f>IF(A64="","", "CP-" &amp; IFERROR(VLOOKUP(D64, Catalogos!$Z$4:$AA$20, 2, FALSE), "FOL") &amp; "-" &amp; WEEKNUM(A64,2) &amp; "-" &amp; TEXT(ROW(A60),"000"))</f>
      </c>
    </row>
    <row r="65" spans="1:14">
      <c r="A65" s="2"/>
      <c r="C65" t="s">
        <v>47</v>
      </c>
      <c r="F65">
        <f>VLOOKUP(TablaPegaso[[#This Row],[Equipo]],Catalogos!$V$4:$W$85,2,FALSE)</f>
      </c>
      <c r="G65" s="3"/>
      <c r="H65" s="3"/>
      <c r="I65" s="3">
        <f t="shared" si="0"/>
      </c>
      <c r="J65" s="4">
        <v>28.3</v>
      </c>
      <c r="K65" s="4">
        <f t="shared" si="2"/>
      </c>
      <c r="N65">
        <f>IF(A65="","", "CP-" &amp; IFERROR(VLOOKUP(D65, Catalogos!$Z$4:$AA$20, 2, FALSE), "FOL") &amp; "-" &amp; WEEKNUM(A65,2) &amp; "-" &amp; TEXT(ROW(A61),"000"))</f>
      </c>
    </row>
    <row r="66" spans="1:14">
      <c r="A66" s="2"/>
      <c r="C66" t="s">
        <v>47</v>
      </c>
      <c r="F66">
        <f>VLOOKUP(TablaPegaso[[#This Row],[Equipo]],Catalogos!$V$4:$W$85,2,FALSE)</f>
      </c>
      <c r="G66" s="3"/>
      <c r="H66" s="3"/>
      <c r="I66" s="3">
        <f t="shared" si="0"/>
      </c>
      <c r="J66" s="4">
        <v>28.3</v>
      </c>
      <c r="K66" s="4">
        <f t="shared" si="2"/>
      </c>
      <c r="N66">
        <f>IF(A66="","", "CP-" &amp; IFERROR(VLOOKUP(D66, Catalogos!$Z$4:$AA$20, 2, FALSE), "FOL") &amp; "-" &amp; WEEKNUM(A66,2) &amp; "-" &amp; TEXT(ROW(A62),"000"))</f>
      </c>
    </row>
    <row r="67" spans="1:14">
      <c r="A67" s="2"/>
      <c r="C67" t="s">
        <v>47</v>
      </c>
      <c r="F67">
        <f>VLOOKUP(TablaPegaso[[#This Row],[Equipo]],Catalogos!$V$4:$W$85,2,FALSE)</f>
      </c>
      <c r="G67" s="3"/>
      <c r="H67" s="3"/>
      <c r="I67" s="3">
        <f t="shared" si="0"/>
      </c>
      <c r="J67" s="4">
        <v>28.3</v>
      </c>
      <c r="K67" s="4">
        <f t="shared" si="2"/>
      </c>
      <c r="N67">
        <f>IF(A67="","", "CP-" &amp; IFERROR(VLOOKUP(D67, Catalogos!$Z$4:$AA$20, 2, FALSE), "FOL") &amp; "-" &amp; WEEKNUM(A67,2) &amp; "-" &amp; TEXT(ROW(A63),"000"))</f>
      </c>
    </row>
    <row r="68" spans="1:14">
      <c r="A68" s="2"/>
      <c r="C68" t="s">
        <v>47</v>
      </c>
      <c r="F68">
        <f>VLOOKUP(TablaPegaso[[#This Row],[Equipo]],Catalogos!$V$4:$W$85,2,FALSE)</f>
      </c>
      <c r="G68" s="3"/>
      <c r="H68" s="3"/>
      <c r="I68" s="3">
        <f t="shared" si="0"/>
      </c>
      <c r="J68" s="4">
        <v>28.3</v>
      </c>
      <c r="K68" s="4">
        <f t="shared" si="2"/>
      </c>
      <c r="N68">
        <f>IF(A68="","", "CP-" &amp; IFERROR(VLOOKUP(D68, Catalogos!$Z$4:$AA$20, 2, FALSE), "FOL") &amp; "-" &amp; WEEKNUM(A68,2) &amp; "-" &amp; TEXT(ROW(A64),"000"))</f>
      </c>
    </row>
    <row r="69" spans="1:14">
      <c r="A69" s="2"/>
      <c r="C69" t="s">
        <v>47</v>
      </c>
      <c r="F69">
        <f>VLOOKUP(TablaPegaso[[#This Row],[Equipo]],Catalogos!$V$4:$W$85,2,FALSE)</f>
      </c>
      <c r="G69" s="3"/>
      <c r="H69" s="3"/>
      <c r="I69" s="3">
        <f t="shared" si="0"/>
      </c>
      <c r="J69" s="4">
        <v>28.3</v>
      </c>
      <c r="K69" s="4">
        <f t="shared" si="2"/>
      </c>
      <c r="M69">
        <f t="shared" ref="M69:M132" si="4">IF(A69="","", WEEKNUM(A69, 2))</f>
      </c>
      <c r="N69">
        <f>IF(A69="","", "CP-" &amp; IFERROR(VLOOKUP(D69, Catalogos!$Z$4:$AA$20, 2, FALSE), "FOL") &amp; "-" &amp; WEEKNUM(A69,2) &amp; "-" &amp; TEXT(ROW(A65),"000"))</f>
      </c>
    </row>
    <row r="70" spans="1:14">
      <c r="A70" s="2"/>
      <c r="C70" t="s">
        <v>47</v>
      </c>
      <c r="F70">
        <f>VLOOKUP(TablaPegaso[[#This Row],[Equipo]],Catalogos!$V$4:$W$85,2,FALSE)</f>
      </c>
      <c r="G70" s="3"/>
      <c r="H70" s="3"/>
      <c r="I70" s="3">
        <f t="shared" ref="I70:I133" si="5">IF(ROW()=5,G70-H70,I69+G70-H70)</f>
      </c>
      <c r="J70" s="4">
        <v>28.3</v>
      </c>
      <c r="K70" s="4">
        <f t="shared" si="2"/>
      </c>
      <c r="M70">
        <f t="shared" si="4"/>
      </c>
      <c r="N70">
        <f>IF(A70="","", "CP-" &amp; IFERROR(VLOOKUP(D70, Catalogos!$Z$4:$AA$20, 2, FALSE), "FOL") &amp; "-" &amp; WEEKNUM(A70,2) &amp; "-" &amp; TEXT(ROW(A66),"000"))</f>
      </c>
    </row>
    <row r="71" spans="1:14">
      <c r="A71" s="2"/>
      <c r="C71" t="s">
        <v>47</v>
      </c>
      <c r="F71">
        <f>VLOOKUP(TablaPegaso[[#This Row],[Equipo]],Catalogos!$V$4:$W$85,2,FALSE)</f>
      </c>
      <c r="G71" s="3"/>
      <c r="H71" s="3"/>
      <c r="I71" s="3">
        <f t="shared" si="5"/>
      </c>
      <c r="J71" s="4">
        <v>28.3</v>
      </c>
      <c r="K71" s="4">
        <f t="shared" si="2"/>
      </c>
      <c r="M71">
        <f t="shared" si="4"/>
      </c>
      <c r="N71">
        <f>IF(A71="","", "CP-" &amp; IFERROR(VLOOKUP(D71, Catalogos!$Z$4:$AA$20, 2, FALSE), "FOL") &amp; "-" &amp; WEEKNUM(A71,2) &amp; "-" &amp; TEXT(ROW(A67),"000"))</f>
      </c>
    </row>
    <row r="72" spans="1:14">
      <c r="A72" s="2"/>
      <c r="C72" t="s">
        <v>47</v>
      </c>
      <c r="F72">
        <f>VLOOKUP(TablaPegaso[[#This Row],[Equipo]],Catalogos!$V$4:$W$85,2,FALSE)</f>
      </c>
      <c r="G72" s="3"/>
      <c r="H72" s="3"/>
      <c r="I72" s="3">
        <f t="shared" si="5"/>
      </c>
      <c r="J72" s="4">
        <v>28.3</v>
      </c>
      <c r="K72" s="4">
        <f t="shared" si="2"/>
      </c>
      <c r="M72">
        <f t="shared" si="4"/>
      </c>
      <c r="N72">
        <f>IF(A72="","", "CP-" &amp; IFERROR(VLOOKUP(D72, Catalogos!$Z$4:$AA$20, 2, FALSE), "FOL") &amp; "-" &amp; WEEKNUM(A72,2) &amp; "-" &amp; TEXT(ROW(A68),"000"))</f>
      </c>
    </row>
    <row r="73" spans="1:14">
      <c r="A73" s="2"/>
      <c r="C73" t="s">
        <v>47</v>
      </c>
      <c r="F73">
        <f>VLOOKUP(TablaPegaso[[#This Row],[Equipo]],Catalogos!$V$4:$W$85,2,FALSE)</f>
      </c>
      <c r="G73" s="3"/>
      <c r="H73" s="3"/>
      <c r="I73" s="3">
        <f t="shared" si="5"/>
      </c>
      <c r="J73" s="4">
        <v>28.3</v>
      </c>
      <c r="K73" s="4">
        <f t="shared" ref="K73:K104" si="6">IFERROR((G73+H73)*J73,0)</f>
      </c>
      <c r="M73">
        <f t="shared" si="4"/>
      </c>
      <c r="N73">
        <f>IF(A73="","", "CP-" &amp; IFERROR(VLOOKUP(D73, Catalogos!$Z$4:$AA$20, 2, FALSE), "FOL") &amp; "-" &amp; WEEKNUM(A73,2) &amp; "-" &amp; TEXT(ROW(A69),"000"))</f>
      </c>
    </row>
    <row r="74" spans="1:14">
      <c r="A74" s="2"/>
      <c r="C74" t="s">
        <v>47</v>
      </c>
      <c r="F74">
        <f>VLOOKUP(TablaPegaso[[#This Row],[Equipo]],Catalogos!$V$4:$W$85,2,FALSE)</f>
      </c>
      <c r="G74" s="3"/>
      <c r="H74" s="3"/>
      <c r="I74" s="3">
        <f t="shared" si="5"/>
      </c>
      <c r="J74" s="4">
        <v>28.3</v>
      </c>
      <c r="K74" s="4">
        <f t="shared" si="6"/>
      </c>
      <c r="M74">
        <f t="shared" si="4"/>
      </c>
      <c r="N74">
        <f>IF(A74="","", "CP-" &amp; IFERROR(VLOOKUP(D74, Catalogos!$Z$4:$AA$20, 2, FALSE), "FOL") &amp; "-" &amp; WEEKNUM(A74,2) &amp; "-" &amp; TEXT(ROW(A70),"000"))</f>
      </c>
    </row>
    <row r="75" spans="1:14">
      <c r="A75" s="2"/>
      <c r="C75" t="s">
        <v>47</v>
      </c>
      <c r="F75">
        <f>VLOOKUP(TablaPegaso[[#This Row],[Equipo]],Catalogos!$V$4:$W$85,2,FALSE)</f>
      </c>
      <c r="G75" s="3"/>
      <c r="H75" s="3"/>
      <c r="I75" s="3">
        <f t="shared" si="5"/>
      </c>
      <c r="J75" s="4">
        <v>28.3</v>
      </c>
      <c r="K75" s="4">
        <f t="shared" si="6"/>
      </c>
      <c r="M75">
        <f t="shared" si="4"/>
      </c>
      <c r="N75">
        <f>IF(A75="","", "CP-" &amp; IFERROR(VLOOKUP(D75, Catalogos!$Z$4:$AA$20, 2, FALSE), "FOL") &amp; "-" &amp; WEEKNUM(A75,2) &amp; "-" &amp; TEXT(ROW(A71),"000"))</f>
      </c>
    </row>
    <row r="76" spans="1:14">
      <c r="A76" s="2"/>
      <c r="C76" t="s">
        <v>47</v>
      </c>
      <c r="F76">
        <f>VLOOKUP(TablaPegaso[[#This Row],[Equipo]],Catalogos!$V$4:$W$85,2,FALSE)</f>
      </c>
      <c r="G76" s="3"/>
      <c r="H76" s="3"/>
      <c r="I76" s="3">
        <f t="shared" si="5"/>
      </c>
      <c r="J76" s="4">
        <v>28.3</v>
      </c>
      <c r="K76" s="4">
        <f t="shared" si="6"/>
      </c>
      <c r="M76">
        <f t="shared" si="4"/>
      </c>
      <c r="N76">
        <f>IF(A76="","", "CP-" &amp; IFERROR(VLOOKUP(D76, Catalogos!$Z$4:$AA$20, 2, FALSE), "FOL") &amp; "-" &amp; WEEKNUM(A76,2) &amp; "-" &amp; TEXT(ROW(A72),"000"))</f>
      </c>
    </row>
    <row r="77" spans="1:14">
      <c r="A77" s="2"/>
      <c r="C77" t="s">
        <v>47</v>
      </c>
      <c r="F77">
        <f>VLOOKUP(TablaPegaso[[#This Row],[Equipo]],Catalogos!$V$4:$W$85,2,FALSE)</f>
      </c>
      <c r="G77" s="3"/>
      <c r="H77" s="3"/>
      <c r="I77" s="3">
        <f t="shared" si="5"/>
      </c>
      <c r="J77" s="4">
        <v>28.3</v>
      </c>
      <c r="K77" s="4">
        <f t="shared" si="6"/>
      </c>
      <c r="M77">
        <f t="shared" si="4"/>
      </c>
      <c r="N77">
        <f>IF(A77="","", "CP-" &amp; IFERROR(VLOOKUP(D77, Catalogos!$Z$4:$AA$20, 2, FALSE), "FOL") &amp; "-" &amp; WEEKNUM(A77,2) &amp; "-" &amp; TEXT(ROW(A73),"000"))</f>
      </c>
    </row>
    <row r="78" spans="1:14">
      <c r="A78" s="2"/>
      <c r="C78" t="s">
        <v>47</v>
      </c>
      <c r="F78">
        <f>VLOOKUP(TablaPegaso[[#This Row],[Equipo]],Catalogos!$V$4:$W$85,2,FALSE)</f>
      </c>
      <c r="G78" s="3"/>
      <c r="H78" s="3"/>
      <c r="I78" s="3">
        <f t="shared" si="5"/>
      </c>
      <c r="J78" s="4">
        <v>28.3</v>
      </c>
      <c r="K78" s="4">
        <f t="shared" si="6"/>
      </c>
      <c r="M78">
        <f t="shared" si="4"/>
      </c>
      <c r="N78">
        <f>IF(A78="","", "CP-" &amp; IFERROR(VLOOKUP(D78, Catalogos!$Z$4:$AA$20, 2, FALSE), "FOL") &amp; "-" &amp; WEEKNUM(A78,2) &amp; "-" &amp; TEXT(ROW(A74),"000"))</f>
      </c>
    </row>
    <row r="79" spans="1:14">
      <c r="A79" s="2"/>
      <c r="C79" t="s">
        <v>47</v>
      </c>
      <c r="F79">
        <f>VLOOKUP(TablaPegaso[[#This Row],[Equipo]],Catalogos!$V$4:$W$85,2,FALSE)</f>
      </c>
      <c r="G79" s="3"/>
      <c r="H79" s="3"/>
      <c r="I79" s="3">
        <f t="shared" si="5"/>
      </c>
      <c r="J79" s="4">
        <v>28.3</v>
      </c>
      <c r="K79" s="4">
        <f t="shared" si="6"/>
      </c>
      <c r="M79">
        <f t="shared" si="4"/>
      </c>
      <c r="N79">
        <f>IF(A79="","", "CP-" &amp; IFERROR(VLOOKUP(D79, Catalogos!$Z$4:$AA$20, 2, FALSE), "FOL") &amp; "-" &amp; WEEKNUM(A79,2) &amp; "-" &amp; TEXT(ROW(A75),"000"))</f>
      </c>
    </row>
    <row r="80" spans="1:14">
      <c r="A80" s="2"/>
      <c r="C80" t="s">
        <v>47</v>
      </c>
      <c r="F80">
        <f>VLOOKUP(TablaPegaso[[#This Row],[Equipo]],Catalogos!$V$4:$W$85,2,FALSE)</f>
      </c>
      <c r="G80" s="3"/>
      <c r="H80" s="3"/>
      <c r="I80" s="3">
        <f t="shared" si="5"/>
      </c>
      <c r="J80" s="4">
        <v>28.3</v>
      </c>
      <c r="K80" s="4">
        <f t="shared" si="6"/>
      </c>
      <c r="M80">
        <f t="shared" si="4"/>
      </c>
      <c r="N80">
        <f>IF(A80="","", "CP-" &amp; IFERROR(VLOOKUP(D80, Catalogos!$Z$4:$AA$20, 2, FALSE), "FOL") &amp; "-" &amp; WEEKNUM(A80,2) &amp; "-" &amp; TEXT(ROW(A76),"000"))</f>
      </c>
    </row>
    <row r="81" spans="1:14">
      <c r="A81" s="2"/>
      <c r="C81" t="s">
        <v>47</v>
      </c>
      <c r="F81">
        <f>VLOOKUP(TablaPegaso[[#This Row],[Equipo]],Catalogos!$V$4:$W$85,2,FALSE)</f>
      </c>
      <c r="G81" s="3"/>
      <c r="H81" s="3"/>
      <c r="I81" s="3">
        <f t="shared" si="5"/>
      </c>
      <c r="J81" s="4">
        <v>28.3</v>
      </c>
      <c r="K81" s="4">
        <f t="shared" si="6"/>
      </c>
      <c r="M81">
        <f t="shared" si="4"/>
      </c>
      <c r="N81">
        <f>IF(A81="","", "CP-" &amp; IFERROR(VLOOKUP(D81, Catalogos!$Z$4:$AA$20, 2, FALSE), "FOL") &amp; "-" &amp; WEEKNUM(A81,2) &amp; "-" &amp; TEXT(ROW(A77),"000"))</f>
      </c>
    </row>
    <row r="82" spans="1:14">
      <c r="A82" s="2"/>
      <c r="C82" t="s">
        <v>47</v>
      </c>
      <c r="F82">
        <f>VLOOKUP(TablaPegaso[[#This Row],[Equipo]],Catalogos!$V$4:$W$85,2,FALSE)</f>
      </c>
      <c r="G82" s="3"/>
      <c r="H82" s="3"/>
      <c r="I82" s="3">
        <f t="shared" si="5"/>
      </c>
      <c r="J82" s="4">
        <v>28.3</v>
      </c>
      <c r="K82" s="4">
        <f t="shared" si="6"/>
      </c>
      <c r="M82">
        <f t="shared" si="4"/>
      </c>
      <c r="N82">
        <f>IF(A82="","", "CP-" &amp; IFERROR(VLOOKUP(D82, Catalogos!$Z$4:$AA$20, 2, FALSE), "FOL") &amp; "-" &amp; WEEKNUM(A82,2) &amp; "-" &amp; TEXT(ROW(A78),"000"))</f>
      </c>
    </row>
    <row r="83" spans="1:14">
      <c r="A83" s="2"/>
      <c r="C83" t="s">
        <v>47</v>
      </c>
      <c r="F83">
        <f>VLOOKUP(TablaPegaso[[#This Row],[Equipo]],Catalogos!$V$4:$W$85,2,FALSE)</f>
      </c>
      <c r="G83" s="3"/>
      <c r="H83" s="3"/>
      <c r="I83" s="3">
        <f t="shared" si="5"/>
      </c>
      <c r="J83" s="4">
        <v>28.3</v>
      </c>
      <c r="K83" s="4">
        <f t="shared" si="6"/>
      </c>
      <c r="M83">
        <f t="shared" si="4"/>
      </c>
      <c r="N83">
        <f>IF(A83="","", "CP-" &amp; IFERROR(VLOOKUP(D83, Catalogos!$Z$4:$AA$20, 2, FALSE), "FOL") &amp; "-" &amp; WEEKNUM(A83,2) &amp; "-" &amp; TEXT(ROW(A79),"000"))</f>
      </c>
    </row>
    <row r="84" spans="1:14">
      <c r="A84" s="2"/>
      <c r="C84" t="s">
        <v>47</v>
      </c>
      <c r="F84">
        <f>VLOOKUP(TablaPegaso[[#This Row],[Equipo]],Catalogos!$V$4:$W$85,2,FALSE)</f>
      </c>
      <c r="G84" s="3"/>
      <c r="H84" s="3"/>
      <c r="I84" s="3">
        <f t="shared" si="5"/>
      </c>
      <c r="J84" s="4">
        <v>28.3</v>
      </c>
      <c r="K84" s="4">
        <f t="shared" si="6"/>
      </c>
      <c r="M84">
        <f t="shared" si="4"/>
      </c>
      <c r="N84">
        <f>IF(A84="","", "CP-" &amp; IFERROR(VLOOKUP(D84, Catalogos!$Z$4:$AA$20, 2, FALSE), "FOL") &amp; "-" &amp; WEEKNUM(A84,2) &amp; "-" &amp; TEXT(ROW(A80),"000"))</f>
      </c>
    </row>
    <row r="85" spans="1:14">
      <c r="A85" s="2"/>
      <c r="C85" t="s">
        <v>47</v>
      </c>
      <c r="F85">
        <f>VLOOKUP(TablaPegaso[[#This Row],[Equipo]],Catalogos!$V$4:$W$85,2,FALSE)</f>
      </c>
      <c r="G85" s="3"/>
      <c r="H85" s="3"/>
      <c r="I85" s="3">
        <f t="shared" si="5"/>
      </c>
      <c r="J85" s="4">
        <v>28.3</v>
      </c>
      <c r="K85" s="4">
        <f t="shared" si="6"/>
      </c>
      <c r="M85">
        <f t="shared" si="4"/>
      </c>
      <c r="N85">
        <f>IF(A85="","", "CP-" &amp; IFERROR(VLOOKUP(D85, Catalogos!$Z$4:$AA$20, 2, FALSE), "FOL") &amp; "-" &amp; WEEKNUM(A85,2) &amp; "-" &amp; TEXT(ROW(A81),"000"))</f>
      </c>
    </row>
    <row r="86" spans="1:14">
      <c r="A86" s="2"/>
      <c r="C86" t="s">
        <v>47</v>
      </c>
      <c r="F86">
        <f>VLOOKUP(TablaPegaso[[#This Row],[Equipo]],Catalogos!$V$4:$W$85,2,FALSE)</f>
      </c>
      <c r="G86" s="3"/>
      <c r="H86" s="3"/>
      <c r="I86" s="3">
        <f t="shared" si="5"/>
      </c>
      <c r="J86" s="4">
        <v>28.3</v>
      </c>
      <c r="K86" s="4">
        <f t="shared" si="6"/>
      </c>
      <c r="M86">
        <f t="shared" si="4"/>
      </c>
      <c r="N86">
        <f>IF(A86="","", "CP-" &amp; IFERROR(VLOOKUP(D86, Catalogos!$Z$4:$AA$20, 2, FALSE), "FOL") &amp; "-" &amp; WEEKNUM(A86,2) &amp; "-" &amp; TEXT(ROW(A82),"000"))</f>
      </c>
    </row>
    <row r="87" spans="1:14">
      <c r="A87" s="2"/>
      <c r="C87" t="s">
        <v>47</v>
      </c>
      <c r="F87">
        <f>VLOOKUP(TablaPegaso[[#This Row],[Equipo]],Catalogos!$V$4:$W$85,2,FALSE)</f>
      </c>
      <c r="G87" s="3"/>
      <c r="H87" s="3"/>
      <c r="I87" s="3">
        <f t="shared" si="5"/>
      </c>
      <c r="J87" s="4">
        <v>28.3</v>
      </c>
      <c r="K87" s="4">
        <f t="shared" si="6"/>
      </c>
      <c r="M87">
        <f t="shared" si="4"/>
      </c>
      <c r="N87">
        <f>IF(A87="","", "CP-" &amp; IFERROR(VLOOKUP(D87, Catalogos!$Z$4:$AA$20, 2, FALSE), "FOL") &amp; "-" &amp; WEEKNUM(A87,2) &amp; "-" &amp; TEXT(ROW(A83),"000"))</f>
      </c>
    </row>
    <row r="88" spans="1:14">
      <c r="A88" s="2"/>
      <c r="C88" t="s">
        <v>47</v>
      </c>
      <c r="F88">
        <f>VLOOKUP(TablaPegaso[[#This Row],[Equipo]],Catalogos!$V$4:$W$85,2,FALSE)</f>
      </c>
      <c r="G88" s="3"/>
      <c r="H88" s="3"/>
      <c r="I88" s="3">
        <f t="shared" si="5"/>
      </c>
      <c r="J88" s="4">
        <v>28.3</v>
      </c>
      <c r="K88" s="4">
        <f t="shared" si="6"/>
      </c>
      <c r="M88">
        <f t="shared" si="4"/>
      </c>
      <c r="N88">
        <f>IF(A88="","", "CP-" &amp; IFERROR(VLOOKUP(D88, Catalogos!$Z$4:$AA$20, 2, FALSE), "FOL") &amp; "-" &amp; WEEKNUM(A88,2) &amp; "-" &amp; TEXT(ROW(A84),"000"))</f>
      </c>
    </row>
    <row r="89" spans="1:14">
      <c r="A89" s="2"/>
      <c r="C89" t="s">
        <v>47</v>
      </c>
      <c r="F89">
        <f>VLOOKUP(TablaPegaso[[#This Row],[Equipo]],Catalogos!$V$4:$W$85,2,FALSE)</f>
      </c>
      <c r="G89" s="3"/>
      <c r="H89" s="3"/>
      <c r="I89" s="3">
        <f t="shared" si="5"/>
      </c>
      <c r="J89" s="4">
        <v>28.3</v>
      </c>
      <c r="K89" s="4">
        <f t="shared" si="6"/>
      </c>
      <c r="M89">
        <f t="shared" si="4"/>
      </c>
      <c r="N89">
        <f>IF(A89="","", "CP-" &amp; IFERROR(VLOOKUP(D89, Catalogos!$Z$4:$AA$20, 2, FALSE), "FOL") &amp; "-" &amp; WEEKNUM(A89,2) &amp; "-" &amp; TEXT(ROW(A85),"000"))</f>
      </c>
    </row>
    <row r="90" spans="1:14">
      <c r="A90" s="2"/>
      <c r="C90" t="s">
        <v>47</v>
      </c>
      <c r="F90">
        <f>VLOOKUP(TablaPegaso[[#This Row],[Equipo]],Catalogos!$V$4:$W$85,2,FALSE)</f>
      </c>
      <c r="G90" s="3"/>
      <c r="H90" s="3"/>
      <c r="I90" s="3">
        <f t="shared" si="5"/>
      </c>
      <c r="J90" s="4">
        <v>28.3</v>
      </c>
      <c r="K90" s="4">
        <f t="shared" si="6"/>
      </c>
      <c r="M90">
        <f t="shared" si="4"/>
      </c>
      <c r="N90">
        <f>IF(A90="","", "CP-" &amp; IFERROR(VLOOKUP(D90, Catalogos!$Z$4:$AA$20, 2, FALSE), "FOL") &amp; "-" &amp; WEEKNUM(A90,2) &amp; "-" &amp; TEXT(ROW(A86),"000"))</f>
      </c>
    </row>
    <row r="91" spans="1:14">
      <c r="A91" s="2"/>
      <c r="C91" t="s">
        <v>47</v>
      </c>
      <c r="F91">
        <f>VLOOKUP(TablaPegaso[[#This Row],[Equipo]],Catalogos!$V$4:$W$85,2,FALSE)</f>
      </c>
      <c r="G91" s="3"/>
      <c r="H91" s="3"/>
      <c r="I91" s="3">
        <f t="shared" si="5"/>
      </c>
      <c r="J91" s="4">
        <v>28.3</v>
      </c>
      <c r="K91" s="4">
        <f t="shared" si="6"/>
      </c>
      <c r="M91">
        <f t="shared" si="4"/>
      </c>
      <c r="N91">
        <f>IF(A91="","", "CP-" &amp; IFERROR(VLOOKUP(D91, Catalogos!$Z$4:$AA$20, 2, FALSE), "FOL") &amp; "-" &amp; WEEKNUM(A91,2) &amp; "-" &amp; TEXT(ROW(A87),"000"))</f>
      </c>
    </row>
    <row r="92" spans="1:14">
      <c r="A92" s="2"/>
      <c r="C92" t="s">
        <v>47</v>
      </c>
      <c r="F92">
        <f>VLOOKUP(TablaPegaso[[#This Row],[Equipo]],Catalogos!$V$4:$W$85,2,FALSE)</f>
      </c>
      <c r="G92" s="3"/>
      <c r="H92" s="3"/>
      <c r="I92" s="3">
        <f t="shared" si="5"/>
      </c>
      <c r="J92" s="4">
        <v>28.3</v>
      </c>
      <c r="K92" s="4">
        <f t="shared" si="6"/>
      </c>
      <c r="M92">
        <f t="shared" si="4"/>
      </c>
      <c r="N92">
        <f>IF(A92="","", "CP-" &amp; IFERROR(VLOOKUP(D92, Catalogos!$Z$4:$AA$20, 2, FALSE), "FOL") &amp; "-" &amp; WEEKNUM(A92,2) &amp; "-" &amp; TEXT(ROW(A88),"000"))</f>
      </c>
    </row>
    <row r="93" spans="1:14">
      <c r="A93" s="2"/>
      <c r="C93" t="s">
        <v>47</v>
      </c>
      <c r="F93">
        <f>VLOOKUP(TablaPegaso[[#This Row],[Equipo]],Catalogos!$V$4:$W$85,2,FALSE)</f>
      </c>
      <c r="G93" s="3"/>
      <c r="H93" s="3"/>
      <c r="I93" s="3">
        <f t="shared" si="5"/>
      </c>
      <c r="J93" s="4">
        <v>28.3</v>
      </c>
      <c r="K93" s="4">
        <f t="shared" si="6"/>
      </c>
      <c r="M93">
        <f t="shared" si="4"/>
      </c>
      <c r="N93">
        <f>IF(A93="","", "CP-" &amp; IFERROR(VLOOKUP(D93, Catalogos!$Z$4:$AA$20, 2, FALSE), "FOL") &amp; "-" &amp; WEEKNUM(A93,2) &amp; "-" &amp; TEXT(ROW(A89),"000"))</f>
      </c>
    </row>
    <row r="94" spans="1:14">
      <c r="A94" s="2"/>
      <c r="C94" t="s">
        <v>47</v>
      </c>
      <c r="F94">
        <f>VLOOKUP(TablaPegaso[[#This Row],[Equipo]],Catalogos!$V$4:$W$85,2,FALSE)</f>
      </c>
      <c r="G94" s="3"/>
      <c r="H94" s="3"/>
      <c r="I94" s="3">
        <f t="shared" si="5"/>
      </c>
      <c r="J94" s="4">
        <v>28.3</v>
      </c>
      <c r="K94" s="4">
        <f t="shared" si="6"/>
      </c>
      <c r="M94">
        <f t="shared" si="4"/>
      </c>
      <c r="N94">
        <f>IF(A94="","", "CP-" &amp; IFERROR(VLOOKUP(D94, Catalogos!$Z$4:$AA$20, 2, FALSE), "FOL") &amp; "-" &amp; WEEKNUM(A94,2) &amp; "-" &amp; TEXT(ROW(A90),"000"))</f>
      </c>
    </row>
    <row r="95" spans="1:14">
      <c r="A95" s="2"/>
      <c r="C95" t="s">
        <v>47</v>
      </c>
      <c r="F95">
        <f>VLOOKUP(TablaPegaso[[#This Row],[Equipo]],Catalogos!$V$4:$W$85,2,FALSE)</f>
      </c>
      <c r="G95" s="3"/>
      <c r="H95" s="3"/>
      <c r="I95" s="3">
        <f t="shared" si="5"/>
      </c>
      <c r="J95" s="4">
        <v>28.3</v>
      </c>
      <c r="K95" s="4">
        <f t="shared" si="6"/>
      </c>
      <c r="M95">
        <f t="shared" si="4"/>
      </c>
      <c r="N95">
        <f>IF(A95="","", "CP-" &amp; IFERROR(VLOOKUP(D95, Catalogos!$Z$4:$AA$20, 2, FALSE), "FOL") &amp; "-" &amp; WEEKNUM(A95,2) &amp; "-" &amp; TEXT(ROW(A91),"000"))</f>
      </c>
    </row>
    <row r="96" spans="1:14">
      <c r="A96" s="2"/>
      <c r="C96" t="s">
        <v>47</v>
      </c>
      <c r="F96">
        <f>VLOOKUP(TablaPegaso[[#This Row],[Equipo]],Catalogos!$V$4:$W$85,2,FALSE)</f>
      </c>
      <c r="G96" s="3"/>
      <c r="H96" s="3"/>
      <c r="I96" s="3">
        <f t="shared" si="5"/>
      </c>
      <c r="J96" s="4">
        <v>28.3</v>
      </c>
      <c r="K96" s="4">
        <f t="shared" si="6"/>
      </c>
      <c r="M96">
        <f t="shared" si="4"/>
      </c>
      <c r="N96">
        <f>IF(A96="","", "CP-" &amp; IFERROR(VLOOKUP(D96, Catalogos!$Z$4:$AA$20, 2, FALSE), "FOL") &amp; "-" &amp; WEEKNUM(A96,2) &amp; "-" &amp; TEXT(ROW(A92),"000"))</f>
      </c>
    </row>
    <row r="97" spans="1:14">
      <c r="A97" s="2"/>
      <c r="C97" t="s">
        <v>47</v>
      </c>
      <c r="F97">
        <f>VLOOKUP(TablaPegaso[[#This Row],[Equipo]],Catalogos!$V$4:$W$85,2,FALSE)</f>
      </c>
      <c r="G97" s="3"/>
      <c r="H97" s="3"/>
      <c r="I97" s="3">
        <f t="shared" si="5"/>
      </c>
      <c r="J97" s="4">
        <v>28.3</v>
      </c>
      <c r="K97" s="4">
        <f t="shared" si="6"/>
      </c>
      <c r="M97">
        <f t="shared" si="4"/>
      </c>
      <c r="N97">
        <f>IF(A97="","", "CP-" &amp; IFERROR(VLOOKUP(D97, Catalogos!$Z$4:$AA$20, 2, FALSE), "FOL") &amp; "-" &amp; WEEKNUM(A97,2) &amp; "-" &amp; TEXT(ROW(A93),"000"))</f>
      </c>
    </row>
    <row r="98" spans="1:14">
      <c r="A98" s="2"/>
      <c r="C98" t="s">
        <v>47</v>
      </c>
      <c r="F98">
        <f>VLOOKUP(TablaPegaso[[#This Row],[Equipo]],Catalogos!$V$4:$W$85,2,FALSE)</f>
      </c>
      <c r="G98" s="3"/>
      <c r="H98" s="3"/>
      <c r="I98" s="3">
        <f t="shared" si="5"/>
      </c>
      <c r="J98" s="4">
        <v>28.3</v>
      </c>
      <c r="K98" s="4">
        <f t="shared" si="6"/>
      </c>
      <c r="M98">
        <f t="shared" si="4"/>
      </c>
      <c r="N98">
        <f>IF(A98="","", "CP-" &amp; IFERROR(VLOOKUP(D98, Catalogos!$Z$4:$AA$20, 2, FALSE), "FOL") &amp; "-" &amp; WEEKNUM(A98,2) &amp; "-" &amp; TEXT(ROW(A94),"000"))</f>
      </c>
    </row>
    <row r="99" spans="1:14">
      <c r="A99" s="2"/>
      <c r="C99" t="s">
        <v>47</v>
      </c>
      <c r="F99">
        <f>VLOOKUP(TablaPegaso[[#This Row],[Equipo]],Catalogos!$V$4:$W$85,2,FALSE)</f>
      </c>
      <c r="G99" s="3"/>
      <c r="H99" s="3"/>
      <c r="I99" s="3">
        <f t="shared" si="5"/>
      </c>
      <c r="J99" s="4">
        <v>28.3</v>
      </c>
      <c r="K99" s="4">
        <f t="shared" si="6"/>
      </c>
      <c r="M99">
        <f t="shared" si="4"/>
      </c>
      <c r="N99">
        <f>IF(A99="","", "CP-" &amp; IFERROR(VLOOKUP(D99, Catalogos!$Z$4:$AA$20, 2, FALSE), "FOL") &amp; "-" &amp; WEEKNUM(A99,2) &amp; "-" &amp; TEXT(ROW(A95),"000"))</f>
      </c>
    </row>
    <row r="100" spans="1:14">
      <c r="A100" s="2"/>
      <c r="C100" t="s">
        <v>47</v>
      </c>
      <c r="F100">
        <f>VLOOKUP(TablaPegaso[[#This Row],[Equipo]],Catalogos!$V$4:$W$85,2,FALSE)</f>
      </c>
      <c r="G100" s="3"/>
      <c r="H100" s="3"/>
      <c r="I100" s="3">
        <f t="shared" si="5"/>
      </c>
      <c r="J100" s="4">
        <v>28.3</v>
      </c>
      <c r="K100" s="4">
        <f t="shared" si="6"/>
      </c>
      <c r="M100">
        <f t="shared" si="4"/>
      </c>
      <c r="N100">
        <f>IF(A100="","", "CP-" &amp; IFERROR(VLOOKUP(D100, Catalogos!$Z$4:$AA$20, 2, FALSE), "FOL") &amp; "-" &amp; WEEKNUM(A100,2) &amp; "-" &amp; TEXT(ROW(A96),"000"))</f>
      </c>
    </row>
    <row r="101" spans="1:14">
      <c r="A101" s="2"/>
      <c r="C101" t="s">
        <v>47</v>
      </c>
      <c r="F101">
        <f>VLOOKUP(TablaPegaso[[#This Row],[Equipo]],Catalogos!$V$4:$W$85,2,FALSE)</f>
      </c>
      <c r="G101" s="3"/>
      <c r="H101" s="3"/>
      <c r="I101" s="3">
        <f t="shared" si="5"/>
      </c>
      <c r="J101" s="4">
        <v>28.3</v>
      </c>
      <c r="K101" s="4">
        <f t="shared" si="6"/>
      </c>
      <c r="M101">
        <f t="shared" si="4"/>
      </c>
      <c r="N101">
        <f>IF(A101="","", "CP-" &amp; IFERROR(VLOOKUP(D101, Catalogos!$Z$4:$AA$20, 2, FALSE), "FOL") &amp; "-" &amp; WEEKNUM(A101,2) &amp; "-" &amp; TEXT(ROW(A97),"000"))</f>
      </c>
    </row>
    <row r="102" spans="1:14">
      <c r="A102" s="2"/>
      <c r="C102" t="s">
        <v>47</v>
      </c>
      <c r="F102">
        <f>VLOOKUP(TablaPegaso[[#This Row],[Equipo]],Catalogos!$V$4:$W$85,2,FALSE)</f>
      </c>
      <c r="G102" s="3"/>
      <c r="H102" s="3"/>
      <c r="I102" s="3">
        <f t="shared" si="5"/>
      </c>
      <c r="J102" s="4">
        <v>28.3</v>
      </c>
      <c r="K102" s="4">
        <f t="shared" si="6"/>
      </c>
      <c r="M102">
        <f t="shared" si="4"/>
      </c>
      <c r="N102">
        <f>IF(A102="","", "CP-" &amp; IFERROR(VLOOKUP(D102, Catalogos!$Z$4:$AA$20, 2, FALSE), "FOL") &amp; "-" &amp; WEEKNUM(A102,2) &amp; "-" &amp; TEXT(ROW(A98),"000"))</f>
      </c>
    </row>
    <row r="103" spans="1:14">
      <c r="A103" s="2"/>
      <c r="C103" t="s">
        <v>47</v>
      </c>
      <c r="F103">
        <f>VLOOKUP(TablaPegaso[[#This Row],[Equipo]],Catalogos!$V$4:$W$85,2,FALSE)</f>
      </c>
      <c r="G103" s="3"/>
      <c r="H103" s="3"/>
      <c r="I103" s="3">
        <f t="shared" si="5"/>
      </c>
      <c r="J103" s="4">
        <v>28.3</v>
      </c>
      <c r="K103" s="4">
        <f t="shared" si="6"/>
      </c>
      <c r="M103">
        <f t="shared" si="4"/>
      </c>
      <c r="N103">
        <f>IF(A103="","", "CP-" &amp; IFERROR(VLOOKUP(D103, Catalogos!$Z$4:$AA$20, 2, FALSE), "FOL") &amp; "-" &amp; WEEKNUM(A103,2) &amp; "-" &amp; TEXT(ROW(A99),"000"))</f>
      </c>
    </row>
    <row r="104" spans="1:14">
      <c r="A104" s="2"/>
      <c r="C104" t="s">
        <v>47</v>
      </c>
      <c r="F104">
        <f>VLOOKUP(TablaPegaso[[#This Row],[Equipo]],Catalogos!$V$4:$W$85,2,FALSE)</f>
      </c>
      <c r="G104" s="3"/>
      <c r="H104" s="3"/>
      <c r="I104" s="3">
        <f t="shared" si="5"/>
      </c>
      <c r="J104" s="4">
        <v>28.3</v>
      </c>
      <c r="K104" s="4">
        <f t="shared" si="6"/>
      </c>
      <c r="M104">
        <f t="shared" si="4"/>
      </c>
      <c r="N104">
        <f>IF(A104="","", "CP-" &amp; IFERROR(VLOOKUP(D104, Catalogos!$Z$4:$AA$20, 2, FALSE), "FOL") &amp; "-" &amp; WEEKNUM(A104,2) &amp; "-" &amp; TEXT(ROW(A100),"000"))</f>
      </c>
    </row>
    <row r="105" spans="1:14">
      <c r="A105" s="2"/>
      <c r="C105" t="s">
        <v>47</v>
      </c>
      <c r="F105">
        <f>VLOOKUP(TablaPegaso[[#This Row],[Equipo]],Catalogos!$V$4:$W$85,2,FALSE)</f>
      </c>
      <c r="G105" s="3"/>
      <c r="H105" s="3"/>
      <c r="I105" s="3">
        <f t="shared" si="5"/>
      </c>
      <c r="J105" s="4">
        <v>28.3</v>
      </c>
      <c r="K105" s="4">
        <f t="shared" ref="K105:K136" si="7">IFERROR((G105+H105)*J105,0)</f>
      </c>
      <c r="M105">
        <f t="shared" si="4"/>
      </c>
      <c r="N105">
        <f>IF(A105="","", "CP-" &amp; IFERROR(VLOOKUP(D105, Catalogos!$Z$4:$AA$20, 2, FALSE), "FOL") &amp; "-" &amp; WEEKNUM(A105,2) &amp; "-" &amp; TEXT(ROW(A101),"000"))</f>
      </c>
    </row>
    <row r="106" spans="1:14">
      <c r="A106" s="2"/>
      <c r="C106" t="s">
        <v>47</v>
      </c>
      <c r="F106">
        <f>VLOOKUP(TablaPegaso[[#This Row],[Equipo]],Catalogos!$V$4:$W$85,2,FALSE)</f>
      </c>
      <c r="G106" s="3"/>
      <c r="H106" s="3"/>
      <c r="I106" s="3">
        <f t="shared" si="5"/>
      </c>
      <c r="J106" s="4">
        <v>28.3</v>
      </c>
      <c r="K106" s="4">
        <f t="shared" si="7"/>
      </c>
      <c r="M106">
        <f t="shared" si="4"/>
      </c>
      <c r="N106">
        <f>IF(A106="","", "CP-" &amp; IFERROR(VLOOKUP(D106, Catalogos!$Z$4:$AA$20, 2, FALSE), "FOL") &amp; "-" &amp; WEEKNUM(A106,2) &amp; "-" &amp; TEXT(ROW(A102),"000"))</f>
      </c>
    </row>
    <row r="107" spans="1:14">
      <c r="A107" s="2"/>
      <c r="C107" t="s">
        <v>47</v>
      </c>
      <c r="F107">
        <f>VLOOKUP(TablaPegaso[[#This Row],[Equipo]],Catalogos!$V$4:$W$85,2,FALSE)</f>
      </c>
      <c r="G107" s="3"/>
      <c r="H107" s="3"/>
      <c r="I107" s="3">
        <f t="shared" si="5"/>
      </c>
      <c r="J107" s="4">
        <v>28.3</v>
      </c>
      <c r="K107" s="4">
        <f t="shared" si="7"/>
      </c>
      <c r="M107">
        <f t="shared" si="4"/>
      </c>
      <c r="N107">
        <f>IF(A107="","", "CP-" &amp; IFERROR(VLOOKUP(D107, Catalogos!$Z$4:$AA$20, 2, FALSE), "FOL") &amp; "-" &amp; WEEKNUM(A107,2) &amp; "-" &amp; TEXT(ROW(A103),"000"))</f>
      </c>
    </row>
    <row r="108" spans="1:14">
      <c r="A108" s="2"/>
      <c r="C108" t="s">
        <v>47</v>
      </c>
      <c r="F108">
        <f>VLOOKUP(TablaPegaso[[#This Row],[Equipo]],Catalogos!$V$4:$W$85,2,FALSE)</f>
      </c>
      <c r="G108" s="3"/>
      <c r="H108" s="3"/>
      <c r="I108" s="3">
        <f t="shared" si="5"/>
      </c>
      <c r="J108" s="4">
        <v>28.3</v>
      </c>
      <c r="K108" s="4">
        <f t="shared" si="7"/>
      </c>
      <c r="M108">
        <f t="shared" si="4"/>
      </c>
      <c r="N108">
        <f>IF(A108="","", "CP-" &amp; IFERROR(VLOOKUP(D108, Catalogos!$Z$4:$AA$20, 2, FALSE), "FOL") &amp; "-" &amp; WEEKNUM(A108,2) &amp; "-" &amp; TEXT(ROW(A104),"000"))</f>
      </c>
    </row>
    <row r="109" spans="1:14">
      <c r="A109" s="2"/>
      <c r="C109" t="s">
        <v>47</v>
      </c>
      <c r="F109">
        <f>VLOOKUP(TablaPegaso[[#This Row],[Equipo]],Catalogos!$V$4:$W$85,2,FALSE)</f>
      </c>
      <c r="G109" s="3"/>
      <c r="H109" s="3"/>
      <c r="I109" s="3">
        <f t="shared" si="5"/>
      </c>
      <c r="J109" s="4">
        <v>28.3</v>
      </c>
      <c r="K109" s="4">
        <f t="shared" si="7"/>
      </c>
      <c r="M109">
        <f t="shared" si="4"/>
      </c>
      <c r="N109">
        <f>IF(A109="","", "CP-" &amp; IFERROR(VLOOKUP(D109, Catalogos!$Z$4:$AA$20, 2, FALSE), "FOL") &amp; "-" &amp; WEEKNUM(A109,2) &amp; "-" &amp; TEXT(ROW(A105),"000"))</f>
      </c>
    </row>
    <row r="110" spans="1:14">
      <c r="A110" s="2"/>
      <c r="C110" t="s">
        <v>47</v>
      </c>
      <c r="F110">
        <f>VLOOKUP(TablaPegaso[[#This Row],[Equipo]],Catalogos!$V$4:$W$85,2,FALSE)</f>
      </c>
      <c r="G110" s="3"/>
      <c r="H110" s="3"/>
      <c r="I110" s="3">
        <f t="shared" si="5"/>
      </c>
      <c r="J110" s="4">
        <v>28.3</v>
      </c>
      <c r="K110" s="4">
        <f t="shared" si="7"/>
      </c>
      <c r="M110">
        <f t="shared" si="4"/>
      </c>
      <c r="N110">
        <f>IF(A110="","", "CP-" &amp; IFERROR(VLOOKUP(D110, Catalogos!$Z$4:$AA$20, 2, FALSE), "FOL") &amp; "-" &amp; WEEKNUM(A110,2) &amp; "-" &amp; TEXT(ROW(A106),"000"))</f>
      </c>
    </row>
    <row r="111" spans="1:14">
      <c r="A111" s="2"/>
      <c r="C111" t="s">
        <v>47</v>
      </c>
      <c r="F111">
        <f>VLOOKUP(TablaPegaso[[#This Row],[Equipo]],Catalogos!$V$4:$W$85,2,FALSE)</f>
      </c>
      <c r="G111" s="3"/>
      <c r="H111" s="3"/>
      <c r="I111" s="3">
        <f t="shared" si="5"/>
      </c>
      <c r="J111" s="4">
        <v>28.3</v>
      </c>
      <c r="K111" s="4">
        <f t="shared" si="7"/>
      </c>
      <c r="M111">
        <f t="shared" si="4"/>
      </c>
      <c r="N111">
        <f>IF(A111="","", "CP-" &amp; IFERROR(VLOOKUP(D111, Catalogos!$Z$4:$AA$20, 2, FALSE), "FOL") &amp; "-" &amp; WEEKNUM(A111,2) &amp; "-" &amp; TEXT(ROW(A107),"000"))</f>
      </c>
    </row>
    <row r="112" spans="1:14">
      <c r="A112" s="2"/>
      <c r="C112" t="s">
        <v>47</v>
      </c>
      <c r="F112">
        <f>VLOOKUP(TablaPegaso[[#This Row],[Equipo]],Catalogos!$V$4:$W$85,2,FALSE)</f>
      </c>
      <c r="G112" s="3"/>
      <c r="H112" s="3"/>
      <c r="I112" s="3">
        <f t="shared" si="5"/>
      </c>
      <c r="J112" s="4">
        <v>28.3</v>
      </c>
      <c r="K112" s="4">
        <f t="shared" si="7"/>
      </c>
      <c r="M112">
        <f t="shared" si="4"/>
      </c>
      <c r="N112">
        <f>IF(A112="","", "CP-" &amp; IFERROR(VLOOKUP(D112, Catalogos!$Z$4:$AA$20, 2, FALSE), "FOL") &amp; "-" &amp; WEEKNUM(A112,2) &amp; "-" &amp; TEXT(ROW(A108),"000"))</f>
      </c>
    </row>
    <row r="113" spans="1:14">
      <c r="A113" s="2"/>
      <c r="C113" t="s">
        <v>47</v>
      </c>
      <c r="F113">
        <f>VLOOKUP(TablaPegaso[[#This Row],[Equipo]],Catalogos!$V$4:$W$85,2,FALSE)</f>
      </c>
      <c r="G113" s="3"/>
      <c r="H113" s="3"/>
      <c r="I113" s="3">
        <f t="shared" si="5"/>
      </c>
      <c r="J113" s="4">
        <v>28.3</v>
      </c>
      <c r="K113" s="4">
        <f t="shared" si="7"/>
      </c>
      <c r="M113">
        <f t="shared" si="4"/>
      </c>
      <c r="N113">
        <f>IF(A113="","", "CP-" &amp; IFERROR(VLOOKUP(D113, Catalogos!$Z$4:$AA$20, 2, FALSE), "FOL") &amp; "-" &amp; WEEKNUM(A113,2) &amp; "-" &amp; TEXT(ROW(A109),"000"))</f>
      </c>
    </row>
    <row r="114" spans="1:14">
      <c r="A114" s="2"/>
      <c r="C114" t="s">
        <v>47</v>
      </c>
      <c r="F114">
        <f>VLOOKUP(TablaPegaso[[#This Row],[Equipo]],Catalogos!$V$4:$W$85,2,FALSE)</f>
      </c>
      <c r="G114" s="3"/>
      <c r="H114" s="3"/>
      <c r="I114" s="3">
        <f t="shared" si="5"/>
      </c>
      <c r="J114" s="4">
        <v>28.3</v>
      </c>
      <c r="K114" s="4">
        <f t="shared" si="7"/>
      </c>
      <c r="M114">
        <f t="shared" si="4"/>
      </c>
      <c r="N114">
        <f>IF(A114="","", "CP-" &amp; IFERROR(VLOOKUP(D114, Catalogos!$Z$4:$AA$20, 2, FALSE), "FOL") &amp; "-" &amp; WEEKNUM(A114,2) &amp; "-" &amp; TEXT(ROW(A110),"000"))</f>
      </c>
    </row>
    <row r="115" spans="1:14">
      <c r="A115" s="2"/>
      <c r="C115" t="s">
        <v>47</v>
      </c>
      <c r="F115">
        <f>VLOOKUP(TablaPegaso[[#This Row],[Equipo]],Catalogos!$V$4:$W$85,2,FALSE)</f>
      </c>
      <c r="G115" s="3"/>
      <c r="H115" s="3"/>
      <c r="I115" s="3">
        <f t="shared" si="5"/>
      </c>
      <c r="J115" s="4">
        <v>28.3</v>
      </c>
      <c r="K115" s="4">
        <f t="shared" si="7"/>
      </c>
      <c r="M115">
        <f t="shared" si="4"/>
      </c>
      <c r="N115">
        <f>IF(A115="","", "CP-" &amp; IFERROR(VLOOKUP(D115, Catalogos!$Z$4:$AA$20, 2, FALSE), "FOL") &amp; "-" &amp; WEEKNUM(A115,2) &amp; "-" &amp; TEXT(ROW(A111),"000"))</f>
      </c>
    </row>
    <row r="116" spans="1:14">
      <c r="A116" s="2"/>
      <c r="C116" t="s">
        <v>47</v>
      </c>
      <c r="F116">
        <f>VLOOKUP(TablaPegaso[[#This Row],[Equipo]],Catalogos!$V$4:$W$85,2,FALSE)</f>
      </c>
      <c r="G116" s="3"/>
      <c r="H116" s="3"/>
      <c r="I116" s="3">
        <f t="shared" si="5"/>
      </c>
      <c r="J116" s="4">
        <v>28.3</v>
      </c>
      <c r="K116" s="4">
        <f t="shared" si="7"/>
      </c>
      <c r="M116">
        <f t="shared" si="4"/>
      </c>
      <c r="N116">
        <f>IF(A116="","", "CP-" &amp; IFERROR(VLOOKUP(D116, Catalogos!$Z$4:$AA$20, 2, FALSE), "FOL") &amp; "-" &amp; WEEKNUM(A116,2) &amp; "-" &amp; TEXT(ROW(A112),"000"))</f>
      </c>
    </row>
    <row r="117" spans="1:14">
      <c r="A117" s="2"/>
      <c r="C117" t="s">
        <v>47</v>
      </c>
      <c r="F117">
        <f>VLOOKUP(TablaPegaso[[#This Row],[Equipo]],Catalogos!$V$4:$W$85,2,FALSE)</f>
      </c>
      <c r="G117" s="3"/>
      <c r="H117" s="3"/>
      <c r="I117" s="3">
        <f t="shared" si="5"/>
      </c>
      <c r="J117" s="4">
        <v>28.3</v>
      </c>
      <c r="K117" s="4">
        <f t="shared" si="7"/>
      </c>
      <c r="M117">
        <f t="shared" si="4"/>
      </c>
      <c r="N117">
        <f>IF(A117="","", "CP-" &amp; IFERROR(VLOOKUP(D117, Catalogos!$Z$4:$AA$20, 2, FALSE), "FOL") &amp; "-" &amp; WEEKNUM(A117,2) &amp; "-" &amp; TEXT(ROW(A113),"000"))</f>
      </c>
    </row>
    <row r="118" spans="1:14">
      <c r="A118" s="2"/>
      <c r="C118" t="s">
        <v>47</v>
      </c>
      <c r="F118">
        <f>VLOOKUP(TablaPegaso[[#This Row],[Equipo]],Catalogos!$V$4:$W$85,2,FALSE)</f>
      </c>
      <c r="G118" s="3"/>
      <c r="H118" s="3"/>
      <c r="I118" s="3">
        <f t="shared" si="5"/>
      </c>
      <c r="J118" s="4">
        <v>28.3</v>
      </c>
      <c r="K118" s="4">
        <f t="shared" si="7"/>
      </c>
      <c r="M118">
        <f t="shared" si="4"/>
      </c>
      <c r="N118">
        <f>IF(A118="","", "CP-" &amp; IFERROR(VLOOKUP(D118, Catalogos!$Z$4:$AA$20, 2, FALSE), "FOL") &amp; "-" &amp; WEEKNUM(A118,2) &amp; "-" &amp; TEXT(ROW(A114),"000"))</f>
      </c>
    </row>
    <row r="119" spans="1:14">
      <c r="A119" s="2"/>
      <c r="C119" t="s">
        <v>47</v>
      </c>
      <c r="F119">
        <f>VLOOKUP(TablaPegaso[[#This Row],[Equipo]],Catalogos!$V$4:$W$85,2,FALSE)</f>
      </c>
      <c r="G119" s="3"/>
      <c r="H119" s="3"/>
      <c r="I119" s="3">
        <f t="shared" si="5"/>
      </c>
      <c r="J119" s="4">
        <v>28.3</v>
      </c>
      <c r="K119" s="4">
        <f t="shared" si="7"/>
      </c>
      <c r="M119">
        <f t="shared" si="4"/>
      </c>
      <c r="N119">
        <f>IF(A119="","", "CP-" &amp; IFERROR(VLOOKUP(D119, Catalogos!$Z$4:$AA$20, 2, FALSE), "FOL") &amp; "-" &amp; WEEKNUM(A119,2) &amp; "-" &amp; TEXT(ROW(A115),"000"))</f>
      </c>
    </row>
    <row r="120" spans="1:14">
      <c r="A120" s="2"/>
      <c r="C120" t="s">
        <v>47</v>
      </c>
      <c r="F120">
        <f>VLOOKUP(TablaPegaso[[#This Row],[Equipo]],Catalogos!$V$4:$W$85,2,FALSE)</f>
      </c>
      <c r="G120" s="3"/>
      <c r="H120" s="3"/>
      <c r="I120" s="3">
        <f t="shared" si="5"/>
      </c>
      <c r="J120" s="4">
        <v>28.3</v>
      </c>
      <c r="K120" s="4">
        <f t="shared" si="7"/>
      </c>
      <c r="M120">
        <f t="shared" si="4"/>
      </c>
      <c r="N120">
        <f>IF(A120="","", "CP-" &amp; IFERROR(VLOOKUP(D120, Catalogos!$Z$4:$AA$20, 2, FALSE), "FOL") &amp; "-" &amp; WEEKNUM(A120,2) &amp; "-" &amp; TEXT(ROW(A116),"000"))</f>
      </c>
    </row>
    <row r="121" spans="1:14">
      <c r="A121" s="2"/>
      <c r="C121" t="s">
        <v>47</v>
      </c>
      <c r="F121">
        <f>VLOOKUP(TablaPegaso[[#This Row],[Equipo]],Catalogos!$V$4:$W$85,2,FALSE)</f>
      </c>
      <c r="G121" s="3"/>
      <c r="H121" s="3"/>
      <c r="I121" s="3">
        <f t="shared" si="5"/>
      </c>
      <c r="J121" s="4">
        <v>28.3</v>
      </c>
      <c r="K121" s="4">
        <f t="shared" si="7"/>
      </c>
      <c r="M121">
        <f t="shared" si="4"/>
      </c>
      <c r="N121">
        <f>IF(A121="","", "CP-" &amp; IFERROR(VLOOKUP(D121, Catalogos!$Z$4:$AA$20, 2, FALSE), "FOL") &amp; "-" &amp; WEEKNUM(A121,2) &amp; "-" &amp; TEXT(ROW(A117),"000"))</f>
      </c>
    </row>
    <row r="122" spans="1:14">
      <c r="A122" s="2"/>
      <c r="C122" t="s">
        <v>47</v>
      </c>
      <c r="F122">
        <f>VLOOKUP(TablaPegaso[[#This Row],[Equipo]],Catalogos!$V$4:$W$85,2,FALSE)</f>
      </c>
      <c r="G122" s="3"/>
      <c r="H122" s="3"/>
      <c r="I122" s="3">
        <f t="shared" si="5"/>
      </c>
      <c r="J122" s="4">
        <v>28.3</v>
      </c>
      <c r="K122" s="4">
        <f t="shared" si="7"/>
      </c>
      <c r="M122">
        <f t="shared" si="4"/>
      </c>
      <c r="N122">
        <f>IF(A122="","", "CP-" &amp; IFERROR(VLOOKUP(D122, Catalogos!$Z$4:$AA$20, 2, FALSE), "FOL") &amp; "-" &amp; WEEKNUM(A122,2) &amp; "-" &amp; TEXT(ROW(A118),"000"))</f>
      </c>
    </row>
    <row r="123" spans="1:14">
      <c r="A123" s="2"/>
      <c r="C123" t="s">
        <v>47</v>
      </c>
      <c r="F123">
        <f>VLOOKUP(TablaPegaso[[#This Row],[Equipo]],Catalogos!$V$4:$W$85,2,FALSE)</f>
      </c>
      <c r="G123" s="3"/>
      <c r="H123" s="3"/>
      <c r="I123" s="3">
        <f t="shared" si="5"/>
      </c>
      <c r="J123" s="4">
        <v>28.3</v>
      </c>
      <c r="K123" s="4">
        <f t="shared" si="7"/>
      </c>
      <c r="M123">
        <f t="shared" si="4"/>
      </c>
      <c r="N123">
        <f>IF(A123="","", "CP-" &amp; IFERROR(VLOOKUP(D123, Catalogos!$Z$4:$AA$20, 2, FALSE), "FOL") &amp; "-" &amp; WEEKNUM(A123,2) &amp; "-" &amp; TEXT(ROW(A119),"000"))</f>
      </c>
    </row>
    <row r="124" spans="1:14">
      <c r="A124" s="2"/>
      <c r="C124" t="s">
        <v>47</v>
      </c>
      <c r="F124">
        <f>VLOOKUP(TablaPegaso[[#This Row],[Equipo]],Catalogos!$V$4:$W$85,2,FALSE)</f>
      </c>
      <c r="G124" s="3"/>
      <c r="H124" s="3"/>
      <c r="I124" s="3">
        <f t="shared" si="5"/>
      </c>
      <c r="J124" s="4">
        <v>28.3</v>
      </c>
      <c r="K124" s="4">
        <f t="shared" si="7"/>
      </c>
      <c r="M124">
        <f t="shared" si="4"/>
      </c>
      <c r="N124">
        <f>IF(A124="","", "CP-" &amp; IFERROR(VLOOKUP(D124, Catalogos!$Z$4:$AA$20, 2, FALSE), "FOL") &amp; "-" &amp; WEEKNUM(A124,2) &amp; "-" &amp; TEXT(ROW(A120),"000"))</f>
      </c>
    </row>
    <row r="125" spans="1:14">
      <c r="A125" s="2"/>
      <c r="C125" t="s">
        <v>47</v>
      </c>
      <c r="F125">
        <f>VLOOKUP(TablaPegaso[[#This Row],[Equipo]],Catalogos!$V$4:$W$85,2,FALSE)</f>
      </c>
      <c r="G125" s="3"/>
      <c r="H125" s="3"/>
      <c r="I125" s="3">
        <f t="shared" si="5"/>
      </c>
      <c r="J125" s="4">
        <v>28.3</v>
      </c>
      <c r="K125" s="4">
        <f t="shared" si="7"/>
      </c>
      <c r="M125">
        <f t="shared" si="4"/>
      </c>
      <c r="N125">
        <f>IF(A125="","", "CP-" &amp; IFERROR(VLOOKUP(D125, Catalogos!$Z$4:$AA$20, 2, FALSE), "FOL") &amp; "-" &amp; WEEKNUM(A125,2) &amp; "-" &amp; TEXT(ROW(A121),"000"))</f>
      </c>
    </row>
    <row r="126" spans="1:14">
      <c r="A126" s="2"/>
      <c r="C126" t="s">
        <v>47</v>
      </c>
      <c r="F126">
        <f>VLOOKUP(TablaPegaso[[#This Row],[Equipo]],Catalogos!$V$4:$W$85,2,FALSE)</f>
      </c>
      <c r="G126" s="3"/>
      <c r="H126" s="3"/>
      <c r="I126" s="3">
        <f t="shared" si="5"/>
      </c>
      <c r="J126" s="4">
        <v>28.3</v>
      </c>
      <c r="K126" s="4">
        <f t="shared" si="7"/>
      </c>
      <c r="M126">
        <f t="shared" si="4"/>
      </c>
      <c r="N126">
        <f>IF(A126="","", "CP-" &amp; IFERROR(VLOOKUP(D126, Catalogos!$Z$4:$AA$20, 2, FALSE), "FOL") &amp; "-" &amp; WEEKNUM(A126,2) &amp; "-" &amp; TEXT(ROW(A122),"000"))</f>
      </c>
    </row>
    <row r="127" spans="1:14">
      <c r="A127" s="2"/>
      <c r="C127" t="s">
        <v>47</v>
      </c>
      <c r="F127">
        <f>VLOOKUP(TablaPegaso[[#This Row],[Equipo]],Catalogos!$V$4:$W$85,2,FALSE)</f>
      </c>
      <c r="G127" s="3"/>
      <c r="H127" s="3"/>
      <c r="I127" s="3">
        <f t="shared" si="5"/>
      </c>
      <c r="J127" s="4">
        <v>28.3</v>
      </c>
      <c r="K127" s="4">
        <f t="shared" si="7"/>
      </c>
      <c r="M127">
        <f t="shared" si="4"/>
      </c>
      <c r="N127">
        <f>IF(A127="","", "CP-" &amp; IFERROR(VLOOKUP(D127, Catalogos!$Z$4:$AA$20, 2, FALSE), "FOL") &amp; "-" &amp; WEEKNUM(A127,2) &amp; "-" &amp; TEXT(ROW(A123),"000"))</f>
      </c>
    </row>
    <row r="128" spans="1:14">
      <c r="A128" s="2"/>
      <c r="C128" t="s">
        <v>47</v>
      </c>
      <c r="F128">
        <f>VLOOKUP(TablaPegaso[[#This Row],[Equipo]],Catalogos!$V$4:$W$85,2,FALSE)</f>
      </c>
      <c r="G128" s="3"/>
      <c r="H128" s="3"/>
      <c r="I128" s="3">
        <f t="shared" si="5"/>
      </c>
      <c r="J128" s="4">
        <v>28.3</v>
      </c>
      <c r="K128" s="4">
        <f t="shared" si="7"/>
      </c>
      <c r="M128">
        <f t="shared" si="4"/>
      </c>
      <c r="N128">
        <f>IF(A128="","", "CP-" &amp; IFERROR(VLOOKUP(D128, Catalogos!$Z$4:$AA$20, 2, FALSE), "FOL") &amp; "-" &amp; WEEKNUM(A128,2) &amp; "-" &amp; TEXT(ROW(A124),"000"))</f>
      </c>
    </row>
    <row r="129" spans="1:14">
      <c r="A129" s="2"/>
      <c r="C129" t="s">
        <v>47</v>
      </c>
      <c r="F129">
        <f>VLOOKUP(TablaPegaso[[#This Row],[Equipo]],Catalogos!$V$4:$W$85,2,FALSE)</f>
      </c>
      <c r="G129" s="3"/>
      <c r="H129" s="3"/>
      <c r="I129" s="3">
        <f t="shared" si="5"/>
      </c>
      <c r="J129" s="4">
        <v>28.3</v>
      </c>
      <c r="K129" s="4">
        <f t="shared" si="7"/>
      </c>
      <c r="M129">
        <f t="shared" si="4"/>
      </c>
      <c r="N129">
        <f>IF(A129="","", "CP-" &amp; IFERROR(VLOOKUP(D129, Catalogos!$Z$4:$AA$20, 2, FALSE), "FOL") &amp; "-" &amp; WEEKNUM(A129,2) &amp; "-" &amp; TEXT(ROW(A125),"000"))</f>
      </c>
    </row>
    <row r="130" spans="1:14">
      <c r="A130" s="2"/>
      <c r="C130" t="s">
        <v>47</v>
      </c>
      <c r="F130">
        <f>VLOOKUP(TablaPegaso[[#This Row],[Equipo]],Catalogos!$V$4:$W$85,2,FALSE)</f>
      </c>
      <c r="G130" s="3"/>
      <c r="H130" s="3"/>
      <c r="I130" s="3">
        <f t="shared" si="5"/>
      </c>
      <c r="J130" s="4">
        <v>28.3</v>
      </c>
      <c r="K130" s="4">
        <f t="shared" si="7"/>
      </c>
      <c r="M130">
        <f t="shared" si="4"/>
      </c>
      <c r="N130">
        <f>IF(A130="","", "CP-" &amp; IFERROR(VLOOKUP(D130, Catalogos!$Z$4:$AA$20, 2, FALSE), "FOL") &amp; "-" &amp; WEEKNUM(A130,2) &amp; "-" &amp; TEXT(ROW(A126),"000"))</f>
      </c>
    </row>
    <row r="131" spans="1:14">
      <c r="A131" s="2"/>
      <c r="C131" t="s">
        <v>47</v>
      </c>
      <c r="F131">
        <f>VLOOKUP(TablaPegaso[[#This Row],[Equipo]],Catalogos!$V$4:$W$85,2,FALSE)</f>
      </c>
      <c r="G131" s="3"/>
      <c r="H131" s="3"/>
      <c r="I131" s="3">
        <f t="shared" si="5"/>
      </c>
      <c r="J131" s="4">
        <v>28.3</v>
      </c>
      <c r="K131" s="4">
        <f t="shared" si="7"/>
      </c>
      <c r="M131">
        <f t="shared" si="4"/>
      </c>
      <c r="N131">
        <f>IF(A131="","", "CP-" &amp; IFERROR(VLOOKUP(D131, Catalogos!$Z$4:$AA$20, 2, FALSE), "FOL") &amp; "-" &amp; WEEKNUM(A131,2) &amp; "-" &amp; TEXT(ROW(A127),"000"))</f>
      </c>
    </row>
    <row r="132" spans="1:14">
      <c r="A132" s="2"/>
      <c r="C132" t="s">
        <v>47</v>
      </c>
      <c r="F132">
        <f>VLOOKUP(TablaPegaso[[#This Row],[Equipo]],Catalogos!$V$4:$W$85,2,FALSE)</f>
      </c>
      <c r="G132" s="3"/>
      <c r="H132" s="3"/>
      <c r="I132" s="3">
        <f t="shared" si="5"/>
      </c>
      <c r="J132" s="4">
        <v>28.3</v>
      </c>
      <c r="K132" s="4">
        <f t="shared" si="7"/>
      </c>
      <c r="M132">
        <f t="shared" si="4"/>
      </c>
      <c r="N132">
        <f>IF(A132="","", "CP-" &amp; IFERROR(VLOOKUP(D132, Catalogos!$Z$4:$AA$20, 2, FALSE), "FOL") &amp; "-" &amp; WEEKNUM(A132,2) &amp; "-" &amp; TEXT(ROW(A128),"000"))</f>
      </c>
    </row>
    <row r="133" spans="1:14">
      <c r="A133" s="2"/>
      <c r="C133" t="s">
        <v>47</v>
      </c>
      <c r="F133">
        <f>VLOOKUP(TablaPegaso[[#This Row],[Equipo]],Catalogos!$V$4:$W$85,2,FALSE)</f>
      </c>
      <c r="G133" s="3"/>
      <c r="H133" s="3"/>
      <c r="I133" s="3">
        <f t="shared" si="5"/>
      </c>
      <c r="J133" s="4">
        <v>28.3</v>
      </c>
      <c r="K133" s="4">
        <f t="shared" si="7"/>
      </c>
      <c r="M133">
        <f t="shared" ref="M133:M196" si="8">IF(A133="","", WEEKNUM(A133, 2))</f>
      </c>
      <c r="N133">
        <f>IF(A133="","", "CP-" &amp; IFERROR(VLOOKUP(D133, Catalogos!$Z$4:$AA$20, 2, FALSE), "FOL") &amp; "-" &amp; WEEKNUM(A133,2) &amp; "-" &amp; TEXT(ROW(A129),"000"))</f>
      </c>
    </row>
    <row r="134" spans="1:14">
      <c r="A134" s="2"/>
      <c r="C134" t="s">
        <v>47</v>
      </c>
      <c r="F134">
        <f>VLOOKUP(TablaPegaso[[#This Row],[Equipo]],Catalogos!$V$4:$W$85,2,FALSE)</f>
      </c>
      <c r="G134" s="3"/>
      <c r="H134" s="3"/>
      <c r="I134" s="3">
        <f t="shared" ref="I134:I197" si="9">IF(ROW()=5,G134-H134,I133+G134-H134)</f>
      </c>
      <c r="J134" s="4">
        <v>28.3</v>
      </c>
      <c r="K134" s="4">
        <f t="shared" si="7"/>
      </c>
      <c r="M134">
        <f t="shared" si="8"/>
      </c>
      <c r="N134">
        <f>IF(A134="","", "CP-" &amp; IFERROR(VLOOKUP(D134, Catalogos!$Z$4:$AA$20, 2, FALSE), "FOL") &amp; "-" &amp; WEEKNUM(A134,2) &amp; "-" &amp; TEXT(ROW(A130),"000"))</f>
      </c>
    </row>
    <row r="135" spans="1:14">
      <c r="A135" s="2"/>
      <c r="C135" t="s">
        <v>47</v>
      </c>
      <c r="F135">
        <f>VLOOKUP(TablaPegaso[[#This Row],[Equipo]],Catalogos!$V$4:$W$85,2,FALSE)</f>
      </c>
      <c r="G135" s="3"/>
      <c r="H135" s="3"/>
      <c r="I135" s="3">
        <f t="shared" si="9"/>
      </c>
      <c r="J135" s="4">
        <v>28.3</v>
      </c>
      <c r="K135" s="4">
        <f t="shared" si="7"/>
      </c>
      <c r="M135">
        <f t="shared" si="8"/>
      </c>
      <c r="N135">
        <f>IF(A135="","", "CP-" &amp; IFERROR(VLOOKUP(D135, Catalogos!$Z$4:$AA$20, 2, FALSE), "FOL") &amp; "-" &amp; WEEKNUM(A135,2) &amp; "-" &amp; TEXT(ROW(A131),"000"))</f>
      </c>
    </row>
    <row r="136" spans="1:14">
      <c r="A136" s="2"/>
      <c r="C136" t="s">
        <v>47</v>
      </c>
      <c r="F136">
        <f>VLOOKUP(TablaPegaso[[#This Row],[Equipo]],Catalogos!$V$4:$W$85,2,FALSE)</f>
      </c>
      <c r="G136" s="3"/>
      <c r="H136" s="3"/>
      <c r="I136" s="3">
        <f t="shared" si="9"/>
      </c>
      <c r="J136" s="4">
        <v>28.3</v>
      </c>
      <c r="K136" s="4">
        <f t="shared" si="7"/>
      </c>
      <c r="M136">
        <f t="shared" si="8"/>
      </c>
      <c r="N136">
        <f>IF(A136="","", "CP-" &amp; IFERROR(VLOOKUP(D136, Catalogos!$Z$4:$AA$20, 2, FALSE), "FOL") &amp; "-" &amp; WEEKNUM(A136,2) &amp; "-" &amp; TEXT(ROW(A132),"000"))</f>
      </c>
    </row>
    <row r="137" spans="1:14">
      <c r="A137" s="2"/>
      <c r="C137" t="s">
        <v>47</v>
      </c>
      <c r="F137">
        <f>VLOOKUP(TablaPegaso[[#This Row],[Equipo]],Catalogos!$V$4:$W$85,2,FALSE)</f>
      </c>
      <c r="G137" s="3"/>
      <c r="H137" s="3"/>
      <c r="I137" s="3">
        <f t="shared" si="9"/>
      </c>
      <c r="J137" s="4">
        <v>28.3</v>
      </c>
      <c r="K137" s="4">
        <f t="shared" ref="K137:K168" si="10">IFERROR((G137+H137)*J137,0)</f>
      </c>
      <c r="M137">
        <f t="shared" si="8"/>
      </c>
      <c r="N137">
        <f>IF(A137="","", "CP-" &amp; IFERROR(VLOOKUP(D137, Catalogos!$Z$4:$AA$20, 2, FALSE), "FOL") &amp; "-" &amp; WEEKNUM(A137,2) &amp; "-" &amp; TEXT(ROW(A133),"000"))</f>
      </c>
    </row>
    <row r="138" spans="1:14">
      <c r="A138" s="2"/>
      <c r="C138" t="s">
        <v>47</v>
      </c>
      <c r="F138">
        <f>VLOOKUP(TablaPegaso[[#This Row],[Equipo]],Catalogos!$V$4:$W$85,2,FALSE)</f>
      </c>
      <c r="G138" s="3"/>
      <c r="H138" s="3"/>
      <c r="I138" s="3">
        <f t="shared" si="9"/>
      </c>
      <c r="J138" s="4">
        <v>28.3</v>
      </c>
      <c r="K138" s="4">
        <f t="shared" si="10"/>
      </c>
      <c r="M138">
        <f t="shared" si="8"/>
      </c>
      <c r="N138">
        <f>IF(A138="","", "CP-" &amp; IFERROR(VLOOKUP(D138, Catalogos!$Z$4:$AA$20, 2, FALSE), "FOL") &amp; "-" &amp; WEEKNUM(A138,2) &amp; "-" &amp; TEXT(ROW(A134),"000"))</f>
      </c>
    </row>
    <row r="139" spans="1:14">
      <c r="A139" s="2"/>
      <c r="C139" t="s">
        <v>47</v>
      </c>
      <c r="F139">
        <f>VLOOKUP(TablaPegaso[[#This Row],[Equipo]],Catalogos!$V$4:$W$85,2,FALSE)</f>
      </c>
      <c r="G139" s="3"/>
      <c r="H139" s="3"/>
      <c r="I139" s="3">
        <f t="shared" si="9"/>
      </c>
      <c r="J139" s="4">
        <v>28.3</v>
      </c>
      <c r="K139" s="4">
        <f t="shared" si="10"/>
      </c>
      <c r="M139">
        <f t="shared" si="8"/>
      </c>
      <c r="N139">
        <f>IF(A139="","", "CP-" &amp; IFERROR(VLOOKUP(D139, Catalogos!$Z$4:$AA$20, 2, FALSE), "FOL") &amp; "-" &amp; WEEKNUM(A139,2) &amp; "-" &amp; TEXT(ROW(A135),"000"))</f>
      </c>
    </row>
    <row r="140" spans="1:14">
      <c r="A140" s="2"/>
      <c r="C140" t="s">
        <v>47</v>
      </c>
      <c r="F140">
        <f>VLOOKUP(TablaPegaso[[#This Row],[Equipo]],Catalogos!$V$4:$W$85,2,FALSE)</f>
      </c>
      <c r="G140" s="3"/>
      <c r="H140" s="3"/>
      <c r="I140" s="3">
        <f t="shared" si="9"/>
      </c>
      <c r="J140" s="4">
        <v>28.3</v>
      </c>
      <c r="K140" s="4">
        <f t="shared" si="10"/>
      </c>
      <c r="M140">
        <f t="shared" si="8"/>
      </c>
      <c r="N140">
        <f>IF(A140="","", "CP-" &amp; IFERROR(VLOOKUP(D140, Catalogos!$Z$4:$AA$20, 2, FALSE), "FOL") &amp; "-" &amp; WEEKNUM(A140,2) &amp; "-" &amp; TEXT(ROW(A136),"000"))</f>
      </c>
    </row>
    <row r="141" spans="1:14">
      <c r="A141" s="2"/>
      <c r="C141" t="s">
        <v>47</v>
      </c>
      <c r="F141">
        <f>VLOOKUP(TablaPegaso[[#This Row],[Equipo]],Catalogos!$V$4:$W$85,2,FALSE)</f>
      </c>
      <c r="G141" s="3"/>
      <c r="H141" s="3"/>
      <c r="I141" s="3">
        <f t="shared" si="9"/>
      </c>
      <c r="J141" s="4">
        <v>28.3</v>
      </c>
      <c r="K141" s="4">
        <f t="shared" si="10"/>
      </c>
      <c r="M141">
        <f t="shared" si="8"/>
      </c>
      <c r="N141">
        <f>IF(A141="","", "CP-" &amp; IFERROR(VLOOKUP(D141, Catalogos!$Z$4:$AA$20, 2, FALSE), "FOL") &amp; "-" &amp; WEEKNUM(A141,2) &amp; "-" &amp; TEXT(ROW(A137),"000"))</f>
      </c>
    </row>
    <row r="142" spans="1:14">
      <c r="A142" s="2"/>
      <c r="C142" t="s">
        <v>47</v>
      </c>
      <c r="F142">
        <f>VLOOKUP(TablaPegaso[[#This Row],[Equipo]],Catalogos!$V$4:$W$85,2,FALSE)</f>
      </c>
      <c r="G142" s="3"/>
      <c r="H142" s="3"/>
      <c r="I142" s="3">
        <f t="shared" si="9"/>
      </c>
      <c r="J142" s="4">
        <v>28.3</v>
      </c>
      <c r="K142" s="4">
        <f t="shared" si="10"/>
      </c>
      <c r="M142">
        <f t="shared" si="8"/>
      </c>
      <c r="N142">
        <f>IF(A142="","", "CP-" &amp; IFERROR(VLOOKUP(D142, Catalogos!$Z$4:$AA$20, 2, FALSE), "FOL") &amp; "-" &amp; WEEKNUM(A142,2) &amp; "-" &amp; TEXT(ROW(A138),"000"))</f>
      </c>
    </row>
    <row r="143" spans="1:14">
      <c r="A143" s="2"/>
      <c r="C143" t="s">
        <v>47</v>
      </c>
      <c r="F143">
        <f>VLOOKUP(TablaPegaso[[#This Row],[Equipo]],Catalogos!$V$4:$W$85,2,FALSE)</f>
      </c>
      <c r="G143" s="3"/>
      <c r="H143" s="3"/>
      <c r="I143" s="3">
        <f t="shared" si="9"/>
      </c>
      <c r="J143" s="4">
        <v>28.3</v>
      </c>
      <c r="K143" s="4">
        <f t="shared" si="10"/>
      </c>
      <c r="M143">
        <f t="shared" si="8"/>
      </c>
      <c r="N143">
        <f>IF(A143="","", "CP-" &amp; IFERROR(VLOOKUP(D143, Catalogos!$Z$4:$AA$20, 2, FALSE), "FOL") &amp; "-" &amp; WEEKNUM(A143,2) &amp; "-" &amp; TEXT(ROW(A139),"000"))</f>
      </c>
    </row>
    <row r="144" spans="1:14">
      <c r="A144" s="2"/>
      <c r="C144" t="s">
        <v>47</v>
      </c>
      <c r="F144">
        <f>VLOOKUP(TablaPegaso[[#This Row],[Equipo]],Catalogos!$V$4:$W$85,2,FALSE)</f>
      </c>
      <c r="G144" s="3"/>
      <c r="H144" s="3"/>
      <c r="I144" s="3">
        <f t="shared" si="9"/>
      </c>
      <c r="J144" s="4">
        <v>28.3</v>
      </c>
      <c r="K144" s="4">
        <f t="shared" si="10"/>
      </c>
      <c r="M144">
        <f t="shared" si="8"/>
      </c>
      <c r="N144">
        <f>IF(A144="","", "CP-" &amp; IFERROR(VLOOKUP(D144, Catalogos!$Z$4:$AA$20, 2, FALSE), "FOL") &amp; "-" &amp; WEEKNUM(A144,2) &amp; "-" &amp; TEXT(ROW(A140),"000"))</f>
      </c>
    </row>
    <row r="145" spans="1:14">
      <c r="A145" s="2"/>
      <c r="C145" t="s">
        <v>47</v>
      </c>
      <c r="F145">
        <f>VLOOKUP(TablaPegaso[[#This Row],[Equipo]],Catalogos!$V$4:$W$85,2,FALSE)</f>
      </c>
      <c r="G145" s="3"/>
      <c r="H145" s="3"/>
      <c r="I145" s="3">
        <f t="shared" si="9"/>
      </c>
      <c r="J145" s="4">
        <v>28.3</v>
      </c>
      <c r="K145" s="4">
        <f t="shared" si="10"/>
      </c>
      <c r="M145">
        <f t="shared" si="8"/>
      </c>
      <c r="N145">
        <f>IF(A145="","", "CP-" &amp; IFERROR(VLOOKUP(D145, Catalogos!$Z$4:$AA$20, 2, FALSE), "FOL") &amp; "-" &amp; WEEKNUM(A145,2) &amp; "-" &amp; TEXT(ROW(A141),"000"))</f>
      </c>
    </row>
    <row r="146" spans="1:14">
      <c r="A146" s="2"/>
      <c r="C146" t="s">
        <v>47</v>
      </c>
      <c r="F146">
        <f>VLOOKUP(TablaPegaso[[#This Row],[Equipo]],Catalogos!$V$4:$W$85,2,FALSE)</f>
      </c>
      <c r="G146" s="3"/>
      <c r="H146" s="3"/>
      <c r="I146" s="3">
        <f t="shared" si="9"/>
      </c>
      <c r="J146" s="4">
        <v>28.3</v>
      </c>
      <c r="K146" s="4">
        <f t="shared" si="10"/>
      </c>
      <c r="M146">
        <f t="shared" si="8"/>
      </c>
      <c r="N146">
        <f>IF(A146="","", "CP-" &amp; IFERROR(VLOOKUP(D146, Catalogos!$Z$4:$AA$20, 2, FALSE), "FOL") &amp; "-" &amp; WEEKNUM(A146,2) &amp; "-" &amp; TEXT(ROW(A142),"000"))</f>
      </c>
    </row>
    <row r="147" spans="1:14">
      <c r="A147" s="2"/>
      <c r="C147" t="s">
        <v>47</v>
      </c>
      <c r="F147">
        <f>VLOOKUP(TablaPegaso[[#This Row],[Equipo]],Catalogos!$V$4:$W$85,2,FALSE)</f>
      </c>
      <c r="G147" s="3"/>
      <c r="H147" s="3"/>
      <c r="I147" s="3">
        <f t="shared" si="9"/>
      </c>
      <c r="J147" s="4">
        <v>28.3</v>
      </c>
      <c r="K147" s="4">
        <f t="shared" si="10"/>
      </c>
      <c r="M147">
        <f t="shared" si="8"/>
      </c>
      <c r="N147">
        <f>IF(A147="","", "CP-" &amp; IFERROR(VLOOKUP(D147, Catalogos!$Z$4:$AA$20, 2, FALSE), "FOL") &amp; "-" &amp; WEEKNUM(A147,2) &amp; "-" &amp; TEXT(ROW(A143),"000"))</f>
      </c>
    </row>
    <row r="148" spans="1:14">
      <c r="A148" s="2"/>
      <c r="C148" t="s">
        <v>47</v>
      </c>
      <c r="F148">
        <f>VLOOKUP(TablaPegaso[[#This Row],[Equipo]],Catalogos!$V$4:$W$85,2,FALSE)</f>
      </c>
      <c r="G148" s="3"/>
      <c r="H148" s="3"/>
      <c r="I148" s="3">
        <f t="shared" si="9"/>
      </c>
      <c r="J148" s="4">
        <v>28.3</v>
      </c>
      <c r="K148" s="4">
        <f t="shared" si="10"/>
      </c>
      <c r="M148">
        <f t="shared" si="8"/>
      </c>
      <c r="N148">
        <f>IF(A148="","", "CP-" &amp; IFERROR(VLOOKUP(D148, Catalogos!$Z$4:$AA$20, 2, FALSE), "FOL") &amp; "-" &amp; WEEKNUM(A148,2) &amp; "-" &amp; TEXT(ROW(A144),"000"))</f>
      </c>
    </row>
    <row r="149" spans="1:14">
      <c r="A149" s="2"/>
      <c r="C149" t="s">
        <v>47</v>
      </c>
      <c r="F149">
        <f>VLOOKUP(TablaPegaso[[#This Row],[Equipo]],Catalogos!$V$4:$W$85,2,FALSE)</f>
      </c>
      <c r="G149" s="3"/>
      <c r="H149" s="3"/>
      <c r="I149" s="3">
        <f t="shared" si="9"/>
      </c>
      <c r="J149" s="4">
        <v>28.3</v>
      </c>
      <c r="K149" s="4">
        <f t="shared" si="10"/>
      </c>
      <c r="M149">
        <f t="shared" si="8"/>
      </c>
      <c r="N149">
        <f>IF(A149="","", "CP-" &amp; IFERROR(VLOOKUP(D149, Catalogos!$Z$4:$AA$20, 2, FALSE), "FOL") &amp; "-" &amp; WEEKNUM(A149,2) &amp; "-" &amp; TEXT(ROW(A145),"000"))</f>
      </c>
    </row>
    <row r="150" spans="1:14">
      <c r="A150" s="2"/>
      <c r="C150" t="s">
        <v>47</v>
      </c>
      <c r="F150">
        <f>VLOOKUP(TablaPegaso[[#This Row],[Equipo]],Catalogos!$V$4:$W$85,2,FALSE)</f>
      </c>
      <c r="G150" s="3"/>
      <c r="H150" s="3"/>
      <c r="I150" s="3">
        <f t="shared" si="9"/>
      </c>
      <c r="J150" s="4">
        <v>28.3</v>
      </c>
      <c r="K150" s="4">
        <f t="shared" si="10"/>
      </c>
      <c r="M150">
        <f t="shared" si="8"/>
      </c>
      <c r="N150">
        <f>IF(A150="","", "CP-" &amp; IFERROR(VLOOKUP(D150, Catalogos!$Z$4:$AA$20, 2, FALSE), "FOL") &amp; "-" &amp; WEEKNUM(A150,2) &amp; "-" &amp; TEXT(ROW(A146),"000"))</f>
      </c>
    </row>
    <row r="151" spans="1:14">
      <c r="A151" s="2"/>
      <c r="C151" t="s">
        <v>47</v>
      </c>
      <c r="F151">
        <f>VLOOKUP(TablaPegaso[[#This Row],[Equipo]],Catalogos!$V$4:$W$85,2,FALSE)</f>
      </c>
      <c r="G151" s="3"/>
      <c r="H151" s="3"/>
      <c r="I151" s="3">
        <f t="shared" si="9"/>
      </c>
      <c r="J151" s="4">
        <v>28.3</v>
      </c>
      <c r="K151" s="4">
        <f t="shared" si="10"/>
      </c>
      <c r="M151">
        <f t="shared" si="8"/>
      </c>
      <c r="N151">
        <f>IF(A151="","", "CP-" &amp; IFERROR(VLOOKUP(D151, Catalogos!$Z$4:$AA$20, 2, FALSE), "FOL") &amp; "-" &amp; WEEKNUM(A151,2) &amp; "-" &amp; TEXT(ROW(A147),"000"))</f>
      </c>
    </row>
    <row r="152" spans="1:14">
      <c r="A152" s="2"/>
      <c r="C152" t="s">
        <v>47</v>
      </c>
      <c r="F152">
        <f>VLOOKUP(TablaPegaso[[#This Row],[Equipo]],Catalogos!$V$4:$W$85,2,FALSE)</f>
      </c>
      <c r="G152" s="3"/>
      <c r="H152" s="3"/>
      <c r="I152" s="3">
        <f t="shared" si="9"/>
      </c>
      <c r="J152" s="4">
        <v>28.3</v>
      </c>
      <c r="K152" s="4">
        <f t="shared" si="10"/>
      </c>
      <c r="M152">
        <f t="shared" si="8"/>
      </c>
      <c r="N152">
        <f>IF(A152="","", "CP-" &amp; IFERROR(VLOOKUP(D152, Catalogos!$Z$4:$AA$20, 2, FALSE), "FOL") &amp; "-" &amp; WEEKNUM(A152,2) &amp; "-" &amp; TEXT(ROW(A148),"000"))</f>
      </c>
    </row>
    <row r="153" spans="1:14">
      <c r="A153" s="2"/>
      <c r="C153" t="s">
        <v>47</v>
      </c>
      <c r="F153">
        <f>VLOOKUP(TablaPegaso[[#This Row],[Equipo]],Catalogos!$V$4:$W$85,2,FALSE)</f>
      </c>
      <c r="G153" s="3"/>
      <c r="H153" s="3"/>
      <c r="I153" s="3">
        <f t="shared" si="9"/>
      </c>
      <c r="J153" s="4">
        <v>28.3</v>
      </c>
      <c r="K153" s="4">
        <f t="shared" si="10"/>
      </c>
      <c r="M153">
        <f t="shared" si="8"/>
      </c>
      <c r="N153">
        <f>IF(A153="","", "CP-" &amp; IFERROR(VLOOKUP(D153, Catalogos!$Z$4:$AA$20, 2, FALSE), "FOL") &amp; "-" &amp; WEEKNUM(A153,2) &amp; "-" &amp; TEXT(ROW(A149),"000"))</f>
      </c>
    </row>
    <row r="154" spans="1:14">
      <c r="A154" s="2"/>
      <c r="C154" t="s">
        <v>47</v>
      </c>
      <c r="F154">
        <f>VLOOKUP(TablaPegaso[[#This Row],[Equipo]],Catalogos!$V$4:$W$85,2,FALSE)</f>
      </c>
      <c r="G154" s="3"/>
      <c r="H154" s="3"/>
      <c r="I154" s="3">
        <f t="shared" si="9"/>
      </c>
      <c r="J154" s="4">
        <v>28.3</v>
      </c>
      <c r="K154" s="4">
        <f t="shared" si="10"/>
      </c>
      <c r="M154">
        <f t="shared" si="8"/>
      </c>
      <c r="N154">
        <f>IF(A154="","", "CP-" &amp; IFERROR(VLOOKUP(D154, Catalogos!$Z$4:$AA$20, 2, FALSE), "FOL") &amp; "-" &amp; WEEKNUM(A154,2) &amp; "-" &amp; TEXT(ROW(A150),"000"))</f>
      </c>
    </row>
    <row r="155" spans="1:14">
      <c r="A155" s="2"/>
      <c r="C155" t="s">
        <v>47</v>
      </c>
      <c r="F155">
        <f>VLOOKUP(TablaPegaso[[#This Row],[Equipo]],Catalogos!$V$4:$W$85,2,FALSE)</f>
      </c>
      <c r="G155" s="3"/>
      <c r="H155" s="3"/>
      <c r="I155" s="3">
        <f t="shared" si="9"/>
      </c>
      <c r="J155" s="4">
        <v>28.3</v>
      </c>
      <c r="K155" s="4">
        <f t="shared" si="10"/>
      </c>
      <c r="M155">
        <f t="shared" si="8"/>
      </c>
      <c r="N155">
        <f>IF(A155="","", "CP-" &amp; IFERROR(VLOOKUP(D155, Catalogos!$Z$4:$AA$20, 2, FALSE), "FOL") &amp; "-" &amp; WEEKNUM(A155,2) &amp; "-" &amp; TEXT(ROW(A151),"000"))</f>
      </c>
    </row>
    <row r="156" spans="1:14">
      <c r="A156" s="2"/>
      <c r="C156" t="s">
        <v>47</v>
      </c>
      <c r="F156">
        <f>VLOOKUP(TablaPegaso[[#This Row],[Equipo]],Catalogos!$V$4:$W$85,2,FALSE)</f>
      </c>
      <c r="G156" s="3"/>
      <c r="H156" s="3"/>
      <c r="I156" s="3">
        <f t="shared" si="9"/>
      </c>
      <c r="J156" s="4">
        <v>28.3</v>
      </c>
      <c r="K156" s="4">
        <f t="shared" si="10"/>
      </c>
      <c r="M156">
        <f t="shared" si="8"/>
      </c>
      <c r="N156">
        <f>IF(A156="","", "CP-" &amp; IFERROR(VLOOKUP(D156, Catalogos!$Z$4:$AA$20, 2, FALSE), "FOL") &amp; "-" &amp; WEEKNUM(A156,2) &amp; "-" &amp; TEXT(ROW(A152),"000"))</f>
      </c>
    </row>
    <row r="157" spans="1:14">
      <c r="A157" s="2"/>
      <c r="C157" t="s">
        <v>47</v>
      </c>
      <c r="F157">
        <f>VLOOKUP(TablaPegaso[[#This Row],[Equipo]],Catalogos!$V$4:$W$85,2,FALSE)</f>
      </c>
      <c r="G157" s="3"/>
      <c r="H157" s="3"/>
      <c r="I157" s="3">
        <f t="shared" si="9"/>
      </c>
      <c r="J157" s="4">
        <v>28.3</v>
      </c>
      <c r="K157" s="4">
        <f t="shared" si="10"/>
      </c>
      <c r="M157">
        <f t="shared" si="8"/>
      </c>
      <c r="N157">
        <f>IF(A157="","", "CP-" &amp; IFERROR(VLOOKUP(D157, Catalogos!$Z$4:$AA$20, 2, FALSE), "FOL") &amp; "-" &amp; WEEKNUM(A157,2) &amp; "-" &amp; TEXT(ROW(A153),"000"))</f>
      </c>
    </row>
    <row r="158" spans="1:14">
      <c r="A158" s="2"/>
      <c r="C158" t="s">
        <v>47</v>
      </c>
      <c r="F158">
        <f>VLOOKUP(TablaPegaso[[#This Row],[Equipo]],Catalogos!$V$4:$W$85,2,FALSE)</f>
      </c>
      <c r="G158" s="3"/>
      <c r="H158" s="3"/>
      <c r="I158" s="3">
        <f t="shared" si="9"/>
      </c>
      <c r="J158" s="4">
        <v>28.3</v>
      </c>
      <c r="K158" s="4">
        <f t="shared" si="10"/>
      </c>
      <c r="M158">
        <f t="shared" si="8"/>
      </c>
      <c r="N158">
        <f>IF(A158="","", "CP-" &amp; IFERROR(VLOOKUP(D158, Catalogos!$Z$4:$AA$20, 2, FALSE), "FOL") &amp; "-" &amp; WEEKNUM(A158,2) &amp; "-" &amp; TEXT(ROW(A154),"000"))</f>
      </c>
    </row>
    <row r="159" spans="1:14">
      <c r="A159" s="2"/>
      <c r="C159" t="s">
        <v>47</v>
      </c>
      <c r="F159">
        <f>VLOOKUP(TablaPegaso[[#This Row],[Equipo]],Catalogos!$V$4:$W$85,2,FALSE)</f>
      </c>
      <c r="G159" s="3"/>
      <c r="H159" s="3"/>
      <c r="I159" s="3">
        <f t="shared" si="9"/>
      </c>
      <c r="J159" s="4">
        <v>28.3</v>
      </c>
      <c r="K159" s="4">
        <f t="shared" si="10"/>
      </c>
      <c r="M159">
        <f t="shared" si="8"/>
      </c>
      <c r="N159">
        <f>IF(A159="","", "CP-" &amp; IFERROR(VLOOKUP(D159, Catalogos!$Z$4:$AA$20, 2, FALSE), "FOL") &amp; "-" &amp; WEEKNUM(A159,2) &amp; "-" &amp; TEXT(ROW(A155),"000"))</f>
      </c>
    </row>
    <row r="160" spans="1:14">
      <c r="A160" s="2"/>
      <c r="C160" t="s">
        <v>47</v>
      </c>
      <c r="F160">
        <f>VLOOKUP(TablaPegaso[[#This Row],[Equipo]],Catalogos!$V$4:$W$85,2,FALSE)</f>
      </c>
      <c r="G160" s="3"/>
      <c r="H160" s="3"/>
      <c r="I160" s="3">
        <f t="shared" si="9"/>
      </c>
      <c r="J160" s="4">
        <v>28.3</v>
      </c>
      <c r="K160" s="4">
        <f t="shared" si="10"/>
      </c>
      <c r="M160">
        <f t="shared" si="8"/>
      </c>
      <c r="N160">
        <f>IF(A160="","", "CP-" &amp; IFERROR(VLOOKUP(D160, Catalogos!$Z$4:$AA$20, 2, FALSE), "FOL") &amp; "-" &amp; WEEKNUM(A160,2) &amp; "-" &amp; TEXT(ROW(A156),"000"))</f>
      </c>
    </row>
    <row r="161" spans="1:14">
      <c r="A161" s="2"/>
      <c r="C161" t="s">
        <v>47</v>
      </c>
      <c r="F161">
        <f>VLOOKUP(TablaPegaso[[#This Row],[Equipo]],Catalogos!$V$4:$W$85,2,FALSE)</f>
      </c>
      <c r="G161" s="3"/>
      <c r="H161" s="3"/>
      <c r="I161" s="3">
        <f t="shared" si="9"/>
      </c>
      <c r="J161" s="4">
        <v>28.3</v>
      </c>
      <c r="K161" s="4">
        <f t="shared" si="10"/>
      </c>
      <c r="M161">
        <f t="shared" si="8"/>
      </c>
      <c r="N161">
        <f>IF(A161="","", "CP-" &amp; IFERROR(VLOOKUP(D161, Catalogos!$Z$4:$AA$20, 2, FALSE), "FOL") &amp; "-" &amp; WEEKNUM(A161,2) &amp; "-" &amp; TEXT(ROW(A157),"000"))</f>
      </c>
    </row>
    <row r="162" spans="1:14">
      <c r="A162" s="2"/>
      <c r="C162" t="s">
        <v>47</v>
      </c>
      <c r="F162">
        <f>VLOOKUP(TablaPegaso[[#This Row],[Equipo]],Catalogos!$V$4:$W$85,2,FALSE)</f>
      </c>
      <c r="G162" s="3"/>
      <c r="H162" s="3"/>
      <c r="I162" s="3">
        <f t="shared" si="9"/>
      </c>
      <c r="J162" s="4">
        <v>28.3</v>
      </c>
      <c r="K162" s="4">
        <f t="shared" si="10"/>
      </c>
      <c r="M162">
        <f t="shared" si="8"/>
      </c>
      <c r="N162">
        <f>IF(A162="","", "CP-" &amp; IFERROR(VLOOKUP(D162, Catalogos!$Z$4:$AA$20, 2, FALSE), "FOL") &amp; "-" &amp; WEEKNUM(A162,2) &amp; "-" &amp; TEXT(ROW(A158),"000"))</f>
      </c>
    </row>
    <row r="163" spans="1:14">
      <c r="A163" s="2"/>
      <c r="C163" t="s">
        <v>47</v>
      </c>
      <c r="F163">
        <f>VLOOKUP(TablaPegaso[[#This Row],[Equipo]],Catalogos!$V$4:$W$85,2,FALSE)</f>
      </c>
      <c r="G163" s="3"/>
      <c r="H163" s="3"/>
      <c r="I163" s="3">
        <f t="shared" si="9"/>
      </c>
      <c r="J163" s="4">
        <v>28.3</v>
      </c>
      <c r="K163" s="4">
        <f t="shared" si="10"/>
      </c>
      <c r="M163">
        <f t="shared" si="8"/>
      </c>
      <c r="N163">
        <f>IF(A163="","", "CP-" &amp; IFERROR(VLOOKUP(D163, Catalogos!$Z$4:$AA$20, 2, FALSE), "FOL") &amp; "-" &amp; WEEKNUM(A163,2) &amp; "-" &amp; TEXT(ROW(A159),"000"))</f>
      </c>
    </row>
    <row r="164" spans="1:14">
      <c r="A164" s="2"/>
      <c r="C164" t="s">
        <v>47</v>
      </c>
      <c r="F164">
        <f>VLOOKUP(TablaPegaso[[#This Row],[Equipo]],Catalogos!$V$4:$W$85,2,FALSE)</f>
      </c>
      <c r="G164" s="3"/>
      <c r="H164" s="3"/>
      <c r="I164" s="3">
        <f t="shared" si="9"/>
      </c>
      <c r="J164" s="4">
        <v>28.3</v>
      </c>
      <c r="K164" s="4">
        <f t="shared" si="10"/>
      </c>
      <c r="M164">
        <f t="shared" si="8"/>
      </c>
      <c r="N164">
        <f>IF(A164="","", "CP-" &amp; IFERROR(VLOOKUP(D164, Catalogos!$Z$4:$AA$20, 2, FALSE), "FOL") &amp; "-" &amp; WEEKNUM(A164,2) &amp; "-" &amp; TEXT(ROW(A160),"000"))</f>
      </c>
    </row>
    <row r="165" spans="1:14">
      <c r="A165" s="2"/>
      <c r="C165" t="s">
        <v>47</v>
      </c>
      <c r="F165">
        <f>VLOOKUP(TablaPegaso[[#This Row],[Equipo]],Catalogos!$V$4:$W$85,2,FALSE)</f>
      </c>
      <c r="G165" s="3"/>
      <c r="H165" s="3"/>
      <c r="I165" s="3">
        <f t="shared" si="9"/>
      </c>
      <c r="J165" s="4">
        <v>28.3</v>
      </c>
      <c r="K165" s="4">
        <f t="shared" si="10"/>
      </c>
      <c r="M165">
        <f t="shared" si="8"/>
      </c>
      <c r="N165">
        <f>IF(A165="","", "CP-" &amp; IFERROR(VLOOKUP(D165, Catalogos!$Z$4:$AA$20, 2, FALSE), "FOL") &amp; "-" &amp; WEEKNUM(A165,2) &amp; "-" &amp; TEXT(ROW(A161),"000"))</f>
      </c>
    </row>
    <row r="166" spans="1:14">
      <c r="A166" s="2"/>
      <c r="C166" t="s">
        <v>47</v>
      </c>
      <c r="F166">
        <f>VLOOKUP(TablaPegaso[[#This Row],[Equipo]],Catalogos!$V$4:$W$85,2,FALSE)</f>
      </c>
      <c r="G166" s="3"/>
      <c r="H166" s="3"/>
      <c r="I166" s="3">
        <f t="shared" si="9"/>
      </c>
      <c r="J166" s="4">
        <v>28.3</v>
      </c>
      <c r="K166" s="4">
        <f t="shared" si="10"/>
      </c>
      <c r="M166">
        <f t="shared" si="8"/>
      </c>
      <c r="N166">
        <f>IF(A166="","", "CP-" &amp; IFERROR(VLOOKUP(D166, Catalogos!$Z$4:$AA$20, 2, FALSE), "FOL") &amp; "-" &amp; WEEKNUM(A166,2) &amp; "-" &amp; TEXT(ROW(A162),"000"))</f>
      </c>
    </row>
    <row r="167" spans="1:14">
      <c r="A167" s="2"/>
      <c r="C167" t="s">
        <v>47</v>
      </c>
      <c r="F167">
        <f>VLOOKUP(TablaPegaso[[#This Row],[Equipo]],Catalogos!$V$4:$W$85,2,FALSE)</f>
      </c>
      <c r="G167" s="3"/>
      <c r="H167" s="3"/>
      <c r="I167" s="3">
        <f t="shared" si="9"/>
      </c>
      <c r="J167" s="4">
        <v>28.3</v>
      </c>
      <c r="K167" s="4">
        <f t="shared" si="10"/>
      </c>
      <c r="M167">
        <f t="shared" si="8"/>
      </c>
      <c r="N167">
        <f>IF(A167="","", "CP-" &amp; IFERROR(VLOOKUP(D167, Catalogos!$Z$4:$AA$20, 2, FALSE), "FOL") &amp; "-" &amp; WEEKNUM(A167,2) &amp; "-" &amp; TEXT(ROW(A163),"000"))</f>
      </c>
    </row>
    <row r="168" spans="1:14">
      <c r="A168" s="2"/>
      <c r="C168" t="s">
        <v>47</v>
      </c>
      <c r="F168">
        <f>VLOOKUP(TablaPegaso[[#This Row],[Equipo]],Catalogos!$V$4:$W$85,2,FALSE)</f>
      </c>
      <c r="G168" s="3"/>
      <c r="H168" s="3"/>
      <c r="I168" s="3">
        <f t="shared" si="9"/>
      </c>
      <c r="J168" s="4">
        <v>28.3</v>
      </c>
      <c r="K168" s="4">
        <f t="shared" si="10"/>
      </c>
      <c r="M168">
        <f t="shared" si="8"/>
      </c>
      <c r="N168">
        <f>IF(A168="","", "CP-" &amp; IFERROR(VLOOKUP(D168, Catalogos!$Z$4:$AA$20, 2, FALSE), "FOL") &amp; "-" &amp; WEEKNUM(A168,2) &amp; "-" &amp; TEXT(ROW(A164),"000"))</f>
      </c>
    </row>
    <row r="169" spans="1:14">
      <c r="A169" s="2"/>
      <c r="C169" t="s">
        <v>47</v>
      </c>
      <c r="F169">
        <f>VLOOKUP(TablaPegaso[[#This Row],[Equipo]],Catalogos!$V$4:$W$85,2,FALSE)</f>
      </c>
      <c r="G169" s="3"/>
      <c r="H169" s="3"/>
      <c r="I169" s="3">
        <f t="shared" si="9"/>
      </c>
      <c r="J169" s="4">
        <v>28.3</v>
      </c>
      <c r="K169" s="4">
        <f t="shared" ref="K169:K200" si="11">IFERROR((G169+H169)*J169,0)</f>
      </c>
      <c r="M169">
        <f t="shared" si="8"/>
      </c>
      <c r="N169">
        <f>IF(A169="","", "CP-" &amp; IFERROR(VLOOKUP(D169, Catalogos!$Z$4:$AA$20, 2, FALSE), "FOL") &amp; "-" &amp; WEEKNUM(A169,2) &amp; "-" &amp; TEXT(ROW(A165),"000"))</f>
      </c>
    </row>
    <row r="170" spans="1:14">
      <c r="A170" s="2"/>
      <c r="C170" t="s">
        <v>47</v>
      </c>
      <c r="F170">
        <f>VLOOKUP(TablaPegaso[[#This Row],[Equipo]],Catalogos!$V$4:$W$85,2,FALSE)</f>
      </c>
      <c r="G170" s="3"/>
      <c r="H170" s="3"/>
      <c r="I170" s="3">
        <f t="shared" si="9"/>
      </c>
      <c r="J170" s="4">
        <v>28.3</v>
      </c>
      <c r="K170" s="4">
        <f t="shared" si="11"/>
      </c>
      <c r="M170">
        <f t="shared" si="8"/>
      </c>
      <c r="N170">
        <f>IF(A170="","", "CP-" &amp; IFERROR(VLOOKUP(D170, Catalogos!$Z$4:$AA$20, 2, FALSE), "FOL") &amp; "-" &amp; WEEKNUM(A170,2) &amp; "-" &amp; TEXT(ROW(A166),"000"))</f>
      </c>
    </row>
    <row r="171" spans="1:14">
      <c r="A171" s="2"/>
      <c r="C171" t="s">
        <v>47</v>
      </c>
      <c r="F171">
        <f>VLOOKUP(TablaPegaso[[#This Row],[Equipo]],Catalogos!$V$4:$W$85,2,FALSE)</f>
      </c>
      <c r="G171" s="3"/>
      <c r="H171" s="3"/>
      <c r="I171" s="3">
        <f t="shared" si="9"/>
      </c>
      <c r="J171" s="4">
        <v>28.3</v>
      </c>
      <c r="K171" s="4">
        <f t="shared" si="11"/>
      </c>
      <c r="M171">
        <f t="shared" si="8"/>
      </c>
      <c r="N171">
        <f>IF(A171="","", "CP-" &amp; IFERROR(VLOOKUP(D171, Catalogos!$Z$4:$AA$20, 2, FALSE), "FOL") &amp; "-" &amp; WEEKNUM(A171,2) &amp; "-" &amp; TEXT(ROW(A167),"000"))</f>
      </c>
    </row>
    <row r="172" spans="1:14">
      <c r="A172" s="2"/>
      <c r="C172" t="s">
        <v>47</v>
      </c>
      <c r="F172">
        <f>VLOOKUP(TablaPegaso[[#This Row],[Equipo]],Catalogos!$V$4:$W$85,2,FALSE)</f>
      </c>
      <c r="G172" s="3"/>
      <c r="H172" s="3"/>
      <c r="I172" s="3">
        <f t="shared" si="9"/>
      </c>
      <c r="J172" s="4">
        <v>28.3</v>
      </c>
      <c r="K172" s="4">
        <f t="shared" si="11"/>
      </c>
      <c r="M172">
        <f t="shared" si="8"/>
      </c>
      <c r="N172">
        <f>IF(A172="","", "CP-" &amp; IFERROR(VLOOKUP(D172, Catalogos!$Z$4:$AA$20, 2, FALSE), "FOL") &amp; "-" &amp; WEEKNUM(A172,2) &amp; "-" &amp; TEXT(ROW(A168),"000"))</f>
      </c>
    </row>
    <row r="173" spans="1:14">
      <c r="A173" s="2"/>
      <c r="C173" t="s">
        <v>47</v>
      </c>
      <c r="F173">
        <f>VLOOKUP(TablaPegaso[[#This Row],[Equipo]],Catalogos!$V$4:$W$85,2,FALSE)</f>
      </c>
      <c r="G173" s="3"/>
      <c r="H173" s="3"/>
      <c r="I173" s="3">
        <f t="shared" si="9"/>
      </c>
      <c r="J173" s="4">
        <v>28.3</v>
      </c>
      <c r="K173" s="4">
        <f t="shared" si="11"/>
      </c>
      <c r="M173">
        <f t="shared" si="8"/>
      </c>
      <c r="N173">
        <f>IF(A173="","", "CP-" &amp; IFERROR(VLOOKUP(D173, Catalogos!$Z$4:$AA$20, 2, FALSE), "FOL") &amp; "-" &amp; WEEKNUM(A173,2) &amp; "-" &amp; TEXT(ROW(A169),"000"))</f>
      </c>
    </row>
    <row r="174" spans="1:14">
      <c r="A174" s="2"/>
      <c r="C174" t="s">
        <v>47</v>
      </c>
      <c r="F174">
        <f>VLOOKUP(TablaPegaso[[#This Row],[Equipo]],Catalogos!$V$4:$W$85,2,FALSE)</f>
      </c>
      <c r="G174" s="3"/>
      <c r="H174" s="3"/>
      <c r="I174" s="3">
        <f t="shared" si="9"/>
      </c>
      <c r="J174" s="4">
        <v>28.3</v>
      </c>
      <c r="K174" s="4">
        <f t="shared" si="11"/>
      </c>
      <c r="M174">
        <f t="shared" si="8"/>
      </c>
      <c r="N174">
        <f>IF(A174="","", "CP-" &amp; IFERROR(VLOOKUP(D174, Catalogos!$Z$4:$AA$20, 2, FALSE), "FOL") &amp; "-" &amp; WEEKNUM(A174,2) &amp; "-" &amp; TEXT(ROW(A170),"000"))</f>
      </c>
    </row>
    <row r="175" spans="1:14">
      <c r="A175" s="2"/>
      <c r="C175" t="s">
        <v>47</v>
      </c>
      <c r="F175">
        <f>VLOOKUP(TablaPegaso[[#This Row],[Equipo]],Catalogos!$V$4:$W$85,2,FALSE)</f>
      </c>
      <c r="G175" s="3"/>
      <c r="H175" s="3"/>
      <c r="I175" s="3">
        <f t="shared" si="9"/>
      </c>
      <c r="J175" s="4">
        <v>28.3</v>
      </c>
      <c r="K175" s="4">
        <f t="shared" si="11"/>
      </c>
      <c r="M175">
        <f t="shared" si="8"/>
      </c>
      <c r="N175">
        <f>IF(A175="","", "CP-" &amp; IFERROR(VLOOKUP(D175, Catalogos!$Z$4:$AA$20, 2, FALSE), "FOL") &amp; "-" &amp; WEEKNUM(A175,2) &amp; "-" &amp; TEXT(ROW(A171),"000"))</f>
      </c>
    </row>
    <row r="176" spans="1:14">
      <c r="A176" s="2"/>
      <c r="C176" t="s">
        <v>47</v>
      </c>
      <c r="F176">
        <f>VLOOKUP(TablaPegaso[[#This Row],[Equipo]],Catalogos!$V$4:$W$85,2,FALSE)</f>
      </c>
      <c r="G176" s="3"/>
      <c r="H176" s="3"/>
      <c r="I176" s="3">
        <f t="shared" si="9"/>
      </c>
      <c r="J176" s="4">
        <v>28.3</v>
      </c>
      <c r="K176" s="4">
        <f t="shared" si="11"/>
      </c>
      <c r="M176">
        <f t="shared" si="8"/>
      </c>
      <c r="N176">
        <f>IF(A176="","", "CP-" &amp; IFERROR(VLOOKUP(D176, Catalogos!$Z$4:$AA$20, 2, FALSE), "FOL") &amp; "-" &amp; WEEKNUM(A176,2) &amp; "-" &amp; TEXT(ROW(A172),"000"))</f>
      </c>
    </row>
    <row r="177" spans="1:14">
      <c r="A177" s="2"/>
      <c r="C177" t="s">
        <v>47</v>
      </c>
      <c r="F177">
        <f>VLOOKUP(TablaPegaso[[#This Row],[Equipo]],Catalogos!$V$4:$W$85,2,FALSE)</f>
      </c>
      <c r="G177" s="3"/>
      <c r="H177" s="3"/>
      <c r="I177" s="3">
        <f t="shared" si="9"/>
      </c>
      <c r="J177" s="4">
        <v>28.3</v>
      </c>
      <c r="K177" s="4">
        <f t="shared" si="11"/>
      </c>
      <c r="M177">
        <f t="shared" si="8"/>
      </c>
      <c r="N177">
        <f>IF(A177="","", "CP-" &amp; IFERROR(VLOOKUP(D177, Catalogos!$Z$4:$AA$20, 2, FALSE), "FOL") &amp; "-" &amp; WEEKNUM(A177,2) &amp; "-" &amp; TEXT(ROW(A173),"000"))</f>
      </c>
    </row>
    <row r="178" spans="1:14">
      <c r="A178" s="2"/>
      <c r="C178" t="s">
        <v>47</v>
      </c>
      <c r="F178">
        <f>VLOOKUP(TablaPegaso[[#This Row],[Equipo]],Catalogos!$V$4:$W$85,2,FALSE)</f>
      </c>
      <c r="G178" s="3"/>
      <c r="H178" s="3"/>
      <c r="I178" s="3">
        <f t="shared" si="9"/>
      </c>
      <c r="J178" s="4">
        <v>28.3</v>
      </c>
      <c r="K178" s="4">
        <f t="shared" si="11"/>
      </c>
      <c r="M178">
        <f t="shared" si="8"/>
      </c>
      <c r="N178">
        <f>IF(A178="","", "CP-" &amp; IFERROR(VLOOKUP(D178, Catalogos!$Z$4:$AA$20, 2, FALSE), "FOL") &amp; "-" &amp; WEEKNUM(A178,2) &amp; "-" &amp; TEXT(ROW(A174),"000"))</f>
      </c>
    </row>
    <row r="179" spans="1:14">
      <c r="A179" s="2"/>
      <c r="C179" t="s">
        <v>47</v>
      </c>
      <c r="F179">
        <f>VLOOKUP(TablaPegaso[[#This Row],[Equipo]],Catalogos!$V$4:$W$85,2,FALSE)</f>
      </c>
      <c r="G179" s="3"/>
      <c r="H179" s="3"/>
      <c r="I179" s="3">
        <f t="shared" si="9"/>
      </c>
      <c r="J179" s="4">
        <v>28.3</v>
      </c>
      <c r="K179" s="4">
        <f t="shared" si="11"/>
      </c>
      <c r="M179">
        <f t="shared" si="8"/>
      </c>
      <c r="N179">
        <f>IF(A179="","", "CP-" &amp; IFERROR(VLOOKUP(D179, Catalogos!$Z$4:$AA$20, 2, FALSE), "FOL") &amp; "-" &amp; WEEKNUM(A179,2) &amp; "-" &amp; TEXT(ROW(A175),"000"))</f>
      </c>
    </row>
    <row r="180" spans="1:14">
      <c r="A180" s="2"/>
      <c r="C180" t="s">
        <v>47</v>
      </c>
      <c r="F180">
        <f>VLOOKUP(TablaPegaso[[#This Row],[Equipo]],Catalogos!$V$4:$W$85,2,FALSE)</f>
      </c>
      <c r="G180" s="3"/>
      <c r="H180" s="3"/>
      <c r="I180" s="3">
        <f t="shared" si="9"/>
      </c>
      <c r="J180" s="4">
        <v>28.3</v>
      </c>
      <c r="K180" s="4">
        <f t="shared" si="11"/>
      </c>
      <c r="M180">
        <f t="shared" si="8"/>
      </c>
      <c r="N180">
        <f>IF(A180="","", "CP-" &amp; IFERROR(VLOOKUP(D180, Catalogos!$Z$4:$AA$20, 2, FALSE), "FOL") &amp; "-" &amp; WEEKNUM(A180,2) &amp; "-" &amp; TEXT(ROW(A176),"000"))</f>
      </c>
    </row>
    <row r="181" spans="1:14">
      <c r="A181" s="2"/>
      <c r="C181" t="s">
        <v>47</v>
      </c>
      <c r="F181">
        <f>VLOOKUP(TablaPegaso[[#This Row],[Equipo]],Catalogos!$V$4:$W$85,2,FALSE)</f>
      </c>
      <c r="G181" s="3"/>
      <c r="H181" s="3"/>
      <c r="I181" s="3">
        <f t="shared" si="9"/>
      </c>
      <c r="J181" s="4">
        <v>28.3</v>
      </c>
      <c r="K181" s="4">
        <f t="shared" si="11"/>
      </c>
      <c r="M181">
        <f t="shared" si="8"/>
      </c>
      <c r="N181">
        <f>IF(A181="","", "CP-" &amp; IFERROR(VLOOKUP(D181, Catalogos!$Z$4:$AA$20, 2, FALSE), "FOL") &amp; "-" &amp; WEEKNUM(A181,2) &amp; "-" &amp; TEXT(ROW(A177),"000"))</f>
      </c>
    </row>
    <row r="182" spans="1:14">
      <c r="A182" s="2"/>
      <c r="C182" t="s">
        <v>47</v>
      </c>
      <c r="F182">
        <f>VLOOKUP(TablaPegaso[[#This Row],[Equipo]],Catalogos!$V$4:$W$85,2,FALSE)</f>
      </c>
      <c r="G182" s="3"/>
      <c r="H182" s="3"/>
      <c r="I182" s="3">
        <f t="shared" si="9"/>
      </c>
      <c r="J182" s="4">
        <v>28.3</v>
      </c>
      <c r="K182" s="4">
        <f t="shared" si="11"/>
      </c>
      <c r="M182">
        <f t="shared" si="8"/>
      </c>
      <c r="N182">
        <f>IF(A182="","", "CP-" &amp; IFERROR(VLOOKUP(D182, Catalogos!$Z$4:$AA$20, 2, FALSE), "FOL") &amp; "-" &amp; WEEKNUM(A182,2) &amp; "-" &amp; TEXT(ROW(A178),"000"))</f>
      </c>
    </row>
    <row r="183" spans="1:14">
      <c r="A183" s="2"/>
      <c r="C183" t="s">
        <v>47</v>
      </c>
      <c r="F183">
        <f>VLOOKUP(TablaPegaso[[#This Row],[Equipo]],Catalogos!$V$4:$W$85,2,FALSE)</f>
      </c>
      <c r="G183" s="3"/>
      <c r="H183" s="3"/>
      <c r="I183" s="3">
        <f t="shared" si="9"/>
      </c>
      <c r="J183" s="4">
        <v>28.3</v>
      </c>
      <c r="K183" s="4">
        <f t="shared" si="11"/>
      </c>
      <c r="M183">
        <f t="shared" si="8"/>
      </c>
      <c r="N183">
        <f>IF(A183="","", "CP-" &amp; IFERROR(VLOOKUP(D183, Catalogos!$Z$4:$AA$20, 2, FALSE), "FOL") &amp; "-" &amp; WEEKNUM(A183,2) &amp; "-" &amp; TEXT(ROW(A179),"000"))</f>
      </c>
    </row>
    <row r="184" spans="1:14">
      <c r="A184" s="2"/>
      <c r="C184" t="s">
        <v>47</v>
      </c>
      <c r="F184">
        <f>VLOOKUP(TablaPegaso[[#This Row],[Equipo]],Catalogos!$V$4:$W$85,2,FALSE)</f>
      </c>
      <c r="G184" s="3"/>
      <c r="H184" s="3"/>
      <c r="I184" s="3">
        <f t="shared" si="9"/>
      </c>
      <c r="J184" s="4">
        <v>28.3</v>
      </c>
      <c r="K184" s="4">
        <f t="shared" si="11"/>
      </c>
      <c r="M184">
        <f t="shared" si="8"/>
      </c>
      <c r="N184">
        <f>IF(A184="","", "CP-" &amp; IFERROR(VLOOKUP(D184, Catalogos!$Z$4:$AA$20, 2, FALSE), "FOL") &amp; "-" &amp; WEEKNUM(A184,2) &amp; "-" &amp; TEXT(ROW(A180),"000"))</f>
      </c>
    </row>
    <row r="185" spans="1:14">
      <c r="A185" s="2"/>
      <c r="C185" t="s">
        <v>47</v>
      </c>
      <c r="F185">
        <f>VLOOKUP(TablaPegaso[[#This Row],[Equipo]],Catalogos!$V$4:$W$85,2,FALSE)</f>
      </c>
      <c r="G185" s="3"/>
      <c r="H185" s="3"/>
      <c r="I185" s="3">
        <f t="shared" si="9"/>
      </c>
      <c r="J185" s="4">
        <v>28.3</v>
      </c>
      <c r="K185" s="4">
        <f t="shared" si="11"/>
      </c>
      <c r="M185">
        <f t="shared" si="8"/>
      </c>
      <c r="N185">
        <f>IF(A185="","", "CP-" &amp; IFERROR(VLOOKUP(D185, Catalogos!$Z$4:$AA$20, 2, FALSE), "FOL") &amp; "-" &amp; WEEKNUM(A185,2) &amp; "-" &amp; TEXT(ROW(A181),"000"))</f>
      </c>
    </row>
    <row r="186" spans="1:14">
      <c r="A186" s="2"/>
      <c r="C186" t="s">
        <v>47</v>
      </c>
      <c r="F186">
        <f>VLOOKUP(TablaPegaso[[#This Row],[Equipo]],Catalogos!$V$4:$W$85,2,FALSE)</f>
      </c>
      <c r="G186" s="3"/>
      <c r="H186" s="3"/>
      <c r="I186" s="3">
        <f t="shared" si="9"/>
      </c>
      <c r="J186" s="4">
        <v>28.3</v>
      </c>
      <c r="K186" s="4">
        <f t="shared" si="11"/>
      </c>
      <c r="M186">
        <f t="shared" si="8"/>
      </c>
      <c r="N186">
        <f>IF(A186="","", "CP-" &amp; IFERROR(VLOOKUP(D186, Catalogos!$Z$4:$AA$20, 2, FALSE), "FOL") &amp; "-" &amp; WEEKNUM(A186,2) &amp; "-" &amp; TEXT(ROW(A182),"000"))</f>
      </c>
    </row>
    <row r="187" spans="1:14">
      <c r="A187" s="2"/>
      <c r="C187" t="s">
        <v>47</v>
      </c>
      <c r="F187">
        <f>VLOOKUP(TablaPegaso[[#This Row],[Equipo]],Catalogos!$V$4:$W$85,2,FALSE)</f>
      </c>
      <c r="G187" s="3"/>
      <c r="H187" s="3"/>
      <c r="I187" s="3">
        <f t="shared" si="9"/>
      </c>
      <c r="J187" s="4">
        <v>28.3</v>
      </c>
      <c r="K187" s="4">
        <f t="shared" si="11"/>
      </c>
      <c r="M187">
        <f t="shared" si="8"/>
      </c>
      <c r="N187">
        <f>IF(A187="","", "CP-" &amp; IFERROR(VLOOKUP(D187, Catalogos!$Z$4:$AA$20, 2, FALSE), "FOL") &amp; "-" &amp; WEEKNUM(A187,2) &amp; "-" &amp; TEXT(ROW(A183),"000"))</f>
      </c>
    </row>
    <row r="188" spans="1:14">
      <c r="A188" s="2"/>
      <c r="C188" t="s">
        <v>47</v>
      </c>
      <c r="F188">
        <f>VLOOKUP(TablaPegaso[[#This Row],[Equipo]],Catalogos!$V$4:$W$85,2,FALSE)</f>
      </c>
      <c r="G188" s="3"/>
      <c r="H188" s="3"/>
      <c r="I188" s="3">
        <f t="shared" si="9"/>
      </c>
      <c r="J188" s="4">
        <v>28.3</v>
      </c>
      <c r="K188" s="4">
        <f t="shared" si="11"/>
      </c>
      <c r="M188">
        <f t="shared" si="8"/>
      </c>
      <c r="N188">
        <f>IF(A188="","", "CP-" &amp; IFERROR(VLOOKUP(D188, Catalogos!$Z$4:$AA$20, 2, FALSE), "FOL") &amp; "-" &amp; WEEKNUM(A188,2) &amp; "-" &amp; TEXT(ROW(A184),"000"))</f>
      </c>
    </row>
    <row r="189" spans="1:14">
      <c r="A189" s="2"/>
      <c r="C189" t="s">
        <v>47</v>
      </c>
      <c r="F189">
        <f>VLOOKUP(TablaPegaso[[#This Row],[Equipo]],Catalogos!$V$4:$W$85,2,FALSE)</f>
      </c>
      <c r="G189" s="3"/>
      <c r="H189" s="3"/>
      <c r="I189" s="3">
        <f t="shared" si="9"/>
      </c>
      <c r="J189" s="4">
        <v>28.3</v>
      </c>
      <c r="K189" s="4">
        <f t="shared" si="11"/>
      </c>
      <c r="M189">
        <f t="shared" si="8"/>
      </c>
      <c r="N189">
        <f>IF(A189="","", "CP-" &amp; IFERROR(VLOOKUP(D189, Catalogos!$Z$4:$AA$20, 2, FALSE), "FOL") &amp; "-" &amp; WEEKNUM(A189,2) &amp; "-" &amp; TEXT(ROW(A185),"000"))</f>
      </c>
    </row>
    <row r="190" spans="1:14">
      <c r="A190" s="2"/>
      <c r="C190" t="s">
        <v>47</v>
      </c>
      <c r="F190">
        <f>VLOOKUP(TablaPegaso[[#This Row],[Equipo]],Catalogos!$V$4:$W$85,2,FALSE)</f>
      </c>
      <c r="G190" s="3"/>
      <c r="H190" s="3"/>
      <c r="I190" s="3">
        <f t="shared" si="9"/>
      </c>
      <c r="J190" s="4">
        <v>28.3</v>
      </c>
      <c r="K190" s="4">
        <f t="shared" si="11"/>
      </c>
      <c r="M190">
        <f t="shared" si="8"/>
      </c>
      <c r="N190">
        <f>IF(A190="","", "CP-" &amp; IFERROR(VLOOKUP(D190, Catalogos!$Z$4:$AA$20, 2, FALSE), "FOL") &amp; "-" &amp; WEEKNUM(A190,2) &amp; "-" &amp; TEXT(ROW(A186),"000"))</f>
      </c>
    </row>
    <row r="191" spans="1:14">
      <c r="A191" s="2"/>
      <c r="C191" t="s">
        <v>47</v>
      </c>
      <c r="F191">
        <f>VLOOKUP(TablaPegaso[[#This Row],[Equipo]],Catalogos!$V$4:$W$85,2,FALSE)</f>
      </c>
      <c r="G191" s="3"/>
      <c r="H191" s="3"/>
      <c r="I191" s="3">
        <f t="shared" si="9"/>
      </c>
      <c r="J191" s="4">
        <v>28.3</v>
      </c>
      <c r="K191" s="4">
        <f t="shared" si="11"/>
      </c>
      <c r="M191">
        <f t="shared" si="8"/>
      </c>
      <c r="N191">
        <f>IF(A191="","", "CP-" &amp; IFERROR(VLOOKUP(D191, Catalogos!$Z$4:$AA$20, 2, FALSE), "FOL") &amp; "-" &amp; WEEKNUM(A191,2) &amp; "-" &amp; TEXT(ROW(A187),"000"))</f>
      </c>
    </row>
    <row r="192" spans="1:14">
      <c r="A192" s="2"/>
      <c r="C192" t="s">
        <v>47</v>
      </c>
      <c r="F192">
        <f>VLOOKUP(TablaPegaso[[#This Row],[Equipo]],Catalogos!$V$4:$W$85,2,FALSE)</f>
      </c>
      <c r="G192" s="3"/>
      <c r="H192" s="3"/>
      <c r="I192" s="3">
        <f t="shared" si="9"/>
      </c>
      <c r="J192" s="4">
        <v>28.3</v>
      </c>
      <c r="K192" s="4">
        <f t="shared" si="11"/>
      </c>
      <c r="M192">
        <f t="shared" si="8"/>
      </c>
      <c r="N192">
        <f>IF(A192="","", "CP-" &amp; IFERROR(VLOOKUP(D192, Catalogos!$Z$4:$AA$20, 2, FALSE), "FOL") &amp; "-" &amp; WEEKNUM(A192,2) &amp; "-" &amp; TEXT(ROW(A188),"000"))</f>
      </c>
    </row>
    <row r="193" spans="1:14">
      <c r="A193" s="2"/>
      <c r="C193" t="s">
        <v>47</v>
      </c>
      <c r="F193">
        <f>VLOOKUP(TablaPegaso[[#This Row],[Equipo]],Catalogos!$V$4:$W$85,2,FALSE)</f>
      </c>
      <c r="G193" s="3"/>
      <c r="H193" s="3"/>
      <c r="I193" s="3">
        <f t="shared" si="9"/>
      </c>
      <c r="J193" s="4">
        <v>28.3</v>
      </c>
      <c r="K193" s="4">
        <f t="shared" si="11"/>
      </c>
      <c r="M193">
        <f t="shared" si="8"/>
      </c>
      <c r="N193">
        <f>IF(A193="","", "CP-" &amp; IFERROR(VLOOKUP(D193, Catalogos!$Z$4:$AA$20, 2, FALSE), "FOL") &amp; "-" &amp; WEEKNUM(A193,2) &amp; "-" &amp; TEXT(ROW(A189),"000"))</f>
      </c>
    </row>
    <row r="194" spans="1:14">
      <c r="A194" s="2"/>
      <c r="C194" t="s">
        <v>47</v>
      </c>
      <c r="F194">
        <f>VLOOKUP(TablaPegaso[[#This Row],[Equipo]],Catalogos!$V$4:$W$85,2,FALSE)</f>
      </c>
      <c r="G194" s="3"/>
      <c r="H194" s="3"/>
      <c r="I194" s="3">
        <f t="shared" si="9"/>
      </c>
      <c r="J194" s="4">
        <v>28.3</v>
      </c>
      <c r="K194" s="4">
        <f t="shared" si="11"/>
      </c>
      <c r="M194">
        <f t="shared" si="8"/>
      </c>
      <c r="N194">
        <f>IF(A194="","", "CP-" &amp; IFERROR(VLOOKUP(D194, Catalogos!$Z$4:$AA$20, 2, FALSE), "FOL") &amp; "-" &amp; WEEKNUM(A194,2) &amp; "-" &amp; TEXT(ROW(A190),"000"))</f>
      </c>
    </row>
    <row r="195" spans="1:14">
      <c r="A195" s="2"/>
      <c r="C195" t="s">
        <v>47</v>
      </c>
      <c r="F195">
        <f>VLOOKUP(TablaPegaso[[#This Row],[Equipo]],Catalogos!$V$4:$W$85,2,FALSE)</f>
      </c>
      <c r="G195" s="3"/>
      <c r="H195" s="3"/>
      <c r="I195" s="3">
        <f t="shared" si="9"/>
      </c>
      <c r="J195" s="4">
        <v>28.3</v>
      </c>
      <c r="K195" s="4">
        <f t="shared" si="11"/>
      </c>
      <c r="M195">
        <f t="shared" si="8"/>
      </c>
      <c r="N195">
        <f>IF(A195="","", "CP-" &amp; IFERROR(VLOOKUP(D195, Catalogos!$Z$4:$AA$20, 2, FALSE), "FOL") &amp; "-" &amp; WEEKNUM(A195,2) &amp; "-" &amp; TEXT(ROW(A191),"000"))</f>
      </c>
    </row>
    <row r="196" spans="1:14">
      <c r="A196" s="2"/>
      <c r="C196" t="s">
        <v>47</v>
      </c>
      <c r="F196">
        <f>VLOOKUP(TablaPegaso[[#This Row],[Equipo]],Catalogos!$V$4:$W$85,2,FALSE)</f>
      </c>
      <c r="G196" s="3"/>
      <c r="H196" s="3"/>
      <c r="I196" s="3">
        <f t="shared" si="9"/>
      </c>
      <c r="J196" s="4">
        <v>28.3</v>
      </c>
      <c r="K196" s="4">
        <f t="shared" si="11"/>
      </c>
      <c r="M196">
        <f t="shared" si="8"/>
      </c>
      <c r="N196">
        <f>IF(A196="","", "CP-" &amp; IFERROR(VLOOKUP(D196, Catalogos!$Z$4:$AA$20, 2, FALSE), "FOL") &amp; "-" &amp; WEEKNUM(A196,2) &amp; "-" &amp; TEXT(ROW(A192),"000"))</f>
      </c>
    </row>
    <row r="197" spans="1:14">
      <c r="A197" s="2"/>
      <c r="C197" t="s">
        <v>47</v>
      </c>
      <c r="F197">
        <f>VLOOKUP(TablaPegaso[[#This Row],[Equipo]],Catalogos!$V$4:$W$85,2,FALSE)</f>
      </c>
      <c r="G197" s="3"/>
      <c r="H197" s="3"/>
      <c r="I197" s="3">
        <f t="shared" si="9"/>
      </c>
      <c r="J197" s="4">
        <v>28.3</v>
      </c>
      <c r="K197" s="4">
        <f t="shared" si="11"/>
      </c>
      <c r="M197">
        <f t="shared" ref="M197:M260" si="12">IF(A197="","", WEEKNUM(A197, 2))</f>
      </c>
      <c r="N197">
        <f>IF(A197="","", "CP-" &amp; IFERROR(VLOOKUP(D197, Catalogos!$Z$4:$AA$20, 2, FALSE), "FOL") &amp; "-" &amp; WEEKNUM(A197,2) &amp; "-" &amp; TEXT(ROW(A193),"000"))</f>
      </c>
    </row>
    <row r="198" spans="1:14">
      <c r="A198" s="2"/>
      <c r="C198" t="s">
        <v>47</v>
      </c>
      <c r="F198">
        <f>VLOOKUP(TablaPegaso[[#This Row],[Equipo]],Catalogos!$V$4:$W$85,2,FALSE)</f>
      </c>
      <c r="G198" s="3"/>
      <c r="H198" s="3"/>
      <c r="I198" s="3">
        <f t="shared" ref="I198:I208" si="13">IF(ROW()=5,G198-H198,I197+G198-H198)</f>
      </c>
      <c r="J198" s="4">
        <v>28.3</v>
      </c>
      <c r="K198" s="4">
        <f t="shared" si="11"/>
      </c>
      <c r="M198">
        <f t="shared" si="12"/>
      </c>
      <c r="N198">
        <f>IF(A198="","", "CP-" &amp; IFERROR(VLOOKUP(D198, Catalogos!$Z$4:$AA$20, 2, FALSE), "FOL") &amp; "-" &amp; WEEKNUM(A198,2) &amp; "-" &amp; TEXT(ROW(A194),"000"))</f>
      </c>
    </row>
    <row r="199" spans="1:14">
      <c r="A199" s="2"/>
      <c r="C199" t="s">
        <v>47</v>
      </c>
      <c r="F199">
        <f>VLOOKUP(TablaPegaso[[#This Row],[Equipo]],Catalogos!$V$4:$W$85,2,FALSE)</f>
      </c>
      <c r="G199" s="3"/>
      <c r="H199" s="3"/>
      <c r="I199" s="3">
        <f t="shared" si="13"/>
      </c>
      <c r="J199" s="4">
        <v>28.3</v>
      </c>
      <c r="K199" s="4">
        <f t="shared" si="11"/>
      </c>
      <c r="M199">
        <f t="shared" si="12"/>
      </c>
      <c r="N199">
        <f>IF(A199="","", "CP-" &amp; IFERROR(VLOOKUP(D199, Catalogos!$Z$4:$AA$20, 2, FALSE), "FOL") &amp; "-" &amp; WEEKNUM(A199,2) &amp; "-" &amp; TEXT(ROW(A195),"000"))</f>
      </c>
    </row>
    <row r="200" spans="1:14">
      <c r="A200" s="2"/>
      <c r="C200" t="s">
        <v>47</v>
      </c>
      <c r="F200">
        <f>VLOOKUP(TablaPegaso[[#This Row],[Equipo]],Catalogos!$V$4:$W$85,2,FALSE)</f>
      </c>
      <c r="G200" s="3"/>
      <c r="H200" s="3"/>
      <c r="I200" s="3">
        <f t="shared" si="13"/>
      </c>
      <c r="J200" s="4">
        <v>28.3</v>
      </c>
      <c r="K200" s="4">
        <f t="shared" si="11"/>
      </c>
      <c r="M200">
        <f t="shared" si="12"/>
      </c>
      <c r="N200">
        <f>IF(A200="","", "CP-" &amp; IFERROR(VLOOKUP(D200, Catalogos!$Z$4:$AA$20, 2, FALSE), "FOL") &amp; "-" &amp; WEEKNUM(A200,2) &amp; "-" &amp; TEXT(ROW(A196),"000"))</f>
      </c>
    </row>
    <row r="201" spans="1:14">
      <c r="A201" s="2"/>
      <c r="C201" t="s">
        <v>47</v>
      </c>
      <c r="F201">
        <f>VLOOKUP(TablaPegaso[[#This Row],[Equipo]],Catalogos!$V$4:$W$85,2,FALSE)</f>
      </c>
      <c r="G201" s="3"/>
      <c r="H201" s="3"/>
      <c r="I201" s="3">
        <f t="shared" si="13"/>
      </c>
      <c r="J201" s="4">
        <v>28.3</v>
      </c>
      <c r="K201" s="4">
        <f t="shared" ref="K201:K208" si="14">IFERROR((G201+H201)*J201,0)</f>
      </c>
      <c r="M201">
        <f t="shared" si="12"/>
      </c>
    </row>
    <row r="202" spans="1:14">
      <c r="A202" s="2"/>
      <c r="C202" t="s">
        <v>47</v>
      </c>
      <c r="F202">
        <f>VLOOKUP(TablaPegaso[[#This Row],[Equipo]],Catalogos!$V$4:$W$85,2,FALSE)</f>
      </c>
      <c r="G202" s="3"/>
      <c r="H202" s="3"/>
      <c r="I202" s="3">
        <f t="shared" si="13"/>
      </c>
      <c r="J202" s="4">
        <v>28.3</v>
      </c>
      <c r="K202" s="4">
        <f t="shared" si="14"/>
      </c>
      <c r="M202">
        <f t="shared" si="12"/>
      </c>
    </row>
    <row r="203" spans="1:14">
      <c r="A203" s="2"/>
      <c r="C203" t="s">
        <v>47</v>
      </c>
      <c r="F203">
        <f>VLOOKUP(TablaPegaso[[#This Row],[Equipo]],Catalogos!$V$4:$W$85,2,FALSE)</f>
      </c>
      <c r="G203" s="3"/>
      <c r="H203" s="3"/>
      <c r="I203" s="3">
        <f t="shared" si="13"/>
      </c>
      <c r="J203" s="4">
        <v>28.3</v>
      </c>
      <c r="K203" s="4">
        <f t="shared" si="14"/>
      </c>
      <c r="M203">
        <f t="shared" si="12"/>
      </c>
    </row>
    <row r="204" spans="1:14">
      <c r="A204" s="2"/>
      <c r="C204" t="s">
        <v>47</v>
      </c>
      <c r="F204">
        <f>VLOOKUP(TablaPegaso[[#This Row],[Equipo]],Catalogos!$V$4:$W$85,2,FALSE)</f>
      </c>
      <c r="G204" s="3"/>
      <c r="H204" s="3"/>
      <c r="I204" s="3">
        <f t="shared" si="13"/>
      </c>
      <c r="J204" s="4">
        <v>28.3</v>
      </c>
      <c r="K204" s="4">
        <f t="shared" si="14"/>
      </c>
      <c r="M204">
        <f t="shared" si="12"/>
      </c>
    </row>
    <row r="205" spans="1:14">
      <c r="A205" s="2"/>
      <c r="C205" t="s">
        <v>47</v>
      </c>
      <c r="F205">
        <f>VLOOKUP(TablaPegaso[[#This Row],[Equipo]],Catalogos!$V$4:$W$85,2,FALSE)</f>
      </c>
      <c r="G205" s="3"/>
      <c r="H205" s="3"/>
      <c r="I205" s="3">
        <f t="shared" si="13"/>
      </c>
      <c r="J205" s="4">
        <v>28.3</v>
      </c>
      <c r="K205" s="4">
        <f t="shared" si="14"/>
      </c>
      <c r="M205">
        <f t="shared" si="12"/>
      </c>
    </row>
    <row r="206" spans="1:14">
      <c r="A206" s="2"/>
      <c r="C206" t="s">
        <v>47</v>
      </c>
      <c r="F206">
        <f>VLOOKUP(TablaPegaso[[#This Row],[Equipo]],Catalogos!$V$4:$W$85,2,FALSE)</f>
      </c>
      <c r="G206" s="3"/>
      <c r="H206" s="3"/>
      <c r="I206" s="3">
        <f t="shared" si="13"/>
      </c>
      <c r="J206" s="4">
        <v>28.3</v>
      </c>
      <c r="K206" s="4">
        <f t="shared" si="14"/>
      </c>
      <c r="M206">
        <f t="shared" si="12"/>
      </c>
    </row>
    <row r="207" spans="1:14">
      <c r="A207" s="2"/>
      <c r="C207" t="s">
        <v>47</v>
      </c>
      <c r="F207">
        <f>VLOOKUP(TablaPegaso[[#This Row],[Equipo]],Catalogos!$V$4:$W$85,2,FALSE)</f>
      </c>
      <c r="G207" s="3"/>
      <c r="H207" s="3"/>
      <c r="I207" s="3">
        <f t="shared" si="13"/>
      </c>
      <c r="J207" s="4">
        <v>28.3</v>
      </c>
      <c r="K207" s="4">
        <f t="shared" si="14"/>
      </c>
      <c r="M207">
        <f t="shared" si="12"/>
      </c>
    </row>
    <row r="208" spans="1:14">
      <c r="A208" s="2"/>
      <c r="C208" t="s">
        <v>47</v>
      </c>
      <c r="F208">
        <f>VLOOKUP(TablaPegaso[[#This Row],[Equipo]],Catalogos!$V$4:$W$85,2,FALSE)</f>
      </c>
      <c r="G208" s="3"/>
      <c r="H208" s="3"/>
      <c r="I208" s="3">
        <f t="shared" si="13"/>
      </c>
      <c r="J208" s="4">
        <v>28.3</v>
      </c>
      <c r="K208" s="4">
        <f t="shared" si="14"/>
      </c>
      <c r="M208">
        <f t="shared" si="12"/>
      </c>
    </row>
    <row r="209" spans="13:13">
      <c r="M209">
        <f t="shared" si="12"/>
      </c>
    </row>
    <row r="210" spans="13:13">
      <c r="M210">
        <f t="shared" si="12"/>
      </c>
    </row>
    <row r="211" spans="13:13">
      <c r="M211">
        <f t="shared" si="12"/>
      </c>
    </row>
    <row r="212" spans="13:13">
      <c r="M212">
        <f t="shared" si="12"/>
      </c>
    </row>
    <row r="213" spans="13:13">
      <c r="M213">
        <f t="shared" si="12"/>
      </c>
    </row>
    <row r="214" spans="13:13">
      <c r="M214">
        <f t="shared" si="12"/>
      </c>
    </row>
    <row r="215" spans="13:13">
      <c r="M215">
        <f t="shared" si="12"/>
      </c>
    </row>
    <row r="216" spans="13:13">
      <c r="M216">
        <f t="shared" si="12"/>
      </c>
    </row>
    <row r="217" spans="13:13">
      <c r="M217">
        <f t="shared" si="12"/>
      </c>
    </row>
    <row r="218" spans="13:13">
      <c r="M218">
        <f t="shared" si="12"/>
      </c>
    </row>
    <row r="219" spans="13:13">
      <c r="M219">
        <f t="shared" si="12"/>
      </c>
    </row>
    <row r="220" spans="13:13">
      <c r="M220">
        <f t="shared" si="12"/>
      </c>
    </row>
    <row r="221" spans="13:13">
      <c r="M221">
        <f t="shared" si="12"/>
      </c>
    </row>
    <row r="222" spans="13:13">
      <c r="M222">
        <f t="shared" si="12"/>
      </c>
    </row>
    <row r="223" spans="13:13">
      <c r="M223">
        <f t="shared" si="12"/>
      </c>
    </row>
    <row r="224" spans="13:13">
      <c r="M224">
        <f t="shared" si="12"/>
      </c>
    </row>
    <row r="225" spans="13:13">
      <c r="M225">
        <f t="shared" si="12"/>
      </c>
    </row>
    <row r="226" spans="13:13">
      <c r="M226">
        <f t="shared" si="12"/>
      </c>
    </row>
    <row r="227" spans="13:13">
      <c r="M227">
        <f t="shared" si="12"/>
      </c>
    </row>
    <row r="228" spans="13:13">
      <c r="M228">
        <f t="shared" si="12"/>
      </c>
    </row>
    <row r="229" spans="13:13">
      <c r="M229">
        <f t="shared" si="12"/>
      </c>
    </row>
    <row r="230" spans="13:13">
      <c r="M230">
        <f t="shared" si="12"/>
      </c>
    </row>
    <row r="231" spans="13:13">
      <c r="M231">
        <f t="shared" si="12"/>
      </c>
    </row>
    <row r="232" spans="13:13">
      <c r="M232">
        <f t="shared" si="12"/>
      </c>
    </row>
    <row r="233" spans="13:13">
      <c r="M233">
        <f t="shared" si="12"/>
      </c>
    </row>
    <row r="234" spans="13:13">
      <c r="M234">
        <f t="shared" si="12"/>
      </c>
    </row>
    <row r="235" spans="13:13">
      <c r="M235">
        <f t="shared" si="12"/>
      </c>
    </row>
    <row r="236" spans="13:13">
      <c r="M236">
        <f t="shared" si="12"/>
      </c>
    </row>
    <row r="237" spans="13:13">
      <c r="M237">
        <f t="shared" si="12"/>
      </c>
    </row>
    <row r="238" spans="13:13">
      <c r="M238">
        <f t="shared" si="12"/>
      </c>
    </row>
    <row r="239" spans="13:13">
      <c r="M239">
        <f t="shared" si="12"/>
      </c>
    </row>
    <row r="240" spans="13:13">
      <c r="M240">
        <f t="shared" si="12"/>
      </c>
    </row>
    <row r="241" spans="13:13">
      <c r="M241">
        <f t="shared" si="12"/>
      </c>
    </row>
    <row r="242" spans="13:13">
      <c r="M242">
        <f t="shared" si="12"/>
      </c>
    </row>
    <row r="243" spans="13:13">
      <c r="M243">
        <f t="shared" si="12"/>
      </c>
    </row>
    <row r="244" spans="13:13">
      <c r="M244">
        <f t="shared" si="12"/>
      </c>
    </row>
    <row r="245" spans="13:13">
      <c r="M245">
        <f t="shared" si="12"/>
      </c>
    </row>
    <row r="246" spans="13:13">
      <c r="M246">
        <f t="shared" si="12"/>
      </c>
    </row>
    <row r="247" spans="13:13">
      <c r="M247">
        <f t="shared" si="12"/>
      </c>
    </row>
    <row r="248" spans="13:13">
      <c r="M248">
        <f t="shared" si="12"/>
      </c>
    </row>
    <row r="249" spans="13:13">
      <c r="M249">
        <f t="shared" si="12"/>
      </c>
    </row>
    <row r="250" spans="13:13">
      <c r="M250">
        <f t="shared" si="12"/>
      </c>
    </row>
    <row r="251" spans="13:13">
      <c r="M251">
        <f t="shared" si="12"/>
      </c>
    </row>
    <row r="252" spans="13:13">
      <c r="M252">
        <f t="shared" si="12"/>
      </c>
    </row>
    <row r="253" spans="13:13">
      <c r="M253">
        <f t="shared" si="12"/>
      </c>
    </row>
    <row r="254" spans="13:13">
      <c r="M254">
        <f t="shared" si="12"/>
      </c>
    </row>
    <row r="255" spans="13:13">
      <c r="M255">
        <f t="shared" si="12"/>
      </c>
    </row>
    <row r="256" spans="13:13">
      <c r="M256">
        <f t="shared" si="12"/>
      </c>
    </row>
    <row r="257" spans="13:13">
      <c r="M257">
        <f t="shared" si="12"/>
      </c>
    </row>
    <row r="258" spans="13:13">
      <c r="M258">
        <f t="shared" si="12"/>
      </c>
    </row>
    <row r="259" spans="13:13">
      <c r="M259">
        <f t="shared" si="12"/>
      </c>
    </row>
    <row r="260" spans="13:13">
      <c r="M260">
        <f t="shared" si="12"/>
      </c>
    </row>
    <row r="261" spans="13:13">
      <c r="M261">
        <f t="shared" ref="M261:M324" si="15">IF(A261="","", WEEKNUM(A261, 2))</f>
      </c>
    </row>
    <row r="262" spans="13:13">
      <c r="M262">
        <f t="shared" si="15"/>
      </c>
    </row>
    <row r="263" spans="13:13">
      <c r="M263">
        <f t="shared" si="15"/>
      </c>
    </row>
    <row r="264" spans="13:13">
      <c r="M264">
        <f t="shared" si="15"/>
      </c>
    </row>
    <row r="265" spans="13:13">
      <c r="M265">
        <f t="shared" si="15"/>
      </c>
    </row>
    <row r="266" spans="13:13">
      <c r="M266">
        <f t="shared" si="15"/>
      </c>
    </row>
    <row r="267" spans="13:13">
      <c r="M267">
        <f t="shared" si="15"/>
      </c>
    </row>
    <row r="268" spans="13:13">
      <c r="M268">
        <f t="shared" si="15"/>
      </c>
    </row>
    <row r="269" spans="13:13">
      <c r="M269">
        <f t="shared" si="15"/>
      </c>
    </row>
    <row r="270" spans="13:13">
      <c r="M270">
        <f t="shared" si="15"/>
      </c>
    </row>
    <row r="271" spans="13:13">
      <c r="M271">
        <f t="shared" si="15"/>
      </c>
    </row>
    <row r="272" spans="13:13">
      <c r="M272">
        <f t="shared" si="15"/>
      </c>
    </row>
    <row r="273" spans="13:13">
      <c r="M273">
        <f t="shared" si="15"/>
      </c>
    </row>
    <row r="274" spans="13:13">
      <c r="M274">
        <f t="shared" si="15"/>
      </c>
    </row>
    <row r="275" spans="13:13">
      <c r="M275">
        <f t="shared" si="15"/>
      </c>
    </row>
    <row r="276" spans="13:13">
      <c r="M276">
        <f t="shared" si="15"/>
      </c>
    </row>
    <row r="277" spans="13:13">
      <c r="M277">
        <f t="shared" si="15"/>
      </c>
    </row>
    <row r="278" spans="13:13">
      <c r="M278">
        <f t="shared" si="15"/>
      </c>
    </row>
    <row r="279" spans="13:13">
      <c r="M279">
        <f t="shared" si="15"/>
      </c>
    </row>
    <row r="280" spans="13:13">
      <c r="M280">
        <f t="shared" si="15"/>
      </c>
    </row>
    <row r="281" spans="13:13">
      <c r="M281">
        <f t="shared" si="15"/>
      </c>
    </row>
    <row r="282" spans="13:13">
      <c r="M282">
        <f t="shared" si="15"/>
      </c>
    </row>
    <row r="283" spans="13:13">
      <c r="M283">
        <f t="shared" si="15"/>
      </c>
    </row>
    <row r="284" spans="13:13">
      <c r="M284">
        <f t="shared" si="15"/>
      </c>
    </row>
    <row r="285" spans="13:13">
      <c r="M285">
        <f t="shared" si="15"/>
      </c>
    </row>
    <row r="286" spans="13:13">
      <c r="M286">
        <f t="shared" si="15"/>
      </c>
    </row>
    <row r="287" spans="13:13">
      <c r="M287">
        <f t="shared" si="15"/>
      </c>
    </row>
    <row r="288" spans="13:13">
      <c r="M288">
        <f t="shared" si="15"/>
      </c>
    </row>
    <row r="289" spans="13:13">
      <c r="M289">
        <f t="shared" si="15"/>
      </c>
    </row>
    <row r="290" spans="13:13">
      <c r="M290">
        <f t="shared" si="15"/>
      </c>
    </row>
    <row r="291" spans="13:13">
      <c r="M291">
        <f t="shared" si="15"/>
      </c>
    </row>
    <row r="292" spans="13:13">
      <c r="M292">
        <f t="shared" si="15"/>
      </c>
    </row>
    <row r="293" spans="13:13">
      <c r="M293">
        <f t="shared" si="15"/>
      </c>
    </row>
    <row r="294" spans="13:13">
      <c r="M294">
        <f t="shared" si="15"/>
      </c>
    </row>
    <row r="295" spans="13:13">
      <c r="M295">
        <f t="shared" si="15"/>
      </c>
    </row>
    <row r="296" spans="13:13">
      <c r="M296">
        <f t="shared" si="15"/>
      </c>
    </row>
    <row r="297" spans="13:13">
      <c r="M297">
        <f t="shared" si="15"/>
      </c>
    </row>
    <row r="298" spans="13:13">
      <c r="M298">
        <f t="shared" si="15"/>
      </c>
    </row>
    <row r="299" spans="13:13">
      <c r="M299">
        <f t="shared" si="15"/>
      </c>
    </row>
    <row r="300" spans="13:13">
      <c r="M300">
        <f t="shared" si="15"/>
      </c>
    </row>
    <row r="301" spans="13:13">
      <c r="M301">
        <f t="shared" si="15"/>
      </c>
    </row>
    <row r="302" spans="13:13">
      <c r="M302">
        <f t="shared" si="15"/>
      </c>
    </row>
    <row r="303" spans="13:13">
      <c r="M303">
        <f t="shared" si="15"/>
      </c>
    </row>
    <row r="304" spans="13:13">
      <c r="M304">
        <f t="shared" si="15"/>
      </c>
    </row>
    <row r="305" spans="13:13">
      <c r="M305">
        <f t="shared" si="15"/>
      </c>
    </row>
    <row r="306" spans="13:13">
      <c r="M306">
        <f t="shared" si="15"/>
      </c>
    </row>
    <row r="307" spans="13:13">
      <c r="M307">
        <f t="shared" si="15"/>
      </c>
    </row>
    <row r="308" spans="13:13">
      <c r="M308">
        <f t="shared" si="15"/>
      </c>
    </row>
    <row r="309" spans="13:13">
      <c r="M309">
        <f t="shared" si="15"/>
      </c>
    </row>
    <row r="310" spans="13:13">
      <c r="M310">
        <f t="shared" si="15"/>
      </c>
    </row>
    <row r="311" spans="13:13">
      <c r="M311">
        <f t="shared" si="15"/>
      </c>
    </row>
    <row r="312" spans="13:13">
      <c r="M312">
        <f t="shared" si="15"/>
      </c>
    </row>
    <row r="313" spans="13:13">
      <c r="M313">
        <f t="shared" si="15"/>
      </c>
    </row>
    <row r="314" spans="13:13">
      <c r="M314">
        <f t="shared" si="15"/>
      </c>
    </row>
    <row r="315" spans="13:13">
      <c r="M315">
        <f t="shared" si="15"/>
      </c>
    </row>
    <row r="316" spans="13:13">
      <c r="M316">
        <f t="shared" si="15"/>
      </c>
    </row>
    <row r="317" spans="13:13">
      <c r="M317">
        <f t="shared" si="15"/>
      </c>
    </row>
    <row r="318" spans="13:13">
      <c r="M318">
        <f t="shared" si="15"/>
      </c>
    </row>
    <row r="319" spans="13:13">
      <c r="M319">
        <f t="shared" si="15"/>
      </c>
    </row>
    <row r="320" spans="13:13">
      <c r="M320">
        <f t="shared" si="15"/>
      </c>
    </row>
    <row r="321" spans="13:13">
      <c r="M321">
        <f t="shared" si="15"/>
      </c>
    </row>
    <row r="322" spans="13:13">
      <c r="M322">
        <f t="shared" si="15"/>
      </c>
    </row>
    <row r="323" spans="13:13">
      <c r="M323">
        <f t="shared" si="15"/>
      </c>
    </row>
    <row r="324" spans="13:13">
      <c r="M324">
        <f t="shared" si="15"/>
      </c>
    </row>
    <row r="325" spans="13:13">
      <c r="M325">
        <f t="shared" ref="M325:M388" si="16">IF(A325="","", WEEKNUM(A325, 2))</f>
      </c>
    </row>
    <row r="326" spans="13:13">
      <c r="M326">
        <f t="shared" si="16"/>
      </c>
    </row>
    <row r="327" spans="13:13">
      <c r="M327">
        <f t="shared" si="16"/>
      </c>
    </row>
    <row r="328" spans="13:13">
      <c r="M328">
        <f t="shared" si="16"/>
      </c>
    </row>
    <row r="329" spans="13:13">
      <c r="M329">
        <f t="shared" si="16"/>
      </c>
    </row>
    <row r="330" spans="13:13">
      <c r="M330">
        <f t="shared" si="16"/>
      </c>
    </row>
    <row r="331" spans="13:13">
      <c r="M331">
        <f t="shared" si="16"/>
      </c>
    </row>
    <row r="332" spans="13:13">
      <c r="M332">
        <f t="shared" si="16"/>
      </c>
    </row>
    <row r="333" spans="13:13">
      <c r="M333">
        <f t="shared" si="16"/>
      </c>
    </row>
    <row r="334" spans="13:13">
      <c r="M334">
        <f t="shared" si="16"/>
      </c>
    </row>
    <row r="335" spans="13:13">
      <c r="M335">
        <f t="shared" si="16"/>
      </c>
    </row>
    <row r="336" spans="13:13">
      <c r="M336">
        <f t="shared" si="16"/>
      </c>
    </row>
    <row r="337" spans="13:13">
      <c r="M337">
        <f t="shared" si="16"/>
      </c>
    </row>
    <row r="338" spans="13:13">
      <c r="M338">
        <f t="shared" si="16"/>
      </c>
    </row>
    <row r="339" spans="13:13">
      <c r="M339">
        <f t="shared" si="16"/>
      </c>
    </row>
    <row r="340" spans="13:13">
      <c r="M340">
        <f t="shared" si="16"/>
      </c>
    </row>
    <row r="341" spans="13:13">
      <c r="M341">
        <f t="shared" si="16"/>
      </c>
    </row>
    <row r="342" spans="13:13">
      <c r="M342">
        <f t="shared" si="16"/>
      </c>
    </row>
    <row r="343" spans="13:13">
      <c r="M343">
        <f t="shared" si="16"/>
      </c>
    </row>
    <row r="344" spans="13:13">
      <c r="M344">
        <f t="shared" si="16"/>
      </c>
    </row>
    <row r="345" spans="13:13">
      <c r="M345">
        <f t="shared" si="16"/>
      </c>
    </row>
    <row r="346" spans="13:13">
      <c r="M346">
        <f t="shared" si="16"/>
      </c>
    </row>
    <row r="347" spans="13:13">
      <c r="M347">
        <f t="shared" si="16"/>
      </c>
    </row>
    <row r="348" spans="13:13">
      <c r="M348">
        <f t="shared" si="16"/>
      </c>
    </row>
    <row r="349" spans="13:13">
      <c r="M349">
        <f t="shared" si="16"/>
      </c>
    </row>
    <row r="350" spans="13:13">
      <c r="M350">
        <f t="shared" si="16"/>
      </c>
    </row>
    <row r="351" spans="13:13">
      <c r="M351">
        <f t="shared" si="16"/>
      </c>
    </row>
    <row r="352" spans="13:13">
      <c r="M352">
        <f t="shared" si="16"/>
      </c>
    </row>
    <row r="353" spans="13:13">
      <c r="M353">
        <f t="shared" si="16"/>
      </c>
    </row>
    <row r="354" spans="13:13">
      <c r="M354">
        <f t="shared" si="16"/>
      </c>
    </row>
    <row r="355" spans="13:13">
      <c r="M355">
        <f t="shared" si="16"/>
      </c>
    </row>
    <row r="356" spans="13:13">
      <c r="M356">
        <f t="shared" si="16"/>
      </c>
    </row>
    <row r="357" spans="13:13">
      <c r="M357">
        <f t="shared" si="16"/>
      </c>
    </row>
    <row r="358" spans="13:13">
      <c r="M358">
        <f t="shared" si="16"/>
      </c>
    </row>
    <row r="359" spans="13:13">
      <c r="M359">
        <f t="shared" si="16"/>
      </c>
    </row>
    <row r="360" spans="13:13">
      <c r="M360">
        <f t="shared" si="16"/>
      </c>
    </row>
    <row r="361" spans="13:13">
      <c r="M361">
        <f t="shared" si="16"/>
      </c>
    </row>
    <row r="362" spans="13:13">
      <c r="M362">
        <f t="shared" si="16"/>
      </c>
    </row>
    <row r="363" spans="13:13">
      <c r="M363">
        <f t="shared" si="16"/>
      </c>
    </row>
    <row r="364" spans="13:13">
      <c r="M364">
        <f t="shared" si="16"/>
      </c>
    </row>
    <row r="365" spans="13:13">
      <c r="M365">
        <f t="shared" si="16"/>
      </c>
    </row>
    <row r="366" spans="13:13">
      <c r="M366">
        <f t="shared" si="16"/>
      </c>
    </row>
    <row r="367" spans="13:13">
      <c r="M367">
        <f t="shared" si="16"/>
      </c>
    </row>
    <row r="368" spans="13:13">
      <c r="M368">
        <f t="shared" si="16"/>
      </c>
    </row>
    <row r="369" spans="13:13">
      <c r="M369">
        <f t="shared" si="16"/>
      </c>
    </row>
    <row r="370" spans="13:13">
      <c r="M370">
        <f t="shared" si="16"/>
      </c>
    </row>
    <row r="371" spans="13:13">
      <c r="M371">
        <f t="shared" si="16"/>
      </c>
    </row>
    <row r="372" spans="13:13">
      <c r="M372">
        <f t="shared" si="16"/>
      </c>
    </row>
    <row r="373" spans="13:13">
      <c r="M373">
        <f t="shared" si="16"/>
      </c>
    </row>
    <row r="374" spans="13:13">
      <c r="M374">
        <f t="shared" si="16"/>
      </c>
    </row>
    <row r="375" spans="13:13">
      <c r="M375">
        <f t="shared" si="16"/>
      </c>
    </row>
    <row r="376" spans="13:13">
      <c r="M376">
        <f t="shared" si="16"/>
      </c>
    </row>
    <row r="377" spans="13:13">
      <c r="M377">
        <f t="shared" si="16"/>
      </c>
    </row>
    <row r="378" spans="13:13">
      <c r="M378">
        <f t="shared" si="16"/>
      </c>
    </row>
    <row r="379" spans="13:13">
      <c r="M379">
        <f t="shared" si="16"/>
      </c>
    </row>
    <row r="380" spans="13:13">
      <c r="M380">
        <f t="shared" si="16"/>
      </c>
    </row>
    <row r="381" spans="13:13">
      <c r="M381">
        <f t="shared" si="16"/>
      </c>
    </row>
    <row r="382" spans="13:13">
      <c r="M382">
        <f t="shared" si="16"/>
      </c>
    </row>
    <row r="383" spans="13:13">
      <c r="M383">
        <f t="shared" si="16"/>
      </c>
    </row>
    <row r="384" spans="13:13">
      <c r="M384">
        <f t="shared" si="16"/>
      </c>
    </row>
    <row r="385" spans="13:13">
      <c r="M385">
        <f t="shared" si="16"/>
      </c>
    </row>
    <row r="386" spans="13:13">
      <c r="M386">
        <f t="shared" si="16"/>
      </c>
    </row>
    <row r="387" spans="13:13">
      <c r="M387">
        <f t="shared" si="16"/>
      </c>
    </row>
    <row r="388" spans="13:13">
      <c r="M388">
        <f t="shared" si="16"/>
      </c>
    </row>
    <row r="389" spans="13:13">
      <c r="M389">
        <f t="shared" ref="M389:M452" si="17">IF(A389="","", WEEKNUM(A389, 2))</f>
      </c>
    </row>
    <row r="390" spans="13:13">
      <c r="M390">
        <f t="shared" si="17"/>
      </c>
    </row>
    <row r="391" spans="13:13">
      <c r="M391">
        <f t="shared" si="17"/>
      </c>
    </row>
    <row r="392" spans="13:13">
      <c r="M392">
        <f t="shared" si="17"/>
      </c>
    </row>
    <row r="393" spans="13:13">
      <c r="M393">
        <f t="shared" si="17"/>
      </c>
    </row>
    <row r="394" spans="13:13">
      <c r="M394">
        <f t="shared" si="17"/>
      </c>
    </row>
    <row r="395" spans="13:13">
      <c r="M395">
        <f t="shared" si="17"/>
      </c>
    </row>
    <row r="396" spans="13:13">
      <c r="M396">
        <f t="shared" si="17"/>
      </c>
    </row>
    <row r="397" spans="13:13">
      <c r="M397">
        <f t="shared" si="17"/>
      </c>
    </row>
    <row r="398" spans="13:13">
      <c r="M398">
        <f t="shared" si="17"/>
      </c>
    </row>
    <row r="399" spans="13:13">
      <c r="M399">
        <f t="shared" si="17"/>
      </c>
    </row>
    <row r="400" spans="13:13">
      <c r="M400">
        <f t="shared" si="17"/>
      </c>
    </row>
    <row r="401" spans="13:13">
      <c r="M401">
        <f t="shared" si="17"/>
      </c>
    </row>
    <row r="402" spans="13:13">
      <c r="M402">
        <f t="shared" si="17"/>
      </c>
    </row>
    <row r="403" spans="13:13">
      <c r="M403">
        <f t="shared" si="17"/>
      </c>
    </row>
    <row r="404" spans="13:13">
      <c r="M404">
        <f t="shared" si="17"/>
      </c>
    </row>
    <row r="405" spans="13:13">
      <c r="M405">
        <f t="shared" si="17"/>
      </c>
    </row>
    <row r="406" spans="13:13">
      <c r="M406">
        <f t="shared" si="17"/>
      </c>
    </row>
    <row r="407" spans="13:13">
      <c r="M407">
        <f t="shared" si="17"/>
      </c>
    </row>
    <row r="408" spans="13:13">
      <c r="M408">
        <f t="shared" si="17"/>
      </c>
    </row>
    <row r="409" spans="13:13">
      <c r="M409">
        <f t="shared" si="17"/>
      </c>
    </row>
    <row r="410" spans="13:13">
      <c r="M410">
        <f t="shared" si="17"/>
      </c>
    </row>
    <row r="411" spans="13:13">
      <c r="M411">
        <f t="shared" si="17"/>
      </c>
    </row>
    <row r="412" spans="13:13">
      <c r="M412">
        <f t="shared" si="17"/>
      </c>
    </row>
    <row r="413" spans="13:13">
      <c r="M413">
        <f t="shared" si="17"/>
      </c>
    </row>
    <row r="414" spans="13:13">
      <c r="M414">
        <f t="shared" si="17"/>
      </c>
    </row>
    <row r="415" spans="13:13">
      <c r="M415">
        <f t="shared" si="17"/>
      </c>
    </row>
    <row r="416" spans="13:13">
      <c r="M416">
        <f t="shared" si="17"/>
      </c>
    </row>
    <row r="417" spans="13:13">
      <c r="M417">
        <f t="shared" si="17"/>
      </c>
    </row>
    <row r="418" spans="13:13">
      <c r="M418">
        <f t="shared" si="17"/>
      </c>
    </row>
    <row r="419" spans="13:13">
      <c r="M419">
        <f t="shared" si="17"/>
      </c>
    </row>
    <row r="420" spans="13:13">
      <c r="M420">
        <f t="shared" si="17"/>
      </c>
    </row>
    <row r="421" spans="13:13">
      <c r="M421">
        <f t="shared" si="17"/>
      </c>
    </row>
    <row r="422" spans="13:13">
      <c r="M422">
        <f t="shared" si="17"/>
      </c>
    </row>
    <row r="423" spans="13:13">
      <c r="M423">
        <f t="shared" si="17"/>
      </c>
    </row>
    <row r="424" spans="13:13">
      <c r="M424">
        <f t="shared" si="17"/>
      </c>
    </row>
    <row r="425" spans="13:13">
      <c r="M425">
        <f t="shared" si="17"/>
      </c>
    </row>
    <row r="426" spans="13:13">
      <c r="M426">
        <f t="shared" si="17"/>
      </c>
    </row>
    <row r="427" spans="13:13">
      <c r="M427">
        <f t="shared" si="17"/>
      </c>
    </row>
    <row r="428" spans="13:13">
      <c r="M428">
        <f t="shared" si="17"/>
      </c>
    </row>
    <row r="429" spans="13:13">
      <c r="M429">
        <f t="shared" si="17"/>
      </c>
    </row>
    <row r="430" spans="13:13">
      <c r="M430">
        <f t="shared" si="17"/>
      </c>
    </row>
    <row r="431" spans="13:13">
      <c r="M431">
        <f t="shared" si="17"/>
      </c>
    </row>
    <row r="432" spans="13:13">
      <c r="M432">
        <f t="shared" si="17"/>
      </c>
    </row>
    <row r="433" spans="13:13">
      <c r="M433">
        <f t="shared" si="17"/>
      </c>
    </row>
    <row r="434" spans="13:13">
      <c r="M434">
        <f t="shared" si="17"/>
      </c>
    </row>
    <row r="435" spans="13:13">
      <c r="M435">
        <f t="shared" si="17"/>
      </c>
    </row>
    <row r="436" spans="13:13">
      <c r="M436">
        <f t="shared" si="17"/>
      </c>
    </row>
    <row r="437" spans="13:13">
      <c r="M437">
        <f t="shared" si="17"/>
      </c>
    </row>
    <row r="438" spans="13:13">
      <c r="M438">
        <f t="shared" si="17"/>
      </c>
    </row>
    <row r="439" spans="13:13">
      <c r="M439">
        <f t="shared" si="17"/>
      </c>
    </row>
    <row r="440" spans="13:13">
      <c r="M440">
        <f t="shared" si="17"/>
      </c>
    </row>
    <row r="441" spans="13:13">
      <c r="M441">
        <f t="shared" si="17"/>
      </c>
    </row>
    <row r="442" spans="13:13">
      <c r="M442">
        <f t="shared" si="17"/>
      </c>
    </row>
    <row r="443" spans="13:13">
      <c r="M443">
        <f t="shared" si="17"/>
      </c>
    </row>
    <row r="444" spans="13:13">
      <c r="M444">
        <f t="shared" si="17"/>
      </c>
    </row>
    <row r="445" spans="13:13">
      <c r="M445">
        <f t="shared" si="17"/>
      </c>
    </row>
    <row r="446" spans="13:13">
      <c r="M446">
        <f t="shared" si="17"/>
      </c>
    </row>
    <row r="447" spans="13:13">
      <c r="M447">
        <f t="shared" si="17"/>
      </c>
    </row>
    <row r="448" spans="13:13">
      <c r="M448">
        <f t="shared" si="17"/>
      </c>
    </row>
    <row r="449" spans="13:13">
      <c r="M449">
        <f t="shared" si="17"/>
      </c>
    </row>
    <row r="450" spans="13:13">
      <c r="M450">
        <f t="shared" si="17"/>
      </c>
    </row>
    <row r="451" spans="13:13">
      <c r="M451">
        <f t="shared" si="17"/>
      </c>
    </row>
    <row r="452" spans="13:13">
      <c r="M452">
        <f t="shared" si="17"/>
      </c>
    </row>
    <row r="453" spans="13:13">
      <c r="M453">
        <f t="shared" ref="M453:M516" si="18">IF(A453="","", WEEKNUM(A453, 2))</f>
      </c>
    </row>
    <row r="454" spans="13:13">
      <c r="M454">
        <f t="shared" si="18"/>
      </c>
    </row>
    <row r="455" spans="13:13">
      <c r="M455">
        <f t="shared" si="18"/>
      </c>
    </row>
    <row r="456" spans="13:13">
      <c r="M456">
        <f t="shared" si="18"/>
      </c>
    </row>
    <row r="457" spans="13:13">
      <c r="M457">
        <f t="shared" si="18"/>
      </c>
    </row>
    <row r="458" spans="13:13">
      <c r="M458">
        <f t="shared" si="18"/>
      </c>
    </row>
    <row r="459" spans="13:13">
      <c r="M459">
        <f t="shared" si="18"/>
      </c>
    </row>
    <row r="460" spans="13:13">
      <c r="M460">
        <f t="shared" si="18"/>
      </c>
    </row>
    <row r="461" spans="13:13">
      <c r="M461">
        <f t="shared" si="18"/>
      </c>
    </row>
    <row r="462" spans="13:13">
      <c r="M462">
        <f t="shared" si="18"/>
      </c>
    </row>
    <row r="463" spans="13:13">
      <c r="M463">
        <f t="shared" si="18"/>
      </c>
    </row>
    <row r="464" spans="13:13">
      <c r="M464">
        <f t="shared" si="18"/>
      </c>
    </row>
    <row r="465" spans="13:13">
      <c r="M465">
        <f t="shared" si="18"/>
      </c>
    </row>
    <row r="466" spans="13:13">
      <c r="M466">
        <f t="shared" si="18"/>
      </c>
    </row>
    <row r="467" spans="13:13">
      <c r="M467">
        <f t="shared" si="18"/>
      </c>
    </row>
    <row r="468" spans="13:13">
      <c r="M468">
        <f t="shared" si="18"/>
      </c>
    </row>
    <row r="469" spans="13:13">
      <c r="M469">
        <f t="shared" si="18"/>
      </c>
    </row>
    <row r="470" spans="13:13">
      <c r="M470">
        <f t="shared" si="18"/>
      </c>
    </row>
    <row r="471" spans="13:13">
      <c r="M471">
        <f t="shared" si="18"/>
      </c>
    </row>
    <row r="472" spans="13:13">
      <c r="M472">
        <f t="shared" si="18"/>
      </c>
    </row>
    <row r="473" spans="13:13">
      <c r="M473">
        <f t="shared" si="18"/>
      </c>
    </row>
    <row r="474" spans="13:13">
      <c r="M474">
        <f t="shared" si="18"/>
      </c>
    </row>
    <row r="475" spans="13:13">
      <c r="M475">
        <f t="shared" si="18"/>
      </c>
    </row>
    <row r="476" spans="13:13">
      <c r="M476">
        <f t="shared" si="18"/>
      </c>
    </row>
    <row r="477" spans="13:13">
      <c r="M477">
        <f t="shared" si="18"/>
      </c>
    </row>
    <row r="478" spans="13:13">
      <c r="M478">
        <f t="shared" si="18"/>
      </c>
    </row>
    <row r="479" spans="13:13">
      <c r="M479">
        <f t="shared" si="18"/>
      </c>
    </row>
    <row r="480" spans="13:13">
      <c r="M480">
        <f t="shared" si="18"/>
      </c>
    </row>
    <row r="481" spans="13:13">
      <c r="M481">
        <f t="shared" si="18"/>
      </c>
    </row>
    <row r="482" spans="13:13">
      <c r="M482">
        <f t="shared" si="18"/>
      </c>
    </row>
    <row r="483" spans="13:13">
      <c r="M483">
        <f t="shared" si="18"/>
      </c>
    </row>
    <row r="484" spans="13:13">
      <c r="M484">
        <f t="shared" si="18"/>
      </c>
    </row>
    <row r="485" spans="13:13">
      <c r="M485">
        <f t="shared" si="18"/>
      </c>
    </row>
    <row r="486" spans="13:13">
      <c r="M486">
        <f t="shared" si="18"/>
      </c>
    </row>
    <row r="487" spans="13:13">
      <c r="M487">
        <f t="shared" si="18"/>
      </c>
    </row>
    <row r="488" spans="13:13">
      <c r="M488">
        <f t="shared" si="18"/>
      </c>
    </row>
    <row r="489" spans="13:13">
      <c r="M489">
        <f t="shared" si="18"/>
      </c>
    </row>
    <row r="490" spans="13:13">
      <c r="M490">
        <f t="shared" si="18"/>
      </c>
    </row>
    <row r="491" spans="13:13">
      <c r="M491">
        <f t="shared" si="18"/>
      </c>
    </row>
    <row r="492" spans="13:13">
      <c r="M492">
        <f t="shared" si="18"/>
      </c>
    </row>
    <row r="493" spans="13:13">
      <c r="M493">
        <f t="shared" si="18"/>
      </c>
    </row>
    <row r="494" spans="13:13">
      <c r="M494">
        <f t="shared" si="18"/>
      </c>
    </row>
    <row r="495" spans="13:13">
      <c r="M495">
        <f t="shared" si="18"/>
      </c>
    </row>
    <row r="496" spans="13:13">
      <c r="M496">
        <f t="shared" si="18"/>
      </c>
    </row>
    <row r="497" spans="13:13">
      <c r="M497">
        <f t="shared" si="18"/>
      </c>
    </row>
    <row r="498" spans="13:13">
      <c r="M498">
        <f t="shared" si="18"/>
      </c>
    </row>
    <row r="499" spans="13:13">
      <c r="M499">
        <f t="shared" si="18"/>
      </c>
    </row>
    <row r="500" spans="13:13">
      <c r="M500">
        <f t="shared" si="18"/>
      </c>
    </row>
    <row r="501" spans="13:13">
      <c r="M501">
        <f t="shared" si="18"/>
      </c>
    </row>
    <row r="502" spans="13:13">
      <c r="M502">
        <f t="shared" si="18"/>
      </c>
    </row>
    <row r="503" spans="13:13">
      <c r="M503">
        <f t="shared" si="18"/>
      </c>
    </row>
    <row r="504" spans="13:13">
      <c r="M504">
        <f t="shared" si="18"/>
      </c>
    </row>
    <row r="505" spans="13:13">
      <c r="M505">
        <f t="shared" si="18"/>
      </c>
    </row>
    <row r="506" spans="13:13">
      <c r="M506">
        <f t="shared" si="18"/>
      </c>
    </row>
    <row r="507" spans="13:13">
      <c r="M507">
        <f t="shared" si="18"/>
      </c>
    </row>
    <row r="508" spans="13:13">
      <c r="M508">
        <f t="shared" si="18"/>
      </c>
    </row>
    <row r="509" spans="13:13">
      <c r="M509">
        <f t="shared" si="18"/>
      </c>
    </row>
    <row r="510" spans="13:13">
      <c r="M510">
        <f t="shared" si="18"/>
      </c>
    </row>
    <row r="511" spans="13:13">
      <c r="M511">
        <f t="shared" si="18"/>
      </c>
    </row>
    <row r="512" spans="13:13">
      <c r="M512">
        <f t="shared" si="18"/>
      </c>
    </row>
    <row r="513" spans="13:13">
      <c r="M513">
        <f t="shared" si="18"/>
      </c>
    </row>
    <row r="514" spans="13:13">
      <c r="M514">
        <f t="shared" si="18"/>
      </c>
    </row>
    <row r="515" spans="13:13">
      <c r="M515">
        <f t="shared" si="18"/>
      </c>
    </row>
    <row r="516" spans="13:13">
      <c r="M516">
        <f t="shared" si="18"/>
      </c>
    </row>
    <row r="517" spans="13:13">
      <c r="M517">
        <f t="shared" ref="M517:M580" si="19">IF(A517="","", WEEKNUM(A517, 2))</f>
      </c>
    </row>
    <row r="518" spans="13:13">
      <c r="M518">
        <f t="shared" si="19"/>
      </c>
    </row>
    <row r="519" spans="13:13">
      <c r="M519">
        <f t="shared" si="19"/>
      </c>
    </row>
    <row r="520" spans="13:13">
      <c r="M520">
        <f t="shared" si="19"/>
      </c>
    </row>
    <row r="521" spans="13:13">
      <c r="M521">
        <f t="shared" si="19"/>
      </c>
    </row>
    <row r="522" spans="13:13">
      <c r="M522">
        <f t="shared" si="19"/>
      </c>
    </row>
    <row r="523" spans="13:13">
      <c r="M523">
        <f t="shared" si="19"/>
      </c>
    </row>
    <row r="524" spans="13:13">
      <c r="M524">
        <f t="shared" si="19"/>
      </c>
    </row>
    <row r="525" spans="13:13">
      <c r="M525">
        <f t="shared" si="19"/>
      </c>
    </row>
    <row r="526" spans="13:13">
      <c r="M526">
        <f t="shared" si="19"/>
      </c>
    </row>
    <row r="527" spans="13:13">
      <c r="M527">
        <f t="shared" si="19"/>
      </c>
    </row>
    <row r="528" spans="13:13">
      <c r="M528">
        <f t="shared" si="19"/>
      </c>
    </row>
    <row r="529" spans="13:13">
      <c r="M529">
        <f t="shared" si="19"/>
      </c>
    </row>
    <row r="530" spans="13:13">
      <c r="M530">
        <f t="shared" si="19"/>
      </c>
    </row>
    <row r="531" spans="13:13">
      <c r="M531">
        <f t="shared" si="19"/>
      </c>
    </row>
    <row r="532" spans="13:13">
      <c r="M532">
        <f t="shared" si="19"/>
      </c>
    </row>
    <row r="533" spans="13:13">
      <c r="M533">
        <f t="shared" si="19"/>
      </c>
    </row>
    <row r="534" spans="13:13">
      <c r="M534">
        <f t="shared" si="19"/>
      </c>
    </row>
    <row r="535" spans="13:13">
      <c r="M535">
        <f t="shared" si="19"/>
      </c>
    </row>
    <row r="536" spans="13:13">
      <c r="M536">
        <f t="shared" si="19"/>
      </c>
    </row>
    <row r="537" spans="13:13">
      <c r="M537">
        <f t="shared" si="19"/>
      </c>
    </row>
    <row r="538" spans="13:13">
      <c r="M538">
        <f t="shared" si="19"/>
      </c>
    </row>
    <row r="539" spans="13:13">
      <c r="M539">
        <f t="shared" si="19"/>
      </c>
    </row>
    <row r="540" spans="13:13">
      <c r="M540">
        <f t="shared" si="19"/>
      </c>
    </row>
    <row r="541" spans="13:13">
      <c r="M541">
        <f t="shared" si="19"/>
      </c>
    </row>
    <row r="542" spans="13:13">
      <c r="M542">
        <f t="shared" si="19"/>
      </c>
    </row>
    <row r="543" spans="13:13">
      <c r="M543">
        <f t="shared" si="19"/>
      </c>
    </row>
    <row r="544" spans="13:13">
      <c r="M544">
        <f t="shared" si="19"/>
      </c>
    </row>
    <row r="545" spans="13:13">
      <c r="M545">
        <f t="shared" si="19"/>
      </c>
    </row>
    <row r="546" spans="13:13">
      <c r="M546">
        <f t="shared" si="19"/>
      </c>
    </row>
    <row r="547" spans="13:13">
      <c r="M547">
        <f t="shared" si="19"/>
      </c>
    </row>
    <row r="548" spans="13:13">
      <c r="M548">
        <f t="shared" si="19"/>
      </c>
    </row>
    <row r="549" spans="13:13">
      <c r="M549">
        <f t="shared" si="19"/>
      </c>
    </row>
    <row r="550" spans="13:13">
      <c r="M550">
        <f t="shared" si="19"/>
      </c>
    </row>
    <row r="551" spans="13:13">
      <c r="M551">
        <f t="shared" si="19"/>
      </c>
    </row>
    <row r="552" spans="13:13">
      <c r="M552">
        <f t="shared" si="19"/>
      </c>
    </row>
    <row r="553" spans="13:13">
      <c r="M553">
        <f t="shared" si="19"/>
      </c>
    </row>
    <row r="554" spans="13:13">
      <c r="M554">
        <f t="shared" si="19"/>
      </c>
    </row>
    <row r="555" spans="13:13">
      <c r="M555">
        <f t="shared" si="19"/>
      </c>
    </row>
    <row r="556" spans="13:13">
      <c r="M556">
        <f t="shared" si="19"/>
      </c>
    </row>
    <row r="557" spans="13:13">
      <c r="M557">
        <f t="shared" si="19"/>
      </c>
    </row>
    <row r="558" spans="13:13">
      <c r="M558">
        <f t="shared" si="19"/>
      </c>
    </row>
    <row r="559" spans="13:13">
      <c r="M559">
        <f t="shared" si="19"/>
      </c>
    </row>
    <row r="560" spans="13:13">
      <c r="M560">
        <f t="shared" si="19"/>
      </c>
    </row>
    <row r="561" spans="13:13">
      <c r="M561">
        <f t="shared" si="19"/>
      </c>
    </row>
    <row r="562" spans="13:13">
      <c r="M562">
        <f t="shared" si="19"/>
      </c>
    </row>
    <row r="563" spans="13:13">
      <c r="M563">
        <f t="shared" si="19"/>
      </c>
    </row>
    <row r="564" spans="13:13">
      <c r="M564">
        <f t="shared" si="19"/>
      </c>
    </row>
    <row r="565" spans="13:13">
      <c r="M565">
        <f t="shared" si="19"/>
      </c>
    </row>
    <row r="566" spans="13:13">
      <c r="M566">
        <f t="shared" si="19"/>
      </c>
    </row>
    <row r="567" spans="13:13">
      <c r="M567">
        <f t="shared" si="19"/>
      </c>
    </row>
    <row r="568" spans="13:13">
      <c r="M568">
        <f t="shared" si="19"/>
      </c>
    </row>
    <row r="569" spans="13:13">
      <c r="M569">
        <f t="shared" si="19"/>
      </c>
    </row>
    <row r="570" spans="13:13">
      <c r="M570">
        <f t="shared" si="19"/>
      </c>
    </row>
    <row r="571" spans="13:13">
      <c r="M571">
        <f t="shared" si="19"/>
      </c>
    </row>
    <row r="572" spans="13:13">
      <c r="M572">
        <f t="shared" si="19"/>
      </c>
    </row>
    <row r="573" spans="13:13">
      <c r="M573">
        <f t="shared" si="19"/>
      </c>
    </row>
    <row r="574" spans="13:13">
      <c r="M574">
        <f t="shared" si="19"/>
      </c>
    </row>
    <row r="575" spans="13:13">
      <c r="M575">
        <f t="shared" si="19"/>
      </c>
    </row>
    <row r="576" spans="13:13">
      <c r="M576">
        <f t="shared" si="19"/>
      </c>
    </row>
    <row r="577" spans="13:13">
      <c r="M577">
        <f t="shared" si="19"/>
      </c>
    </row>
    <row r="578" spans="13:13">
      <c r="M578">
        <f t="shared" si="19"/>
      </c>
    </row>
    <row r="579" spans="13:13">
      <c r="M579">
        <f t="shared" si="19"/>
      </c>
    </row>
    <row r="580" spans="13:13">
      <c r="M580">
        <f t="shared" si="19"/>
      </c>
    </row>
    <row r="581" spans="13:13">
      <c r="M581">
        <f t="shared" ref="M581:M644" si="20">IF(A581="","", WEEKNUM(A581, 2))</f>
      </c>
    </row>
    <row r="582" spans="13:13">
      <c r="M582">
        <f t="shared" si="20"/>
      </c>
    </row>
    <row r="583" spans="13:13">
      <c r="M583">
        <f t="shared" si="20"/>
      </c>
    </row>
    <row r="584" spans="13:13">
      <c r="M584">
        <f t="shared" si="20"/>
      </c>
    </row>
    <row r="585" spans="13:13">
      <c r="M585">
        <f t="shared" si="20"/>
      </c>
    </row>
    <row r="586" spans="13:13">
      <c r="M586">
        <f t="shared" si="20"/>
      </c>
    </row>
    <row r="587" spans="13:13">
      <c r="M587">
        <f t="shared" si="20"/>
      </c>
    </row>
    <row r="588" spans="13:13">
      <c r="M588">
        <f t="shared" si="20"/>
      </c>
    </row>
    <row r="589" spans="13:13">
      <c r="M589">
        <f t="shared" si="20"/>
      </c>
    </row>
    <row r="590" spans="13:13">
      <c r="M590">
        <f t="shared" si="20"/>
      </c>
    </row>
    <row r="591" spans="13:13">
      <c r="M591">
        <f t="shared" si="20"/>
      </c>
    </row>
    <row r="592" spans="13:13">
      <c r="M592">
        <f t="shared" si="20"/>
      </c>
    </row>
    <row r="593" spans="13:13">
      <c r="M593">
        <f t="shared" si="20"/>
      </c>
    </row>
    <row r="594" spans="13:13">
      <c r="M594">
        <f t="shared" si="20"/>
      </c>
    </row>
    <row r="595" spans="13:13">
      <c r="M595">
        <f t="shared" si="20"/>
      </c>
    </row>
    <row r="596" spans="13:13">
      <c r="M596">
        <f t="shared" si="20"/>
      </c>
    </row>
    <row r="597" spans="13:13">
      <c r="M597">
        <f t="shared" si="20"/>
      </c>
    </row>
    <row r="598" spans="13:13">
      <c r="M598">
        <f t="shared" si="20"/>
      </c>
    </row>
    <row r="599" spans="13:13">
      <c r="M599">
        <f t="shared" si="20"/>
      </c>
    </row>
    <row r="600" spans="13:13">
      <c r="M600">
        <f t="shared" si="20"/>
      </c>
    </row>
    <row r="601" spans="13:13">
      <c r="M601">
        <f t="shared" si="20"/>
      </c>
    </row>
    <row r="602" spans="13:13">
      <c r="M602">
        <f t="shared" si="20"/>
      </c>
    </row>
    <row r="603" spans="13:13">
      <c r="M603">
        <f t="shared" si="20"/>
      </c>
    </row>
    <row r="604" spans="13:13">
      <c r="M604">
        <f t="shared" si="20"/>
      </c>
    </row>
    <row r="605" spans="13:13">
      <c r="M605">
        <f t="shared" si="20"/>
      </c>
    </row>
    <row r="606" spans="13:13">
      <c r="M606">
        <f t="shared" si="20"/>
      </c>
    </row>
    <row r="607" spans="13:13">
      <c r="M607">
        <f t="shared" si="20"/>
      </c>
    </row>
    <row r="608" spans="13:13">
      <c r="M608">
        <f t="shared" si="20"/>
      </c>
    </row>
    <row r="609" spans="13:13">
      <c r="M609">
        <f t="shared" si="20"/>
      </c>
    </row>
    <row r="610" spans="13:13">
      <c r="M610">
        <f t="shared" si="20"/>
      </c>
    </row>
    <row r="611" spans="13:13">
      <c r="M611">
        <f t="shared" si="20"/>
      </c>
    </row>
    <row r="612" spans="13:13">
      <c r="M612">
        <f t="shared" si="20"/>
      </c>
    </row>
    <row r="613" spans="13:13">
      <c r="M613">
        <f t="shared" si="20"/>
      </c>
    </row>
    <row r="614" spans="13:13">
      <c r="M614">
        <f t="shared" si="20"/>
      </c>
    </row>
    <row r="615" spans="13:13">
      <c r="M615">
        <f t="shared" si="20"/>
      </c>
    </row>
    <row r="616" spans="13:13">
      <c r="M616">
        <f t="shared" si="20"/>
      </c>
    </row>
    <row r="617" spans="13:13">
      <c r="M617">
        <f t="shared" si="20"/>
      </c>
    </row>
    <row r="618" spans="13:13">
      <c r="M618">
        <f t="shared" si="20"/>
      </c>
    </row>
    <row r="619" spans="13:13">
      <c r="M619">
        <f t="shared" si="20"/>
      </c>
    </row>
    <row r="620" spans="13:13">
      <c r="M620">
        <f t="shared" si="20"/>
      </c>
    </row>
    <row r="621" spans="13:13">
      <c r="M621">
        <f t="shared" si="20"/>
      </c>
    </row>
    <row r="622" spans="13:13">
      <c r="M622">
        <f t="shared" si="20"/>
      </c>
    </row>
    <row r="623" spans="13:13">
      <c r="M623">
        <f t="shared" si="20"/>
      </c>
    </row>
    <row r="624" spans="13:13">
      <c r="M624">
        <f t="shared" si="20"/>
      </c>
    </row>
    <row r="625" spans="13:13">
      <c r="M625">
        <f t="shared" si="20"/>
      </c>
    </row>
    <row r="626" spans="13:13">
      <c r="M626">
        <f t="shared" si="20"/>
      </c>
    </row>
    <row r="627" spans="13:13">
      <c r="M627">
        <f t="shared" si="20"/>
      </c>
    </row>
    <row r="628" spans="13:13">
      <c r="M628">
        <f t="shared" si="20"/>
      </c>
    </row>
    <row r="629" spans="13:13">
      <c r="M629">
        <f t="shared" si="20"/>
      </c>
    </row>
    <row r="630" spans="13:13">
      <c r="M630">
        <f t="shared" si="20"/>
      </c>
    </row>
    <row r="631" spans="13:13">
      <c r="M631">
        <f t="shared" si="20"/>
      </c>
    </row>
    <row r="632" spans="13:13">
      <c r="M632">
        <f t="shared" si="20"/>
      </c>
    </row>
    <row r="633" spans="13:13">
      <c r="M633">
        <f t="shared" si="20"/>
      </c>
    </row>
    <row r="634" spans="13:13">
      <c r="M634">
        <f t="shared" si="20"/>
      </c>
    </row>
    <row r="635" spans="13:13">
      <c r="M635">
        <f t="shared" si="20"/>
      </c>
    </row>
    <row r="636" spans="13:13">
      <c r="M636">
        <f t="shared" si="20"/>
      </c>
    </row>
    <row r="637" spans="13:13">
      <c r="M637">
        <f t="shared" si="20"/>
      </c>
    </row>
    <row r="638" spans="13:13">
      <c r="M638">
        <f t="shared" si="20"/>
      </c>
    </row>
    <row r="639" spans="13:13">
      <c r="M639">
        <f t="shared" si="20"/>
      </c>
    </row>
    <row r="640" spans="13:13">
      <c r="M640">
        <f t="shared" si="20"/>
      </c>
    </row>
    <row r="641" spans="13:13">
      <c r="M641">
        <f t="shared" si="20"/>
      </c>
    </row>
    <row r="642" spans="13:13">
      <c r="M642">
        <f t="shared" si="20"/>
      </c>
    </row>
    <row r="643" spans="13:13">
      <c r="M643">
        <f t="shared" si="20"/>
      </c>
    </row>
    <row r="644" spans="13:13">
      <c r="M644">
        <f t="shared" si="20"/>
      </c>
    </row>
    <row r="645" spans="13:13">
      <c r="M645">
        <f t="shared" ref="M645:M708" si="21">IF(A645="","", WEEKNUM(A645, 2))</f>
      </c>
    </row>
    <row r="646" spans="13:13">
      <c r="M646">
        <f t="shared" si="21"/>
      </c>
    </row>
    <row r="647" spans="13:13">
      <c r="M647">
        <f t="shared" si="21"/>
      </c>
    </row>
    <row r="648" spans="13:13">
      <c r="M648">
        <f t="shared" si="21"/>
      </c>
    </row>
    <row r="649" spans="13:13">
      <c r="M649">
        <f t="shared" si="21"/>
      </c>
    </row>
    <row r="650" spans="13:13">
      <c r="M650">
        <f t="shared" si="21"/>
      </c>
    </row>
    <row r="651" spans="13:13">
      <c r="M651">
        <f t="shared" si="21"/>
      </c>
    </row>
    <row r="652" spans="13:13">
      <c r="M652">
        <f t="shared" si="21"/>
      </c>
    </row>
    <row r="653" spans="13:13">
      <c r="M653">
        <f t="shared" si="21"/>
      </c>
    </row>
    <row r="654" spans="13:13">
      <c r="M654">
        <f t="shared" si="21"/>
      </c>
    </row>
    <row r="655" spans="13:13">
      <c r="M655">
        <f t="shared" si="21"/>
      </c>
    </row>
    <row r="656" spans="13:13">
      <c r="M656">
        <f t="shared" si="21"/>
      </c>
    </row>
    <row r="657" spans="13:13">
      <c r="M657">
        <f t="shared" si="21"/>
      </c>
    </row>
    <row r="658" spans="13:13">
      <c r="M658">
        <f t="shared" si="21"/>
      </c>
    </row>
    <row r="659" spans="13:13">
      <c r="M659">
        <f t="shared" si="21"/>
      </c>
    </row>
    <row r="660" spans="13:13">
      <c r="M660">
        <f t="shared" si="21"/>
      </c>
    </row>
    <row r="661" spans="13:13">
      <c r="M661">
        <f t="shared" si="21"/>
      </c>
    </row>
    <row r="662" spans="13:13">
      <c r="M662">
        <f t="shared" si="21"/>
      </c>
    </row>
    <row r="663" spans="13:13">
      <c r="M663">
        <f t="shared" si="21"/>
      </c>
    </row>
    <row r="664" spans="13:13">
      <c r="M664">
        <f t="shared" si="21"/>
      </c>
    </row>
    <row r="665" spans="13:13">
      <c r="M665">
        <f t="shared" si="21"/>
      </c>
    </row>
    <row r="666" spans="13:13">
      <c r="M666">
        <f t="shared" si="21"/>
      </c>
    </row>
    <row r="667" spans="13:13">
      <c r="M667">
        <f t="shared" si="21"/>
      </c>
    </row>
    <row r="668" spans="13:13">
      <c r="M668">
        <f t="shared" si="21"/>
      </c>
    </row>
    <row r="669" spans="13:13">
      <c r="M669">
        <f t="shared" si="21"/>
      </c>
    </row>
    <row r="670" spans="13:13">
      <c r="M670">
        <f t="shared" si="21"/>
      </c>
    </row>
    <row r="671" spans="13:13">
      <c r="M671">
        <f t="shared" si="21"/>
      </c>
    </row>
    <row r="672" spans="13:13">
      <c r="M672">
        <f t="shared" si="21"/>
      </c>
    </row>
    <row r="673" spans="13:13">
      <c r="M673">
        <f t="shared" si="21"/>
      </c>
    </row>
    <row r="674" spans="13:13">
      <c r="M674">
        <f t="shared" si="21"/>
      </c>
    </row>
    <row r="675" spans="13:13">
      <c r="M675">
        <f t="shared" si="21"/>
      </c>
    </row>
    <row r="676" spans="13:13">
      <c r="M676">
        <f t="shared" si="21"/>
      </c>
    </row>
    <row r="677" spans="13:13">
      <c r="M677">
        <f t="shared" si="21"/>
      </c>
    </row>
    <row r="678" spans="13:13">
      <c r="M678">
        <f t="shared" si="21"/>
      </c>
    </row>
    <row r="679" spans="13:13">
      <c r="M679">
        <f t="shared" si="21"/>
      </c>
    </row>
    <row r="680" spans="13:13">
      <c r="M680">
        <f t="shared" si="21"/>
      </c>
    </row>
    <row r="681" spans="13:13">
      <c r="M681">
        <f t="shared" si="21"/>
      </c>
    </row>
    <row r="682" spans="13:13">
      <c r="M682">
        <f t="shared" si="21"/>
      </c>
    </row>
    <row r="683" spans="13:13">
      <c r="M683">
        <f t="shared" si="21"/>
      </c>
    </row>
    <row r="684" spans="13:13">
      <c r="M684">
        <f t="shared" si="21"/>
      </c>
    </row>
    <row r="685" spans="13:13">
      <c r="M685">
        <f t="shared" si="21"/>
      </c>
    </row>
    <row r="686" spans="13:13">
      <c r="M686">
        <f t="shared" si="21"/>
      </c>
    </row>
    <row r="687" spans="13:13">
      <c r="M687">
        <f t="shared" si="21"/>
      </c>
    </row>
    <row r="688" spans="13:13">
      <c r="M688">
        <f t="shared" si="21"/>
      </c>
    </row>
    <row r="689" spans="13:13">
      <c r="M689">
        <f t="shared" si="21"/>
      </c>
    </row>
    <row r="690" spans="13:13">
      <c r="M690">
        <f t="shared" si="21"/>
      </c>
    </row>
    <row r="691" spans="13:13">
      <c r="M691">
        <f t="shared" si="21"/>
      </c>
    </row>
    <row r="692" spans="13:13">
      <c r="M692">
        <f t="shared" si="21"/>
      </c>
    </row>
    <row r="693" spans="13:13">
      <c r="M693">
        <f t="shared" si="21"/>
      </c>
    </row>
    <row r="694" spans="13:13">
      <c r="M694">
        <f t="shared" si="21"/>
      </c>
    </row>
    <row r="695" spans="13:13">
      <c r="M695">
        <f t="shared" si="21"/>
      </c>
    </row>
    <row r="696" spans="13:13">
      <c r="M696">
        <f t="shared" si="21"/>
      </c>
    </row>
    <row r="697" spans="13:13">
      <c r="M697">
        <f t="shared" si="21"/>
      </c>
    </row>
    <row r="698" spans="13:13">
      <c r="M698">
        <f t="shared" si="21"/>
      </c>
    </row>
    <row r="699" spans="13:13">
      <c r="M699">
        <f t="shared" si="21"/>
      </c>
    </row>
    <row r="700" spans="13:13">
      <c r="M700">
        <f t="shared" si="21"/>
      </c>
    </row>
    <row r="701" spans="13:13">
      <c r="M701">
        <f t="shared" si="21"/>
      </c>
    </row>
    <row r="702" spans="13:13">
      <c r="M702">
        <f t="shared" si="21"/>
      </c>
    </row>
    <row r="703" spans="13:13">
      <c r="M703">
        <f t="shared" si="21"/>
      </c>
    </row>
    <row r="704" spans="13:13">
      <c r="M704">
        <f t="shared" si="21"/>
      </c>
    </row>
    <row r="705" spans="13:13">
      <c r="M705">
        <f t="shared" si="21"/>
      </c>
    </row>
    <row r="706" spans="13:13">
      <c r="M706">
        <f t="shared" si="21"/>
      </c>
    </row>
    <row r="707" spans="13:13">
      <c r="M707">
        <f t="shared" si="21"/>
      </c>
    </row>
    <row r="708" spans="13:13">
      <c r="M708">
        <f t="shared" si="21"/>
      </c>
    </row>
    <row r="709" spans="13:13">
      <c r="M709">
        <f t="shared" ref="M709:M772" si="22">IF(A709="","", WEEKNUM(A709, 2))</f>
      </c>
    </row>
    <row r="710" spans="13:13">
      <c r="M710">
        <f t="shared" si="22"/>
      </c>
    </row>
    <row r="711" spans="13:13">
      <c r="M711">
        <f t="shared" si="22"/>
      </c>
    </row>
    <row r="712" spans="13:13">
      <c r="M712">
        <f t="shared" si="22"/>
      </c>
    </row>
    <row r="713" spans="13:13">
      <c r="M713">
        <f t="shared" si="22"/>
      </c>
    </row>
    <row r="714" spans="13:13">
      <c r="M714">
        <f t="shared" si="22"/>
      </c>
    </row>
    <row r="715" spans="13:13">
      <c r="M715">
        <f t="shared" si="22"/>
      </c>
    </row>
    <row r="716" spans="13:13">
      <c r="M716">
        <f t="shared" si="22"/>
      </c>
    </row>
    <row r="717" spans="13:13">
      <c r="M717">
        <f t="shared" si="22"/>
      </c>
    </row>
    <row r="718" spans="13:13">
      <c r="M718">
        <f t="shared" si="22"/>
      </c>
    </row>
    <row r="719" spans="13:13">
      <c r="M719">
        <f t="shared" si="22"/>
      </c>
    </row>
    <row r="720" spans="13:13">
      <c r="M720">
        <f t="shared" si="22"/>
      </c>
    </row>
    <row r="721" spans="13:13">
      <c r="M721">
        <f t="shared" si="22"/>
      </c>
    </row>
    <row r="722" spans="13:13">
      <c r="M722">
        <f t="shared" si="22"/>
      </c>
    </row>
    <row r="723" spans="13:13">
      <c r="M723">
        <f t="shared" si="22"/>
      </c>
    </row>
    <row r="724" spans="13:13">
      <c r="M724">
        <f t="shared" si="22"/>
      </c>
    </row>
    <row r="725" spans="13:13">
      <c r="M725">
        <f t="shared" si="22"/>
      </c>
    </row>
    <row r="726" spans="13:13">
      <c r="M726">
        <f t="shared" si="22"/>
      </c>
    </row>
    <row r="727" spans="13:13">
      <c r="M727">
        <f t="shared" si="22"/>
      </c>
    </row>
    <row r="728" spans="13:13">
      <c r="M728">
        <f t="shared" si="22"/>
      </c>
    </row>
    <row r="729" spans="13:13">
      <c r="M729">
        <f t="shared" si="22"/>
      </c>
    </row>
    <row r="730" spans="13:13">
      <c r="M730">
        <f t="shared" si="22"/>
      </c>
    </row>
    <row r="731" spans="13:13">
      <c r="M731">
        <f t="shared" si="22"/>
      </c>
    </row>
    <row r="732" spans="13:13">
      <c r="M732">
        <f t="shared" si="22"/>
      </c>
    </row>
    <row r="733" spans="13:13">
      <c r="M733">
        <f t="shared" si="22"/>
      </c>
    </row>
    <row r="734" spans="13:13">
      <c r="M734">
        <f t="shared" si="22"/>
      </c>
    </row>
    <row r="735" spans="13:13">
      <c r="M735">
        <f t="shared" si="22"/>
      </c>
    </row>
    <row r="736" spans="13:13">
      <c r="M736">
        <f t="shared" si="22"/>
      </c>
    </row>
    <row r="737" spans="13:13">
      <c r="M737">
        <f t="shared" si="22"/>
      </c>
    </row>
    <row r="738" spans="13:13">
      <c r="M738">
        <f t="shared" si="22"/>
      </c>
    </row>
    <row r="739" spans="13:13">
      <c r="M739">
        <f t="shared" si="22"/>
      </c>
    </row>
    <row r="740" spans="13:13">
      <c r="M740">
        <f t="shared" si="22"/>
      </c>
    </row>
    <row r="741" spans="13:13">
      <c r="M741">
        <f t="shared" si="22"/>
      </c>
    </row>
    <row r="742" spans="13:13">
      <c r="M742">
        <f t="shared" si="22"/>
      </c>
    </row>
    <row r="743" spans="13:13">
      <c r="M743">
        <f t="shared" si="22"/>
      </c>
    </row>
    <row r="744" spans="13:13">
      <c r="M744">
        <f t="shared" si="22"/>
      </c>
    </row>
    <row r="745" spans="13:13">
      <c r="M745">
        <f t="shared" si="22"/>
      </c>
    </row>
    <row r="746" spans="13:13">
      <c r="M746">
        <f t="shared" si="22"/>
      </c>
    </row>
    <row r="747" spans="13:13">
      <c r="M747">
        <f t="shared" si="22"/>
      </c>
    </row>
    <row r="748" spans="13:13">
      <c r="M748">
        <f t="shared" si="22"/>
      </c>
    </row>
    <row r="749" spans="13:13">
      <c r="M749">
        <f t="shared" si="22"/>
      </c>
    </row>
    <row r="750" spans="13:13">
      <c r="M750">
        <f t="shared" si="22"/>
      </c>
    </row>
    <row r="751" spans="13:13">
      <c r="M751">
        <f t="shared" si="22"/>
      </c>
    </row>
    <row r="752" spans="13:13">
      <c r="M752">
        <f t="shared" si="22"/>
      </c>
    </row>
    <row r="753" spans="13:13">
      <c r="M753">
        <f t="shared" si="22"/>
      </c>
    </row>
    <row r="754" spans="13:13">
      <c r="M754">
        <f t="shared" si="22"/>
      </c>
    </row>
    <row r="755" spans="13:13">
      <c r="M755">
        <f t="shared" si="22"/>
      </c>
    </row>
    <row r="756" spans="13:13">
      <c r="M756">
        <f t="shared" si="22"/>
      </c>
    </row>
    <row r="757" spans="13:13">
      <c r="M757">
        <f t="shared" si="22"/>
      </c>
    </row>
    <row r="758" spans="13:13">
      <c r="M758">
        <f t="shared" si="22"/>
      </c>
    </row>
    <row r="759" spans="13:13">
      <c r="M759">
        <f t="shared" si="22"/>
      </c>
    </row>
    <row r="760" spans="13:13">
      <c r="M760">
        <f t="shared" si="22"/>
      </c>
    </row>
    <row r="761" spans="13:13">
      <c r="M761">
        <f t="shared" si="22"/>
      </c>
    </row>
    <row r="762" spans="13:13">
      <c r="M762">
        <f t="shared" si="22"/>
      </c>
    </row>
    <row r="763" spans="13:13">
      <c r="M763">
        <f t="shared" si="22"/>
      </c>
    </row>
    <row r="764" spans="13:13">
      <c r="M764">
        <f t="shared" si="22"/>
      </c>
    </row>
    <row r="765" spans="13:13">
      <c r="M765">
        <f t="shared" si="22"/>
      </c>
    </row>
    <row r="766" spans="13:13">
      <c r="M766">
        <f t="shared" si="22"/>
      </c>
    </row>
    <row r="767" spans="13:13">
      <c r="M767">
        <f t="shared" si="22"/>
      </c>
    </row>
    <row r="768" spans="13:13">
      <c r="M768">
        <f t="shared" si="22"/>
      </c>
    </row>
    <row r="769" spans="13:13">
      <c r="M769">
        <f t="shared" si="22"/>
      </c>
    </row>
    <row r="770" spans="13:13">
      <c r="M770">
        <f t="shared" si="22"/>
      </c>
    </row>
    <row r="771" spans="13:13">
      <c r="M771">
        <f t="shared" si="22"/>
      </c>
    </row>
    <row r="772" spans="13:13">
      <c r="M772">
        <f t="shared" si="22"/>
      </c>
    </row>
    <row r="773" spans="13:13">
      <c r="M773">
        <f t="shared" ref="M773:M836" si="23">IF(A773="","", WEEKNUM(A773, 2))</f>
      </c>
    </row>
    <row r="774" spans="13:13">
      <c r="M774">
        <f t="shared" si="23"/>
      </c>
    </row>
    <row r="775" spans="13:13">
      <c r="M775">
        <f t="shared" si="23"/>
      </c>
    </row>
    <row r="776" spans="13:13">
      <c r="M776">
        <f t="shared" si="23"/>
      </c>
    </row>
    <row r="777" spans="13:13">
      <c r="M777">
        <f t="shared" si="23"/>
      </c>
    </row>
    <row r="778" spans="13:13">
      <c r="M778">
        <f t="shared" si="23"/>
      </c>
    </row>
    <row r="779" spans="13:13">
      <c r="M779">
        <f t="shared" si="23"/>
      </c>
    </row>
    <row r="780" spans="13:13">
      <c r="M780">
        <f t="shared" si="23"/>
      </c>
    </row>
    <row r="781" spans="13:13">
      <c r="M781">
        <f t="shared" si="23"/>
      </c>
    </row>
    <row r="782" spans="13:13">
      <c r="M782">
        <f t="shared" si="23"/>
      </c>
    </row>
    <row r="783" spans="13:13">
      <c r="M783">
        <f t="shared" si="23"/>
      </c>
    </row>
    <row r="784" spans="13:13">
      <c r="M784">
        <f t="shared" si="23"/>
      </c>
    </row>
    <row r="785" spans="13:13">
      <c r="M785">
        <f t="shared" si="23"/>
      </c>
    </row>
    <row r="786" spans="13:13">
      <c r="M786">
        <f t="shared" si="23"/>
      </c>
    </row>
    <row r="787" spans="13:13">
      <c r="M787">
        <f t="shared" si="23"/>
      </c>
    </row>
    <row r="788" spans="13:13">
      <c r="M788">
        <f t="shared" si="23"/>
      </c>
    </row>
    <row r="789" spans="13:13">
      <c r="M789">
        <f t="shared" si="23"/>
      </c>
    </row>
    <row r="790" spans="13:13">
      <c r="M790">
        <f t="shared" si="23"/>
      </c>
    </row>
    <row r="791" spans="13:13">
      <c r="M791">
        <f t="shared" si="23"/>
      </c>
    </row>
    <row r="792" spans="13:13">
      <c r="M792">
        <f t="shared" si="23"/>
      </c>
    </row>
    <row r="793" spans="13:13">
      <c r="M793">
        <f t="shared" si="23"/>
      </c>
    </row>
    <row r="794" spans="13:13">
      <c r="M794">
        <f t="shared" si="23"/>
      </c>
    </row>
    <row r="795" spans="13:13">
      <c r="M795">
        <f t="shared" si="23"/>
      </c>
    </row>
    <row r="796" spans="13:13">
      <c r="M796">
        <f t="shared" si="23"/>
      </c>
    </row>
    <row r="797" spans="13:13">
      <c r="M797">
        <f t="shared" si="23"/>
      </c>
    </row>
    <row r="798" spans="13:13">
      <c r="M798">
        <f t="shared" si="23"/>
      </c>
    </row>
    <row r="799" spans="13:13">
      <c r="M799">
        <f t="shared" si="23"/>
      </c>
    </row>
    <row r="800" spans="13:13">
      <c r="M800">
        <f t="shared" si="23"/>
      </c>
    </row>
    <row r="801" spans="13:13">
      <c r="M801">
        <f t="shared" si="23"/>
      </c>
    </row>
    <row r="802" spans="13:13">
      <c r="M802">
        <f t="shared" si="23"/>
      </c>
    </row>
    <row r="803" spans="13:13">
      <c r="M803">
        <f t="shared" si="23"/>
      </c>
    </row>
    <row r="804" spans="13:13">
      <c r="M804">
        <f t="shared" si="23"/>
      </c>
    </row>
    <row r="805" spans="13:13">
      <c r="M805">
        <f t="shared" si="23"/>
      </c>
    </row>
    <row r="806" spans="13:13">
      <c r="M806">
        <f t="shared" si="23"/>
      </c>
    </row>
    <row r="807" spans="13:13">
      <c r="M807">
        <f t="shared" si="23"/>
      </c>
    </row>
    <row r="808" spans="13:13">
      <c r="M808">
        <f t="shared" si="23"/>
      </c>
    </row>
    <row r="809" spans="13:13">
      <c r="M809">
        <f t="shared" si="23"/>
      </c>
    </row>
    <row r="810" spans="13:13">
      <c r="M810">
        <f t="shared" si="23"/>
      </c>
    </row>
    <row r="811" spans="13:13">
      <c r="M811">
        <f t="shared" si="23"/>
      </c>
    </row>
    <row r="812" spans="13:13">
      <c r="M812">
        <f t="shared" si="23"/>
      </c>
    </row>
    <row r="813" spans="13:13">
      <c r="M813">
        <f t="shared" si="23"/>
      </c>
    </row>
    <row r="814" spans="13:13">
      <c r="M814">
        <f t="shared" si="23"/>
      </c>
    </row>
    <row r="815" spans="13:13">
      <c r="M815">
        <f t="shared" si="23"/>
      </c>
    </row>
    <row r="816" spans="13:13">
      <c r="M816">
        <f t="shared" si="23"/>
      </c>
    </row>
    <row r="817" spans="13:13">
      <c r="M817">
        <f t="shared" si="23"/>
      </c>
    </row>
    <row r="818" spans="13:13">
      <c r="M818">
        <f t="shared" si="23"/>
      </c>
    </row>
    <row r="819" spans="13:13">
      <c r="M819">
        <f t="shared" si="23"/>
      </c>
    </row>
    <row r="820" spans="13:13">
      <c r="M820">
        <f t="shared" si="23"/>
      </c>
    </row>
    <row r="821" spans="13:13">
      <c r="M821">
        <f t="shared" si="23"/>
      </c>
    </row>
    <row r="822" spans="13:13">
      <c r="M822">
        <f t="shared" si="23"/>
      </c>
    </row>
    <row r="823" spans="13:13">
      <c r="M823">
        <f t="shared" si="23"/>
      </c>
    </row>
    <row r="824" spans="13:13">
      <c r="M824">
        <f t="shared" si="23"/>
      </c>
    </row>
    <row r="825" spans="13:13">
      <c r="M825">
        <f t="shared" si="23"/>
      </c>
    </row>
    <row r="826" spans="13:13">
      <c r="M826">
        <f t="shared" si="23"/>
      </c>
    </row>
    <row r="827" spans="13:13">
      <c r="M827">
        <f t="shared" si="23"/>
      </c>
    </row>
    <row r="828" spans="13:13">
      <c r="M828">
        <f t="shared" si="23"/>
      </c>
    </row>
    <row r="829" spans="13:13">
      <c r="M829">
        <f t="shared" si="23"/>
      </c>
    </row>
    <row r="830" spans="13:13">
      <c r="M830">
        <f t="shared" si="23"/>
      </c>
    </row>
    <row r="831" spans="13:13">
      <c r="M831">
        <f t="shared" si="23"/>
      </c>
    </row>
    <row r="832" spans="13:13">
      <c r="M832">
        <f t="shared" si="23"/>
      </c>
    </row>
    <row r="833" spans="13:13">
      <c r="M833">
        <f t="shared" si="23"/>
      </c>
    </row>
    <row r="834" spans="13:13">
      <c r="M834">
        <f t="shared" si="23"/>
      </c>
    </row>
    <row r="835" spans="13:13">
      <c r="M835">
        <f t="shared" si="23"/>
      </c>
    </row>
    <row r="836" spans="13:13">
      <c r="M836">
        <f t="shared" si="23"/>
      </c>
    </row>
    <row r="837" spans="13:13">
      <c r="M837">
        <f t="shared" ref="M837:M900" si="24">IF(A837="","", WEEKNUM(A837, 2))</f>
      </c>
    </row>
    <row r="838" spans="13:13">
      <c r="M838">
        <f t="shared" si="24"/>
      </c>
    </row>
    <row r="839" spans="13:13">
      <c r="M839">
        <f t="shared" si="24"/>
      </c>
    </row>
    <row r="840" spans="13:13">
      <c r="M840">
        <f t="shared" si="24"/>
      </c>
    </row>
    <row r="841" spans="13:13">
      <c r="M841">
        <f t="shared" si="24"/>
      </c>
    </row>
    <row r="842" spans="13:13">
      <c r="M842">
        <f t="shared" si="24"/>
      </c>
    </row>
    <row r="843" spans="13:13">
      <c r="M843">
        <f t="shared" si="24"/>
      </c>
    </row>
    <row r="844" spans="13:13">
      <c r="M844">
        <f t="shared" si="24"/>
      </c>
    </row>
    <row r="845" spans="13:13">
      <c r="M845">
        <f t="shared" si="24"/>
      </c>
    </row>
    <row r="846" spans="13:13">
      <c r="M846">
        <f t="shared" si="24"/>
      </c>
    </row>
    <row r="847" spans="13:13">
      <c r="M847">
        <f t="shared" si="24"/>
      </c>
    </row>
    <row r="848" spans="13:13">
      <c r="M848">
        <f t="shared" si="24"/>
      </c>
    </row>
    <row r="849" spans="13:13">
      <c r="M849">
        <f t="shared" si="24"/>
      </c>
    </row>
    <row r="850" spans="13:13">
      <c r="M850">
        <f t="shared" si="24"/>
      </c>
    </row>
    <row r="851" spans="13:13">
      <c r="M851">
        <f t="shared" si="24"/>
      </c>
    </row>
    <row r="852" spans="13:13">
      <c r="M852">
        <f t="shared" si="24"/>
      </c>
    </row>
    <row r="853" spans="13:13">
      <c r="M853">
        <f t="shared" si="24"/>
      </c>
    </row>
    <row r="854" spans="13:13">
      <c r="M854">
        <f t="shared" si="24"/>
      </c>
    </row>
    <row r="855" spans="13:13">
      <c r="M855">
        <f t="shared" si="24"/>
      </c>
    </row>
    <row r="856" spans="13:13">
      <c r="M856">
        <f t="shared" si="24"/>
      </c>
    </row>
    <row r="857" spans="13:13">
      <c r="M857">
        <f t="shared" si="24"/>
      </c>
    </row>
    <row r="858" spans="13:13">
      <c r="M858">
        <f t="shared" si="24"/>
      </c>
    </row>
    <row r="859" spans="13:13">
      <c r="M859">
        <f t="shared" si="24"/>
      </c>
    </row>
    <row r="860" spans="13:13">
      <c r="M860">
        <f t="shared" si="24"/>
      </c>
    </row>
    <row r="861" spans="13:13">
      <c r="M861">
        <f t="shared" si="24"/>
      </c>
    </row>
    <row r="862" spans="13:13">
      <c r="M862">
        <f t="shared" si="24"/>
      </c>
    </row>
    <row r="863" spans="13:13">
      <c r="M863">
        <f t="shared" si="24"/>
      </c>
    </row>
    <row r="864" spans="13:13">
      <c r="M864">
        <f t="shared" si="24"/>
      </c>
    </row>
    <row r="865" spans="13:13">
      <c r="M865">
        <f t="shared" si="24"/>
      </c>
    </row>
    <row r="866" spans="13:13">
      <c r="M866">
        <f t="shared" si="24"/>
      </c>
    </row>
    <row r="867" spans="13:13">
      <c r="M867">
        <f t="shared" si="24"/>
      </c>
    </row>
    <row r="868" spans="13:13">
      <c r="M868">
        <f t="shared" si="24"/>
      </c>
    </row>
    <row r="869" spans="13:13">
      <c r="M869">
        <f t="shared" si="24"/>
      </c>
    </row>
    <row r="870" spans="13:13">
      <c r="M870">
        <f t="shared" si="24"/>
      </c>
    </row>
    <row r="871" spans="13:13">
      <c r="M871">
        <f t="shared" si="24"/>
      </c>
    </row>
    <row r="872" spans="13:13">
      <c r="M872">
        <f t="shared" si="24"/>
      </c>
    </row>
    <row r="873" spans="13:13">
      <c r="M873">
        <f t="shared" si="24"/>
      </c>
    </row>
    <row r="874" spans="13:13">
      <c r="M874">
        <f t="shared" si="24"/>
      </c>
    </row>
    <row r="875" spans="13:13">
      <c r="M875">
        <f t="shared" si="24"/>
      </c>
    </row>
    <row r="876" spans="13:13">
      <c r="M876">
        <f t="shared" si="24"/>
      </c>
    </row>
    <row r="877" spans="13:13">
      <c r="M877">
        <f t="shared" si="24"/>
      </c>
    </row>
    <row r="878" spans="13:13">
      <c r="M878">
        <f t="shared" si="24"/>
      </c>
    </row>
    <row r="879" spans="13:13">
      <c r="M879">
        <f t="shared" si="24"/>
      </c>
    </row>
    <row r="880" spans="13:13">
      <c r="M880">
        <f t="shared" si="24"/>
      </c>
    </row>
    <row r="881" spans="13:13">
      <c r="M881">
        <f t="shared" si="24"/>
      </c>
    </row>
    <row r="882" spans="13:13">
      <c r="M882">
        <f t="shared" si="24"/>
      </c>
    </row>
    <row r="883" spans="13:13">
      <c r="M883">
        <f t="shared" si="24"/>
      </c>
    </row>
    <row r="884" spans="13:13">
      <c r="M884">
        <f t="shared" si="24"/>
      </c>
    </row>
    <row r="885" spans="13:13">
      <c r="M885">
        <f t="shared" si="24"/>
      </c>
    </row>
    <row r="886" spans="13:13">
      <c r="M886">
        <f t="shared" si="24"/>
      </c>
    </row>
    <row r="887" spans="13:13">
      <c r="M887">
        <f t="shared" si="24"/>
      </c>
    </row>
    <row r="888" spans="13:13">
      <c r="M888">
        <f t="shared" si="24"/>
      </c>
    </row>
    <row r="889" spans="13:13">
      <c r="M889">
        <f t="shared" si="24"/>
      </c>
    </row>
    <row r="890" spans="13:13">
      <c r="M890">
        <f t="shared" si="24"/>
      </c>
    </row>
    <row r="891" spans="13:13">
      <c r="M891">
        <f t="shared" si="24"/>
      </c>
    </row>
    <row r="892" spans="13:13">
      <c r="M892">
        <f t="shared" si="24"/>
      </c>
    </row>
    <row r="893" spans="13:13">
      <c r="M893">
        <f t="shared" si="24"/>
      </c>
    </row>
    <row r="894" spans="13:13">
      <c r="M894">
        <f t="shared" si="24"/>
      </c>
    </row>
    <row r="895" spans="13:13">
      <c r="M895">
        <f t="shared" si="24"/>
      </c>
    </row>
    <row r="896" spans="13:13">
      <c r="M896">
        <f t="shared" si="24"/>
      </c>
    </row>
    <row r="897" spans="13:13">
      <c r="M897">
        <f t="shared" si="24"/>
      </c>
    </row>
    <row r="898" spans="13:13">
      <c r="M898">
        <f t="shared" si="24"/>
      </c>
    </row>
    <row r="899" spans="13:13">
      <c r="M899">
        <f t="shared" si="24"/>
      </c>
    </row>
    <row r="900" spans="13:13">
      <c r="M900">
        <f t="shared" si="24"/>
      </c>
    </row>
    <row r="901" spans="13:13">
      <c r="M901">
        <f t="shared" ref="M901:M964" si="25">IF(A901="","", WEEKNUM(A901, 2))</f>
      </c>
    </row>
    <row r="902" spans="13:13">
      <c r="M902">
        <f t="shared" si="25"/>
      </c>
    </row>
    <row r="903" spans="13:13">
      <c r="M903">
        <f t="shared" si="25"/>
      </c>
    </row>
    <row r="904" spans="13:13">
      <c r="M904">
        <f t="shared" si="25"/>
      </c>
    </row>
    <row r="905" spans="13:13">
      <c r="M905">
        <f t="shared" si="25"/>
      </c>
    </row>
    <row r="906" spans="13:13">
      <c r="M906">
        <f t="shared" si="25"/>
      </c>
    </row>
    <row r="907" spans="13:13">
      <c r="M907">
        <f t="shared" si="25"/>
      </c>
    </row>
    <row r="908" spans="13:13">
      <c r="M908">
        <f t="shared" si="25"/>
      </c>
    </row>
    <row r="909" spans="13:13">
      <c r="M909">
        <f t="shared" si="25"/>
      </c>
    </row>
    <row r="910" spans="13:13">
      <c r="M910">
        <f t="shared" si="25"/>
      </c>
    </row>
    <row r="911" spans="13:13">
      <c r="M911">
        <f t="shared" si="25"/>
      </c>
    </row>
    <row r="912" spans="13:13">
      <c r="M912">
        <f t="shared" si="25"/>
      </c>
    </row>
    <row r="913" spans="13:13">
      <c r="M913">
        <f t="shared" si="25"/>
      </c>
    </row>
    <row r="914" spans="13:13">
      <c r="M914">
        <f t="shared" si="25"/>
      </c>
    </row>
    <row r="915" spans="13:13">
      <c r="M915">
        <f t="shared" si="25"/>
      </c>
    </row>
    <row r="916" spans="13:13">
      <c r="M916">
        <f t="shared" si="25"/>
      </c>
    </row>
    <row r="917" spans="13:13">
      <c r="M917">
        <f t="shared" si="25"/>
      </c>
    </row>
    <row r="918" spans="13:13">
      <c r="M918">
        <f t="shared" si="25"/>
      </c>
    </row>
    <row r="919" spans="13:13">
      <c r="M919">
        <f t="shared" si="25"/>
      </c>
    </row>
    <row r="920" spans="13:13">
      <c r="M920">
        <f t="shared" si="25"/>
      </c>
    </row>
    <row r="921" spans="13:13">
      <c r="M921">
        <f t="shared" si="25"/>
      </c>
    </row>
    <row r="922" spans="13:13">
      <c r="M922">
        <f t="shared" si="25"/>
      </c>
    </row>
    <row r="923" spans="13:13">
      <c r="M923">
        <f t="shared" si="25"/>
      </c>
    </row>
    <row r="924" spans="13:13">
      <c r="M924">
        <f t="shared" si="25"/>
      </c>
    </row>
    <row r="925" spans="13:13">
      <c r="M925">
        <f t="shared" si="25"/>
      </c>
    </row>
    <row r="926" spans="13:13">
      <c r="M926">
        <f t="shared" si="25"/>
      </c>
    </row>
    <row r="927" spans="13:13">
      <c r="M927">
        <f t="shared" si="25"/>
      </c>
    </row>
    <row r="928" spans="13:13">
      <c r="M928">
        <f t="shared" si="25"/>
      </c>
    </row>
    <row r="929" spans="13:13">
      <c r="M929">
        <f t="shared" si="25"/>
      </c>
    </row>
    <row r="930" spans="13:13">
      <c r="M930">
        <f t="shared" si="25"/>
      </c>
    </row>
    <row r="931" spans="13:13">
      <c r="M931">
        <f t="shared" si="25"/>
      </c>
    </row>
    <row r="932" spans="13:13">
      <c r="M932">
        <f t="shared" si="25"/>
      </c>
    </row>
    <row r="933" spans="13:13">
      <c r="M933">
        <f t="shared" si="25"/>
      </c>
    </row>
    <row r="934" spans="13:13">
      <c r="M934">
        <f t="shared" si="25"/>
      </c>
    </row>
    <row r="935" spans="13:13">
      <c r="M935">
        <f t="shared" si="25"/>
      </c>
    </row>
    <row r="936" spans="13:13">
      <c r="M936">
        <f t="shared" si="25"/>
      </c>
    </row>
    <row r="937" spans="13:13">
      <c r="M937">
        <f t="shared" si="25"/>
      </c>
    </row>
    <row r="938" spans="13:13">
      <c r="M938">
        <f t="shared" si="25"/>
      </c>
    </row>
    <row r="939" spans="13:13">
      <c r="M939">
        <f t="shared" si="25"/>
      </c>
    </row>
    <row r="940" spans="13:13">
      <c r="M940">
        <f t="shared" si="25"/>
      </c>
    </row>
    <row r="941" spans="13:13">
      <c r="M941">
        <f t="shared" si="25"/>
      </c>
    </row>
    <row r="942" spans="13:13">
      <c r="M942">
        <f t="shared" si="25"/>
      </c>
    </row>
    <row r="943" spans="13:13">
      <c r="M943">
        <f t="shared" si="25"/>
      </c>
    </row>
    <row r="944" spans="13:13">
      <c r="M944">
        <f t="shared" si="25"/>
      </c>
    </row>
    <row r="945" spans="13:13">
      <c r="M945">
        <f t="shared" si="25"/>
      </c>
    </row>
    <row r="946" spans="13:13">
      <c r="M946">
        <f t="shared" si="25"/>
      </c>
    </row>
    <row r="947" spans="13:13">
      <c r="M947">
        <f t="shared" si="25"/>
      </c>
    </row>
    <row r="948" spans="13:13">
      <c r="M948">
        <f t="shared" si="25"/>
      </c>
    </row>
    <row r="949" spans="13:13">
      <c r="M949">
        <f t="shared" si="25"/>
      </c>
    </row>
    <row r="950" spans="13:13">
      <c r="M950">
        <f t="shared" si="25"/>
      </c>
    </row>
    <row r="951" spans="13:13">
      <c r="M951">
        <f t="shared" si="25"/>
      </c>
    </row>
    <row r="952" spans="13:13">
      <c r="M952">
        <f t="shared" si="25"/>
      </c>
    </row>
    <row r="953" spans="13:13">
      <c r="M953">
        <f t="shared" si="25"/>
      </c>
    </row>
    <row r="954" spans="13:13">
      <c r="M954">
        <f t="shared" si="25"/>
      </c>
    </row>
    <row r="955" spans="13:13">
      <c r="M955">
        <f t="shared" si="25"/>
      </c>
    </row>
    <row r="956" spans="13:13">
      <c r="M956">
        <f t="shared" si="25"/>
      </c>
    </row>
    <row r="957" spans="13:13">
      <c r="M957">
        <f t="shared" si="25"/>
      </c>
    </row>
    <row r="958" spans="13:13">
      <c r="M958">
        <f t="shared" si="25"/>
      </c>
    </row>
    <row r="959" spans="13:13">
      <c r="M959">
        <f t="shared" si="25"/>
      </c>
    </row>
    <row r="960" spans="13:13">
      <c r="M960">
        <f t="shared" si="25"/>
      </c>
    </row>
    <row r="961" spans="13:13">
      <c r="M961">
        <f t="shared" si="25"/>
      </c>
    </row>
    <row r="962" spans="13:13">
      <c r="M962">
        <f t="shared" si="25"/>
      </c>
    </row>
    <row r="963" spans="13:13">
      <c r="M963">
        <f t="shared" si="25"/>
      </c>
    </row>
    <row r="964" spans="13:13">
      <c r="M964">
        <f t="shared" si="25"/>
      </c>
    </row>
    <row r="965" spans="13:13">
      <c r="M965">
        <f t="shared" ref="M965:M1028" si="26">IF(A965="","", WEEKNUM(A965, 2))</f>
      </c>
    </row>
    <row r="966" spans="13:13">
      <c r="M966">
        <f t="shared" si="26"/>
      </c>
    </row>
    <row r="967" spans="13:13">
      <c r="M967">
        <f t="shared" si="26"/>
      </c>
    </row>
    <row r="968" spans="13:13">
      <c r="M968">
        <f t="shared" si="26"/>
      </c>
    </row>
    <row r="969" spans="13:13">
      <c r="M969">
        <f t="shared" si="26"/>
      </c>
    </row>
    <row r="970" spans="13:13">
      <c r="M970">
        <f t="shared" si="26"/>
      </c>
    </row>
    <row r="971" spans="13:13">
      <c r="M971">
        <f t="shared" si="26"/>
      </c>
    </row>
    <row r="972" spans="13:13">
      <c r="M972">
        <f t="shared" si="26"/>
      </c>
    </row>
    <row r="973" spans="13:13">
      <c r="M973">
        <f t="shared" si="26"/>
      </c>
    </row>
    <row r="974" spans="13:13">
      <c r="M974">
        <f t="shared" si="26"/>
      </c>
    </row>
    <row r="975" spans="13:13">
      <c r="M975">
        <f t="shared" si="26"/>
      </c>
    </row>
    <row r="976" spans="13:13">
      <c r="M976">
        <f t="shared" si="26"/>
      </c>
    </row>
    <row r="977" spans="13:13">
      <c r="M977">
        <f t="shared" si="26"/>
      </c>
    </row>
    <row r="978" spans="13:13">
      <c r="M978">
        <f t="shared" si="26"/>
      </c>
    </row>
    <row r="979" spans="13:13">
      <c r="M979">
        <f t="shared" si="26"/>
      </c>
    </row>
    <row r="980" spans="13:13">
      <c r="M980">
        <f t="shared" si="26"/>
      </c>
    </row>
    <row r="981" spans="13:13">
      <c r="M981">
        <f t="shared" si="26"/>
      </c>
    </row>
    <row r="982" spans="13:13">
      <c r="M982">
        <f t="shared" si="26"/>
      </c>
    </row>
    <row r="983" spans="13:13">
      <c r="M983">
        <f t="shared" si="26"/>
      </c>
    </row>
    <row r="984" spans="13:13">
      <c r="M984">
        <f t="shared" si="26"/>
      </c>
    </row>
    <row r="985" spans="13:13">
      <c r="M985">
        <f t="shared" si="26"/>
      </c>
    </row>
    <row r="986" spans="13:13">
      <c r="M986">
        <f t="shared" si="26"/>
      </c>
    </row>
    <row r="987" spans="13:13">
      <c r="M987">
        <f t="shared" si="26"/>
      </c>
    </row>
    <row r="988" spans="13:13">
      <c r="M988">
        <f t="shared" si="26"/>
      </c>
    </row>
    <row r="989" spans="13:13">
      <c r="M989">
        <f t="shared" si="26"/>
      </c>
    </row>
    <row r="990" spans="13:13">
      <c r="M990">
        <f t="shared" si="26"/>
      </c>
    </row>
    <row r="991" spans="13:13">
      <c r="M991">
        <f t="shared" si="26"/>
      </c>
    </row>
    <row r="992" spans="13:13">
      <c r="M992">
        <f t="shared" si="26"/>
      </c>
    </row>
    <row r="993" spans="13:13">
      <c r="M993">
        <f t="shared" si="26"/>
      </c>
    </row>
    <row r="994" spans="13:13">
      <c r="M994">
        <f t="shared" si="26"/>
      </c>
    </row>
    <row r="995" spans="13:13">
      <c r="M995">
        <f t="shared" si="26"/>
      </c>
    </row>
    <row r="996" spans="13:13">
      <c r="M996">
        <f t="shared" si="26"/>
      </c>
    </row>
    <row r="997" spans="13:13">
      <c r="M997">
        <f t="shared" si="26"/>
      </c>
    </row>
    <row r="998" spans="13:13">
      <c r="M998">
        <f t="shared" si="26"/>
      </c>
    </row>
    <row r="999" spans="13:13">
      <c r="M999">
        <f t="shared" si="26"/>
      </c>
    </row>
    <row r="1000" spans="13:13">
      <c r="M1000">
        <f t="shared" si="26"/>
      </c>
    </row>
    <row r="1001" spans="13:13">
      <c r="M1001">
        <f t="shared" si="26"/>
      </c>
    </row>
    <row r="1002" spans="13:13">
      <c r="M1002">
        <f t="shared" si="26"/>
      </c>
    </row>
    <row r="1003" spans="13:13">
      <c r="M1003">
        <f t="shared" si="26"/>
      </c>
    </row>
    <row r="1004" spans="13:13">
      <c r="M1004">
        <f t="shared" si="26"/>
      </c>
    </row>
    <row r="1005" spans="13:13">
      <c r="M1005">
        <f t="shared" si="26"/>
      </c>
    </row>
    <row r="1006" spans="13:13">
      <c r="M1006">
        <f t="shared" si="26"/>
      </c>
    </row>
    <row r="1007" spans="13:13">
      <c r="M1007">
        <f t="shared" si="26"/>
      </c>
    </row>
    <row r="1008" spans="13:13">
      <c r="M1008">
        <f t="shared" si="26"/>
      </c>
    </row>
    <row r="1009" spans="13:13">
      <c r="M1009">
        <f t="shared" si="26"/>
      </c>
    </row>
    <row r="1010" spans="13:13">
      <c r="M1010">
        <f t="shared" si="26"/>
      </c>
    </row>
    <row r="1011" spans="13:13">
      <c r="M1011">
        <f t="shared" si="26"/>
      </c>
    </row>
    <row r="1012" spans="13:13">
      <c r="M1012">
        <f t="shared" si="26"/>
      </c>
    </row>
    <row r="1013" spans="13:13">
      <c r="M1013">
        <f t="shared" si="26"/>
      </c>
    </row>
    <row r="1014" spans="13:13">
      <c r="M1014">
        <f t="shared" si="26"/>
      </c>
    </row>
    <row r="1015" spans="13:13">
      <c r="M1015">
        <f t="shared" si="26"/>
      </c>
    </row>
    <row r="1016" spans="13:13">
      <c r="M1016">
        <f t="shared" si="26"/>
      </c>
    </row>
    <row r="1017" spans="13:13">
      <c r="M1017">
        <f t="shared" si="26"/>
      </c>
    </row>
    <row r="1018" spans="13:13">
      <c r="M1018">
        <f t="shared" si="26"/>
      </c>
    </row>
    <row r="1019" spans="13:13">
      <c r="M1019">
        <f t="shared" si="26"/>
      </c>
    </row>
    <row r="1020" spans="13:13">
      <c r="M1020">
        <f t="shared" si="26"/>
      </c>
    </row>
    <row r="1021" spans="13:13">
      <c r="M1021">
        <f t="shared" si="26"/>
      </c>
    </row>
    <row r="1022" spans="13:13">
      <c r="M1022">
        <f t="shared" si="26"/>
      </c>
    </row>
    <row r="1023" spans="13:13">
      <c r="M1023">
        <f t="shared" si="26"/>
      </c>
    </row>
    <row r="1024" spans="13:13">
      <c r="M1024">
        <f t="shared" si="26"/>
      </c>
    </row>
    <row r="1025" spans="13:13">
      <c r="M1025">
        <f t="shared" si="26"/>
      </c>
    </row>
    <row r="1026" spans="13:13">
      <c r="M1026">
        <f t="shared" si="26"/>
      </c>
    </row>
    <row r="1027" spans="13:13">
      <c r="M1027">
        <f t="shared" si="26"/>
      </c>
    </row>
    <row r="1028" spans="13:13">
      <c r="M1028">
        <f t="shared" si="26"/>
      </c>
    </row>
    <row r="1029" spans="13:13">
      <c r="M1029">
        <f t="shared" ref="M1029:M1092" si="27">IF(A1029="","", WEEKNUM(A1029, 2))</f>
      </c>
    </row>
    <row r="1030" spans="13:13">
      <c r="M1030">
        <f t="shared" si="27"/>
      </c>
    </row>
    <row r="1031" spans="13:13">
      <c r="M1031">
        <f t="shared" si="27"/>
      </c>
    </row>
    <row r="1032" spans="13:13">
      <c r="M1032">
        <f t="shared" si="27"/>
      </c>
    </row>
    <row r="1033" spans="13:13">
      <c r="M1033">
        <f t="shared" si="27"/>
      </c>
    </row>
    <row r="1034" spans="13:13">
      <c r="M1034">
        <f t="shared" si="27"/>
      </c>
    </row>
    <row r="1035" spans="13:13">
      <c r="M1035">
        <f t="shared" si="27"/>
      </c>
    </row>
    <row r="1036" spans="13:13">
      <c r="M1036">
        <f t="shared" si="27"/>
      </c>
    </row>
    <row r="1037" spans="13:13">
      <c r="M1037">
        <f t="shared" si="27"/>
      </c>
    </row>
    <row r="1038" spans="13:13">
      <c r="M1038">
        <f t="shared" si="27"/>
      </c>
    </row>
    <row r="1039" spans="13:13">
      <c r="M1039">
        <f t="shared" si="27"/>
      </c>
    </row>
    <row r="1040" spans="13:13">
      <c r="M1040">
        <f t="shared" si="27"/>
      </c>
    </row>
    <row r="1041" spans="13:13">
      <c r="M1041">
        <f t="shared" si="27"/>
      </c>
    </row>
    <row r="1042" spans="13:13">
      <c r="M1042">
        <f t="shared" si="27"/>
      </c>
    </row>
    <row r="1043" spans="13:13">
      <c r="M1043">
        <f t="shared" si="27"/>
      </c>
    </row>
    <row r="1044" spans="13:13">
      <c r="M1044">
        <f t="shared" si="27"/>
      </c>
    </row>
    <row r="1045" spans="13:13">
      <c r="M1045">
        <f t="shared" si="27"/>
      </c>
    </row>
    <row r="1046" spans="13:13">
      <c r="M1046">
        <f t="shared" si="27"/>
      </c>
    </row>
    <row r="1047" spans="13:13">
      <c r="M1047">
        <f t="shared" si="27"/>
      </c>
    </row>
    <row r="1048" spans="13:13">
      <c r="M1048">
        <f t="shared" si="27"/>
      </c>
    </row>
    <row r="1049" spans="13:13">
      <c r="M1049">
        <f t="shared" si="27"/>
      </c>
    </row>
    <row r="1050" spans="13:13">
      <c r="M1050">
        <f t="shared" si="27"/>
      </c>
    </row>
    <row r="1051" spans="13:13">
      <c r="M1051">
        <f t="shared" si="27"/>
      </c>
    </row>
    <row r="1052" spans="13:13">
      <c r="M1052">
        <f t="shared" si="27"/>
      </c>
    </row>
    <row r="1053" spans="13:13">
      <c r="M1053">
        <f t="shared" si="27"/>
      </c>
    </row>
    <row r="1054" spans="13:13">
      <c r="M1054">
        <f t="shared" si="27"/>
      </c>
    </row>
    <row r="1055" spans="13:13">
      <c r="M1055">
        <f t="shared" si="27"/>
      </c>
    </row>
    <row r="1056" spans="13:13">
      <c r="M1056">
        <f t="shared" si="27"/>
      </c>
    </row>
    <row r="1057" spans="13:13">
      <c r="M1057">
        <f t="shared" si="27"/>
      </c>
    </row>
    <row r="1058" spans="13:13">
      <c r="M1058">
        <f t="shared" si="27"/>
      </c>
    </row>
    <row r="1059" spans="13:13">
      <c r="M1059">
        <f t="shared" si="27"/>
      </c>
    </row>
    <row r="1060" spans="13:13">
      <c r="M1060">
        <f t="shared" si="27"/>
      </c>
    </row>
    <row r="1061" spans="13:13">
      <c r="M1061">
        <f t="shared" si="27"/>
      </c>
    </row>
    <row r="1062" spans="13:13">
      <c r="M1062">
        <f t="shared" si="27"/>
      </c>
    </row>
    <row r="1063" spans="13:13">
      <c r="M1063">
        <f t="shared" si="27"/>
      </c>
    </row>
    <row r="1064" spans="13:13">
      <c r="M1064">
        <f t="shared" si="27"/>
      </c>
    </row>
    <row r="1065" spans="13:13">
      <c r="M1065">
        <f t="shared" si="27"/>
      </c>
    </row>
    <row r="1066" spans="13:13">
      <c r="M1066">
        <f t="shared" si="27"/>
      </c>
    </row>
    <row r="1067" spans="13:13">
      <c r="M1067">
        <f t="shared" si="27"/>
      </c>
    </row>
    <row r="1068" spans="13:13">
      <c r="M1068">
        <f t="shared" si="27"/>
      </c>
    </row>
    <row r="1069" spans="13:13">
      <c r="M1069">
        <f t="shared" si="27"/>
      </c>
    </row>
    <row r="1070" spans="13:13">
      <c r="M1070">
        <f t="shared" si="27"/>
      </c>
    </row>
    <row r="1071" spans="13:13">
      <c r="M1071">
        <f t="shared" si="27"/>
      </c>
    </row>
    <row r="1072" spans="13:13">
      <c r="M1072">
        <f t="shared" si="27"/>
      </c>
    </row>
    <row r="1073" spans="13:13">
      <c r="M1073">
        <f t="shared" si="27"/>
      </c>
    </row>
    <row r="1074" spans="13:13">
      <c r="M1074">
        <f t="shared" si="27"/>
      </c>
    </row>
    <row r="1075" spans="13:13">
      <c r="M1075">
        <f t="shared" si="27"/>
      </c>
    </row>
    <row r="1076" spans="13:13">
      <c r="M1076">
        <f t="shared" si="27"/>
      </c>
    </row>
    <row r="1077" spans="13:13">
      <c r="M1077">
        <f t="shared" si="27"/>
      </c>
    </row>
    <row r="1078" spans="13:13">
      <c r="M1078">
        <f t="shared" si="27"/>
      </c>
    </row>
    <row r="1079" spans="13:13">
      <c r="M1079">
        <f t="shared" si="27"/>
      </c>
    </row>
    <row r="1080" spans="13:13">
      <c r="M1080">
        <f t="shared" si="27"/>
      </c>
    </row>
    <row r="1081" spans="13:13">
      <c r="M1081">
        <f t="shared" si="27"/>
      </c>
    </row>
    <row r="1082" spans="13:13">
      <c r="M1082">
        <f t="shared" si="27"/>
      </c>
    </row>
    <row r="1083" spans="13:13">
      <c r="M1083">
        <f t="shared" si="27"/>
      </c>
    </row>
    <row r="1084" spans="13:13">
      <c r="M1084">
        <f t="shared" si="27"/>
      </c>
    </row>
    <row r="1085" spans="13:13">
      <c r="M1085">
        <f t="shared" si="27"/>
      </c>
    </row>
    <row r="1086" spans="13:13">
      <c r="M1086">
        <f t="shared" si="27"/>
      </c>
    </row>
    <row r="1087" spans="13:13">
      <c r="M1087">
        <f t="shared" si="27"/>
      </c>
    </row>
    <row r="1088" spans="13:13">
      <c r="M1088">
        <f t="shared" si="27"/>
      </c>
    </row>
    <row r="1089" spans="13:13">
      <c r="M1089">
        <f t="shared" si="27"/>
      </c>
    </row>
    <row r="1090" spans="13:13">
      <c r="M1090">
        <f t="shared" si="27"/>
      </c>
    </row>
    <row r="1091" spans="13:13">
      <c r="M1091">
        <f t="shared" si="27"/>
      </c>
    </row>
    <row r="1092" spans="13:13">
      <c r="M1092">
        <f t="shared" si="27"/>
      </c>
    </row>
    <row r="1093" spans="13:13">
      <c r="M1093">
        <f t="shared" ref="M1093:M1156" si="28">IF(A1093="","", WEEKNUM(A1093, 2))</f>
      </c>
    </row>
    <row r="1094" spans="13:13">
      <c r="M1094">
        <f t="shared" si="28"/>
      </c>
    </row>
    <row r="1095" spans="13:13">
      <c r="M1095">
        <f t="shared" si="28"/>
      </c>
    </row>
    <row r="1096" spans="13:13">
      <c r="M1096">
        <f t="shared" si="28"/>
      </c>
    </row>
    <row r="1097" spans="13:13">
      <c r="M1097">
        <f t="shared" si="28"/>
      </c>
    </row>
    <row r="1098" spans="13:13">
      <c r="M1098">
        <f t="shared" si="28"/>
      </c>
    </row>
    <row r="1099" spans="13:13">
      <c r="M1099">
        <f t="shared" si="28"/>
      </c>
    </row>
    <row r="1100" spans="13:13">
      <c r="M1100">
        <f t="shared" si="28"/>
      </c>
    </row>
    <row r="1101" spans="13:13">
      <c r="M1101">
        <f t="shared" si="28"/>
      </c>
    </row>
    <row r="1102" spans="13:13">
      <c r="M1102">
        <f t="shared" si="28"/>
      </c>
    </row>
    <row r="1103" spans="13:13">
      <c r="M1103">
        <f t="shared" si="28"/>
      </c>
    </row>
    <row r="1104" spans="13:13">
      <c r="M1104">
        <f t="shared" si="28"/>
      </c>
    </row>
    <row r="1105" spans="13:13">
      <c r="M1105">
        <f t="shared" si="28"/>
      </c>
    </row>
    <row r="1106" spans="13:13">
      <c r="M1106">
        <f t="shared" si="28"/>
      </c>
    </row>
    <row r="1107" spans="13:13">
      <c r="M1107">
        <f t="shared" si="28"/>
      </c>
    </row>
    <row r="1108" spans="13:13">
      <c r="M1108">
        <f t="shared" si="28"/>
      </c>
    </row>
    <row r="1109" spans="13:13">
      <c r="M1109">
        <f t="shared" si="28"/>
      </c>
    </row>
    <row r="1110" spans="13:13">
      <c r="M1110">
        <f t="shared" si="28"/>
      </c>
    </row>
    <row r="1111" spans="13:13">
      <c r="M1111">
        <f t="shared" si="28"/>
      </c>
    </row>
    <row r="1112" spans="13:13">
      <c r="M1112">
        <f t="shared" si="28"/>
      </c>
    </row>
    <row r="1113" spans="13:13">
      <c r="M1113">
        <f t="shared" si="28"/>
      </c>
    </row>
    <row r="1114" spans="13:13">
      <c r="M1114">
        <f t="shared" si="28"/>
      </c>
    </row>
    <row r="1115" spans="13:13">
      <c r="M1115">
        <f t="shared" si="28"/>
      </c>
    </row>
    <row r="1116" spans="13:13">
      <c r="M1116">
        <f t="shared" si="28"/>
      </c>
    </row>
    <row r="1117" spans="13:13">
      <c r="M1117">
        <f t="shared" si="28"/>
      </c>
    </row>
    <row r="1118" spans="13:13">
      <c r="M1118">
        <f t="shared" si="28"/>
      </c>
    </row>
    <row r="1119" spans="13:13">
      <c r="M1119">
        <f t="shared" si="28"/>
      </c>
    </row>
    <row r="1120" spans="13:13">
      <c r="M1120">
        <f t="shared" si="28"/>
      </c>
    </row>
    <row r="1121" spans="13:13">
      <c r="M1121">
        <f t="shared" si="28"/>
      </c>
    </row>
    <row r="1122" spans="13:13">
      <c r="M1122">
        <f t="shared" si="28"/>
      </c>
    </row>
    <row r="1123" spans="13:13">
      <c r="M1123">
        <f t="shared" si="28"/>
      </c>
    </row>
    <row r="1124" spans="13:13">
      <c r="M1124">
        <f t="shared" si="28"/>
      </c>
    </row>
    <row r="1125" spans="13:13">
      <c r="M1125">
        <f t="shared" si="28"/>
      </c>
    </row>
    <row r="1126" spans="13:13">
      <c r="M1126">
        <f t="shared" si="28"/>
      </c>
    </row>
    <row r="1127" spans="13:13">
      <c r="M1127">
        <f t="shared" si="28"/>
      </c>
    </row>
    <row r="1128" spans="13:13">
      <c r="M1128">
        <f t="shared" si="28"/>
      </c>
    </row>
    <row r="1129" spans="13:13">
      <c r="M1129">
        <f t="shared" si="28"/>
      </c>
    </row>
    <row r="1130" spans="13:13">
      <c r="M1130">
        <f t="shared" si="28"/>
      </c>
    </row>
    <row r="1131" spans="13:13">
      <c r="M1131">
        <f t="shared" si="28"/>
      </c>
    </row>
    <row r="1132" spans="13:13">
      <c r="M1132">
        <f t="shared" si="28"/>
      </c>
    </row>
    <row r="1133" spans="13:13">
      <c r="M1133">
        <f t="shared" si="28"/>
      </c>
    </row>
    <row r="1134" spans="13:13">
      <c r="M1134">
        <f t="shared" si="28"/>
      </c>
    </row>
    <row r="1135" spans="13:13">
      <c r="M1135">
        <f t="shared" si="28"/>
      </c>
    </row>
    <row r="1136" spans="13:13">
      <c r="M1136">
        <f t="shared" si="28"/>
      </c>
    </row>
    <row r="1137" spans="13:13">
      <c r="M1137">
        <f t="shared" si="28"/>
      </c>
    </row>
    <row r="1138" spans="13:13">
      <c r="M1138">
        <f t="shared" si="28"/>
      </c>
    </row>
    <row r="1139" spans="13:13">
      <c r="M1139">
        <f t="shared" si="28"/>
      </c>
    </row>
    <row r="1140" spans="13:13">
      <c r="M1140">
        <f t="shared" si="28"/>
      </c>
    </row>
    <row r="1141" spans="13:13">
      <c r="M1141">
        <f t="shared" si="28"/>
      </c>
    </row>
    <row r="1142" spans="13:13">
      <c r="M1142">
        <f t="shared" si="28"/>
      </c>
    </row>
    <row r="1143" spans="13:13">
      <c r="M1143">
        <f t="shared" si="28"/>
      </c>
    </row>
    <row r="1144" spans="13:13">
      <c r="M1144">
        <f t="shared" si="28"/>
      </c>
    </row>
    <row r="1145" spans="13:13">
      <c r="M1145">
        <f t="shared" si="28"/>
      </c>
    </row>
    <row r="1146" spans="13:13">
      <c r="M1146">
        <f t="shared" si="28"/>
      </c>
    </row>
    <row r="1147" spans="13:13">
      <c r="M1147">
        <f t="shared" si="28"/>
      </c>
    </row>
    <row r="1148" spans="13:13">
      <c r="M1148">
        <f t="shared" si="28"/>
      </c>
    </row>
    <row r="1149" spans="13:13">
      <c r="M1149">
        <f t="shared" si="28"/>
      </c>
    </row>
    <row r="1150" spans="13:13">
      <c r="M1150">
        <f t="shared" si="28"/>
      </c>
    </row>
    <row r="1151" spans="13:13">
      <c r="M1151">
        <f t="shared" si="28"/>
      </c>
    </row>
    <row r="1152" spans="13:13">
      <c r="M1152">
        <f t="shared" si="28"/>
      </c>
    </row>
    <row r="1153" spans="13:13">
      <c r="M1153">
        <f t="shared" si="28"/>
      </c>
    </row>
    <row r="1154" spans="13:13">
      <c r="M1154">
        <f t="shared" si="28"/>
      </c>
    </row>
    <row r="1155" spans="13:13">
      <c r="M1155">
        <f t="shared" si="28"/>
      </c>
    </row>
    <row r="1156" spans="13:13">
      <c r="M1156">
        <f t="shared" si="28"/>
      </c>
    </row>
    <row r="1157" spans="13:13">
      <c r="M1157">
        <f t="shared" ref="M1157:M1220" si="29">IF(A1157="","", WEEKNUM(A1157, 2))</f>
      </c>
    </row>
    <row r="1158" spans="13:13">
      <c r="M1158">
        <f t="shared" si="29"/>
      </c>
    </row>
    <row r="1159" spans="13:13">
      <c r="M1159">
        <f t="shared" si="29"/>
      </c>
    </row>
    <row r="1160" spans="13:13">
      <c r="M1160">
        <f t="shared" si="29"/>
      </c>
    </row>
    <row r="1161" spans="13:13">
      <c r="M1161">
        <f t="shared" si="29"/>
      </c>
    </row>
    <row r="1162" spans="13:13">
      <c r="M1162">
        <f t="shared" si="29"/>
      </c>
    </row>
    <row r="1163" spans="13:13">
      <c r="M1163">
        <f t="shared" si="29"/>
      </c>
    </row>
    <row r="1164" spans="13:13">
      <c r="M1164">
        <f t="shared" si="29"/>
      </c>
    </row>
    <row r="1165" spans="13:13">
      <c r="M1165">
        <f t="shared" si="29"/>
      </c>
    </row>
    <row r="1166" spans="13:13">
      <c r="M1166">
        <f t="shared" si="29"/>
      </c>
    </row>
    <row r="1167" spans="13:13">
      <c r="M1167">
        <f t="shared" si="29"/>
      </c>
    </row>
    <row r="1168" spans="13:13">
      <c r="M1168">
        <f t="shared" si="29"/>
      </c>
    </row>
    <row r="1169" spans="13:13">
      <c r="M1169">
        <f t="shared" si="29"/>
      </c>
    </row>
    <row r="1170" spans="13:13">
      <c r="M1170">
        <f t="shared" si="29"/>
      </c>
    </row>
    <row r="1171" spans="13:13">
      <c r="M1171">
        <f t="shared" si="29"/>
      </c>
    </row>
    <row r="1172" spans="13:13">
      <c r="M1172">
        <f t="shared" si="29"/>
      </c>
    </row>
    <row r="1173" spans="13:13">
      <c r="M1173">
        <f t="shared" si="29"/>
      </c>
    </row>
    <row r="1174" spans="13:13">
      <c r="M1174">
        <f t="shared" si="29"/>
      </c>
    </row>
    <row r="1175" spans="13:13">
      <c r="M1175">
        <f t="shared" si="29"/>
      </c>
    </row>
    <row r="1176" spans="13:13">
      <c r="M1176">
        <f t="shared" si="29"/>
      </c>
    </row>
    <row r="1177" spans="13:13">
      <c r="M1177">
        <f t="shared" si="29"/>
      </c>
    </row>
    <row r="1178" spans="13:13">
      <c r="M1178">
        <f t="shared" si="29"/>
      </c>
    </row>
    <row r="1179" spans="13:13">
      <c r="M1179">
        <f t="shared" si="29"/>
      </c>
    </row>
    <row r="1180" spans="13:13">
      <c r="M1180">
        <f t="shared" si="29"/>
      </c>
    </row>
    <row r="1181" spans="13:13">
      <c r="M1181">
        <f t="shared" si="29"/>
      </c>
    </row>
    <row r="1182" spans="13:13">
      <c r="M1182">
        <f t="shared" si="29"/>
      </c>
    </row>
    <row r="1183" spans="13:13">
      <c r="M1183">
        <f t="shared" si="29"/>
      </c>
    </row>
    <row r="1184" spans="13:13">
      <c r="M1184">
        <f t="shared" si="29"/>
      </c>
    </row>
    <row r="1185" spans="13:13">
      <c r="M1185">
        <f t="shared" si="29"/>
      </c>
    </row>
    <row r="1186" spans="13:13">
      <c r="M1186">
        <f t="shared" si="29"/>
      </c>
    </row>
    <row r="1187" spans="13:13">
      <c r="M1187">
        <f t="shared" si="29"/>
      </c>
    </row>
    <row r="1188" spans="13:13">
      <c r="M1188">
        <f t="shared" si="29"/>
      </c>
    </row>
    <row r="1189" spans="13:13">
      <c r="M1189">
        <f t="shared" si="29"/>
      </c>
    </row>
    <row r="1190" spans="13:13">
      <c r="M1190">
        <f t="shared" si="29"/>
      </c>
    </row>
    <row r="1191" spans="13:13">
      <c r="M1191">
        <f t="shared" si="29"/>
      </c>
    </row>
    <row r="1192" spans="13:13">
      <c r="M1192">
        <f t="shared" si="29"/>
      </c>
    </row>
    <row r="1193" spans="13:13">
      <c r="M1193">
        <f t="shared" si="29"/>
      </c>
    </row>
    <row r="1194" spans="13:13">
      <c r="M1194">
        <f t="shared" si="29"/>
      </c>
    </row>
    <row r="1195" spans="13:13">
      <c r="M1195">
        <f t="shared" si="29"/>
      </c>
    </row>
    <row r="1196" spans="13:13">
      <c r="M1196">
        <f t="shared" si="29"/>
      </c>
    </row>
    <row r="1197" spans="13:13">
      <c r="M1197">
        <f t="shared" si="29"/>
      </c>
    </row>
    <row r="1198" spans="13:13">
      <c r="M1198">
        <f t="shared" si="29"/>
      </c>
    </row>
    <row r="1199" spans="13:13">
      <c r="M1199">
        <f t="shared" si="29"/>
      </c>
    </row>
    <row r="1200" spans="13:13">
      <c r="M1200">
        <f t="shared" si="29"/>
      </c>
    </row>
    <row r="1201" spans="13:13">
      <c r="M1201">
        <f t="shared" si="29"/>
      </c>
    </row>
    <row r="1202" spans="13:13">
      <c r="M1202">
        <f t="shared" si="29"/>
      </c>
    </row>
    <row r="1203" spans="13:13">
      <c r="M1203">
        <f t="shared" si="29"/>
      </c>
    </row>
    <row r="1204" spans="13:13">
      <c r="M1204">
        <f t="shared" si="29"/>
      </c>
    </row>
    <row r="1205" spans="13:13">
      <c r="M1205">
        <f t="shared" si="29"/>
      </c>
    </row>
    <row r="1206" spans="13:13">
      <c r="M1206">
        <f t="shared" si="29"/>
      </c>
    </row>
    <row r="1207" spans="13:13">
      <c r="M1207">
        <f t="shared" si="29"/>
      </c>
    </row>
    <row r="1208" spans="13:13">
      <c r="M1208">
        <f t="shared" si="29"/>
      </c>
    </row>
    <row r="1209" spans="13:13">
      <c r="M1209">
        <f t="shared" si="29"/>
      </c>
    </row>
    <row r="1210" spans="13:13">
      <c r="M1210">
        <f t="shared" si="29"/>
      </c>
    </row>
    <row r="1211" spans="13:13">
      <c r="M1211">
        <f t="shared" si="29"/>
      </c>
    </row>
    <row r="1212" spans="13:13">
      <c r="M1212">
        <f t="shared" si="29"/>
      </c>
    </row>
    <row r="1213" spans="13:13">
      <c r="M1213">
        <f t="shared" si="29"/>
      </c>
    </row>
    <row r="1214" spans="13:13">
      <c r="M1214">
        <f t="shared" si="29"/>
      </c>
    </row>
    <row r="1215" spans="13:13">
      <c r="M1215">
        <f t="shared" si="29"/>
      </c>
    </row>
    <row r="1216" spans="13:13">
      <c r="M1216">
        <f t="shared" si="29"/>
      </c>
    </row>
    <row r="1217" spans="13:13">
      <c r="M1217">
        <f t="shared" si="29"/>
      </c>
    </row>
    <row r="1218" spans="13:13">
      <c r="M1218">
        <f t="shared" si="29"/>
      </c>
    </row>
    <row r="1219" spans="13:13">
      <c r="M1219">
        <f t="shared" si="29"/>
      </c>
    </row>
    <row r="1220" spans="13:13">
      <c r="M1220">
        <f t="shared" si="29"/>
      </c>
    </row>
    <row r="1221" spans="13:13">
      <c r="M1221">
        <f t="shared" ref="M1221:M1284" si="30">IF(A1221="","", WEEKNUM(A1221, 2))</f>
      </c>
    </row>
    <row r="1222" spans="13:13">
      <c r="M1222">
        <f t="shared" si="30"/>
      </c>
    </row>
    <row r="1223" spans="13:13">
      <c r="M1223">
        <f t="shared" si="30"/>
      </c>
    </row>
    <row r="1224" spans="13:13">
      <c r="M1224">
        <f t="shared" si="30"/>
      </c>
    </row>
    <row r="1225" spans="13:13">
      <c r="M1225">
        <f t="shared" si="30"/>
      </c>
    </row>
    <row r="1226" spans="13:13">
      <c r="M1226">
        <f t="shared" si="30"/>
      </c>
    </row>
    <row r="1227" spans="13:13">
      <c r="M1227">
        <f t="shared" si="30"/>
      </c>
    </row>
    <row r="1228" spans="13:13">
      <c r="M1228">
        <f t="shared" si="30"/>
      </c>
    </row>
    <row r="1229" spans="13:13">
      <c r="M1229">
        <f t="shared" si="30"/>
      </c>
    </row>
    <row r="1230" spans="13:13">
      <c r="M1230">
        <f t="shared" si="30"/>
      </c>
    </row>
    <row r="1231" spans="13:13">
      <c r="M1231">
        <f t="shared" si="30"/>
      </c>
    </row>
    <row r="1232" spans="13:13">
      <c r="M1232">
        <f t="shared" si="30"/>
      </c>
    </row>
    <row r="1233" spans="13:13">
      <c r="M1233">
        <f t="shared" si="30"/>
      </c>
    </row>
    <row r="1234" spans="13:13">
      <c r="M1234">
        <f t="shared" si="30"/>
      </c>
    </row>
    <row r="1235" spans="13:13">
      <c r="M1235">
        <f t="shared" si="30"/>
      </c>
    </row>
    <row r="1236" spans="13:13">
      <c r="M1236">
        <f t="shared" si="30"/>
      </c>
    </row>
    <row r="1237" spans="13:13">
      <c r="M1237">
        <f t="shared" si="30"/>
      </c>
    </row>
    <row r="1238" spans="13:13">
      <c r="M1238">
        <f t="shared" si="30"/>
      </c>
    </row>
    <row r="1239" spans="13:13">
      <c r="M1239">
        <f t="shared" si="30"/>
      </c>
    </row>
    <row r="1240" spans="13:13">
      <c r="M1240">
        <f t="shared" si="30"/>
      </c>
    </row>
    <row r="1241" spans="13:13">
      <c r="M1241">
        <f t="shared" si="30"/>
      </c>
    </row>
    <row r="1242" spans="13:13">
      <c r="M1242">
        <f t="shared" si="30"/>
      </c>
    </row>
    <row r="1243" spans="13:13">
      <c r="M1243">
        <f t="shared" si="30"/>
      </c>
    </row>
    <row r="1244" spans="13:13">
      <c r="M1244">
        <f t="shared" si="30"/>
      </c>
    </row>
    <row r="1245" spans="13:13">
      <c r="M1245">
        <f t="shared" si="30"/>
      </c>
    </row>
    <row r="1246" spans="13:13">
      <c r="M1246">
        <f t="shared" si="30"/>
      </c>
    </row>
    <row r="1247" spans="13:13">
      <c r="M1247">
        <f t="shared" si="30"/>
      </c>
    </row>
    <row r="1248" spans="13:13">
      <c r="M1248">
        <f t="shared" si="30"/>
      </c>
    </row>
    <row r="1249" spans="13:13">
      <c r="M1249">
        <f t="shared" si="30"/>
      </c>
    </row>
    <row r="1250" spans="13:13">
      <c r="M1250">
        <f t="shared" si="30"/>
      </c>
    </row>
    <row r="1251" spans="13:13">
      <c r="M1251">
        <f t="shared" si="30"/>
      </c>
    </row>
    <row r="1252" spans="13:13">
      <c r="M1252">
        <f t="shared" si="30"/>
      </c>
    </row>
    <row r="1253" spans="13:13">
      <c r="M1253">
        <f t="shared" si="30"/>
      </c>
    </row>
    <row r="1254" spans="13:13">
      <c r="M1254">
        <f t="shared" si="30"/>
      </c>
    </row>
    <row r="1255" spans="13:13">
      <c r="M1255">
        <f t="shared" si="30"/>
      </c>
    </row>
    <row r="1256" spans="13:13">
      <c r="M1256">
        <f t="shared" si="30"/>
      </c>
    </row>
    <row r="1257" spans="13:13">
      <c r="M1257">
        <f t="shared" si="30"/>
      </c>
    </row>
    <row r="1258" spans="13:13">
      <c r="M1258">
        <f t="shared" si="30"/>
      </c>
    </row>
    <row r="1259" spans="13:13">
      <c r="M1259">
        <f t="shared" si="30"/>
      </c>
    </row>
    <row r="1260" spans="13:13">
      <c r="M1260">
        <f t="shared" si="30"/>
      </c>
    </row>
    <row r="1261" spans="13:13">
      <c r="M1261">
        <f t="shared" si="30"/>
      </c>
    </row>
    <row r="1262" spans="13:13">
      <c r="M1262">
        <f t="shared" si="30"/>
      </c>
    </row>
    <row r="1263" spans="13:13">
      <c r="M1263">
        <f t="shared" si="30"/>
      </c>
    </row>
    <row r="1264" spans="13:13">
      <c r="M1264">
        <f t="shared" si="30"/>
      </c>
    </row>
    <row r="1265" spans="13:13">
      <c r="M1265">
        <f t="shared" si="30"/>
      </c>
    </row>
    <row r="1266" spans="13:13">
      <c r="M1266">
        <f t="shared" si="30"/>
      </c>
    </row>
    <row r="1267" spans="13:13">
      <c r="M1267">
        <f t="shared" si="30"/>
      </c>
    </row>
    <row r="1268" spans="13:13">
      <c r="M1268">
        <f t="shared" si="30"/>
      </c>
    </row>
    <row r="1269" spans="13:13">
      <c r="M1269">
        <f t="shared" si="30"/>
      </c>
    </row>
    <row r="1270" spans="13:13">
      <c r="M1270">
        <f t="shared" si="30"/>
      </c>
    </row>
    <row r="1271" spans="13:13">
      <c r="M1271">
        <f t="shared" si="30"/>
      </c>
    </row>
    <row r="1272" spans="13:13">
      <c r="M1272">
        <f t="shared" si="30"/>
      </c>
    </row>
    <row r="1273" spans="13:13">
      <c r="M1273">
        <f t="shared" si="30"/>
      </c>
    </row>
    <row r="1274" spans="13:13">
      <c r="M1274">
        <f t="shared" si="30"/>
      </c>
    </row>
    <row r="1275" spans="13:13">
      <c r="M1275">
        <f t="shared" si="30"/>
      </c>
    </row>
    <row r="1276" spans="13:13">
      <c r="M1276">
        <f t="shared" si="30"/>
      </c>
    </row>
    <row r="1277" spans="13:13">
      <c r="M1277">
        <f t="shared" si="30"/>
      </c>
    </row>
    <row r="1278" spans="13:13">
      <c r="M1278">
        <f t="shared" si="30"/>
      </c>
    </row>
    <row r="1279" spans="13:13">
      <c r="M1279">
        <f t="shared" si="30"/>
      </c>
    </row>
    <row r="1280" spans="13:13">
      <c r="M1280">
        <f t="shared" si="30"/>
      </c>
    </row>
    <row r="1281" spans="13:13">
      <c r="M1281">
        <f t="shared" si="30"/>
      </c>
    </row>
    <row r="1282" spans="13:13">
      <c r="M1282">
        <f t="shared" si="30"/>
      </c>
    </row>
    <row r="1283" spans="13:13">
      <c r="M1283">
        <f t="shared" si="30"/>
      </c>
    </row>
    <row r="1284" spans="13:13">
      <c r="M1284">
        <f t="shared" si="30"/>
      </c>
    </row>
    <row r="1285" spans="13:13">
      <c r="M1285">
        <f t="shared" ref="M1285:M1348" si="31">IF(A1285="","", WEEKNUM(A1285, 2))</f>
      </c>
    </row>
    <row r="1286" spans="13:13">
      <c r="M1286">
        <f t="shared" si="31"/>
      </c>
    </row>
    <row r="1287" spans="13:13">
      <c r="M1287">
        <f t="shared" si="31"/>
      </c>
    </row>
    <row r="1288" spans="13:13">
      <c r="M1288">
        <f t="shared" si="31"/>
      </c>
    </row>
    <row r="1289" spans="13:13">
      <c r="M1289">
        <f t="shared" si="31"/>
      </c>
    </row>
    <row r="1290" spans="13:13">
      <c r="M1290">
        <f t="shared" si="31"/>
      </c>
    </row>
    <row r="1291" spans="13:13">
      <c r="M1291">
        <f t="shared" si="31"/>
      </c>
    </row>
    <row r="1292" spans="13:13">
      <c r="M1292">
        <f t="shared" si="31"/>
      </c>
    </row>
    <row r="1293" spans="13:13">
      <c r="M1293">
        <f t="shared" si="31"/>
      </c>
    </row>
    <row r="1294" spans="13:13">
      <c r="M1294">
        <f t="shared" si="31"/>
      </c>
    </row>
    <row r="1295" spans="13:13">
      <c r="M1295">
        <f t="shared" si="31"/>
      </c>
    </row>
    <row r="1296" spans="13:13">
      <c r="M1296">
        <f t="shared" si="31"/>
      </c>
    </row>
    <row r="1297" spans="13:13">
      <c r="M1297">
        <f t="shared" si="31"/>
      </c>
    </row>
    <row r="1298" spans="13:13">
      <c r="M1298">
        <f t="shared" si="31"/>
      </c>
    </row>
    <row r="1299" spans="13:13">
      <c r="M1299">
        <f t="shared" si="31"/>
      </c>
    </row>
    <row r="1300" spans="13:13">
      <c r="M1300">
        <f t="shared" si="31"/>
      </c>
    </row>
    <row r="1301" spans="13:13">
      <c r="M1301">
        <f t="shared" si="31"/>
      </c>
    </row>
    <row r="1302" spans="13:13">
      <c r="M1302">
        <f t="shared" si="31"/>
      </c>
    </row>
    <row r="1303" spans="13:13">
      <c r="M1303">
        <f t="shared" si="31"/>
      </c>
    </row>
    <row r="1304" spans="13:13">
      <c r="M1304">
        <f t="shared" si="31"/>
      </c>
    </row>
    <row r="1305" spans="13:13">
      <c r="M1305">
        <f t="shared" si="31"/>
      </c>
    </row>
    <row r="1306" spans="13:13">
      <c r="M1306">
        <f t="shared" si="31"/>
      </c>
    </row>
    <row r="1307" spans="13:13">
      <c r="M1307">
        <f t="shared" si="31"/>
      </c>
    </row>
    <row r="1308" spans="13:13">
      <c r="M1308">
        <f t="shared" si="31"/>
      </c>
    </row>
    <row r="1309" spans="13:13">
      <c r="M1309">
        <f t="shared" si="31"/>
      </c>
    </row>
    <row r="1310" spans="13:13">
      <c r="M1310">
        <f t="shared" si="31"/>
      </c>
    </row>
    <row r="1311" spans="13:13">
      <c r="M1311">
        <f t="shared" si="31"/>
      </c>
    </row>
    <row r="1312" spans="13:13">
      <c r="M1312">
        <f t="shared" si="31"/>
      </c>
    </row>
    <row r="1313" spans="13:13">
      <c r="M1313">
        <f t="shared" si="31"/>
      </c>
    </row>
    <row r="1314" spans="13:13">
      <c r="M1314">
        <f t="shared" si="31"/>
      </c>
    </row>
    <row r="1315" spans="13:13">
      <c r="M1315">
        <f t="shared" si="31"/>
      </c>
    </row>
    <row r="1316" spans="13:13">
      <c r="M1316">
        <f t="shared" si="31"/>
      </c>
    </row>
    <row r="1317" spans="13:13">
      <c r="M1317">
        <f t="shared" si="31"/>
      </c>
    </row>
    <row r="1318" spans="13:13">
      <c r="M1318">
        <f t="shared" si="31"/>
      </c>
    </row>
    <row r="1319" spans="13:13">
      <c r="M1319">
        <f t="shared" si="31"/>
      </c>
    </row>
    <row r="1320" spans="13:13">
      <c r="M1320">
        <f t="shared" si="31"/>
      </c>
    </row>
    <row r="1321" spans="13:13">
      <c r="M1321">
        <f t="shared" si="31"/>
      </c>
    </row>
    <row r="1322" spans="13:13">
      <c r="M1322">
        <f t="shared" si="31"/>
      </c>
    </row>
    <row r="1323" spans="13:13">
      <c r="M1323">
        <f t="shared" si="31"/>
      </c>
    </row>
    <row r="1324" spans="13:13">
      <c r="M1324">
        <f t="shared" si="31"/>
      </c>
    </row>
    <row r="1325" spans="13:13">
      <c r="M1325">
        <f t="shared" si="31"/>
      </c>
    </row>
    <row r="1326" spans="13:13">
      <c r="M1326">
        <f t="shared" si="31"/>
      </c>
    </row>
    <row r="1327" spans="13:13">
      <c r="M1327">
        <f t="shared" si="31"/>
      </c>
    </row>
    <row r="1328" spans="13:13">
      <c r="M1328">
        <f t="shared" si="31"/>
      </c>
    </row>
    <row r="1329" spans="13:13">
      <c r="M1329">
        <f t="shared" si="31"/>
      </c>
    </row>
    <row r="1330" spans="13:13">
      <c r="M1330">
        <f t="shared" si="31"/>
      </c>
    </row>
    <row r="1331" spans="13:13">
      <c r="M1331">
        <f t="shared" si="31"/>
      </c>
    </row>
    <row r="1332" spans="13:13">
      <c r="M1332">
        <f t="shared" si="31"/>
      </c>
    </row>
    <row r="1333" spans="13:13">
      <c r="M1333">
        <f t="shared" si="31"/>
      </c>
    </row>
    <row r="1334" spans="13:13">
      <c r="M1334">
        <f t="shared" si="31"/>
      </c>
    </row>
    <row r="1335" spans="13:13">
      <c r="M1335">
        <f t="shared" si="31"/>
      </c>
    </row>
    <row r="1336" spans="13:13">
      <c r="M1336">
        <f t="shared" si="31"/>
      </c>
    </row>
    <row r="1337" spans="13:13">
      <c r="M1337">
        <f t="shared" si="31"/>
      </c>
    </row>
    <row r="1338" spans="13:13">
      <c r="M1338">
        <f t="shared" si="31"/>
      </c>
    </row>
    <row r="1339" spans="13:13">
      <c r="M1339">
        <f t="shared" si="31"/>
      </c>
    </row>
    <row r="1340" spans="13:13">
      <c r="M1340">
        <f t="shared" si="31"/>
      </c>
    </row>
    <row r="1341" spans="13:13">
      <c r="M1341">
        <f t="shared" si="31"/>
      </c>
    </row>
    <row r="1342" spans="13:13">
      <c r="M1342">
        <f t="shared" si="31"/>
      </c>
    </row>
    <row r="1343" spans="13:13">
      <c r="M1343">
        <f t="shared" si="31"/>
      </c>
    </row>
    <row r="1344" spans="13:13">
      <c r="M1344">
        <f t="shared" si="31"/>
      </c>
    </row>
    <row r="1345" spans="13:13">
      <c r="M1345">
        <f t="shared" si="31"/>
      </c>
    </row>
    <row r="1346" spans="13:13">
      <c r="M1346">
        <f t="shared" si="31"/>
      </c>
    </row>
    <row r="1347" spans="13:13">
      <c r="M1347">
        <f t="shared" si="31"/>
      </c>
    </row>
    <row r="1348" spans="13:13">
      <c r="M1348">
        <f t="shared" si="31"/>
      </c>
    </row>
    <row r="1349" spans="13:13">
      <c r="M1349">
        <f t="shared" ref="M1349:M1412" si="32">IF(A1349="","", WEEKNUM(A1349, 2))</f>
      </c>
    </row>
    <row r="1350" spans="13:13">
      <c r="M1350">
        <f t="shared" si="32"/>
      </c>
    </row>
    <row r="1351" spans="13:13">
      <c r="M1351">
        <f t="shared" si="32"/>
      </c>
    </row>
    <row r="1352" spans="13:13">
      <c r="M1352">
        <f t="shared" si="32"/>
      </c>
    </row>
    <row r="1353" spans="13:13">
      <c r="M1353">
        <f t="shared" si="32"/>
      </c>
    </row>
    <row r="1354" spans="13:13">
      <c r="M1354">
        <f t="shared" si="32"/>
      </c>
    </row>
    <row r="1355" spans="13:13">
      <c r="M1355">
        <f t="shared" si="32"/>
      </c>
    </row>
    <row r="1356" spans="13:13">
      <c r="M1356">
        <f t="shared" si="32"/>
      </c>
    </row>
    <row r="1357" spans="13:13">
      <c r="M1357">
        <f t="shared" si="32"/>
      </c>
    </row>
    <row r="1358" spans="13:13">
      <c r="M1358">
        <f t="shared" si="32"/>
      </c>
    </row>
    <row r="1359" spans="13:13">
      <c r="M1359">
        <f t="shared" si="32"/>
      </c>
    </row>
    <row r="1360" spans="13:13">
      <c r="M1360">
        <f t="shared" si="32"/>
      </c>
    </row>
    <row r="1361" spans="13:13">
      <c r="M1361">
        <f t="shared" si="32"/>
      </c>
    </row>
    <row r="1362" spans="13:13">
      <c r="M1362">
        <f t="shared" si="32"/>
      </c>
    </row>
    <row r="1363" spans="13:13">
      <c r="M1363">
        <f t="shared" si="32"/>
      </c>
    </row>
    <row r="1364" spans="13:13">
      <c r="M1364">
        <f t="shared" si="32"/>
      </c>
    </row>
    <row r="1365" spans="13:13">
      <c r="M1365">
        <f t="shared" si="32"/>
      </c>
    </row>
    <row r="1366" spans="13:13">
      <c r="M1366">
        <f t="shared" si="32"/>
      </c>
    </row>
    <row r="1367" spans="13:13">
      <c r="M1367">
        <f t="shared" si="32"/>
      </c>
    </row>
    <row r="1368" spans="13:13">
      <c r="M1368">
        <f t="shared" si="32"/>
      </c>
    </row>
    <row r="1369" spans="13:13">
      <c r="M1369">
        <f t="shared" si="32"/>
      </c>
    </row>
    <row r="1370" spans="13:13">
      <c r="M1370">
        <f t="shared" si="32"/>
      </c>
    </row>
    <row r="1371" spans="13:13">
      <c r="M1371">
        <f t="shared" si="32"/>
      </c>
    </row>
    <row r="1372" spans="13:13">
      <c r="M1372">
        <f t="shared" si="32"/>
      </c>
    </row>
    <row r="1373" spans="13:13">
      <c r="M1373">
        <f t="shared" si="32"/>
      </c>
    </row>
    <row r="1374" spans="13:13">
      <c r="M1374">
        <f t="shared" si="32"/>
      </c>
    </row>
    <row r="1375" spans="13:13">
      <c r="M1375">
        <f t="shared" si="32"/>
      </c>
    </row>
    <row r="1376" spans="13:13">
      <c r="M1376">
        <f t="shared" si="32"/>
      </c>
    </row>
    <row r="1377" spans="13:13">
      <c r="M1377">
        <f t="shared" si="32"/>
      </c>
    </row>
    <row r="1378" spans="13:13">
      <c r="M1378">
        <f t="shared" si="32"/>
      </c>
    </row>
    <row r="1379" spans="13:13">
      <c r="M1379">
        <f t="shared" si="32"/>
      </c>
    </row>
    <row r="1380" spans="13:13">
      <c r="M1380">
        <f t="shared" si="32"/>
      </c>
    </row>
    <row r="1381" spans="13:13">
      <c r="M1381">
        <f t="shared" si="32"/>
      </c>
    </row>
    <row r="1382" spans="13:13">
      <c r="M1382">
        <f t="shared" si="32"/>
      </c>
    </row>
    <row r="1383" spans="13:13">
      <c r="M1383">
        <f t="shared" si="32"/>
      </c>
    </row>
    <row r="1384" spans="13:13">
      <c r="M1384">
        <f t="shared" si="32"/>
      </c>
    </row>
    <row r="1385" spans="13:13">
      <c r="M1385">
        <f t="shared" si="32"/>
      </c>
    </row>
    <row r="1386" spans="13:13">
      <c r="M1386">
        <f t="shared" si="32"/>
      </c>
    </row>
    <row r="1387" spans="13:13">
      <c r="M1387">
        <f t="shared" si="32"/>
      </c>
    </row>
    <row r="1388" spans="13:13">
      <c r="M1388">
        <f t="shared" si="32"/>
      </c>
    </row>
    <row r="1389" spans="13:13">
      <c r="M1389">
        <f t="shared" si="32"/>
      </c>
    </row>
    <row r="1390" spans="13:13">
      <c r="M1390">
        <f t="shared" si="32"/>
      </c>
    </row>
    <row r="1391" spans="13:13">
      <c r="M1391">
        <f t="shared" si="32"/>
      </c>
    </row>
    <row r="1392" spans="13:13">
      <c r="M1392">
        <f t="shared" si="32"/>
      </c>
    </row>
    <row r="1393" spans="13:13">
      <c r="M1393">
        <f t="shared" si="32"/>
      </c>
    </row>
    <row r="1394" spans="13:13">
      <c r="M1394">
        <f t="shared" si="32"/>
      </c>
    </row>
    <row r="1395" spans="13:13">
      <c r="M1395">
        <f t="shared" si="32"/>
      </c>
    </row>
    <row r="1396" spans="13:13">
      <c r="M1396">
        <f t="shared" si="32"/>
      </c>
    </row>
    <row r="1397" spans="13:13">
      <c r="M1397">
        <f t="shared" si="32"/>
      </c>
    </row>
    <row r="1398" spans="13:13">
      <c r="M1398">
        <f t="shared" si="32"/>
      </c>
    </row>
    <row r="1399" spans="13:13">
      <c r="M1399">
        <f t="shared" si="32"/>
      </c>
    </row>
    <row r="1400" spans="13:13">
      <c r="M1400">
        <f t="shared" si="32"/>
      </c>
    </row>
    <row r="1401" spans="13:13">
      <c r="M1401">
        <f t="shared" si="32"/>
      </c>
    </row>
    <row r="1402" spans="13:13">
      <c r="M1402">
        <f t="shared" si="32"/>
      </c>
    </row>
    <row r="1403" spans="13:13">
      <c r="M1403">
        <f t="shared" si="32"/>
      </c>
    </row>
    <row r="1404" spans="13:13">
      <c r="M1404">
        <f t="shared" si="32"/>
      </c>
    </row>
    <row r="1405" spans="13:13">
      <c r="M1405">
        <f t="shared" si="32"/>
      </c>
    </row>
    <row r="1406" spans="13:13">
      <c r="M1406">
        <f t="shared" si="32"/>
      </c>
    </row>
    <row r="1407" spans="13:13">
      <c r="M1407">
        <f t="shared" si="32"/>
      </c>
    </row>
    <row r="1408" spans="13:13">
      <c r="M1408">
        <f t="shared" si="32"/>
      </c>
    </row>
    <row r="1409" spans="13:13">
      <c r="M1409">
        <f t="shared" si="32"/>
      </c>
    </row>
    <row r="1410" spans="13:13">
      <c r="M1410">
        <f t="shared" si="32"/>
      </c>
    </row>
    <row r="1411" spans="13:13">
      <c r="M1411">
        <f t="shared" si="32"/>
      </c>
    </row>
    <row r="1412" spans="13:13">
      <c r="M1412">
        <f t="shared" si="32"/>
      </c>
    </row>
    <row r="1413" spans="13:13">
      <c r="M1413">
        <f t="shared" ref="M1413:M1476" si="33">IF(A1413="","", WEEKNUM(A1413, 2))</f>
      </c>
    </row>
    <row r="1414" spans="13:13">
      <c r="M1414">
        <f t="shared" si="33"/>
      </c>
    </row>
    <row r="1415" spans="13:13">
      <c r="M1415">
        <f t="shared" si="33"/>
      </c>
    </row>
    <row r="1416" spans="13:13">
      <c r="M1416">
        <f t="shared" si="33"/>
      </c>
    </row>
    <row r="1417" spans="13:13">
      <c r="M1417">
        <f t="shared" si="33"/>
      </c>
    </row>
    <row r="1418" spans="13:13">
      <c r="M1418">
        <f t="shared" si="33"/>
      </c>
    </row>
    <row r="1419" spans="13:13">
      <c r="M1419">
        <f t="shared" si="33"/>
      </c>
    </row>
    <row r="1420" spans="13:13">
      <c r="M1420">
        <f t="shared" si="33"/>
      </c>
    </row>
    <row r="1421" spans="13:13">
      <c r="M1421">
        <f t="shared" si="33"/>
      </c>
    </row>
    <row r="1422" spans="13:13">
      <c r="M1422">
        <f t="shared" si="33"/>
      </c>
    </row>
    <row r="1423" spans="13:13">
      <c r="M1423">
        <f t="shared" si="33"/>
      </c>
    </row>
    <row r="1424" spans="13:13">
      <c r="M1424">
        <f t="shared" si="33"/>
      </c>
    </row>
    <row r="1425" spans="13:13">
      <c r="M1425">
        <f t="shared" si="33"/>
      </c>
    </row>
    <row r="1426" spans="13:13">
      <c r="M1426">
        <f t="shared" si="33"/>
      </c>
    </row>
    <row r="1427" spans="13:13">
      <c r="M1427">
        <f t="shared" si="33"/>
      </c>
    </row>
    <row r="1428" spans="13:13">
      <c r="M1428">
        <f t="shared" si="33"/>
      </c>
    </row>
    <row r="1429" spans="13:13">
      <c r="M1429">
        <f t="shared" si="33"/>
      </c>
    </row>
    <row r="1430" spans="13:13">
      <c r="M1430">
        <f t="shared" si="33"/>
      </c>
    </row>
    <row r="1431" spans="13:13">
      <c r="M1431">
        <f t="shared" si="33"/>
      </c>
    </row>
    <row r="1432" spans="13:13">
      <c r="M1432">
        <f t="shared" si="33"/>
      </c>
    </row>
    <row r="1433" spans="13:13">
      <c r="M1433">
        <f t="shared" si="33"/>
      </c>
    </row>
    <row r="1434" spans="13:13">
      <c r="M1434">
        <f t="shared" si="33"/>
      </c>
    </row>
    <row r="1435" spans="13:13">
      <c r="M1435">
        <f t="shared" si="33"/>
      </c>
    </row>
    <row r="1436" spans="13:13">
      <c r="M1436">
        <f t="shared" si="33"/>
      </c>
    </row>
    <row r="1437" spans="13:13">
      <c r="M1437">
        <f t="shared" si="33"/>
      </c>
    </row>
    <row r="1438" spans="13:13">
      <c r="M1438">
        <f t="shared" si="33"/>
      </c>
    </row>
    <row r="1439" spans="13:13">
      <c r="M1439">
        <f t="shared" si="33"/>
      </c>
    </row>
    <row r="1440" spans="13:13">
      <c r="M1440">
        <f t="shared" si="33"/>
      </c>
    </row>
    <row r="1441" spans="13:13">
      <c r="M1441">
        <f t="shared" si="33"/>
      </c>
    </row>
    <row r="1442" spans="13:13">
      <c r="M1442">
        <f t="shared" si="33"/>
      </c>
    </row>
    <row r="1443" spans="13:13">
      <c r="M1443">
        <f t="shared" si="33"/>
      </c>
    </row>
    <row r="1444" spans="13:13">
      <c r="M1444">
        <f t="shared" si="33"/>
      </c>
    </row>
    <row r="1445" spans="13:13">
      <c r="M1445">
        <f t="shared" si="33"/>
      </c>
    </row>
    <row r="1446" spans="13:13">
      <c r="M1446">
        <f t="shared" si="33"/>
      </c>
    </row>
    <row r="1447" spans="13:13">
      <c r="M1447">
        <f t="shared" si="33"/>
      </c>
    </row>
    <row r="1448" spans="13:13">
      <c r="M1448">
        <f t="shared" si="33"/>
      </c>
    </row>
    <row r="1449" spans="13:13">
      <c r="M1449">
        <f t="shared" si="33"/>
      </c>
    </row>
    <row r="1450" spans="13:13">
      <c r="M1450">
        <f t="shared" si="33"/>
      </c>
    </row>
    <row r="1451" spans="13:13">
      <c r="M1451">
        <f t="shared" si="33"/>
      </c>
    </row>
    <row r="1452" spans="13:13">
      <c r="M1452">
        <f t="shared" si="33"/>
      </c>
    </row>
    <row r="1453" spans="13:13">
      <c r="M1453">
        <f t="shared" si="33"/>
      </c>
    </row>
    <row r="1454" spans="13:13">
      <c r="M1454">
        <f t="shared" si="33"/>
      </c>
    </row>
    <row r="1455" spans="13:13">
      <c r="M1455">
        <f t="shared" si="33"/>
      </c>
    </row>
    <row r="1456" spans="13:13">
      <c r="M1456">
        <f t="shared" si="33"/>
      </c>
    </row>
    <row r="1457" spans="13:13">
      <c r="M1457">
        <f t="shared" si="33"/>
      </c>
    </row>
    <row r="1458" spans="13:13">
      <c r="M1458">
        <f t="shared" si="33"/>
      </c>
    </row>
    <row r="1459" spans="13:13">
      <c r="M1459">
        <f t="shared" si="33"/>
      </c>
    </row>
    <row r="1460" spans="13:13">
      <c r="M1460">
        <f t="shared" si="33"/>
      </c>
    </row>
    <row r="1461" spans="13:13">
      <c r="M1461">
        <f t="shared" si="33"/>
      </c>
    </row>
    <row r="1462" spans="13:13">
      <c r="M1462">
        <f t="shared" si="33"/>
      </c>
    </row>
    <row r="1463" spans="13:13">
      <c r="M1463">
        <f t="shared" si="33"/>
      </c>
    </row>
    <row r="1464" spans="13:13">
      <c r="M1464">
        <f t="shared" si="33"/>
      </c>
    </row>
    <row r="1465" spans="13:13">
      <c r="M1465">
        <f t="shared" si="33"/>
      </c>
    </row>
    <row r="1466" spans="13:13">
      <c r="M1466">
        <f t="shared" si="33"/>
      </c>
    </row>
    <row r="1467" spans="13:13">
      <c r="M1467">
        <f t="shared" si="33"/>
      </c>
    </row>
    <row r="1468" spans="13:13">
      <c r="M1468">
        <f t="shared" si="33"/>
      </c>
    </row>
    <row r="1469" spans="13:13">
      <c r="M1469">
        <f t="shared" si="33"/>
      </c>
    </row>
    <row r="1470" spans="13:13">
      <c r="M1470">
        <f t="shared" si="33"/>
      </c>
    </row>
    <row r="1471" spans="13:13">
      <c r="M1471">
        <f t="shared" si="33"/>
      </c>
    </row>
    <row r="1472" spans="13:13">
      <c r="M1472">
        <f t="shared" si="33"/>
      </c>
    </row>
    <row r="1473" spans="13:13">
      <c r="M1473">
        <f t="shared" si="33"/>
      </c>
    </row>
    <row r="1474" spans="13:13">
      <c r="M1474">
        <f t="shared" si="33"/>
      </c>
    </row>
    <row r="1475" spans="13:13">
      <c r="M1475">
        <f t="shared" si="33"/>
      </c>
    </row>
    <row r="1476" spans="13:13">
      <c r="M1476">
        <f t="shared" si="33"/>
      </c>
    </row>
    <row r="1477" spans="13:13">
      <c r="M1477">
        <f t="shared" ref="M1477:M1540" si="34">IF(A1477="","", WEEKNUM(A1477, 2))</f>
      </c>
    </row>
    <row r="1478" spans="13:13">
      <c r="M1478">
        <f t="shared" si="34"/>
      </c>
    </row>
    <row r="1479" spans="13:13">
      <c r="M1479">
        <f t="shared" si="34"/>
      </c>
    </row>
    <row r="1480" spans="13:13">
      <c r="M1480">
        <f t="shared" si="34"/>
      </c>
    </row>
    <row r="1481" spans="13:13">
      <c r="M1481">
        <f t="shared" si="34"/>
      </c>
    </row>
    <row r="1482" spans="13:13">
      <c r="M1482">
        <f t="shared" si="34"/>
      </c>
    </row>
    <row r="1483" spans="13:13">
      <c r="M1483">
        <f t="shared" si="34"/>
      </c>
    </row>
    <row r="1484" spans="13:13">
      <c r="M1484">
        <f t="shared" si="34"/>
      </c>
    </row>
    <row r="1485" spans="13:13">
      <c r="M1485">
        <f t="shared" si="34"/>
      </c>
    </row>
    <row r="1486" spans="13:13">
      <c r="M1486">
        <f t="shared" si="34"/>
      </c>
    </row>
    <row r="1487" spans="13:13">
      <c r="M1487">
        <f t="shared" si="34"/>
      </c>
    </row>
    <row r="1488" spans="13:13">
      <c r="M1488">
        <f t="shared" si="34"/>
      </c>
    </row>
    <row r="1489" spans="13:13">
      <c r="M1489">
        <f t="shared" si="34"/>
      </c>
    </row>
    <row r="1490" spans="13:13">
      <c r="M1490">
        <f t="shared" si="34"/>
      </c>
    </row>
    <row r="1491" spans="13:13">
      <c r="M1491">
        <f t="shared" si="34"/>
      </c>
    </row>
    <row r="1492" spans="13:13">
      <c r="M1492">
        <f t="shared" si="34"/>
      </c>
    </row>
    <row r="1493" spans="13:13">
      <c r="M1493">
        <f t="shared" si="34"/>
      </c>
    </row>
    <row r="1494" spans="13:13">
      <c r="M1494">
        <f t="shared" si="34"/>
      </c>
    </row>
    <row r="1495" spans="13:13">
      <c r="M1495">
        <f t="shared" si="34"/>
      </c>
    </row>
    <row r="1496" spans="13:13">
      <c r="M1496">
        <f t="shared" si="34"/>
      </c>
    </row>
    <row r="1497" spans="13:13">
      <c r="M1497">
        <f t="shared" si="34"/>
      </c>
    </row>
    <row r="1498" spans="13:13">
      <c r="M1498">
        <f t="shared" si="34"/>
      </c>
    </row>
    <row r="1499" spans="13:13">
      <c r="M1499">
        <f t="shared" si="34"/>
      </c>
    </row>
    <row r="1500" spans="13:13">
      <c r="M1500">
        <f t="shared" si="34"/>
      </c>
    </row>
    <row r="1501" spans="13:13">
      <c r="M1501">
        <f t="shared" si="34"/>
      </c>
    </row>
    <row r="1502" spans="13:13">
      <c r="M1502">
        <f t="shared" si="34"/>
      </c>
    </row>
    <row r="1503" spans="13:13">
      <c r="M1503">
        <f t="shared" si="34"/>
      </c>
    </row>
    <row r="1504" spans="13:13">
      <c r="M1504">
        <f t="shared" si="34"/>
      </c>
    </row>
    <row r="1505" spans="13:13">
      <c r="M1505">
        <f t="shared" si="34"/>
      </c>
    </row>
    <row r="1506" spans="13:13">
      <c r="M1506">
        <f t="shared" si="34"/>
      </c>
    </row>
    <row r="1507" spans="13:13">
      <c r="M1507">
        <f t="shared" si="34"/>
      </c>
    </row>
    <row r="1508" spans="13:13">
      <c r="M1508">
        <f t="shared" si="34"/>
      </c>
    </row>
    <row r="1509" spans="13:13">
      <c r="M1509">
        <f t="shared" si="34"/>
      </c>
    </row>
    <row r="1510" spans="13:13">
      <c r="M1510">
        <f t="shared" si="34"/>
      </c>
    </row>
    <row r="1511" spans="13:13">
      <c r="M1511">
        <f t="shared" si="34"/>
      </c>
    </row>
    <row r="1512" spans="13:13">
      <c r="M1512">
        <f t="shared" si="34"/>
      </c>
    </row>
    <row r="1513" spans="13:13">
      <c r="M1513">
        <f t="shared" si="34"/>
      </c>
    </row>
    <row r="1514" spans="13:13">
      <c r="M1514">
        <f t="shared" si="34"/>
      </c>
    </row>
    <row r="1515" spans="13:13">
      <c r="M1515">
        <f t="shared" si="34"/>
      </c>
    </row>
    <row r="1516" spans="13:13">
      <c r="M1516">
        <f t="shared" si="34"/>
      </c>
    </row>
    <row r="1517" spans="13:13">
      <c r="M1517">
        <f t="shared" si="34"/>
      </c>
    </row>
    <row r="1518" spans="13:13">
      <c r="M1518">
        <f t="shared" si="34"/>
      </c>
    </row>
    <row r="1519" spans="13:13">
      <c r="M1519">
        <f t="shared" si="34"/>
      </c>
    </row>
    <row r="1520" spans="13:13">
      <c r="M1520">
        <f t="shared" si="34"/>
      </c>
    </row>
    <row r="1521" spans="13:13">
      <c r="M1521">
        <f t="shared" si="34"/>
      </c>
    </row>
    <row r="1522" spans="13:13">
      <c r="M1522">
        <f t="shared" si="34"/>
      </c>
    </row>
    <row r="1523" spans="13:13">
      <c r="M1523">
        <f t="shared" si="34"/>
      </c>
    </row>
    <row r="1524" spans="13:13">
      <c r="M1524">
        <f t="shared" si="34"/>
      </c>
    </row>
    <row r="1525" spans="13:13">
      <c r="M1525">
        <f t="shared" si="34"/>
      </c>
    </row>
    <row r="1526" spans="13:13">
      <c r="M1526">
        <f t="shared" si="34"/>
      </c>
    </row>
    <row r="1527" spans="13:13">
      <c r="M1527">
        <f t="shared" si="34"/>
      </c>
    </row>
    <row r="1528" spans="13:13">
      <c r="M1528">
        <f t="shared" si="34"/>
      </c>
    </row>
    <row r="1529" spans="13:13">
      <c r="M1529">
        <f t="shared" si="34"/>
      </c>
    </row>
    <row r="1530" spans="13:13">
      <c r="M1530">
        <f t="shared" si="34"/>
      </c>
    </row>
    <row r="1531" spans="13:13">
      <c r="M1531">
        <f t="shared" si="34"/>
      </c>
    </row>
    <row r="1532" spans="13:13">
      <c r="M1532">
        <f t="shared" si="34"/>
      </c>
    </row>
    <row r="1533" spans="13:13">
      <c r="M1533">
        <f t="shared" si="34"/>
      </c>
    </row>
    <row r="1534" spans="13:13">
      <c r="M1534">
        <f t="shared" si="34"/>
      </c>
    </row>
    <row r="1535" spans="13:13">
      <c r="M1535">
        <f t="shared" si="34"/>
      </c>
    </row>
    <row r="1536" spans="13:13">
      <c r="M1536">
        <f t="shared" si="34"/>
      </c>
    </row>
    <row r="1537" spans="13:13">
      <c r="M1537">
        <f t="shared" si="34"/>
      </c>
    </row>
    <row r="1538" spans="13:13">
      <c r="M1538">
        <f t="shared" si="34"/>
      </c>
    </row>
    <row r="1539" spans="13:13">
      <c r="M1539">
        <f t="shared" si="34"/>
      </c>
    </row>
    <row r="1540" spans="13:13">
      <c r="M1540">
        <f t="shared" si="34"/>
      </c>
    </row>
    <row r="1541" spans="13:13">
      <c r="M1541">
        <f t="shared" ref="M1541:M1604" si="35">IF(A1541="","", WEEKNUM(A1541, 2))</f>
      </c>
    </row>
    <row r="1542" spans="13:13">
      <c r="M1542">
        <f t="shared" si="35"/>
      </c>
    </row>
    <row r="1543" spans="13:13">
      <c r="M1543">
        <f t="shared" si="35"/>
      </c>
    </row>
    <row r="1544" spans="13:13">
      <c r="M1544">
        <f t="shared" si="35"/>
      </c>
    </row>
    <row r="1545" spans="13:13">
      <c r="M1545">
        <f t="shared" si="35"/>
      </c>
    </row>
    <row r="1546" spans="13:13">
      <c r="M1546">
        <f t="shared" si="35"/>
      </c>
    </row>
    <row r="1547" spans="13:13">
      <c r="M1547">
        <f t="shared" si="35"/>
      </c>
    </row>
    <row r="1548" spans="13:13">
      <c r="M1548">
        <f t="shared" si="35"/>
      </c>
    </row>
    <row r="1549" spans="13:13">
      <c r="M1549">
        <f t="shared" si="35"/>
      </c>
    </row>
    <row r="1550" spans="13:13">
      <c r="M1550">
        <f t="shared" si="35"/>
      </c>
    </row>
    <row r="1551" spans="13:13">
      <c r="M1551">
        <f t="shared" si="35"/>
      </c>
    </row>
    <row r="1552" spans="13:13">
      <c r="M1552">
        <f t="shared" si="35"/>
      </c>
    </row>
    <row r="1553" spans="13:13">
      <c r="M1553">
        <f t="shared" si="35"/>
      </c>
    </row>
    <row r="1554" spans="13:13">
      <c r="M1554">
        <f t="shared" si="35"/>
      </c>
    </row>
    <row r="1555" spans="13:13">
      <c r="M1555">
        <f t="shared" si="35"/>
      </c>
    </row>
    <row r="1556" spans="13:13">
      <c r="M1556">
        <f t="shared" si="35"/>
      </c>
    </row>
    <row r="1557" spans="13:13">
      <c r="M1557">
        <f t="shared" si="35"/>
      </c>
    </row>
    <row r="1558" spans="13:13">
      <c r="M1558">
        <f t="shared" si="35"/>
      </c>
    </row>
    <row r="1559" spans="13:13">
      <c r="M1559">
        <f t="shared" si="35"/>
      </c>
    </row>
    <row r="1560" spans="13:13">
      <c r="M1560">
        <f t="shared" si="35"/>
      </c>
    </row>
    <row r="1561" spans="13:13">
      <c r="M1561">
        <f t="shared" si="35"/>
      </c>
    </row>
    <row r="1562" spans="13:13">
      <c r="M1562">
        <f t="shared" si="35"/>
      </c>
    </row>
    <row r="1563" spans="13:13">
      <c r="M1563">
        <f t="shared" si="35"/>
      </c>
    </row>
    <row r="1564" spans="13:13">
      <c r="M1564">
        <f t="shared" si="35"/>
      </c>
    </row>
    <row r="1565" spans="13:13">
      <c r="M1565">
        <f t="shared" si="35"/>
      </c>
    </row>
    <row r="1566" spans="13:13">
      <c r="M1566">
        <f t="shared" si="35"/>
      </c>
    </row>
    <row r="1567" spans="13:13">
      <c r="M1567">
        <f t="shared" si="35"/>
      </c>
    </row>
    <row r="1568" spans="13:13">
      <c r="M1568">
        <f t="shared" si="35"/>
      </c>
    </row>
    <row r="1569" spans="13:13">
      <c r="M1569">
        <f t="shared" si="35"/>
      </c>
    </row>
    <row r="1570" spans="13:13">
      <c r="M1570">
        <f t="shared" si="35"/>
      </c>
    </row>
    <row r="1571" spans="13:13">
      <c r="M1571">
        <f t="shared" si="35"/>
      </c>
    </row>
    <row r="1572" spans="13:13">
      <c r="M1572">
        <f t="shared" si="35"/>
      </c>
    </row>
    <row r="1573" spans="13:13">
      <c r="M1573">
        <f t="shared" si="35"/>
      </c>
    </row>
    <row r="1574" spans="13:13">
      <c r="M1574">
        <f t="shared" si="35"/>
      </c>
    </row>
    <row r="1575" spans="13:13">
      <c r="M1575">
        <f t="shared" si="35"/>
      </c>
    </row>
    <row r="1576" spans="13:13">
      <c r="M1576">
        <f t="shared" si="35"/>
      </c>
    </row>
    <row r="1577" spans="13:13">
      <c r="M1577">
        <f t="shared" si="35"/>
      </c>
    </row>
    <row r="1578" spans="13:13">
      <c r="M1578">
        <f t="shared" si="35"/>
      </c>
    </row>
    <row r="1579" spans="13:13">
      <c r="M1579">
        <f t="shared" si="35"/>
      </c>
    </row>
    <row r="1580" spans="13:13">
      <c r="M1580">
        <f t="shared" si="35"/>
      </c>
    </row>
    <row r="1581" spans="13:13">
      <c r="M1581">
        <f t="shared" si="35"/>
      </c>
    </row>
    <row r="1582" spans="13:13">
      <c r="M1582">
        <f t="shared" si="35"/>
      </c>
    </row>
    <row r="1583" spans="13:13">
      <c r="M1583">
        <f t="shared" si="35"/>
      </c>
    </row>
    <row r="1584" spans="13:13">
      <c r="M1584">
        <f t="shared" si="35"/>
      </c>
    </row>
    <row r="1585" spans="13:13">
      <c r="M1585">
        <f t="shared" si="35"/>
      </c>
    </row>
    <row r="1586" spans="13:13">
      <c r="M1586">
        <f t="shared" si="35"/>
      </c>
    </row>
    <row r="1587" spans="13:13">
      <c r="M1587">
        <f t="shared" si="35"/>
      </c>
    </row>
    <row r="1588" spans="13:13">
      <c r="M1588">
        <f t="shared" si="35"/>
      </c>
    </row>
    <row r="1589" spans="13:13">
      <c r="M1589">
        <f t="shared" si="35"/>
      </c>
    </row>
    <row r="1590" spans="13:13">
      <c r="M1590">
        <f t="shared" si="35"/>
      </c>
    </row>
    <row r="1591" spans="13:13">
      <c r="M1591">
        <f t="shared" si="35"/>
      </c>
    </row>
    <row r="1592" spans="13:13">
      <c r="M1592">
        <f t="shared" si="35"/>
      </c>
    </row>
    <row r="1593" spans="13:13">
      <c r="M1593">
        <f t="shared" si="35"/>
      </c>
    </row>
    <row r="1594" spans="13:13">
      <c r="M1594">
        <f t="shared" si="35"/>
      </c>
    </row>
    <row r="1595" spans="13:13">
      <c r="M1595">
        <f t="shared" si="35"/>
      </c>
    </row>
    <row r="1596" spans="13:13">
      <c r="M1596">
        <f t="shared" si="35"/>
      </c>
    </row>
    <row r="1597" spans="13:13">
      <c r="M1597">
        <f t="shared" si="35"/>
      </c>
    </row>
    <row r="1598" spans="13:13">
      <c r="M1598">
        <f t="shared" si="35"/>
      </c>
    </row>
    <row r="1599" spans="13:13">
      <c r="M1599">
        <f t="shared" si="35"/>
      </c>
    </row>
    <row r="1600" spans="13:13">
      <c r="M1600">
        <f t="shared" si="35"/>
      </c>
    </row>
    <row r="1601" spans="13:13">
      <c r="M1601">
        <f t="shared" si="35"/>
      </c>
    </row>
    <row r="1602" spans="13:13">
      <c r="M1602">
        <f t="shared" si="35"/>
      </c>
    </row>
    <row r="1603" spans="13:13">
      <c r="M1603">
        <f t="shared" si="35"/>
      </c>
    </row>
    <row r="1604" spans="13:13">
      <c r="M1604">
        <f t="shared" si="35"/>
      </c>
    </row>
    <row r="1605" spans="13:13">
      <c r="M1605">
        <f t="shared" ref="M1605:M1668" si="36">IF(A1605="","", WEEKNUM(A1605, 2))</f>
      </c>
    </row>
    <row r="1606" spans="13:13">
      <c r="M1606">
        <f t="shared" si="36"/>
      </c>
    </row>
    <row r="1607" spans="13:13">
      <c r="M1607">
        <f t="shared" si="36"/>
      </c>
    </row>
    <row r="1608" spans="13:13">
      <c r="M1608">
        <f t="shared" si="36"/>
      </c>
    </row>
    <row r="1609" spans="13:13">
      <c r="M1609">
        <f t="shared" si="36"/>
      </c>
    </row>
    <row r="1610" spans="13:13">
      <c r="M1610">
        <f t="shared" si="36"/>
      </c>
    </row>
    <row r="1611" spans="13:13">
      <c r="M1611">
        <f t="shared" si="36"/>
      </c>
    </row>
    <row r="1612" spans="13:13">
      <c r="M1612">
        <f t="shared" si="36"/>
      </c>
    </row>
    <row r="1613" spans="13:13">
      <c r="M1613">
        <f t="shared" si="36"/>
      </c>
    </row>
    <row r="1614" spans="13:13">
      <c r="M1614">
        <f t="shared" si="36"/>
      </c>
    </row>
    <row r="1615" spans="13:13">
      <c r="M1615">
        <f t="shared" si="36"/>
      </c>
    </row>
    <row r="1616" spans="13:13">
      <c r="M1616">
        <f t="shared" si="36"/>
      </c>
    </row>
    <row r="1617" spans="13:13">
      <c r="M1617">
        <f t="shared" si="36"/>
      </c>
    </row>
    <row r="1618" spans="13:13">
      <c r="M1618">
        <f t="shared" si="36"/>
      </c>
    </row>
    <row r="1619" spans="13:13">
      <c r="M1619">
        <f t="shared" si="36"/>
      </c>
    </row>
    <row r="1620" spans="13:13">
      <c r="M1620">
        <f t="shared" si="36"/>
      </c>
    </row>
    <row r="1621" spans="13:13">
      <c r="M1621">
        <f t="shared" si="36"/>
      </c>
    </row>
    <row r="1622" spans="13:13">
      <c r="M1622">
        <f t="shared" si="36"/>
      </c>
    </row>
    <row r="1623" spans="13:13">
      <c r="M1623">
        <f t="shared" si="36"/>
      </c>
    </row>
    <row r="1624" spans="13:13">
      <c r="M1624">
        <f t="shared" si="36"/>
      </c>
    </row>
    <row r="1625" spans="13:13">
      <c r="M1625">
        <f t="shared" si="36"/>
      </c>
    </row>
    <row r="1626" spans="13:13">
      <c r="M1626">
        <f t="shared" si="36"/>
      </c>
    </row>
    <row r="1627" spans="13:13">
      <c r="M1627">
        <f t="shared" si="36"/>
      </c>
    </row>
    <row r="1628" spans="13:13">
      <c r="M1628">
        <f t="shared" si="36"/>
      </c>
    </row>
    <row r="1629" spans="13:13">
      <c r="M1629">
        <f t="shared" si="36"/>
      </c>
    </row>
    <row r="1630" spans="13:13">
      <c r="M1630">
        <f t="shared" si="36"/>
      </c>
    </row>
    <row r="1631" spans="13:13">
      <c r="M1631">
        <f t="shared" si="36"/>
      </c>
    </row>
    <row r="1632" spans="13:13">
      <c r="M1632">
        <f t="shared" si="36"/>
      </c>
    </row>
    <row r="1633" spans="13:13">
      <c r="M1633">
        <f t="shared" si="36"/>
      </c>
    </row>
    <row r="1634" spans="13:13">
      <c r="M1634">
        <f t="shared" si="36"/>
      </c>
    </row>
    <row r="1635" spans="13:13">
      <c r="M1635">
        <f t="shared" si="36"/>
      </c>
    </row>
    <row r="1636" spans="13:13">
      <c r="M1636">
        <f t="shared" si="36"/>
      </c>
    </row>
    <row r="1637" spans="13:13">
      <c r="M1637">
        <f t="shared" si="36"/>
      </c>
    </row>
    <row r="1638" spans="13:13">
      <c r="M1638">
        <f t="shared" si="36"/>
      </c>
    </row>
    <row r="1639" spans="13:13">
      <c r="M1639">
        <f t="shared" si="36"/>
      </c>
    </row>
    <row r="1640" spans="13:13">
      <c r="M1640">
        <f t="shared" si="36"/>
      </c>
    </row>
    <row r="1641" spans="13:13">
      <c r="M1641">
        <f t="shared" si="36"/>
      </c>
    </row>
    <row r="1642" spans="13:13">
      <c r="M1642">
        <f t="shared" si="36"/>
      </c>
    </row>
    <row r="1643" spans="13:13">
      <c r="M1643">
        <f t="shared" si="36"/>
      </c>
    </row>
    <row r="1644" spans="13:13">
      <c r="M1644">
        <f t="shared" si="36"/>
      </c>
    </row>
    <row r="1645" spans="13:13">
      <c r="M1645">
        <f t="shared" si="36"/>
      </c>
    </row>
    <row r="1646" spans="13:13">
      <c r="M1646">
        <f t="shared" si="36"/>
      </c>
    </row>
    <row r="1647" spans="13:13">
      <c r="M1647">
        <f t="shared" si="36"/>
      </c>
    </row>
    <row r="1648" spans="13:13">
      <c r="M1648">
        <f t="shared" si="36"/>
      </c>
    </row>
    <row r="1649" spans="13:13">
      <c r="M1649">
        <f t="shared" si="36"/>
      </c>
    </row>
    <row r="1650" spans="13:13">
      <c r="M1650">
        <f t="shared" si="36"/>
      </c>
    </row>
    <row r="1651" spans="13:13">
      <c r="M1651">
        <f t="shared" si="36"/>
      </c>
    </row>
    <row r="1652" spans="13:13">
      <c r="M1652">
        <f t="shared" si="36"/>
      </c>
    </row>
    <row r="1653" spans="13:13">
      <c r="M1653">
        <f t="shared" si="36"/>
      </c>
    </row>
    <row r="1654" spans="13:13">
      <c r="M1654">
        <f t="shared" si="36"/>
      </c>
    </row>
    <row r="1655" spans="13:13">
      <c r="M1655">
        <f t="shared" si="36"/>
      </c>
    </row>
    <row r="1656" spans="13:13">
      <c r="M1656">
        <f t="shared" si="36"/>
      </c>
    </row>
    <row r="1657" spans="13:13">
      <c r="M1657">
        <f t="shared" si="36"/>
      </c>
    </row>
    <row r="1658" spans="13:13">
      <c r="M1658">
        <f t="shared" si="36"/>
      </c>
    </row>
    <row r="1659" spans="13:13">
      <c r="M1659">
        <f t="shared" si="36"/>
      </c>
    </row>
    <row r="1660" spans="13:13">
      <c r="M1660">
        <f t="shared" si="36"/>
      </c>
    </row>
    <row r="1661" spans="13:13">
      <c r="M1661">
        <f t="shared" si="36"/>
      </c>
    </row>
    <row r="1662" spans="13:13">
      <c r="M1662">
        <f t="shared" si="36"/>
      </c>
    </row>
    <row r="1663" spans="13:13">
      <c r="M1663">
        <f t="shared" si="36"/>
      </c>
    </row>
    <row r="1664" spans="13:13">
      <c r="M1664">
        <f t="shared" si="36"/>
      </c>
    </row>
    <row r="1665" spans="13:13">
      <c r="M1665">
        <f t="shared" si="36"/>
      </c>
    </row>
    <row r="1666" spans="13:13">
      <c r="M1666">
        <f t="shared" si="36"/>
      </c>
    </row>
    <row r="1667" spans="13:13">
      <c r="M1667">
        <f t="shared" si="36"/>
      </c>
    </row>
    <row r="1668" spans="13:13">
      <c r="M1668">
        <f t="shared" si="36"/>
      </c>
    </row>
    <row r="1669" spans="13:13">
      <c r="M1669">
        <f t="shared" ref="M1669:M1732" si="37">IF(A1669="","", WEEKNUM(A1669, 2))</f>
      </c>
    </row>
    <row r="1670" spans="13:13">
      <c r="M1670">
        <f t="shared" si="37"/>
      </c>
    </row>
    <row r="1671" spans="13:13">
      <c r="M1671">
        <f t="shared" si="37"/>
      </c>
    </row>
    <row r="1672" spans="13:13">
      <c r="M1672">
        <f t="shared" si="37"/>
      </c>
    </row>
    <row r="1673" spans="13:13">
      <c r="M1673">
        <f t="shared" si="37"/>
      </c>
    </row>
    <row r="1674" spans="13:13">
      <c r="M1674">
        <f t="shared" si="37"/>
      </c>
    </row>
    <row r="1675" spans="13:13">
      <c r="M1675">
        <f t="shared" si="37"/>
      </c>
    </row>
    <row r="1676" spans="13:13">
      <c r="M1676">
        <f t="shared" si="37"/>
      </c>
    </row>
    <row r="1677" spans="13:13">
      <c r="M1677">
        <f t="shared" si="37"/>
      </c>
    </row>
    <row r="1678" spans="13:13">
      <c r="M1678">
        <f t="shared" si="37"/>
      </c>
    </row>
    <row r="1679" spans="13:13">
      <c r="M1679">
        <f t="shared" si="37"/>
      </c>
    </row>
    <row r="1680" spans="13:13">
      <c r="M1680">
        <f t="shared" si="37"/>
      </c>
    </row>
    <row r="1681" spans="13:13">
      <c r="M1681">
        <f t="shared" si="37"/>
      </c>
    </row>
    <row r="1682" spans="13:13">
      <c r="M1682">
        <f t="shared" si="37"/>
      </c>
    </row>
    <row r="1683" spans="13:13">
      <c r="M1683">
        <f t="shared" si="37"/>
      </c>
    </row>
    <row r="1684" spans="13:13">
      <c r="M1684">
        <f t="shared" si="37"/>
      </c>
    </row>
    <row r="1685" spans="13:13">
      <c r="M1685">
        <f t="shared" si="37"/>
      </c>
    </row>
    <row r="1686" spans="13:13">
      <c r="M1686">
        <f t="shared" si="37"/>
      </c>
    </row>
    <row r="1687" spans="13:13">
      <c r="M1687">
        <f t="shared" si="37"/>
      </c>
    </row>
    <row r="1688" spans="13:13">
      <c r="M1688">
        <f t="shared" si="37"/>
      </c>
    </row>
    <row r="1689" spans="13:13">
      <c r="M1689">
        <f t="shared" si="37"/>
      </c>
    </row>
    <row r="1690" spans="13:13">
      <c r="M1690">
        <f t="shared" si="37"/>
      </c>
    </row>
    <row r="1691" spans="13:13">
      <c r="M1691">
        <f t="shared" si="37"/>
      </c>
    </row>
    <row r="1692" spans="13:13">
      <c r="M1692">
        <f t="shared" si="37"/>
      </c>
    </row>
    <row r="1693" spans="13:13">
      <c r="M1693">
        <f t="shared" si="37"/>
      </c>
    </row>
    <row r="1694" spans="13:13">
      <c r="M1694">
        <f t="shared" si="37"/>
      </c>
    </row>
    <row r="1695" spans="13:13">
      <c r="M1695">
        <f t="shared" si="37"/>
      </c>
    </row>
    <row r="1696" spans="13:13">
      <c r="M1696">
        <f t="shared" si="37"/>
      </c>
    </row>
    <row r="1697" spans="13:13">
      <c r="M1697">
        <f t="shared" si="37"/>
      </c>
    </row>
    <row r="1698" spans="13:13">
      <c r="M1698">
        <f t="shared" si="37"/>
      </c>
    </row>
    <row r="1699" spans="13:13">
      <c r="M1699">
        <f t="shared" si="37"/>
      </c>
    </row>
    <row r="1700" spans="13:13">
      <c r="M1700">
        <f t="shared" si="37"/>
      </c>
    </row>
    <row r="1701" spans="13:13">
      <c r="M1701">
        <f t="shared" si="37"/>
      </c>
    </row>
    <row r="1702" spans="13:13">
      <c r="M1702">
        <f t="shared" si="37"/>
      </c>
    </row>
    <row r="1703" spans="13:13">
      <c r="M1703">
        <f t="shared" si="37"/>
      </c>
    </row>
    <row r="1704" spans="13:13">
      <c r="M1704">
        <f t="shared" si="37"/>
      </c>
    </row>
    <row r="1705" spans="13:13">
      <c r="M1705">
        <f t="shared" si="37"/>
      </c>
    </row>
    <row r="1706" spans="13:13">
      <c r="M1706">
        <f t="shared" si="37"/>
      </c>
    </row>
    <row r="1707" spans="13:13">
      <c r="M1707">
        <f t="shared" si="37"/>
      </c>
    </row>
    <row r="1708" spans="13:13">
      <c r="M1708">
        <f t="shared" si="37"/>
      </c>
    </row>
    <row r="1709" spans="13:13">
      <c r="M1709">
        <f t="shared" si="37"/>
      </c>
    </row>
    <row r="1710" spans="13:13">
      <c r="M1710">
        <f t="shared" si="37"/>
      </c>
    </row>
    <row r="1711" spans="13:13">
      <c r="M1711">
        <f t="shared" si="37"/>
      </c>
    </row>
    <row r="1712" spans="13:13">
      <c r="M1712">
        <f t="shared" si="37"/>
      </c>
    </row>
    <row r="1713" spans="13:13">
      <c r="M1713">
        <f t="shared" si="37"/>
      </c>
    </row>
    <row r="1714" spans="13:13">
      <c r="M1714">
        <f t="shared" si="37"/>
      </c>
    </row>
    <row r="1715" spans="13:13">
      <c r="M1715">
        <f t="shared" si="37"/>
      </c>
    </row>
    <row r="1716" spans="13:13">
      <c r="M1716">
        <f t="shared" si="37"/>
      </c>
    </row>
    <row r="1717" spans="13:13">
      <c r="M1717">
        <f t="shared" si="37"/>
      </c>
    </row>
    <row r="1718" spans="13:13">
      <c r="M1718">
        <f t="shared" si="37"/>
      </c>
    </row>
    <row r="1719" spans="13:13">
      <c r="M1719">
        <f t="shared" si="37"/>
      </c>
    </row>
    <row r="1720" spans="13:13">
      <c r="M1720">
        <f t="shared" si="37"/>
      </c>
    </row>
    <row r="1721" spans="13:13">
      <c r="M1721">
        <f t="shared" si="37"/>
      </c>
    </row>
    <row r="1722" spans="13:13">
      <c r="M1722">
        <f t="shared" si="37"/>
      </c>
    </row>
    <row r="1723" spans="13:13">
      <c r="M1723">
        <f t="shared" si="37"/>
      </c>
    </row>
    <row r="1724" spans="13:13">
      <c r="M1724">
        <f t="shared" si="37"/>
      </c>
    </row>
    <row r="1725" spans="13:13">
      <c r="M1725">
        <f t="shared" si="37"/>
      </c>
    </row>
    <row r="1726" spans="13:13">
      <c r="M1726">
        <f t="shared" si="37"/>
      </c>
    </row>
    <row r="1727" spans="13:13">
      <c r="M1727">
        <f t="shared" si="37"/>
      </c>
    </row>
    <row r="1728" spans="13:13">
      <c r="M1728">
        <f t="shared" si="37"/>
      </c>
    </row>
    <row r="1729" spans="13:13">
      <c r="M1729">
        <f t="shared" si="37"/>
      </c>
    </row>
    <row r="1730" spans="13:13">
      <c r="M1730">
        <f t="shared" si="37"/>
      </c>
    </row>
    <row r="1731" spans="13:13">
      <c r="M1731">
        <f t="shared" si="37"/>
      </c>
    </row>
    <row r="1732" spans="13:13">
      <c r="M1732">
        <f t="shared" si="37"/>
      </c>
    </row>
    <row r="1733" spans="13:13">
      <c r="M1733">
        <f t="shared" ref="M1733:M1796" si="38">IF(A1733="","", WEEKNUM(A1733, 2))</f>
      </c>
    </row>
    <row r="1734" spans="13:13">
      <c r="M1734">
        <f t="shared" si="38"/>
      </c>
    </row>
    <row r="1735" spans="13:13">
      <c r="M1735">
        <f t="shared" si="38"/>
      </c>
    </row>
    <row r="1736" spans="13:13">
      <c r="M1736">
        <f t="shared" si="38"/>
      </c>
    </row>
    <row r="1737" spans="13:13">
      <c r="M1737">
        <f t="shared" si="38"/>
      </c>
    </row>
    <row r="1738" spans="13:13">
      <c r="M1738">
        <f t="shared" si="38"/>
      </c>
    </row>
    <row r="1739" spans="13:13">
      <c r="M1739">
        <f t="shared" si="38"/>
      </c>
    </row>
    <row r="1740" spans="13:13">
      <c r="M1740">
        <f t="shared" si="38"/>
      </c>
    </row>
    <row r="1741" spans="13:13">
      <c r="M1741">
        <f t="shared" si="38"/>
      </c>
    </row>
    <row r="1742" spans="13:13">
      <c r="M1742">
        <f t="shared" si="38"/>
      </c>
    </row>
    <row r="1743" spans="13:13">
      <c r="M1743">
        <f t="shared" si="38"/>
      </c>
    </row>
    <row r="1744" spans="13:13">
      <c r="M1744">
        <f t="shared" si="38"/>
      </c>
    </row>
    <row r="1745" spans="13:13">
      <c r="M1745">
        <f t="shared" si="38"/>
      </c>
    </row>
    <row r="1746" spans="13:13">
      <c r="M1746">
        <f t="shared" si="38"/>
      </c>
    </row>
    <row r="1747" spans="13:13">
      <c r="M1747">
        <f t="shared" si="38"/>
      </c>
    </row>
    <row r="1748" spans="13:13">
      <c r="M1748">
        <f t="shared" si="38"/>
      </c>
    </row>
    <row r="1749" spans="13:13">
      <c r="M1749">
        <f t="shared" si="38"/>
      </c>
    </row>
    <row r="1750" spans="13:13">
      <c r="M1750">
        <f t="shared" si="38"/>
      </c>
    </row>
    <row r="1751" spans="13:13">
      <c r="M1751">
        <f t="shared" si="38"/>
      </c>
    </row>
    <row r="1752" spans="13:13">
      <c r="M1752">
        <f t="shared" si="38"/>
      </c>
    </row>
    <row r="1753" spans="13:13">
      <c r="M1753">
        <f t="shared" si="38"/>
      </c>
    </row>
    <row r="1754" spans="13:13">
      <c r="M1754">
        <f t="shared" si="38"/>
      </c>
    </row>
    <row r="1755" spans="13:13">
      <c r="M1755">
        <f t="shared" si="38"/>
      </c>
    </row>
    <row r="1756" spans="13:13">
      <c r="M1756">
        <f t="shared" si="38"/>
      </c>
    </row>
    <row r="1757" spans="13:13">
      <c r="M1757">
        <f t="shared" si="38"/>
      </c>
    </row>
    <row r="1758" spans="13:13">
      <c r="M1758">
        <f t="shared" si="38"/>
      </c>
    </row>
    <row r="1759" spans="13:13">
      <c r="M1759">
        <f t="shared" si="38"/>
      </c>
    </row>
    <row r="1760" spans="13:13">
      <c r="M1760">
        <f t="shared" si="38"/>
      </c>
    </row>
    <row r="1761" spans="13:13">
      <c r="M1761">
        <f t="shared" si="38"/>
      </c>
    </row>
    <row r="1762" spans="13:13">
      <c r="M1762">
        <f t="shared" si="38"/>
      </c>
    </row>
    <row r="1763" spans="13:13">
      <c r="M1763">
        <f t="shared" si="38"/>
      </c>
    </row>
    <row r="1764" spans="13:13">
      <c r="M1764">
        <f t="shared" si="38"/>
      </c>
    </row>
    <row r="1765" spans="13:13">
      <c r="M1765">
        <f t="shared" si="38"/>
      </c>
    </row>
    <row r="1766" spans="13:13">
      <c r="M1766">
        <f t="shared" si="38"/>
      </c>
    </row>
    <row r="1767" spans="13:13">
      <c r="M1767">
        <f t="shared" si="38"/>
      </c>
    </row>
    <row r="1768" spans="13:13">
      <c r="M1768">
        <f t="shared" si="38"/>
      </c>
    </row>
    <row r="1769" spans="13:13">
      <c r="M1769">
        <f t="shared" si="38"/>
      </c>
    </row>
    <row r="1770" spans="13:13">
      <c r="M1770">
        <f t="shared" si="38"/>
      </c>
    </row>
    <row r="1771" spans="13:13">
      <c r="M1771">
        <f t="shared" si="38"/>
      </c>
    </row>
    <row r="1772" spans="13:13">
      <c r="M1772">
        <f t="shared" si="38"/>
      </c>
    </row>
    <row r="1773" spans="13:13">
      <c r="M1773">
        <f t="shared" si="38"/>
      </c>
    </row>
    <row r="1774" spans="13:13">
      <c r="M1774">
        <f t="shared" si="38"/>
      </c>
    </row>
    <row r="1775" spans="13:13">
      <c r="M1775">
        <f t="shared" si="38"/>
      </c>
    </row>
    <row r="1776" spans="13:13">
      <c r="M1776">
        <f t="shared" si="38"/>
      </c>
    </row>
    <row r="1777" spans="13:13">
      <c r="M1777">
        <f t="shared" si="38"/>
      </c>
    </row>
    <row r="1778" spans="13:13">
      <c r="M1778">
        <f t="shared" si="38"/>
      </c>
    </row>
    <row r="1779" spans="13:13">
      <c r="M1779">
        <f t="shared" si="38"/>
      </c>
    </row>
    <row r="1780" spans="13:13">
      <c r="M1780">
        <f t="shared" si="38"/>
      </c>
    </row>
    <row r="1781" spans="13:13">
      <c r="M1781">
        <f t="shared" si="38"/>
      </c>
    </row>
    <row r="1782" spans="13:13">
      <c r="M1782">
        <f t="shared" si="38"/>
      </c>
    </row>
    <row r="1783" spans="13:13">
      <c r="M1783">
        <f t="shared" si="38"/>
      </c>
    </row>
    <row r="1784" spans="13:13">
      <c r="M1784">
        <f t="shared" si="38"/>
      </c>
    </row>
    <row r="1785" spans="13:13">
      <c r="M1785">
        <f t="shared" si="38"/>
      </c>
    </row>
    <row r="1786" spans="13:13">
      <c r="M1786">
        <f t="shared" si="38"/>
      </c>
    </row>
    <row r="1787" spans="13:13">
      <c r="M1787">
        <f t="shared" si="38"/>
      </c>
    </row>
    <row r="1788" spans="13:13">
      <c r="M1788">
        <f t="shared" si="38"/>
      </c>
    </row>
    <row r="1789" spans="13:13">
      <c r="M1789">
        <f t="shared" si="38"/>
      </c>
    </row>
    <row r="1790" spans="13:13">
      <c r="M1790">
        <f t="shared" si="38"/>
      </c>
    </row>
    <row r="1791" spans="13:13">
      <c r="M1791">
        <f t="shared" si="38"/>
      </c>
    </row>
    <row r="1792" spans="13:13">
      <c r="M1792">
        <f t="shared" si="38"/>
      </c>
    </row>
    <row r="1793" spans="13:13">
      <c r="M1793">
        <f t="shared" si="38"/>
      </c>
    </row>
    <row r="1794" spans="13:13">
      <c r="M1794">
        <f t="shared" si="38"/>
      </c>
    </row>
    <row r="1795" spans="13:13">
      <c r="M1795">
        <f t="shared" si="38"/>
      </c>
    </row>
    <row r="1796" spans="13:13">
      <c r="M1796">
        <f t="shared" si="38"/>
      </c>
    </row>
    <row r="1797" spans="13:13">
      <c r="M1797">
        <f t="shared" ref="M1797:M1860" si="39">IF(A1797="","", WEEKNUM(A1797, 2))</f>
      </c>
    </row>
    <row r="1798" spans="13:13">
      <c r="M1798">
        <f t="shared" si="39"/>
      </c>
    </row>
    <row r="1799" spans="13:13">
      <c r="M1799">
        <f t="shared" si="39"/>
      </c>
    </row>
    <row r="1800" spans="13:13">
      <c r="M1800">
        <f t="shared" si="39"/>
      </c>
    </row>
    <row r="1801" spans="13:13">
      <c r="M1801">
        <f t="shared" si="39"/>
      </c>
    </row>
    <row r="1802" spans="13:13">
      <c r="M1802">
        <f t="shared" si="39"/>
      </c>
    </row>
    <row r="1803" spans="13:13">
      <c r="M1803">
        <f t="shared" si="39"/>
      </c>
    </row>
    <row r="1804" spans="13:13">
      <c r="M1804">
        <f t="shared" si="39"/>
      </c>
    </row>
    <row r="1805" spans="13:13">
      <c r="M1805">
        <f t="shared" si="39"/>
      </c>
    </row>
    <row r="1806" spans="13:13">
      <c r="M1806">
        <f t="shared" si="39"/>
      </c>
    </row>
    <row r="1807" spans="13:13">
      <c r="M1807">
        <f t="shared" si="39"/>
      </c>
    </row>
    <row r="1808" spans="13:13">
      <c r="M1808">
        <f t="shared" si="39"/>
      </c>
    </row>
    <row r="1809" spans="13:13">
      <c r="M1809">
        <f t="shared" si="39"/>
      </c>
    </row>
    <row r="1810" spans="13:13">
      <c r="M1810">
        <f t="shared" si="39"/>
      </c>
    </row>
    <row r="1811" spans="13:13">
      <c r="M1811">
        <f t="shared" si="39"/>
      </c>
    </row>
    <row r="1812" spans="13:13">
      <c r="M1812">
        <f t="shared" si="39"/>
      </c>
    </row>
    <row r="1813" spans="13:13">
      <c r="M1813">
        <f t="shared" si="39"/>
      </c>
    </row>
    <row r="1814" spans="13:13">
      <c r="M1814">
        <f t="shared" si="39"/>
      </c>
    </row>
    <row r="1815" spans="13:13">
      <c r="M1815">
        <f t="shared" si="39"/>
      </c>
    </row>
    <row r="1816" spans="13:13">
      <c r="M1816">
        <f t="shared" si="39"/>
      </c>
    </row>
    <row r="1817" spans="13:13">
      <c r="M1817">
        <f t="shared" si="39"/>
      </c>
    </row>
    <row r="1818" spans="13:13">
      <c r="M1818">
        <f t="shared" si="39"/>
      </c>
    </row>
    <row r="1819" spans="13:13">
      <c r="M1819">
        <f t="shared" si="39"/>
      </c>
    </row>
    <row r="1820" spans="13:13">
      <c r="M1820">
        <f t="shared" si="39"/>
      </c>
    </row>
    <row r="1821" spans="13:13">
      <c r="M1821">
        <f t="shared" si="39"/>
      </c>
    </row>
    <row r="1822" spans="13:13">
      <c r="M1822">
        <f t="shared" si="39"/>
      </c>
    </row>
    <row r="1823" spans="13:13">
      <c r="M1823">
        <f t="shared" si="39"/>
      </c>
    </row>
    <row r="1824" spans="13:13">
      <c r="M1824">
        <f t="shared" si="39"/>
      </c>
    </row>
    <row r="1825" spans="13:13">
      <c r="M1825">
        <f t="shared" si="39"/>
      </c>
    </row>
    <row r="1826" spans="13:13">
      <c r="M1826">
        <f t="shared" si="39"/>
      </c>
    </row>
    <row r="1827" spans="13:13">
      <c r="M1827">
        <f t="shared" si="39"/>
      </c>
    </row>
    <row r="1828" spans="13:13">
      <c r="M1828">
        <f t="shared" si="39"/>
      </c>
    </row>
    <row r="1829" spans="13:13">
      <c r="M1829">
        <f t="shared" si="39"/>
      </c>
    </row>
    <row r="1830" spans="13:13">
      <c r="M1830">
        <f t="shared" si="39"/>
      </c>
    </row>
    <row r="1831" spans="13:13">
      <c r="M1831">
        <f t="shared" si="39"/>
      </c>
    </row>
    <row r="1832" spans="13:13">
      <c r="M1832">
        <f t="shared" si="39"/>
      </c>
    </row>
    <row r="1833" spans="13:13">
      <c r="M1833">
        <f t="shared" si="39"/>
      </c>
    </row>
    <row r="1834" spans="13:13">
      <c r="M1834">
        <f t="shared" si="39"/>
      </c>
    </row>
    <row r="1835" spans="13:13">
      <c r="M1835">
        <f t="shared" si="39"/>
      </c>
    </row>
    <row r="1836" spans="13:13">
      <c r="M1836">
        <f t="shared" si="39"/>
      </c>
    </row>
    <row r="1837" spans="13:13">
      <c r="M1837">
        <f t="shared" si="39"/>
      </c>
    </row>
    <row r="1838" spans="13:13">
      <c r="M1838">
        <f t="shared" si="39"/>
      </c>
    </row>
    <row r="1839" spans="13:13">
      <c r="M1839">
        <f t="shared" si="39"/>
      </c>
    </row>
    <row r="1840" spans="13:13">
      <c r="M1840">
        <f t="shared" si="39"/>
      </c>
    </row>
    <row r="1841" spans="13:13">
      <c r="M1841">
        <f t="shared" si="39"/>
      </c>
    </row>
    <row r="1842" spans="13:13">
      <c r="M1842">
        <f t="shared" si="39"/>
      </c>
    </row>
    <row r="1843" spans="13:13">
      <c r="M1843">
        <f t="shared" si="39"/>
      </c>
    </row>
    <row r="1844" spans="13:13">
      <c r="M1844">
        <f t="shared" si="39"/>
      </c>
    </row>
    <row r="1845" spans="13:13">
      <c r="M1845">
        <f t="shared" si="39"/>
      </c>
    </row>
    <row r="1846" spans="13:13">
      <c r="M1846">
        <f t="shared" si="39"/>
      </c>
    </row>
    <row r="1847" spans="13:13">
      <c r="M1847">
        <f t="shared" si="39"/>
      </c>
    </row>
    <row r="1848" spans="13:13">
      <c r="M1848">
        <f t="shared" si="39"/>
      </c>
    </row>
    <row r="1849" spans="13:13">
      <c r="M1849">
        <f t="shared" si="39"/>
      </c>
    </row>
    <row r="1850" spans="13:13">
      <c r="M1850">
        <f t="shared" si="39"/>
      </c>
    </row>
    <row r="1851" spans="13:13">
      <c r="M1851">
        <f t="shared" si="39"/>
      </c>
    </row>
    <row r="1852" spans="13:13">
      <c r="M1852">
        <f t="shared" si="39"/>
      </c>
    </row>
    <row r="1853" spans="13:13">
      <c r="M1853">
        <f t="shared" si="39"/>
      </c>
    </row>
    <row r="1854" spans="13:13">
      <c r="M1854">
        <f t="shared" si="39"/>
      </c>
    </row>
    <row r="1855" spans="13:13">
      <c r="M1855">
        <f t="shared" si="39"/>
      </c>
    </row>
    <row r="1856" spans="13:13">
      <c r="M1856">
        <f t="shared" si="39"/>
      </c>
    </row>
    <row r="1857" spans="13:13">
      <c r="M1857">
        <f t="shared" si="39"/>
      </c>
    </row>
    <row r="1858" spans="13:13">
      <c r="M1858">
        <f t="shared" si="39"/>
      </c>
    </row>
    <row r="1859" spans="13:13">
      <c r="M1859">
        <f t="shared" si="39"/>
      </c>
    </row>
    <row r="1860" spans="13:13">
      <c r="M1860">
        <f t="shared" si="39"/>
      </c>
    </row>
    <row r="1861" spans="13:13">
      <c r="M1861">
        <f t="shared" ref="M1861:M1924" si="40">IF(A1861="","", WEEKNUM(A1861, 2))</f>
      </c>
    </row>
    <row r="1862" spans="13:13">
      <c r="M1862">
        <f t="shared" si="40"/>
      </c>
    </row>
    <row r="1863" spans="13:13">
      <c r="M1863">
        <f t="shared" si="40"/>
      </c>
    </row>
    <row r="1864" spans="13:13">
      <c r="M1864">
        <f t="shared" si="40"/>
      </c>
    </row>
    <row r="1865" spans="13:13">
      <c r="M1865">
        <f t="shared" si="40"/>
      </c>
    </row>
    <row r="1866" spans="13:13">
      <c r="M1866">
        <f t="shared" si="40"/>
      </c>
    </row>
    <row r="1867" spans="13:13">
      <c r="M1867">
        <f t="shared" si="40"/>
      </c>
    </row>
    <row r="1868" spans="13:13">
      <c r="M1868">
        <f t="shared" si="40"/>
      </c>
    </row>
    <row r="1869" spans="13:13">
      <c r="M1869">
        <f t="shared" si="40"/>
      </c>
    </row>
    <row r="1870" spans="13:13">
      <c r="M1870">
        <f t="shared" si="40"/>
      </c>
    </row>
    <row r="1871" spans="13:13">
      <c r="M1871">
        <f t="shared" si="40"/>
      </c>
    </row>
    <row r="1872" spans="13:13">
      <c r="M1872">
        <f t="shared" si="40"/>
      </c>
    </row>
    <row r="1873" spans="13:13">
      <c r="M1873">
        <f t="shared" si="40"/>
      </c>
    </row>
    <row r="1874" spans="13:13">
      <c r="M1874">
        <f t="shared" si="40"/>
      </c>
    </row>
    <row r="1875" spans="13:13">
      <c r="M1875">
        <f t="shared" si="40"/>
      </c>
    </row>
    <row r="1876" spans="13:13">
      <c r="M1876">
        <f t="shared" si="40"/>
      </c>
    </row>
    <row r="1877" spans="13:13">
      <c r="M1877">
        <f t="shared" si="40"/>
      </c>
    </row>
    <row r="1878" spans="13:13">
      <c r="M1878">
        <f t="shared" si="40"/>
      </c>
    </row>
    <row r="1879" spans="13:13">
      <c r="M1879">
        <f t="shared" si="40"/>
      </c>
    </row>
    <row r="1880" spans="13:13">
      <c r="M1880">
        <f t="shared" si="40"/>
      </c>
    </row>
    <row r="1881" spans="13:13">
      <c r="M1881">
        <f t="shared" si="40"/>
      </c>
    </row>
    <row r="1882" spans="13:13">
      <c r="M1882">
        <f t="shared" si="40"/>
      </c>
    </row>
    <row r="1883" spans="13:13">
      <c r="M1883">
        <f t="shared" si="40"/>
      </c>
    </row>
    <row r="1884" spans="13:13">
      <c r="M1884">
        <f t="shared" si="40"/>
      </c>
    </row>
    <row r="1885" spans="13:13">
      <c r="M1885">
        <f t="shared" si="40"/>
      </c>
    </row>
    <row r="1886" spans="13:13">
      <c r="M1886">
        <f t="shared" si="40"/>
      </c>
    </row>
    <row r="1887" spans="13:13">
      <c r="M1887">
        <f t="shared" si="40"/>
      </c>
    </row>
    <row r="1888" spans="13:13">
      <c r="M1888">
        <f t="shared" si="40"/>
      </c>
    </row>
    <row r="1889" spans="13:13">
      <c r="M1889">
        <f t="shared" si="40"/>
      </c>
    </row>
    <row r="1890" spans="13:13">
      <c r="M1890">
        <f t="shared" si="40"/>
      </c>
    </row>
    <row r="1891" spans="13:13">
      <c r="M1891">
        <f t="shared" si="40"/>
      </c>
    </row>
    <row r="1892" spans="13:13">
      <c r="M1892">
        <f t="shared" si="40"/>
      </c>
    </row>
    <row r="1893" spans="13:13">
      <c r="M1893">
        <f t="shared" si="40"/>
      </c>
    </row>
    <row r="1894" spans="13:13">
      <c r="M1894">
        <f t="shared" si="40"/>
      </c>
    </row>
    <row r="1895" spans="13:13">
      <c r="M1895">
        <f t="shared" si="40"/>
      </c>
    </row>
    <row r="1896" spans="13:13">
      <c r="M1896">
        <f t="shared" si="40"/>
      </c>
    </row>
    <row r="1897" spans="13:13">
      <c r="M1897">
        <f t="shared" si="40"/>
      </c>
    </row>
    <row r="1898" spans="13:13">
      <c r="M1898">
        <f t="shared" si="40"/>
      </c>
    </row>
    <row r="1899" spans="13:13">
      <c r="M1899">
        <f t="shared" si="40"/>
      </c>
    </row>
    <row r="1900" spans="13:13">
      <c r="M1900">
        <f t="shared" si="40"/>
      </c>
    </row>
    <row r="1901" spans="13:13">
      <c r="M1901">
        <f t="shared" si="40"/>
      </c>
    </row>
    <row r="1902" spans="13:13">
      <c r="M1902">
        <f t="shared" si="40"/>
      </c>
    </row>
    <row r="1903" spans="13:13">
      <c r="M1903">
        <f t="shared" si="40"/>
      </c>
    </row>
    <row r="1904" spans="13:13">
      <c r="M1904">
        <f t="shared" si="40"/>
      </c>
    </row>
    <row r="1905" spans="13:13">
      <c r="M1905">
        <f t="shared" si="40"/>
      </c>
    </row>
    <row r="1906" spans="13:13">
      <c r="M1906">
        <f t="shared" si="40"/>
      </c>
    </row>
    <row r="1907" spans="13:13">
      <c r="M1907">
        <f t="shared" si="40"/>
      </c>
    </row>
    <row r="1908" spans="13:13">
      <c r="M1908">
        <f t="shared" si="40"/>
      </c>
    </row>
    <row r="1909" spans="13:13">
      <c r="M1909">
        <f t="shared" si="40"/>
      </c>
    </row>
    <row r="1910" spans="13:13">
      <c r="M1910">
        <f t="shared" si="40"/>
      </c>
    </row>
    <row r="1911" spans="13:13">
      <c r="M1911">
        <f t="shared" si="40"/>
      </c>
    </row>
    <row r="1912" spans="13:13">
      <c r="M1912">
        <f t="shared" si="40"/>
      </c>
    </row>
    <row r="1913" spans="13:13">
      <c r="M1913">
        <f t="shared" si="40"/>
      </c>
    </row>
    <row r="1914" spans="13:13">
      <c r="M1914">
        <f t="shared" si="40"/>
      </c>
    </row>
    <row r="1915" spans="13:13">
      <c r="M1915">
        <f t="shared" si="40"/>
      </c>
    </row>
    <row r="1916" spans="13:13">
      <c r="M1916">
        <f t="shared" si="40"/>
      </c>
    </row>
    <row r="1917" spans="13:13">
      <c r="M1917">
        <f t="shared" si="40"/>
      </c>
    </row>
    <row r="1918" spans="13:13">
      <c r="M1918">
        <f t="shared" si="40"/>
      </c>
    </row>
    <row r="1919" spans="13:13">
      <c r="M1919">
        <f t="shared" si="40"/>
      </c>
    </row>
    <row r="1920" spans="13:13">
      <c r="M1920">
        <f t="shared" si="40"/>
      </c>
    </row>
    <row r="1921" spans="13:13">
      <c r="M1921">
        <f t="shared" si="40"/>
      </c>
    </row>
    <row r="1922" spans="13:13">
      <c r="M1922">
        <f t="shared" si="40"/>
      </c>
    </row>
    <row r="1923" spans="13:13">
      <c r="M1923">
        <f t="shared" si="40"/>
      </c>
    </row>
    <row r="1924" spans="13:13">
      <c r="M1924">
        <f t="shared" si="40"/>
      </c>
    </row>
    <row r="1925" spans="13:13">
      <c r="M1925">
        <f t="shared" ref="M1925:M1988" si="41">IF(A1925="","", WEEKNUM(A1925, 2))</f>
      </c>
    </row>
    <row r="1926" spans="13:13">
      <c r="M1926">
        <f t="shared" si="41"/>
      </c>
    </row>
    <row r="1927" spans="13:13">
      <c r="M1927">
        <f t="shared" si="41"/>
      </c>
    </row>
    <row r="1928" spans="13:13">
      <c r="M1928">
        <f t="shared" si="41"/>
      </c>
    </row>
    <row r="1929" spans="13:13">
      <c r="M1929">
        <f t="shared" si="41"/>
      </c>
    </row>
    <row r="1930" spans="13:13">
      <c r="M1930">
        <f t="shared" si="41"/>
      </c>
    </row>
    <row r="1931" spans="13:13">
      <c r="M1931">
        <f t="shared" si="41"/>
      </c>
    </row>
    <row r="1932" spans="13:13">
      <c r="M1932">
        <f t="shared" si="41"/>
      </c>
    </row>
    <row r="1933" spans="13:13">
      <c r="M1933">
        <f t="shared" si="41"/>
      </c>
    </row>
    <row r="1934" spans="13:13">
      <c r="M1934">
        <f t="shared" si="41"/>
      </c>
    </row>
    <row r="1935" spans="13:13">
      <c r="M1935">
        <f t="shared" si="41"/>
      </c>
    </row>
    <row r="1936" spans="13:13">
      <c r="M1936">
        <f t="shared" si="41"/>
      </c>
    </row>
    <row r="1937" spans="13:13">
      <c r="M1937">
        <f t="shared" si="41"/>
      </c>
    </row>
    <row r="1938" spans="13:13">
      <c r="M1938">
        <f t="shared" si="41"/>
      </c>
    </row>
    <row r="1939" spans="13:13">
      <c r="M1939">
        <f t="shared" si="41"/>
      </c>
    </row>
    <row r="1940" spans="13:13">
      <c r="M1940">
        <f t="shared" si="41"/>
      </c>
    </row>
    <row r="1941" spans="13:13">
      <c r="M1941">
        <f t="shared" si="41"/>
      </c>
    </row>
    <row r="1942" spans="13:13">
      <c r="M1942">
        <f t="shared" si="41"/>
      </c>
    </row>
    <row r="1943" spans="13:13">
      <c r="M1943">
        <f t="shared" si="41"/>
      </c>
    </row>
    <row r="1944" spans="13:13">
      <c r="M1944">
        <f t="shared" si="41"/>
      </c>
    </row>
    <row r="1945" spans="13:13">
      <c r="M1945">
        <f t="shared" si="41"/>
      </c>
    </row>
    <row r="1946" spans="13:13">
      <c r="M1946">
        <f t="shared" si="41"/>
      </c>
    </row>
    <row r="1947" spans="13:13">
      <c r="M1947">
        <f t="shared" si="41"/>
      </c>
    </row>
    <row r="1948" spans="13:13">
      <c r="M1948">
        <f t="shared" si="41"/>
      </c>
    </row>
    <row r="1949" spans="13:13">
      <c r="M1949">
        <f t="shared" si="41"/>
      </c>
    </row>
    <row r="1950" spans="13:13">
      <c r="M1950">
        <f t="shared" si="41"/>
      </c>
    </row>
    <row r="1951" spans="13:13">
      <c r="M1951">
        <f t="shared" si="41"/>
      </c>
    </row>
    <row r="1952" spans="13:13">
      <c r="M1952">
        <f t="shared" si="41"/>
      </c>
    </row>
    <row r="1953" spans="13:13">
      <c r="M1953">
        <f t="shared" si="41"/>
      </c>
    </row>
    <row r="1954" spans="13:13">
      <c r="M1954">
        <f t="shared" si="41"/>
      </c>
    </row>
    <row r="1955" spans="13:13">
      <c r="M1955">
        <f t="shared" si="41"/>
      </c>
    </row>
    <row r="1956" spans="13:13">
      <c r="M1956">
        <f t="shared" si="41"/>
      </c>
    </row>
    <row r="1957" spans="13:13">
      <c r="M1957">
        <f t="shared" si="41"/>
      </c>
    </row>
    <row r="1958" spans="13:13">
      <c r="M1958">
        <f t="shared" si="41"/>
      </c>
    </row>
    <row r="1959" spans="13:13">
      <c r="M1959">
        <f t="shared" si="41"/>
      </c>
    </row>
    <row r="1960" spans="13:13">
      <c r="M1960">
        <f t="shared" si="41"/>
      </c>
    </row>
    <row r="1961" spans="13:13">
      <c r="M1961">
        <f t="shared" si="41"/>
      </c>
    </row>
    <row r="1962" spans="13:13">
      <c r="M1962">
        <f t="shared" si="41"/>
      </c>
    </row>
    <row r="1963" spans="13:13">
      <c r="M1963">
        <f t="shared" si="41"/>
      </c>
    </row>
    <row r="1964" spans="13:13">
      <c r="M1964">
        <f t="shared" si="41"/>
      </c>
    </row>
    <row r="1965" spans="13:13">
      <c r="M1965">
        <f t="shared" si="41"/>
      </c>
    </row>
    <row r="1966" spans="13:13">
      <c r="M1966">
        <f t="shared" si="41"/>
      </c>
    </row>
    <row r="1967" spans="13:13">
      <c r="M1967">
        <f t="shared" si="41"/>
      </c>
    </row>
    <row r="1968" spans="13:13">
      <c r="M1968">
        <f t="shared" si="41"/>
      </c>
    </row>
    <row r="1969" spans="13:13">
      <c r="M1969">
        <f t="shared" si="41"/>
      </c>
    </row>
    <row r="1970" spans="13:13">
      <c r="M1970">
        <f t="shared" si="41"/>
      </c>
    </row>
    <row r="1971" spans="13:13">
      <c r="M1971">
        <f t="shared" si="41"/>
      </c>
    </row>
    <row r="1972" spans="13:13">
      <c r="M1972">
        <f t="shared" si="41"/>
      </c>
    </row>
    <row r="1973" spans="13:13">
      <c r="M1973">
        <f t="shared" si="41"/>
      </c>
    </row>
    <row r="1974" spans="13:13">
      <c r="M1974">
        <f t="shared" si="41"/>
      </c>
    </row>
    <row r="1975" spans="13:13">
      <c r="M1975">
        <f t="shared" si="41"/>
      </c>
    </row>
    <row r="1976" spans="13:13">
      <c r="M1976">
        <f t="shared" si="41"/>
      </c>
    </row>
    <row r="1977" spans="13:13">
      <c r="M1977">
        <f t="shared" si="41"/>
      </c>
    </row>
    <row r="1978" spans="13:13">
      <c r="M1978">
        <f t="shared" si="41"/>
      </c>
    </row>
    <row r="1979" spans="13:13">
      <c r="M1979">
        <f t="shared" si="41"/>
      </c>
    </row>
    <row r="1980" spans="13:13">
      <c r="M1980">
        <f t="shared" si="41"/>
      </c>
    </row>
    <row r="1981" spans="13:13">
      <c r="M1981">
        <f t="shared" si="41"/>
      </c>
    </row>
    <row r="1982" spans="13:13">
      <c r="M1982">
        <f t="shared" si="41"/>
      </c>
    </row>
    <row r="1983" spans="13:13">
      <c r="M1983">
        <f t="shared" si="41"/>
      </c>
    </row>
    <row r="1984" spans="13:13">
      <c r="M1984">
        <f t="shared" si="41"/>
      </c>
    </row>
    <row r="1985" spans="13:13">
      <c r="M1985">
        <f t="shared" si="41"/>
      </c>
    </row>
    <row r="1986" spans="13:13">
      <c r="M1986">
        <f t="shared" si="41"/>
      </c>
    </row>
    <row r="1987" spans="13:13">
      <c r="M1987">
        <f t="shared" si="41"/>
      </c>
    </row>
    <row r="1988" spans="13:13">
      <c r="M1988">
        <f t="shared" si="41"/>
      </c>
    </row>
    <row r="1989" spans="13:13">
      <c r="M1989">
        <f t="shared" ref="M1989:M2000" si="42">IF(A1989="","", WEEKNUM(A1989, 2))</f>
      </c>
    </row>
    <row r="1990" spans="13:13">
      <c r="M1990">
        <f t="shared" si="42"/>
      </c>
    </row>
    <row r="1991" spans="13:13">
      <c r="M1991">
        <f t="shared" si="42"/>
      </c>
    </row>
    <row r="1992" spans="13:13">
      <c r="M1992">
        <f t="shared" si="42"/>
      </c>
    </row>
    <row r="1993" spans="13:13">
      <c r="M1993">
        <f t="shared" si="42"/>
      </c>
    </row>
    <row r="1994" spans="13:13">
      <c r="M1994">
        <f t="shared" si="42"/>
      </c>
    </row>
    <row r="1995" spans="13:13">
      <c r="M1995">
        <f t="shared" si="42"/>
      </c>
    </row>
    <row r="1996" spans="13:13">
      <c r="M1996">
        <f t="shared" si="42"/>
      </c>
    </row>
    <row r="1997" spans="13:13">
      <c r="M1997">
        <f t="shared" si="42"/>
      </c>
    </row>
    <row r="1998" spans="13:13">
      <c r="M1998">
        <f t="shared" si="42"/>
      </c>
    </row>
    <row r="1999" spans="13:13">
      <c r="M1999">
        <f t="shared" si="42"/>
      </c>
    </row>
    <row r="2000" spans="13:13">
      <c r="M2000">
        <f t="shared" si="42"/>
      </c>
    </row>
  </sheetData>
  <mergeCells count="1">
    <mergeCell ref="A1:L1"/>
  </mergeCells>
  <phoneticPr fontId="4" type="noConversion"/>
  <dataValidations count="1">
    <dataValidation type="list" allowBlank="1" showInputMessage="1" showErrorMessage="1" prompt="undefined - undefined" sqref="B24:B50" xr:uid="{7A4A4F92-E7E2-4257-87DC-B5458D7BD175}">
      <formula1>"Entrada,Salida"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conómico no válido" error="undefined" promptTitle="undefined" prompt="undefined" xr:uid="{00000000-0002-0000-0200-000001000000}">
          <x14:formula1>
            <xm:f>Catalogos!$J$4:$J$46</xm:f>
          </x14:formula1>
          <xm:sqref>F5:F1002</xm:sqref>
        </x14:dataValidation>
        <x14:dataValidation type="list" xr:uid="{00000000-0002-0000-0100-000002000000}">
          <x14:formula1>
            <xm:f>Catalogos!$F$4:$F$10</xm:f>
          </x14:formula1>
          <xm:sqref>C5:C208</xm:sqref>
        </x14:dataValidation>
        <x14:dataValidation type="list" xr:uid="{834CDBCF-34BD-403B-97F1-16E0E13303F1}">
          <x14:formula1>
            <xm:f>Catalogos!$F$4:$F$18</xm:f>
          </x14:formula1>
          <xm:sqref>B5:B23 B51:B1048576</xm:sqref>
        </x14:dataValidation>
        <x14:dataValidation type="list" allowBlank="1" showInputMessage="1" showErrorMessage="1" xr:uid="{7B39489D-AAFF-4ADD-AE23-F772E634D747}">
          <x14:formula1>
            <xm:f>Catalogos!$V$4:$V$72</xm:f>
          </x14:formula1>
          <xm:sqref>E5:E1048576</xm:sqref>
        </x14:dataValidation>
        <x14:dataValidation type="list" allowBlank="1" showInputMessage="1" showErrorMessage="1" xr:uid="{557B36D2-5121-4093-B7A1-6AA14553F20E}">
          <x14:formula1>
            <xm:f>Catalogos!$K$4:$K$17</xm:f>
          </x14:formula1>
          <xm:sqref>D5:D1048576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69AA-795E-4FA6-8FD1-89A893D5B352}">
  <sheetPr/>
  <sheetViews>
    <sheetView zoomScale="71" workbookViewId="0">
      <selection activeCell="N234" sqref="N23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64.296875" bestFit="1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  <col min="13" max="13" width="0" hidden="1"/>
  </cols>
  <sheetData>
    <row r="1" spans="1:14" ht="22.35" customHeight="1">
      <c r="A1" t="s" s="25171">
        <v>30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</row>
    <row r="2" spans="1:14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4" ht="27.6">
      <c r="A4" t="s" s="1">
        <v>11</v>
      </c>
      <c r="B4" t="s" s="1">
        <v>0</v>
      </c>
      <c r="C4" t="s" s="1">
        <v>33</v>
      </c>
      <c r="D4" t="s" s="1">
        <v>27</v>
      </c>
      <c r="E4" t="s" s="1">
        <v>28</v>
      </c>
      <c r="F4" t="s" s="1">
        <v>34</v>
      </c>
      <c r="G4" t="s" s="1">
        <v>17</v>
      </c>
      <c r="H4" t="s" s="1">
        <v>18</v>
      </c>
      <c r="I4" t="s" s="1">
        <v>35</v>
      </c>
      <c r="J4" t="s" s="1">
        <v>36</v>
      </c>
      <c r="K4" t="s" s="1">
        <v>19</v>
      </c>
      <c r="M4" t="s">
        <v>408</v>
      </c>
      <c r="N4" t="s">
        <v>410</v>
      </c>
    </row>
    <row r="5" spans="1:14">
      <c r="A5" s="2">
        <v>46181</v>
      </c>
      <c r="B5" t="s">
        <v>1</v>
      </c>
      <c r="C5" t="s">
        <v>51</v>
      </c>
      <c r="D5" t="s">
        <v>85</v>
      </c>
      <c r="E5">
        <f>VLOOKUP(TablaObra[[#This Row],[Equipo]],Catalogos!$V$4:$W$64,2,FALSE)</f>
      </c>
      <c r="F5" s="3">
        <v>30</v>
      </c>
      <c r="G5" s="4">
        <v>27</v>
      </c>
      <c r="H5" s="4">
        <f t="shared" ref="H5:H36" si="0">IFERROR(F5*G5,0)</f>
      </c>
      <c r="M5">
        <v>24</v>
      </c>
      <c r="N5">
        <f>IF(A5="","", "CO-" &amp; IFERROR(VLOOKUP(B5, Catalogos!$Z$4:$AA$20, 2, FALSE), "FOL") &amp; "-" &amp; WEEKNUM(A5,2) &amp; "-" &amp; TEXT(ROW(A1),"000"))</f>
      </c>
    </row>
    <row r="6" spans="1:14">
      <c r="A6" s="2">
        <v>46181</v>
      </c>
      <c r="B6" t="s">
        <v>1</v>
      </c>
      <c r="C6" t="s">
        <v>51</v>
      </c>
      <c r="D6" t="s">
        <v>48</v>
      </c>
      <c r="E6">
        <f>VLOOKUP(TablaObra[[#This Row],[Equipo]],Catalogos!$V$4:$W$64,2,FALSE)</f>
      </c>
      <c r="F6" s="3">
        <v>32</v>
      </c>
      <c r="G6" s="4">
        <v>27</v>
      </c>
      <c r="H6" s="4">
        <f t="shared" si="0"/>
      </c>
      <c r="M6">
        <v>24</v>
      </c>
      <c r="N6">
        <f>IF(A6="","", "CO-" &amp; IFERROR(VLOOKUP(B6, Catalogos!$Z$4:$AA$20, 2, FALSE), "FOL") &amp; "-" &amp; WEEKNUM(A6,2) &amp; "-" &amp; TEXT(ROW(A2),"000"))</f>
      </c>
    </row>
    <row r="7" spans="1:14">
      <c r="A7" s="2">
        <v>46181</v>
      </c>
      <c r="B7" t="s">
        <v>1</v>
      </c>
      <c r="C7" t="s">
        <v>51</v>
      </c>
      <c r="D7" t="s">
        <v>69</v>
      </c>
      <c r="E7">
        <f>VLOOKUP(TablaObra[[#This Row],[Equipo]],Catalogos!$V$4:$W$64,2,FALSE)</f>
      </c>
      <c r="F7" s="3">
        <v>277</v>
      </c>
      <c r="G7" s="4">
        <v>27</v>
      </c>
      <c r="H7" s="4">
        <f t="shared" si="0"/>
      </c>
      <c r="M7">
        <v>24</v>
      </c>
      <c r="N7">
        <f>IF(A7="","", "CO-" &amp; IFERROR(VLOOKUP(B7, Catalogos!$Z$4:$AA$20, 2, FALSE), "FOL") &amp; "-" &amp; WEEKNUM(A7,2) &amp; "-" &amp; TEXT(ROW(A3),"000"))</f>
      </c>
    </row>
    <row r="8" spans="1:14">
      <c r="A8" s="2">
        <v>46181</v>
      </c>
      <c r="B8" t="s">
        <v>1</v>
      </c>
      <c r="C8" t="s">
        <v>51</v>
      </c>
      <c r="D8" t="s">
        <v>56</v>
      </c>
      <c r="E8">
        <f>VLOOKUP(TablaObra[[#This Row],[Equipo]],Catalogos!$V$4:$W$64,2,FALSE)</f>
      </c>
      <c r="F8" s="3">
        <v>30</v>
      </c>
      <c r="G8" s="4">
        <v>27</v>
      </c>
      <c r="H8" s="4">
        <f t="shared" si="0"/>
      </c>
      <c r="M8">
        <v>24</v>
      </c>
      <c r="N8">
        <f>IF(A8="","", "CO-" &amp; IFERROR(VLOOKUP(B8, Catalogos!$Z$4:$AA$20, 2, FALSE), "FOL") &amp; "-" &amp; WEEKNUM(A8,2) &amp; "-" &amp; TEXT(ROW(A4),"000"))</f>
      </c>
    </row>
    <row r="9" spans="1:14">
      <c r="A9" s="2">
        <v>46181</v>
      </c>
      <c r="B9" t="s">
        <v>2</v>
      </c>
      <c r="C9" t="s">
        <v>51</v>
      </c>
      <c r="D9" t="s">
        <v>65</v>
      </c>
      <c r="E9">
        <f>VLOOKUP(TablaObra[[#This Row],[Equipo]],Catalogos!$V$4:$W$64,2,FALSE)</f>
      </c>
      <c r="F9" s="3">
        <v>97</v>
      </c>
      <c r="G9" s="4">
        <v>27</v>
      </c>
      <c r="H9" s="4">
        <f t="shared" si="0"/>
      </c>
      <c r="M9">
        <v>24</v>
      </c>
      <c r="N9">
        <f>IF(A9="","", "CO-" &amp; IFERROR(VLOOKUP(B9, Catalogos!$Z$4:$AA$20, 2, FALSE), "FOL") &amp; "-" &amp; WEEKNUM(A9,2) &amp; "-" &amp; TEXT(ROW(A5),"000"))</f>
      </c>
    </row>
    <row r="10" spans="1:14">
      <c r="A10" s="2">
        <v>46181</v>
      </c>
      <c r="B10" t="s">
        <v>3</v>
      </c>
      <c r="C10" t="s">
        <v>51</v>
      </c>
      <c r="D10" t="s">
        <v>76</v>
      </c>
      <c r="E10">
        <f>VLOOKUP(TablaObra[[#This Row],[Equipo]],Catalogos!$V$4:$W$64,2,FALSE)</f>
      </c>
      <c r="F10" s="3">
        <v>198</v>
      </c>
      <c r="G10" s="4">
        <v>27</v>
      </c>
      <c r="H10" s="4">
        <f t="shared" si="0"/>
      </c>
      <c r="M10">
        <v>24</v>
      </c>
      <c r="N10">
        <f>IF(A10="","", "CO-" &amp; IFERROR(VLOOKUP(B10, Catalogos!$Z$4:$AA$20, 2, FALSE), "FOL") &amp; "-" &amp; WEEKNUM(A10,2) &amp; "-" &amp; TEXT(ROW(A6),"000"))</f>
      </c>
    </row>
    <row r="11" spans="1:14">
      <c r="A11" s="2">
        <v>46181</v>
      </c>
      <c r="B11" t="s">
        <v>3</v>
      </c>
      <c r="C11" t="s">
        <v>51</v>
      </c>
      <c r="D11" t="s">
        <v>96</v>
      </c>
      <c r="E11">
        <f>VLOOKUP(TablaObra[[#This Row],[Equipo]],Catalogos!$V$4:$W$64,2,FALSE)</f>
      </c>
      <c r="F11" s="3">
        <v>10</v>
      </c>
      <c r="G11" s="4">
        <v>27</v>
      </c>
      <c r="H11" s="4">
        <f t="shared" si="0"/>
      </c>
      <c r="M11">
        <v>24</v>
      </c>
      <c r="N11">
        <f>IF(A11="","", "CO-" &amp; IFERROR(VLOOKUP(B11, Catalogos!$Z$4:$AA$20, 2, FALSE), "FOL") &amp; "-" &amp; WEEKNUM(A11,2) &amp; "-" &amp; TEXT(ROW(A7),"000"))</f>
      </c>
    </row>
    <row r="12" spans="1:14">
      <c r="A12" s="2">
        <v>46181</v>
      </c>
      <c r="B12" t="s">
        <v>3</v>
      </c>
      <c r="C12" t="s">
        <v>51</v>
      </c>
      <c r="D12" t="s">
        <v>90</v>
      </c>
      <c r="E12">
        <f>VLOOKUP(TablaObra[[#This Row],[Equipo]],Catalogos!$V$4:$W$64,2,FALSE)</f>
      </c>
      <c r="F12" s="3">
        <v>27</v>
      </c>
      <c r="G12" s="4">
        <v>27</v>
      </c>
      <c r="H12" s="4">
        <f t="shared" si="0"/>
      </c>
      <c r="M12">
        <v>24</v>
      </c>
      <c r="N12">
        <f>IF(A12="","", "CO-" &amp; IFERROR(VLOOKUP(B12, Catalogos!$Z$4:$AA$20, 2, FALSE), "FOL") &amp; "-" &amp; WEEKNUM(A12,2) &amp; "-" &amp; TEXT(ROW(A8),"000"))</f>
      </c>
    </row>
    <row r="13" spans="1:14">
      <c r="A13" s="2">
        <v>46181</v>
      </c>
      <c r="B13" t="s">
        <v>3</v>
      </c>
      <c r="C13" t="s">
        <v>51</v>
      </c>
      <c r="D13" t="s">
        <v>98</v>
      </c>
      <c r="E13">
        <f>VLOOKUP(TablaObra[[#This Row],[Equipo]],Catalogos!$V$4:$W$64,2,FALSE)</f>
      </c>
      <c r="F13" s="3">
        <v>30</v>
      </c>
      <c r="G13" s="4">
        <v>27</v>
      </c>
      <c r="H13" s="4">
        <f t="shared" si="0"/>
      </c>
      <c r="M13">
        <v>24</v>
      </c>
      <c r="N13">
        <f>IF(A13="","", "CO-" &amp; IFERROR(VLOOKUP(B13, Catalogos!$Z$4:$AA$20, 2, FALSE), "FOL") &amp; "-" &amp; WEEKNUM(A13,2) &amp; "-" &amp; TEXT(ROW(A9),"000"))</f>
      </c>
    </row>
    <row r="14" spans="1:14">
      <c r="A14" s="2">
        <v>46181</v>
      </c>
      <c r="B14" t="s">
        <v>3</v>
      </c>
      <c r="C14" t="s">
        <v>51</v>
      </c>
      <c r="D14" t="s">
        <v>81</v>
      </c>
      <c r="E14">
        <f>VLOOKUP(TablaObra[[#This Row],[Equipo]],Catalogos!$V$4:$W$64,2,FALSE)</f>
      </c>
      <c r="F14" s="3">
        <v>40</v>
      </c>
      <c r="G14" s="4">
        <v>27</v>
      </c>
      <c r="H14" s="4">
        <f t="shared" si="0"/>
      </c>
      <c r="M14" s="3">
        <v>24</v>
      </c>
      <c r="N14">
        <f>IF(A14="","", "CO-" &amp; IFERROR(VLOOKUP(B14, Catalogos!$Z$4:$AA$20, 2, FALSE), "FOL") &amp; "-" &amp; WEEKNUM(A14,2) &amp; "-" &amp; TEXT(ROW(A10),"000"))</f>
      </c>
    </row>
    <row r="15" spans="1:14">
      <c r="A15" s="2">
        <v>46181</v>
      </c>
      <c r="B15" t="s">
        <v>3</v>
      </c>
      <c r="C15" t="s">
        <v>51</v>
      </c>
      <c r="D15" t="s">
        <v>86</v>
      </c>
      <c r="E15">
        <f>VLOOKUP(TablaObra[[#This Row],[Equipo]],Catalogos!$V$4:$W$64,2,FALSE)</f>
      </c>
      <c r="F15" s="3">
        <v>120</v>
      </c>
      <c r="G15" s="4">
        <v>27</v>
      </c>
      <c r="H15" s="4">
        <f t="shared" si="0"/>
      </c>
      <c r="M15">
        <v>24</v>
      </c>
      <c r="N15">
        <f>IF(A15="","", "CO-" &amp; IFERROR(VLOOKUP(B15, Catalogos!$Z$4:$AA$20, 2, FALSE), "FOL") &amp; "-" &amp; WEEKNUM(A15,2) &amp; "-" &amp; TEXT(ROW(A11),"000"))</f>
      </c>
    </row>
    <row r="16" spans="1:14">
      <c r="A16" s="2">
        <v>46181</v>
      </c>
      <c r="B16" t="s">
        <v>3</v>
      </c>
      <c r="C16" t="s">
        <v>51</v>
      </c>
      <c r="D16" t="s">
        <v>92</v>
      </c>
      <c r="E16">
        <f>VLOOKUP(TablaObra[[#This Row],[Equipo]],Catalogos!$V$4:$W$64,2,FALSE)</f>
      </c>
      <c r="F16" s="3">
        <v>30</v>
      </c>
      <c r="G16" s="4">
        <v>27</v>
      </c>
      <c r="H16" s="4">
        <f t="shared" si="0"/>
      </c>
      <c r="M16">
        <v>24</v>
      </c>
      <c r="N16">
        <f>IF(A16="","", "CO-" &amp; IFERROR(VLOOKUP(B16, Catalogos!$Z$4:$AA$20, 2, FALSE), "FOL") &amp; "-" &amp; WEEKNUM(A16,2) &amp; "-" &amp; TEXT(ROW(A12),"000"))</f>
      </c>
    </row>
    <row r="17" spans="1:14">
      <c r="A17" s="2">
        <v>46181</v>
      </c>
      <c r="B17" t="s">
        <v>111</v>
      </c>
      <c r="C17" t="s">
        <v>47</v>
      </c>
      <c r="D17" t="s">
        <v>112</v>
      </c>
      <c r="E17">
        <f>VLOOKUP(TablaObra[[#This Row],[Equipo]],Catalogos!$V$4:$W$64,2,FALSE)</f>
      </c>
      <c r="F17" s="3">
        <v>100</v>
      </c>
      <c r="G17" s="4">
        <v>27</v>
      </c>
      <c r="H17" s="4">
        <f t="shared" si="0"/>
      </c>
      <c r="M17">
        <v>24</v>
      </c>
      <c r="N17">
        <f>IF(A17="","", "CO-" &amp; IFERROR(VLOOKUP(B17, Catalogos!$Z$4:$AA$20, 2, FALSE), "FOL") &amp; "-" &amp; WEEKNUM(A17,2) &amp; "-" &amp; TEXT(ROW(A13),"000"))</f>
      </c>
    </row>
    <row r="18" spans="1:14">
      <c r="A18" s="2">
        <v>46181</v>
      </c>
      <c r="B18" t="s">
        <v>400</v>
      </c>
      <c r="C18" t="s">
        <v>47</v>
      </c>
      <c r="D18" t="s">
        <v>112</v>
      </c>
      <c r="E18">
        <f>VLOOKUP(TablaObra[[#This Row],[Equipo]],Catalogos!$V$4:$W$64,2,FALSE)</f>
      </c>
      <c r="F18" s="3">
        <v>200</v>
      </c>
      <c r="G18" s="4">
        <v>27</v>
      </c>
      <c r="H18" s="4">
        <f t="shared" si="0"/>
      </c>
      <c r="M18">
        <v>24</v>
      </c>
      <c r="N18">
        <f>IF(A18="","", "CO-" &amp; IFERROR(VLOOKUP(B18, Catalogos!$Z$4:$AA$20, 2, FALSE), "FOL") &amp; "-" &amp; WEEKNUM(A18,2) &amp; "-" &amp; TEXT(ROW(A14),"000"))</f>
      </c>
    </row>
    <row r="19" spans="1:14">
      <c r="A19" s="2">
        <v>46181</v>
      </c>
      <c r="B19" t="s">
        <v>400</v>
      </c>
      <c r="C19" t="s">
        <v>47</v>
      </c>
      <c r="D19" t="s">
        <v>112</v>
      </c>
      <c r="E19">
        <f>VLOOKUP(TablaObra[[#This Row],[Equipo]],Catalogos!$V$4:$W$64,2,FALSE)</f>
      </c>
      <c r="F19" s="3">
        <v>209</v>
      </c>
      <c r="G19" s="4">
        <v>27</v>
      </c>
      <c r="H19" s="4">
        <f t="shared" si="0"/>
      </c>
      <c r="M19">
        <v>24</v>
      </c>
      <c r="N19">
        <f>IF(A19="","", "CO-" &amp; IFERROR(VLOOKUP(B19, Catalogos!$Z$4:$AA$20, 2, FALSE), "FOL") &amp; "-" &amp; WEEKNUM(A19,2) &amp; "-" &amp; TEXT(ROW(A15),"000"))</f>
      </c>
    </row>
    <row r="20" spans="1:14">
      <c r="A20" s="2">
        <v>46182</v>
      </c>
      <c r="B20" t="s">
        <v>3</v>
      </c>
      <c r="C20" t="s">
        <v>51</v>
      </c>
      <c r="D20" t="s">
        <v>79</v>
      </c>
      <c r="E20">
        <f>VLOOKUP(TablaObra[[#This Row],[Equipo]],Catalogos!$V$4:$W$64,2,FALSE)</f>
      </c>
      <c r="F20" s="3">
        <v>30</v>
      </c>
      <c r="G20" s="4">
        <v>27</v>
      </c>
      <c r="H20" s="4">
        <f t="shared" si="0"/>
      </c>
      <c r="M20">
        <v>24</v>
      </c>
      <c r="N20">
        <f>IF(A20="","", "CO-" &amp; IFERROR(VLOOKUP(B20, Catalogos!$Z$4:$AA$20, 2, FALSE), "FOL") &amp; "-" &amp; WEEKNUM(A20,2) &amp; "-" &amp; TEXT(ROW(A16),"000"))</f>
      </c>
    </row>
    <row r="21" spans="1:14">
      <c r="A21" s="2">
        <v>46182</v>
      </c>
      <c r="B21" t="s">
        <v>3</v>
      </c>
      <c r="C21" t="s">
        <v>51</v>
      </c>
      <c r="D21" t="s">
        <v>83</v>
      </c>
      <c r="E21">
        <f>VLOOKUP(TablaObra[[#This Row],[Equipo]],Catalogos!$V$4:$W$64,2,FALSE)</f>
      </c>
      <c r="F21" s="3">
        <v>100</v>
      </c>
      <c r="G21" s="4">
        <v>27</v>
      </c>
      <c r="H21" s="4">
        <f t="shared" si="0"/>
      </c>
      <c r="M21">
        <v>24</v>
      </c>
      <c r="N21">
        <f>IF(A21="","", "CO-" &amp; IFERROR(VLOOKUP(B21, Catalogos!$Z$4:$AA$20, 2, FALSE), "FOL") &amp; "-" &amp; WEEKNUM(A21,2) &amp; "-" &amp; TEXT(ROW(A17),"000"))</f>
      </c>
    </row>
    <row r="22" spans="1:14">
      <c r="A22" s="2">
        <v>46182</v>
      </c>
      <c r="B22" t="s">
        <v>3</v>
      </c>
      <c r="C22" t="s">
        <v>51</v>
      </c>
      <c r="D22" t="s">
        <v>88</v>
      </c>
      <c r="E22">
        <f>VLOOKUP(TablaObra[[#This Row],[Equipo]],Catalogos!$V$4:$W$64,2,FALSE)</f>
      </c>
      <c r="F22" s="3">
        <v>30</v>
      </c>
      <c r="G22" s="4">
        <v>27</v>
      </c>
      <c r="H22" s="4">
        <f t="shared" si="0"/>
      </c>
      <c r="M22">
        <v>24</v>
      </c>
      <c r="N22">
        <f>IF(A22="","", "CO-" &amp; IFERROR(VLOOKUP(B22, Catalogos!$Z$4:$AA$20, 2, FALSE), "FOL") &amp; "-" &amp; WEEKNUM(A22,2) &amp; "-" &amp; TEXT(ROW(A18),"000"))</f>
      </c>
    </row>
    <row r="23" spans="1:14">
      <c r="A23" s="2">
        <v>46182</v>
      </c>
      <c r="B23" t="s">
        <v>3</v>
      </c>
      <c r="C23" t="s">
        <v>51</v>
      </c>
      <c r="D23" t="s">
        <v>76</v>
      </c>
      <c r="E23">
        <f>VLOOKUP(TablaObra[[#This Row],[Equipo]],Catalogos!$V$4:$W$64,2,FALSE)</f>
      </c>
      <c r="F23" s="3">
        <v>150</v>
      </c>
      <c r="G23" s="4">
        <v>27</v>
      </c>
      <c r="H23" s="4">
        <f t="shared" si="0"/>
      </c>
      <c r="M23">
        <v>24</v>
      </c>
      <c r="N23">
        <f>IF(A23="","", "CO-" &amp; IFERROR(VLOOKUP(B23, Catalogos!$Z$4:$AA$20, 2, FALSE), "FOL") &amp; "-" &amp; WEEKNUM(A23,2) &amp; "-" &amp; TEXT(ROW(A19),"000"))</f>
      </c>
    </row>
    <row r="24" spans="1:14">
      <c r="A24" s="2">
        <v>46182</v>
      </c>
      <c r="B24" t="s">
        <v>3</v>
      </c>
      <c r="C24" t="s">
        <v>51</v>
      </c>
      <c r="D24" t="s">
        <v>92</v>
      </c>
      <c r="E24">
        <f>VLOOKUP(TablaObra[[#This Row],[Equipo]],Catalogos!$V$4:$W$64,2,FALSE)</f>
      </c>
      <c r="F24" s="3">
        <v>50</v>
      </c>
      <c r="G24" s="4">
        <v>27</v>
      </c>
      <c r="H24" s="4">
        <f t="shared" si="0"/>
      </c>
      <c r="M24">
        <v>24</v>
      </c>
      <c r="N24">
        <f>IF(A24="","", "CO-" &amp; IFERROR(VLOOKUP(B24, Catalogos!$Z$4:$AA$20, 2, FALSE), "FOL") &amp; "-" &amp; WEEKNUM(A24,2) &amp; "-" &amp; TEXT(ROW(A20),"000"))</f>
      </c>
    </row>
    <row r="25" spans="1:14">
      <c r="A25" s="2">
        <v>46182</v>
      </c>
      <c r="B25" t="s">
        <v>3</v>
      </c>
      <c r="C25" t="s">
        <v>51</v>
      </c>
      <c r="D25" t="s">
        <v>86</v>
      </c>
      <c r="E25">
        <f>VLOOKUP(TablaObra[[#This Row],[Equipo]],Catalogos!$V$4:$W$64,2,FALSE)</f>
      </c>
      <c r="F25" s="3">
        <v>136</v>
      </c>
      <c r="G25" s="4">
        <v>27</v>
      </c>
      <c r="H25" s="4">
        <f t="shared" si="0"/>
      </c>
      <c r="M25">
        <v>24</v>
      </c>
      <c r="N25">
        <f>IF(A25="","", "CO-" &amp; IFERROR(VLOOKUP(B25, Catalogos!$Z$4:$AA$20, 2, FALSE), "FOL") &amp; "-" &amp; WEEKNUM(A25,2) &amp; "-" &amp; TEXT(ROW(A21),"000"))</f>
      </c>
    </row>
    <row r="26" spans="1:14">
      <c r="A26" s="2">
        <v>46182</v>
      </c>
      <c r="B26" t="s">
        <v>3</v>
      </c>
      <c r="C26" t="s">
        <v>51</v>
      </c>
      <c r="D26" t="s">
        <v>88</v>
      </c>
      <c r="E26">
        <f>VLOOKUP(TablaObra[[#This Row],[Equipo]],Catalogos!$V$4:$W$64,2,FALSE)</f>
      </c>
      <c r="F26" s="3">
        <v>30</v>
      </c>
      <c r="G26" s="4">
        <v>27</v>
      </c>
      <c r="H26" s="4">
        <f t="shared" si="0"/>
      </c>
      <c r="M26">
        <v>24</v>
      </c>
      <c r="N26">
        <f>IF(A26="","", "CO-" &amp; IFERROR(VLOOKUP(B26, Catalogos!$Z$4:$AA$20, 2, FALSE), "FOL") &amp; "-" &amp; WEEKNUM(A26,2) &amp; "-" &amp; TEXT(ROW(A22),"000"))</f>
      </c>
    </row>
    <row r="27" spans="1:14">
      <c r="A27" s="2">
        <v>46182</v>
      </c>
      <c r="B27" t="s">
        <v>3</v>
      </c>
      <c r="C27" t="s">
        <v>51</v>
      </c>
      <c r="D27" t="s">
        <v>85</v>
      </c>
      <c r="E27">
        <f>VLOOKUP(TablaObra[[#This Row],[Equipo]],Catalogos!$V$4:$W$64,2,FALSE)</f>
      </c>
      <c r="F27" s="3">
        <v>30</v>
      </c>
      <c r="G27" s="4">
        <v>27</v>
      </c>
      <c r="H27" s="4">
        <f t="shared" si="0"/>
      </c>
      <c r="M27">
        <v>24</v>
      </c>
      <c r="N27">
        <f>IF(A27="","", "CO-" &amp; IFERROR(VLOOKUP(B27, Catalogos!$Z$4:$AA$20, 2, FALSE), "FOL") &amp; "-" &amp; WEEKNUM(A27,2) &amp; "-" &amp; TEXT(ROW(A23),"000"))</f>
      </c>
    </row>
    <row r="28" spans="1:14">
      <c r="A28" s="2">
        <v>46182</v>
      </c>
      <c r="B28" t="s">
        <v>3</v>
      </c>
      <c r="C28" t="s">
        <v>51</v>
      </c>
      <c r="D28" t="s">
        <v>83</v>
      </c>
      <c r="E28">
        <f>VLOOKUP(TablaObra[[#This Row],[Equipo]],Catalogos!$V$4:$W$64,2,FALSE)</f>
      </c>
      <c r="F28" s="3">
        <v>100</v>
      </c>
      <c r="G28" s="4">
        <v>27</v>
      </c>
      <c r="H28" s="4">
        <f t="shared" si="0"/>
      </c>
      <c r="M28">
        <v>24</v>
      </c>
      <c r="N28">
        <f>IF(A28="","", "CO-" &amp; IFERROR(VLOOKUP(B28, Catalogos!$Z$4:$AA$20, 2, FALSE), "FOL") &amp; "-" &amp; WEEKNUM(A28,2) &amp; "-" &amp; TEXT(ROW(A24),"000"))</f>
      </c>
    </row>
    <row r="29" spans="1:14">
      <c r="A29" s="2">
        <v>46182</v>
      </c>
      <c r="B29" t="s">
        <v>3</v>
      </c>
      <c r="C29" t="s">
        <v>51</v>
      </c>
      <c r="D29" t="s">
        <v>81</v>
      </c>
      <c r="E29">
        <f>VLOOKUP(TablaObra[[#This Row],[Equipo]],Catalogos!$V$4:$W$64,2,FALSE)</f>
      </c>
      <c r="F29" s="3">
        <v>60</v>
      </c>
      <c r="G29" s="4">
        <v>27</v>
      </c>
      <c r="H29" s="4">
        <f t="shared" si="0"/>
      </c>
      <c r="M29">
        <v>24</v>
      </c>
      <c r="N29">
        <f>IF(A29="","", "CO-" &amp; IFERROR(VLOOKUP(B29, Catalogos!$Z$4:$AA$20, 2, FALSE), "FOL") &amp; "-" &amp; WEEKNUM(A29,2) &amp; "-" &amp; TEXT(ROW(A25),"000"))</f>
      </c>
    </row>
    <row r="30" spans="1:14">
      <c r="A30" s="2">
        <v>46182</v>
      </c>
      <c r="B30" t="s">
        <v>3</v>
      </c>
      <c r="C30" t="s">
        <v>51</v>
      </c>
      <c r="D30" t="s">
        <v>98</v>
      </c>
      <c r="E30">
        <f>VLOOKUP(TablaObra[[#This Row],[Equipo]],Catalogos!$V$4:$W$64,2,FALSE)</f>
      </c>
      <c r="F30" s="3">
        <v>20</v>
      </c>
      <c r="G30" s="4">
        <v>27</v>
      </c>
      <c r="H30" s="4">
        <f t="shared" si="0"/>
      </c>
      <c r="M30">
        <v>24</v>
      </c>
      <c r="N30">
        <f>IF(A30="","", "CO-" &amp; IFERROR(VLOOKUP(B30, Catalogos!$Z$4:$AA$20, 2, FALSE), "FOL") &amp; "-" &amp; WEEKNUM(A30,2) &amp; "-" &amp; TEXT(ROW(A26),"000"))</f>
      </c>
    </row>
    <row r="31" spans="1:14">
      <c r="A31" s="2">
        <v>46182</v>
      </c>
      <c r="B31" t="s">
        <v>2</v>
      </c>
      <c r="C31" t="s">
        <v>47</v>
      </c>
      <c r="D31" t="s">
        <v>56</v>
      </c>
      <c r="E31">
        <f>VLOOKUP(TablaObra[[#This Row],[Equipo]],Catalogos!$V$4:$W$64,2,FALSE)</f>
      </c>
      <c r="F31" s="3">
        <v>70</v>
      </c>
      <c r="G31" s="4">
        <v>27</v>
      </c>
      <c r="H31" s="4">
        <f t="shared" si="0"/>
      </c>
      <c r="M31">
        <v>24</v>
      </c>
      <c r="N31">
        <f>IF(A31="","", "CO-" &amp; IFERROR(VLOOKUP(B31, Catalogos!$Z$4:$AA$20, 2, FALSE), "FOL") &amp; "-" &amp; WEEKNUM(A31,2) &amp; "-" &amp; TEXT(ROW(A27),"000"))</f>
      </c>
    </row>
    <row r="32" spans="1:14">
      <c r="A32" s="2">
        <v>46182</v>
      </c>
      <c r="B32" t="s">
        <v>2</v>
      </c>
      <c r="C32" t="s">
        <v>47</v>
      </c>
      <c r="D32" t="s">
        <v>104</v>
      </c>
      <c r="E32">
        <f>VLOOKUP(TablaObra[[#This Row],[Equipo]],Catalogos!$V$4:$W$64,2,FALSE)</f>
      </c>
      <c r="F32" s="3">
        <v>50</v>
      </c>
      <c r="G32" s="4">
        <v>27</v>
      </c>
      <c r="H32" s="4">
        <f t="shared" si="0"/>
      </c>
      <c r="M32">
        <v>24</v>
      </c>
      <c r="N32">
        <f>IF(A32="","", "CO-" &amp; IFERROR(VLOOKUP(B32, Catalogos!$Z$4:$AA$20, 2, FALSE), "FOL") &amp; "-" &amp; WEEKNUM(A32,2) &amp; "-" &amp; TEXT(ROW(A28),"000"))</f>
      </c>
    </row>
    <row r="33" spans="1:14">
      <c r="A33" s="2">
        <v>46182</v>
      </c>
      <c r="B33" t="s">
        <v>2</v>
      </c>
      <c r="C33" t="s">
        <v>47</v>
      </c>
      <c r="D33" t="s">
        <v>60</v>
      </c>
      <c r="E33">
        <f>VLOOKUP(TablaObra[[#This Row],[Equipo]],Catalogos!$V$4:$W$64,2,FALSE)</f>
      </c>
      <c r="F33" s="3">
        <v>60</v>
      </c>
      <c r="G33" s="4">
        <v>27</v>
      </c>
      <c r="H33" s="4">
        <f t="shared" si="0"/>
      </c>
      <c r="M33">
        <v>24</v>
      </c>
      <c r="N33">
        <f>IF(A33="","", "CO-" &amp; IFERROR(VLOOKUP(B33, Catalogos!$Z$4:$AA$20, 2, FALSE), "FOL") &amp; "-" &amp; WEEKNUM(A33,2) &amp; "-" &amp; TEXT(ROW(A29),"000"))</f>
      </c>
    </row>
    <row r="34" spans="1:14">
      <c r="A34" s="2">
        <v>46183</v>
      </c>
      <c r="B34" t="s">
        <v>1</v>
      </c>
      <c r="C34" t="s">
        <v>51</v>
      </c>
      <c r="D34" t="s">
        <v>70</v>
      </c>
      <c r="E34">
        <f>VLOOKUP(TablaObra[[#This Row],[Equipo]],Catalogos!$V$4:$W$64,2,FALSE)</f>
      </c>
      <c r="F34" s="3">
        <v>20</v>
      </c>
      <c r="G34" s="4">
        <v>27</v>
      </c>
      <c r="H34" s="4">
        <f t="shared" si="0"/>
      </c>
      <c r="M34">
        <v>24</v>
      </c>
      <c r="N34">
        <f>IF(A34="","", "CO-" &amp; IFERROR(VLOOKUP(B34, Catalogos!$Z$4:$AA$20, 2, FALSE), "FOL") &amp; "-" &amp; WEEKNUM(A34,2) &amp; "-" &amp; TEXT(ROW(A30),"000"))</f>
      </c>
    </row>
    <row r="35" spans="1:14">
      <c r="A35" s="2">
        <v>46183</v>
      </c>
      <c r="B35" t="s">
        <v>1</v>
      </c>
      <c r="C35" t="s">
        <v>51</v>
      </c>
      <c r="D35" t="s">
        <v>69</v>
      </c>
      <c r="E35">
        <f>VLOOKUP(TablaObra[[#This Row],[Equipo]],Catalogos!$V$4:$W$64,2,FALSE)</f>
      </c>
      <c r="F35" s="3">
        <v>250</v>
      </c>
      <c r="G35" s="4">
        <v>27</v>
      </c>
      <c r="H35" s="4">
        <f t="shared" si="0"/>
      </c>
      <c r="M35">
        <v>24</v>
      </c>
      <c r="N35">
        <f>IF(A35="","", "CO-" &amp; IFERROR(VLOOKUP(B35, Catalogos!$Z$4:$AA$20, 2, FALSE), "FOL") &amp; "-" &amp; WEEKNUM(A35,2) &amp; "-" &amp; TEXT(ROW(A31),"000"))</f>
      </c>
    </row>
    <row r="36" spans="1:14">
      <c r="A36" s="2">
        <v>46183</v>
      </c>
      <c r="B36" t="s">
        <v>1</v>
      </c>
      <c r="C36" t="s">
        <v>51</v>
      </c>
      <c r="D36" t="s">
        <v>56</v>
      </c>
      <c r="E36">
        <f>VLOOKUP(TablaObra[[#This Row],[Equipo]],Catalogos!$V$4:$W$64,2,FALSE)</f>
      </c>
      <c r="F36" s="3">
        <v>30</v>
      </c>
      <c r="G36" s="4">
        <v>27</v>
      </c>
      <c r="H36" s="4">
        <f t="shared" si="0"/>
      </c>
      <c r="M36">
        <v>24</v>
      </c>
      <c r="N36">
        <f>IF(A36="","", "CO-" &amp; IFERROR(VLOOKUP(B36, Catalogos!$Z$4:$AA$20, 2, FALSE), "FOL") &amp; "-" &amp; WEEKNUM(A36,2) &amp; "-" &amp; TEXT(ROW(A32),"000"))</f>
      </c>
    </row>
    <row r="37" spans="1:14">
      <c r="A37" s="2">
        <v>46183</v>
      </c>
      <c r="B37" t="s">
        <v>111</v>
      </c>
      <c r="C37" t="s">
        <v>47</v>
      </c>
      <c r="D37" t="s">
        <v>112</v>
      </c>
      <c r="E37">
        <f>VLOOKUP(TablaObra[[#This Row],[Equipo]],Catalogos!$V$4:$W$64,2,FALSE)</f>
      </c>
      <c r="F37" s="3">
        <v>100</v>
      </c>
      <c r="G37" s="4">
        <v>27</v>
      </c>
      <c r="H37" s="4">
        <f t="shared" ref="H37:H68" si="1">IFERROR(F37*G37,0)</f>
      </c>
      <c r="M37">
        <v>24</v>
      </c>
      <c r="N37">
        <f>IF(A37="","", "CO-" &amp; IFERROR(VLOOKUP(B37, Catalogos!$Z$4:$AA$20, 2, FALSE), "FOL") &amp; "-" &amp; WEEKNUM(A37,2) &amp; "-" &amp; TEXT(ROW(A33),"000"))</f>
      </c>
    </row>
    <row r="38" spans="1:14">
      <c r="A38" s="2">
        <v>46184</v>
      </c>
      <c r="B38" t="s">
        <v>1</v>
      </c>
      <c r="C38" t="s">
        <v>51</v>
      </c>
      <c r="D38" t="s">
        <v>48</v>
      </c>
      <c r="E38">
        <f>VLOOKUP(TablaObra[[#This Row],[Equipo]],Catalogos!$V$4:$W$64,2,FALSE)</f>
      </c>
      <c r="F38" s="3">
        <v>30</v>
      </c>
      <c r="G38" s="4">
        <v>27</v>
      </c>
      <c r="H38" s="4">
        <f t="shared" si="1"/>
      </c>
      <c r="K38" t="s">
        <v>126</v>
      </c>
      <c r="M38">
        <v>24</v>
      </c>
      <c r="N38">
        <f>IF(A38="","", "CO-" &amp; IFERROR(VLOOKUP(B38, Catalogos!$Z$4:$AA$20, 2, FALSE), "FOL") &amp; "-" &amp; WEEKNUM(A38,2) &amp; "-" &amp; TEXT(ROW(A34),"000"))</f>
      </c>
    </row>
    <row r="39" spans="1:14">
      <c r="A39" s="2">
        <v>46184</v>
      </c>
      <c r="B39" t="s">
        <v>1</v>
      </c>
      <c r="C39" t="s">
        <v>51</v>
      </c>
      <c r="D39" t="s">
        <v>85</v>
      </c>
      <c r="E39">
        <f>VLOOKUP(TablaObra[[#This Row],[Equipo]],Catalogos!$V$4:$W$64,2,FALSE)</f>
      </c>
      <c r="F39" s="3">
        <v>30</v>
      </c>
      <c r="G39" s="4">
        <v>27</v>
      </c>
      <c r="H39" s="4">
        <f t="shared" si="1"/>
      </c>
      <c r="K39" t="s">
        <v>126</v>
      </c>
      <c r="M39">
        <v>24</v>
      </c>
      <c r="N39">
        <f>IF(A39="","", "CO-" &amp; IFERROR(VLOOKUP(B39, Catalogos!$Z$4:$AA$20, 2, FALSE), "FOL") &amp; "-" &amp; WEEKNUM(A39,2) &amp; "-" &amp; TEXT(ROW(A35),"000"))</f>
      </c>
    </row>
    <row r="40" spans="1:14">
      <c r="A40" s="2">
        <v>46184</v>
      </c>
      <c r="B40" t="s">
        <v>1</v>
      </c>
      <c r="C40" t="s">
        <v>51</v>
      </c>
      <c r="D40" t="s">
        <v>65</v>
      </c>
      <c r="E40">
        <f>VLOOKUP(TablaObra[[#This Row],[Equipo]],Catalogos!$V$4:$W$64,2,FALSE)</f>
      </c>
      <c r="F40" s="3">
        <v>136</v>
      </c>
      <c r="G40" s="4">
        <v>27</v>
      </c>
      <c r="H40" s="4">
        <f t="shared" si="1"/>
      </c>
      <c r="K40" t="s">
        <v>126</v>
      </c>
      <c r="M40">
        <v>24</v>
      </c>
      <c r="N40">
        <f>IF(A40="","", "CO-" &amp; IFERROR(VLOOKUP(B40, Catalogos!$Z$4:$AA$20, 2, FALSE), "FOL") &amp; "-" &amp; WEEKNUM(A40,2) &amp; "-" &amp; TEXT(ROW(A36),"000"))</f>
      </c>
    </row>
    <row r="41" spans="1:14">
      <c r="A41" s="2">
        <v>46184</v>
      </c>
      <c r="B41" t="s">
        <v>1</v>
      </c>
      <c r="C41" t="s">
        <v>51</v>
      </c>
      <c r="D41" t="s">
        <v>70</v>
      </c>
      <c r="E41">
        <f>VLOOKUP(TablaObra[[#This Row],[Equipo]],Catalogos!$V$4:$W$64,2,FALSE)</f>
      </c>
      <c r="F41" s="3">
        <v>20</v>
      </c>
      <c r="G41" s="4">
        <v>27</v>
      </c>
      <c r="H41" s="4">
        <f t="shared" si="1"/>
      </c>
      <c r="K41" t="s">
        <v>126</v>
      </c>
      <c r="M41">
        <v>24</v>
      </c>
      <c r="N41">
        <f>IF(A41="","", "CO-" &amp; IFERROR(VLOOKUP(B41, Catalogos!$Z$4:$AA$20, 2, FALSE), "FOL") &amp; "-" &amp; WEEKNUM(A41,2) &amp; "-" &amp; TEXT(ROW(A37),"000"))</f>
      </c>
    </row>
    <row r="42" spans="1:14">
      <c r="A42" s="2">
        <v>46184</v>
      </c>
      <c r="B42" t="s">
        <v>1</v>
      </c>
      <c r="C42" t="s">
        <v>51</v>
      </c>
      <c r="D42" t="s">
        <v>56</v>
      </c>
      <c r="E42">
        <f>VLOOKUP(TablaObra[[#This Row],[Equipo]],Catalogos!$V$4:$W$64,2,FALSE)</f>
      </c>
      <c r="F42" s="3">
        <v>20</v>
      </c>
      <c r="G42" s="4">
        <v>27</v>
      </c>
      <c r="H42" s="4">
        <f t="shared" si="1"/>
      </c>
      <c r="K42" t="s">
        <v>126</v>
      </c>
      <c r="M42">
        <v>24</v>
      </c>
      <c r="N42">
        <f>IF(A42="","", "CO-" &amp; IFERROR(VLOOKUP(B42, Catalogos!$Z$4:$AA$20, 2, FALSE), "FOL") &amp; "-" &amp; WEEKNUM(A42,2) &amp; "-" &amp; TEXT(ROW(A38),"000"))</f>
      </c>
    </row>
    <row r="43" spans="1:14">
      <c r="A43" s="2">
        <v>46184</v>
      </c>
      <c r="B43" t="s">
        <v>1</v>
      </c>
      <c r="C43" t="s">
        <v>51</v>
      </c>
      <c r="D43" t="s">
        <v>96</v>
      </c>
      <c r="E43">
        <f>VLOOKUP(TablaObra[[#This Row],[Equipo]],Catalogos!$V$4:$W$64,2,FALSE)</f>
      </c>
      <c r="F43" s="3">
        <v>20</v>
      </c>
      <c r="G43" s="4">
        <v>27</v>
      </c>
      <c r="H43" s="4">
        <f t="shared" si="1"/>
      </c>
      <c r="K43" t="s">
        <v>126</v>
      </c>
      <c r="M43">
        <v>24</v>
      </c>
      <c r="N43">
        <f>IF(A43="","", "CO-" &amp; IFERROR(VLOOKUP(B43, Catalogos!$Z$4:$AA$20, 2, FALSE), "FOL") &amp; "-" &amp; WEEKNUM(A43,2) &amp; "-" &amp; TEXT(ROW(A39),"000"))</f>
      </c>
    </row>
    <row r="44" spans="1:14">
      <c r="A44" s="2">
        <v>46184</v>
      </c>
      <c r="B44" t="s">
        <v>400</v>
      </c>
      <c r="C44" t="s">
        <v>47</v>
      </c>
      <c r="D44" t="s">
        <v>117</v>
      </c>
      <c r="E44">
        <f>VLOOKUP(TablaObra[[#This Row],[Equipo]],Catalogos!$V$4:$W$64,2,FALSE)</f>
      </c>
      <c r="F44" s="3">
        <v>238</v>
      </c>
      <c r="G44" s="4">
        <v>27</v>
      </c>
      <c r="H44" s="4">
        <f t="shared" si="1"/>
      </c>
      <c r="M44">
        <v>24</v>
      </c>
      <c r="N44">
        <f>IF(A44="","", "CO-" &amp; IFERROR(VLOOKUP(B44, Catalogos!$Z$4:$AA$20, 2, FALSE), "FOL") &amp; "-" &amp; WEEKNUM(A44,2) &amp; "-" &amp; TEXT(ROW(A40),"000"))</f>
      </c>
    </row>
    <row r="45" spans="1:14">
      <c r="A45" s="2">
        <v>46184</v>
      </c>
      <c r="B45" t="s">
        <v>2</v>
      </c>
      <c r="C45" t="s">
        <v>47</v>
      </c>
      <c r="D45" t="s">
        <v>60</v>
      </c>
      <c r="E45">
        <f>VLOOKUP(TablaObra[[#This Row],[Equipo]],Catalogos!$V$4:$W$64,2,FALSE)</f>
      </c>
      <c r="F45" s="3">
        <v>80</v>
      </c>
      <c r="G45" s="4">
        <v>27</v>
      </c>
      <c r="H45" s="4">
        <f t="shared" si="1"/>
      </c>
      <c r="M45">
        <v>24</v>
      </c>
      <c r="N45">
        <f>IF(A45="","", "CO-" &amp; IFERROR(VLOOKUP(B45, Catalogos!$Z$4:$AA$20, 2, FALSE), "FOL") &amp; "-" &amp; WEEKNUM(A45,2) &amp; "-" &amp; TEXT(ROW(A41),"000"))</f>
      </c>
    </row>
    <row r="46" spans="1:14">
      <c r="A46" s="2">
        <v>46184</v>
      </c>
      <c r="B46" t="s">
        <v>2</v>
      </c>
      <c r="C46" t="s">
        <v>47</v>
      </c>
      <c r="D46" t="s">
        <v>98</v>
      </c>
      <c r="E46">
        <f>VLOOKUP(TablaObra[[#This Row],[Equipo]],Catalogos!$V$4:$W$64,2,FALSE)</f>
      </c>
      <c r="F46" s="3">
        <v>50</v>
      </c>
      <c r="G46" s="4">
        <v>27</v>
      </c>
      <c r="H46" s="4">
        <f t="shared" si="1"/>
      </c>
      <c r="M46">
        <v>24</v>
      </c>
      <c r="N46">
        <f>IF(A46="","", "CO-" &amp; IFERROR(VLOOKUP(B46, Catalogos!$Z$4:$AA$20, 2, FALSE), "FOL") &amp; "-" &amp; WEEKNUM(A46,2) &amp; "-" &amp; TEXT(ROW(A42),"000"))</f>
      </c>
    </row>
    <row r="47" spans="1:14">
      <c r="A47" s="2">
        <v>46184</v>
      </c>
      <c r="B47" t="s">
        <v>2</v>
      </c>
      <c r="C47" t="s">
        <v>47</v>
      </c>
      <c r="D47" t="s">
        <v>56</v>
      </c>
      <c r="E47">
        <f>VLOOKUP(TablaObra[[#This Row],[Equipo]],Catalogos!$V$4:$W$64,2,FALSE)</f>
      </c>
      <c r="F47" s="3">
        <v>70</v>
      </c>
      <c r="G47" s="4">
        <v>27</v>
      </c>
      <c r="H47" s="4">
        <f t="shared" si="1"/>
      </c>
      <c r="M47">
        <v>24</v>
      </c>
      <c r="N47">
        <f>IF(A47="","", "CO-" &amp; IFERROR(VLOOKUP(B47, Catalogos!$Z$4:$AA$20, 2, FALSE), "FOL") &amp; "-" &amp; WEEKNUM(A47,2) &amp; "-" &amp; TEXT(ROW(A43),"000"))</f>
      </c>
    </row>
    <row r="48" spans="1:14">
      <c r="A48" s="2">
        <v>46184</v>
      </c>
      <c r="B48" t="s">
        <v>2</v>
      </c>
      <c r="C48" t="s">
        <v>47</v>
      </c>
      <c r="D48" t="s">
        <v>94</v>
      </c>
      <c r="E48">
        <f>VLOOKUP(TablaObra[[#This Row],[Equipo]],Catalogos!$V$4:$W$64,2,FALSE)</f>
      </c>
      <c r="F48" s="3">
        <v>80</v>
      </c>
      <c r="G48" s="4">
        <v>27</v>
      </c>
      <c r="H48" s="4">
        <f t="shared" si="1"/>
      </c>
      <c r="M48">
        <v>24</v>
      </c>
      <c r="N48">
        <f>IF(A48="","", "CO-" &amp; IFERROR(VLOOKUP(B48, Catalogos!$Z$4:$AA$20, 2, FALSE), "FOL") &amp; "-" &amp; WEEKNUM(A48,2) &amp; "-" &amp; TEXT(ROW(A44),"000"))</f>
      </c>
    </row>
    <row r="49" spans="1:14">
      <c r="A49" s="2">
        <v>46184</v>
      </c>
      <c r="B49" t="s">
        <v>2</v>
      </c>
      <c r="C49" t="s">
        <v>47</v>
      </c>
      <c r="D49" t="s">
        <v>65</v>
      </c>
      <c r="E49">
        <f>VLOOKUP(TablaObra[[#This Row],[Equipo]],Catalogos!$V$4:$W$64,2,FALSE)</f>
      </c>
      <c r="F49" s="3">
        <v>185</v>
      </c>
      <c r="G49" s="4">
        <v>27</v>
      </c>
      <c r="H49" s="4">
        <f t="shared" si="1"/>
      </c>
      <c r="M49">
        <v>24</v>
      </c>
      <c r="N49">
        <f>IF(A49="","", "CO-" &amp; IFERROR(VLOOKUP(B49, Catalogos!$Z$4:$AA$20, 2, FALSE), "FOL") &amp; "-" &amp; WEEKNUM(A49,2) &amp; "-" &amp; TEXT(ROW(A45),"000"))</f>
      </c>
    </row>
    <row r="50" spans="1:14">
      <c r="A50" s="2">
        <v>46184</v>
      </c>
      <c r="B50" t="s">
        <v>2</v>
      </c>
      <c r="C50" t="s">
        <v>47</v>
      </c>
      <c r="D50" t="s">
        <v>104</v>
      </c>
      <c r="E50">
        <f>VLOOKUP(TablaObra[[#This Row],[Equipo]],Catalogos!$V$4:$W$64,2,FALSE)</f>
      </c>
      <c r="F50" s="3">
        <v>50</v>
      </c>
      <c r="G50" s="4">
        <v>27</v>
      </c>
      <c r="H50" s="4">
        <f t="shared" si="1"/>
      </c>
      <c r="M50">
        <v>24</v>
      </c>
      <c r="N50">
        <f>IF(A50="","", "CO-" &amp; IFERROR(VLOOKUP(B50, Catalogos!$Z$4:$AA$20, 2, FALSE), "FOL") &amp; "-" &amp; WEEKNUM(A50,2) &amp; "-" &amp; TEXT(ROW(A46),"000"))</f>
      </c>
    </row>
    <row r="51" spans="1:14">
      <c r="A51" s="2">
        <v>46184</v>
      </c>
      <c r="B51" t="s">
        <v>2</v>
      </c>
      <c r="C51" t="s">
        <v>47</v>
      </c>
      <c r="D51" t="s">
        <v>104</v>
      </c>
      <c r="E51">
        <f>VLOOKUP(TablaObra[[#This Row],[Equipo]],Catalogos!$V$4:$W$64,2,FALSE)</f>
      </c>
      <c r="F51" s="3">
        <v>40</v>
      </c>
      <c r="G51" s="4">
        <v>27</v>
      </c>
      <c r="H51" s="4">
        <f t="shared" si="1"/>
      </c>
      <c r="M51">
        <v>24</v>
      </c>
      <c r="N51">
        <f>IF(A51="","", "CO-" &amp; IFERROR(VLOOKUP(B51, Catalogos!$Z$4:$AA$20, 2, FALSE), "FOL") &amp; "-" &amp; WEEKNUM(A51,2) &amp; "-" &amp; TEXT(ROW(A47),"000"))</f>
      </c>
    </row>
    <row r="52" spans="1:14">
      <c r="A52" s="2">
        <v>46184</v>
      </c>
      <c r="B52" t="s">
        <v>2</v>
      </c>
      <c r="C52" t="s">
        <v>47</v>
      </c>
      <c r="D52" t="s">
        <v>85</v>
      </c>
      <c r="E52">
        <f>VLOOKUP(TablaObra[[#This Row],[Equipo]],Catalogos!$V$4:$W$64,2,FALSE)</f>
      </c>
      <c r="F52" s="3">
        <v>40</v>
      </c>
      <c r="G52" s="4">
        <v>27</v>
      </c>
      <c r="H52" s="4">
        <f t="shared" si="1"/>
      </c>
      <c r="M52">
        <v>24</v>
      </c>
      <c r="N52">
        <f>IF(A52="","", "CO-" &amp; IFERROR(VLOOKUP(B52, Catalogos!$Z$4:$AA$20, 2, FALSE), "FOL") &amp; "-" &amp; WEEKNUM(A52,2) &amp; "-" &amp; TEXT(ROW(A48),"000"))</f>
      </c>
    </row>
    <row r="53" spans="1:14">
      <c r="A53" s="2">
        <v>46185</v>
      </c>
      <c r="B53" t="s">
        <v>3</v>
      </c>
      <c r="C53" t="s">
        <v>51</v>
      </c>
      <c r="D53" t="s">
        <v>88</v>
      </c>
      <c r="E53">
        <f>VLOOKUP(TablaObra[[#This Row],[Equipo]],Catalogos!$V$4:$W$64,2,FALSE)</f>
      </c>
      <c r="F53" s="3">
        <v>32</v>
      </c>
      <c r="G53" s="4">
        <v>27</v>
      </c>
      <c r="H53" s="4">
        <f t="shared" si="1"/>
      </c>
      <c r="M53">
        <v>24</v>
      </c>
      <c r="N53">
        <f>IF(A53="","", "CO-" &amp; IFERROR(VLOOKUP(B53, Catalogos!$Z$4:$AA$20, 2, FALSE), "FOL") &amp; "-" &amp; WEEKNUM(A53,2) &amp; "-" &amp; TEXT(ROW(A49),"000"))</f>
      </c>
    </row>
    <row r="54" spans="1:14">
      <c r="A54" s="2">
        <v>46185</v>
      </c>
      <c r="B54" t="s">
        <v>3</v>
      </c>
      <c r="C54" t="s">
        <v>51</v>
      </c>
      <c r="D54" t="s">
        <v>90</v>
      </c>
      <c r="E54">
        <f>VLOOKUP(TablaObra[[#This Row],[Equipo]],Catalogos!$V$4:$W$64,2,FALSE)</f>
      </c>
      <c r="F54" s="3">
        <v>30</v>
      </c>
      <c r="G54" s="4">
        <v>27</v>
      </c>
      <c r="H54" s="4">
        <f t="shared" si="1"/>
      </c>
      <c r="M54">
        <v>24</v>
      </c>
      <c r="N54">
        <f>IF(A54="","", "CO-" &amp; IFERROR(VLOOKUP(B54, Catalogos!$Z$4:$AA$20, 2, FALSE), "FOL") &amp; "-" &amp; WEEKNUM(A54,2) &amp; "-" &amp; TEXT(ROW(A50),"000"))</f>
      </c>
    </row>
    <row r="55" spans="1:14">
      <c r="A55" s="2">
        <v>46185</v>
      </c>
      <c r="B55" t="s">
        <v>3</v>
      </c>
      <c r="C55" t="s">
        <v>51</v>
      </c>
      <c r="D55" t="s">
        <v>79</v>
      </c>
      <c r="E55">
        <f>VLOOKUP(TablaObra[[#This Row],[Equipo]],Catalogos!$V$4:$W$64,2,FALSE)</f>
      </c>
      <c r="F55" s="3">
        <v>30</v>
      </c>
      <c r="G55" s="4">
        <v>27</v>
      </c>
      <c r="H55" s="4">
        <f t="shared" si="1"/>
      </c>
      <c r="M55">
        <v>24</v>
      </c>
      <c r="N55">
        <f>IF(A55="","", "CO-" &amp; IFERROR(VLOOKUP(B55, Catalogos!$Z$4:$AA$20, 2, FALSE), "FOL") &amp; "-" &amp; WEEKNUM(A55,2) &amp; "-" &amp; TEXT(ROW(A51),"000"))</f>
      </c>
    </row>
    <row r="56" spans="1:14">
      <c r="A56" s="2">
        <v>46185</v>
      </c>
      <c r="B56" t="s">
        <v>3</v>
      </c>
      <c r="C56" t="s">
        <v>51</v>
      </c>
      <c r="D56" t="s">
        <v>81</v>
      </c>
      <c r="E56">
        <f>VLOOKUP(TablaObra[[#This Row],[Equipo]],Catalogos!$V$4:$W$64,2,FALSE)</f>
      </c>
      <c r="F56" s="3">
        <v>50</v>
      </c>
      <c r="G56" s="4">
        <v>27</v>
      </c>
      <c r="H56" s="4">
        <f t="shared" si="1"/>
      </c>
      <c r="M56">
        <v>24</v>
      </c>
      <c r="N56">
        <f>IF(A56="","", "CO-" &amp; IFERROR(VLOOKUP(B56, Catalogos!$Z$4:$AA$20, 2, FALSE), "FOL") &amp; "-" &amp; WEEKNUM(A56,2) &amp; "-" &amp; TEXT(ROW(A52),"000"))</f>
      </c>
    </row>
    <row r="57" spans="1:14">
      <c r="A57" s="2">
        <v>46185</v>
      </c>
      <c r="B57" t="s">
        <v>3</v>
      </c>
      <c r="C57" t="s">
        <v>51</v>
      </c>
      <c r="D57" t="s">
        <v>86</v>
      </c>
      <c r="E57">
        <f>VLOOKUP(TablaObra[[#This Row],[Equipo]],Catalogos!$V$4:$W$64,2,FALSE)</f>
      </c>
      <c r="F57" s="3">
        <v>120</v>
      </c>
      <c r="G57" s="4">
        <v>27</v>
      </c>
      <c r="H57" s="4">
        <f t="shared" si="1"/>
      </c>
      <c r="M57">
        <v>24</v>
      </c>
      <c r="N57">
        <f>IF(A57="","", "CO-" &amp; IFERROR(VLOOKUP(B57, Catalogos!$Z$4:$AA$20, 2, FALSE), "FOL") &amp; "-" &amp; WEEKNUM(A57,2) &amp; "-" &amp; TEXT(ROW(A53),"000"))</f>
      </c>
    </row>
    <row r="58" spans="1:14">
      <c r="A58" s="2">
        <v>46185</v>
      </c>
      <c r="B58" t="s">
        <v>3</v>
      </c>
      <c r="C58" t="s">
        <v>51</v>
      </c>
      <c r="D58" t="s">
        <v>92</v>
      </c>
      <c r="E58">
        <f>VLOOKUP(TablaObra[[#This Row],[Equipo]],Catalogos!$V$4:$W$64,2,FALSE)</f>
      </c>
      <c r="F58" s="3">
        <v>40</v>
      </c>
      <c r="G58" s="4">
        <v>27</v>
      </c>
      <c r="H58" s="4">
        <f t="shared" si="1"/>
      </c>
      <c r="M58">
        <v>24</v>
      </c>
      <c r="N58">
        <f>IF(A58="","", "CO-" &amp; IFERROR(VLOOKUP(B58, Catalogos!$Z$4:$AA$20, 2, FALSE), "FOL") &amp; "-" &amp; WEEKNUM(A58,2) &amp; "-" &amp; TEXT(ROW(A54),"000"))</f>
      </c>
    </row>
    <row r="59" spans="1:14">
      <c r="A59" s="2">
        <v>46185</v>
      </c>
      <c r="B59" t="s">
        <v>3</v>
      </c>
      <c r="C59" t="s">
        <v>51</v>
      </c>
      <c r="D59" t="s">
        <v>76</v>
      </c>
      <c r="E59">
        <f>VLOOKUP(TablaObra[[#This Row],[Equipo]],Catalogos!$V$4:$W$64,2,FALSE)</f>
      </c>
      <c r="F59" s="3">
        <v>200</v>
      </c>
      <c r="G59" s="4">
        <v>27</v>
      </c>
      <c r="H59" s="4">
        <f t="shared" si="1"/>
      </c>
      <c r="M59">
        <v>24</v>
      </c>
      <c r="N59">
        <f>IF(A59="","", "CO-" &amp; IFERROR(VLOOKUP(B59, Catalogos!$Z$4:$AA$20, 2, FALSE), "FOL") &amp; "-" &amp; WEEKNUM(A59,2) &amp; "-" &amp; TEXT(ROW(A55),"000"))</f>
      </c>
    </row>
    <row r="60" spans="1:14">
      <c r="A60" s="2">
        <v>46185</v>
      </c>
      <c r="B60" t="s">
        <v>1</v>
      </c>
      <c r="C60" t="s">
        <v>51</v>
      </c>
      <c r="D60" t="s">
        <v>70</v>
      </c>
      <c r="E60">
        <f>VLOOKUP(TablaObra[[#This Row],[Equipo]],Catalogos!$V$4:$W$64,2,FALSE)</f>
      </c>
      <c r="F60" s="3">
        <v>20</v>
      </c>
      <c r="G60" s="4">
        <v>27</v>
      </c>
      <c r="H60" s="4">
        <f t="shared" si="1"/>
      </c>
      <c r="M60">
        <v>24</v>
      </c>
      <c r="N60">
        <f>IF(A60="","", "CO-" &amp; IFERROR(VLOOKUP(B60, Catalogos!$Z$4:$AA$20, 2, FALSE), "FOL") &amp; "-" &amp; WEEKNUM(A60,2) &amp; "-" &amp; TEXT(ROW(A56),"000"))</f>
      </c>
    </row>
    <row r="61" spans="1:14">
      <c r="A61" s="2">
        <v>46185</v>
      </c>
      <c r="B61" t="s">
        <v>1</v>
      </c>
      <c r="C61" t="s">
        <v>51</v>
      </c>
      <c r="D61" t="s">
        <v>85</v>
      </c>
      <c r="E61">
        <f>VLOOKUP(TablaObra[[#This Row],[Equipo]],Catalogos!$V$4:$W$64,2,FALSE)</f>
      </c>
      <c r="F61" s="3">
        <v>30</v>
      </c>
      <c r="G61" s="4">
        <v>27</v>
      </c>
      <c r="H61" s="4">
        <f t="shared" si="1"/>
      </c>
      <c r="M61">
        <v>24</v>
      </c>
      <c r="N61">
        <f>IF(A61="","", "CO-" &amp; IFERROR(VLOOKUP(B61, Catalogos!$Z$4:$AA$20, 2, FALSE), "FOL") &amp; "-" &amp; WEEKNUM(A61,2) &amp; "-" &amp; TEXT(ROW(A57),"000"))</f>
      </c>
    </row>
    <row r="62" spans="1:14">
      <c r="A62" s="2">
        <v>46185</v>
      </c>
      <c r="B62" t="s">
        <v>1</v>
      </c>
      <c r="C62" t="s">
        <v>51</v>
      </c>
      <c r="D62" t="s">
        <v>96</v>
      </c>
      <c r="E62">
        <f>VLOOKUP(TablaObra[[#This Row],[Equipo]],Catalogos!$V$4:$W$64,2,FALSE)</f>
      </c>
      <c r="F62" s="3">
        <v>20</v>
      </c>
      <c r="G62" s="4">
        <v>27</v>
      </c>
      <c r="H62" s="4">
        <f t="shared" si="1"/>
      </c>
      <c r="M62">
        <v>24</v>
      </c>
      <c r="N62">
        <f>IF(A62="","", "CO-" &amp; IFERROR(VLOOKUP(B62, Catalogos!$Z$4:$AA$20, 2, FALSE), "FOL") &amp; "-" &amp; WEEKNUM(A62,2) &amp; "-" &amp; TEXT(ROW(A58),"000"))</f>
      </c>
    </row>
    <row r="63" spans="1:14">
      <c r="A63" s="2">
        <v>46185</v>
      </c>
      <c r="B63" t="s">
        <v>1</v>
      </c>
      <c r="C63" t="s">
        <v>51</v>
      </c>
      <c r="D63" t="s">
        <v>48</v>
      </c>
      <c r="E63">
        <f>VLOOKUP(TablaObra[[#This Row],[Equipo]],Catalogos!$V$4:$W$64,2,FALSE)</f>
      </c>
      <c r="F63" s="3">
        <v>40</v>
      </c>
      <c r="G63" s="4">
        <v>27</v>
      </c>
      <c r="H63" s="4">
        <f t="shared" si="1"/>
      </c>
      <c r="M63">
        <v>24</v>
      </c>
      <c r="N63">
        <f>IF(A63="","", "CO-" &amp; IFERROR(VLOOKUP(B63, Catalogos!$Z$4:$AA$20, 2, FALSE), "FOL") &amp; "-" &amp; WEEKNUM(A63,2) &amp; "-" &amp; TEXT(ROW(A59),"000"))</f>
      </c>
    </row>
    <row r="64" spans="1:14">
      <c r="A64" s="2">
        <v>46185</v>
      </c>
      <c r="B64" t="s">
        <v>1</v>
      </c>
      <c r="C64" t="s">
        <v>51</v>
      </c>
      <c r="D64" t="s">
        <v>69</v>
      </c>
      <c r="E64">
        <f>VLOOKUP(TablaObra[[#This Row],[Equipo]],Catalogos!$V$4:$W$64,2,FALSE)</f>
      </c>
      <c r="F64" s="3">
        <v>250</v>
      </c>
      <c r="G64" s="4">
        <v>27</v>
      </c>
      <c r="H64" s="4">
        <f t="shared" si="1"/>
      </c>
      <c r="M64">
        <v>24</v>
      </c>
      <c r="N64">
        <f>IF(A64="","", "CO-" &amp; IFERROR(VLOOKUP(B64, Catalogos!$Z$4:$AA$20, 2, FALSE), "FOL") &amp; "-" &amp; WEEKNUM(A64,2) &amp; "-" &amp; TEXT(ROW(A60),"000"))</f>
      </c>
    </row>
    <row r="65" spans="1:15">
      <c r="A65" s="2">
        <v>46188</v>
      </c>
      <c r="B65" t="s">
        <v>1</v>
      </c>
      <c r="C65" t="s">
        <v>51</v>
      </c>
      <c r="D65" t="s">
        <v>386</v>
      </c>
      <c r="E65">
        <f>VLOOKUP(TablaObra[[#This Row],[Equipo]],Catalogos!$V$4:$W$64,2,FALSE)</f>
      </c>
      <c r="F65" s="3">
        <v>200</v>
      </c>
      <c r="G65" s="4">
        <v>27</v>
      </c>
      <c r="H65" s="4">
        <f t="shared" si="1"/>
      </c>
      <c r="M65">
        <v>25</v>
      </c>
      <c r="N65">
        <f>IF(A65="","", "CO-" &amp; IFERROR(VLOOKUP(B65, Catalogos!$Z$4:$AA$20, 2, FALSE), "FOL") &amp; "-" &amp; WEEKNUM(A65,2) &amp; "-" &amp; TEXT(ROW(A61),"000"))</f>
      </c>
    </row>
    <row r="66" spans="1:15">
      <c r="A66" s="2">
        <v>46188</v>
      </c>
      <c r="B66" t="s">
        <v>1</v>
      </c>
      <c r="C66" t="s">
        <v>51</v>
      </c>
      <c r="D66" t="s">
        <v>228</v>
      </c>
      <c r="E66">
        <f>VLOOKUP(TablaObra[[#This Row],[Equipo]],Catalogos!$V$4:$W$64,2,FALSE)</f>
      </c>
      <c r="F66" s="3">
        <v>40</v>
      </c>
      <c r="G66" s="4">
        <v>27</v>
      </c>
      <c r="H66" s="4">
        <f t="shared" si="1"/>
      </c>
      <c r="M66">
        <v>25</v>
      </c>
      <c r="N66">
        <f>IF(A66="","", "CO-" &amp; IFERROR(VLOOKUP(B66, Catalogos!$Z$4:$AA$20, 2, FALSE), "FOL") &amp; "-" &amp; WEEKNUM(A66,2) &amp; "-" &amp; TEXT(ROW(A62),"000"))</f>
      </c>
    </row>
    <row r="67" spans="1:15">
      <c r="A67" s="2">
        <v>46188</v>
      </c>
      <c r="B67" t="s">
        <v>1</v>
      </c>
      <c r="C67" t="s">
        <v>51</v>
      </c>
      <c r="D67" t="s">
        <v>221</v>
      </c>
      <c r="E67">
        <f>VLOOKUP(TablaObra[[#This Row],[Equipo]],Catalogos!$V$4:$W$64,2,FALSE)</f>
      </c>
      <c r="F67" s="3">
        <v>30</v>
      </c>
      <c r="G67" s="4">
        <v>27</v>
      </c>
      <c r="H67" s="4">
        <f t="shared" si="1"/>
      </c>
      <c r="M67">
        <v>25</v>
      </c>
      <c r="N67">
        <f>IF(A67="","", "CO-" &amp; IFERROR(VLOOKUP(B67, Catalogos!$Z$4:$AA$20, 2, FALSE), "FOL") &amp; "-" &amp; WEEKNUM(A67,2) &amp; "-" &amp; TEXT(ROW(A63),"000"))</f>
      </c>
    </row>
    <row r="68" spans="1:15">
      <c r="A68" s="2">
        <v>46188</v>
      </c>
      <c r="B68" t="s">
        <v>1</v>
      </c>
      <c r="C68" t="s">
        <v>51</v>
      </c>
      <c r="D68" t="s">
        <v>224</v>
      </c>
      <c r="E68">
        <f>VLOOKUP(TablaObra[[#This Row],[Equipo]],Catalogos!$V$4:$W$64,2,FALSE)</f>
      </c>
      <c r="F68" s="3">
        <v>50</v>
      </c>
      <c r="G68" s="4">
        <v>27</v>
      </c>
      <c r="H68" s="4">
        <f t="shared" si="1"/>
      </c>
      <c r="M68">
        <v>25</v>
      </c>
      <c r="N68">
        <f>IF(A68="","", "CO-" &amp; IFERROR(VLOOKUP(B68, Catalogos!$Z$4:$AA$20, 2, FALSE), "FOL") &amp; "-" &amp; WEEKNUM(A68,2) &amp; "-" &amp; TEXT(ROW(A64),"000"))</f>
      </c>
    </row>
    <row r="69" spans="1:15">
      <c r="A69" s="3807">
        <v>46188</v>
      </c>
      <c r="B69" t="s" s="3808">
        <v>2</v>
      </c>
      <c r="C69" t="s" s="3808">
        <v>51</v>
      </c>
      <c r="D69" t="s" s="3808">
        <v>365</v>
      </c>
      <c r="E69" s="3808">
        <f>VLOOKUP(TablaObra[[#This Row],[Equipo]],Catalogos!$V$4:$W$64,2,FALSE)</f>
      </c>
      <c r="F69" s="3809">
        <v>73</v>
      </c>
      <c r="G69" s="4">
        <v>27</v>
      </c>
      <c r="H69" s="3811">
        <f t="shared" ref="H69:H100" si="2">IFERROR(F69*G69,0)</f>
      </c>
      <c r="I69" s="3808"/>
      <c r="J69" s="3808"/>
      <c r="K69" t="s" s="3808">
        <v>399</v>
      </c>
      <c r="L69" s="3808"/>
      <c r="M69" s="3808">
        <v>25</v>
      </c>
      <c r="N69" s="3808">
        <f>IF(A69="","", "CO-" &amp; IFERROR(VLOOKUP(B69, Catalogos!$Z$4:$AA$20, 2, FALSE), "FOL") &amp; "-" &amp; WEEKNUM(A69,2) &amp; "-" &amp; TEXT(ROW(A65),"000"))</f>
      </c>
      <c r="O69" s="3808"/>
    </row>
    <row r="70" spans="1:15">
      <c r="A70" s="2">
        <v>46188</v>
      </c>
      <c r="B70" t="s">
        <v>1</v>
      </c>
      <c r="C70" t="s">
        <v>51</v>
      </c>
      <c r="D70" t="s">
        <v>368</v>
      </c>
      <c r="E70">
        <f>VLOOKUP(TablaObra[[#This Row],[Equipo]],Catalogos!$V$4:$W$64,2,FALSE)</f>
      </c>
      <c r="F70" s="3">
        <v>99</v>
      </c>
      <c r="G70" s="4">
        <v>27</v>
      </c>
      <c r="H70" s="4">
        <f t="shared" si="2"/>
      </c>
      <c r="M70">
        <v>25</v>
      </c>
      <c r="N70">
        <f>IF(A70="","", "CO-" &amp; IFERROR(VLOOKUP(B70, Catalogos!$Z$4:$AA$20, 2, FALSE), "FOL") &amp; "-" &amp; WEEKNUM(A70,2) &amp; "-" &amp; TEXT(ROW(A66),"000"))</f>
      </c>
    </row>
    <row r="71" spans="1:15">
      <c r="A71" s="2">
        <v>46188</v>
      </c>
      <c r="B71" t="s">
        <v>1</v>
      </c>
      <c r="C71" t="s">
        <v>51</v>
      </c>
      <c r="D71" t="s">
        <v>383</v>
      </c>
      <c r="E71">
        <f>VLOOKUP(TablaObra[[#This Row],[Equipo]],Catalogos!$V$4:$W$64,2,FALSE)</f>
      </c>
      <c r="F71" s="3">
        <v>50</v>
      </c>
      <c r="G71" s="4">
        <v>27</v>
      </c>
      <c r="H71" s="4">
        <f t="shared" si="2"/>
      </c>
      <c r="M71">
        <v>25</v>
      </c>
      <c r="N71">
        <f>IF(A71="","", "CO-" &amp; IFERROR(VLOOKUP(B71, Catalogos!$Z$4:$AA$20, 2, FALSE), "FOL") &amp; "-" &amp; WEEKNUM(A71,2) &amp; "-" &amp; TEXT(ROW(A67),"000"))</f>
      </c>
    </row>
    <row r="72" spans="1:15">
      <c r="A72" s="2">
        <v>46188</v>
      </c>
      <c r="B72" t="s">
        <v>111</v>
      </c>
      <c r="C72" t="s">
        <v>47</v>
      </c>
      <c r="D72" t="s">
        <v>112</v>
      </c>
      <c r="E72">
        <f>VLOOKUP(TablaObra[[#This Row],[Equipo]],Catalogos!$V$4:$W$64,2,FALSE)</f>
      </c>
      <c r="F72" s="3">
        <v>70</v>
      </c>
      <c r="G72" s="4">
        <v>27</v>
      </c>
      <c r="H72" s="4">
        <f t="shared" si="2"/>
      </c>
      <c r="M72">
        <v>25</v>
      </c>
      <c r="N72">
        <f>IF(A72="","", "CO-" &amp; IFERROR(VLOOKUP(B72, Catalogos!$Z$4:$AA$20, 2, FALSE), "FOL") &amp; "-" &amp; WEEKNUM(A72,2) &amp; "-" &amp; TEXT(ROW(A68),"000"))</f>
      </c>
    </row>
    <row r="73" spans="1:15">
      <c r="A73" s="2">
        <v>46188</v>
      </c>
      <c r="B73" t="s">
        <v>2</v>
      </c>
      <c r="C73" t="s">
        <v>47</v>
      </c>
      <c r="D73" t="s">
        <v>221</v>
      </c>
      <c r="E73">
        <f>VLOOKUP(TablaObra[[#This Row],[Equipo]],Catalogos!$V$4:$W$64,2,FALSE)</f>
      </c>
      <c r="F73" s="3">
        <v>24</v>
      </c>
      <c r="G73" s="4">
        <v>27</v>
      </c>
      <c r="H73" s="4">
        <f t="shared" si="2"/>
      </c>
      <c r="M73">
        <v>25</v>
      </c>
      <c r="N73">
        <f>IF(A73="","", "CO-" &amp; IFERROR(VLOOKUP(B73, Catalogos!$Z$4:$AA$20, 2, FALSE), "FOL") &amp; "-" &amp; WEEKNUM(A73,2) &amp; "-" &amp; TEXT(ROW(A69),"000"))</f>
      </c>
    </row>
    <row r="74" spans="1:15">
      <c r="A74" s="2">
        <v>46188</v>
      </c>
      <c r="B74" t="s">
        <v>400</v>
      </c>
      <c r="C74" t="s">
        <v>47</v>
      </c>
      <c r="D74" t="s">
        <v>117</v>
      </c>
      <c r="E74">
        <f>VLOOKUP(TablaObra[[#This Row],[Equipo]],Catalogos!$V$4:$W$64,2,FALSE)</f>
      </c>
      <c r="F74" s="3">
        <v>265</v>
      </c>
      <c r="G74" s="4">
        <v>27</v>
      </c>
      <c r="H74" s="4">
        <f t="shared" si="2"/>
      </c>
      <c r="M74">
        <v>25</v>
      </c>
      <c r="N74">
        <f>IF(A74="","", "CO-" &amp; IFERROR(VLOOKUP(B74, Catalogos!$Z$4:$AA$20, 2, FALSE), "FOL") &amp; "-" &amp; WEEKNUM(A74,2) &amp; "-" &amp; TEXT(ROW(A70),"000"))</f>
      </c>
    </row>
    <row r="75" spans="1:15">
      <c r="A75" s="2">
        <v>46188</v>
      </c>
      <c r="B75" t="s">
        <v>111</v>
      </c>
      <c r="C75" t="s">
        <v>47</v>
      </c>
      <c r="D75" t="s">
        <v>220</v>
      </c>
      <c r="E75">
        <f>VLOOKUP(TablaObra[[#This Row],[Equipo]],Catalogos!$V$4:$W$64,2,FALSE)</f>
      </c>
      <c r="F75" s="3">
        <v>33</v>
      </c>
      <c r="G75" s="4">
        <v>27</v>
      </c>
      <c r="H75" s="4">
        <f t="shared" si="2"/>
      </c>
      <c r="M75">
        <v>25</v>
      </c>
      <c r="N75">
        <f>IF(A75="","", "CO-" &amp; IFERROR(VLOOKUP(B75, Catalogos!$Z$4:$AA$20, 2, FALSE), "FOL") &amp; "-" &amp; WEEKNUM(A75,2) &amp; "-" &amp; TEXT(ROW(A71),"000"))</f>
      </c>
    </row>
    <row r="76" spans="1:15">
      <c r="A76" s="2">
        <v>46188</v>
      </c>
      <c r="B76" t="s">
        <v>2</v>
      </c>
      <c r="C76" t="s">
        <v>47</v>
      </c>
      <c r="D76" t="s">
        <v>383</v>
      </c>
      <c r="E76">
        <f>VLOOKUP(TablaObra[[#This Row],[Equipo]],Catalogos!$V$4:$W$64,2,FALSE)</f>
      </c>
      <c r="F76" s="3">
        <v>60</v>
      </c>
      <c r="G76" s="4">
        <v>27</v>
      </c>
      <c r="H76" s="4">
        <f t="shared" si="2"/>
      </c>
      <c r="M76">
        <v>25</v>
      </c>
      <c r="N76">
        <f>IF(A76="","", "CO-" &amp; IFERROR(VLOOKUP(B76, Catalogos!$Z$4:$AA$20, 2, FALSE), "FOL") &amp; "-" &amp; WEEKNUM(A76,2) &amp; "-" &amp; TEXT(ROW(A72),"000"))</f>
      </c>
    </row>
    <row r="77" spans="1:15">
      <c r="A77" s="2">
        <v>46188</v>
      </c>
      <c r="B77" t="s">
        <v>2</v>
      </c>
      <c r="C77" t="s">
        <v>47</v>
      </c>
      <c r="D77" t="s">
        <v>217</v>
      </c>
      <c r="E77">
        <f>VLOOKUP(TablaObra[[#This Row],[Equipo]],Catalogos!$V$4:$W$64,2,FALSE)</f>
      </c>
      <c r="F77" s="3">
        <v>52</v>
      </c>
      <c r="G77" s="4">
        <v>27</v>
      </c>
      <c r="H77" s="4">
        <f t="shared" si="2"/>
      </c>
      <c r="M77">
        <v>25</v>
      </c>
      <c r="N77">
        <f>IF(A77="","", "CO-" &amp; IFERROR(VLOOKUP(B77, Catalogos!$Z$4:$AA$20, 2, FALSE), "FOL") &amp; "-" &amp; WEEKNUM(A77,2) &amp; "-" &amp; TEXT(ROW(A73),"000"))</f>
      </c>
    </row>
    <row r="78" spans="1:15">
      <c r="A78" s="2">
        <v>46188</v>
      </c>
      <c r="B78" t="s">
        <v>2</v>
      </c>
      <c r="C78" t="s">
        <v>47</v>
      </c>
      <c r="D78" t="s">
        <v>102</v>
      </c>
      <c r="E78">
        <f>VLOOKUP(TablaObra[[#This Row],[Equipo]],Catalogos!$V$4:$W$64,2,FALSE)</f>
      </c>
      <c r="F78" s="3">
        <v>25</v>
      </c>
      <c r="G78" s="4">
        <v>27</v>
      </c>
      <c r="H78" s="4">
        <f t="shared" si="2"/>
      </c>
      <c r="M78">
        <v>25</v>
      </c>
      <c r="N78">
        <f>IF(A78="","", "CO-" &amp; IFERROR(VLOOKUP(B78, Catalogos!$Z$4:$AA$20, 2, FALSE), "FOL") &amp; "-" &amp; WEEKNUM(A78,2) &amp; "-" &amp; TEXT(ROW(A74),"000"))</f>
      </c>
    </row>
    <row r="79" spans="1:15">
      <c r="A79" s="2">
        <v>46188</v>
      </c>
      <c r="B79" t="s">
        <v>2</v>
      </c>
      <c r="C79" t="s">
        <v>47</v>
      </c>
      <c r="D79" t="s">
        <v>228</v>
      </c>
      <c r="E79">
        <f>VLOOKUP(TablaObra[[#This Row],[Equipo]],Catalogos!$V$4:$W$64,2,FALSE)</f>
      </c>
      <c r="F79" s="3">
        <v>55</v>
      </c>
      <c r="G79" s="4">
        <v>27</v>
      </c>
      <c r="H79" s="4">
        <f t="shared" si="2"/>
      </c>
      <c r="M79">
        <v>25</v>
      </c>
      <c r="N79">
        <f>IF(A79="","", "CO-" &amp; IFERROR(VLOOKUP(B79, Catalogos!$Z$4:$AA$20, 2, FALSE), "FOL") &amp; "-" &amp; WEEKNUM(A79,2) &amp; "-" &amp; TEXT(ROW(A75),"000"))</f>
      </c>
    </row>
    <row r="80" spans="1:15">
      <c r="A80" s="2">
        <v>46188</v>
      </c>
      <c r="B80" t="s">
        <v>111</v>
      </c>
      <c r="C80" t="s">
        <v>47</v>
      </c>
      <c r="D80" t="s">
        <v>215</v>
      </c>
      <c r="E80">
        <f>VLOOKUP(TablaObra[[#This Row],[Equipo]],Catalogos!$V$4:$W$64,2,FALSE)</f>
      </c>
      <c r="F80" s="3">
        <v>200</v>
      </c>
      <c r="G80" s="4">
        <v>27</v>
      </c>
      <c r="H80" s="4">
        <f t="shared" si="2"/>
      </c>
      <c r="M80">
        <v>25</v>
      </c>
      <c r="N80">
        <f>IF(A80="","", "CO-" &amp; IFERROR(VLOOKUP(B80, Catalogos!$Z$4:$AA$20, 2, FALSE), "FOL") &amp; "-" &amp; WEEKNUM(A80,2) &amp; "-" &amp; TEXT(ROW(A76),"000"))</f>
      </c>
    </row>
    <row r="81" spans="1:14">
      <c r="A81" s="2">
        <v>46188</v>
      </c>
      <c r="B81" t="s">
        <v>124</v>
      </c>
      <c r="C81" t="s">
        <v>237</v>
      </c>
      <c r="D81" t="s">
        <v>240</v>
      </c>
      <c r="E81">
        <f>VLOOKUP(TablaObra[[#This Row],[Equipo]],Catalogos!$V$4:$W$64,2,FALSE)</f>
      </c>
      <c r="F81" s="3">
        <v>300</v>
      </c>
      <c r="G81" s="4">
        <v>27</v>
      </c>
      <c r="H81" s="4">
        <f t="shared" si="2"/>
      </c>
      <c r="M81">
        <v>25</v>
      </c>
      <c r="N81">
        <f>IF(A81="","", "CO-" &amp; IFERROR(VLOOKUP(B81, Catalogos!$Z$4:$AA$20, 2, FALSE), "FOL") &amp; "-" &amp; WEEKNUM(A81,2) &amp; "-" &amp; TEXT(ROW(A77),"000"))</f>
      </c>
    </row>
    <row r="82" spans="1:14">
      <c r="A82" s="2">
        <v>46188</v>
      </c>
      <c r="B82" t="s">
        <v>124</v>
      </c>
      <c r="C82" t="s">
        <v>237</v>
      </c>
      <c r="D82" t="s">
        <v>245</v>
      </c>
      <c r="E82">
        <f>VLOOKUP(TablaObra[[#This Row],[Equipo]],Catalogos!$V$4:$W$64,2,FALSE)</f>
      </c>
      <c r="F82" s="3">
        <v>100</v>
      </c>
      <c r="G82" s="4">
        <v>27</v>
      </c>
      <c r="H82" s="4">
        <f t="shared" si="2"/>
      </c>
      <c r="M82">
        <v>25</v>
      </c>
      <c r="N82">
        <f>IF(A82="","", "CO-" &amp; IFERROR(VLOOKUP(B82, Catalogos!$Z$4:$AA$20, 2, FALSE), "FOL") &amp; "-" &amp; WEEKNUM(A82,2) &amp; "-" &amp; TEXT(ROW(A78),"000"))</f>
      </c>
    </row>
    <row r="83" spans="1:14">
      <c r="A83" s="2">
        <v>46188</v>
      </c>
      <c r="B83" t="s">
        <v>124</v>
      </c>
      <c r="C83" t="s">
        <v>237</v>
      </c>
      <c r="D83" t="s">
        <v>798</v>
      </c>
      <c r="E83">
        <f>VLOOKUP(TablaObra[[#This Row],[Equipo]],Catalogos!$V$4:$W$64,2,FALSE)</f>
      </c>
      <c r="F83" s="3">
        <v>400</v>
      </c>
      <c r="G83" s="4">
        <v>27</v>
      </c>
      <c r="H83" s="4">
        <f t="shared" si="2"/>
      </c>
      <c r="M83">
        <v>25</v>
      </c>
      <c r="N83">
        <f>IF(A83="","", "CO-" &amp; IFERROR(VLOOKUP(B83, Catalogos!$Z$4:$AA$20, 2, FALSE), "FOL") &amp; "-" &amp; WEEKNUM(A83,2) &amp; "-" &amp; TEXT(ROW(A79),"000"))</f>
      </c>
    </row>
    <row r="84" spans="1:14">
      <c r="A84" s="2">
        <v>46189</v>
      </c>
      <c r="B84" t="s">
        <v>1</v>
      </c>
      <c r="C84" t="s">
        <v>51</v>
      </c>
      <c r="D84" t="s">
        <v>386</v>
      </c>
      <c r="E84">
        <f>VLOOKUP(TablaObra[[#This Row],[Equipo]],Catalogos!$V$4:$W$64,2,FALSE)</f>
      </c>
      <c r="F84" s="3">
        <v>200</v>
      </c>
      <c r="G84" s="4">
        <v>27</v>
      </c>
      <c r="H84" s="4">
        <f t="shared" si="2"/>
      </c>
      <c r="M84">
        <v>25</v>
      </c>
      <c r="N84">
        <f>IF(A84="","", "CO-" &amp; IFERROR(VLOOKUP(B84, Catalogos!$Z$4:$AA$20, 2, FALSE), "FOL") &amp; "-" &amp; WEEKNUM(A84,2) &amp; "-" &amp; TEXT(ROW(A80),"000"))</f>
      </c>
    </row>
    <row r="85" spans="1:14">
      <c r="A85" s="2">
        <v>46189</v>
      </c>
      <c r="B85" t="s">
        <v>1</v>
      </c>
      <c r="C85" t="s">
        <v>51</v>
      </c>
      <c r="D85" t="s">
        <v>221</v>
      </c>
      <c r="E85">
        <f>VLOOKUP(TablaObra[[#This Row],[Equipo]],Catalogos!$V$4:$W$64,2,FALSE)</f>
      </c>
      <c r="F85" s="3">
        <v>32</v>
      </c>
      <c r="G85" s="4">
        <v>27</v>
      </c>
      <c r="H85" s="4">
        <f t="shared" si="2"/>
      </c>
      <c r="M85">
        <v>25</v>
      </c>
      <c r="N85">
        <f>IF(A85="","", "CO-" &amp; IFERROR(VLOOKUP(B85, Catalogos!$Z$4:$AA$20, 2, FALSE), "FOL") &amp; "-" &amp; WEEKNUM(A85,2) &amp; "-" &amp; TEXT(ROW(A81),"000"))</f>
      </c>
    </row>
    <row r="86" spans="1:14">
      <c r="A86" s="2">
        <v>46189</v>
      </c>
      <c r="B86" t="s">
        <v>1</v>
      </c>
      <c r="C86" t="s">
        <v>51</v>
      </c>
      <c r="D86" t="s">
        <v>224</v>
      </c>
      <c r="E86">
        <f>VLOOKUP(TablaObra[[#This Row],[Equipo]],Catalogos!$V$4:$W$64,2,FALSE)</f>
      </c>
      <c r="F86" s="3">
        <v>30</v>
      </c>
      <c r="G86" s="4">
        <v>27</v>
      </c>
      <c r="H86" s="4">
        <f t="shared" si="2"/>
      </c>
      <c r="M86">
        <v>25</v>
      </c>
      <c r="N86">
        <f>IF(A86="","", "CO-" &amp; IFERROR(VLOOKUP(B86, Catalogos!$Z$4:$AA$20, 2, FALSE), "FOL") &amp; "-" &amp; WEEKNUM(A86,2) &amp; "-" &amp; TEXT(ROW(A82),"000"))</f>
      </c>
    </row>
    <row r="87" spans="1:14">
      <c r="A87" s="2">
        <v>46189</v>
      </c>
      <c r="B87" t="s">
        <v>1</v>
      </c>
      <c r="C87" t="s">
        <v>51</v>
      </c>
      <c r="D87" t="s">
        <v>216</v>
      </c>
      <c r="E87">
        <f>VLOOKUP(TablaObra[[#This Row],[Equipo]],Catalogos!$V$4:$W$64,2,FALSE)</f>
      </c>
      <c r="F87" s="3">
        <v>30</v>
      </c>
      <c r="G87" s="4">
        <v>27</v>
      </c>
      <c r="H87" s="4">
        <f t="shared" si="2"/>
      </c>
      <c r="M87">
        <v>25</v>
      </c>
      <c r="N87">
        <f>IF(A87="","", "CO-" &amp; IFERROR(VLOOKUP(B87, Catalogos!$Z$4:$AA$20, 2, FALSE), "FOL") &amp; "-" &amp; WEEKNUM(A87,2) &amp; "-" &amp; TEXT(ROW(A83),"000"))</f>
      </c>
    </row>
    <row r="88" spans="1:14">
      <c r="A88" s="2">
        <v>46189</v>
      </c>
      <c r="B88" t="s">
        <v>1</v>
      </c>
      <c r="C88" t="s">
        <v>51</v>
      </c>
      <c r="D88" t="s">
        <v>368</v>
      </c>
      <c r="E88">
        <f>VLOOKUP(TablaObra[[#This Row],[Equipo]],Catalogos!$V$4:$W$64,2,FALSE)</f>
      </c>
      <c r="F88" s="3">
        <v>107</v>
      </c>
      <c r="G88" s="4">
        <v>27</v>
      </c>
      <c r="H88" s="4">
        <f t="shared" si="2"/>
      </c>
      <c r="M88">
        <v>25</v>
      </c>
      <c r="N88">
        <f>IF(A88="","", "CO-" &amp; IFERROR(VLOOKUP(B88, Catalogos!$Z$4:$AA$20, 2, FALSE), "FOL") &amp; "-" &amp; WEEKNUM(A88,2) &amp; "-" &amp; TEXT(ROW(A84),"000"))</f>
      </c>
    </row>
    <row r="89" spans="1:14">
      <c r="A89" s="2">
        <v>46189</v>
      </c>
      <c r="B89" t="s">
        <v>1</v>
      </c>
      <c r="C89" t="s">
        <v>51</v>
      </c>
      <c r="D89" t="s">
        <v>228</v>
      </c>
      <c r="E89">
        <f>VLOOKUP(TablaObra[[#This Row],[Equipo]],Catalogos!$V$4:$W$64,2,FALSE)</f>
      </c>
      <c r="F89" s="3">
        <v>40</v>
      </c>
      <c r="G89" s="4">
        <v>27</v>
      </c>
      <c r="H89" s="4">
        <f t="shared" si="2"/>
      </c>
      <c r="M89">
        <v>25</v>
      </c>
      <c r="N89">
        <f>IF(A89="","", "CO-" &amp; IFERROR(VLOOKUP(B89, Catalogos!$Z$4:$AA$20, 2, FALSE), "FOL") &amp; "-" &amp; WEEKNUM(A89,2) &amp; "-" &amp; TEXT(ROW(A85),"000"))</f>
      </c>
    </row>
    <row r="90" spans="1:14">
      <c r="A90" s="2">
        <v>46189</v>
      </c>
      <c r="B90" t="s">
        <v>1</v>
      </c>
      <c r="C90" t="s">
        <v>51</v>
      </c>
      <c r="D90" t="s">
        <v>383</v>
      </c>
      <c r="E90">
        <f>VLOOKUP(TablaObra[[#This Row],[Equipo]],Catalogos!$V$4:$W$64,2,FALSE)</f>
      </c>
      <c r="F90" s="3">
        <v>50</v>
      </c>
      <c r="G90" s="4">
        <v>27</v>
      </c>
      <c r="H90" s="4">
        <f t="shared" si="2"/>
      </c>
      <c r="M90">
        <v>25</v>
      </c>
      <c r="N90">
        <f>IF(A90="","", "CO-" &amp; IFERROR(VLOOKUP(B90, Catalogos!$Z$4:$AA$20, 2, FALSE), "FOL") &amp; "-" &amp; WEEKNUM(A90,2) &amp; "-" &amp; TEXT(ROW(A86),"000"))</f>
      </c>
    </row>
    <row r="91" spans="1:14">
      <c r="A91" s="2">
        <v>46189</v>
      </c>
      <c r="B91" t="s">
        <v>2</v>
      </c>
      <c r="C91" t="s">
        <v>47</v>
      </c>
      <c r="D91" t="s">
        <v>235</v>
      </c>
      <c r="E91">
        <f>VLOOKUP(TablaObra[[#This Row],[Equipo]],Catalogos!$V$4:$W$64,2,FALSE)</f>
      </c>
      <c r="F91" s="3">
        <v>50</v>
      </c>
      <c r="G91" s="4">
        <v>27</v>
      </c>
      <c r="H91" s="4">
        <f t="shared" si="2"/>
      </c>
      <c r="M91">
        <v>25</v>
      </c>
      <c r="N91">
        <f>IF(A91="","", "CO-" &amp; IFERROR(VLOOKUP(B91, Catalogos!$Z$4:$AA$20, 2, FALSE), "FOL") &amp; "-" &amp; WEEKNUM(A91,2) &amp; "-" &amp; TEXT(ROW(A87),"000"))</f>
      </c>
    </row>
    <row r="92" spans="1:14">
      <c r="A92" s="2">
        <v>46189</v>
      </c>
      <c r="B92" t="s">
        <v>400</v>
      </c>
      <c r="C92" t="s">
        <v>47</v>
      </c>
      <c r="D92" t="s">
        <v>383</v>
      </c>
      <c r="E92">
        <f>VLOOKUP(TablaObra[[#This Row],[Equipo]],Catalogos!$V$4:$W$64,2,FALSE)</f>
      </c>
      <c r="F92" s="3">
        <v>50</v>
      </c>
      <c r="G92" s="4">
        <v>27</v>
      </c>
      <c r="H92" s="4">
        <f t="shared" si="2"/>
      </c>
      <c r="M92">
        <v>25</v>
      </c>
      <c r="N92">
        <f>IF(A92="","", "CO-" &amp; IFERROR(VLOOKUP(B92, Catalogos!$Z$4:$AA$20, 2, FALSE), "FOL") &amp; "-" &amp; WEEKNUM(A92,2) &amp; "-" &amp; TEXT(ROW(A88),"000"))</f>
      </c>
    </row>
    <row r="93" spans="1:14">
      <c r="A93" s="2">
        <v>46189</v>
      </c>
      <c r="B93" t="s">
        <v>400</v>
      </c>
      <c r="C93" t="s">
        <v>47</v>
      </c>
      <c r="D93" t="s">
        <v>112</v>
      </c>
      <c r="E93">
        <f>VLOOKUP(TablaObra[[#This Row],[Equipo]],Catalogos!$V$4:$W$64,2,FALSE)</f>
      </c>
      <c r="F93" s="3">
        <v>1001</v>
      </c>
      <c r="G93" s="4">
        <v>27</v>
      </c>
      <c r="H93" s="4">
        <f t="shared" si="2"/>
      </c>
      <c r="M93">
        <v>25</v>
      </c>
      <c r="N93">
        <f>IF(A93="","", "CO-" &amp; IFERROR(VLOOKUP(B93, Catalogos!$Z$4:$AA$20, 2, FALSE), "FOL") &amp; "-" &amp; WEEKNUM(A93,2) &amp; "-" &amp; TEXT(ROW(A89),"000"))</f>
      </c>
    </row>
    <row r="94" spans="1:14">
      <c r="A94" s="2">
        <v>46189</v>
      </c>
      <c r="B94" t="s">
        <v>2</v>
      </c>
      <c r="C94" t="s">
        <v>47</v>
      </c>
      <c r="D94" t="s">
        <v>214</v>
      </c>
      <c r="E94">
        <f>VLOOKUP(TablaObra[[#This Row],[Equipo]],Catalogos!$V$4:$W$64,2,FALSE)</f>
      </c>
      <c r="F94" s="3">
        <v>350</v>
      </c>
      <c r="G94" s="4">
        <v>27</v>
      </c>
      <c r="H94" s="4">
        <f t="shared" si="2"/>
      </c>
      <c r="M94">
        <v>25</v>
      </c>
      <c r="N94">
        <f>IF(A94="","", "CO-" &amp; IFERROR(VLOOKUP(B94, Catalogos!$Z$4:$AA$20, 2, FALSE), "FOL") &amp; "-" &amp; WEEKNUM(A94,2) &amp; "-" &amp; TEXT(ROW(A90),"000"))</f>
      </c>
    </row>
    <row r="95" spans="1:14">
      <c r="A95" s="2">
        <v>46189</v>
      </c>
      <c r="B95" t="s">
        <v>111</v>
      </c>
      <c r="C95" t="s">
        <v>47</v>
      </c>
      <c r="D95" t="s">
        <v>214</v>
      </c>
      <c r="E95">
        <f>VLOOKUP(TablaObra[[#This Row],[Equipo]],Catalogos!$V$4:$W$64,2,FALSE)</f>
      </c>
      <c r="F95" s="3">
        <v>200</v>
      </c>
      <c r="G95" s="4">
        <v>27</v>
      </c>
      <c r="H95" s="4">
        <f t="shared" si="2"/>
      </c>
      <c r="M95">
        <v>25</v>
      </c>
      <c r="N95">
        <f>IF(A95="","", "CO-" &amp; IFERROR(VLOOKUP(B95, Catalogos!$Z$4:$AA$20, 2, FALSE), "FOL") &amp; "-" &amp; WEEKNUM(A95,2) &amp; "-" &amp; TEXT(ROW(A91),"000"))</f>
      </c>
    </row>
    <row r="96" spans="1:14">
      <c r="A96" s="2">
        <v>46189</v>
      </c>
      <c r="B96" t="s">
        <v>2</v>
      </c>
      <c r="C96" t="s">
        <v>47</v>
      </c>
      <c r="D96" t="s">
        <v>235</v>
      </c>
      <c r="E96">
        <f>VLOOKUP(TablaObra[[#This Row],[Equipo]],Catalogos!$V$4:$W$64,2,FALSE)</f>
      </c>
      <c r="F96" s="3">
        <v>50</v>
      </c>
      <c r="G96" s="4">
        <v>27</v>
      </c>
      <c r="H96" s="4">
        <f t="shared" si="2"/>
      </c>
      <c r="M96">
        <v>25</v>
      </c>
      <c r="N96">
        <f>IF(A96="","", "CO-" &amp; IFERROR(VLOOKUP(B96, Catalogos!$Z$4:$AA$20, 2, FALSE), "FOL") &amp; "-" &amp; WEEKNUM(A96,2) &amp; "-" &amp; TEXT(ROW(A92),"000"))</f>
      </c>
    </row>
    <row r="97" spans="1:14">
      <c r="A97" s="2">
        <v>46189</v>
      </c>
      <c r="B97" t="s">
        <v>2</v>
      </c>
      <c r="C97" t="s">
        <v>47</v>
      </c>
      <c r="D97" t="s">
        <v>365</v>
      </c>
      <c r="E97">
        <f>VLOOKUP(TablaObra[[#This Row],[Equipo]],Catalogos!$V$4:$W$64,2,FALSE)</f>
      </c>
      <c r="F97" s="3">
        <v>165</v>
      </c>
      <c r="G97" s="4">
        <v>27</v>
      </c>
      <c r="H97" s="4">
        <f t="shared" si="2"/>
      </c>
      <c r="M97">
        <v>25</v>
      </c>
      <c r="N97">
        <f>IF(A97="","", "CO-" &amp; IFERROR(VLOOKUP(B97, Catalogos!$Z$4:$AA$20, 2, FALSE), "FOL") &amp; "-" &amp; WEEKNUM(A97,2) &amp; "-" &amp; TEXT(ROW(A93),"000"))</f>
      </c>
    </row>
    <row r="98" spans="1:14">
      <c r="A98" s="2">
        <v>46190</v>
      </c>
      <c r="B98" t="s">
        <v>1</v>
      </c>
      <c r="C98" t="s">
        <v>51</v>
      </c>
      <c r="D98" t="s">
        <v>386</v>
      </c>
      <c r="E98">
        <f>VLOOKUP(TablaObra[[#This Row],[Equipo]],Catalogos!$V$4:$W$64,2,FALSE)</f>
      </c>
      <c r="F98" s="3">
        <v>200</v>
      </c>
      <c r="G98" s="4">
        <v>27</v>
      </c>
      <c r="H98" s="4">
        <f t="shared" si="2"/>
      </c>
      <c r="M98">
        <v>25</v>
      </c>
      <c r="N98">
        <f>IF(A98="","", "CO-" &amp; IFERROR(VLOOKUP(B98, Catalogos!$Z$4:$AA$20, 2, FALSE), "FOL") &amp; "-" &amp; WEEKNUM(A98,2) &amp; "-" &amp; TEXT(ROW(A94),"000"))</f>
      </c>
    </row>
    <row r="99" spans="1:14">
      <c r="A99" s="2">
        <v>46190</v>
      </c>
      <c r="B99" t="s">
        <v>1</v>
      </c>
      <c r="C99" t="s">
        <v>51</v>
      </c>
      <c r="D99" t="s">
        <v>368</v>
      </c>
      <c r="E99">
        <f>VLOOKUP(TablaObra[[#This Row],[Equipo]],Catalogos!$V$4:$W$64,2,FALSE)</f>
      </c>
      <c r="F99" s="3">
        <v>120</v>
      </c>
      <c r="G99" s="4">
        <v>27</v>
      </c>
      <c r="H99" s="4">
        <f t="shared" si="2"/>
      </c>
      <c r="M99">
        <v>25</v>
      </c>
      <c r="N99">
        <f>IF(A99="","", "CO-" &amp; IFERROR(VLOOKUP(B99, Catalogos!$Z$4:$AA$20, 2, FALSE), "FOL") &amp; "-" &amp; WEEKNUM(A99,2) &amp; "-" &amp; TEXT(ROW(A95),"000"))</f>
      </c>
    </row>
    <row r="100" spans="1:14">
      <c r="A100" s="2">
        <v>46190</v>
      </c>
      <c r="B100" t="s">
        <v>1</v>
      </c>
      <c r="C100" t="s">
        <v>51</v>
      </c>
      <c r="D100" t="s">
        <v>221</v>
      </c>
      <c r="E100">
        <f>VLOOKUP(TablaObra[[#This Row],[Equipo]],Catalogos!$V$4:$W$64,2,FALSE)</f>
      </c>
      <c r="F100" s="3">
        <v>30</v>
      </c>
      <c r="G100" s="4">
        <v>27</v>
      </c>
      <c r="H100" s="4">
        <f t="shared" si="2"/>
      </c>
      <c r="M100">
        <v>25</v>
      </c>
      <c r="N100">
        <f>IF(A100="","", "CO-" &amp; IFERROR(VLOOKUP(B100, Catalogos!$Z$4:$AA$20, 2, FALSE), "FOL") &amp; "-" &amp; WEEKNUM(A100,2) &amp; "-" &amp; TEXT(ROW(A96),"000"))</f>
      </c>
    </row>
    <row r="101" spans="1:14">
      <c r="A101" s="2">
        <v>46190</v>
      </c>
      <c r="B101" t="s">
        <v>1</v>
      </c>
      <c r="C101" t="s">
        <v>51</v>
      </c>
      <c r="D101" t="s">
        <v>224</v>
      </c>
      <c r="E101">
        <f>VLOOKUP(TablaObra[[#This Row],[Equipo]],Catalogos!$V$4:$W$64,2,FALSE)</f>
      </c>
      <c r="F101" s="3">
        <v>30</v>
      </c>
      <c r="G101" s="4">
        <v>27</v>
      </c>
      <c r="H101" s="4">
        <f t="shared" ref="H101:H132" si="3">IFERROR(F101*G101,0)</f>
      </c>
      <c r="M101">
        <v>25</v>
      </c>
      <c r="N101">
        <f>IF(A101="","", "CO-" &amp; IFERROR(VLOOKUP(B101, Catalogos!$Z$4:$AA$20, 2, FALSE), "FOL") &amp; "-" &amp; WEEKNUM(A101,2) &amp; "-" &amp; TEXT(ROW(A97),"000"))</f>
      </c>
    </row>
    <row r="102" spans="1:14">
      <c r="A102" s="2">
        <v>46190</v>
      </c>
      <c r="B102" t="s">
        <v>1</v>
      </c>
      <c r="C102" t="s">
        <v>51</v>
      </c>
      <c r="D102" t="s">
        <v>216</v>
      </c>
      <c r="E102">
        <f>VLOOKUP(TablaObra[[#This Row],[Equipo]],Catalogos!$V$4:$W$64,2,FALSE)</f>
      </c>
      <c r="F102" s="3">
        <v>28</v>
      </c>
      <c r="G102" s="4">
        <v>27</v>
      </c>
      <c r="H102" s="4">
        <f t="shared" si="3"/>
      </c>
      <c r="M102">
        <v>25</v>
      </c>
      <c r="N102">
        <f>IF(A102="","", "CO-" &amp; IFERROR(VLOOKUP(B102, Catalogos!$Z$4:$AA$20, 2, FALSE), "FOL") &amp; "-" &amp; WEEKNUM(A102,2) &amp; "-" &amp; TEXT(ROW(A98),"000"))</f>
      </c>
    </row>
    <row r="103" spans="1:14">
      <c r="A103" s="2">
        <v>46190</v>
      </c>
      <c r="B103" t="s">
        <v>1</v>
      </c>
      <c r="C103" t="s">
        <v>51</v>
      </c>
      <c r="D103" t="s">
        <v>228</v>
      </c>
      <c r="E103">
        <f>VLOOKUP(TablaObra[[#This Row],[Equipo]],Catalogos!$V$4:$W$64,2,FALSE)</f>
      </c>
      <c r="F103" s="3">
        <v>60</v>
      </c>
      <c r="G103" s="4">
        <v>27</v>
      </c>
      <c r="H103" s="4">
        <f t="shared" si="3"/>
      </c>
      <c r="M103">
        <v>25</v>
      </c>
      <c r="N103">
        <f>IF(A103="","", "CO-" &amp; IFERROR(VLOOKUP(B103, Catalogos!$Z$4:$AA$20, 2, FALSE), "FOL") &amp; "-" &amp; WEEKNUM(A103,2) &amp; "-" &amp; TEXT(ROW(A99),"000"))</f>
      </c>
    </row>
    <row r="104" spans="1:14">
      <c r="A104" s="2">
        <v>46190</v>
      </c>
      <c r="B104" t="s">
        <v>2</v>
      </c>
      <c r="C104" t="s">
        <v>47</v>
      </c>
      <c r="D104" t="s">
        <v>231</v>
      </c>
      <c r="E104">
        <f>VLOOKUP(TablaObra[[#This Row],[Equipo]],Catalogos!$V$4:$W$64,2,FALSE)</f>
      </c>
      <c r="F104" s="3">
        <v>80</v>
      </c>
      <c r="G104" s="4">
        <v>27</v>
      </c>
      <c r="H104" s="4">
        <f t="shared" si="3"/>
      </c>
      <c r="M104">
        <v>25</v>
      </c>
      <c r="N104">
        <f>IF(A104="","", "CO-" &amp; IFERROR(VLOOKUP(B104, Catalogos!$Z$4:$AA$20, 2, FALSE), "FOL") &amp; "-" &amp; WEEKNUM(A104,2) &amp; "-" &amp; TEXT(ROW(A100),"000"))</f>
      </c>
    </row>
    <row r="105" spans="1:14">
      <c r="A105" s="2">
        <v>46190</v>
      </c>
      <c r="B105" t="s">
        <v>111</v>
      </c>
      <c r="C105" t="s">
        <v>47</v>
      </c>
      <c r="D105" t="s">
        <v>221</v>
      </c>
      <c r="E105">
        <f>VLOOKUP(TablaObra[[#This Row],[Equipo]],Catalogos!$V$4:$W$64,2,FALSE)</f>
      </c>
      <c r="F105" s="3">
        <v>20</v>
      </c>
      <c r="G105" s="4">
        <v>27</v>
      </c>
      <c r="H105" s="4">
        <f t="shared" si="3"/>
      </c>
      <c r="M105">
        <v>25</v>
      </c>
      <c r="N105">
        <f>IF(A105="","", "CO-" &amp; IFERROR(VLOOKUP(B105, Catalogos!$Z$4:$AA$20, 2, FALSE), "FOL") &amp; "-" &amp; WEEKNUM(A105,2) &amp; "-" &amp; TEXT(ROW(A101),"000"))</f>
      </c>
    </row>
    <row r="106" spans="1:14">
      <c r="A106" s="2">
        <v>46190</v>
      </c>
      <c r="B106" t="s">
        <v>124</v>
      </c>
      <c r="C106" t="s">
        <v>237</v>
      </c>
      <c r="D106" t="s">
        <v>240</v>
      </c>
      <c r="E106">
        <f>VLOOKUP(TablaObra[[#This Row],[Equipo]],Catalogos!$V$4:$W$64,2,FALSE)</f>
      </c>
      <c r="F106" s="3">
        <v>100</v>
      </c>
      <c r="G106" s="4">
        <v>27</v>
      </c>
      <c r="H106" s="4">
        <f t="shared" si="3"/>
      </c>
      <c r="M106">
        <v>25</v>
      </c>
      <c r="N106">
        <f>IF(A106="","", "CO-" &amp; IFERROR(VLOOKUP(B106, Catalogos!$Z$4:$AA$20, 2, FALSE), "FOL") &amp; "-" &amp; WEEKNUM(A106,2) &amp; "-" &amp; TEXT(ROW(A102),"000"))</f>
      </c>
    </row>
    <row r="107" spans="1:14">
      <c r="A107" s="2">
        <v>46190</v>
      </c>
      <c r="B107" t="s">
        <v>124</v>
      </c>
      <c r="C107" t="s">
        <v>237</v>
      </c>
      <c r="D107" t="s">
        <v>798</v>
      </c>
      <c r="E107">
        <f>VLOOKUP(TablaObra[[#This Row],[Equipo]],Catalogos!$V$4:$W$64,2,FALSE)</f>
      </c>
      <c r="F107" s="3">
        <v>200</v>
      </c>
      <c r="G107" s="4">
        <v>27</v>
      </c>
      <c r="H107" s="4">
        <f t="shared" si="3"/>
      </c>
      <c r="M107">
        <v>25</v>
      </c>
      <c r="N107">
        <f>IF(A107="","", "CO-" &amp; IFERROR(VLOOKUP(B107, Catalogos!$Z$4:$AA$20, 2, FALSE), "FOL") &amp; "-" &amp; WEEKNUM(A107,2) &amp; "-" &amp; TEXT(ROW(A103),"000"))</f>
      </c>
    </row>
    <row r="108" spans="1:14">
      <c r="A108" s="2">
        <v>46191</v>
      </c>
      <c r="B108" t="s">
        <v>1</v>
      </c>
      <c r="C108" t="s">
        <v>51</v>
      </c>
      <c r="D108" t="s">
        <v>386</v>
      </c>
      <c r="E108">
        <f>VLOOKUP(TablaObra[[#This Row],[Equipo]],Catalogos!$V$4:$W$64,2,FALSE)</f>
      </c>
      <c r="F108" s="3">
        <v>200</v>
      </c>
      <c r="G108" s="4">
        <v>27</v>
      </c>
      <c r="H108" s="4">
        <f t="shared" si="3"/>
      </c>
      <c r="M108">
        <v>25</v>
      </c>
      <c r="N108">
        <f>IF(A108="","", "CO-" &amp; IFERROR(VLOOKUP(B108, Catalogos!$Z$4:$AA$20, 2, FALSE), "FOL") &amp; "-" &amp; WEEKNUM(A108,2) &amp; "-" &amp; TEXT(ROW(A104),"000"))</f>
      </c>
    </row>
    <row r="109" spans="1:14">
      <c r="A109" s="2">
        <v>46191</v>
      </c>
      <c r="B109" t="s">
        <v>1</v>
      </c>
      <c r="C109" t="s">
        <v>51</v>
      </c>
      <c r="D109" t="s">
        <v>368</v>
      </c>
      <c r="E109">
        <f>VLOOKUP(TablaObra[[#This Row],[Equipo]],Catalogos!$V$4:$W$64,2,FALSE)</f>
      </c>
      <c r="F109" s="3">
        <v>115</v>
      </c>
      <c r="G109" s="4">
        <v>27</v>
      </c>
      <c r="H109" s="4">
        <f t="shared" si="3"/>
      </c>
      <c r="M109">
        <v>25</v>
      </c>
      <c r="N109">
        <f>IF(A109="","", "CO-" &amp; IFERROR(VLOOKUP(B109, Catalogos!$Z$4:$AA$20, 2, FALSE), "FOL") &amp; "-" &amp; WEEKNUM(A109,2) &amp; "-" &amp; TEXT(ROW(A105),"000"))</f>
      </c>
    </row>
    <row r="110" spans="1:14">
      <c r="A110" s="2">
        <v>46191</v>
      </c>
      <c r="B110" t="s">
        <v>1</v>
      </c>
      <c r="C110" t="s">
        <v>51</v>
      </c>
      <c r="D110" t="s">
        <v>224</v>
      </c>
      <c r="E110">
        <f>VLOOKUP(TablaObra[[#This Row],[Equipo]],Catalogos!$V$4:$W$64,2,FALSE)</f>
      </c>
      <c r="F110" s="3">
        <v>30</v>
      </c>
      <c r="G110" s="4">
        <v>27</v>
      </c>
      <c r="H110" s="4">
        <f t="shared" si="3"/>
      </c>
      <c r="M110">
        <v>25</v>
      </c>
      <c r="N110">
        <f>IF(A110="","", "CO-" &amp; IFERROR(VLOOKUP(B110, Catalogos!$Z$4:$AA$20, 2, FALSE), "FOL") &amp; "-" &amp; WEEKNUM(A110,2) &amp; "-" &amp; TEXT(ROW(A106),"000"))</f>
      </c>
    </row>
    <row r="111" spans="1:14">
      <c r="A111" s="2">
        <v>46191</v>
      </c>
      <c r="B111" t="s">
        <v>1</v>
      </c>
      <c r="C111" t="s">
        <v>51</v>
      </c>
      <c r="D111" t="s">
        <v>221</v>
      </c>
      <c r="E111">
        <f>VLOOKUP(TablaObra[[#This Row],[Equipo]],Catalogos!$V$4:$W$64,2,FALSE)</f>
      </c>
      <c r="F111" s="3">
        <v>30</v>
      </c>
      <c r="G111" s="4">
        <v>27</v>
      </c>
      <c r="H111" s="4">
        <f t="shared" si="3"/>
      </c>
      <c r="M111">
        <v>25</v>
      </c>
      <c r="N111">
        <f>IF(A111="","", "CO-" &amp; IFERROR(VLOOKUP(B111, Catalogos!$Z$4:$AA$20, 2, FALSE), "FOL") &amp; "-" &amp; WEEKNUM(A111,2) &amp; "-" &amp; TEXT(ROW(A107),"000"))</f>
      </c>
    </row>
    <row r="112" spans="1:14">
      <c r="A112" s="2">
        <v>46191</v>
      </c>
      <c r="B112" t="s">
        <v>1</v>
      </c>
      <c r="C112" t="s">
        <v>51</v>
      </c>
      <c r="D112" t="s">
        <v>228</v>
      </c>
      <c r="E112">
        <f>VLOOKUP(TablaObra[[#This Row],[Equipo]],Catalogos!$V$4:$W$64,2,FALSE)</f>
      </c>
      <c r="F112" s="3">
        <v>30</v>
      </c>
      <c r="G112" s="4">
        <v>27</v>
      </c>
      <c r="H112" s="4">
        <f t="shared" si="3"/>
      </c>
      <c r="M112">
        <v>25</v>
      </c>
      <c r="N112">
        <f>IF(A112="","", "CO-" &amp; IFERROR(VLOOKUP(B112, Catalogos!$Z$4:$AA$20, 2, FALSE), "FOL") &amp; "-" &amp; WEEKNUM(A112,2) &amp; "-" &amp; TEXT(ROW(A108),"000"))</f>
      </c>
    </row>
    <row r="113" spans="1:14">
      <c r="A113" s="2">
        <v>46191</v>
      </c>
      <c r="B113" t="s">
        <v>1</v>
      </c>
      <c r="C113" t="s">
        <v>51</v>
      </c>
      <c r="D113" t="s">
        <v>383</v>
      </c>
      <c r="E113">
        <f>VLOOKUP(TablaObra[[#This Row],[Equipo]],Catalogos!$V$4:$W$64,2,FALSE)</f>
      </c>
      <c r="F113" s="3">
        <v>50</v>
      </c>
      <c r="G113" s="4">
        <v>27</v>
      </c>
      <c r="H113" s="4">
        <f t="shared" si="3"/>
      </c>
      <c r="M113">
        <v>25</v>
      </c>
      <c r="N113">
        <f>IF(A113="","", "CO-" &amp; IFERROR(VLOOKUP(B113, Catalogos!$Z$4:$AA$20, 2, FALSE), "FOL") &amp; "-" &amp; WEEKNUM(A113,2) &amp; "-" &amp; TEXT(ROW(A109),"000"))</f>
      </c>
    </row>
    <row r="114" spans="1:14">
      <c r="A114" s="2">
        <v>46191</v>
      </c>
      <c r="B114" t="s">
        <v>124</v>
      </c>
      <c r="C114" t="s">
        <v>237</v>
      </c>
      <c r="D114" t="s">
        <v>240</v>
      </c>
      <c r="E114">
        <f>VLOOKUP(TablaObra[[#This Row],[Equipo]],Catalogos!$V$4:$W$64,2,FALSE)</f>
      </c>
      <c r="F114" s="3">
        <v>200</v>
      </c>
      <c r="G114" s="4">
        <v>27</v>
      </c>
      <c r="H114" s="4">
        <f t="shared" si="3"/>
      </c>
      <c r="M114">
        <v>25</v>
      </c>
      <c r="N114">
        <f>IF(A114="","", "CO-" &amp; IFERROR(VLOOKUP(B114, Catalogos!$Z$4:$AA$20, 2, FALSE), "FOL") &amp; "-" &amp; WEEKNUM(A114,2) &amp; "-" &amp; TEXT(ROW(A110),"000"))</f>
      </c>
    </row>
    <row r="115" spans="1:14">
      <c r="A115" s="2">
        <v>46191</v>
      </c>
      <c r="B115" t="s">
        <v>124</v>
      </c>
      <c r="C115" t="s">
        <v>237</v>
      </c>
      <c r="D115" t="s">
        <v>248</v>
      </c>
      <c r="E115">
        <f>VLOOKUP(TablaObra[[#This Row],[Equipo]],Catalogos!$V$4:$W$64,2,FALSE)</f>
      </c>
      <c r="F115" s="3">
        <v>100</v>
      </c>
      <c r="G115" s="4">
        <v>27</v>
      </c>
      <c r="H115" s="4">
        <f t="shared" si="3"/>
      </c>
      <c r="M115">
        <v>25</v>
      </c>
      <c r="N115">
        <f>IF(A115="","", "CO-" &amp; IFERROR(VLOOKUP(B115, Catalogos!$Z$4:$AA$20, 2, FALSE), "FOL") &amp; "-" &amp; WEEKNUM(A115,2) &amp; "-" &amp; TEXT(ROW(A111),"000"))</f>
      </c>
    </row>
    <row r="116" spans="1:14">
      <c r="A116" s="2">
        <v>46191</v>
      </c>
      <c r="B116" t="s">
        <v>124</v>
      </c>
      <c r="C116" t="s">
        <v>237</v>
      </c>
      <c r="D116" t="s">
        <v>241</v>
      </c>
      <c r="E116">
        <f>VLOOKUP(TablaObra[[#This Row],[Equipo]],Catalogos!$V$4:$W$64,2,FALSE)</f>
      </c>
      <c r="F116" s="3">
        <v>100</v>
      </c>
      <c r="G116" s="4">
        <v>27</v>
      </c>
      <c r="H116" s="4">
        <f t="shared" si="3"/>
      </c>
      <c r="M116">
        <v>25</v>
      </c>
      <c r="N116">
        <f>IF(A116="","", "CO-" &amp; IFERROR(VLOOKUP(B116, Catalogos!$Z$4:$AA$20, 2, FALSE), "FOL") &amp; "-" &amp; WEEKNUM(A116,2) &amp; "-" &amp; TEXT(ROW(A112),"000"))</f>
      </c>
    </row>
    <row r="117" spans="1:14">
      <c r="A117" s="2">
        <v>46191</v>
      </c>
      <c r="B117" t="s">
        <v>124</v>
      </c>
      <c r="C117" t="s">
        <v>237</v>
      </c>
      <c r="D117" t="s">
        <v>245</v>
      </c>
      <c r="E117">
        <f>VLOOKUP(TablaObra[[#This Row],[Equipo]],Catalogos!$V$4:$W$64,2,FALSE)</f>
      </c>
      <c r="F117" s="3">
        <v>100</v>
      </c>
      <c r="G117" s="4">
        <v>27</v>
      </c>
      <c r="H117" s="4">
        <f t="shared" si="3"/>
      </c>
      <c r="M117">
        <v>25</v>
      </c>
      <c r="N117">
        <f>IF(A117="","", "CO-" &amp; IFERROR(VLOOKUP(B117, Catalogos!$Z$4:$AA$20, 2, FALSE), "FOL") &amp; "-" &amp; WEEKNUM(A117,2) &amp; "-" &amp; TEXT(ROW(A113),"000"))</f>
      </c>
    </row>
    <row r="118" spans="1:14">
      <c r="A118" s="2">
        <v>46192</v>
      </c>
      <c r="B118" t="s">
        <v>2</v>
      </c>
      <c r="C118" t="s">
        <v>47</v>
      </c>
      <c r="D118" t="s">
        <v>383</v>
      </c>
      <c r="E118">
        <f>VLOOKUP(TablaObra[[#This Row],[Equipo]],Catalogos!$V$4:$W$64,2,FALSE)</f>
      </c>
      <c r="F118" s="3">
        <v>40</v>
      </c>
      <c r="G118" s="4">
        <v>27</v>
      </c>
      <c r="H118" s="4">
        <f t="shared" si="3"/>
      </c>
      <c r="M118">
        <v>25</v>
      </c>
      <c r="N118">
        <f>IF(A118="","", "CO-" &amp; IFERROR(VLOOKUP(B118, Catalogos!$Z$4:$AA$20, 2, FALSE), "FOL") &amp; "-" &amp; WEEKNUM(A118,2) &amp; "-" &amp; TEXT(ROW(A114),"000"))</f>
      </c>
    </row>
    <row r="119" spans="1:14">
      <c r="A119" s="2">
        <v>46192</v>
      </c>
      <c r="B119" t="s">
        <v>159</v>
      </c>
      <c r="C119" t="s">
        <v>47</v>
      </c>
      <c r="D119" t="s">
        <v>383</v>
      </c>
      <c r="E119">
        <f>VLOOKUP(TablaObra[[#This Row],[Equipo]],Catalogos!$V$4:$W$64,2,FALSE)</f>
      </c>
      <c r="F119" s="3">
        <v>40</v>
      </c>
      <c r="G119" s="4">
        <v>27</v>
      </c>
      <c r="H119" s="4">
        <f t="shared" si="3"/>
      </c>
      <c r="M119">
        <v>25</v>
      </c>
      <c r="N119">
        <f>IF(A119="","", "CO-" &amp; IFERROR(VLOOKUP(B119, Catalogos!$Z$4:$AA$20, 2, FALSE), "FOL") &amp; "-" &amp; WEEKNUM(A119,2) &amp; "-" &amp; TEXT(ROW(A115),"000"))</f>
      </c>
    </row>
    <row r="120" spans="1:14">
      <c r="A120" s="2">
        <v>46192</v>
      </c>
      <c r="B120" t="s">
        <v>2</v>
      </c>
      <c r="C120" t="s">
        <v>47</v>
      </c>
      <c r="D120" t="s">
        <v>217</v>
      </c>
      <c r="E120">
        <f>VLOOKUP(TablaObra[[#This Row],[Equipo]],Catalogos!$V$4:$W$64,2,FALSE)</f>
      </c>
      <c r="F120" s="3">
        <v>43</v>
      </c>
      <c r="G120" s="4">
        <v>27</v>
      </c>
      <c r="H120" s="4">
        <f t="shared" si="3"/>
      </c>
      <c r="M120">
        <v>25</v>
      </c>
      <c r="N120">
        <f>IF(A120="","", "CO-" &amp; IFERROR(VLOOKUP(B120, Catalogos!$Z$4:$AA$20, 2, FALSE), "FOL") &amp; "-" &amp; WEEKNUM(A120,2) &amp; "-" &amp; TEXT(ROW(A116),"000"))</f>
      </c>
    </row>
    <row r="121" spans="1:14">
      <c r="A121" s="2">
        <v>46192</v>
      </c>
      <c r="B121" t="s">
        <v>2</v>
      </c>
      <c r="C121" t="s">
        <v>47</v>
      </c>
      <c r="D121" t="s">
        <v>221</v>
      </c>
      <c r="E121">
        <f>VLOOKUP(TablaObra[[#This Row],[Equipo]],Catalogos!$V$4:$W$64,2,FALSE)</f>
      </c>
      <c r="F121" s="3">
        <v>50</v>
      </c>
      <c r="G121" s="4">
        <v>27</v>
      </c>
      <c r="H121" s="4">
        <f t="shared" si="3"/>
      </c>
      <c r="M121">
        <v>25</v>
      </c>
      <c r="N121">
        <f>IF(A121="","", "CO-" &amp; IFERROR(VLOOKUP(B121, Catalogos!$Z$4:$AA$20, 2, FALSE), "FOL") &amp; "-" &amp; WEEKNUM(A121,2) &amp; "-" &amp; TEXT(ROW(A117),"000"))</f>
      </c>
    </row>
    <row r="122" spans="1:14">
      <c r="A122" s="2">
        <v>46192</v>
      </c>
      <c r="B122" t="s">
        <v>2</v>
      </c>
      <c r="C122" t="s">
        <v>47</v>
      </c>
      <c r="D122" t="s">
        <v>228</v>
      </c>
      <c r="E122">
        <f>VLOOKUP(TablaObra[[#This Row],[Equipo]],Catalogos!$V$4:$W$64,2,FALSE)</f>
      </c>
      <c r="F122" s="3">
        <v>80</v>
      </c>
      <c r="G122" s="4">
        <v>27</v>
      </c>
      <c r="H122" s="4">
        <f t="shared" si="3"/>
      </c>
      <c r="M122">
        <v>25</v>
      </c>
      <c r="N122">
        <f>IF(A122="","", "CO-" &amp; IFERROR(VLOOKUP(B122, Catalogos!$Z$4:$AA$20, 2, FALSE), "FOL") &amp; "-" &amp; WEEKNUM(A122,2) &amp; "-" &amp; TEXT(ROW(A118),"000"))</f>
      </c>
    </row>
    <row r="123" spans="1:14">
      <c r="A123" s="2">
        <v>46192</v>
      </c>
      <c r="B123" t="s">
        <v>2</v>
      </c>
      <c r="C123" t="s">
        <v>47</v>
      </c>
      <c r="D123" t="s">
        <v>223</v>
      </c>
      <c r="E123">
        <f>VLOOKUP(TablaObra[[#This Row],[Equipo]],Catalogos!$V$4:$W$64,2,FALSE)</f>
      </c>
      <c r="F123" s="3">
        <v>30</v>
      </c>
      <c r="G123" s="4">
        <v>27</v>
      </c>
      <c r="H123" s="4">
        <f t="shared" si="3"/>
      </c>
      <c r="M123">
        <v>25</v>
      </c>
      <c r="N123">
        <f>IF(A123="","", "CO-" &amp; IFERROR(VLOOKUP(B123, Catalogos!$Z$4:$AA$20, 2, FALSE), "FOL") &amp; "-" &amp; WEEKNUM(A123,2) &amp; "-" &amp; TEXT(ROW(A119),"000"))</f>
      </c>
    </row>
    <row r="124" spans="1:14">
      <c r="A124" s="2">
        <v>46192</v>
      </c>
      <c r="B124" t="s">
        <v>2</v>
      </c>
      <c r="C124" t="s">
        <v>47</v>
      </c>
      <c r="D124" t="s">
        <v>365</v>
      </c>
      <c r="E124">
        <f>VLOOKUP(TablaObra[[#This Row],[Equipo]],Catalogos!$V$4:$W$64,2,FALSE)</f>
      </c>
      <c r="F124" s="3">
        <v>160</v>
      </c>
      <c r="G124" s="4">
        <v>27</v>
      </c>
      <c r="H124" s="4">
        <f t="shared" si="3"/>
      </c>
      <c r="M124">
        <v>25</v>
      </c>
      <c r="N124">
        <f>IF(A124="","", "CO-" &amp; IFERROR(VLOOKUP(B124, Catalogos!$Z$4:$AA$20, 2, FALSE), "FOL") &amp; "-" &amp; WEEKNUM(A124,2) &amp; "-" &amp; TEXT(ROW(A120),"000"))</f>
      </c>
    </row>
    <row r="125" spans="1:14">
      <c r="A125" s="2">
        <v>46192</v>
      </c>
      <c r="B125" t="s">
        <v>2</v>
      </c>
      <c r="C125" t="s">
        <v>47</v>
      </c>
      <c r="D125" t="s">
        <v>235</v>
      </c>
      <c r="E125">
        <f>VLOOKUP(TablaObra[[#This Row],[Equipo]],Catalogos!$V$4:$W$64,2,FALSE)</f>
      </c>
      <c r="F125" s="3">
        <v>50</v>
      </c>
      <c r="G125" s="4">
        <v>27</v>
      </c>
      <c r="H125" s="4">
        <f t="shared" si="3"/>
      </c>
      <c r="M125">
        <v>25</v>
      </c>
      <c r="N125">
        <f>IF(A125="","", "CO-" &amp; IFERROR(VLOOKUP(B125, Catalogos!$Z$4:$AA$20, 2, FALSE), "FOL") &amp; "-" &amp; WEEKNUM(A125,2) &amp; "-" &amp; TEXT(ROW(A121),"000"))</f>
      </c>
    </row>
    <row r="126" spans="1:14">
      <c r="A126" s="2">
        <v>46192</v>
      </c>
      <c r="B126" t="s">
        <v>111</v>
      </c>
      <c r="C126" t="s">
        <v>47</v>
      </c>
      <c r="D126" t="s">
        <v>209</v>
      </c>
      <c r="E126">
        <f>VLOOKUP(TablaObra[[#This Row],[Equipo]],Catalogos!$V$4:$W$64,2,FALSE)</f>
      </c>
      <c r="F126" s="3">
        <v>60</v>
      </c>
      <c r="G126" s="4">
        <v>27</v>
      </c>
      <c r="H126" s="4">
        <f t="shared" si="3"/>
      </c>
      <c r="M126">
        <v>25</v>
      </c>
      <c r="N126">
        <f>IF(A126="","", "CO-" &amp; IFERROR(VLOOKUP(B126, Catalogos!$Z$4:$AA$20, 2, FALSE), "FOL") &amp; "-" &amp; WEEKNUM(A126,2) &amp; "-" &amp; TEXT(ROW(A122),"000"))</f>
      </c>
    </row>
    <row r="127" spans="1:14">
      <c r="A127" s="2">
        <v>46192</v>
      </c>
      <c r="B127" t="s">
        <v>1</v>
      </c>
      <c r="C127" t="s">
        <v>51</v>
      </c>
      <c r="D127" t="s">
        <v>368</v>
      </c>
      <c r="E127">
        <f>VLOOKUP(TablaObra[[#This Row],[Equipo]],Catalogos!$V$4:$W$64,2,FALSE)</f>
      </c>
      <c r="F127" s="3">
        <v>120</v>
      </c>
      <c r="G127" s="4">
        <v>27</v>
      </c>
      <c r="H127" s="4">
        <f t="shared" si="3"/>
      </c>
      <c r="M127">
        <v>25</v>
      </c>
      <c r="N127">
        <f>IF(A127="","", "CO-" &amp; IFERROR(VLOOKUP(B127, Catalogos!$Z$4:$AA$20, 2, FALSE), "FOL") &amp; "-" &amp; WEEKNUM(A127,2) &amp; "-" &amp; TEXT(ROW(A123),"000"))</f>
      </c>
    </row>
    <row r="128" spans="1:14">
      <c r="A128" s="2">
        <v>46192</v>
      </c>
      <c r="B128" t="s">
        <v>1</v>
      </c>
      <c r="C128" t="s">
        <v>51</v>
      </c>
      <c r="D128" t="s">
        <v>221</v>
      </c>
      <c r="E128">
        <f>VLOOKUP(TablaObra[[#This Row],[Equipo]],Catalogos!$V$4:$W$64,2,FALSE)</f>
      </c>
      <c r="F128" s="3">
        <v>30</v>
      </c>
      <c r="G128" s="4">
        <v>27</v>
      </c>
      <c r="H128" s="4">
        <f t="shared" si="3"/>
      </c>
      <c r="M128">
        <v>25</v>
      </c>
      <c r="N128">
        <f>IF(A128="","", "CO-" &amp; IFERROR(VLOOKUP(B128, Catalogos!$Z$4:$AA$20, 2, FALSE), "FOL") &amp; "-" &amp; WEEKNUM(A128,2) &amp; "-" &amp; TEXT(ROW(A124),"000"))</f>
      </c>
    </row>
    <row r="129" spans="1:14">
      <c r="A129" s="2">
        <v>46192</v>
      </c>
      <c r="B129" t="s">
        <v>1</v>
      </c>
      <c r="C129" t="s">
        <v>51</v>
      </c>
      <c r="D129" t="s">
        <v>224</v>
      </c>
      <c r="E129">
        <f>VLOOKUP(TablaObra[[#This Row],[Equipo]],Catalogos!$V$4:$W$64,2,FALSE)</f>
      </c>
      <c r="F129" s="3">
        <v>84</v>
      </c>
      <c r="G129" s="4">
        <v>27</v>
      </c>
      <c r="H129" s="4">
        <f t="shared" si="3"/>
      </c>
      <c r="M129">
        <v>25</v>
      </c>
      <c r="N129">
        <f>IF(A129="","", "CO-" &amp; IFERROR(VLOOKUP(B129, Catalogos!$Z$4:$AA$20, 2, FALSE), "FOL") &amp; "-" &amp; WEEKNUM(A129,2) &amp; "-" &amp; TEXT(ROW(A125),"000"))</f>
      </c>
    </row>
    <row r="130" spans="1:14">
      <c r="A130" s="2">
        <v>46192</v>
      </c>
      <c r="B130" t="s">
        <v>1</v>
      </c>
      <c r="C130" t="s">
        <v>51</v>
      </c>
      <c r="D130" t="s">
        <v>228</v>
      </c>
      <c r="E130">
        <f>VLOOKUP(TablaObra[[#This Row],[Equipo]],Catalogos!$V$4:$W$64,2,FALSE)</f>
      </c>
      <c r="F130" s="3">
        <v>40</v>
      </c>
      <c r="G130" s="4">
        <v>27</v>
      </c>
      <c r="H130" s="4">
        <f t="shared" si="3"/>
      </c>
      <c r="M130">
        <v>25</v>
      </c>
      <c r="N130">
        <f>IF(A130="","", "CO-" &amp; IFERROR(VLOOKUP(B130, Catalogos!$Z$4:$AA$20, 2, FALSE), "FOL") &amp; "-" &amp; WEEKNUM(A130,2) &amp; "-" &amp; TEXT(ROW(A126),"000"))</f>
      </c>
    </row>
    <row r="131" spans="1:14">
      <c r="A131" s="2">
        <v>46192</v>
      </c>
      <c r="B131" t="s">
        <v>1</v>
      </c>
      <c r="C131" t="s">
        <v>51</v>
      </c>
      <c r="D131" t="s">
        <v>216</v>
      </c>
      <c r="E131">
        <f>VLOOKUP(TablaObra[[#This Row],[Equipo]],Catalogos!$V$4:$W$64,2,FALSE)</f>
      </c>
      <c r="F131" s="3">
        <v>30</v>
      </c>
      <c r="G131" s="4">
        <v>27</v>
      </c>
      <c r="H131" s="4">
        <f t="shared" si="3"/>
      </c>
      <c r="M131">
        <v>25</v>
      </c>
      <c r="N131">
        <f>IF(A131="","", "CO-" &amp; IFERROR(VLOOKUP(B131, Catalogos!$Z$4:$AA$20, 2, FALSE), "FOL") &amp; "-" &amp; WEEKNUM(A131,2) &amp; "-" &amp; TEXT(ROW(A127),"000"))</f>
      </c>
    </row>
    <row r="132" spans="1:14">
      <c r="A132" s="2">
        <v>46192</v>
      </c>
      <c r="B132" t="s">
        <v>111</v>
      </c>
      <c r="C132" t="s">
        <v>47</v>
      </c>
      <c r="D132" t="s">
        <v>209</v>
      </c>
      <c r="E132">
        <f>VLOOKUP(TablaObra[[#This Row],[Equipo]],Catalogos!$V$4:$W$64,2,FALSE)</f>
      </c>
      <c r="F132" s="3">
        <v>50</v>
      </c>
      <c r="G132" s="4">
        <v>27</v>
      </c>
      <c r="H132" s="4">
        <f t="shared" si="3"/>
      </c>
      <c r="M132">
        <v>25</v>
      </c>
      <c r="N132">
        <f>IF(A132="","", "CO-" &amp; IFERROR(VLOOKUP(B132, Catalogos!$Z$4:$AA$20, 2, FALSE), "FOL") &amp; "-" &amp; WEEKNUM(A132,2) &amp; "-" &amp; TEXT(ROW(A128),"000"))</f>
      </c>
    </row>
    <row r="133" spans="1:14">
      <c r="A133" s="2">
        <v>46192</v>
      </c>
      <c r="B133" t="s">
        <v>111</v>
      </c>
      <c r="C133" t="s">
        <v>47</v>
      </c>
      <c r="D133" t="s">
        <v>250</v>
      </c>
      <c r="E133">
        <f>VLOOKUP(TablaObra[[#This Row],[Equipo]],Catalogos!$V$4:$W$64,2,FALSE)</f>
      </c>
      <c r="F133" s="3">
        <v>10</v>
      </c>
      <c r="G133" s="4">
        <v>27</v>
      </c>
      <c r="H133" s="4">
        <f t="shared" ref="H133:H153" si="4">IFERROR(F133*G133,0)</f>
      </c>
      <c r="M133">
        <v>25</v>
      </c>
      <c r="N133">
        <f>IF(A133="","", "CO-" &amp; IFERROR(VLOOKUP(B133, Catalogos!$Z$4:$AA$20, 2, FALSE), "FOL") &amp; "-" &amp; WEEKNUM(A133,2) &amp; "-" &amp; TEXT(ROW(A129),"000"))</f>
      </c>
    </row>
    <row r="134" spans="1:14">
      <c r="A134" s="2">
        <v>46195</v>
      </c>
      <c r="B134" t="s">
        <v>1</v>
      </c>
      <c r="C134" t="s">
        <v>51</v>
      </c>
      <c r="D134" t="s">
        <v>211</v>
      </c>
      <c r="E134">
        <f>VLOOKUP(TablaObra[[#This Row],[Equipo]],Catalogos!$V$4:$W$64,2,FALSE)</f>
      </c>
      <c r="F134" s="3">
        <v>106</v>
      </c>
      <c r="G134" s="4">
        <v>27</v>
      </c>
      <c r="H134" s="4">
        <f t="shared" si="4"/>
      </c>
      <c r="M134">
        <v>26</v>
      </c>
      <c r="N134">
        <f>IF(A134="","", "CO-" &amp; IFERROR(VLOOKUP(B134, Catalogos!$Z$4:$AA$20, 2, FALSE), "FOL") &amp; "-" &amp; WEEKNUM(A134,2) &amp; "-" &amp; TEXT(ROW(A130),"000"))</f>
      </c>
    </row>
    <row r="135" spans="1:14">
      <c r="A135" s="2">
        <v>46195</v>
      </c>
      <c r="B135" t="s">
        <v>1</v>
      </c>
      <c r="C135" t="s">
        <v>51</v>
      </c>
      <c r="D135" t="s">
        <v>224</v>
      </c>
      <c r="E135">
        <f>VLOOKUP(TablaObra[[#This Row],[Equipo]],Catalogos!$V$4:$W$64,2,FALSE)</f>
      </c>
      <c r="F135" s="3">
        <v>50</v>
      </c>
      <c r="G135" s="4">
        <v>27</v>
      </c>
      <c r="H135" s="4">
        <f t="shared" si="4"/>
      </c>
      <c r="M135">
        <v>26</v>
      </c>
      <c r="N135">
        <f>IF(A135="","", "CO-" &amp; IFERROR(VLOOKUP(B135, Catalogos!$Z$4:$AA$20, 2, FALSE), "FOL") &amp; "-" &amp; WEEKNUM(A135,2) &amp; "-" &amp; TEXT(ROW(A131),"000"))</f>
      </c>
    </row>
    <row r="136" spans="1:14">
      <c r="A136" s="2">
        <v>46195</v>
      </c>
      <c r="B136" t="s">
        <v>1</v>
      </c>
      <c r="C136" t="s">
        <v>51</v>
      </c>
      <c r="D136" t="s">
        <v>219</v>
      </c>
      <c r="E136">
        <f>VLOOKUP(TablaObra[[#This Row],[Equipo]],Catalogos!$V$4:$W$64,2,FALSE)</f>
      </c>
      <c r="F136" s="3">
        <v>50</v>
      </c>
      <c r="G136" s="4">
        <v>27</v>
      </c>
      <c r="H136" s="4">
        <f t="shared" si="4"/>
      </c>
      <c r="M136">
        <v>26</v>
      </c>
      <c r="N136">
        <f>IF(A136="","", "CO-" &amp; IFERROR(VLOOKUP(B136, Catalogos!$Z$4:$AA$20, 2, FALSE), "FOL") &amp; "-" &amp; WEEKNUM(A136,2) &amp; "-" &amp; TEXT(ROW(A132),"000"))</f>
      </c>
    </row>
    <row r="137" spans="1:14">
      <c r="A137" s="2">
        <v>46195</v>
      </c>
      <c r="B137" t="s">
        <v>1</v>
      </c>
      <c r="C137" t="s">
        <v>51</v>
      </c>
      <c r="D137" t="s">
        <v>210</v>
      </c>
      <c r="E137">
        <f>VLOOKUP(TablaObra[[#This Row],[Equipo]],Catalogos!$V$4:$W$64,2,FALSE)</f>
      </c>
      <c r="F137" s="3">
        <v>60</v>
      </c>
      <c r="G137" s="4">
        <v>27</v>
      </c>
      <c r="H137" s="4">
        <f t="shared" si="4"/>
      </c>
      <c r="M137">
        <v>26</v>
      </c>
      <c r="N137">
        <f>IF(A137="","", "CO-" &amp; IFERROR(VLOOKUP(B137, Catalogos!$Z$4:$AA$20, 2, FALSE), "FOL") &amp; "-" &amp; WEEKNUM(A137,2) &amp; "-" &amp; TEXT(ROW(A133),"000"))</f>
      </c>
    </row>
    <row r="138" spans="1:14">
      <c r="A138" s="2">
        <v>46195</v>
      </c>
      <c r="B138" t="s">
        <v>1</v>
      </c>
      <c r="C138" t="s">
        <v>51</v>
      </c>
      <c r="D138" t="s">
        <v>214</v>
      </c>
      <c r="E138">
        <f>VLOOKUP(TablaObra[[#This Row],[Equipo]],Catalogos!$V$4:$W$64,2,FALSE)</f>
      </c>
      <c r="F138" s="3">
        <v>250</v>
      </c>
      <c r="G138" s="4">
        <v>27</v>
      </c>
      <c r="H138" s="4">
        <f t="shared" si="4"/>
      </c>
      <c r="M138">
        <v>26</v>
      </c>
      <c r="N138">
        <f>IF(A138="","", "CO-" &amp; IFERROR(VLOOKUP(B138, Catalogos!$Z$4:$AA$20, 2, FALSE), "FOL") &amp; "-" &amp; WEEKNUM(A138,2) &amp; "-" &amp; TEXT(ROW(A134),"000"))</f>
      </c>
    </row>
    <row r="139" spans="1:14">
      <c r="A139" s="2">
        <v>46195</v>
      </c>
      <c r="B139" t="s">
        <v>2</v>
      </c>
      <c r="C139" t="s">
        <v>47</v>
      </c>
      <c r="D139" t="s">
        <v>234</v>
      </c>
      <c r="E139">
        <f>VLOOKUP(TablaObra[[#This Row],[Equipo]],Catalogos!$V$4:$W$64,2,FALSE)</f>
      </c>
      <c r="F139" s="3">
        <v>40</v>
      </c>
      <c r="G139" s="4">
        <v>27</v>
      </c>
      <c r="H139" s="4">
        <f t="shared" si="4"/>
      </c>
      <c r="M139">
        <v>26</v>
      </c>
      <c r="N139">
        <f>IF(A139="","", "CO-" &amp; IFERROR(VLOOKUP(B139, Catalogos!$Z$4:$AA$20, 2, FALSE), "FOL") &amp; "-" &amp; WEEKNUM(A139,2) &amp; "-" &amp; TEXT(ROW(A135),"000"))</f>
      </c>
    </row>
    <row r="140" spans="1:14">
      <c r="A140" s="2">
        <v>46195</v>
      </c>
      <c r="B140" t="s">
        <v>159</v>
      </c>
      <c r="C140" t="s">
        <v>47</v>
      </c>
      <c r="D140" t="s">
        <v>234</v>
      </c>
      <c r="E140">
        <f>VLOOKUP(TablaObra[[#This Row],[Equipo]],Catalogos!$V$4:$W$64,2,FALSE)</f>
      </c>
      <c r="F140" s="3">
        <v>40</v>
      </c>
      <c r="G140" s="4">
        <v>27</v>
      </c>
      <c r="H140" s="4">
        <f t="shared" si="4"/>
      </c>
      <c r="M140">
        <v>26</v>
      </c>
      <c r="N140">
        <f>IF(A140="","", "CO-" &amp; IFERROR(VLOOKUP(B140, Catalogos!$Z$4:$AA$20, 2, FALSE), "FOL") &amp; "-" &amp; WEEKNUM(A140,2) &amp; "-" &amp; TEXT(ROW(A136),"000"))</f>
      </c>
    </row>
    <row r="141" spans="1:14">
      <c r="A141" s="2">
        <v>46195</v>
      </c>
      <c r="B141" t="s">
        <v>111</v>
      </c>
      <c r="C141" t="s">
        <v>47</v>
      </c>
      <c r="D141" t="s">
        <v>237</v>
      </c>
      <c r="E141">
        <f>VLOOKUP(TablaObra[[#This Row],[Equipo]],Catalogos!$V$4:$W$64,2,FALSE)</f>
      </c>
      <c r="F141" s="3">
        <v>110</v>
      </c>
      <c r="G141" s="4">
        <v>27</v>
      </c>
      <c r="H141" s="4">
        <f t="shared" si="4"/>
      </c>
      <c r="M141">
        <v>26</v>
      </c>
      <c r="N141">
        <f>IF(A141="","", "CO-" &amp; IFERROR(VLOOKUP(B141, Catalogos!$Z$4:$AA$20, 2, FALSE), "FOL") &amp; "-" &amp; WEEKNUM(A141,2) &amp; "-" &amp; TEXT(ROW(A137),"000"))</f>
      </c>
    </row>
    <row r="142" spans="1:14">
      <c r="A142" s="2">
        <v>46195</v>
      </c>
      <c r="B142" t="s">
        <v>2</v>
      </c>
      <c r="C142" t="s">
        <v>47</v>
      </c>
      <c r="D142" t="s">
        <v>222</v>
      </c>
      <c r="E142">
        <f>VLOOKUP(TablaObra[[#This Row],[Equipo]],Catalogos!$V$4:$W$64,2,FALSE)</f>
      </c>
      <c r="F142" s="3">
        <v>50</v>
      </c>
      <c r="G142" s="4">
        <v>27</v>
      </c>
      <c r="H142" s="4">
        <f t="shared" si="4"/>
      </c>
      <c r="M142">
        <v>26</v>
      </c>
      <c r="N142">
        <f>IF(A142="","", "CO-" &amp; IFERROR(VLOOKUP(B142, Catalogos!$Z$4:$AA$20, 2, FALSE), "FOL") &amp; "-" &amp; WEEKNUM(A142,2) &amp; "-" &amp; TEXT(ROW(A138),"000"))</f>
      </c>
    </row>
    <row r="143" spans="1:14">
      <c r="A143" s="2">
        <v>46195</v>
      </c>
      <c r="B143" t="s">
        <v>1</v>
      </c>
      <c r="C143" t="s">
        <v>51</v>
      </c>
      <c r="D143" t="s">
        <v>215</v>
      </c>
      <c r="E143">
        <f>VLOOKUP(TablaObra[[#This Row],[Equipo]],Catalogos!$V$4:$W$64,2,FALSE)</f>
      </c>
      <c r="F143" s="3">
        <v>250</v>
      </c>
      <c r="G143" s="4">
        <v>27</v>
      </c>
      <c r="H143" s="4">
        <f t="shared" si="4"/>
      </c>
      <c r="M143">
        <v>26</v>
      </c>
      <c r="N143">
        <f>IF(A143="","", "CO-" &amp; IFERROR(VLOOKUP(B143, Catalogos!$Z$4:$AA$20, 2, FALSE), "FOL") &amp; "-" &amp; WEEKNUM(A143,2) &amp; "-" &amp; TEXT(ROW(A139),"000"))</f>
      </c>
    </row>
    <row r="144" spans="1:14">
      <c r="A144" s="2">
        <v>46195</v>
      </c>
      <c r="B144" t="s">
        <v>2</v>
      </c>
      <c r="C144" t="s">
        <v>47</v>
      </c>
      <c r="D144" t="s">
        <v>223</v>
      </c>
      <c r="E144">
        <f>VLOOKUP(TablaObra[[#This Row],[Equipo]],Catalogos!$V$4:$W$64,2,FALSE)</f>
      </c>
      <c r="F144" s="3">
        <v>50</v>
      </c>
      <c r="G144" s="4">
        <v>27</v>
      </c>
      <c r="H144" s="4">
        <f t="shared" si="4"/>
      </c>
      <c r="M144">
        <v>26</v>
      </c>
      <c r="N144">
        <f>IF(A144="","", "CO-" &amp; IFERROR(VLOOKUP(B144, Catalogos!$Z$4:$AA$20, 2, FALSE), "FOL") &amp; "-" &amp; WEEKNUM(A144,2) &amp; "-" &amp; TEXT(ROW(A140),"000"))</f>
      </c>
    </row>
    <row r="145" spans="1:14">
      <c r="A145" s="2">
        <v>46195</v>
      </c>
      <c r="B145" t="s">
        <v>2</v>
      </c>
      <c r="C145" t="s">
        <v>47</v>
      </c>
      <c r="D145" t="s">
        <v>213</v>
      </c>
      <c r="E145">
        <f>VLOOKUP(TablaObra[[#This Row],[Equipo]],Catalogos!$V$4:$W$64,2,FALSE)</f>
      </c>
      <c r="F145" s="3">
        <v>162</v>
      </c>
      <c r="G145" s="4">
        <v>27</v>
      </c>
      <c r="H145" s="4">
        <f t="shared" si="4"/>
      </c>
      <c r="M145">
        <v>26</v>
      </c>
      <c r="N145">
        <f>IF(A145="","", "CO-" &amp; IFERROR(VLOOKUP(B145, Catalogos!$Z$4:$AA$20, 2, FALSE), "FOL") &amp; "-" &amp; WEEKNUM(A145,2) &amp; "-" &amp; TEXT(ROW(A141),"000"))</f>
      </c>
    </row>
    <row r="146" spans="1:14">
      <c r="A146" s="2">
        <v>46195</v>
      </c>
      <c r="B146" t="s">
        <v>2</v>
      </c>
      <c r="C146" t="s">
        <v>47</v>
      </c>
      <c r="D146" t="s">
        <v>235</v>
      </c>
      <c r="E146">
        <f>VLOOKUP(TablaObra[[#This Row],[Equipo]],Catalogos!$V$4:$W$64,2,FALSE)</f>
      </c>
      <c r="F146" s="3">
        <v>50</v>
      </c>
      <c r="G146" s="4">
        <v>27</v>
      </c>
      <c r="H146" s="4">
        <f t="shared" si="4"/>
      </c>
      <c r="M146">
        <v>26</v>
      </c>
      <c r="N146">
        <f>IF(A146="","", "CO-" &amp; IFERROR(VLOOKUP(B146, Catalogos!$Z$4:$AA$20, 2, FALSE), "FOL") &amp; "-" &amp; WEEKNUM(A146,2) &amp; "-" &amp; TEXT(ROW(A142),"000"))</f>
      </c>
    </row>
    <row r="147" spans="1:14">
      <c r="A147" s="2">
        <v>46195</v>
      </c>
      <c r="B147" t="s">
        <v>2</v>
      </c>
      <c r="C147" t="s">
        <v>47</v>
      </c>
      <c r="D147" t="s">
        <v>223</v>
      </c>
      <c r="E147">
        <f>VLOOKUP(TablaObra[[#This Row],[Equipo]],Catalogos!$V$4:$W$64,2,FALSE)</f>
      </c>
      <c r="F147" s="3">
        <v>50</v>
      </c>
      <c r="G147" s="4">
        <v>27</v>
      </c>
      <c r="H147" s="4">
        <f t="shared" si="4"/>
      </c>
      <c r="M147">
        <v>26</v>
      </c>
      <c r="N147">
        <f>IF(A147="","", "CO-" &amp; IFERROR(VLOOKUP(B147, Catalogos!$Z$4:$AA$20, 2, FALSE), "FOL") &amp; "-" &amp; WEEKNUM(A147,2) &amp; "-" &amp; TEXT(ROW(A143),"000"))</f>
      </c>
    </row>
    <row r="148" spans="1:14">
      <c r="A148" s="2">
        <v>46196</v>
      </c>
      <c r="B148" t="s">
        <v>400</v>
      </c>
      <c r="C148" t="s">
        <v>47</v>
      </c>
      <c r="D148" t="s">
        <v>245</v>
      </c>
      <c r="E148">
        <f>VLOOKUP(TablaObra[[#This Row],[Equipo]],Catalogos!$V$4:$W$64,2,FALSE)</f>
      </c>
      <c r="F148" s="3">
        <v>275</v>
      </c>
      <c r="G148" s="4">
        <v>27</v>
      </c>
      <c r="H148" s="4">
        <f t="shared" si="4"/>
      </c>
      <c r="M148">
        <v>26</v>
      </c>
      <c r="N148">
        <f>IF(A148="","", "CO-" &amp; IFERROR(VLOOKUP(B148, Catalogos!$Z$4:$AA$20, 2, FALSE), "FOL") &amp; "-" &amp; WEEKNUM(A148,2) &amp; "-" &amp; TEXT(ROW(A144),"000"))</f>
      </c>
    </row>
    <row r="149" spans="1:14">
      <c r="A149" s="2">
        <v>46196</v>
      </c>
      <c r="B149" t="s">
        <v>400</v>
      </c>
      <c r="C149" t="s">
        <v>47</v>
      </c>
      <c r="D149" t="s">
        <v>246</v>
      </c>
      <c r="E149">
        <f>VLOOKUP(TablaObra[[#This Row],[Equipo]],Catalogos!$V$4:$W$64,2,FALSE)</f>
      </c>
      <c r="F149" s="3">
        <v>20</v>
      </c>
      <c r="G149" s="4">
        <v>27</v>
      </c>
      <c r="H149" s="4">
        <f t="shared" si="4"/>
      </c>
      <c r="M149">
        <v>26</v>
      </c>
      <c r="N149">
        <f>IF(A149="","", "CO-" &amp; IFERROR(VLOOKUP(B149, Catalogos!$Z$4:$AA$20, 2, FALSE), "FOL") &amp; "-" &amp; WEEKNUM(A149,2) &amp; "-" &amp; TEXT(ROW(A145),"000"))</f>
      </c>
    </row>
    <row r="150" spans="1:14">
      <c r="A150" s="2">
        <v>46196</v>
      </c>
      <c r="B150" t="s">
        <v>111</v>
      </c>
      <c r="C150" t="s">
        <v>47</v>
      </c>
      <c r="D150" t="s">
        <v>237</v>
      </c>
      <c r="E150">
        <f>VLOOKUP(TablaObra[[#This Row],[Equipo]],Catalogos!$V$4:$W$64,2,FALSE)</f>
      </c>
      <c r="F150" s="3">
        <v>110</v>
      </c>
      <c r="G150" s="4">
        <v>27</v>
      </c>
      <c r="H150" s="4">
        <f t="shared" si="4"/>
      </c>
      <c r="M150">
        <v>26</v>
      </c>
      <c r="N150">
        <f>IF(A150="","", "CO-" &amp; IFERROR(VLOOKUP(B150, Catalogos!$Z$4:$AA$20, 2, FALSE), "FOL") &amp; "-" &amp; WEEKNUM(A150,2) &amp; "-" &amp; TEXT(ROW(A146),"000"))</f>
      </c>
    </row>
    <row r="151" spans="1:14">
      <c r="A151" s="2">
        <v>46196</v>
      </c>
      <c r="B151" t="s">
        <v>400</v>
      </c>
      <c r="C151" t="s">
        <v>47</v>
      </c>
      <c r="D151" t="s">
        <v>212</v>
      </c>
      <c r="E151">
        <f>VLOOKUP(TablaObra[[#This Row],[Equipo]],Catalogos!$V$4:$W$64,2,FALSE)</f>
      </c>
      <c r="F151" s="3">
        <v>100</v>
      </c>
      <c r="G151" s="4">
        <v>27</v>
      </c>
      <c r="H151" s="4">
        <f t="shared" si="4"/>
      </c>
      <c r="M151">
        <v>26</v>
      </c>
      <c r="N151">
        <f>IF(A151="","", "CO-" &amp; IFERROR(VLOOKUP(B151, Catalogos!$Z$4:$AA$20, 2, FALSE), "FOL") &amp; "-" &amp; WEEKNUM(A151,2) &amp; "-" &amp; TEXT(ROW(A147),"000"))</f>
      </c>
    </row>
    <row r="152" spans="1:14">
      <c r="A152" s="2">
        <v>46196</v>
      </c>
      <c r="B152" t="s">
        <v>2</v>
      </c>
      <c r="C152" t="s">
        <v>47</v>
      </c>
      <c r="D152" t="s">
        <v>210</v>
      </c>
      <c r="E152">
        <f>VLOOKUP(TablaObra[[#This Row],[Equipo]],Catalogos!$V$4:$W$64,2,FALSE)</f>
      </c>
      <c r="F152" s="3">
        <v>50</v>
      </c>
      <c r="G152" s="4">
        <v>27</v>
      </c>
      <c r="H152" s="4">
        <f t="shared" si="4"/>
      </c>
      <c r="M152">
        <v>26</v>
      </c>
      <c r="N152">
        <f>IF(A152="","", "CO-" &amp; IFERROR(VLOOKUP(B152, Catalogos!$Z$4:$AA$20, 2, FALSE), "FOL") &amp; "-" &amp; WEEKNUM(A152,2) &amp; "-" &amp; TEXT(ROW(A148),"000"))</f>
      </c>
    </row>
    <row r="153" spans="1:14">
      <c r="A153" s="2">
        <v>46196</v>
      </c>
      <c r="B153" t="s">
        <v>111</v>
      </c>
      <c r="C153" t="s">
        <v>47</v>
      </c>
      <c r="D153" t="s">
        <v>215</v>
      </c>
      <c r="E153">
        <f>VLOOKUP(TablaObra[[#This Row],[Equipo]],Catalogos!$V$4:$W$64,2,FALSE)</f>
      </c>
      <c r="F153" s="3">
        <v>96</v>
      </c>
      <c r="G153" s="4">
        <v>27</v>
      </c>
      <c r="H153" s="4">
        <f t="shared" si="4"/>
      </c>
      <c r="M153">
        <v>26</v>
      </c>
      <c r="N153">
        <f>IF(A153="","", "CO-" &amp; IFERROR(VLOOKUP(B153, Catalogos!$Z$4:$AA$20, 2, FALSE), "FOL") &amp; "-" &amp; WEEKNUM(A153,2) &amp; "-" &amp; TEXT(ROW(A149),"000"))</f>
      </c>
    </row>
    <row r="154" spans="1:14">
      <c r="A154" s="2">
        <v>46196</v>
      </c>
      <c r="B154" t="s">
        <v>1</v>
      </c>
      <c r="C154" t="s">
        <v>51</v>
      </c>
      <c r="D154" t="s">
        <v>368</v>
      </c>
      <c r="E154">
        <f>VLOOKUP(TablaObra[[#This Row],[Equipo]],Catalogos!$V$4:$W$64,2,FALSE)</f>
      </c>
      <c r="F154" s="3">
        <v>21</v>
      </c>
      <c r="G154" s="4">
        <v>27</v>
      </c>
      <c r="H154" s="4">
        <f>IFERROR(#REF!*G154,0)</f>
      </c>
      <c r="M154">
        <v>26</v>
      </c>
      <c r="N154">
        <f>IF(A154="","", "CO-" &amp; IFERROR(VLOOKUP(B154, Catalogos!$Z$4:$AA$20, 2, FALSE), "FOL") &amp; "-" &amp; WEEKNUM(A154,2) &amp; "-" &amp; TEXT(ROW(A150),"000"))</f>
      </c>
    </row>
    <row r="155" spans="1:14">
      <c r="A155" s="2">
        <v>46196</v>
      </c>
      <c r="B155" t="s">
        <v>1</v>
      </c>
      <c r="C155" t="s">
        <v>51</v>
      </c>
      <c r="D155" t="s">
        <v>228</v>
      </c>
      <c r="E155">
        <f>VLOOKUP(TablaObra[[#This Row],[Equipo]],Catalogos!$V$4:$W$64,2,FALSE)</f>
      </c>
      <c r="F155" s="3">
        <v>50</v>
      </c>
      <c r="G155" s="4">
        <v>27</v>
      </c>
      <c r="H155" s="4">
        <f>IFERROR(#REF!*G155,0)</f>
      </c>
      <c r="M155">
        <v>26</v>
      </c>
      <c r="N155">
        <f>IF(A155="","", "CO-" &amp; IFERROR(VLOOKUP(B155, Catalogos!$Z$4:$AA$20, 2, FALSE), "FOL") &amp; "-" &amp; WEEKNUM(A155,2) &amp; "-" &amp; TEXT(ROW(A151),"000"))</f>
      </c>
    </row>
    <row r="156" spans="1:14">
      <c r="A156" s="2">
        <v>46196</v>
      </c>
      <c r="B156" t="s">
        <v>1</v>
      </c>
      <c r="C156" t="s">
        <v>51</v>
      </c>
      <c r="D156" t="s">
        <v>216</v>
      </c>
      <c r="E156">
        <f>VLOOKUP(TablaObra[[#This Row],[Equipo]],Catalogos!$V$4:$W$64,2,FALSE)</f>
      </c>
      <c r="F156" s="3">
        <v>31</v>
      </c>
      <c r="G156" s="4">
        <v>27</v>
      </c>
      <c r="H156" s="4">
        <f t="shared" ref="H156:H187" si="5">IFERROR(F156*G156,0)</f>
      </c>
      <c r="M156">
        <v>26</v>
      </c>
      <c r="N156">
        <f>IF(A156="","", "CO-" &amp; IFERROR(VLOOKUP(B156, Catalogos!$Z$4:$AA$20, 2, FALSE), "FOL") &amp; "-" &amp; WEEKNUM(A156,2) &amp; "-" &amp; TEXT(ROW(A152),"000"))</f>
      </c>
    </row>
    <row r="157" spans="1:14">
      <c r="A157" s="2">
        <v>46196</v>
      </c>
      <c r="B157" t="s">
        <v>124</v>
      </c>
      <c r="C157" t="s">
        <v>237</v>
      </c>
      <c r="D157" t="s">
        <v>798</v>
      </c>
      <c r="E157">
        <f>VLOOKUP(TablaObra[[#This Row],[Equipo]],Catalogos!$V$4:$W$64,2,FALSE)</f>
      </c>
      <c r="F157" s="3">
        <v>100</v>
      </c>
      <c r="G157" s="4">
        <v>27</v>
      </c>
      <c r="H157" s="4">
        <f t="shared" si="5"/>
      </c>
      <c r="M157">
        <v>26</v>
      </c>
      <c r="N157">
        <f>IF(A157="","", "CO-" &amp; IFERROR(VLOOKUP(B157, Catalogos!$Z$4:$AA$20, 2, FALSE), "FOL") &amp; "-" &amp; WEEKNUM(A157,2) &amp; "-" &amp; TEXT(ROW(A153),"000"))</f>
      </c>
    </row>
    <row r="158" spans="1:14">
      <c r="A158" s="2">
        <v>46196</v>
      </c>
      <c r="B158" t="s">
        <v>124</v>
      </c>
      <c r="C158" t="s">
        <v>237</v>
      </c>
      <c r="D158" t="s">
        <v>248</v>
      </c>
      <c r="E158">
        <f>VLOOKUP(TablaObra[[#This Row],[Equipo]],Catalogos!$V$4:$W$64,2,FALSE)</f>
      </c>
      <c r="F158" s="3">
        <v>50</v>
      </c>
      <c r="G158" s="4">
        <v>27</v>
      </c>
      <c r="H158" s="4">
        <f t="shared" si="5"/>
      </c>
      <c r="M158">
        <v>26</v>
      </c>
      <c r="N158">
        <f>IF(A158="","", "CO-" &amp; IFERROR(VLOOKUP(B158, Catalogos!$Z$4:$AA$20, 2, FALSE), "FOL") &amp; "-" &amp; WEEKNUM(A158,2) &amp; "-" &amp; TEXT(ROW(A154),"000"))</f>
      </c>
    </row>
    <row r="159" spans="1:14">
      <c r="A159" s="2">
        <v>46197</v>
      </c>
      <c r="B159" t="s">
        <v>1</v>
      </c>
      <c r="C159" t="s">
        <v>51</v>
      </c>
      <c r="D159" t="s">
        <v>221</v>
      </c>
      <c r="E159">
        <f>VLOOKUP(TablaObra[[#This Row],[Equipo]],Catalogos!$V$4:$W$64,2,FALSE)</f>
      </c>
      <c r="F159" s="3">
        <v>35</v>
      </c>
      <c r="G159" s="4">
        <v>27</v>
      </c>
      <c r="H159" s="4">
        <f t="shared" si="5"/>
      </c>
      <c r="M159">
        <v>26</v>
      </c>
      <c r="N159">
        <f>IF(A159="","", "CO-" &amp; IFERROR(VLOOKUP(B159, Catalogos!$Z$4:$AA$20, 2, FALSE), "FOL") &amp; "-" &amp; WEEKNUM(A159,2) &amp; "-" &amp; TEXT(ROW(A155),"000"))</f>
      </c>
    </row>
    <row r="160" spans="1:14">
      <c r="A160" s="2">
        <v>46197</v>
      </c>
      <c r="B160" t="s">
        <v>1</v>
      </c>
      <c r="C160" t="s">
        <v>51</v>
      </c>
      <c r="D160" t="s">
        <v>213</v>
      </c>
      <c r="E160">
        <f>VLOOKUP(TablaObra[[#This Row],[Equipo]],Catalogos!$V$4:$W$64,2,FALSE)</f>
      </c>
      <c r="F160" s="3">
        <v>76</v>
      </c>
      <c r="G160" s="4">
        <v>27</v>
      </c>
      <c r="H160" s="4">
        <f t="shared" si="5"/>
      </c>
      <c r="M160">
        <v>26</v>
      </c>
      <c r="N160">
        <f>IF(A160="","", "CO-" &amp; IFERROR(VLOOKUP(B160, Catalogos!$Z$4:$AA$20, 2, FALSE), "FOL") &amp; "-" &amp; WEEKNUM(A160,2) &amp; "-" &amp; TEXT(ROW(A156),"000"))</f>
      </c>
    </row>
    <row r="161" spans="1:14">
      <c r="A161" s="2">
        <v>46197</v>
      </c>
      <c r="B161" t="s">
        <v>1</v>
      </c>
      <c r="C161" t="s">
        <v>51</v>
      </c>
      <c r="D161" t="s">
        <v>221</v>
      </c>
      <c r="E161">
        <f>VLOOKUP(TablaObra[[#This Row],[Equipo]],Catalogos!$V$4:$W$64,2,FALSE)</f>
      </c>
      <c r="F161" s="3">
        <v>40</v>
      </c>
      <c r="G161" s="4">
        <v>27</v>
      </c>
      <c r="H161" s="4">
        <f t="shared" si="5"/>
      </c>
      <c r="M161">
        <v>26</v>
      </c>
      <c r="N161">
        <f>IF(A161="","", "CO-" &amp; IFERROR(VLOOKUP(B161, Catalogos!$Z$4:$AA$20, 2, FALSE), "FOL") &amp; "-" &amp; WEEKNUM(A161,2) &amp; "-" &amp; TEXT(ROW(A157),"000"))</f>
      </c>
    </row>
    <row r="162" spans="1:14">
      <c r="A162" s="2">
        <v>46197</v>
      </c>
      <c r="B162" t="s">
        <v>1</v>
      </c>
      <c r="C162" t="s">
        <v>51</v>
      </c>
      <c r="D162" t="s">
        <v>228</v>
      </c>
      <c r="E162">
        <f>VLOOKUP(TablaObra[[#This Row],[Equipo]],Catalogos!$V$4:$W$64,2,FALSE)</f>
      </c>
      <c r="F162" s="3">
        <v>40</v>
      </c>
      <c r="G162" s="4">
        <v>27</v>
      </c>
      <c r="H162" s="4">
        <f t="shared" si="5"/>
      </c>
      <c r="M162">
        <v>26</v>
      </c>
      <c r="N162">
        <f>IF(A162="","", "CO-" &amp; IFERROR(VLOOKUP(B162, Catalogos!$Z$4:$AA$20, 2, FALSE), "FOL") &amp; "-" &amp; WEEKNUM(A162,2) &amp; "-" &amp; TEXT(ROW(A158),"000"))</f>
      </c>
    </row>
    <row r="163" spans="1:14">
      <c r="A163" s="2">
        <v>46197</v>
      </c>
      <c r="B163" t="s">
        <v>1</v>
      </c>
      <c r="C163" t="s">
        <v>51</v>
      </c>
      <c r="D163" t="s">
        <v>214</v>
      </c>
      <c r="E163">
        <f>VLOOKUP(TablaObra[[#This Row],[Equipo]],Catalogos!$V$4:$W$64,2,FALSE)</f>
      </c>
      <c r="F163" s="3">
        <v>200</v>
      </c>
      <c r="G163" s="4">
        <v>27</v>
      </c>
      <c r="H163" s="4">
        <f t="shared" si="5"/>
      </c>
      <c r="M163">
        <v>26</v>
      </c>
      <c r="N163">
        <f>IF(A163="","", "CO-" &amp; IFERROR(VLOOKUP(B163, Catalogos!$Z$4:$AA$20, 2, FALSE), "FOL") &amp; "-" &amp; WEEKNUM(A163,2) &amp; "-" &amp; TEXT(ROW(A159),"000"))</f>
      </c>
    </row>
    <row r="164" spans="1:14">
      <c r="A164" s="2">
        <v>46197</v>
      </c>
      <c r="B164" t="s">
        <v>111</v>
      </c>
      <c r="C164" t="s">
        <v>47</v>
      </c>
      <c r="D164" t="s">
        <v>237</v>
      </c>
      <c r="E164">
        <f>VLOOKUP(TablaObra[[#This Row],[Equipo]],Catalogos!$V$4:$W$64,2,FALSE)</f>
      </c>
      <c r="F164" s="3">
        <v>120</v>
      </c>
      <c r="G164" s="4">
        <v>27</v>
      </c>
      <c r="H164" s="4">
        <f t="shared" si="5"/>
      </c>
      <c r="M164">
        <v>26</v>
      </c>
      <c r="N164">
        <f>IF(A164="","", "CO-" &amp; IFERROR(VLOOKUP(B164, Catalogos!$Z$4:$AA$20, 2, FALSE), "FOL") &amp; "-" &amp; WEEKNUM(A164,2) &amp; "-" &amp; TEXT(ROW(A160),"000"))</f>
      </c>
    </row>
    <row r="165" spans="1:14">
      <c r="A165" s="2">
        <v>46197</v>
      </c>
      <c r="B165" t="s">
        <v>1</v>
      </c>
      <c r="C165" t="s">
        <v>51</v>
      </c>
      <c r="D165" t="s">
        <v>224</v>
      </c>
      <c r="E165">
        <f>VLOOKUP(TablaObra[[#This Row],[Equipo]],Catalogos!$V$4:$W$64,2,FALSE)</f>
      </c>
      <c r="F165" s="3">
        <v>50</v>
      </c>
      <c r="G165" s="4">
        <v>27</v>
      </c>
      <c r="H165" s="4">
        <f t="shared" si="5"/>
      </c>
      <c r="M165">
        <v>26</v>
      </c>
      <c r="N165">
        <f>IF(A165="","", "CO-" &amp; IFERROR(VLOOKUP(B165, Catalogos!$Z$4:$AA$20, 2, FALSE), "FOL") &amp; "-" &amp; WEEKNUM(A165,2) &amp; "-" &amp; TEXT(ROW(A161),"000"))</f>
      </c>
    </row>
    <row r="166" spans="1:14">
      <c r="A166" s="2">
        <v>46197</v>
      </c>
      <c r="B166" t="s">
        <v>1</v>
      </c>
      <c r="C166" t="s">
        <v>51</v>
      </c>
      <c r="D166" t="s">
        <v>223</v>
      </c>
      <c r="E166">
        <f>VLOOKUP(TablaObra[[#This Row],[Equipo]],Catalogos!$V$4:$W$64,2,FALSE)</f>
      </c>
      <c r="F166" s="3">
        <v>30</v>
      </c>
      <c r="G166" s="4">
        <v>27</v>
      </c>
      <c r="H166" s="4">
        <f t="shared" si="5"/>
      </c>
      <c r="M166">
        <v>26</v>
      </c>
      <c r="N166">
        <f>IF(A166="","", "CO-" &amp; IFERROR(VLOOKUP(B166, Catalogos!$Z$4:$AA$20, 2, FALSE), "FOL") &amp; "-" &amp; WEEKNUM(A166,2) &amp; "-" &amp; TEXT(ROW(A162),"000"))</f>
      </c>
    </row>
    <row r="167" spans="1:14">
      <c r="A167" s="2">
        <v>46197</v>
      </c>
      <c r="B167" t="s">
        <v>2</v>
      </c>
      <c r="C167" t="s">
        <v>47</v>
      </c>
      <c r="D167" t="s">
        <v>231</v>
      </c>
      <c r="E167">
        <f>VLOOKUP(TablaObra[[#This Row],[Equipo]],Catalogos!$V$4:$W$64,2,FALSE)</f>
      </c>
      <c r="F167" s="3">
        <v>129</v>
      </c>
      <c r="G167" s="4">
        <v>27</v>
      </c>
      <c r="H167" s="4">
        <f t="shared" si="5"/>
      </c>
      <c r="M167">
        <v>26</v>
      </c>
      <c r="N167">
        <f>IF(A167="","", "CO-" &amp; IFERROR(VLOOKUP(B167, Catalogos!$Z$4:$AA$20, 2, FALSE), "FOL") &amp; "-" &amp; WEEKNUM(A167,2) &amp; "-" &amp; TEXT(ROW(A163),"000"))</f>
      </c>
    </row>
    <row r="168" spans="1:14">
      <c r="A168" s="2">
        <v>46197</v>
      </c>
      <c r="B168" t="s">
        <v>2</v>
      </c>
      <c r="C168" t="s">
        <v>47</v>
      </c>
      <c r="D168" t="s">
        <v>378</v>
      </c>
      <c r="E168">
        <f>VLOOKUP(TablaObra[[#This Row],[Equipo]],Catalogos!$V$4:$W$64,2,FALSE)</f>
      </c>
      <c r="F168" s="3">
        <v>88</v>
      </c>
      <c r="G168" s="4">
        <v>27</v>
      </c>
      <c r="H168" s="4">
        <f t="shared" si="5"/>
      </c>
      <c r="M168">
        <v>26</v>
      </c>
      <c r="N168">
        <f>IF(A168="","", "CO-" &amp; IFERROR(VLOOKUP(B168, Catalogos!$Z$4:$AA$20, 2, FALSE), "FOL") &amp; "-" &amp; WEEKNUM(A168,2) &amp; "-" &amp; TEXT(ROW(A164),"000"))</f>
      </c>
    </row>
    <row r="169" spans="1:14">
      <c r="A169" s="2">
        <v>46197</v>
      </c>
      <c r="B169" t="s">
        <v>2</v>
      </c>
      <c r="C169" t="s">
        <v>47</v>
      </c>
      <c r="D169" t="s">
        <v>235</v>
      </c>
      <c r="E169">
        <f>VLOOKUP(TablaObra[[#This Row],[Equipo]],Catalogos!$V$4:$W$64,2,FALSE)</f>
      </c>
      <c r="F169" s="3">
        <v>90</v>
      </c>
      <c r="G169" s="4">
        <v>27</v>
      </c>
      <c r="H169" s="4">
        <f t="shared" si="5"/>
      </c>
      <c r="M169">
        <v>26</v>
      </c>
      <c r="N169">
        <f>IF(A169="","", "CO-" &amp; IFERROR(VLOOKUP(B169, Catalogos!$Z$4:$AA$20, 2, FALSE), "FOL") &amp; "-" &amp; WEEKNUM(A169,2) &amp; "-" &amp; TEXT(ROW(A165),"000"))</f>
      </c>
    </row>
    <row r="170" spans="1:14">
      <c r="A170" s="2">
        <v>46197</v>
      </c>
      <c r="B170" t="s">
        <v>2</v>
      </c>
      <c r="C170" t="s">
        <v>47</v>
      </c>
      <c r="D170" t="s">
        <v>383</v>
      </c>
      <c r="E170">
        <f>VLOOKUP(TablaObra[[#This Row],[Equipo]],Catalogos!$V$4:$W$64,2,FALSE)</f>
      </c>
      <c r="F170" s="3">
        <v>62</v>
      </c>
      <c r="G170" s="4">
        <v>27</v>
      </c>
      <c r="H170" s="4">
        <f t="shared" si="5"/>
      </c>
      <c r="M170">
        <v>26</v>
      </c>
      <c r="N170">
        <f>IF(A170="","", "CO-" &amp; IFERROR(VLOOKUP(B170, Catalogos!$Z$4:$AA$20, 2, FALSE), "FOL") &amp; "-" &amp; WEEKNUM(A170,2) &amp; "-" &amp; TEXT(ROW(A166),"000"))</f>
      </c>
    </row>
    <row r="171" spans="1:14">
      <c r="A171" s="2">
        <v>46197</v>
      </c>
      <c r="B171" t="s">
        <v>159</v>
      </c>
      <c r="C171" t="s">
        <v>47</v>
      </c>
      <c r="D171" t="s">
        <v>383</v>
      </c>
      <c r="E171">
        <f>VLOOKUP(TablaObra[[#This Row],[Equipo]],Catalogos!$V$4:$W$64,2,FALSE)</f>
      </c>
      <c r="F171" s="3">
        <v>62</v>
      </c>
      <c r="G171" s="4">
        <v>27</v>
      </c>
      <c r="H171" s="4">
        <f t="shared" si="5"/>
      </c>
      <c r="M171">
        <v>26</v>
      </c>
      <c r="N171">
        <f>IF(A171="","", "CO-" &amp; IFERROR(VLOOKUP(B171, Catalogos!$Z$4:$AA$20, 2, FALSE), "FOL") &amp; "-" &amp; WEEKNUM(A171,2) &amp; "-" &amp; TEXT(ROW(A167),"000"))</f>
      </c>
    </row>
    <row r="172" spans="1:14">
      <c r="A172" s="2">
        <v>46198</v>
      </c>
      <c r="B172" t="s">
        <v>1</v>
      </c>
      <c r="C172" t="s">
        <v>51</v>
      </c>
      <c r="D172" t="s">
        <v>216</v>
      </c>
      <c r="E172">
        <f>VLOOKUP(TablaObra[[#This Row],[Equipo]],Catalogos!$V$4:$W$64,2,FALSE)</f>
      </c>
      <c r="F172" s="3">
        <v>26</v>
      </c>
      <c r="G172" s="4">
        <v>27</v>
      </c>
      <c r="H172" s="4">
        <f t="shared" si="5"/>
      </c>
      <c r="M172">
        <v>26</v>
      </c>
      <c r="N172">
        <f>IF(A172="","", "CO-" &amp; IFERROR(VLOOKUP(B172, Catalogos!$Z$4:$AA$20, 2, FALSE), "FOL") &amp; "-" &amp; WEEKNUM(A172,2) &amp; "-" &amp; TEXT(ROW(A168),"000"))</f>
      </c>
    </row>
    <row r="173" spans="1:14">
      <c r="A173" s="2">
        <v>46198</v>
      </c>
      <c r="B173" t="s">
        <v>1</v>
      </c>
      <c r="C173" t="s">
        <v>51</v>
      </c>
      <c r="D173" t="s">
        <v>383</v>
      </c>
      <c r="E173">
        <f>VLOOKUP(TablaObra[[#This Row],[Equipo]],Catalogos!$V$4:$W$64,2,FALSE)</f>
      </c>
      <c r="F173" s="3">
        <v>50</v>
      </c>
      <c r="G173" s="4">
        <v>27</v>
      </c>
      <c r="H173" s="4">
        <f t="shared" si="5"/>
      </c>
      <c r="M173">
        <v>26</v>
      </c>
      <c r="N173">
        <f>IF(A173="","", "CO-" &amp; IFERROR(VLOOKUP(B173, Catalogos!$Z$4:$AA$20, 2, FALSE), "FOL") &amp; "-" &amp; WEEKNUM(A173,2) &amp; "-" &amp; TEXT(ROW(A169),"000"))</f>
      </c>
    </row>
    <row r="174" spans="1:14">
      <c r="A174" s="2">
        <v>46198</v>
      </c>
      <c r="B174" t="s">
        <v>1</v>
      </c>
      <c r="C174" t="s">
        <v>51</v>
      </c>
      <c r="D174" t="s">
        <v>221</v>
      </c>
      <c r="E174">
        <f>VLOOKUP(TablaObra[[#This Row],[Equipo]],Catalogos!$V$4:$W$64,2,FALSE)</f>
      </c>
      <c r="F174" s="3">
        <v>30</v>
      </c>
      <c r="G174" s="4">
        <v>27</v>
      </c>
      <c r="H174" s="4">
        <f t="shared" si="5"/>
      </c>
      <c r="M174">
        <v>26</v>
      </c>
      <c r="N174">
        <f>IF(A174="","", "CO-" &amp; IFERROR(VLOOKUP(B174, Catalogos!$Z$4:$AA$20, 2, FALSE), "FOL") &amp; "-" &amp; WEEKNUM(A174,2) &amp; "-" &amp; TEXT(ROW(A170),"000"))</f>
      </c>
    </row>
    <row r="175" spans="1:14">
      <c r="A175" s="2">
        <v>46198</v>
      </c>
      <c r="B175" t="s">
        <v>1</v>
      </c>
      <c r="C175" t="s">
        <v>51</v>
      </c>
      <c r="D175" t="s">
        <v>223</v>
      </c>
      <c r="E175">
        <f>VLOOKUP(TablaObra[[#This Row],[Equipo]],Catalogos!$V$4:$W$64,2,FALSE)</f>
      </c>
      <c r="F175" s="3">
        <v>14</v>
      </c>
      <c r="G175" s="4">
        <v>27</v>
      </c>
      <c r="H175" s="4">
        <f t="shared" si="5"/>
      </c>
      <c r="M175">
        <v>26</v>
      </c>
      <c r="N175">
        <f>IF(A175="","", "CO-" &amp; IFERROR(VLOOKUP(B175, Catalogos!$Z$4:$AA$20, 2, FALSE), "FOL") &amp; "-" &amp; WEEKNUM(A175,2) &amp; "-" &amp; TEXT(ROW(A171),"000"))</f>
      </c>
    </row>
    <row r="176" spans="1:14">
      <c r="A176" s="2">
        <v>46198</v>
      </c>
      <c r="B176" t="s">
        <v>1</v>
      </c>
      <c r="C176" t="s">
        <v>51</v>
      </c>
      <c r="D176" t="s">
        <v>224</v>
      </c>
      <c r="E176">
        <f>VLOOKUP(TablaObra[[#This Row],[Equipo]],Catalogos!$V$4:$W$64,2,FALSE)</f>
      </c>
      <c r="F176" s="3">
        <v>30</v>
      </c>
      <c r="G176" s="4">
        <v>27</v>
      </c>
      <c r="H176" s="4">
        <f t="shared" si="5"/>
      </c>
      <c r="M176">
        <v>26</v>
      </c>
      <c r="N176">
        <f>IF(A176="","", "CO-" &amp; IFERROR(VLOOKUP(B176, Catalogos!$Z$4:$AA$20, 2, FALSE), "FOL") &amp; "-" &amp; WEEKNUM(A176,2) &amp; "-" &amp; TEXT(ROW(A172),"000"))</f>
      </c>
    </row>
    <row r="177" spans="1:14">
      <c r="A177" s="2">
        <v>46198</v>
      </c>
      <c r="B177" t="s">
        <v>111</v>
      </c>
      <c r="C177" t="s">
        <v>47</v>
      </c>
      <c r="D177" t="s">
        <v>237</v>
      </c>
      <c r="E177">
        <f>VLOOKUP(TablaObra[[#This Row],[Equipo]],Catalogos!$V$4:$W$64,2,FALSE)</f>
      </c>
      <c r="F177" s="3">
        <v>120</v>
      </c>
      <c r="G177" s="4">
        <v>27</v>
      </c>
      <c r="H177" s="4">
        <f t="shared" si="5"/>
      </c>
      <c r="M177">
        <v>26</v>
      </c>
      <c r="N177">
        <f>IF(A177="","", "CO-" &amp; IFERROR(VLOOKUP(B177, Catalogos!$Z$4:$AA$20, 2, FALSE), "FOL") &amp; "-" &amp; WEEKNUM(A177,2) &amp; "-" &amp; TEXT(ROW(A173),"000"))</f>
      </c>
    </row>
    <row r="178" spans="1:14">
      <c r="A178" s="2">
        <v>46198</v>
      </c>
      <c r="B178" t="s">
        <v>400</v>
      </c>
      <c r="C178" t="s">
        <v>47</v>
      </c>
      <c r="D178" t="s">
        <v>383</v>
      </c>
      <c r="E178">
        <f>VLOOKUP(TablaObra[[#This Row],[Equipo]],Catalogos!$V$4:$W$64,2,FALSE)</f>
      </c>
      <c r="F178" s="3">
        <v>160</v>
      </c>
      <c r="G178" s="4">
        <v>27</v>
      </c>
      <c r="H178" s="4">
        <f t="shared" si="5"/>
      </c>
      <c r="M178">
        <v>26</v>
      </c>
      <c r="N178">
        <f>IF(A178="","", "CO-" &amp; IFERROR(VLOOKUP(B178, Catalogos!$Z$4:$AA$20, 2, FALSE), "FOL") &amp; "-" &amp; WEEKNUM(A178,2) &amp; "-" &amp; TEXT(ROW(A174),"000"))</f>
      </c>
    </row>
    <row r="179" spans="1:14">
      <c r="A179" s="2">
        <v>46198</v>
      </c>
      <c r="B179" t="s">
        <v>2</v>
      </c>
      <c r="C179" t="s">
        <v>47</v>
      </c>
      <c r="D179" t="s">
        <v>214</v>
      </c>
      <c r="E179">
        <f>VLOOKUP(TablaObra[[#This Row],[Equipo]],Catalogos!$V$4:$W$64,2,FALSE)</f>
      </c>
      <c r="F179" s="3">
        <v>140</v>
      </c>
      <c r="G179" s="4">
        <v>27</v>
      </c>
      <c r="H179" s="4">
        <f t="shared" si="5"/>
      </c>
      <c r="M179">
        <v>26</v>
      </c>
      <c r="N179">
        <f>IF(A179="","", "CO-" &amp; IFERROR(VLOOKUP(B179, Catalogos!$Z$4:$AA$20, 2, FALSE), "FOL") &amp; "-" &amp; WEEKNUM(A179,2) &amp; "-" &amp; TEXT(ROW(A175),"000"))</f>
      </c>
    </row>
    <row r="180" spans="1:14">
      <c r="A180" s="2">
        <v>46198</v>
      </c>
      <c r="B180" t="s">
        <v>400</v>
      </c>
      <c r="C180" t="s">
        <v>47</v>
      </c>
      <c r="D180" t="s">
        <v>367</v>
      </c>
      <c r="E180">
        <f>VLOOKUP(TablaObra[[#This Row],[Equipo]],Catalogos!$V$4:$W$64,2,FALSE)</f>
      </c>
      <c r="F180" s="3">
        <v>222</v>
      </c>
      <c r="G180" s="4">
        <v>27</v>
      </c>
      <c r="H180" s="4">
        <f t="shared" si="5"/>
      </c>
      <c r="M180">
        <v>26</v>
      </c>
      <c r="N180">
        <f>IF(A180="","", "CO-" &amp; IFERROR(VLOOKUP(B180, Catalogos!$Z$4:$AA$20, 2, FALSE), "FOL") &amp; "-" &amp; WEEKNUM(A180,2) &amp; "-" &amp; TEXT(ROW(A176),"000"))</f>
      </c>
    </row>
    <row r="181" spans="1:14">
      <c r="A181" s="2">
        <v>46198</v>
      </c>
      <c r="B181" t="s">
        <v>400</v>
      </c>
      <c r="C181" t="s">
        <v>47</v>
      </c>
      <c r="D181" t="s">
        <v>245</v>
      </c>
      <c r="E181">
        <f>VLOOKUP(TablaObra[[#This Row],[Equipo]],Catalogos!$V$4:$W$64,2,FALSE)</f>
      </c>
      <c r="F181" s="3">
        <v>217</v>
      </c>
      <c r="G181" s="4">
        <v>27</v>
      </c>
      <c r="H181" s="4">
        <f t="shared" si="5"/>
      </c>
      <c r="M181">
        <v>26</v>
      </c>
      <c r="N181">
        <f>IF(A181="","", "CO-" &amp; IFERROR(VLOOKUP(B181, Catalogos!$Z$4:$AA$20, 2, FALSE), "FOL") &amp; "-" &amp; WEEKNUM(A181,2) &amp; "-" &amp; TEXT(ROW(A177),"000"))</f>
      </c>
    </row>
    <row r="182" spans="1:14">
      <c r="A182" s="2">
        <v>46198</v>
      </c>
      <c r="B182" t="s">
        <v>400</v>
      </c>
      <c r="C182" t="s">
        <v>47</v>
      </c>
      <c r="D182" t="s">
        <v>237</v>
      </c>
      <c r="E182">
        <f>VLOOKUP(TablaObra[[#This Row],[Equipo]],Catalogos!$V$4:$W$64,2,FALSE)</f>
      </c>
      <c r="F182" s="3">
        <v>850</v>
      </c>
      <c r="G182" s="4">
        <v>27</v>
      </c>
      <c r="H182" s="4">
        <f t="shared" si="5"/>
      </c>
      <c r="M182">
        <v>26</v>
      </c>
      <c r="N182">
        <f>IF(A182="","", "CO-" &amp; IFERROR(VLOOKUP(B182, Catalogos!$Z$4:$AA$20, 2, FALSE), "FOL") &amp; "-" &amp; WEEKNUM(A182,2) &amp; "-" &amp; TEXT(ROW(A178),"000"))</f>
      </c>
    </row>
    <row r="183" spans="1:14">
      <c r="A183" s="2">
        <v>46198</v>
      </c>
      <c r="B183" t="s">
        <v>2</v>
      </c>
      <c r="C183" t="s">
        <v>47</v>
      </c>
      <c r="D183" t="s">
        <v>228</v>
      </c>
      <c r="E183">
        <f>VLOOKUP(TablaObra[[#This Row],[Equipo]],Catalogos!$V$4:$W$64,2,FALSE)</f>
      </c>
      <c r="F183" s="3">
        <v>50</v>
      </c>
      <c r="G183" s="4">
        <v>27</v>
      </c>
      <c r="H183" s="4">
        <f t="shared" si="5"/>
      </c>
      <c r="M183">
        <v>26</v>
      </c>
      <c r="N183">
        <f>IF(A183="","", "CO-" &amp; IFERROR(VLOOKUP(B183, Catalogos!$Z$4:$AA$20, 2, FALSE), "FOL") &amp; "-" &amp; WEEKNUM(A183,2) &amp; "-" &amp; TEXT(ROW(A179),"000"))</f>
      </c>
    </row>
    <row r="184" spans="1:14">
      <c r="A184" s="2">
        <v>46198</v>
      </c>
      <c r="B184" t="s">
        <v>2</v>
      </c>
      <c r="C184" t="s">
        <v>47</v>
      </c>
      <c r="D184" t="s">
        <v>217</v>
      </c>
      <c r="E184">
        <f>VLOOKUP(TablaObra[[#This Row],[Equipo]],Catalogos!$V$4:$W$64,2,FALSE)</f>
      </c>
      <c r="F184" s="3">
        <v>50</v>
      </c>
      <c r="G184" s="4">
        <v>27</v>
      </c>
      <c r="H184" s="4">
        <f t="shared" si="5"/>
      </c>
      <c r="M184">
        <v>26</v>
      </c>
      <c r="N184">
        <f>IF(A184="","", "CO-" &amp; IFERROR(VLOOKUP(B184, Catalogos!$Z$4:$AA$20, 2, FALSE), "FOL") &amp; "-" &amp; WEEKNUM(A184,2) &amp; "-" &amp; TEXT(ROW(A180),"000"))</f>
      </c>
    </row>
    <row r="185" spans="1:14">
      <c r="A185" s="2">
        <v>46198</v>
      </c>
      <c r="B185" t="s">
        <v>2</v>
      </c>
      <c r="C185" t="s">
        <v>47</v>
      </c>
      <c r="D185" t="s">
        <v>365</v>
      </c>
      <c r="E185">
        <f>VLOOKUP(TablaObra[[#This Row],[Equipo]],Catalogos!$V$4:$W$64,2,FALSE)</f>
      </c>
      <c r="F185" s="3">
        <v>177</v>
      </c>
      <c r="G185" s="4">
        <v>27</v>
      </c>
      <c r="H185" s="4">
        <f t="shared" si="5"/>
      </c>
      <c r="M185">
        <v>26</v>
      </c>
      <c r="N185">
        <f>IF(A185="","", "CO-" &amp; IFERROR(VLOOKUP(B185, Catalogos!$Z$4:$AA$20, 2, FALSE), "FOL") &amp; "-" &amp; WEEKNUM(A185,2) &amp; "-" &amp; TEXT(ROW(A181),"000"))</f>
      </c>
    </row>
    <row r="186" spans="1:14">
      <c r="A186" s="2">
        <v>46198</v>
      </c>
      <c r="B186" t="s">
        <v>124</v>
      </c>
      <c r="C186" t="s">
        <v>237</v>
      </c>
      <c r="D186" t="s">
        <v>798</v>
      </c>
      <c r="E186">
        <f>VLOOKUP(TablaObra[[#This Row],[Equipo]],Catalogos!$V$4:$W$64,2,FALSE)</f>
      </c>
      <c r="F186" s="3">
        <v>100</v>
      </c>
      <c r="G186" s="4">
        <v>27</v>
      </c>
      <c r="H186" s="4">
        <f t="shared" si="5"/>
      </c>
      <c r="M186">
        <v>26</v>
      </c>
      <c r="N186">
        <f>IF(A186="","", "CO-" &amp; IFERROR(VLOOKUP(B186, Catalogos!$Z$4:$AA$20, 2, FALSE), "FOL") &amp; "-" &amp; WEEKNUM(A186,2) &amp; "-" &amp; TEXT(ROW(A182),"000"))</f>
      </c>
    </row>
    <row r="187" spans="1:14">
      <c r="A187" s="2">
        <v>46199</v>
      </c>
      <c r="B187" t="s">
        <v>111</v>
      </c>
      <c r="C187" t="s">
        <v>47</v>
      </c>
      <c r="D187" t="s">
        <v>243</v>
      </c>
      <c r="E187">
        <f>VLOOKUP(TablaObra[[#This Row],[Equipo]],Catalogos!$V$4:$W$64,2,FALSE)</f>
      </c>
      <c r="F187" s="3">
        <v>90</v>
      </c>
      <c r="G187" s="4">
        <v>27</v>
      </c>
      <c r="H187" s="4">
        <f t="shared" si="5"/>
      </c>
      <c r="M187">
        <v>26</v>
      </c>
      <c r="N187">
        <f>IF(#REF!="","", "CO-" &amp; IFERROR(VLOOKUP(#REF!, Catalogos!$Z$4:$AA$20, 2, FALSE), "FOL") &amp; "-" &amp; WEEKNUM(#REF!,2) &amp; "-" &amp; TEXT(ROW(A183),"000"))</f>
      </c>
    </row>
    <row r="188" spans="1:14">
      <c r="A188" s="2">
        <v>46199</v>
      </c>
      <c r="B188" t="s">
        <v>111</v>
      </c>
      <c r="C188" t="s">
        <v>47</v>
      </c>
      <c r="D188" t="s">
        <v>209</v>
      </c>
      <c r="E188">
        <f>VLOOKUP(TablaObra[[#This Row],[Equipo]],Catalogos!$V$4:$W$64,2,FALSE)</f>
      </c>
      <c r="F188" s="3">
        <v>48</v>
      </c>
      <c r="G188" s="4">
        <v>27</v>
      </c>
      <c r="H188" s="4">
        <f t="shared" ref="H188:H219" si="6">IFERROR(F188*G188,0)</f>
      </c>
      <c r="M188">
        <v>26</v>
      </c>
      <c r="N188">
        <f>IF(#REF!="","", "CO-" &amp; IFERROR(VLOOKUP(#REF!, Catalogos!$Z$4:$AA$20, 2, FALSE), "FOL") &amp; "-" &amp; WEEKNUM(#REF!,2) &amp; "-" &amp; TEXT(ROW(A184),"000"))</f>
      </c>
    </row>
    <row r="189" spans="1:14">
      <c r="A189" s="2">
        <v>46199</v>
      </c>
      <c r="B189" t="s">
        <v>1</v>
      </c>
      <c r="C189" t="s">
        <v>51</v>
      </c>
      <c r="D189" t="s">
        <v>221</v>
      </c>
      <c r="E189">
        <f>VLOOKUP(TablaObra[[#This Row],[Equipo]],Catalogos!$V$4:$W$64,2,FALSE)</f>
      </c>
      <c r="F189" s="3">
        <v>40</v>
      </c>
      <c r="G189" s="4">
        <v>27</v>
      </c>
      <c r="H189" s="4">
        <f t="shared" si="6"/>
      </c>
      <c r="M189">
        <v>26</v>
      </c>
      <c r="N189">
        <f>IF(A189="","", "CO-" &amp; IFERROR(VLOOKUP(B189, Catalogos!$Z$4:$AA$20, 2, FALSE), "FOL") &amp; "-" &amp; WEEKNUM(A189,2) &amp; "-" &amp; TEXT(ROW(A185),"000"))</f>
      </c>
    </row>
    <row r="190" spans="1:14">
      <c r="A190" s="2">
        <v>46199</v>
      </c>
      <c r="B190" t="s">
        <v>1</v>
      </c>
      <c r="C190" t="s">
        <v>51</v>
      </c>
      <c r="D190" t="s">
        <v>224</v>
      </c>
      <c r="E190">
        <f>VLOOKUP(TablaObra[[#This Row],[Equipo]],Catalogos!$V$4:$W$64,2,FALSE)</f>
      </c>
      <c r="F190" s="3">
        <v>30</v>
      </c>
      <c r="G190" s="4">
        <v>27</v>
      </c>
      <c r="H190" s="4">
        <f t="shared" si="6"/>
      </c>
      <c r="M190">
        <v>26</v>
      </c>
      <c r="N190">
        <f>IF(A190="","", "CO-" &amp; IFERROR(VLOOKUP(B190, Catalogos!$Z$4:$AA$20, 2, FALSE), "FOL") &amp; "-" &amp; WEEKNUM(A190,2) &amp; "-" &amp; TEXT(ROW(A186),"000"))</f>
      </c>
    </row>
    <row r="191" spans="1:14">
      <c r="A191" s="2">
        <v>46199</v>
      </c>
      <c r="B191" t="s">
        <v>1</v>
      </c>
      <c r="C191" t="s">
        <v>51</v>
      </c>
      <c r="D191" t="s">
        <v>223</v>
      </c>
      <c r="E191">
        <f>VLOOKUP(TablaObra[[#This Row],[Equipo]],Catalogos!$V$4:$W$64,2,FALSE)</f>
      </c>
      <c r="F191" s="3">
        <v>16</v>
      </c>
      <c r="G191" s="4">
        <v>27</v>
      </c>
      <c r="H191" s="4">
        <f t="shared" si="6"/>
      </c>
      <c r="M191">
        <v>26</v>
      </c>
      <c r="N191">
        <f>IF(A191="","", "CO-" &amp; IFERROR(VLOOKUP(B191, Catalogos!$Z$4:$AA$20, 2, FALSE), "FOL") &amp; "-" &amp; WEEKNUM(A191,2) &amp; "-" &amp; TEXT(ROW(#REF!),"000"))</f>
      </c>
    </row>
    <row r="192" spans="1:14">
      <c r="A192" s="2">
        <v>46199</v>
      </c>
      <c r="B192" t="s">
        <v>1</v>
      </c>
      <c r="C192" t="s">
        <v>51</v>
      </c>
      <c r="D192" t="s">
        <v>368</v>
      </c>
      <c r="E192">
        <f>VLOOKUP(TablaObra[[#This Row],[Equipo]],Catalogos!$V$4:$W$64,2,FALSE)</f>
      </c>
      <c r="F192" s="3">
        <v>120</v>
      </c>
      <c r="G192" s="4">
        <v>27</v>
      </c>
      <c r="H192" s="4">
        <f t="shared" si="6"/>
      </c>
      <c r="M192">
        <v>26</v>
      </c>
      <c r="N192">
        <f>IF(A192="","", "CO-" &amp; IFERROR(VLOOKUP(B192, Catalogos!$Z$4:$AA$20, 2, FALSE), "FOL") &amp; "-" &amp; WEEKNUM(A192,2) &amp; "-" &amp; TEXT(ROW(#REF!),"000"))</f>
      </c>
    </row>
    <row r="193" spans="1:14">
      <c r="A193" s="2">
        <v>46199</v>
      </c>
      <c r="B193" t="s">
        <v>1</v>
      </c>
      <c r="C193" t="s">
        <v>51</v>
      </c>
      <c r="D193" t="s">
        <v>221</v>
      </c>
      <c r="E193">
        <f>VLOOKUP(TablaObra[[#This Row],[Equipo]],Catalogos!$V$4:$W$64,2,FALSE)</f>
      </c>
      <c r="F193" s="3">
        <v>32</v>
      </c>
      <c r="G193" s="4">
        <v>27</v>
      </c>
      <c r="H193" s="4">
        <f t="shared" si="6"/>
      </c>
      <c r="M193">
        <v>26</v>
      </c>
      <c r="N193">
        <f>IF(A193="","", "CO-" &amp; IFERROR(VLOOKUP(B193, Catalogos!$Z$4:$AA$20, 2, FALSE), "FOL") &amp; "-" &amp; WEEKNUM(A193,2) &amp; "-" &amp; TEXT(ROW(A189),"000"))</f>
      </c>
    </row>
    <row r="194" spans="1:14">
      <c r="A194" s="2">
        <v>46199</v>
      </c>
      <c r="B194" t="s">
        <v>1</v>
      </c>
      <c r="C194" t="s">
        <v>51</v>
      </c>
      <c r="D194" t="s">
        <v>228</v>
      </c>
      <c r="E194">
        <f>VLOOKUP(TablaObra[[#This Row],[Equipo]],Catalogos!$V$4:$W$64,2,FALSE)</f>
      </c>
      <c r="F194" s="3">
        <v>40</v>
      </c>
      <c r="G194" s="4">
        <v>27</v>
      </c>
      <c r="H194" s="4">
        <f t="shared" si="6"/>
      </c>
      <c r="M194">
        <v>26</v>
      </c>
      <c r="N194">
        <f>IF(A194="","", "CO-" &amp; IFERROR(VLOOKUP(B194, Catalogos!$Z$4:$AA$20, 2, FALSE), "FOL") &amp; "-" &amp; WEEKNUM(A194,2) &amp; "-" &amp; TEXT(ROW(A190),"000"))</f>
      </c>
    </row>
    <row r="195" spans="1:14">
      <c r="A195" s="2">
        <v>46199</v>
      </c>
      <c r="B195" t="s">
        <v>2</v>
      </c>
      <c r="C195" t="s">
        <v>47</v>
      </c>
      <c r="D195" t="s">
        <v>383</v>
      </c>
      <c r="E195">
        <f>VLOOKUP(TablaObra[[#This Row],[Equipo]],Catalogos!$V$4:$W$64,2,FALSE)</f>
      </c>
      <c r="F195" s="3">
        <v>41</v>
      </c>
      <c r="G195" s="4">
        <v>27</v>
      </c>
      <c r="H195" s="4">
        <f t="shared" si="6"/>
      </c>
      <c r="M195">
        <v>26</v>
      </c>
      <c r="N195">
        <f>IF(A195="","", "CO-" &amp; IFERROR(VLOOKUP(B195, Catalogos!$Z$4:$AA$20, 2, FALSE), "FOL") &amp; "-" &amp; WEEKNUM(A195,2) &amp; "-" &amp; TEXT(ROW(A191),"000"))</f>
      </c>
    </row>
    <row r="196" spans="1:14">
      <c r="A196" s="2">
        <v>46199</v>
      </c>
      <c r="B196" t="s">
        <v>1</v>
      </c>
      <c r="C196" t="s">
        <v>47</v>
      </c>
      <c r="D196" t="s">
        <v>215</v>
      </c>
      <c r="E196">
        <f>VLOOKUP(TablaObra[[#This Row],[Equipo]],Catalogos!$V$4:$W$64,2,FALSE)</f>
      </c>
      <c r="F196" s="3">
        <v>329</v>
      </c>
      <c r="G196" s="4">
        <v>27</v>
      </c>
      <c r="H196" s="4">
        <f t="shared" si="6"/>
      </c>
      <c r="M196">
        <v>26</v>
      </c>
      <c r="N196">
        <f>IF(A196="","", "CO-" &amp; IFERROR(VLOOKUP(B196, Catalogos!$Z$4:$AA$20, 2, FALSE), "FOL") &amp; "-" &amp; WEEKNUM(A196,2) &amp; "-" &amp; TEXT(ROW(A192),"000"))</f>
      </c>
    </row>
    <row r="197" spans="1:14">
      <c r="A197" s="2">
        <v>46199</v>
      </c>
      <c r="B197" t="s">
        <v>111</v>
      </c>
      <c r="C197" t="s">
        <v>47</v>
      </c>
      <c r="D197" t="s">
        <v>237</v>
      </c>
      <c r="E197">
        <f>VLOOKUP(TablaObra[[#This Row],[Equipo]],Catalogos!$V$4:$W$64,2,FALSE)</f>
      </c>
      <c r="F197" s="3">
        <v>480</v>
      </c>
      <c r="G197" s="4">
        <v>27</v>
      </c>
      <c r="H197" s="4">
        <f t="shared" si="6"/>
      </c>
      <c r="M197">
        <v>26</v>
      </c>
      <c r="N197">
        <f>IF(A197="","", "CO-" &amp; IFERROR(VLOOKUP(B197, Catalogos!$Z$4:$AA$20, 2, FALSE), "FOL") &amp; "-" &amp; WEEKNUM(A197,2) &amp; "-" &amp; TEXT(ROW(A193),"000"))</f>
      </c>
    </row>
    <row r="198" spans="1:14">
      <c r="A198" s="2">
        <v>46199</v>
      </c>
      <c r="B198" t="s">
        <v>111</v>
      </c>
      <c r="C198" t="s">
        <v>47</v>
      </c>
      <c r="D198" t="s">
        <v>243</v>
      </c>
      <c r="E198">
        <f>VLOOKUP(TablaObra[[#This Row],[Equipo]],Catalogos!$V$4:$W$64,2,FALSE)</f>
      </c>
      <c r="F198" s="3">
        <v>220</v>
      </c>
      <c r="G198" s="4">
        <v>27</v>
      </c>
      <c r="H198" s="4">
        <f t="shared" si="6"/>
      </c>
      <c r="M198">
        <v>26</v>
      </c>
      <c r="N198">
        <f>IF(A198="","", "CO-" &amp; IFERROR(VLOOKUP(B198, Catalogos!$Z$4:$AA$20, 2, FALSE), "FOL") &amp; "-" &amp; WEEKNUM(A198,2) &amp; "-" &amp; TEXT(ROW(A194),"000"))</f>
      </c>
    </row>
    <row r="199" spans="1:14">
      <c r="A199" s="2">
        <v>46199</v>
      </c>
      <c r="B199" t="s">
        <v>111</v>
      </c>
      <c r="C199" t="s">
        <v>47</v>
      </c>
      <c r="D199" t="s">
        <v>220</v>
      </c>
      <c r="E199">
        <f>VLOOKUP(TablaObra[[#This Row],[Equipo]],Catalogos!$V$4:$W$64,2,FALSE)</f>
      </c>
      <c r="F199" s="3">
        <v>80</v>
      </c>
      <c r="G199" s="4">
        <v>27</v>
      </c>
      <c r="H199" s="4">
        <f t="shared" si="6"/>
      </c>
      <c r="M199">
        <v>26</v>
      </c>
      <c r="N199">
        <f>IF(A199="","", "CO-" &amp; IFERROR(VLOOKUP(B199, Catalogos!$Z$4:$AA$20, 2, FALSE), "FOL") &amp; "-" &amp; WEEKNUM(A199,2) &amp; "-" &amp; TEXT(ROW(A195),"000"))</f>
      </c>
    </row>
    <row r="200" spans="1:14">
      <c r="A200" s="2">
        <v>46199</v>
      </c>
      <c r="B200" t="s">
        <v>111</v>
      </c>
      <c r="C200" t="s">
        <v>47</v>
      </c>
      <c r="D200" t="s">
        <v>209</v>
      </c>
      <c r="E200">
        <f>VLOOKUP(TablaObra[[#This Row],[Equipo]],Catalogos!$V$4:$W$64,2,FALSE)</f>
      </c>
      <c r="F200" s="3">
        <v>80</v>
      </c>
      <c r="G200" s="4">
        <v>27</v>
      </c>
      <c r="H200" s="4">
        <f t="shared" si="6"/>
      </c>
      <c r="M200">
        <v>26</v>
      </c>
      <c r="N200">
        <f>IF(A200="","", "CO-" &amp; IFERROR(VLOOKUP(B200, Catalogos!$Z$4:$AA$20, 2, FALSE), "FOL") &amp; "-" &amp; WEEKNUM(A200,2) &amp; "-" &amp; TEXT(ROW(A196),"000"))</f>
      </c>
    </row>
    <row r="201" spans="1:14">
      <c r="A201" s="2">
        <v>46199</v>
      </c>
      <c r="B201" t="s">
        <v>1</v>
      </c>
      <c r="C201" t="s">
        <v>51</v>
      </c>
      <c r="D201" t="s">
        <v>215</v>
      </c>
      <c r="E201">
        <f>VLOOKUP(TablaObra[[#This Row],[Equipo]],Catalogos!$V$4:$W$64,2,FALSE)</f>
      </c>
      <c r="F201" s="3">
        <v>200</v>
      </c>
      <c r="G201" s="4">
        <v>27</v>
      </c>
      <c r="H201" s="4">
        <f t="shared" si="6"/>
      </c>
      <c r="M201">
        <v>26</v>
      </c>
      <c r="N201">
        <f>IF(A201="","", "CO-" &amp; IFERROR(VLOOKUP(B201, Catalogos!$Z$4:$AA$20, 2, FALSE), "FOL") &amp; "-" &amp; WEEKNUM(A201,2) &amp; "-" &amp; TEXT(ROW(A197),"000"))</f>
      </c>
    </row>
    <row r="202" spans="1:14">
      <c r="A202" s="2">
        <v>46199</v>
      </c>
      <c r="B202" t="s">
        <v>124</v>
      </c>
      <c r="C202" t="s">
        <v>237</v>
      </c>
      <c r="D202" t="s">
        <v>798</v>
      </c>
      <c r="E202">
        <f>VLOOKUP(TablaObra[[#This Row],[Equipo]],Catalogos!$V$4:$W$64,2,FALSE)</f>
      </c>
      <c r="F202" s="3">
        <v>200</v>
      </c>
      <c r="G202" s="4">
        <v>27</v>
      </c>
      <c r="H202" s="4">
        <f t="shared" si="6"/>
      </c>
      <c r="M202">
        <v>26</v>
      </c>
      <c r="N202">
        <f>IF(A202="","", "CO-" &amp; IFERROR(VLOOKUP(B202, Catalogos!$Z$4:$AA$20, 2, FALSE), "FOL") &amp; "-" &amp; WEEKNUM(A202,2) &amp; "-" &amp; TEXT(ROW(A198),"000"))</f>
      </c>
    </row>
    <row r="203" spans="1:14">
      <c r="A203" s="2">
        <v>46200</v>
      </c>
      <c r="B203" t="s">
        <v>1</v>
      </c>
      <c r="C203" t="s">
        <v>51</v>
      </c>
      <c r="D203" t="s">
        <v>216</v>
      </c>
      <c r="E203">
        <f>VLOOKUP(TablaObra[[#This Row],[Equipo]],Catalogos!$V$4:$W$64,2,FALSE)</f>
      </c>
      <c r="F203" s="3">
        <v>24</v>
      </c>
      <c r="G203" s="4">
        <v>27</v>
      </c>
      <c r="H203" s="4">
        <f t="shared" si="6"/>
      </c>
      <c r="M203">
        <v>26</v>
      </c>
      <c r="N203">
        <f>IF(A203="","", "CO-" &amp; IFERROR(VLOOKUP(B203, Catalogos!$Z$4:$AA$20, 2, FALSE), "FOL") &amp; "-" &amp; WEEKNUM(A203,2) &amp; "-" &amp; TEXT(ROW(A199),"000"))</f>
      </c>
    </row>
    <row r="204" spans="1:14">
      <c r="A204" s="2">
        <v>46200</v>
      </c>
      <c r="B204" t="s">
        <v>1</v>
      </c>
      <c r="C204" t="s">
        <v>51</v>
      </c>
      <c r="D204" t="s">
        <v>235</v>
      </c>
      <c r="E204">
        <f>VLOOKUP(TablaObra[[#This Row],[Equipo]],Catalogos!$V$4:$W$64,2,FALSE)</f>
      </c>
      <c r="F204" s="3">
        <v>50</v>
      </c>
      <c r="G204" s="4">
        <v>27</v>
      </c>
      <c r="H204" s="4">
        <f t="shared" si="6"/>
      </c>
      <c r="M204">
        <v>26</v>
      </c>
      <c r="N204">
        <f>IF(A204="","", "CO-" &amp; IFERROR(VLOOKUP(B204, Catalogos!$Z$4:$AA$20, 2, FALSE), "FOL") &amp; "-" &amp; WEEKNUM(A204,2) &amp; "-" &amp; TEXT(ROW(A200),"000"))</f>
      </c>
    </row>
    <row r="205" spans="1:14">
      <c r="A205" s="2">
        <v>46200</v>
      </c>
      <c r="B205" t="s">
        <v>1</v>
      </c>
      <c r="C205" t="s">
        <v>51</v>
      </c>
      <c r="D205" t="s">
        <v>215</v>
      </c>
      <c r="E205">
        <f>VLOOKUP(TablaObra[[#This Row],[Equipo]],Catalogos!$V$4:$W$64,2,FALSE)</f>
      </c>
      <c r="F205" s="3">
        <v>118</v>
      </c>
      <c r="G205" s="4">
        <v>27</v>
      </c>
      <c r="H205" s="4">
        <f t="shared" si="6"/>
      </c>
      <c r="M205">
        <v>26</v>
      </c>
      <c r="N205">
        <f>IF(A205="","", "CO-" &amp; IFERROR(VLOOKUP(B205, Catalogos!$Z$4:$AA$20, 2, FALSE), "FOL") &amp; "-" &amp; WEEKNUM(A205,2) &amp; "-" &amp; TEXT(ROW(A201),"000"))</f>
      </c>
    </row>
    <row r="206" spans="1:14">
      <c r="A206" s="2">
        <v>46200</v>
      </c>
      <c r="B206" t="s">
        <v>124</v>
      </c>
      <c r="C206" t="s">
        <v>237</v>
      </c>
      <c r="D206" t="s">
        <v>798</v>
      </c>
      <c r="E206">
        <f>VLOOKUP(TablaObra[[#This Row],[Equipo]],Catalogos!$V$4:$W$64,2,FALSE)</f>
      </c>
      <c r="F206" s="3">
        <v>100</v>
      </c>
      <c r="G206" s="4">
        <v>27</v>
      </c>
      <c r="H206" s="4">
        <f t="shared" si="6"/>
      </c>
      <c r="M206">
        <v>26</v>
      </c>
      <c r="N206">
        <f>IF(A206="","", "CO-" &amp; IFERROR(VLOOKUP(B206, Catalogos!$Z$4:$AA$20, 2, FALSE), "FOL") &amp; "-" &amp; WEEKNUM(A206,2) &amp; "-" &amp; TEXT(ROW(A202),"000"))</f>
      </c>
    </row>
    <row r="207" spans="1:14">
      <c r="A207" s="2">
        <v>46200</v>
      </c>
      <c r="B207" t="s">
        <v>124</v>
      </c>
      <c r="C207" t="s">
        <v>237</v>
      </c>
      <c r="D207" t="s">
        <v>241</v>
      </c>
      <c r="E207">
        <f>VLOOKUP(TablaObra[[#This Row],[Equipo]],Catalogos!$V$4:$W$64,2,FALSE)</f>
      </c>
      <c r="F207" s="3">
        <v>60</v>
      </c>
      <c r="G207" s="4">
        <v>27</v>
      </c>
      <c r="H207" s="4">
        <f t="shared" si="6"/>
      </c>
      <c r="M207">
        <v>26</v>
      </c>
      <c r="N207">
        <f>IF(A207="","", "CO-" &amp; IFERROR(VLOOKUP(B207, Catalogos!$Z$4:$AA$20, 2, FALSE), "FOL") &amp; "-" &amp; WEEKNUM(A207,2) &amp; "-" &amp; TEXT(ROW(A203),"000"))</f>
      </c>
    </row>
    <row r="208" spans="1:14">
      <c r="A208" s="2">
        <v>46200</v>
      </c>
      <c r="B208" t="s">
        <v>124</v>
      </c>
      <c r="C208" t="s">
        <v>237</v>
      </c>
      <c r="D208" t="s">
        <v>248</v>
      </c>
      <c r="E208">
        <f>VLOOKUP(TablaObra[[#This Row],[Equipo]],Catalogos!$V$4:$W$64,2,FALSE)</f>
      </c>
      <c r="F208" s="3">
        <v>40</v>
      </c>
      <c r="G208" s="4">
        <v>27</v>
      </c>
      <c r="H208" s="4">
        <f t="shared" si="6"/>
      </c>
      <c r="M208">
        <v>26</v>
      </c>
      <c r="N208">
        <f>IF(A208="","", "CO-" &amp; IFERROR(VLOOKUP(B208, Catalogos!$Z$4:$AA$20, 2, FALSE), "FOL") &amp; "-" &amp; WEEKNUM(A208,2) &amp; "-" &amp; TEXT(ROW(A204),"000"))</f>
      </c>
    </row>
    <row r="209" spans="1:14">
      <c r="A209" s="2">
        <v>46200</v>
      </c>
      <c r="B209" t="s">
        <v>124</v>
      </c>
      <c r="C209" t="s">
        <v>237</v>
      </c>
      <c r="D209" t="s">
        <v>245</v>
      </c>
      <c r="E209">
        <f>VLOOKUP(TablaObra[[#This Row],[Equipo]],Catalogos!$V$4:$W$64,2,FALSE)</f>
      </c>
      <c r="F209" s="3">
        <v>200</v>
      </c>
      <c r="G209" s="4">
        <v>27</v>
      </c>
      <c r="H209" s="4">
        <f t="shared" si="6"/>
      </c>
      <c r="M209">
        <v>26</v>
      </c>
      <c r="N209">
        <f>IF(A209="","", "CO-" &amp; IFERROR(VLOOKUP(B209, Catalogos!$Z$4:$AA$20, 2, FALSE), "FOL") &amp; "-" &amp; WEEKNUM(A209,2) &amp; "-" &amp; TEXT(ROW(A205),"000"))</f>
      </c>
    </row>
    <row r="210" spans="1:14">
      <c r="A210" s="2">
        <v>46200</v>
      </c>
      <c r="B210" t="s">
        <v>124</v>
      </c>
      <c r="C210" t="s">
        <v>237</v>
      </c>
      <c r="D210" t="s">
        <v>800</v>
      </c>
      <c r="E210">
        <f>VLOOKUP(TablaObra[[#This Row],[Equipo]],Catalogos!$V$4:$W$64,2,FALSE)</f>
      </c>
      <c r="F210" s="3">
        <v>200</v>
      </c>
      <c r="G210" s="4">
        <v>27</v>
      </c>
      <c r="H210" s="4">
        <f t="shared" si="6"/>
      </c>
      <c r="M210">
        <v>26</v>
      </c>
      <c r="N210">
        <f>IF(A210="","", "CO-" &amp; IFERROR(VLOOKUP(B210, Catalogos!$Z$4:$AA$20, 2, FALSE), "FOL") &amp; "-" &amp; WEEKNUM(A210,2) &amp; "-" &amp; TEXT(ROW(A206),"000"))</f>
      </c>
    </row>
    <row r="211" spans="1:14">
      <c r="A211" s="2">
        <v>46202</v>
      </c>
      <c r="B211" t="s">
        <v>1</v>
      </c>
      <c r="C211" t="s">
        <v>51</v>
      </c>
      <c r="D211" t="s">
        <v>368</v>
      </c>
      <c r="E211">
        <f>VLOOKUP(TablaObra[[#This Row],[Equipo]],Catalogos!$V$4:$W$64,2,FALSE)</f>
      </c>
      <c r="F211" s="3">
        <v>102</v>
      </c>
      <c r="G211" s="4">
        <v>27</v>
      </c>
      <c r="H211" s="4">
        <f t="shared" si="6"/>
      </c>
      <c r="M211">
        <v>27</v>
      </c>
      <c r="N211">
        <f>IF(A211="","", "CO-" &amp; IFERROR(VLOOKUP(B211, Catalogos!$Z$4:$AA$20, 2, FALSE), "FOL") &amp; "-" &amp; WEEKNUM(A211,2) &amp; "-" &amp; TEXT(ROW(A207),"000"))</f>
      </c>
    </row>
    <row r="212" spans="1:14">
      <c r="A212" s="2">
        <v>46202</v>
      </c>
      <c r="B212" t="s">
        <v>1</v>
      </c>
      <c r="C212" t="s">
        <v>51</v>
      </c>
      <c r="D212" t="s">
        <v>219</v>
      </c>
      <c r="E212">
        <f>VLOOKUP(TablaObra[[#This Row],[Equipo]],Catalogos!$V$4:$W$64,2,FALSE)</f>
      </c>
      <c r="F212" s="3">
        <v>41</v>
      </c>
      <c r="G212" s="4">
        <v>27</v>
      </c>
      <c r="H212" s="4">
        <f t="shared" si="6"/>
      </c>
      <c r="M212">
        <v>27</v>
      </c>
      <c r="N212">
        <f>IF(A212="","", "CO-" &amp; IFERROR(VLOOKUP(B212, Catalogos!$Z$4:$AA$20, 2, FALSE), "FOL") &amp; "-" &amp; WEEKNUM(A212,2) &amp; "-" &amp; TEXT(ROW(A208),"000"))</f>
      </c>
    </row>
    <row r="213" spans="1:14">
      <c r="A213" s="2">
        <v>46202</v>
      </c>
      <c r="B213" t="s">
        <v>1</v>
      </c>
      <c r="C213" t="s">
        <v>51</v>
      </c>
      <c r="D213" t="s">
        <v>220</v>
      </c>
      <c r="E213">
        <f>VLOOKUP(TablaObra[[#This Row],[Equipo]],Catalogos!$V$4:$W$64,2,FALSE)</f>
      </c>
      <c r="F213" s="3">
        <v>23</v>
      </c>
      <c r="G213" s="4">
        <v>27</v>
      </c>
      <c r="H213" s="4">
        <f t="shared" si="6"/>
      </c>
      <c r="M213">
        <v>27</v>
      </c>
      <c r="N213">
        <f>IF(A213="","", "CO-" &amp; IFERROR(VLOOKUP(B213, Catalogos!$Z$4:$AA$20, 2, FALSE), "FOL") &amp; "-" &amp; WEEKNUM(A213,2) &amp; "-" &amp; TEXT(ROW(A209),"000"))</f>
      </c>
    </row>
    <row r="214" spans="1:14">
      <c r="A214" s="2">
        <v>46202</v>
      </c>
      <c r="B214" t="s">
        <v>1</v>
      </c>
      <c r="C214" t="s">
        <v>51</v>
      </c>
      <c r="D214" t="s">
        <v>228</v>
      </c>
      <c r="E214">
        <f>VLOOKUP(TablaObra[[#This Row],[Equipo]],Catalogos!$V$4:$W$64,2,FALSE)</f>
      </c>
      <c r="F214" s="3">
        <v>60</v>
      </c>
      <c r="G214" s="4">
        <v>27</v>
      </c>
      <c r="H214" s="4">
        <f t="shared" si="6"/>
      </c>
      <c r="M214">
        <v>27</v>
      </c>
      <c r="N214">
        <f>IF(A214="","", "CO-" &amp; IFERROR(VLOOKUP(B214, Catalogos!$Z$4:$AA$20, 2, FALSE), "FOL") &amp; "-" &amp; WEEKNUM(A214,2) &amp; "-" &amp; TEXT(ROW(A210),"000"))</f>
      </c>
    </row>
    <row r="215" spans="1:14">
      <c r="A215" s="2">
        <v>46202</v>
      </c>
      <c r="B215" t="s">
        <v>1</v>
      </c>
      <c r="C215" t="s">
        <v>51</v>
      </c>
      <c r="D215" t="s">
        <v>215</v>
      </c>
      <c r="E215">
        <f>VLOOKUP(TablaObra[[#This Row],[Equipo]],Catalogos!$V$4:$W$64,2,FALSE)</f>
      </c>
      <c r="F215" s="3">
        <v>97</v>
      </c>
      <c r="G215" s="4">
        <v>27</v>
      </c>
      <c r="H215" s="4">
        <f t="shared" si="6"/>
      </c>
      <c r="M215">
        <v>27</v>
      </c>
      <c r="N215">
        <f>IF(A215="","", "CO-" &amp; IFERROR(VLOOKUP(B215, Catalogos!$Z$4:$AA$20, 2, FALSE), "FOL") &amp; "-" &amp; WEEKNUM(A215,2) &amp; "-" &amp; TEXT(ROW(A211),"000"))</f>
      </c>
    </row>
    <row r="216" spans="1:14">
      <c r="A216" s="2">
        <v>46202</v>
      </c>
      <c r="B216" t="s">
        <v>2</v>
      </c>
      <c r="C216" t="s">
        <v>47</v>
      </c>
      <c r="D216" t="s">
        <v>365</v>
      </c>
      <c r="E216">
        <f>VLOOKUP(TablaObra[[#This Row],[Equipo]],Catalogos!$V$4:$W$64,2,FALSE)</f>
      </c>
      <c r="F216" s="3">
        <v>178</v>
      </c>
      <c r="G216" s="4">
        <v>27</v>
      </c>
      <c r="H216" s="4">
        <f t="shared" si="6"/>
      </c>
      <c r="M216">
        <v>27</v>
      </c>
      <c r="N216">
        <f>IF(A216="","", "CO-" &amp; IFERROR(VLOOKUP(B216, Catalogos!$Z$4:$AA$20, 2, FALSE), "FOL") &amp; "-" &amp; WEEKNUM(A216,2) &amp; "-" &amp; TEXT(ROW(A212),"000"))</f>
      </c>
    </row>
    <row r="217" spans="1:14">
      <c r="A217" s="2">
        <v>46202</v>
      </c>
      <c r="B217" t="s">
        <v>2</v>
      </c>
      <c r="C217" t="s">
        <v>47</v>
      </c>
      <c r="D217" t="s">
        <v>221</v>
      </c>
      <c r="E217">
        <f>VLOOKUP(TablaObra[[#This Row],[Equipo]],Catalogos!$V$4:$W$64,2,FALSE)</f>
      </c>
      <c r="F217" s="3">
        <v>38</v>
      </c>
      <c r="G217" s="4">
        <v>27</v>
      </c>
      <c r="H217" s="4">
        <f t="shared" si="6"/>
      </c>
      <c r="M217">
        <v>27</v>
      </c>
      <c r="N217">
        <f>IF(A217="","", "CO-" &amp; IFERROR(VLOOKUP(B217, Catalogos!$Z$4:$AA$20, 2, FALSE), "FOL") &amp; "-" &amp; WEEKNUM(A217,2) &amp; "-" &amp; TEXT(ROW(A213),"000"))</f>
      </c>
    </row>
    <row r="218" spans="1:14">
      <c r="A218" s="2">
        <v>46202</v>
      </c>
      <c r="B218" t="s">
        <v>1</v>
      </c>
      <c r="C218" t="s">
        <v>51</v>
      </c>
      <c r="D218" t="s">
        <v>383</v>
      </c>
      <c r="E218">
        <f>VLOOKUP(TablaObra[[#This Row],[Equipo]],Catalogos!$V$4:$W$64,2,FALSE)</f>
      </c>
      <c r="F218" s="3">
        <v>50</v>
      </c>
      <c r="G218" s="4">
        <v>27</v>
      </c>
      <c r="H218" s="4">
        <f t="shared" si="6"/>
      </c>
      <c r="M218">
        <v>27</v>
      </c>
      <c r="N218">
        <f>IF(A218="","", "CO-" &amp; IFERROR(VLOOKUP(B218, Catalogos!$Z$4:$AA$20, 2, FALSE), "FOL") &amp; "-" &amp; WEEKNUM(A218,2) &amp; "-" &amp; TEXT(ROW(A214),"000"))</f>
      </c>
    </row>
    <row r="219" spans="1:14">
      <c r="A219" s="2">
        <v>46202</v>
      </c>
      <c r="B219" t="s">
        <v>124</v>
      </c>
      <c r="C219" t="s">
        <v>237</v>
      </c>
      <c r="D219" t="s">
        <v>798</v>
      </c>
      <c r="E219">
        <f>VLOOKUP(TablaObra[[#This Row],[Equipo]],Catalogos!$V$4:$W$64,2,FALSE)</f>
      </c>
      <c r="F219" s="3">
        <v>200</v>
      </c>
      <c r="G219" s="4">
        <v>27</v>
      </c>
      <c r="H219" s="4">
        <f t="shared" si="6"/>
      </c>
      <c r="M219">
        <v>27</v>
      </c>
      <c r="N219">
        <f>IF(A219="","", "CO-" &amp; IFERROR(VLOOKUP(B219, Catalogos!$Z$4:$AA$20, 2, FALSE), "FOL") &amp; "-" &amp; WEEKNUM(A219,2) &amp; "-" &amp; TEXT(ROW(A215),"000"))</f>
      </c>
    </row>
    <row r="220" spans="1:14">
      <c r="A220" s="2">
        <v>46202</v>
      </c>
      <c r="B220" t="s">
        <v>124</v>
      </c>
      <c r="C220" t="s">
        <v>237</v>
      </c>
      <c r="D220" t="s">
        <v>798</v>
      </c>
      <c r="E220">
        <f>VLOOKUP(TablaObra[[#This Row],[Equipo]],Catalogos!$V$4:$W$64,2,FALSE)</f>
      </c>
      <c r="F220" s="3">
        <v>80</v>
      </c>
      <c r="G220" s="4">
        <v>27</v>
      </c>
      <c r="H220" s="4">
        <f t="shared" ref="H220:H251" si="7">IFERROR(F220*G220,0)</f>
      </c>
      <c r="M220">
        <v>27</v>
      </c>
      <c r="N220">
        <f>IF(A220="","", "CO-" &amp; IFERROR(VLOOKUP(B220, Catalogos!$Z$4:$AA$20, 2, FALSE), "FOL") &amp; "-" &amp; WEEKNUM(A220,2) &amp; "-" &amp; TEXT(ROW(A216),"000"))</f>
      </c>
    </row>
    <row r="221" spans="1:14">
      <c r="A221" s="2">
        <v>46202</v>
      </c>
      <c r="B221" t="s">
        <v>124</v>
      </c>
      <c r="C221" t="s">
        <v>237</v>
      </c>
      <c r="D221" t="s">
        <v>240</v>
      </c>
      <c r="E221">
        <f>VLOOKUP(TablaObra[[#This Row],[Equipo]],Catalogos!$V$4:$W$64,2,FALSE)</f>
      </c>
      <c r="F221" s="3">
        <v>300</v>
      </c>
      <c r="G221" s="4">
        <v>27</v>
      </c>
      <c r="H221" s="4">
        <f t="shared" si="7"/>
      </c>
      <c r="M221">
        <v>27</v>
      </c>
      <c r="N221">
        <f>IF(A221="","", "CO-" &amp; IFERROR(VLOOKUP(B221, Catalogos!$Z$4:$AA$20, 2, FALSE), "FOL") &amp; "-" &amp; WEEKNUM(A221,2) &amp; "-" &amp; TEXT(ROW(A217),"000"))</f>
      </c>
    </row>
    <row r="222" spans="1:14">
      <c r="A222" s="2">
        <v>46202</v>
      </c>
      <c r="B222" t="s">
        <v>2</v>
      </c>
      <c r="C222" t="s">
        <v>47</v>
      </c>
      <c r="D222" t="s">
        <v>221</v>
      </c>
      <c r="E222">
        <f>VLOOKUP(TablaObra[[#This Row],[Equipo]],Catalogos!$V$4:$W$64,2,FALSE)</f>
      </c>
      <c r="F222" s="3">
        <v>38</v>
      </c>
      <c r="G222" s="4">
        <v>27</v>
      </c>
      <c r="H222" s="4">
        <f t="shared" si="7"/>
      </c>
      <c r="M222">
        <v>27</v>
      </c>
      <c r="N222">
        <f>IF(A222="","", "CO-" &amp; IFERROR(VLOOKUP(B222, Catalogos!$Z$4:$AA$20, 2, FALSE), "FOL") &amp; "-" &amp; WEEKNUM(A222,2) &amp; "-" &amp; TEXT(ROW(A218),"000"))</f>
      </c>
    </row>
    <row r="223" spans="1:14">
      <c r="A223" s="2">
        <v>46202</v>
      </c>
      <c r="B223" t="s">
        <v>115</v>
      </c>
      <c r="C223" t="s">
        <v>237</v>
      </c>
      <c r="D223" t="s">
        <v>245</v>
      </c>
      <c r="E223">
        <f>VLOOKUP(TablaObra[[#This Row],[Equipo]],Catalogos!$V$4:$W$64,2,FALSE)</f>
      </c>
      <c r="F223" s="3">
        <v>210</v>
      </c>
      <c r="G223" s="4">
        <v>27</v>
      </c>
      <c r="H223" s="4">
        <f t="shared" si="7"/>
      </c>
      <c r="M223">
        <v>27</v>
      </c>
      <c r="N223">
        <f>IF(A223="","", "CO-" &amp; IFERROR(VLOOKUP(B223, Catalogos!$Z$4:$AA$20, 2, FALSE), "FOL") &amp; "-" &amp; WEEKNUM(A223,2) &amp; "-" &amp; TEXT(ROW(A219),"000"))</f>
      </c>
    </row>
    <row r="224" spans="1:14">
      <c r="A224" s="2">
        <v>46202</v>
      </c>
      <c r="B224" t="s">
        <v>115</v>
      </c>
      <c r="C224" t="s">
        <v>237</v>
      </c>
      <c r="D224" t="s">
        <v>349</v>
      </c>
      <c r="E224">
        <f>VLOOKUP(TablaObra[[#This Row],[Equipo]],Catalogos!$V$4:$W$64,2,FALSE)</f>
      </c>
      <c r="F224" s="3">
        <v>300</v>
      </c>
      <c r="G224" s="4">
        <v>27</v>
      </c>
      <c r="H224" s="4">
        <f t="shared" si="7"/>
      </c>
      <c r="M224">
        <v>27</v>
      </c>
      <c r="N224">
        <f>IF(A224="","", "CO-" &amp; IFERROR(VLOOKUP(B224, Catalogos!$Z$4:$AA$20, 2, FALSE), "FOL") &amp; "-" &amp; WEEKNUM(A224,2) &amp; "-" &amp; TEXT(ROW(A220),"000"))</f>
      </c>
    </row>
    <row r="225" spans="1:14">
      <c r="A225" s="2">
        <v>46202</v>
      </c>
      <c r="B225" t="s">
        <v>159</v>
      </c>
      <c r="C225" t="s">
        <v>47</v>
      </c>
      <c r="D225" t="s">
        <v>383</v>
      </c>
      <c r="E225">
        <f>VLOOKUP(TablaObra[[#This Row],[Equipo]],Catalogos!$V$4:$W$64,2,FALSE)</f>
      </c>
      <c r="F225" s="3">
        <v>60</v>
      </c>
      <c r="G225" s="4">
        <v>27</v>
      </c>
      <c r="H225" s="4">
        <f t="shared" si="7"/>
      </c>
      <c r="M225">
        <v>27</v>
      </c>
      <c r="N225">
        <f>IF(A225="","", "CO-" &amp; IFERROR(VLOOKUP(B225, Catalogos!$Z$4:$AA$20, 2, FALSE), "FOL") &amp; "-" &amp; WEEKNUM(A225,2) &amp; "-" &amp; TEXT(ROW(A221),"000"))</f>
      </c>
    </row>
    <row r="226" spans="1:14">
      <c r="A226" s="2">
        <v>46202</v>
      </c>
      <c r="B226" t="s">
        <v>2</v>
      </c>
      <c r="C226" t="s">
        <v>47</v>
      </c>
      <c r="D226" t="s">
        <v>383</v>
      </c>
      <c r="E226">
        <f>VLOOKUP(TablaObra[[#This Row],[Equipo]],Catalogos!$V$4:$W$64,2,FALSE)</f>
      </c>
      <c r="F226" s="3">
        <v>59</v>
      </c>
      <c r="G226" s="4">
        <v>27</v>
      </c>
      <c r="H226" s="4">
        <f t="shared" si="7"/>
      </c>
      <c r="M226">
        <v>27</v>
      </c>
      <c r="N226">
        <f>IF(A226="","", "CO-" &amp; IFERROR(VLOOKUP(B226, Catalogos!$Z$4:$AA$20, 2, FALSE), "FOL") &amp; "-" &amp; WEEKNUM(A226,2) &amp; "-" &amp; TEXT(ROW(A222),"000"))</f>
      </c>
    </row>
    <row r="227" spans="1:14">
      <c r="A227" s="2">
        <v>46202</v>
      </c>
      <c r="B227" t="s">
        <v>2</v>
      </c>
      <c r="C227" t="s">
        <v>47</v>
      </c>
      <c r="D227" t="s">
        <v>235</v>
      </c>
      <c r="E227">
        <f>VLOOKUP(TablaObra[[#This Row],[Equipo]],Catalogos!$V$4:$W$64,2,FALSE)</f>
      </c>
      <c r="F227" s="3">
        <v>94</v>
      </c>
      <c r="G227" s="4">
        <v>27</v>
      </c>
      <c r="H227" s="4">
        <f t="shared" si="7"/>
      </c>
      <c r="M227">
        <v>27</v>
      </c>
      <c r="N227">
        <f>IF(A227="","", "CO-" &amp; IFERROR(VLOOKUP(B227, Catalogos!$Z$4:$AA$20, 2, FALSE), "FOL") &amp; "-" &amp; WEEKNUM(A227,2) &amp; "-" &amp; TEXT(ROW(A223),"000"))</f>
      </c>
    </row>
    <row r="228" spans="1:14">
      <c r="A228" s="2">
        <v>46202</v>
      </c>
      <c r="B228" t="s">
        <v>111</v>
      </c>
      <c r="C228" t="s">
        <v>47</v>
      </c>
      <c r="D228" t="s">
        <v>228</v>
      </c>
      <c r="E228">
        <f>VLOOKUP(TablaObra[[#This Row],[Equipo]],Catalogos!$V$4:$W$64,2,FALSE)</f>
      </c>
      <c r="F228" s="3">
        <v>45</v>
      </c>
      <c r="G228" s="4">
        <v>27</v>
      </c>
      <c r="H228" s="4">
        <f t="shared" si="7"/>
      </c>
      <c r="M228">
        <v>27</v>
      </c>
      <c r="N228">
        <f>IF(A228="","", "CO-" &amp; IFERROR(VLOOKUP(B228, Catalogos!$Z$4:$AA$20, 2, FALSE), "FOL") &amp; "-" &amp; WEEKNUM(A228,2) &amp; "-" &amp; TEXT(ROW(A224),"000"))</f>
      </c>
    </row>
    <row r="229" spans="1:14">
      <c r="A229" s="2">
        <v>46203</v>
      </c>
      <c r="B229" t="s">
        <v>2</v>
      </c>
      <c r="C229" t="s">
        <v>51</v>
      </c>
      <c r="D229" t="s">
        <v>214</v>
      </c>
      <c r="E229">
        <f>VLOOKUP(TablaObra[[#This Row],[Equipo]],Catalogos!$V$4:$W$64,2,FALSE)</f>
      </c>
      <c r="F229" s="3">
        <v>400</v>
      </c>
      <c r="G229" s="4">
        <v>27</v>
      </c>
      <c r="H229" s="4">
        <f t="shared" si="7"/>
      </c>
      <c r="M229">
        <v>27</v>
      </c>
      <c r="N229">
        <f>IF(A229="","", "CO-" &amp; IFERROR(VLOOKUP(B229, Catalogos!$Z$4:$AA$20, 2, FALSE), "FOL") &amp; "-" &amp; WEEKNUM(A229,2) &amp; "-" &amp; TEXT(ROW(A225),"000"))</f>
      </c>
    </row>
    <row r="230" spans="1:14">
      <c r="A230" s="2">
        <v>46203</v>
      </c>
      <c r="B230" t="s">
        <v>2</v>
      </c>
      <c r="C230" t="s">
        <v>51</v>
      </c>
      <c r="D230" t="s">
        <v>217</v>
      </c>
      <c r="E230">
        <f>VLOOKUP(TablaObra[[#This Row],[Equipo]],Catalogos!$V$4:$W$64,2,FALSE)</f>
      </c>
      <c r="F230" s="3">
        <v>30</v>
      </c>
      <c r="G230" s="4">
        <v>27</v>
      </c>
      <c r="H230" s="4">
        <f t="shared" si="7"/>
      </c>
      <c r="M230">
        <v>27</v>
      </c>
      <c r="N230">
        <f>IF(A230="","", "CO-" &amp; IFERROR(VLOOKUP(B230, Catalogos!$Z$4:$AA$20, 2, FALSE), "FOL") &amp; "-" &amp; WEEKNUM(A230,2) &amp; "-" &amp; TEXT(ROW(A226),"000"))</f>
      </c>
    </row>
    <row r="231" spans="1:14">
      <c r="A231" s="2">
        <v>46203</v>
      </c>
      <c r="B231" t="s">
        <v>124</v>
      </c>
      <c r="C231" t="s">
        <v>237</v>
      </c>
      <c r="D231" t="s">
        <v>798</v>
      </c>
      <c r="E231">
        <f>VLOOKUP(TablaObra[[#This Row],[Equipo]],Catalogos!$V$4:$W$64,2,FALSE)</f>
      </c>
      <c r="F231" s="3">
        <v>100</v>
      </c>
      <c r="G231" s="4">
        <v>27</v>
      </c>
      <c r="H231" s="4">
        <f t="shared" si="7"/>
      </c>
      <c r="M231">
        <v>27</v>
      </c>
      <c r="N231">
        <f>IF(A231="","", "CO-" &amp; IFERROR(VLOOKUP(B231, Catalogos!$Z$4:$AA$20, 2, FALSE), "FOL") &amp; "-" &amp; WEEKNUM(A231,2) &amp; "-" &amp; TEXT(ROW(A227),"000"))</f>
      </c>
    </row>
    <row r="232" spans="1:14">
      <c r="A232" s="2">
        <v>46203</v>
      </c>
      <c r="B232" t="s">
        <v>833</v>
      </c>
      <c r="C232" t="s">
        <v>47</v>
      </c>
      <c r="D232" t="s">
        <v>835</v>
      </c>
      <c r="E232">
        <f>VLOOKUP(TablaObra[[#This Row],[Equipo]],Catalogos!$V$4:$W$64,2,FALSE)</f>
      </c>
      <c r="F232" s="3">
        <v>50</v>
      </c>
      <c r="G232" s="4">
        <v>27</v>
      </c>
      <c r="H232" s="4">
        <f t="shared" si="7"/>
      </c>
      <c r="N232">
        <f>IF(A232="","", "CO-" &amp; IFERROR(VLOOKUP(B232, Catalogos!$Z$4:$AA$20, 2, FALSE), "FOL") &amp; "-" &amp; WEEKNUM(A232,2) &amp; "-" &amp; TEXT(ROW(A228),"000"))</f>
      </c>
    </row>
    <row r="233" spans="1:14">
      <c r="A233" s="2">
        <v>46203</v>
      </c>
      <c r="B233" t="s">
        <v>833</v>
      </c>
      <c r="C233" t="s">
        <v>47</v>
      </c>
      <c r="D233" t="s">
        <v>223</v>
      </c>
      <c r="E233">
        <f>VLOOKUP(TablaObra[[#This Row],[Equipo]],Catalogos!$V$4:$W$64,2,FALSE)</f>
      </c>
      <c r="F233" s="3">
        <v>50</v>
      </c>
      <c r="G233" s="4">
        <v>27</v>
      </c>
      <c r="H233" s="4">
        <f t="shared" si="7"/>
      </c>
      <c r="N233">
        <f>IF(A233="","", "CO-" &amp; IFERROR(VLOOKUP(B233, Catalogos!$Z$4:$AA$20, 2, FALSE), "FOL") &amp; "-" &amp; WEEKNUM(A233,2) &amp; "-" &amp; TEXT(ROW(A229),"000"))</f>
      </c>
    </row>
    <row r="234" spans="1:14">
      <c r="A234" s="2">
        <v>46203</v>
      </c>
      <c r="B234" t="s">
        <v>833</v>
      </c>
      <c r="C234" t="s">
        <v>47</v>
      </c>
      <c r="D234" t="s">
        <v>837</v>
      </c>
      <c r="E234">
        <f>VLOOKUP(TablaObra[[#This Row],[Equipo]],Catalogos!$V$4:$W$64,2,FALSE)</f>
      </c>
      <c r="F234" s="3">
        <v>100</v>
      </c>
      <c r="G234" s="4">
        <v>27</v>
      </c>
      <c r="H234" s="4">
        <f t="shared" si="7"/>
      </c>
      <c r="N234">
        <f>IF(A234="","", "CO-" &amp; IFERROR(VLOOKUP(B234, Catalogos!$Z$4:$AA$20, 2, FALSE), "FOL") &amp; "-" &amp; WEEKNUM(A234,2) &amp; "-" &amp; TEXT(ROW(A230),"000"))</f>
      </c>
    </row>
    <row r="235" spans="1:14">
      <c r="A235" s="2">
        <v>46203</v>
      </c>
      <c r="B235" t="s">
        <v>2</v>
      </c>
      <c r="C235" t="s">
        <v>47</v>
      </c>
      <c r="D235" t="s">
        <v>246</v>
      </c>
      <c r="E235">
        <f>VLOOKUP(TablaObra[[#This Row],[Equipo]],Catalogos!$V$4:$W$64,2,FALSE)</f>
      </c>
      <c r="F235" s="3">
        <v>29</v>
      </c>
      <c r="G235" s="4">
        <v>27</v>
      </c>
      <c r="H235" s="4">
        <f t="shared" si="7"/>
      </c>
      <c r="N235">
        <f>IF(A235="","", "CO-" &amp; IFERROR(VLOOKUP(B235, Catalogos!$Z$4:$AA$20, 2, FALSE), "FOL") &amp; "-" &amp; WEEKNUM(A235,2) &amp; "-" &amp; TEXT(ROW(A231),"000"))</f>
      </c>
    </row>
    <row r="236" spans="1:14">
      <c r="A236" s="2">
        <v>46204</v>
      </c>
      <c r="B236" t="s">
        <v>1</v>
      </c>
      <c r="C236" t="s">
        <v>51</v>
      </c>
      <c r="D236" t="s">
        <v>219</v>
      </c>
      <c r="E236">
        <f>VLOOKUP(TablaObra[[#This Row],[Equipo]],Catalogos!$V$4:$W$64,2,FALSE)</f>
      </c>
      <c r="F236" s="3">
        <v>33</v>
      </c>
      <c r="G236" s="4">
        <v>27</v>
      </c>
      <c r="H236" s="4">
        <f t="shared" si="7"/>
      </c>
      <c r="N236">
        <f>IF(A236="","", "CO-" &amp; IFERROR(VLOOKUP(B236, Catalogos!$Z$4:$AA$20, 2, FALSE), "FOL") &amp; "-" &amp; WEEKNUM(A236,2) &amp; "-" &amp; TEXT(ROW(A232),"000"))</f>
      </c>
    </row>
    <row r="237" spans="1:14">
      <c r="A237" s="2">
        <v>46204</v>
      </c>
      <c r="B237" t="s">
        <v>1</v>
      </c>
      <c r="C237" t="s">
        <v>51</v>
      </c>
      <c r="D237" t="s">
        <v>223</v>
      </c>
      <c r="E237">
        <f>VLOOKUP(TablaObra[[#This Row],[Equipo]],Catalogos!$V$4:$W$64,2,FALSE)</f>
      </c>
      <c r="F237" s="3">
        <v>40</v>
      </c>
      <c r="G237" s="4">
        <v>27</v>
      </c>
      <c r="H237" s="4">
        <f t="shared" si="7"/>
      </c>
      <c r="N237">
        <f>IF(A237="","", "CO-" &amp; IFERROR(VLOOKUP(B237, Catalogos!$Z$4:$AA$20, 2, FALSE), "FOL") &amp; "-" &amp; WEEKNUM(A237,2) &amp; "-" &amp; TEXT(ROW(A233),"000"))</f>
      </c>
    </row>
    <row r="238" spans="1:14">
      <c r="A238" s="2">
        <v>46204</v>
      </c>
      <c r="B238" t="s">
        <v>1</v>
      </c>
      <c r="C238" t="s">
        <v>51</v>
      </c>
      <c r="D238" t="s">
        <v>220</v>
      </c>
      <c r="E238">
        <f>VLOOKUP(TablaObra[[#This Row],[Equipo]],Catalogos!$V$4:$W$64,2,FALSE)</f>
      </c>
      <c r="F238" s="3">
        <v>40</v>
      </c>
      <c r="G238" s="4">
        <v>27</v>
      </c>
      <c r="H238" s="4">
        <f t="shared" si="7"/>
      </c>
      <c r="N238">
        <f>IF(A238="","", "CO-" &amp; IFERROR(VLOOKUP(B238, Catalogos!$Z$4:$AA$20, 2, FALSE), "FOL") &amp; "-" &amp; WEEKNUM(A238,2) &amp; "-" &amp; TEXT(ROW(A234),"000"))</f>
      </c>
    </row>
    <row r="239" spans="1:14">
      <c r="A239" s="2">
        <v>46204</v>
      </c>
      <c r="B239" t="s">
        <v>1</v>
      </c>
      <c r="C239" t="s">
        <v>51</v>
      </c>
      <c r="D239" t="s">
        <v>224</v>
      </c>
      <c r="E239">
        <f>VLOOKUP(TablaObra[[#This Row],[Equipo]],Catalogos!$V$4:$W$64,2,FALSE)</f>
      </c>
      <c r="F239" s="3">
        <v>40</v>
      </c>
      <c r="G239" s="4">
        <v>27</v>
      </c>
      <c r="H239" s="4">
        <f t="shared" si="7"/>
      </c>
      <c r="N239">
        <f>IF(A239="","", "CO-" &amp; IFERROR(VLOOKUP(B239, Catalogos!$Z$4:$AA$20, 2, FALSE), "FOL") &amp; "-" &amp; WEEKNUM(A239,2) &amp; "-" &amp; TEXT(ROW(A235),"000"))</f>
      </c>
    </row>
    <row r="240" spans="1:14">
      <c r="A240" s="2">
        <v>46204</v>
      </c>
      <c r="B240" t="s">
        <v>1</v>
      </c>
      <c r="C240" t="s">
        <v>51</v>
      </c>
      <c r="D240" t="s">
        <v>367</v>
      </c>
      <c r="E240">
        <f>VLOOKUP(TablaObra[[#This Row],[Equipo]],Catalogos!$V$4:$W$64,2,FALSE)</f>
      </c>
      <c r="F240" s="3">
        <v>120</v>
      </c>
      <c r="G240" s="4">
        <v>27</v>
      </c>
      <c r="H240" s="4">
        <f t="shared" si="7"/>
      </c>
      <c r="N240">
        <f>IF(A240="","", "CO-" &amp; IFERROR(VLOOKUP(B240, Catalogos!$Z$4:$AA$20, 2, FALSE), "FOL") &amp; "-" &amp; WEEKNUM(A240,2) &amp; "-" &amp; TEXT(ROW(A236),"000"))</f>
      </c>
    </row>
    <row r="241" spans="1:14">
      <c r="A241" s="2"/>
      <c r="E241">
        <f>VLOOKUP(TablaObra[[#This Row],[Equipo]],Catalogos!$V$4:$W$64,2,FALSE)</f>
      </c>
      <c r="F241" s="3"/>
      <c r="G241" s="4">
        <v>27</v>
      </c>
      <c r="H241" s="4">
        <f t="shared" si="7"/>
      </c>
      <c r="N241">
        <f>IF(A241="","", "CO-" &amp; IFERROR(VLOOKUP(B241, Catalogos!$Z$4:$AA$20, 2, FALSE), "FOL") &amp; "-" &amp; WEEKNUM(A241,2) &amp; "-" &amp; TEXT(ROW(A237),"000"))</f>
      </c>
    </row>
    <row r="242" spans="1:14">
      <c r="A242" s="2"/>
      <c r="E242">
        <f>VLOOKUP(TablaObra[[#This Row],[Equipo]],Catalogos!$V$4:$W$64,2,FALSE)</f>
      </c>
      <c r="F242" s="3"/>
      <c r="G242" s="4">
        <v>27</v>
      </c>
      <c r="H242" s="4">
        <f t="shared" si="7"/>
      </c>
      <c r="N242">
        <f>IF(A242="","", "CO-" &amp; IFERROR(VLOOKUP(B242, Catalogos!$Z$4:$AA$20, 2, FALSE), "FOL") &amp; "-" &amp; WEEKNUM(A242,2) &amp; "-" &amp; TEXT(ROW(A238),"000"))</f>
      </c>
    </row>
    <row r="243" spans="1:14">
      <c r="A243" s="2"/>
      <c r="E243">
        <f>VLOOKUP(TablaObra[[#This Row],[Equipo]],Catalogos!$V$4:$W$64,2,FALSE)</f>
      </c>
      <c r="F243" s="3"/>
      <c r="G243" s="4">
        <v>27</v>
      </c>
      <c r="H243" s="4">
        <f t="shared" si="7"/>
      </c>
      <c r="N243">
        <f>IF(A243="","", "CO-" &amp; IFERROR(VLOOKUP(B243, Catalogos!$Z$4:$AA$20, 2, FALSE), "FOL") &amp; "-" &amp; WEEKNUM(A243,2) &amp; "-" &amp; TEXT(ROW(A239),"000"))</f>
      </c>
    </row>
    <row r="244" spans="1:14">
      <c r="A244" s="2"/>
      <c r="E244">
        <f>VLOOKUP(TablaObra[[#This Row],[Equipo]],Catalogos!$V$4:$W$64,2,FALSE)</f>
      </c>
      <c r="F244" s="3"/>
      <c r="G244" s="4">
        <v>27</v>
      </c>
      <c r="H244" s="4">
        <f t="shared" si="7"/>
      </c>
    </row>
    <row r="245" spans="1:14">
      <c r="A245" s="2"/>
      <c r="E245">
        <f>VLOOKUP(TablaObra[[#This Row],[Equipo]],Catalogos!$V$4:$W$64,2,FALSE)</f>
      </c>
      <c r="F245" s="3"/>
      <c r="G245" s="4">
        <v>27</v>
      </c>
      <c r="H245" s="4">
        <f t="shared" si="7"/>
      </c>
    </row>
    <row r="246" spans="1:14">
      <c r="A246" s="2"/>
      <c r="E246">
        <f>VLOOKUP(TablaObra[[#This Row],[Equipo]],Catalogos!$V$4:$W$64,2,FALSE)</f>
      </c>
      <c r="F246" s="3"/>
      <c r="G246" s="4">
        <v>27</v>
      </c>
      <c r="H246" s="4">
        <f t="shared" si="7"/>
      </c>
    </row>
    <row r="247" spans="1:14">
      <c r="A247" s="2"/>
      <c r="E247">
        <f>VLOOKUP(TablaObra[[#This Row],[Equipo]],Catalogos!$V$4:$W$64,2,FALSE)</f>
      </c>
      <c r="F247" s="3"/>
      <c r="G247" s="4">
        <v>27</v>
      </c>
      <c r="H247" s="4">
        <f t="shared" si="7"/>
      </c>
    </row>
    <row r="248" spans="1:14">
      <c r="A248" s="2"/>
      <c r="E248">
        <f>VLOOKUP(TablaObra[[#This Row],[Equipo]],Catalogos!$V$4:$W$64,2,FALSE)</f>
      </c>
      <c r="F248" s="3"/>
      <c r="G248" s="4">
        <v>27</v>
      </c>
      <c r="H248" s="4">
        <f t="shared" si="7"/>
      </c>
    </row>
    <row r="249" spans="1:14">
      <c r="A249" s="2"/>
      <c r="E249">
        <f>VLOOKUP(TablaObra[[#This Row],[Equipo]],Catalogos!$V$4:$W$64,2,FALSE)</f>
      </c>
      <c r="F249" s="3"/>
      <c r="G249" s="4">
        <v>27</v>
      </c>
      <c r="H249" s="4">
        <f t="shared" si="7"/>
      </c>
    </row>
    <row r="250" spans="1:14">
      <c r="A250" s="2"/>
      <c r="E250">
        <f>VLOOKUP(TablaObra[[#This Row],[Equipo]],Catalogos!$V$4:$W$64,2,FALSE)</f>
      </c>
      <c r="F250" s="3"/>
      <c r="G250" s="4">
        <v>27</v>
      </c>
      <c r="H250" s="4">
        <f t="shared" si="7"/>
      </c>
    </row>
    <row r="251" spans="1:14">
      <c r="A251" s="2"/>
      <c r="E251">
        <f>VLOOKUP(TablaObra[[#This Row],[Equipo]],Catalogos!$V$4:$W$64,2,FALSE)</f>
      </c>
      <c r="F251" s="3"/>
      <c r="G251" s="4">
        <v>27</v>
      </c>
      <c r="H251" s="4">
        <f t="shared" si="7"/>
      </c>
    </row>
    <row r="252" spans="1:14">
      <c r="A252" s="2"/>
      <c r="E252">
        <f>VLOOKUP(TablaObra[[#This Row],[Equipo]],Catalogos!$V$4:$W$64,2,FALSE)</f>
      </c>
      <c r="F252" s="3"/>
      <c r="G252" s="4">
        <v>27</v>
      </c>
      <c r="H252" s="4">
        <f t="shared" ref="H252:H283" si="8">IFERROR(F252*G252,0)</f>
      </c>
    </row>
    <row r="253" spans="1:14">
      <c r="A253" s="2"/>
      <c r="E253">
        <f>VLOOKUP(TablaObra[[#This Row],[Equipo]],Catalogos!$V$4:$W$64,2,FALSE)</f>
      </c>
      <c r="F253" s="3"/>
      <c r="G253" s="4">
        <v>27</v>
      </c>
      <c r="H253" s="4">
        <f t="shared" si="8"/>
      </c>
    </row>
    <row r="254" spans="1:14">
      <c r="A254" s="2"/>
      <c r="E254">
        <f>VLOOKUP(TablaObra[[#This Row],[Equipo]],Catalogos!$V$4:$W$64,2,FALSE)</f>
      </c>
      <c r="F254" s="3"/>
      <c r="G254" s="4">
        <v>27</v>
      </c>
      <c r="H254" s="4">
        <f t="shared" si="8"/>
      </c>
    </row>
    <row r="255" spans="1:14">
      <c r="A255" s="2"/>
      <c r="E255">
        <f>VLOOKUP(TablaObra[[#This Row],[Equipo]],Catalogos!$V$4:$W$64,2,FALSE)</f>
      </c>
      <c r="F255" s="3"/>
      <c r="G255" s="4">
        <v>27</v>
      </c>
      <c r="H255" s="4">
        <f t="shared" si="8"/>
      </c>
    </row>
    <row r="256" spans="1:14">
      <c r="A256" s="2"/>
      <c r="E256">
        <f>VLOOKUP(TablaObra[[#This Row],[Equipo]],Catalogos!$V$4:$W$64,2,FALSE)</f>
      </c>
      <c r="F256" s="3"/>
      <c r="G256" s="4">
        <v>27</v>
      </c>
      <c r="H256" s="4">
        <f t="shared" si="8"/>
      </c>
    </row>
    <row r="257" spans="1:8">
      <c r="A257" s="2"/>
      <c r="E257">
        <f>VLOOKUP(TablaObra[[#This Row],[Equipo]],Catalogos!$V$4:$W$64,2,FALSE)</f>
      </c>
      <c r="F257" s="3"/>
      <c r="G257" s="4">
        <v>27</v>
      </c>
      <c r="H257" s="4">
        <f t="shared" si="8"/>
      </c>
    </row>
    <row r="258" spans="1:8">
      <c r="A258" s="2"/>
      <c r="E258">
        <f>VLOOKUP(TablaObra[[#This Row],[Equipo]],Catalogos!$V$4:$W$64,2,FALSE)</f>
      </c>
      <c r="F258" s="3"/>
      <c r="G258" s="4">
        <v>27</v>
      </c>
      <c r="H258" s="4">
        <f t="shared" si="8"/>
      </c>
    </row>
    <row r="259" spans="1:8">
      <c r="A259" s="2"/>
      <c r="E259">
        <f>VLOOKUP(TablaObra[[#This Row],[Equipo]],Catalogos!$V$4:$W$64,2,FALSE)</f>
      </c>
      <c r="F259" s="3"/>
      <c r="G259" s="4">
        <v>27</v>
      </c>
      <c r="H259" s="4">
        <f t="shared" si="8"/>
      </c>
    </row>
    <row r="260" spans="1:8">
      <c r="A260" s="2"/>
      <c r="E260">
        <f>VLOOKUP(TablaObra[[#This Row],[Equipo]],Catalogos!$V$4:$W$64,2,FALSE)</f>
      </c>
      <c r="F260" s="3"/>
      <c r="G260" s="4">
        <v>27</v>
      </c>
      <c r="H260" s="4">
        <f t="shared" si="8"/>
      </c>
    </row>
    <row r="261" spans="1:8">
      <c r="A261" s="2"/>
      <c r="E261">
        <f>VLOOKUP(TablaObra[[#This Row],[Equipo]],Catalogos!$V$4:$W$64,2,FALSE)</f>
      </c>
      <c r="F261" s="3"/>
      <c r="G261" s="4">
        <v>27</v>
      </c>
      <c r="H261" s="4">
        <f t="shared" si="8"/>
      </c>
    </row>
    <row r="262" spans="1:8">
      <c r="A262" s="2"/>
      <c r="E262">
        <f>VLOOKUP(TablaObra[[#This Row],[Equipo]],Catalogos!$V$4:$W$64,2,FALSE)</f>
      </c>
      <c r="F262" s="3"/>
      <c r="G262" s="4">
        <v>27</v>
      </c>
      <c r="H262" s="4">
        <f t="shared" si="8"/>
      </c>
    </row>
    <row r="263" spans="1:8">
      <c r="A263" s="2"/>
      <c r="E263">
        <f>VLOOKUP(TablaObra[[#This Row],[Equipo]],Catalogos!$V$4:$W$64,2,FALSE)</f>
      </c>
      <c r="F263" s="3"/>
      <c r="G263" s="4">
        <v>27</v>
      </c>
      <c r="H263" s="4">
        <f t="shared" si="8"/>
      </c>
    </row>
    <row r="264" spans="1:8">
      <c r="A264" s="2"/>
      <c r="E264">
        <f>VLOOKUP(TablaObra[[#This Row],[Equipo]],Catalogos!$V$4:$W$64,2,FALSE)</f>
      </c>
      <c r="F264" s="3"/>
      <c r="G264" s="4">
        <v>27</v>
      </c>
      <c r="H264" s="4">
        <f t="shared" si="8"/>
      </c>
    </row>
    <row r="265" spans="1:8">
      <c r="A265" s="2"/>
      <c r="E265">
        <f>VLOOKUP(TablaObra[[#This Row],[Equipo]],Catalogos!$V$4:$W$64,2,FALSE)</f>
      </c>
      <c r="F265" s="3"/>
      <c r="G265" s="4">
        <v>27</v>
      </c>
      <c r="H265" s="4">
        <f t="shared" si="8"/>
      </c>
    </row>
    <row r="266" spans="1:8">
      <c r="A266" s="2"/>
      <c r="E266">
        <f>VLOOKUP(TablaObra[[#This Row],[Equipo]],Catalogos!$V$4:$W$64,2,FALSE)</f>
      </c>
      <c r="F266" s="3"/>
      <c r="G266" s="4">
        <v>27</v>
      </c>
      <c r="H266" s="4">
        <f t="shared" si="8"/>
      </c>
    </row>
    <row r="267" spans="1:8">
      <c r="A267" s="2"/>
      <c r="E267">
        <f>VLOOKUP(TablaObra[[#This Row],[Equipo]],Catalogos!$V$4:$W$64,2,FALSE)</f>
      </c>
      <c r="F267" s="3"/>
      <c r="G267" s="4">
        <v>27</v>
      </c>
      <c r="H267" s="4">
        <f t="shared" si="8"/>
      </c>
    </row>
    <row r="268" spans="1:8">
      <c r="A268" s="2"/>
      <c r="E268">
        <f>VLOOKUP(TablaObra[[#This Row],[Equipo]],Catalogos!$V$4:$W$64,2,FALSE)</f>
      </c>
      <c r="F268" s="3"/>
      <c r="G268" s="4">
        <v>27</v>
      </c>
      <c r="H268" s="4">
        <f t="shared" si="8"/>
      </c>
    </row>
    <row r="269" spans="1:8">
      <c r="A269" s="2"/>
      <c r="E269">
        <f>VLOOKUP(TablaObra[[#This Row],[Equipo]],Catalogos!$V$4:$W$64,2,FALSE)</f>
      </c>
      <c r="F269" s="3"/>
      <c r="G269" s="4">
        <v>27</v>
      </c>
      <c r="H269" s="4">
        <f t="shared" si="8"/>
      </c>
    </row>
    <row r="270" spans="1:8">
      <c r="A270" s="2"/>
      <c r="E270">
        <f>VLOOKUP(TablaObra[[#This Row],[Equipo]],Catalogos!$V$4:$W$64,2,FALSE)</f>
      </c>
      <c r="F270" s="3"/>
      <c r="G270" s="4">
        <v>27</v>
      </c>
      <c r="H270" s="4">
        <f t="shared" si="8"/>
      </c>
    </row>
    <row r="271" spans="1:8">
      <c r="A271" s="2"/>
      <c r="E271">
        <f>VLOOKUP(TablaObra[[#This Row],[Equipo]],Catalogos!$V$4:$W$64,2,FALSE)</f>
      </c>
      <c r="F271" s="3"/>
      <c r="G271" s="4">
        <v>27</v>
      </c>
      <c r="H271" s="4">
        <f t="shared" si="8"/>
      </c>
    </row>
    <row r="272" spans="1:8">
      <c r="A272" s="2"/>
      <c r="E272">
        <f>VLOOKUP(TablaObra[[#This Row],[Equipo]],Catalogos!$V$4:$W$64,2,FALSE)</f>
      </c>
      <c r="F272" s="3"/>
      <c r="G272" s="4">
        <v>27</v>
      </c>
      <c r="H272" s="4">
        <f t="shared" si="8"/>
      </c>
    </row>
    <row r="273" spans="1:8">
      <c r="A273" s="2"/>
      <c r="E273">
        <f>VLOOKUP(TablaObra[[#This Row],[Equipo]],Catalogos!$V$4:$W$64,2,FALSE)</f>
      </c>
      <c r="F273" s="3"/>
      <c r="G273" s="4">
        <v>27</v>
      </c>
      <c r="H273" s="4">
        <f t="shared" si="8"/>
      </c>
    </row>
    <row r="274" spans="1:8">
      <c r="A274" s="2"/>
      <c r="E274">
        <f>VLOOKUP(TablaObra[[#This Row],[Equipo]],Catalogos!$V$4:$W$64,2,FALSE)</f>
      </c>
      <c r="F274" s="3"/>
      <c r="G274" s="4">
        <v>27</v>
      </c>
      <c r="H274" s="4">
        <f t="shared" si="8"/>
      </c>
    </row>
    <row r="275" spans="1:8">
      <c r="A275" s="2"/>
      <c r="E275">
        <f>VLOOKUP(TablaObra[[#This Row],[Equipo]],Catalogos!$V$4:$W$64,2,FALSE)</f>
      </c>
      <c r="F275" s="3"/>
      <c r="G275" s="4">
        <v>27</v>
      </c>
      <c r="H275" s="4">
        <f t="shared" si="8"/>
      </c>
    </row>
    <row r="276" spans="1:8">
      <c r="A276" s="2"/>
      <c r="E276">
        <f>VLOOKUP(TablaObra[[#This Row],[Equipo]],Catalogos!$V$4:$W$64,2,FALSE)</f>
      </c>
      <c r="F276" s="3"/>
      <c r="G276" s="4">
        <v>27</v>
      </c>
      <c r="H276" s="4">
        <f t="shared" si="8"/>
      </c>
    </row>
    <row r="277" spans="1:8">
      <c r="A277" s="2"/>
      <c r="E277">
        <f>VLOOKUP(TablaObra[[#This Row],[Equipo]],Catalogos!$V$4:$W$64,2,FALSE)</f>
      </c>
      <c r="F277" s="3"/>
      <c r="G277" s="4">
        <v>27</v>
      </c>
      <c r="H277" s="4">
        <f t="shared" si="8"/>
      </c>
    </row>
    <row r="278" spans="1:8">
      <c r="A278" s="2"/>
      <c r="E278">
        <f>VLOOKUP(TablaObra[[#This Row],[Equipo]],Catalogos!$V$4:$W$64,2,FALSE)</f>
      </c>
      <c r="F278" s="3"/>
      <c r="G278" s="4">
        <v>27</v>
      </c>
      <c r="H278" s="4">
        <f t="shared" si="8"/>
      </c>
    </row>
    <row r="279" spans="1:8">
      <c r="A279" s="2"/>
      <c r="E279">
        <f>VLOOKUP(TablaObra[[#This Row],[Equipo]],Catalogos!$V$4:$W$64,2,FALSE)</f>
      </c>
      <c r="F279" s="3"/>
      <c r="G279" s="4">
        <v>27</v>
      </c>
      <c r="H279" s="4">
        <f t="shared" si="8"/>
      </c>
    </row>
    <row r="280" spans="1:8">
      <c r="A280" s="2"/>
      <c r="E280">
        <f>VLOOKUP(TablaObra[[#This Row],[Equipo]],Catalogos!$V$4:$W$64,2,FALSE)</f>
      </c>
      <c r="F280" s="3"/>
      <c r="G280" s="4">
        <v>27</v>
      </c>
      <c r="H280" s="4">
        <f t="shared" si="8"/>
      </c>
    </row>
    <row r="281" spans="1:8">
      <c r="A281" s="2"/>
      <c r="E281">
        <f>VLOOKUP(TablaObra[[#This Row],[Equipo]],Catalogos!$V$4:$W$64,2,FALSE)</f>
      </c>
      <c r="F281" s="3"/>
      <c r="G281" s="4">
        <v>27</v>
      </c>
      <c r="H281" s="4">
        <f t="shared" si="8"/>
      </c>
    </row>
    <row r="282" spans="1:8">
      <c r="A282" s="2"/>
      <c r="E282">
        <f>VLOOKUP(TablaObra[[#This Row],[Equipo]],Catalogos!$V$4:$W$64,2,FALSE)</f>
      </c>
      <c r="F282" s="3"/>
      <c r="G282" s="4">
        <v>27</v>
      </c>
      <c r="H282" s="4">
        <f t="shared" si="8"/>
      </c>
    </row>
    <row r="283" spans="1:8">
      <c r="A283" s="2"/>
      <c r="E283">
        <f>VLOOKUP(TablaObra[[#This Row],[Equipo]],Catalogos!$V$4:$W$64,2,FALSE)</f>
      </c>
      <c r="F283" s="3"/>
      <c r="G283" s="4">
        <v>27</v>
      </c>
      <c r="H283" s="4">
        <f t="shared" si="8"/>
      </c>
    </row>
    <row r="284" spans="1:8">
      <c r="A284" s="2"/>
      <c r="E284">
        <f>VLOOKUP(TablaObra[[#This Row],[Equipo]],Catalogos!$V$4:$W$64,2,FALSE)</f>
      </c>
      <c r="F284" s="3"/>
      <c r="G284" s="4">
        <v>27</v>
      </c>
      <c r="H284" s="4">
        <f t="shared" ref="H284:H305" si="9">IFERROR(F284*G284,0)</f>
      </c>
    </row>
    <row r="285" spans="1:8">
      <c r="A285" s="2"/>
      <c r="E285">
        <f>VLOOKUP(TablaObra[[#This Row],[Equipo]],Catalogos!$V$4:$W$64,2,FALSE)</f>
      </c>
      <c r="F285" s="3"/>
      <c r="G285" s="4">
        <v>27</v>
      </c>
      <c r="H285" s="4">
        <f t="shared" si="9"/>
      </c>
    </row>
    <row r="286" spans="1:8">
      <c r="A286" s="2"/>
      <c r="E286">
        <f>VLOOKUP(TablaObra[[#This Row],[Equipo]],Catalogos!$V$4:$W$64,2,FALSE)</f>
      </c>
      <c r="F286" s="3"/>
      <c r="G286" s="4">
        <v>27</v>
      </c>
      <c r="H286" s="4">
        <f t="shared" si="9"/>
      </c>
    </row>
    <row r="287" spans="1:8">
      <c r="A287" s="2"/>
      <c r="E287">
        <f>VLOOKUP(TablaObra[[#This Row],[Equipo]],Catalogos!$V$4:$W$64,2,FALSE)</f>
      </c>
      <c r="F287" s="3"/>
      <c r="G287" s="4">
        <v>27</v>
      </c>
      <c r="H287" s="4">
        <f t="shared" si="9"/>
      </c>
    </row>
    <row r="288" spans="1:8">
      <c r="A288" s="2"/>
      <c r="E288">
        <f>VLOOKUP(TablaObra[[#This Row],[Equipo]],Catalogos!$V$4:$W$64,2,FALSE)</f>
      </c>
      <c r="F288" s="3"/>
      <c r="G288" s="4">
        <v>27</v>
      </c>
      <c r="H288" s="4">
        <f t="shared" si="9"/>
      </c>
    </row>
    <row r="289" spans="1:8">
      <c r="A289" s="2"/>
      <c r="E289">
        <f>VLOOKUP(TablaObra[[#This Row],[Equipo]],Catalogos!$V$4:$W$64,2,FALSE)</f>
      </c>
      <c r="F289" s="3"/>
      <c r="G289" s="4">
        <v>27</v>
      </c>
      <c r="H289" s="4">
        <f t="shared" si="9"/>
      </c>
    </row>
    <row r="290" spans="1:8">
      <c r="A290" s="2"/>
      <c r="E290">
        <f>VLOOKUP(TablaObra[[#This Row],[Equipo]],Catalogos!$V$4:$W$64,2,FALSE)</f>
      </c>
      <c r="F290" s="3"/>
      <c r="G290" s="4">
        <v>27</v>
      </c>
      <c r="H290" s="4">
        <f t="shared" si="9"/>
      </c>
    </row>
    <row r="291" spans="1:8">
      <c r="A291" s="2"/>
      <c r="E291">
        <f>VLOOKUP(TablaObra[[#This Row],[Equipo]],Catalogos!$V$4:$W$64,2,FALSE)</f>
      </c>
      <c r="F291" s="3"/>
      <c r="G291" s="4">
        <v>27</v>
      </c>
      <c r="H291" s="4">
        <f t="shared" si="9"/>
      </c>
    </row>
    <row r="292" spans="1:8">
      <c r="A292" s="2"/>
      <c r="E292">
        <f>VLOOKUP(TablaObra[[#This Row],[Equipo]],Catalogos!$V$4:$W$64,2,FALSE)</f>
      </c>
      <c r="F292" s="3"/>
      <c r="G292" s="4">
        <v>27</v>
      </c>
      <c r="H292" s="4">
        <f t="shared" si="9"/>
      </c>
    </row>
    <row r="293" spans="1:8">
      <c r="A293" s="2"/>
      <c r="E293">
        <f>VLOOKUP(TablaObra[[#This Row],[Equipo]],Catalogos!$V$4:$W$64,2,FALSE)</f>
      </c>
      <c r="F293" s="3"/>
      <c r="G293" s="4">
        <v>27</v>
      </c>
      <c r="H293" s="4">
        <f t="shared" si="9"/>
      </c>
    </row>
    <row r="294" spans="1:8">
      <c r="A294" s="2"/>
      <c r="E294">
        <f>VLOOKUP(TablaObra[[#This Row],[Equipo]],Catalogos!$V$4:$W$64,2,FALSE)</f>
      </c>
      <c r="F294" s="3"/>
      <c r="G294" s="4">
        <v>27</v>
      </c>
      <c r="H294" s="4">
        <f t="shared" si="9"/>
      </c>
    </row>
    <row r="295" spans="1:8">
      <c r="A295" s="2"/>
      <c r="E295">
        <f>VLOOKUP(TablaObra[[#This Row],[Equipo]],Catalogos!$V$4:$W$64,2,FALSE)</f>
      </c>
      <c r="F295" s="3"/>
      <c r="G295" s="4">
        <v>27</v>
      </c>
      <c r="H295" s="4">
        <f t="shared" si="9"/>
      </c>
    </row>
    <row r="296" spans="1:8">
      <c r="A296" s="2"/>
      <c r="E296">
        <f>VLOOKUP(TablaObra[[#This Row],[Equipo]],Catalogos!$V$4:$W$64,2,FALSE)</f>
      </c>
      <c r="F296" s="3"/>
      <c r="G296" s="4">
        <v>27</v>
      </c>
      <c r="H296" s="4">
        <f t="shared" si="9"/>
      </c>
    </row>
    <row r="297" spans="1:8">
      <c r="A297" s="2"/>
      <c r="E297">
        <f>VLOOKUP(TablaObra[[#This Row],[Equipo]],Catalogos!$V$4:$W$64,2,FALSE)</f>
      </c>
      <c r="F297" s="3"/>
      <c r="G297" s="4">
        <v>27</v>
      </c>
      <c r="H297" s="4">
        <f t="shared" si="9"/>
      </c>
    </row>
    <row r="298" spans="1:8">
      <c r="A298" s="2"/>
      <c r="E298">
        <f>VLOOKUP(TablaObra[[#This Row],[Equipo]],Catalogos!$V$4:$W$64,2,FALSE)</f>
      </c>
      <c r="F298" s="3"/>
      <c r="G298" s="4">
        <v>27</v>
      </c>
      <c r="H298" s="4">
        <f t="shared" si="9"/>
      </c>
    </row>
    <row r="299" spans="1:8">
      <c r="A299" s="2"/>
      <c r="E299">
        <f>VLOOKUP(TablaObra[[#This Row],[Equipo]],Catalogos!$V$4:$W$64,2,FALSE)</f>
      </c>
      <c r="F299" s="3"/>
      <c r="G299" s="4">
        <v>27</v>
      </c>
      <c r="H299" s="4">
        <f t="shared" si="9"/>
      </c>
    </row>
    <row r="300" spans="1:8">
      <c r="A300" s="2"/>
      <c r="E300">
        <f>VLOOKUP(TablaObra[[#This Row],[Equipo]],Catalogos!$V$4:$W$64,2,FALSE)</f>
      </c>
      <c r="F300" s="3"/>
      <c r="G300" s="4">
        <v>27</v>
      </c>
      <c r="H300" s="4">
        <f t="shared" si="9"/>
      </c>
    </row>
    <row r="301" spans="1:8">
      <c r="A301" s="2"/>
      <c r="E301">
        <f>VLOOKUP(TablaObra[[#This Row],[Equipo]],Catalogos!$V$4:$W$64,2,FALSE)</f>
      </c>
      <c r="F301" s="3"/>
      <c r="G301" s="4">
        <v>27</v>
      </c>
      <c r="H301" s="4">
        <f t="shared" si="9"/>
      </c>
    </row>
    <row r="302" spans="1:8">
      <c r="A302" s="2"/>
      <c r="E302">
        <f>VLOOKUP(TablaObra[[#This Row],[Equipo]],Catalogos!$V$4:$W$64,2,FALSE)</f>
      </c>
      <c r="F302" s="3"/>
      <c r="G302" s="4">
        <v>27</v>
      </c>
      <c r="H302" s="4">
        <f t="shared" si="9"/>
      </c>
    </row>
    <row r="303" spans="1:8">
      <c r="A303" s="2"/>
      <c r="E303">
        <f>VLOOKUP(TablaObra[[#This Row],[Equipo]],Catalogos!$V$4:$W$64,2,FALSE)</f>
      </c>
      <c r="F303" s="3"/>
      <c r="G303" s="4">
        <v>27</v>
      </c>
      <c r="H303" s="4">
        <f t="shared" si="9"/>
      </c>
    </row>
    <row r="304" spans="1:8">
      <c r="A304" s="2"/>
      <c r="E304">
        <f>VLOOKUP(TablaObra[[#This Row],[Equipo]],Catalogos!$V$4:$W$64,2,FALSE)</f>
      </c>
      <c r="F304" s="3"/>
      <c r="G304" s="4">
        <v>27</v>
      </c>
      <c r="H304" s="4">
        <f t="shared" si="9"/>
      </c>
    </row>
    <row r="305" spans="1:8">
      <c r="A305" s="2"/>
      <c r="E305">
        <f>VLOOKUP(TablaObra[[#This Row],[Equipo]],Catalogos!$V$4:$W$64,2,FALSE)</f>
      </c>
      <c r="F305" s="3"/>
      <c r="G305" s="4">
        <v>27</v>
      </c>
      <c r="H305" s="4">
        <f t="shared" si="9"/>
      </c>
    </row>
    <row r="306" spans="1:8">
      <c r="G306" s="4">
        <v>27</v>
      </c>
    </row>
    <row r="307" spans="1:8">
      <c r="G307" s="4">
        <v>27</v>
      </c>
    </row>
    <row r="310" spans="1:8">
      <c r="F310" s="3"/>
    </row>
  </sheetData>
  <mergeCells count="1">
    <mergeCell ref="A1:K1"/>
  </mergeCells>
  <phoneticPr fontId="4" type="noConversion"/>
  <dataValidations count="1">
    <dataValidation type="list" sqref="J5:J307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7D1549-965B-4423-A65A-43F2DD241288}">
          <x14:formula1>
            <xm:f>Catalogos!$B$4:$B$18</xm:f>
          </x14:formula1>
          <xm:sqref>B5:B305</xm:sqref>
        </x14:dataValidation>
        <x14:dataValidation type="list" allowBlank="1" showInputMessage="1" showErrorMessage="1" xr:uid="{CACF3422-35F5-455E-B2B5-AC50C06E4D56}">
          <x14:formula1>
            <xm:f>Catalogos!$V$4:$V$72</xm:f>
          </x14:formula1>
          <xm:sqref>D308:D1048576 D5:D305</xm:sqref>
        </x14:dataValidation>
        <x14:dataValidation type="list" xr:uid="{ED158599-ABBC-4FE9-87D8-CB696B0D8FB6}">
          <x14:formula1>
            <xm:f>Catalogos!$F$4:$F$11</xm:f>
          </x14:formula1>
          <xm:sqref>C5:C1048576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F12F-9E41-4D39-B47C-0E6E896F4C4B}">
  <sheetPr/>
  <sheetViews>
    <sheetView topLeftCell="D46" workbookViewId="0">
      <selection activeCell="H74" sqref="H74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60.296875" bestFit="1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  <col min="13" max="13" width="0" hidden="1"/>
  </cols>
  <sheetData>
    <row r="1" spans="1:14" ht="22.35" customHeight="1">
      <c r="A1" t="s" s="25171">
        <v>20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  <c r="L1" s="25170"/>
    </row>
    <row r="2" spans="1:14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4" ht="27.6">
      <c r="A4" t="s" s="1">
        <v>11</v>
      </c>
      <c r="B4" t="s" s="1">
        <v>25</v>
      </c>
      <c r="C4" t="s" s="1">
        <v>26</v>
      </c>
      <c r="D4" t="s" s="1">
        <v>27</v>
      </c>
      <c r="E4" t="s" s="1">
        <v>28</v>
      </c>
      <c r="F4" t="s" s="1">
        <v>14</v>
      </c>
      <c r="G4" t="s" s="1">
        <v>15</v>
      </c>
      <c r="H4" t="s" s="1">
        <v>16</v>
      </c>
      <c r="I4" t="s" s="1">
        <v>17</v>
      </c>
      <c r="J4" t="s" s="1">
        <v>18</v>
      </c>
      <c r="K4" t="s" s="1">
        <v>29</v>
      </c>
      <c r="L4" t="s" s="1">
        <v>19</v>
      </c>
      <c r="M4" t="s">
        <v>408</v>
      </c>
      <c r="N4" t="s">
        <v>410</v>
      </c>
    </row>
    <row r="5" spans="1:14">
      <c r="A5" s="2">
        <v>46181</v>
      </c>
      <c r="B5" t="s">
        <v>171</v>
      </c>
      <c r="C5" t="s">
        <v>1</v>
      </c>
      <c r="D5" t="s">
        <v>85</v>
      </c>
      <c r="E5">
        <f>VLOOKUP(TablaMarimba[[#This Row],[Equipo]],Catalogos!$V$4:$W$64,2,FALSE)</f>
      </c>
      <c r="F5" s="3">
        <v>0</v>
      </c>
      <c r="G5" s="6">
        <v>30</v>
      </c>
      <c r="H5" s="3">
        <f t="shared" ref="H5:H36" si="0">IF(ROW()=5,F5-G5,H4+F5-G5)</f>
      </c>
      <c r="I5" s="4">
        <v>28.3</v>
      </c>
      <c r="J5" s="4">
        <f t="shared" ref="J5:J36" si="1">IFERROR((F5+G5)*I5,0)</f>
      </c>
      <c r="M5">
        <f t="shared" ref="M5:M68" si="2">IF(A5="","", WEEKNUM(A5, 2))</f>
      </c>
      <c r="N5">
        <f>IF(A5="","", "CM-" &amp; IFERROR(VLOOKUP(C5, Catalogos!$Z$4:$AA$20, 2, FALSE), "FOL") &amp; "-" &amp; WEEKNUM(A5,2) &amp; "-" &amp; TEXT(ROW(A1),"000"))</f>
      </c>
    </row>
    <row r="6" spans="1:14">
      <c r="A6" s="2">
        <v>46181</v>
      </c>
      <c r="B6" t="s">
        <v>171</v>
      </c>
      <c r="C6" t="s">
        <v>1</v>
      </c>
      <c r="D6" t="s">
        <v>48</v>
      </c>
      <c r="E6">
        <f>VLOOKUP(TablaMarimba[[#This Row],[Equipo]],Catalogos!$V$4:$W$64,2,FALSE)</f>
      </c>
      <c r="F6" s="3"/>
      <c r="G6" s="6">
        <v>32</v>
      </c>
      <c r="H6" s="3">
        <f t="shared" si="0"/>
      </c>
      <c r="I6" s="4">
        <v>28.3</v>
      </c>
      <c r="J6" s="4">
        <f t="shared" si="1"/>
      </c>
      <c r="M6">
        <f t="shared" si="2"/>
      </c>
      <c r="N6">
        <f>IF(A6="","", "CM-" &amp; IFERROR(VLOOKUP(C6, Catalogos!$Z$4:$AA$20, 2, FALSE), "FOL") &amp; "-" &amp; WEEKNUM(A6,2) &amp; "-" &amp; TEXT(ROW(A2),"000"))</f>
      </c>
    </row>
    <row r="7" spans="1:14">
      <c r="A7" s="2">
        <v>46181</v>
      </c>
      <c r="B7" t="s">
        <v>171</v>
      </c>
      <c r="C7" t="s">
        <v>1</v>
      </c>
      <c r="D7" t="s">
        <v>69</v>
      </c>
      <c r="E7">
        <f>VLOOKUP(TablaMarimba[[#This Row],[Equipo]],Catalogos!$V$4:$W$64,2,FALSE)</f>
      </c>
      <c r="F7" s="3"/>
      <c r="G7" s="6">
        <v>277</v>
      </c>
      <c r="H7" s="3">
        <f t="shared" si="0"/>
      </c>
      <c r="I7" s="4">
        <v>28.3</v>
      </c>
      <c r="J7" s="4">
        <f t="shared" si="1"/>
      </c>
      <c r="M7">
        <f t="shared" si="2"/>
      </c>
      <c r="N7">
        <f>IF(A7="","", "CM-" &amp; IFERROR(VLOOKUP(C7, Catalogos!$Z$4:$AA$20, 2, FALSE), "FOL") &amp; "-" &amp; WEEKNUM(A7,2) &amp; "-" &amp; TEXT(ROW(A3),"000"))</f>
      </c>
    </row>
    <row r="8" spans="1:14">
      <c r="A8" s="2">
        <v>46181</v>
      </c>
      <c r="B8" t="s">
        <v>171</v>
      </c>
      <c r="C8" t="s">
        <v>1</v>
      </c>
      <c r="D8" t="s">
        <v>56</v>
      </c>
      <c r="E8">
        <f>VLOOKUP(TablaMarimba[[#This Row],[Equipo]],Catalogos!$V$4:$W$64,2,FALSE)</f>
      </c>
      <c r="F8" s="3"/>
      <c r="G8" s="6">
        <v>30</v>
      </c>
      <c r="H8" s="3">
        <f t="shared" si="0"/>
      </c>
      <c r="I8" s="4">
        <v>28.3</v>
      </c>
      <c r="J8" s="4">
        <f t="shared" si="1"/>
      </c>
      <c r="M8">
        <f t="shared" si="2"/>
      </c>
      <c r="N8">
        <f>IF(A8="","", "CM-" &amp; IFERROR(VLOOKUP(C8, Catalogos!$Z$4:$AA$20, 2, FALSE), "FOL") &amp; "-" &amp; WEEKNUM(A8,2) &amp; "-" &amp; TEXT(ROW(A4),"000"))</f>
      </c>
    </row>
    <row r="9" spans="1:14">
      <c r="A9" s="2">
        <v>46181</v>
      </c>
      <c r="B9" t="s">
        <v>171</v>
      </c>
      <c r="C9" t="s">
        <v>2</v>
      </c>
      <c r="D9" t="s">
        <v>65</v>
      </c>
      <c r="E9">
        <f>VLOOKUP(TablaMarimba[[#This Row],[Equipo]],Catalogos!$V$4:$W$64,2,FALSE)</f>
      </c>
      <c r="F9" s="3"/>
      <c r="G9" s="6">
        <v>97</v>
      </c>
      <c r="H9" s="3">
        <f t="shared" si="0"/>
      </c>
      <c r="I9" s="4">
        <v>28.3</v>
      </c>
      <c r="J9" s="4">
        <f t="shared" si="1"/>
      </c>
      <c r="M9">
        <f t="shared" si="2"/>
      </c>
      <c r="N9">
        <f>IF(A9="","", "CM-" &amp; IFERROR(VLOOKUP(C9, Catalogos!$Z$4:$AA$20, 2, FALSE), "FOL") &amp; "-" &amp; WEEKNUM(A9,2) &amp; "-" &amp; TEXT(ROW(A5),"000"))</f>
      </c>
    </row>
    <row r="10" spans="1:14">
      <c r="A10" s="2">
        <v>46181</v>
      </c>
      <c r="B10" t="s">
        <v>171</v>
      </c>
      <c r="C10" t="s">
        <v>3</v>
      </c>
      <c r="D10" t="s">
        <v>76</v>
      </c>
      <c r="E10">
        <f>VLOOKUP(TablaMarimba[[#This Row],[Equipo]],Catalogos!$V$4:$W$64,2,FALSE)</f>
      </c>
      <c r="F10" s="3"/>
      <c r="G10" s="6">
        <v>198</v>
      </c>
      <c r="H10" s="3">
        <f t="shared" si="0"/>
      </c>
      <c r="I10" s="4">
        <v>28.3</v>
      </c>
      <c r="J10" s="4">
        <f t="shared" si="1"/>
      </c>
      <c r="M10">
        <f t="shared" si="2"/>
      </c>
      <c r="N10">
        <f>IF(A10="","", "CM-" &amp; IFERROR(VLOOKUP(C10, Catalogos!$Z$4:$AA$20, 2, FALSE), "FOL") &amp; "-" &amp; WEEKNUM(A10,2) &amp; "-" &amp; TEXT(ROW(A6),"000"))</f>
      </c>
    </row>
    <row r="11" spans="1:14">
      <c r="A11" s="2">
        <v>46181</v>
      </c>
      <c r="B11" t="s">
        <v>171</v>
      </c>
      <c r="C11" t="s">
        <v>3</v>
      </c>
      <c r="D11" t="s">
        <v>96</v>
      </c>
      <c r="E11">
        <f>VLOOKUP(TablaMarimba[[#This Row],[Equipo]],Catalogos!$V$4:$W$64,2,FALSE)</f>
      </c>
      <c r="F11" s="3"/>
      <c r="G11" s="6">
        <v>10</v>
      </c>
      <c r="H11" s="3">
        <f t="shared" si="0"/>
      </c>
      <c r="I11" s="4">
        <v>28.3</v>
      </c>
      <c r="J11" s="4">
        <f t="shared" si="1"/>
      </c>
      <c r="M11">
        <f t="shared" si="2"/>
      </c>
      <c r="N11">
        <f>IF(A11="","", "CM-" &amp; IFERROR(VLOOKUP(C11, Catalogos!$Z$4:$AA$20, 2, FALSE), "FOL") &amp; "-" &amp; WEEKNUM(A11,2) &amp; "-" &amp; TEXT(ROW(A7),"000"))</f>
      </c>
    </row>
    <row r="12" spans="1:14">
      <c r="A12" s="2">
        <v>46181</v>
      </c>
      <c r="B12" t="s">
        <v>171</v>
      </c>
      <c r="C12" t="s">
        <v>3</v>
      </c>
      <c r="D12" t="s">
        <v>90</v>
      </c>
      <c r="E12">
        <f>VLOOKUP(TablaMarimba[[#This Row],[Equipo]],Catalogos!$V$4:$W$64,2,FALSE)</f>
      </c>
      <c r="F12" s="3"/>
      <c r="G12" s="6">
        <v>27</v>
      </c>
      <c r="H12" s="3">
        <f t="shared" si="0"/>
      </c>
      <c r="I12" s="4">
        <v>28.3</v>
      </c>
      <c r="J12" s="4">
        <f t="shared" si="1"/>
      </c>
      <c r="M12">
        <f t="shared" si="2"/>
      </c>
      <c r="N12">
        <f>IF(A12="","", "CM-" &amp; IFERROR(VLOOKUP(C12, Catalogos!$Z$4:$AA$20, 2, FALSE), "FOL") &amp; "-" &amp; WEEKNUM(A12,2) &amp; "-" &amp; TEXT(ROW(A8),"000"))</f>
      </c>
    </row>
    <row r="13" spans="1:14">
      <c r="A13" s="2">
        <v>46181</v>
      </c>
      <c r="B13" t="s">
        <v>171</v>
      </c>
      <c r="C13" t="s">
        <v>3</v>
      </c>
      <c r="D13" t="s">
        <v>98</v>
      </c>
      <c r="E13">
        <f>VLOOKUP(TablaMarimba[[#This Row],[Equipo]],Catalogos!$V$4:$W$64,2,FALSE)</f>
      </c>
      <c r="F13" s="3"/>
      <c r="G13" s="6">
        <v>30</v>
      </c>
      <c r="H13" s="3">
        <f t="shared" si="0"/>
      </c>
      <c r="I13" s="4">
        <v>28.3</v>
      </c>
      <c r="J13" s="4">
        <f t="shared" si="1"/>
      </c>
      <c r="M13">
        <f t="shared" si="2"/>
      </c>
      <c r="N13">
        <f>IF(A13="","", "CM-" &amp; IFERROR(VLOOKUP(C13, Catalogos!$Z$4:$AA$20, 2, FALSE), "FOL") &amp; "-" &amp; WEEKNUM(A13,2) &amp; "-" &amp; TEXT(ROW(A9),"000"))</f>
      </c>
    </row>
    <row r="14" spans="1:14">
      <c r="A14" s="2">
        <v>46181</v>
      </c>
      <c r="B14" t="s">
        <v>171</v>
      </c>
      <c r="C14" t="s">
        <v>3</v>
      </c>
      <c r="D14" t="s">
        <v>81</v>
      </c>
      <c r="E14">
        <f>VLOOKUP(TablaMarimba[[#This Row],[Equipo]],Catalogos!$V$4:$W$64,2,FALSE)</f>
      </c>
      <c r="F14" s="3"/>
      <c r="G14" s="6">
        <v>40</v>
      </c>
      <c r="H14" s="3">
        <f t="shared" si="0"/>
      </c>
      <c r="I14" s="4">
        <v>28.3</v>
      </c>
      <c r="J14" s="4">
        <f t="shared" si="1"/>
      </c>
      <c r="M14">
        <f t="shared" si="2"/>
      </c>
      <c r="N14">
        <f>IF(A14="","", "CM-" &amp; IFERROR(VLOOKUP(C14, Catalogos!$Z$4:$AA$20, 2, FALSE), "FOL") &amp; "-" &amp; WEEKNUM(A14,2) &amp; "-" &amp; TEXT(ROW(A10),"000"))</f>
      </c>
    </row>
    <row r="15" spans="1:14">
      <c r="A15" s="2">
        <v>46181</v>
      </c>
      <c r="B15" t="s">
        <v>171</v>
      </c>
      <c r="C15" t="s">
        <v>3</v>
      </c>
      <c r="D15" t="s">
        <v>86</v>
      </c>
      <c r="E15">
        <f>VLOOKUP(TablaMarimba[[#This Row],[Equipo]],Catalogos!$V$4:$W$64,2,FALSE)</f>
      </c>
      <c r="F15" s="3"/>
      <c r="G15" s="6">
        <v>120</v>
      </c>
      <c r="H15" s="3">
        <f t="shared" si="0"/>
      </c>
      <c r="I15" s="4">
        <v>28.3</v>
      </c>
      <c r="J15" s="4">
        <f t="shared" si="1"/>
      </c>
      <c r="M15">
        <f t="shared" si="2"/>
      </c>
      <c r="N15">
        <f>IF(A15="","", "CM-" &amp; IFERROR(VLOOKUP(C15, Catalogos!$Z$4:$AA$20, 2, FALSE), "FOL") &amp; "-" &amp; WEEKNUM(A15,2) &amp; "-" &amp; TEXT(ROW(A11),"000"))</f>
      </c>
    </row>
    <row r="16" spans="1:14">
      <c r="A16" s="2">
        <v>46181</v>
      </c>
      <c r="B16" t="s">
        <v>171</v>
      </c>
      <c r="C16" t="s">
        <v>3</v>
      </c>
      <c r="D16" t="s">
        <v>92</v>
      </c>
      <c r="E16">
        <f>VLOOKUP(TablaMarimba[[#This Row],[Equipo]],Catalogos!$V$4:$W$64,2,FALSE)</f>
      </c>
      <c r="F16" s="3"/>
      <c r="G16" s="6">
        <v>30</v>
      </c>
      <c r="H16" s="3">
        <f t="shared" si="0"/>
      </c>
      <c r="I16" s="4">
        <v>28.3</v>
      </c>
      <c r="J16" s="4">
        <f t="shared" si="1"/>
      </c>
      <c r="M16">
        <f t="shared" si="2"/>
      </c>
      <c r="N16">
        <f>IF(A16="","", "CM-" &amp; IFERROR(VLOOKUP(C16, Catalogos!$Z$4:$AA$20, 2, FALSE), "FOL") &amp; "-" &amp; WEEKNUM(A16,2) &amp; "-" &amp; TEXT(ROW(A12),"000"))</f>
      </c>
    </row>
    <row r="17" spans="1:14">
      <c r="A17" s="2">
        <v>46182</v>
      </c>
      <c r="B17" t="s">
        <v>171</v>
      </c>
      <c r="C17" t="s">
        <v>3</v>
      </c>
      <c r="D17" t="s">
        <v>79</v>
      </c>
      <c r="E17">
        <f>VLOOKUP(TablaMarimba[[#This Row],[Equipo]],Catalogos!$V$4:$W$64,2,FALSE)</f>
      </c>
      <c r="F17" s="3"/>
      <c r="G17" s="6">
        <v>30</v>
      </c>
      <c r="H17" s="3">
        <f t="shared" si="0"/>
      </c>
      <c r="I17" s="4">
        <v>28.3</v>
      </c>
      <c r="J17" s="4">
        <f t="shared" si="1"/>
      </c>
      <c r="M17">
        <f t="shared" si="2"/>
      </c>
      <c r="N17">
        <f>IF(A17="","", "CM-" &amp; IFERROR(VLOOKUP(C17, Catalogos!$Z$4:$AA$20, 2, FALSE), "FOL") &amp; "-" &amp; WEEKNUM(A17,2) &amp; "-" &amp; TEXT(ROW(A13),"000"))</f>
      </c>
    </row>
    <row r="18" spans="1:14">
      <c r="A18" s="2">
        <v>46182</v>
      </c>
      <c r="B18" t="s">
        <v>171</v>
      </c>
      <c r="C18" t="s">
        <v>3</v>
      </c>
      <c r="D18" t="s">
        <v>83</v>
      </c>
      <c r="E18">
        <f>VLOOKUP(TablaMarimba[[#This Row],[Equipo]],Catalogos!$V$4:$W$64,2,FALSE)</f>
      </c>
      <c r="F18" s="3"/>
      <c r="G18" s="6">
        <v>100</v>
      </c>
      <c r="H18" s="3">
        <f t="shared" si="0"/>
      </c>
      <c r="I18" s="4">
        <v>28.3</v>
      </c>
      <c r="J18" s="4">
        <f t="shared" si="1"/>
      </c>
      <c r="M18">
        <f t="shared" si="2"/>
      </c>
      <c r="N18">
        <f>IF(A18="","", "CM-" &amp; IFERROR(VLOOKUP(C18, Catalogos!$Z$4:$AA$20, 2, FALSE), "FOL") &amp; "-" &amp; WEEKNUM(A18,2) &amp; "-" &amp; TEXT(ROW(A14),"000"))</f>
      </c>
    </row>
    <row r="19" spans="1:14">
      <c r="A19" s="2">
        <v>46182</v>
      </c>
      <c r="B19" t="s">
        <v>171</v>
      </c>
      <c r="C19" t="s">
        <v>3</v>
      </c>
      <c r="D19" t="s">
        <v>88</v>
      </c>
      <c r="E19">
        <f>VLOOKUP(TablaMarimba[[#This Row],[Equipo]],Catalogos!$V$4:$W$64,2,FALSE)</f>
      </c>
      <c r="F19" s="3"/>
      <c r="G19" s="6">
        <v>30</v>
      </c>
      <c r="H19" s="3">
        <f t="shared" si="0"/>
      </c>
      <c r="I19" s="4">
        <v>28.3</v>
      </c>
      <c r="J19" s="4">
        <f t="shared" si="1"/>
      </c>
      <c r="M19">
        <f t="shared" si="2"/>
      </c>
      <c r="N19">
        <f>IF(A19="","", "CM-" &amp; IFERROR(VLOOKUP(C19, Catalogos!$Z$4:$AA$20, 2, FALSE), "FOL") &amp; "-" &amp; WEEKNUM(A19,2) &amp; "-" &amp; TEXT(ROW(A15),"000"))</f>
      </c>
    </row>
    <row r="20" spans="1:14">
      <c r="A20" s="2">
        <v>46182</v>
      </c>
      <c r="B20" t="s">
        <v>171</v>
      </c>
      <c r="C20" t="s">
        <v>3</v>
      </c>
      <c r="D20" t="s">
        <v>76</v>
      </c>
      <c r="E20">
        <f>VLOOKUP(TablaMarimba[[#This Row],[Equipo]],Catalogos!$V$4:$W$64,2,FALSE)</f>
      </c>
      <c r="F20" s="3"/>
      <c r="G20" s="6">
        <v>150</v>
      </c>
      <c r="H20" s="3">
        <f t="shared" si="0"/>
      </c>
      <c r="I20" s="4">
        <v>28.3</v>
      </c>
      <c r="J20" s="4">
        <f t="shared" si="1"/>
      </c>
      <c r="M20">
        <f t="shared" si="2"/>
      </c>
      <c r="N20">
        <f>IF(A20="","", "CM-" &amp; IFERROR(VLOOKUP(C20, Catalogos!$Z$4:$AA$20, 2, FALSE), "FOL") &amp; "-" &amp; WEEKNUM(A20,2) &amp; "-" &amp; TEXT(ROW(A16),"000"))</f>
      </c>
    </row>
    <row r="21" spans="1:14">
      <c r="A21" s="2">
        <v>46182</v>
      </c>
      <c r="B21" t="s">
        <v>171</v>
      </c>
      <c r="C21" t="s">
        <v>3</v>
      </c>
      <c r="D21" t="s">
        <v>92</v>
      </c>
      <c r="E21">
        <f>VLOOKUP(TablaMarimba[[#This Row],[Equipo]],Catalogos!$V$4:$W$64,2,FALSE)</f>
      </c>
      <c r="F21" s="3"/>
      <c r="G21" s="6">
        <v>50</v>
      </c>
      <c r="H21" s="3">
        <f t="shared" si="0"/>
      </c>
      <c r="I21" s="4">
        <v>28.3</v>
      </c>
      <c r="J21" s="4">
        <f t="shared" si="1"/>
      </c>
      <c r="M21">
        <f t="shared" si="2"/>
      </c>
      <c r="N21">
        <f>IF(A21="","", "CM-" &amp; IFERROR(VLOOKUP(C21, Catalogos!$Z$4:$AA$20, 2, FALSE), "FOL") &amp; "-" &amp; WEEKNUM(A21,2) &amp; "-" &amp; TEXT(ROW(A17),"000"))</f>
      </c>
    </row>
    <row r="22" spans="1:14">
      <c r="A22" s="2">
        <v>46182</v>
      </c>
      <c r="B22" t="s">
        <v>171</v>
      </c>
      <c r="C22" t="s">
        <v>3</v>
      </c>
      <c r="D22" t="s">
        <v>86</v>
      </c>
      <c r="E22">
        <f>VLOOKUP(TablaMarimba[[#This Row],[Equipo]],Catalogos!$V$4:$W$64,2,FALSE)</f>
      </c>
      <c r="F22" s="3"/>
      <c r="G22" s="6">
        <v>136</v>
      </c>
      <c r="H22" s="3">
        <f t="shared" si="0"/>
      </c>
      <c r="I22" s="4">
        <v>28.3</v>
      </c>
      <c r="J22" s="4">
        <f t="shared" si="1"/>
      </c>
      <c r="M22">
        <f t="shared" si="2"/>
      </c>
      <c r="N22">
        <f>IF(A22="","", "CM-" &amp; IFERROR(VLOOKUP(C22, Catalogos!$Z$4:$AA$20, 2, FALSE), "FOL") &amp; "-" &amp; WEEKNUM(A22,2) &amp; "-" &amp; TEXT(ROW(A18),"000"))</f>
      </c>
    </row>
    <row r="23" spans="1:14">
      <c r="A23" s="2">
        <v>46182</v>
      </c>
      <c r="B23" t="s">
        <v>171</v>
      </c>
      <c r="C23" t="s">
        <v>3</v>
      </c>
      <c r="D23" t="s">
        <v>88</v>
      </c>
      <c r="E23">
        <f>VLOOKUP(TablaMarimba[[#This Row],[Equipo]],Catalogos!$V$4:$W$64,2,FALSE)</f>
      </c>
      <c r="F23" s="3"/>
      <c r="G23" s="6">
        <v>30</v>
      </c>
      <c r="H23" s="3">
        <f t="shared" si="0"/>
      </c>
      <c r="I23" s="4">
        <v>28.3</v>
      </c>
      <c r="J23" s="4">
        <f t="shared" si="1"/>
      </c>
      <c r="M23">
        <f t="shared" si="2"/>
      </c>
      <c r="N23">
        <f>IF(A23="","", "CM-" &amp; IFERROR(VLOOKUP(C23, Catalogos!$Z$4:$AA$20, 2, FALSE), "FOL") &amp; "-" &amp; WEEKNUM(A23,2) &amp; "-" &amp; TEXT(ROW(A19),"000"))</f>
      </c>
    </row>
    <row r="24" spans="1:14">
      <c r="A24" s="2">
        <v>46182</v>
      </c>
      <c r="B24" t="s">
        <v>171</v>
      </c>
      <c r="C24" t="s">
        <v>3</v>
      </c>
      <c r="D24" t="s">
        <v>85</v>
      </c>
      <c r="E24">
        <f>VLOOKUP(TablaMarimba[[#This Row],[Equipo]],Catalogos!$V$4:$W$64,2,FALSE)</f>
      </c>
      <c r="F24" s="3"/>
      <c r="G24" s="6">
        <v>30</v>
      </c>
      <c r="H24" s="3">
        <f t="shared" si="0"/>
      </c>
      <c r="I24" s="4">
        <v>28.3</v>
      </c>
      <c r="J24" s="4">
        <f t="shared" si="1"/>
      </c>
      <c r="M24">
        <f t="shared" si="2"/>
      </c>
      <c r="N24">
        <f>IF(A24="","", "CM-" &amp; IFERROR(VLOOKUP(C24, Catalogos!$Z$4:$AA$20, 2, FALSE), "FOL") &amp; "-" &amp; WEEKNUM(A24,2) &amp; "-" &amp; TEXT(ROW(A20),"000"))</f>
      </c>
    </row>
    <row r="25" spans="1:14">
      <c r="A25" s="2">
        <v>46182</v>
      </c>
      <c r="B25" t="s">
        <v>171</v>
      </c>
      <c r="C25" t="s">
        <v>3</v>
      </c>
      <c r="D25" t="s">
        <v>83</v>
      </c>
      <c r="E25">
        <f>VLOOKUP(TablaMarimba[[#This Row],[Equipo]],Catalogos!$V$4:$W$64,2,FALSE)</f>
      </c>
      <c r="F25" s="3"/>
      <c r="G25" s="6">
        <v>100</v>
      </c>
      <c r="H25" s="3">
        <f t="shared" si="0"/>
      </c>
      <c r="I25" s="4">
        <v>28.3</v>
      </c>
      <c r="J25" s="4">
        <f t="shared" si="1"/>
      </c>
      <c r="M25">
        <f t="shared" si="2"/>
      </c>
      <c r="N25">
        <f>IF(A25="","", "CM-" &amp; IFERROR(VLOOKUP(C25, Catalogos!$Z$4:$AA$20, 2, FALSE), "FOL") &amp; "-" &amp; WEEKNUM(A25,2) &amp; "-" &amp; TEXT(ROW(A21),"000"))</f>
      </c>
    </row>
    <row r="26" spans="1:14">
      <c r="A26" s="2">
        <v>46182</v>
      </c>
      <c r="B26" t="s">
        <v>171</v>
      </c>
      <c r="C26" t="s">
        <v>3</v>
      </c>
      <c r="D26" t="s">
        <v>81</v>
      </c>
      <c r="E26">
        <f>VLOOKUP(TablaMarimba[[#This Row],[Equipo]],Catalogos!$V$4:$W$64,2,FALSE)</f>
      </c>
      <c r="F26" s="3"/>
      <c r="G26" s="6">
        <v>60</v>
      </c>
      <c r="H26" s="3">
        <f t="shared" si="0"/>
      </c>
      <c r="I26" s="4">
        <v>28.3</v>
      </c>
      <c r="J26" s="4">
        <f t="shared" si="1"/>
      </c>
      <c r="M26">
        <f t="shared" si="2"/>
      </c>
      <c r="N26">
        <f>IF(A26="","", "CM-" &amp; IFERROR(VLOOKUP(C26, Catalogos!$Z$4:$AA$20, 2, FALSE), "FOL") &amp; "-" &amp; WEEKNUM(A26,2) &amp; "-" &amp; TEXT(ROW(A22),"000"))</f>
      </c>
    </row>
    <row r="27" spans="1:14">
      <c r="A27" s="2">
        <v>46182</v>
      </c>
      <c r="B27" t="s">
        <v>171</v>
      </c>
      <c r="C27" t="s">
        <v>3</v>
      </c>
      <c r="D27" t="s">
        <v>98</v>
      </c>
      <c r="E27">
        <f>VLOOKUP(TablaMarimba[[#This Row],[Equipo]],Catalogos!$V$4:$W$64,2,FALSE)</f>
      </c>
      <c r="F27" s="3"/>
      <c r="G27" s="6">
        <v>20</v>
      </c>
      <c r="H27" s="3">
        <f t="shared" si="0"/>
      </c>
      <c r="I27" s="4">
        <v>28.3</v>
      </c>
      <c r="J27" s="4">
        <f t="shared" si="1"/>
      </c>
      <c r="M27">
        <f t="shared" si="2"/>
      </c>
      <c r="N27">
        <f>IF(A27="","", "CM-" &amp; IFERROR(VLOOKUP(C27, Catalogos!$Z$4:$AA$20, 2, FALSE), "FOL") &amp; "-" &amp; WEEKNUM(A27,2) &amp; "-" &amp; TEXT(ROW(A23),"000"))</f>
      </c>
    </row>
    <row r="28" spans="1:14">
      <c r="A28" s="2">
        <v>46183</v>
      </c>
      <c r="B28" t="s">
        <v>171</v>
      </c>
      <c r="C28" t="s">
        <v>1</v>
      </c>
      <c r="D28" t="s">
        <v>70</v>
      </c>
      <c r="E28">
        <f>VLOOKUP(TablaMarimba[[#This Row],[Equipo]],Catalogos!$V$4:$W$64,2,FALSE)</f>
      </c>
      <c r="F28" s="3"/>
      <c r="G28" s="6">
        <v>20</v>
      </c>
      <c r="H28" s="3">
        <f t="shared" si="0"/>
      </c>
      <c r="I28" s="4">
        <v>28.3</v>
      </c>
      <c r="J28" s="4">
        <f t="shared" si="1"/>
      </c>
      <c r="M28">
        <f t="shared" si="2"/>
      </c>
      <c r="N28">
        <f>IF(A28="","", "CM-" &amp; IFERROR(VLOOKUP(C28, Catalogos!$Z$4:$AA$20, 2, FALSE), "FOL") &amp; "-" &amp; WEEKNUM(A28,2) &amp; "-" &amp; TEXT(ROW(A24),"000"))</f>
      </c>
    </row>
    <row r="29" spans="1:14">
      <c r="A29" s="2">
        <v>46183</v>
      </c>
      <c r="B29" t="s">
        <v>171</v>
      </c>
      <c r="C29" t="s">
        <v>1</v>
      </c>
      <c r="D29" t="s">
        <v>69</v>
      </c>
      <c r="E29">
        <f>VLOOKUP(TablaMarimba[[#This Row],[Equipo]],Catalogos!$V$4:$W$64,2,FALSE)</f>
      </c>
      <c r="F29" s="3"/>
      <c r="G29" s="6">
        <v>250</v>
      </c>
      <c r="H29" s="3">
        <f t="shared" si="0"/>
      </c>
      <c r="I29" s="4">
        <v>28.3</v>
      </c>
      <c r="J29" s="4">
        <f t="shared" si="1"/>
      </c>
      <c r="M29">
        <f t="shared" si="2"/>
      </c>
      <c r="N29">
        <f>IF(A29="","", "CM-" &amp; IFERROR(VLOOKUP(C29, Catalogos!$Z$4:$AA$20, 2, FALSE), "FOL") &amp; "-" &amp; WEEKNUM(A29,2) &amp; "-" &amp; TEXT(ROW(A25),"000"))</f>
      </c>
    </row>
    <row r="30" spans="1:14">
      <c r="A30" s="2">
        <v>46183</v>
      </c>
      <c r="B30" t="s">
        <v>171</v>
      </c>
      <c r="C30" t="s">
        <v>1</v>
      </c>
      <c r="D30" t="s">
        <v>56</v>
      </c>
      <c r="E30">
        <f>VLOOKUP(TablaMarimba[[#This Row],[Equipo]],Catalogos!$V$4:$W$64,2,FALSE)</f>
      </c>
      <c r="F30" s="3"/>
      <c r="G30" s="6">
        <v>30</v>
      </c>
      <c r="H30" s="3">
        <f t="shared" si="0"/>
      </c>
      <c r="I30" s="4">
        <v>28.3</v>
      </c>
      <c r="J30" s="4">
        <f t="shared" si="1"/>
      </c>
      <c r="M30">
        <f t="shared" si="2"/>
      </c>
      <c r="N30">
        <f>IF(A30="","", "CM-" &amp; IFERROR(VLOOKUP(C30, Catalogos!$Z$4:$AA$20, 2, FALSE), "FOL") &amp; "-" &amp; WEEKNUM(A30,2) &amp; "-" &amp; TEXT(ROW(A26),"000"))</f>
      </c>
    </row>
    <row r="31" spans="1:14">
      <c r="A31" s="2">
        <v>46184</v>
      </c>
      <c r="B31" t="s">
        <v>171</v>
      </c>
      <c r="C31" t="s">
        <v>1</v>
      </c>
      <c r="D31" t="s">
        <v>48</v>
      </c>
      <c r="E31">
        <f>VLOOKUP(TablaMarimba[[#This Row],[Equipo]],Catalogos!$V$4:$W$64,2,FALSE)</f>
      </c>
      <c r="F31" s="3"/>
      <c r="G31" s="6">
        <v>30</v>
      </c>
      <c r="H31" s="3">
        <f t="shared" si="0"/>
      </c>
      <c r="I31" s="4">
        <v>28.3</v>
      </c>
      <c r="J31" s="4">
        <f t="shared" si="1"/>
      </c>
      <c r="M31">
        <f t="shared" si="2"/>
      </c>
      <c r="N31">
        <f>IF(A31="","", "CM-" &amp; IFERROR(VLOOKUP(C31, Catalogos!$Z$4:$AA$20, 2, FALSE), "FOL") &amp; "-" &amp; WEEKNUM(A31,2) &amp; "-" &amp; TEXT(ROW(A27),"000"))</f>
      </c>
    </row>
    <row r="32" spans="1:14">
      <c r="A32" s="2">
        <v>46184</v>
      </c>
      <c r="B32" t="s">
        <v>171</v>
      </c>
      <c r="C32" t="s">
        <v>1</v>
      </c>
      <c r="D32" t="s">
        <v>85</v>
      </c>
      <c r="E32">
        <f>VLOOKUP(TablaMarimba[[#This Row],[Equipo]],Catalogos!$V$4:$W$64,2,FALSE)</f>
      </c>
      <c r="F32" s="3"/>
      <c r="G32" s="6">
        <v>30</v>
      </c>
      <c r="H32" s="3">
        <f t="shared" si="0"/>
      </c>
      <c r="I32" s="4">
        <v>28.3</v>
      </c>
      <c r="J32" s="4">
        <f t="shared" si="1"/>
      </c>
      <c r="M32">
        <f t="shared" si="2"/>
      </c>
      <c r="N32">
        <f>IF(A32="","", "CM-" &amp; IFERROR(VLOOKUP(C32, Catalogos!$Z$4:$AA$20, 2, FALSE), "FOL") &amp; "-" &amp; WEEKNUM(A32,2) &amp; "-" &amp; TEXT(ROW(A28),"000"))</f>
      </c>
    </row>
    <row r="33" spans="1:14">
      <c r="A33" s="2">
        <v>46184</v>
      </c>
      <c r="B33" t="s">
        <v>171</v>
      </c>
      <c r="C33" t="s">
        <v>1</v>
      </c>
      <c r="D33" t="s">
        <v>65</v>
      </c>
      <c r="E33">
        <f>VLOOKUP(TablaMarimba[[#This Row],[Equipo]],Catalogos!$V$4:$W$64,2,FALSE)</f>
      </c>
      <c r="F33" s="3"/>
      <c r="G33" s="6">
        <v>136</v>
      </c>
      <c r="H33" s="3">
        <f t="shared" si="0"/>
      </c>
      <c r="I33" s="4">
        <v>28.3</v>
      </c>
      <c r="J33" s="4">
        <f t="shared" si="1"/>
      </c>
      <c r="M33">
        <f t="shared" si="2"/>
      </c>
      <c r="N33">
        <f>IF(A33="","", "CM-" &amp; IFERROR(VLOOKUP(C33, Catalogos!$Z$4:$AA$20, 2, FALSE), "FOL") &amp; "-" &amp; WEEKNUM(A33,2) &amp; "-" &amp; TEXT(ROW(A29),"000"))</f>
      </c>
    </row>
    <row r="34" spans="1:14">
      <c r="A34" s="2">
        <v>46184</v>
      </c>
      <c r="B34" t="s">
        <v>171</v>
      </c>
      <c r="C34" t="s">
        <v>1</v>
      </c>
      <c r="D34" t="s">
        <v>70</v>
      </c>
      <c r="E34">
        <f>VLOOKUP(TablaMarimba[[#This Row],[Equipo]],Catalogos!$V$4:$W$64,2,FALSE)</f>
      </c>
      <c r="F34" s="3"/>
      <c r="G34" s="6">
        <v>20</v>
      </c>
      <c r="H34" s="3">
        <f t="shared" si="0"/>
      </c>
      <c r="I34" s="4">
        <v>28.3</v>
      </c>
      <c r="J34" s="4">
        <f t="shared" si="1"/>
      </c>
      <c r="M34">
        <f t="shared" si="2"/>
      </c>
      <c r="N34">
        <f>IF(A34="","", "CM-" &amp; IFERROR(VLOOKUP(C34, Catalogos!$Z$4:$AA$20, 2, FALSE), "FOL") &amp; "-" &amp; WEEKNUM(A34,2) &amp; "-" &amp; TEXT(ROW(A30),"000"))</f>
      </c>
    </row>
    <row r="35" spans="1:14">
      <c r="A35" s="2">
        <v>46184</v>
      </c>
      <c r="B35" t="s">
        <v>171</v>
      </c>
      <c r="C35" t="s">
        <v>1</v>
      </c>
      <c r="D35" t="s">
        <v>56</v>
      </c>
      <c r="E35">
        <f>VLOOKUP(TablaMarimba[[#This Row],[Equipo]],Catalogos!$V$4:$W$64,2,FALSE)</f>
      </c>
      <c r="F35" s="3"/>
      <c r="G35" s="6">
        <v>20</v>
      </c>
      <c r="H35" s="3">
        <f t="shared" si="0"/>
      </c>
      <c r="I35" s="4">
        <v>28.3</v>
      </c>
      <c r="J35" s="4">
        <f t="shared" si="1"/>
      </c>
      <c r="M35">
        <f t="shared" si="2"/>
      </c>
      <c r="N35">
        <f>IF(A35="","", "CM-" &amp; IFERROR(VLOOKUP(C35, Catalogos!$Z$4:$AA$20, 2, FALSE), "FOL") &amp; "-" &amp; WEEKNUM(A35,2) &amp; "-" &amp; TEXT(ROW(A31),"000"))</f>
      </c>
    </row>
    <row r="36" spans="1:14">
      <c r="A36" s="2">
        <v>46184</v>
      </c>
      <c r="B36" t="s">
        <v>171</v>
      </c>
      <c r="C36" t="s">
        <v>1</v>
      </c>
      <c r="D36" t="s">
        <v>96</v>
      </c>
      <c r="E36">
        <f>VLOOKUP(TablaMarimba[[#This Row],[Equipo]],Catalogos!$V$4:$W$64,2,FALSE)</f>
      </c>
      <c r="F36" s="3"/>
      <c r="G36" s="6">
        <v>20</v>
      </c>
      <c r="H36" s="3">
        <f t="shared" si="0"/>
      </c>
      <c r="I36" s="4">
        <v>28.3</v>
      </c>
      <c r="J36" s="4">
        <f t="shared" si="1"/>
      </c>
      <c r="M36">
        <f t="shared" si="2"/>
      </c>
      <c r="N36">
        <f>IF(A36="","", "CM-" &amp; IFERROR(VLOOKUP(C36, Catalogos!$Z$4:$AA$20, 2, FALSE), "FOL") &amp; "-" &amp; WEEKNUM(A36,2) &amp; "-" &amp; TEXT(ROW(A32),"000"))</f>
      </c>
    </row>
    <row r="37" spans="1:14">
      <c r="A37" s="2">
        <v>46185</v>
      </c>
      <c r="B37" t="s">
        <v>171</v>
      </c>
      <c r="C37" t="s">
        <v>3</v>
      </c>
      <c r="D37" t="s">
        <v>88</v>
      </c>
      <c r="E37">
        <f>VLOOKUP(TablaMarimba[[#This Row],[Equipo]],Catalogos!$V$4:$W$64,2,FALSE)</f>
      </c>
      <c r="F37" s="3"/>
      <c r="G37" s="6">
        <v>32</v>
      </c>
      <c r="H37" s="3">
        <f t="shared" ref="H37:H63" si="3">IF(ROW()=5,F37-G37,H36+F37-G37)</f>
      </c>
      <c r="I37" s="4">
        <v>28.3</v>
      </c>
      <c r="J37" s="4">
        <f t="shared" ref="J37:J70" si="4">IFERROR((F37+G37)*I37,0)</f>
      </c>
      <c r="M37">
        <f t="shared" si="2"/>
      </c>
      <c r="N37">
        <f>IF(A37="","", "CM-" &amp; IFERROR(VLOOKUP(C37, Catalogos!$Z$4:$AA$20, 2, FALSE), "FOL") &amp; "-" &amp; WEEKNUM(A37,2) &amp; "-" &amp; TEXT(ROW(A33),"000"))</f>
      </c>
    </row>
    <row r="38" spans="1:14">
      <c r="A38" s="2">
        <v>46185</v>
      </c>
      <c r="B38" t="s">
        <v>171</v>
      </c>
      <c r="C38" t="s">
        <v>3</v>
      </c>
      <c r="D38" t="s">
        <v>90</v>
      </c>
      <c r="E38">
        <f>VLOOKUP(TablaMarimba[[#This Row],[Equipo]],Catalogos!$V$4:$W$64,2,FALSE)</f>
      </c>
      <c r="F38" s="3"/>
      <c r="G38" s="6">
        <v>30</v>
      </c>
      <c r="H38" s="3">
        <f t="shared" si="3"/>
      </c>
      <c r="I38" s="4">
        <v>28.3</v>
      </c>
      <c r="J38" s="4">
        <f t="shared" si="4"/>
      </c>
      <c r="M38">
        <f t="shared" si="2"/>
      </c>
      <c r="N38">
        <f>IF(A38="","", "CM-" &amp; IFERROR(VLOOKUP(C38, Catalogos!$Z$4:$AA$20, 2, FALSE), "FOL") &amp; "-" &amp; WEEKNUM(A38,2) &amp; "-" &amp; TEXT(ROW(A34),"000"))</f>
      </c>
    </row>
    <row r="39" spans="1:14">
      <c r="A39" s="2">
        <v>46185</v>
      </c>
      <c r="B39" t="s">
        <v>171</v>
      </c>
      <c r="C39" t="s">
        <v>3</v>
      </c>
      <c r="D39" t="s">
        <v>79</v>
      </c>
      <c r="E39">
        <f>VLOOKUP(TablaMarimba[[#This Row],[Equipo]],Catalogos!$V$4:$W$64,2,FALSE)</f>
      </c>
      <c r="F39" s="3"/>
      <c r="G39" s="6">
        <v>30</v>
      </c>
      <c r="H39" s="3">
        <f t="shared" si="3"/>
      </c>
      <c r="I39" s="4">
        <v>28.3</v>
      </c>
      <c r="J39" s="4">
        <f t="shared" si="4"/>
      </c>
      <c r="M39">
        <f t="shared" si="2"/>
      </c>
      <c r="N39">
        <f>IF(A39="","", "CM-" &amp; IFERROR(VLOOKUP(C39, Catalogos!$Z$4:$AA$20, 2, FALSE), "FOL") &amp; "-" &amp; WEEKNUM(A39,2) &amp; "-" &amp; TEXT(ROW(A35),"000"))</f>
      </c>
    </row>
    <row r="40" spans="1:14">
      <c r="A40" s="2">
        <v>46185</v>
      </c>
      <c r="B40" t="s">
        <v>171</v>
      </c>
      <c r="C40" t="s">
        <v>3</v>
      </c>
      <c r="D40" t="s">
        <v>81</v>
      </c>
      <c r="E40">
        <f>VLOOKUP(TablaMarimba[[#This Row],[Equipo]],Catalogos!$V$4:$W$64,2,FALSE)</f>
      </c>
      <c r="F40" s="3"/>
      <c r="G40" s="6">
        <v>50</v>
      </c>
      <c r="H40" s="3">
        <f t="shared" si="3"/>
      </c>
      <c r="I40" s="4">
        <v>28.3</v>
      </c>
      <c r="J40" s="4">
        <f t="shared" si="4"/>
      </c>
      <c r="M40">
        <f t="shared" si="2"/>
      </c>
      <c r="N40">
        <f>IF(A40="","", "CM-" &amp; IFERROR(VLOOKUP(C40, Catalogos!$Z$4:$AA$20, 2, FALSE), "FOL") &amp; "-" &amp; WEEKNUM(A40,2) &amp; "-" &amp; TEXT(ROW(A36),"000"))</f>
      </c>
    </row>
    <row r="41" spans="1:14">
      <c r="A41" s="2">
        <v>46185</v>
      </c>
      <c r="B41" t="s">
        <v>171</v>
      </c>
      <c r="C41" t="s">
        <v>3</v>
      </c>
      <c r="D41" t="s">
        <v>86</v>
      </c>
      <c r="E41">
        <f>VLOOKUP(TablaMarimba[[#This Row],[Equipo]],Catalogos!$V$4:$W$64,2,FALSE)</f>
      </c>
      <c r="F41" s="3"/>
      <c r="G41" s="6">
        <v>120</v>
      </c>
      <c r="H41" s="3">
        <f t="shared" si="3"/>
      </c>
      <c r="I41" s="4">
        <v>28.3</v>
      </c>
      <c r="J41" s="4">
        <f t="shared" si="4"/>
      </c>
      <c r="M41">
        <f t="shared" si="2"/>
      </c>
      <c r="N41">
        <f>IF(A41="","", "CM-" &amp; IFERROR(VLOOKUP(C41, Catalogos!$Z$4:$AA$20, 2, FALSE), "FOL") &amp; "-" &amp; WEEKNUM(A41,2) &amp; "-" &amp; TEXT(ROW(A37),"000"))</f>
      </c>
    </row>
    <row r="42" spans="1:14">
      <c r="A42" s="2">
        <v>46185</v>
      </c>
      <c r="B42" t="s">
        <v>171</v>
      </c>
      <c r="C42" t="s">
        <v>3</v>
      </c>
      <c r="D42" t="s">
        <v>92</v>
      </c>
      <c r="E42">
        <f>VLOOKUP(TablaMarimba[[#This Row],[Equipo]],Catalogos!$V$4:$W$64,2,FALSE)</f>
      </c>
      <c r="F42" s="3"/>
      <c r="G42" s="6">
        <v>40</v>
      </c>
      <c r="H42" s="3">
        <f t="shared" si="3"/>
      </c>
      <c r="I42" s="4">
        <v>28.3</v>
      </c>
      <c r="J42" s="4">
        <f t="shared" si="4"/>
      </c>
      <c r="M42">
        <f t="shared" si="2"/>
      </c>
      <c r="N42">
        <f>IF(A42="","", "CM-" &amp; IFERROR(VLOOKUP(C42, Catalogos!$Z$4:$AA$20, 2, FALSE), "FOL") &amp; "-" &amp; WEEKNUM(A42,2) &amp; "-" &amp; TEXT(ROW(A38),"000"))</f>
      </c>
    </row>
    <row r="43" spans="1:14">
      <c r="A43" s="2">
        <v>46185</v>
      </c>
      <c r="B43" t="s">
        <v>171</v>
      </c>
      <c r="C43" t="s">
        <v>3</v>
      </c>
      <c r="D43" t="s">
        <v>76</v>
      </c>
      <c r="E43">
        <f>VLOOKUP(TablaMarimba[[#This Row],[Equipo]],Catalogos!$V$4:$W$64,2,FALSE)</f>
      </c>
      <c r="F43" s="3"/>
      <c r="G43" s="6">
        <v>200</v>
      </c>
      <c r="H43" s="3">
        <f t="shared" si="3"/>
      </c>
      <c r="I43" s="4">
        <v>28.3</v>
      </c>
      <c r="J43" s="4">
        <f t="shared" si="4"/>
      </c>
      <c r="M43">
        <f t="shared" si="2"/>
      </c>
      <c r="N43" s="3">
        <f>IF(A43="","", "CM-" &amp; IFERROR(VLOOKUP(C43, Catalogos!$Z$4:$AA$20, 2, FALSE), "FOL") &amp; "-" &amp; WEEKNUM(A43,2) &amp; "-" &amp; TEXT(ROW(A39),"000"))</f>
      </c>
    </row>
    <row r="44" spans="1:14">
      <c r="A44" s="2">
        <v>46185</v>
      </c>
      <c r="B44" t="s">
        <v>171</v>
      </c>
      <c r="C44" t="s">
        <v>1</v>
      </c>
      <c r="D44" t="s">
        <v>70</v>
      </c>
      <c r="E44">
        <f>VLOOKUP(TablaMarimba[[#This Row],[Equipo]],Catalogos!$V$4:$W$64,2,FALSE)</f>
      </c>
      <c r="F44" s="3"/>
      <c r="G44" s="6">
        <v>20</v>
      </c>
      <c r="H44" s="3">
        <f t="shared" si="3"/>
      </c>
      <c r="I44" s="4">
        <v>28.3</v>
      </c>
      <c r="J44" s="4">
        <f t="shared" si="4"/>
      </c>
      <c r="M44">
        <f t="shared" si="2"/>
      </c>
      <c r="N44">
        <f>IF(A44="","", "CM-" &amp; IFERROR(VLOOKUP(C44, Catalogos!$Z$4:$AA$20, 2, FALSE), "FOL") &amp; "-" &amp; WEEKNUM(A44,2) &amp; "-" &amp; TEXT(ROW(A40),"000"))</f>
      </c>
    </row>
    <row r="45" spans="1:14">
      <c r="A45" s="2">
        <v>46185</v>
      </c>
      <c r="B45" t="s">
        <v>171</v>
      </c>
      <c r="C45" t="s">
        <v>1</v>
      </c>
      <c r="D45" t="s">
        <v>85</v>
      </c>
      <c r="E45">
        <f>VLOOKUP(TablaMarimba[[#This Row],[Equipo]],Catalogos!$V$4:$W$64,2,FALSE)</f>
      </c>
      <c r="F45" s="3"/>
      <c r="G45" s="6">
        <v>30</v>
      </c>
      <c r="H45" s="3">
        <f t="shared" si="3"/>
      </c>
      <c r="I45" s="4">
        <v>28.3</v>
      </c>
      <c r="J45" s="4">
        <f t="shared" si="4"/>
      </c>
      <c r="M45">
        <f t="shared" si="2"/>
      </c>
      <c r="N45">
        <f>IF(A45="","", "CM-" &amp; IFERROR(VLOOKUP(C45, Catalogos!$Z$4:$AA$20, 2, FALSE), "FOL") &amp; "-" &amp; WEEKNUM(A45,2) &amp; "-" &amp; TEXT(ROW(A41),"000"))</f>
      </c>
    </row>
    <row r="46" spans="1:14">
      <c r="A46" s="2">
        <v>46185</v>
      </c>
      <c r="B46" t="s">
        <v>171</v>
      </c>
      <c r="C46" t="s">
        <v>1</v>
      </c>
      <c r="D46" t="s">
        <v>96</v>
      </c>
      <c r="E46">
        <f>VLOOKUP(TablaMarimba[[#This Row],[Equipo]],Catalogos!$V$4:$W$64,2,FALSE)</f>
      </c>
      <c r="F46" s="3"/>
      <c r="G46" s="6">
        <v>20</v>
      </c>
      <c r="H46" s="3">
        <f t="shared" si="3"/>
      </c>
      <c r="I46" s="4">
        <v>28.3</v>
      </c>
      <c r="J46" s="4">
        <f t="shared" si="4"/>
      </c>
      <c r="M46">
        <f t="shared" si="2"/>
      </c>
      <c r="N46">
        <f>IF(A46="","", "CM-" &amp; IFERROR(VLOOKUP(C46, Catalogos!$Z$4:$AA$20, 2, FALSE), "FOL") &amp; "-" &amp; WEEKNUM(A46,2) &amp; "-" &amp; TEXT(ROW(A42),"000"))</f>
      </c>
    </row>
    <row r="47" spans="1:14">
      <c r="A47" s="2">
        <v>46185</v>
      </c>
      <c r="B47" t="s">
        <v>171</v>
      </c>
      <c r="C47" t="s">
        <v>1</v>
      </c>
      <c r="D47" t="s">
        <v>48</v>
      </c>
      <c r="E47">
        <f>VLOOKUP(TablaMarimba[[#This Row],[Equipo]],Catalogos!$V$4:$W$64,2,FALSE)</f>
      </c>
      <c r="F47" s="3"/>
      <c r="G47" s="6">
        <v>40</v>
      </c>
      <c r="H47" s="3">
        <f t="shared" si="3"/>
      </c>
      <c r="I47" s="4">
        <v>28.3</v>
      </c>
      <c r="J47" s="4">
        <f t="shared" si="4"/>
      </c>
      <c r="M47">
        <f t="shared" si="2"/>
      </c>
      <c r="N47">
        <f>IF(A47="","", "CM-" &amp; IFERROR(VLOOKUP(C47, Catalogos!$Z$4:$AA$20, 2, FALSE), "FOL") &amp; "-" &amp; WEEKNUM(A47,2) &amp; "-" &amp; TEXT(ROW(A43),"000"))</f>
      </c>
    </row>
    <row r="48" spans="1:14">
      <c r="A48" s="2">
        <v>46185</v>
      </c>
      <c r="B48" t="s">
        <v>171</v>
      </c>
      <c r="C48" t="s">
        <v>1</v>
      </c>
      <c r="D48" t="s">
        <v>69</v>
      </c>
      <c r="E48">
        <f>VLOOKUP(TablaMarimba[[#This Row],[Equipo]],Catalogos!$V$4:$W$64,2,FALSE)</f>
      </c>
      <c r="F48" s="3"/>
      <c r="G48" s="6">
        <v>250</v>
      </c>
      <c r="H48" s="3">
        <v>0</v>
      </c>
      <c r="I48" s="4">
        <v>28.3</v>
      </c>
      <c r="J48" s="4">
        <f t="shared" si="4"/>
      </c>
      <c r="M48">
        <f t="shared" si="2"/>
      </c>
      <c r="N48">
        <f>IF(A48="","", "CM-" &amp; IFERROR(VLOOKUP(C48, Catalogos!$Z$4:$AA$20, 2, FALSE), "FOL") &amp; "-" &amp; WEEKNUM(A48,2) &amp; "-" &amp; TEXT(ROW(A44),"000"))</f>
      </c>
    </row>
    <row r="49" spans="1:14">
      <c r="A49" s="2">
        <v>46188</v>
      </c>
      <c r="B49" t="s">
        <v>125</v>
      </c>
      <c r="C49" t="s">
        <v>114</v>
      </c>
      <c r="D49" t="s">
        <v>239</v>
      </c>
      <c r="E49">
        <f>VLOOKUP(TablaMarimba[[#This Row],[Equipo]],Catalogos!$V$4:$W$64,2,FALSE)</f>
      </c>
      <c r="F49" s="3">
        <v>500</v>
      </c>
      <c r="G49" s="6"/>
      <c r="H49" s="3">
        <f t="shared" si="3"/>
      </c>
      <c r="I49" s="4"/>
      <c r="J49" s="4"/>
      <c r="M49">
        <f t="shared" si="2"/>
      </c>
      <c r="N49">
        <f>IF(A49="","", "CM-" &amp; IFERROR(VLOOKUP(C49, Catalogos!$Z$4:$AA$20, 2, FALSE), "FOL") &amp; "-" &amp; WEEKNUM(A49,2) &amp; "-" &amp; TEXT(ROW(A45),"000"))</f>
      </c>
    </row>
    <row r="50" spans="1:14">
      <c r="A50" s="2">
        <v>46188</v>
      </c>
      <c r="B50" t="s">
        <v>171</v>
      </c>
      <c r="C50" t="s">
        <v>1</v>
      </c>
      <c r="D50" t="s">
        <v>386</v>
      </c>
      <c r="E50">
        <f>VLOOKUP(TablaMarimba[[#This Row],[Equipo]],Catalogos!$V$4:$W$64,2,FALSE)</f>
      </c>
      <c r="F50" s="3"/>
      <c r="G50" s="6">
        <v>200</v>
      </c>
      <c r="H50" s="3">
        <f t="shared" si="3"/>
      </c>
      <c r="I50" s="4">
        <v>28.3</v>
      </c>
      <c r="J50" s="4">
        <f t="shared" si="4"/>
      </c>
      <c r="M50">
        <f t="shared" si="2"/>
      </c>
      <c r="N50">
        <f>IF(A50="","", "CM-" &amp; IFERROR(VLOOKUP(C50, Catalogos!$Z$4:$AA$20, 2, FALSE), "FOL") &amp; "-" &amp; WEEKNUM(A50,2) &amp; "-" &amp; TEXT(ROW(A46),"000"))</f>
      </c>
    </row>
    <row r="51" spans="1:14">
      <c r="A51" s="2">
        <v>46188</v>
      </c>
      <c r="B51" t="s">
        <v>171</v>
      </c>
      <c r="C51" t="s">
        <v>1</v>
      </c>
      <c r="D51" t="s">
        <v>228</v>
      </c>
      <c r="E51">
        <f>VLOOKUP(TablaMarimba[[#This Row],[Equipo]],Catalogos!$V$4:$W$64,2,FALSE)</f>
      </c>
      <c r="F51" s="3"/>
      <c r="G51" s="6">
        <v>40</v>
      </c>
      <c r="H51" s="3">
        <f t="shared" si="3"/>
      </c>
      <c r="I51" s="4">
        <v>28.3</v>
      </c>
      <c r="J51" s="4">
        <f t="shared" si="4"/>
      </c>
      <c r="M51">
        <f t="shared" si="2"/>
      </c>
      <c r="N51">
        <f>IF(A51="","", "CM-" &amp; IFERROR(VLOOKUP(C51, Catalogos!$Z$4:$AA$20, 2, FALSE), "FOL") &amp; "-" &amp; WEEKNUM(A51,2) &amp; "-" &amp; TEXT(ROW(A47),"000"))</f>
      </c>
    </row>
    <row r="52" spans="1:14">
      <c r="A52" s="2">
        <v>46188</v>
      </c>
      <c r="B52" t="s">
        <v>171</v>
      </c>
      <c r="C52" t="s">
        <v>1</v>
      </c>
      <c r="D52" t="s">
        <v>221</v>
      </c>
      <c r="E52">
        <f>VLOOKUP(TablaMarimba[[#This Row],[Equipo]],Catalogos!$V$4:$W$64,2,FALSE)</f>
      </c>
      <c r="F52" s="3"/>
      <c r="G52" s="6">
        <v>30</v>
      </c>
      <c r="H52" s="3">
        <f t="shared" si="3"/>
      </c>
      <c r="I52" s="4">
        <v>28.3</v>
      </c>
      <c r="J52" s="4">
        <f t="shared" si="4"/>
      </c>
      <c r="M52">
        <f t="shared" si="2"/>
      </c>
      <c r="N52">
        <f>IF(A52="","", "CM-" &amp; IFERROR(VLOOKUP(C52, Catalogos!$Z$4:$AA$20, 2, FALSE), "FOL") &amp; "-" &amp; WEEKNUM(A52,2) &amp; "-" &amp; TEXT(ROW(A48),"000"))</f>
      </c>
    </row>
    <row r="53" spans="1:14">
      <c r="A53" s="2">
        <v>46188</v>
      </c>
      <c r="B53" t="s">
        <v>171</v>
      </c>
      <c r="C53" t="s">
        <v>1</v>
      </c>
      <c r="D53" t="s">
        <v>224</v>
      </c>
      <c r="E53">
        <f>VLOOKUP(TablaMarimba[[#This Row],[Equipo]],Catalogos!$V$4:$W$64,2,FALSE)</f>
      </c>
      <c r="F53" s="3"/>
      <c r="G53" s="6">
        <v>50</v>
      </c>
      <c r="H53" s="3">
        <f t="shared" si="3"/>
      </c>
      <c r="I53" s="4">
        <v>28.3</v>
      </c>
      <c r="J53" s="4">
        <f t="shared" si="4"/>
      </c>
      <c r="M53">
        <f t="shared" si="2"/>
      </c>
      <c r="N53">
        <f>IF(A53="","", "CM-" &amp; IFERROR(VLOOKUP(C53, Catalogos!$Z$4:$AA$20, 2, FALSE), "FOL") &amp; "-" &amp; WEEKNUM(A53,2) &amp; "-" &amp; TEXT(ROW(A49),"000"))</f>
      </c>
    </row>
    <row r="54" spans="1:14">
      <c r="A54" s="3807">
        <v>46188</v>
      </c>
      <c r="B54" t="s" s="3808">
        <v>171</v>
      </c>
      <c r="C54" t="s" s="3808">
        <v>1</v>
      </c>
      <c r="D54" t="s" s="3808">
        <v>368</v>
      </c>
      <c r="E54" s="3808">
        <f>VLOOKUP(TablaMarimba[[#This Row],[Equipo]],Catalogos!$V$4:$W$64,2,FALSE)</f>
      </c>
      <c r="F54" s="3809"/>
      <c r="G54" s="3810">
        <v>99</v>
      </c>
      <c r="H54" s="3809">
        <f t="shared" si="3"/>
      </c>
      <c r="I54" s="3811">
        <v>28.3</v>
      </c>
      <c r="J54" s="3811">
        <f t="shared" si="4"/>
      </c>
      <c r="K54" s="3808"/>
      <c r="L54" s="3808"/>
      <c r="M54">
        <f t="shared" si="2"/>
      </c>
      <c r="N54">
        <f>IF(A54="","", "CM-" &amp; IFERROR(VLOOKUP(C54, Catalogos!$Z$4:$AA$20, 2, FALSE), "FOL") &amp; "-" &amp; WEEKNUM(A54,2) &amp; "-" &amp; TEXT(ROW(A50),"000"))</f>
      </c>
    </row>
    <row r="55" spans="1:14">
      <c r="A55" s="2">
        <v>46188</v>
      </c>
      <c r="B55" t="s">
        <v>171</v>
      </c>
      <c r="C55" t="s">
        <v>1</v>
      </c>
      <c r="D55" t="s">
        <v>383</v>
      </c>
      <c r="E55">
        <f>VLOOKUP(TablaMarimba[[#This Row],[Equipo]],Catalogos!$V$4:$W$64,2,FALSE)</f>
      </c>
      <c r="F55" s="3"/>
      <c r="G55" s="6">
        <v>50</v>
      </c>
      <c r="H55" s="3">
        <f t="shared" si="3"/>
      </c>
      <c r="I55" s="4">
        <v>28.3</v>
      </c>
      <c r="J55" s="4">
        <f t="shared" si="4"/>
      </c>
      <c r="M55">
        <f t="shared" si="2"/>
      </c>
      <c r="N55">
        <f>IF(A55="","", "CM-" &amp; IFERROR(VLOOKUP(C55, Catalogos!$Z$4:$AA$20, 2, FALSE), "FOL") &amp; "-" &amp; WEEKNUM(A55,2) &amp; "-" &amp; TEXT(ROW(A51),"000"))</f>
      </c>
    </row>
    <row r="56" spans="1:14">
      <c r="A56" s="2">
        <v>46189</v>
      </c>
      <c r="B56" t="s">
        <v>125</v>
      </c>
      <c r="C56" t="s">
        <v>114</v>
      </c>
      <c r="D56" t="s">
        <v>239</v>
      </c>
      <c r="E56">
        <f>VLOOKUP(TablaMarimba[[#This Row],[Equipo]],Catalogos!$V$4:$W$64,2,FALSE)</f>
      </c>
      <c r="F56" s="3">
        <f>TablaMarimba[[#This Row],[Existencia Teórica]]-H55</f>
      </c>
      <c r="G56" s="6"/>
      <c r="H56" s="3">
        <v>500</v>
      </c>
      <c r="I56" s="4"/>
      <c r="J56" s="4"/>
      <c r="M56">
        <f t="shared" si="2"/>
      </c>
      <c r="N56">
        <f>IF(A56="","", "CM-" &amp; IFERROR(VLOOKUP(C56, Catalogos!$Z$4:$AA$20, 2, FALSE), "FOL") &amp; "-" &amp; WEEKNUM(A56,2) &amp; "-" &amp; TEXT(ROW(A52),"000"))</f>
      </c>
    </row>
    <row r="57" spans="1:14">
      <c r="A57" s="2">
        <v>46189</v>
      </c>
      <c r="B57" t="s">
        <v>171</v>
      </c>
      <c r="C57" t="s">
        <v>1</v>
      </c>
      <c r="D57" t="s">
        <v>386</v>
      </c>
      <c r="E57">
        <f>VLOOKUP(TablaMarimba[[#This Row],[Equipo]],Catalogos!$V$4:$W$64,2,FALSE)</f>
      </c>
      <c r="F57" s="3"/>
      <c r="G57" s="6">
        <v>200</v>
      </c>
      <c r="H57" s="3">
        <f t="shared" si="3"/>
      </c>
      <c r="I57" s="4">
        <v>28.3</v>
      </c>
      <c r="J57" s="4">
        <f t="shared" si="4"/>
      </c>
      <c r="M57">
        <f t="shared" si="2"/>
      </c>
      <c r="N57">
        <f>IF(A57="","", "CM-" &amp; IFERROR(VLOOKUP(C57, Catalogos!$Z$4:$AA$20, 2, FALSE), "FOL") &amp; "-" &amp; WEEKNUM(A57,2) &amp; "-" &amp; TEXT(ROW(A53),"000"))</f>
      </c>
    </row>
    <row r="58" spans="1:14">
      <c r="A58" s="2">
        <v>46189</v>
      </c>
      <c r="B58" t="s">
        <v>171</v>
      </c>
      <c r="C58" t="s">
        <v>1</v>
      </c>
      <c r="D58" t="s">
        <v>221</v>
      </c>
      <c r="E58">
        <f>VLOOKUP(TablaMarimba[[#This Row],[Equipo]],Catalogos!$V$4:$W$64,2,FALSE)</f>
      </c>
      <c r="F58" s="3"/>
      <c r="G58" s="6">
        <v>32</v>
      </c>
      <c r="H58" s="3">
        <f t="shared" si="3"/>
      </c>
      <c r="I58" s="4">
        <v>28.3</v>
      </c>
      <c r="J58" s="4">
        <f t="shared" si="4"/>
      </c>
      <c r="M58">
        <f t="shared" si="2"/>
      </c>
      <c r="N58">
        <f>IF(A58="","", "CM-" &amp; IFERROR(VLOOKUP(C58, Catalogos!$Z$4:$AA$20, 2, FALSE), "FOL") &amp; "-" &amp; WEEKNUM(A58,2) &amp; "-" &amp; TEXT(ROW(A54),"000"))</f>
      </c>
    </row>
    <row r="59" spans="1:14">
      <c r="A59" s="2">
        <v>46189</v>
      </c>
      <c r="B59" t="s">
        <v>171</v>
      </c>
      <c r="C59" t="s">
        <v>1</v>
      </c>
      <c r="D59" t="s">
        <v>224</v>
      </c>
      <c r="E59">
        <f>VLOOKUP(TablaMarimba[[#This Row],[Equipo]],Catalogos!$V$4:$W$64,2,FALSE)</f>
      </c>
      <c r="F59" s="3"/>
      <c r="G59" s="6">
        <v>30</v>
      </c>
      <c r="H59" s="3">
        <f t="shared" si="3"/>
      </c>
      <c r="I59" s="4">
        <v>28.3</v>
      </c>
      <c r="J59" s="4">
        <f t="shared" si="4"/>
      </c>
      <c r="M59">
        <f t="shared" si="2"/>
      </c>
      <c r="N59">
        <f>IF(A59="","", "CM-" &amp; IFERROR(VLOOKUP(C59, Catalogos!$Z$4:$AA$20, 2, FALSE), "FOL") &amp; "-" &amp; WEEKNUM(A59,2) &amp; "-" &amp; TEXT(ROW(A55),"000"))</f>
      </c>
    </row>
    <row r="60" spans="1:14">
      <c r="A60" s="2">
        <v>46189</v>
      </c>
      <c r="B60" t="s">
        <v>171</v>
      </c>
      <c r="C60" t="s">
        <v>1</v>
      </c>
      <c r="D60" t="s">
        <v>216</v>
      </c>
      <c r="E60">
        <f>VLOOKUP(TablaMarimba[[#This Row],[Equipo]],Catalogos!$V$4:$W$64,2,FALSE)</f>
      </c>
      <c r="F60" s="3"/>
      <c r="G60" s="6">
        <v>30</v>
      </c>
      <c r="H60" s="3">
        <f t="shared" si="3"/>
      </c>
      <c r="I60" s="4">
        <v>28.3</v>
      </c>
      <c r="J60" s="4">
        <f t="shared" si="4"/>
      </c>
      <c r="M60">
        <f t="shared" si="2"/>
      </c>
      <c r="N60">
        <f>IF(A60="","", "CM-" &amp; IFERROR(VLOOKUP(C60, Catalogos!$Z$4:$AA$20, 2, FALSE), "FOL") &amp; "-" &amp; WEEKNUM(A60,2) &amp; "-" &amp; TEXT(ROW(A56),"000"))</f>
      </c>
    </row>
    <row r="61" spans="1:14" s="3808" customFormat="1">
      <c r="A61" s="3807">
        <v>46189</v>
      </c>
      <c r="B61" t="s" s="3808">
        <v>171</v>
      </c>
      <c r="C61" t="s" s="3808">
        <v>1</v>
      </c>
      <c r="D61" t="s" s="3808">
        <v>368</v>
      </c>
      <c r="E61" s="3808">
        <f>VLOOKUP(TablaMarimba[[#This Row],[Equipo]],Catalogos!$V$4:$W$64,2,FALSE)</f>
      </c>
      <c r="F61" s="3809"/>
      <c r="G61" s="3810">
        <v>107</v>
      </c>
      <c r="H61" s="3809">
        <f t="shared" si="3"/>
      </c>
      <c r="I61" s="3811">
        <v>28.3</v>
      </c>
      <c r="J61" s="3811">
        <f t="shared" si="4"/>
      </c>
      <c r="M61" s="3808">
        <f t="shared" si="2"/>
      </c>
      <c r="N61" s="3808">
        <f>IF(A61="","", "CM-" &amp; IFERROR(VLOOKUP(C61, Catalogos!$Z$4:$AA$20, 2, FALSE), "FOL") &amp; "-" &amp; WEEKNUM(A61,2) &amp; "-" &amp; TEXT(ROW(A57),"000"))</f>
      </c>
    </row>
    <row r="62" spans="1:14">
      <c r="A62" s="2">
        <v>46189</v>
      </c>
      <c r="B62" t="s">
        <v>171</v>
      </c>
      <c r="C62" t="s">
        <v>1</v>
      </c>
      <c r="D62" t="s">
        <v>228</v>
      </c>
      <c r="E62">
        <f>VLOOKUP(TablaMarimba[[#This Row],[Equipo]],Catalogos!$V$4:$W$64,2,FALSE)</f>
      </c>
      <c r="F62" s="3"/>
      <c r="G62" s="6">
        <v>40</v>
      </c>
      <c r="H62" s="3">
        <f t="shared" si="3"/>
      </c>
      <c r="I62" s="4">
        <v>28.3</v>
      </c>
      <c r="J62" s="4">
        <f t="shared" si="4"/>
      </c>
      <c r="M62">
        <f t="shared" si="2"/>
      </c>
      <c r="N62">
        <f>IF(A62="","", "CM-" &amp; IFERROR(VLOOKUP(C62, Catalogos!$Z$4:$AA$20, 2, FALSE), "FOL") &amp; "-" &amp; WEEKNUM(A62,2) &amp; "-" &amp; TEXT(ROW(A58),"000"))</f>
      </c>
    </row>
    <row r="63" spans="1:14">
      <c r="A63" s="2">
        <v>46189</v>
      </c>
      <c r="B63" t="s">
        <v>171</v>
      </c>
      <c r="C63" t="s">
        <v>1</v>
      </c>
      <c r="D63" t="s">
        <v>383</v>
      </c>
      <c r="E63">
        <f>VLOOKUP(TablaMarimba[[#This Row],[Equipo]],Catalogos!$V$4:$W$64,2,FALSE)</f>
      </c>
      <c r="F63" s="3"/>
      <c r="G63" s="6">
        <v>50</v>
      </c>
      <c r="H63" s="3">
        <f t="shared" si="3"/>
      </c>
      <c r="I63" s="4">
        <v>28.3</v>
      </c>
      <c r="J63" s="4">
        <f t="shared" si="4"/>
      </c>
      <c r="M63">
        <f t="shared" si="2"/>
      </c>
      <c r="N63">
        <f>IF(A63="","", "CM-" &amp; IFERROR(VLOOKUP(C63, Catalogos!$Z$4:$AA$20, 2, FALSE), "FOL") &amp; "-" &amp; WEEKNUM(A63,2) &amp; "-" &amp; TEXT(ROW(A59),"000"))</f>
      </c>
    </row>
    <row r="64" spans="1:14">
      <c r="A64" s="2">
        <v>46190</v>
      </c>
      <c r="B64" t="s">
        <v>125</v>
      </c>
      <c r="C64" t="s">
        <v>114</v>
      </c>
      <c r="D64" t="s">
        <v>239</v>
      </c>
      <c r="E64">
        <f>VLOOKUP(TablaMarimba[[#This Row],[Equipo]],Catalogos!$V$4:$W$64,2,FALSE)</f>
      </c>
      <c r="F64" s="3">
        <f>TablaMarimba[[#This Row],[Existencia Teórica]]-H63</f>
      </c>
      <c r="G64" s="6"/>
      <c r="H64" s="3">
        <v>520</v>
      </c>
      <c r="I64" s="4"/>
      <c r="J64" s="4"/>
      <c r="M64">
        <f t="shared" si="2"/>
      </c>
      <c r="N64">
        <f>IF(A64="","", "CM-" &amp; IFERROR(VLOOKUP(C64, Catalogos!$Z$4:$AA$20, 2, FALSE), "FOL") &amp; "-" &amp; WEEKNUM(A64,2) &amp; "-" &amp; TEXT(ROW(A60),"000"))</f>
      </c>
    </row>
    <row r="65" spans="1:14">
      <c r="A65" s="2">
        <v>46190</v>
      </c>
      <c r="B65" t="s">
        <v>171</v>
      </c>
      <c r="C65" t="s">
        <v>1</v>
      </c>
      <c r="D65" t="s">
        <v>386</v>
      </c>
      <c r="E65">
        <f>VLOOKUP(TablaMarimba[[#This Row],[Equipo]],Catalogos!$V$4:$W$64,2,FALSE)</f>
      </c>
      <c r="F65" s="3"/>
      <c r="G65" s="6">
        <v>200</v>
      </c>
      <c r="H65" s="3">
        <f>IF(ROW()=5,F65-G65,H64+F65-G65)</f>
      </c>
      <c r="I65" s="4">
        <v>28.3</v>
      </c>
      <c r="J65" s="4">
        <f t="shared" si="4"/>
      </c>
      <c r="M65">
        <f t="shared" si="2"/>
      </c>
      <c r="N65">
        <f>IF(A65="","", "CM-" &amp; IFERROR(VLOOKUP(C65, Catalogos!$Z$4:$AA$20, 2, FALSE), "FOL") &amp; "-" &amp; WEEKNUM(A65,2) &amp; "-" &amp; TEXT(ROW(A61),"000"))</f>
      </c>
    </row>
    <row r="66" spans="1:14">
      <c r="A66" s="3807">
        <v>46190</v>
      </c>
      <c r="B66" t="s" s="3808">
        <v>171</v>
      </c>
      <c r="C66" t="s" s="3808">
        <v>1</v>
      </c>
      <c r="D66" t="s" s="3808">
        <v>368</v>
      </c>
      <c r="E66" s="3808">
        <f>VLOOKUP(TablaMarimba[[#This Row],[Equipo]],Catalogos!$V$4:$W$64,2,FALSE)</f>
      </c>
      <c r="F66" s="3809"/>
      <c r="G66" s="3810">
        <v>120</v>
      </c>
      <c r="H66" s="3809">
        <f t="shared" ref="H66:H129" si="5">IF(ROW()=5,F66-G66,H65+F66-G66)</f>
      </c>
      <c r="I66" s="3811">
        <v>28.3</v>
      </c>
      <c r="J66" s="3811">
        <f t="shared" si="4"/>
      </c>
      <c r="K66" s="3808"/>
      <c r="L66" s="3808"/>
      <c r="M66" s="3808">
        <f t="shared" si="2"/>
      </c>
      <c r="N66" s="3808">
        <f>IF(A66="","", "CM-" &amp; IFERROR(VLOOKUP(C66, Catalogos!$Z$4:$AA$20, 2, FALSE), "FOL") &amp; "-" &amp; WEEKNUM(A66,2) &amp; "-" &amp; TEXT(ROW(A62),"000"))</f>
      </c>
    </row>
    <row r="67" spans="1:14">
      <c r="A67" s="2">
        <v>46190</v>
      </c>
      <c r="B67" t="s">
        <v>171</v>
      </c>
      <c r="C67" t="s">
        <v>1</v>
      </c>
      <c r="D67" t="s">
        <v>221</v>
      </c>
      <c r="E67">
        <f>VLOOKUP(TablaMarimba[[#This Row],[Equipo]],Catalogos!$V$4:$W$64,2,FALSE)</f>
      </c>
      <c r="F67" s="3"/>
      <c r="G67" s="6">
        <v>32</v>
      </c>
      <c r="H67" s="3">
        <f t="shared" si="5"/>
      </c>
      <c r="I67" s="4">
        <v>28.3</v>
      </c>
      <c r="J67" s="4">
        <f t="shared" si="4"/>
      </c>
      <c r="M67">
        <f t="shared" si="2"/>
      </c>
      <c r="N67">
        <f>IF(A67="","", "CM-" &amp; IFERROR(VLOOKUP(C67, Catalogos!$Z$4:$AA$20, 2, FALSE), "FOL") &amp; "-" &amp; WEEKNUM(A67,2) &amp; "-" &amp; TEXT(ROW(A63),"000"))</f>
      </c>
    </row>
    <row r="68" spans="1:14">
      <c r="A68" s="2">
        <v>46190</v>
      </c>
      <c r="B68" t="s">
        <v>171</v>
      </c>
      <c r="C68" t="s">
        <v>1</v>
      </c>
      <c r="D68" t="s">
        <v>224</v>
      </c>
      <c r="E68">
        <f>VLOOKUP(TablaMarimba[[#This Row],[Equipo]],Catalogos!$V$4:$W$64,2,FALSE)</f>
      </c>
      <c r="F68" s="3"/>
      <c r="G68" s="6">
        <v>30</v>
      </c>
      <c r="H68" s="3">
        <f t="shared" si="5"/>
      </c>
      <c r="I68" s="4">
        <v>28.3</v>
      </c>
      <c r="J68" s="4">
        <f t="shared" si="4"/>
      </c>
      <c r="M68">
        <f t="shared" si="2"/>
      </c>
      <c r="N68">
        <f>IF(A68="","", "CM-" &amp; IFERROR(VLOOKUP(C68, Catalogos!$Z$4:$AA$20, 2, FALSE), "FOL") &amp; "-" &amp; WEEKNUM(A68,2) &amp; "-" &amp; TEXT(ROW(A64),"000"))</f>
      </c>
    </row>
    <row r="69" spans="1:14">
      <c r="A69" s="2">
        <v>46190</v>
      </c>
      <c r="B69" t="s">
        <v>171</v>
      </c>
      <c r="C69" t="s">
        <v>1</v>
      </c>
      <c r="D69" t="s">
        <v>216</v>
      </c>
      <c r="E69">
        <f>VLOOKUP(TablaMarimba[[#This Row],[Equipo]],Catalogos!$V$4:$W$64,2,FALSE)</f>
      </c>
      <c r="F69" s="3"/>
      <c r="G69" s="6">
        <v>28</v>
      </c>
      <c r="H69" s="3">
        <f t="shared" si="5"/>
      </c>
      <c r="I69" s="4">
        <v>28.3</v>
      </c>
      <c r="J69" s="4">
        <f t="shared" si="4"/>
      </c>
      <c r="M69">
        <f t="shared" ref="M69:M132" si="6">IF(A69="","", WEEKNUM(A69, 2))</f>
      </c>
      <c r="N69">
        <f>IF(A69="","", "CM-" &amp; IFERROR(VLOOKUP(C69, Catalogos!$Z$4:$AA$20, 2, FALSE), "FOL") &amp; "-" &amp; WEEKNUM(A69,2) &amp; "-" &amp; TEXT(ROW(A65),"000"))</f>
      </c>
    </row>
    <row r="70" spans="1:14">
      <c r="A70" s="2">
        <v>46190</v>
      </c>
      <c r="B70" t="s">
        <v>171</v>
      </c>
      <c r="C70" t="s">
        <v>1</v>
      </c>
      <c r="D70" t="s">
        <v>228</v>
      </c>
      <c r="E70">
        <f>VLOOKUP(TablaMarimba[[#This Row],[Equipo]],Catalogos!$V$4:$W$64,2,FALSE)</f>
      </c>
      <c r="F70" s="3"/>
      <c r="G70" s="6">
        <v>60</v>
      </c>
      <c r="H70" s="3">
        <f t="shared" si="5"/>
      </c>
      <c r="I70" s="4">
        <v>28.3</v>
      </c>
      <c r="J70" s="4">
        <f t="shared" si="4"/>
      </c>
      <c r="M70">
        <f t="shared" si="6"/>
      </c>
      <c r="N70">
        <f>IF(A70="","", "CM-" &amp; IFERROR(VLOOKUP(C70, Catalogos!$Z$4:$AA$20, 2, FALSE), "FOL") &amp; "-" &amp; WEEKNUM(A70,2) &amp; "-" &amp; TEXT(ROW(A66),"000"))</f>
      </c>
    </row>
    <row r="71" spans="1:14">
      <c r="A71" s="2">
        <v>46191</v>
      </c>
      <c r="B71" t="s">
        <v>171</v>
      </c>
      <c r="C71" t="s">
        <v>1</v>
      </c>
      <c r="D71" t="s">
        <v>383</v>
      </c>
      <c r="E71">
        <f>VLOOKUP(TablaMarimba[[#This Row],[Equipo]],Catalogos!$V$4:$W$64,2,FALSE)</f>
      </c>
      <c r="G71" s="6">
        <v>50</v>
      </c>
      <c r="H71" s="3">
        <f t="shared" si="5"/>
      </c>
      <c r="I71" s="4">
        <v>28.3</v>
      </c>
      <c r="J71" s="4">
        <f>IFERROR((F72+G72)*I71,0)</f>
      </c>
      <c r="M71">
        <f t="shared" si="6"/>
      </c>
      <c r="N71">
        <f>IF(A71="","", "CM-" &amp; IFERROR(VLOOKUP(C71, Catalogos!$Z$4:$AA$20, 2, FALSE), "FOL") &amp; "-" &amp; WEEKNUM(A71,2) &amp; "-" &amp; TEXT(ROW(A67),"000"))</f>
      </c>
    </row>
    <row r="72" spans="1:14">
      <c r="A72" s="2">
        <v>46191</v>
      </c>
      <c r="B72" t="s">
        <v>171</v>
      </c>
      <c r="C72" t="s">
        <v>1</v>
      </c>
      <c r="D72" t="s">
        <v>386</v>
      </c>
      <c r="E72">
        <f>VLOOKUP(TablaMarimba[[#This Row],[Equipo]],Catalogos!$V$4:$W$64,2,FALSE)</f>
      </c>
      <c r="F72" s="3"/>
      <c r="G72" s="6">
        <v>200</v>
      </c>
      <c r="H72" s="3">
        <f t="shared" si="5"/>
      </c>
      <c r="I72" s="4">
        <v>28.3</v>
      </c>
      <c r="J72" s="4">
        <f>IFERROR((F73+G73)*I72,0)</f>
      </c>
      <c r="M72">
        <f t="shared" si="6"/>
      </c>
      <c r="N72">
        <f>IF(A72="","", "CM-" &amp; IFERROR(VLOOKUP(C72, Catalogos!$Z$4:$AA$20, 2, FALSE), "FOL") &amp; "-" &amp; WEEKNUM(A72,2) &amp; "-" &amp; TEXT(ROW(A68),"000"))</f>
      </c>
    </row>
    <row r="73" spans="1:14">
      <c r="A73" s="2">
        <v>46191</v>
      </c>
      <c r="B73" t="s">
        <v>171</v>
      </c>
      <c r="C73" t="s">
        <v>1</v>
      </c>
      <c r="D73" t="s">
        <v>368</v>
      </c>
      <c r="E73">
        <f>VLOOKUP(TablaMarimba[[#This Row],[Equipo]],Catalogos!$V$4:$W$64,2,FALSE)</f>
      </c>
      <c r="F73" s="3"/>
      <c r="G73" s="6">
        <v>115</v>
      </c>
      <c r="H73" s="3">
        <f t="shared" si="5"/>
      </c>
      <c r="I73" s="4">
        <v>28.3</v>
      </c>
      <c r="J73" s="4">
        <f>IFERROR((F74+G74)*I73,0)</f>
      </c>
      <c r="M73">
        <f t="shared" si="6"/>
      </c>
      <c r="N73">
        <f>IF(A73="","", "CM-" &amp; IFERROR(VLOOKUP(C73, Catalogos!$Z$4:$AA$20, 2, FALSE), "FOL") &amp; "-" &amp; WEEKNUM(A73,2) &amp; "-" &amp; TEXT(ROW(A69),"000"))</f>
      </c>
    </row>
    <row r="74" spans="1:14">
      <c r="A74" s="2">
        <v>46191</v>
      </c>
      <c r="B74" t="s">
        <v>171</v>
      </c>
      <c r="C74" t="s">
        <v>1</v>
      </c>
      <c r="D74" t="s">
        <v>224</v>
      </c>
      <c r="E74">
        <f>VLOOKUP(TablaMarimba[[#This Row],[Equipo]],Catalogos!$V$4:$W$64,2,FALSE)</f>
      </c>
      <c r="F74" s="3"/>
      <c r="G74" s="6">
        <v>30</v>
      </c>
      <c r="H74" s="3">
        <f t="shared" si="5"/>
      </c>
      <c r="I74" s="4">
        <v>28.3</v>
      </c>
      <c r="J74" s="4">
        <f>IFERROR((F75+G75)*I74,0)</f>
      </c>
      <c r="M74">
        <f t="shared" si="6"/>
      </c>
      <c r="N74">
        <f>IF(A74="","", "CM-" &amp; IFERROR(VLOOKUP(C74, Catalogos!$Z$4:$AA$20, 2, FALSE), "FOL") &amp; "-" &amp; WEEKNUM(A74,2) &amp; "-" &amp; TEXT(ROW(A70),"000"))</f>
      </c>
    </row>
    <row r="75" spans="1:14">
      <c r="A75" s="2">
        <v>46191</v>
      </c>
      <c r="B75" t="s">
        <v>171</v>
      </c>
      <c r="C75" t="s">
        <v>1</v>
      </c>
      <c r="D75" t="s">
        <v>221</v>
      </c>
      <c r="E75">
        <f>VLOOKUP(TablaMarimba[[#This Row],[Equipo]],Catalogos!$V$4:$W$64,2,FALSE)</f>
      </c>
      <c r="F75" s="3"/>
      <c r="G75" s="6">
        <v>30</v>
      </c>
      <c r="H75" s="3">
        <f t="shared" si="5"/>
      </c>
      <c r="I75" s="4">
        <v>28.3</v>
      </c>
      <c r="J75" s="4">
        <f>IFERROR((#REF!+#REF!)*I75,0)</f>
      </c>
      <c r="M75">
        <f t="shared" si="6"/>
      </c>
      <c r="N75">
        <f>IF(A75="","", "CM-" &amp; IFERROR(VLOOKUP(C75, Catalogos!$Z$4:$AA$20, 2, FALSE), "FOL") &amp; "-" &amp; WEEKNUM(A75,2) &amp; "-" &amp; TEXT(ROW(A71),"000"))</f>
      </c>
    </row>
    <row r="76" spans="1:14">
      <c r="A76" s="2">
        <v>46192</v>
      </c>
      <c r="B76" t="s">
        <v>171</v>
      </c>
      <c r="C76" t="s">
        <v>1</v>
      </c>
      <c r="D76" t="s">
        <v>368</v>
      </c>
      <c r="E76">
        <f>VLOOKUP(TablaMarimba[[#This Row],[Equipo]],Catalogos!$V$4:$W$64,2,FALSE)</f>
      </c>
      <c r="F76" s="3"/>
      <c r="G76" s="6">
        <v>120</v>
      </c>
      <c r="H76" s="3">
        <f t="shared" si="5"/>
      </c>
      <c r="I76" s="4">
        <v>28.3</v>
      </c>
      <c r="J76" s="4">
        <f t="shared" ref="J76:J102" si="7">IFERROR((F76+G76)*I76,0)</f>
      </c>
      <c r="M76">
        <f t="shared" si="6"/>
      </c>
      <c r="N76">
        <f>IF(A76="","", "CM-" &amp; IFERROR(VLOOKUP(C76, Catalogos!$Z$4:$AA$20, 2, FALSE), "FOL") &amp; "-" &amp; WEEKNUM(A76,2) &amp; "-" &amp; TEXT(ROW(A72),"000"))</f>
      </c>
    </row>
    <row r="77" spans="1:14">
      <c r="A77" s="2">
        <v>46192</v>
      </c>
      <c r="B77" t="s">
        <v>171</v>
      </c>
      <c r="C77" t="s">
        <v>1</v>
      </c>
      <c r="D77" t="s">
        <v>221</v>
      </c>
      <c r="E77">
        <f>VLOOKUP(TablaMarimba[[#This Row],[Equipo]],Catalogos!$V$4:$W$64,2,FALSE)</f>
      </c>
      <c r="F77" s="3"/>
      <c r="G77" s="6">
        <v>30</v>
      </c>
      <c r="H77" s="3">
        <f t="shared" si="5"/>
      </c>
      <c r="I77" s="4">
        <v>28.3</v>
      </c>
      <c r="J77" s="4">
        <f t="shared" si="7"/>
      </c>
      <c r="M77">
        <f t="shared" si="6"/>
      </c>
      <c r="N77">
        <f>IF(A77="","", "CM-" &amp; IFERROR(VLOOKUP(C77, Catalogos!$Z$4:$AA$20, 2, FALSE), "FOL") &amp; "-" &amp; WEEKNUM(A77,2) &amp; "-" &amp; TEXT(ROW(A73),"000"))</f>
      </c>
    </row>
    <row r="78" spans="1:14">
      <c r="A78" s="2">
        <v>46192</v>
      </c>
      <c r="B78" t="s">
        <v>171</v>
      </c>
      <c r="C78" t="s">
        <v>1</v>
      </c>
      <c r="D78" t="s">
        <v>224</v>
      </c>
      <c r="E78">
        <f>VLOOKUP(TablaMarimba[[#This Row],[Equipo]],Catalogos!$V$4:$W$64,2,FALSE)</f>
      </c>
      <c r="F78" s="3"/>
      <c r="G78" s="6">
        <v>84</v>
      </c>
      <c r="H78" s="3">
        <f t="shared" si="5"/>
      </c>
      <c r="I78" s="4">
        <v>28.3</v>
      </c>
      <c r="J78" s="4">
        <f t="shared" si="7"/>
      </c>
      <c r="M78">
        <f t="shared" si="6"/>
      </c>
      <c r="N78">
        <f>IF(A78="","", "CM-" &amp; IFERROR(VLOOKUP(C78, Catalogos!$Z$4:$AA$20, 2, FALSE), "FOL") &amp; "-" &amp; WEEKNUM(A78,2) &amp; "-" &amp; TEXT(ROW(A74),"000"))</f>
      </c>
    </row>
    <row r="79" spans="1:14">
      <c r="A79" s="2">
        <v>46192</v>
      </c>
      <c r="B79" t="s">
        <v>171</v>
      </c>
      <c r="C79" t="s">
        <v>1</v>
      </c>
      <c r="D79" t="s">
        <v>228</v>
      </c>
      <c r="E79">
        <f>VLOOKUP(TablaMarimba[[#This Row],[Equipo]],Catalogos!$V$4:$W$64,2,FALSE)</f>
      </c>
      <c r="F79" s="3"/>
      <c r="G79" s="6">
        <v>40</v>
      </c>
      <c r="H79" s="3">
        <f t="shared" si="5"/>
      </c>
      <c r="I79" s="4">
        <v>28.3</v>
      </c>
      <c r="J79" s="4">
        <f t="shared" si="7"/>
      </c>
      <c r="M79">
        <f t="shared" si="6"/>
      </c>
      <c r="N79">
        <f>IF(A79="","", "CM-" &amp; IFERROR(VLOOKUP(C79, Catalogos!$Z$4:$AA$20, 2, FALSE), "FOL") &amp; "-" &amp; WEEKNUM(A79,2) &amp; "-" &amp; TEXT(ROW(A75),"000"))</f>
      </c>
    </row>
    <row r="80" spans="1:14">
      <c r="A80" s="2">
        <v>46192</v>
      </c>
      <c r="B80" t="s">
        <v>171</v>
      </c>
      <c r="C80" t="s">
        <v>1</v>
      </c>
      <c r="D80" t="s">
        <v>216</v>
      </c>
      <c r="E80">
        <f>VLOOKUP(TablaMarimba[[#This Row],[Equipo]],Catalogos!$V$4:$W$64,2,FALSE)</f>
      </c>
      <c r="F80" s="3"/>
      <c r="G80" s="6">
        <v>30</v>
      </c>
      <c r="H80" s="3">
        <f t="shared" si="5"/>
      </c>
      <c r="I80" s="4">
        <v>28.3</v>
      </c>
      <c r="J80" s="4">
        <f t="shared" si="7"/>
      </c>
      <c r="M80">
        <f t="shared" si="6"/>
      </c>
      <c r="N80">
        <f>IF(A80="","", "CM-" &amp; IFERROR(VLOOKUP(C80, Catalogos!$Z$4:$AA$20, 2, FALSE), "FOL") &amp; "-" &amp; WEEKNUM(A80,2) &amp; "-" &amp; TEXT(ROW(A76),"000"))</f>
      </c>
    </row>
    <row r="81" spans="1:14">
      <c r="A81" s="2">
        <v>46191</v>
      </c>
      <c r="B81" t="s">
        <v>171</v>
      </c>
      <c r="C81" t="s">
        <v>1</v>
      </c>
      <c r="D81" t="s">
        <v>228</v>
      </c>
      <c r="E81">
        <f>VLOOKUP(TablaMarimba[[#This Row],[Equipo]],Catalogos!$V$4:$W$64,2,FALSE)</f>
      </c>
      <c r="F81" s="3"/>
      <c r="G81" s="6">
        <v>32</v>
      </c>
      <c r="H81" s="3">
        <f t="shared" si="5"/>
      </c>
      <c r="I81" s="4">
        <v>28.3</v>
      </c>
      <c r="J81" s="4">
        <f t="shared" si="7"/>
      </c>
      <c r="M81">
        <f t="shared" si="6"/>
      </c>
      <c r="N81">
        <f>IF(A81="","", "CM-" &amp; IFERROR(VLOOKUP(C81, Catalogos!$Z$4:$AA$20, 2, FALSE), "FOL") &amp; "-" &amp; WEEKNUM(A81,2) &amp; "-" &amp; TEXT(ROW(A77),"000"))</f>
      </c>
    </row>
    <row r="82" spans="1:14">
      <c r="A82" s="2"/>
      <c r="E82">
        <f>VLOOKUP(TablaMarimba[[#This Row],[Equipo]],Catalogos!$V$4:$W$64,2,FALSE)</f>
      </c>
      <c r="F82" s="3"/>
      <c r="G82" s="6"/>
      <c r="H82" s="3">
        <f t="shared" si="5"/>
      </c>
      <c r="I82" s="4">
        <v>28.3</v>
      </c>
      <c r="J82" s="4">
        <f t="shared" si="7"/>
      </c>
      <c r="M82">
        <f t="shared" si="6"/>
      </c>
      <c r="N82">
        <f>IF(A82="","", "CM-" &amp; IFERROR(VLOOKUP(C82, Catalogos!$Z$4:$AA$20, 2, FALSE), "FOL") &amp; "-" &amp; WEEKNUM(A82,2) &amp; "-" &amp; TEXT(ROW(A78),"000"))</f>
      </c>
    </row>
    <row r="83" spans="1:14">
      <c r="A83" s="2"/>
      <c r="E83">
        <f>VLOOKUP(TablaMarimba[[#This Row],[Equipo]],Catalogos!$V$4:$W$64,2,FALSE)</f>
      </c>
      <c r="F83" s="3"/>
      <c r="G83" s="6"/>
      <c r="H83" s="3">
        <f t="shared" si="5"/>
      </c>
      <c r="I83" s="4">
        <v>28.3</v>
      </c>
      <c r="J83" s="4">
        <f t="shared" si="7"/>
      </c>
      <c r="M83">
        <f t="shared" si="6"/>
      </c>
      <c r="N83">
        <f>IF(A83="","", "CM-" &amp; IFERROR(VLOOKUP(C83, Catalogos!$Z$4:$AA$20, 2, FALSE), "FOL") &amp; "-" &amp; WEEKNUM(A83,2) &amp; "-" &amp; TEXT(ROW(A79),"000"))</f>
      </c>
    </row>
    <row r="84" spans="1:14">
      <c r="A84" s="2"/>
      <c r="E84">
        <f>VLOOKUP(TablaMarimba[[#This Row],[Equipo]],Catalogos!$V$4:$W$64,2,FALSE)</f>
      </c>
      <c r="F84" s="3"/>
      <c r="G84" s="6"/>
      <c r="H84" s="3">
        <f t="shared" si="5"/>
      </c>
      <c r="I84" s="4">
        <v>28.3</v>
      </c>
      <c r="J84" s="4">
        <f t="shared" si="7"/>
      </c>
      <c r="M84">
        <f t="shared" si="6"/>
      </c>
      <c r="N84">
        <f>IF(A84="","", "CM-" &amp; IFERROR(VLOOKUP(C84, Catalogos!$Z$4:$AA$20, 2, FALSE), "FOL") &amp; "-" &amp; WEEKNUM(A84,2) &amp; "-" &amp; TEXT(ROW(A80),"000"))</f>
      </c>
    </row>
    <row r="85" spans="1:14">
      <c r="A85" s="2"/>
      <c r="E85">
        <f>VLOOKUP(TablaMarimba[[#This Row],[Equipo]],Catalogos!$V$4:$W$64,2,FALSE)</f>
      </c>
      <c r="F85" s="3"/>
      <c r="G85" s="6"/>
      <c r="H85" s="3">
        <f t="shared" si="5"/>
      </c>
      <c r="I85" s="4">
        <v>28.3</v>
      </c>
      <c r="J85" s="4">
        <f t="shared" si="7"/>
      </c>
      <c r="M85">
        <f t="shared" si="6"/>
      </c>
      <c r="N85">
        <f>IF(A85="","", "CM-" &amp; IFERROR(VLOOKUP(C85, Catalogos!$Z$4:$AA$20, 2, FALSE), "FOL") &amp; "-" &amp; WEEKNUM(A85,2) &amp; "-" &amp; TEXT(ROW(A81),"000"))</f>
      </c>
    </row>
    <row r="86" spans="1:14">
      <c r="A86" s="2"/>
      <c r="E86">
        <f>VLOOKUP(TablaMarimba[[#This Row],[Equipo]],Catalogos!$V$4:$W$64,2,FALSE)</f>
      </c>
      <c r="F86" s="3"/>
      <c r="G86" s="6"/>
      <c r="H86" s="3">
        <f t="shared" si="5"/>
      </c>
      <c r="I86" s="4">
        <v>28.3</v>
      </c>
      <c r="J86" s="4">
        <f t="shared" si="7"/>
      </c>
      <c r="M86">
        <f t="shared" si="6"/>
      </c>
      <c r="N86">
        <f>IF(A86="","", "CM-" &amp; IFERROR(VLOOKUP(C86, Catalogos!$Z$4:$AA$20, 2, FALSE), "FOL") &amp; "-" &amp; WEEKNUM(A86,2) &amp; "-" &amp; TEXT(ROW(A82),"000"))</f>
      </c>
    </row>
    <row r="87" spans="1:14">
      <c r="A87" s="2"/>
      <c r="E87">
        <f>VLOOKUP(TablaMarimba[[#This Row],[Equipo]],Catalogos!$V$4:$W$64,2,FALSE)</f>
      </c>
      <c r="F87" s="3"/>
      <c r="G87" s="6"/>
      <c r="H87" s="3">
        <f t="shared" si="5"/>
      </c>
      <c r="I87" s="4">
        <v>28.3</v>
      </c>
      <c r="J87" s="4">
        <f t="shared" si="7"/>
      </c>
      <c r="M87">
        <f t="shared" si="6"/>
      </c>
      <c r="N87">
        <f>IF(A87="","", "CM-" &amp; IFERROR(VLOOKUP(C87, Catalogos!$Z$4:$AA$20, 2, FALSE), "FOL") &amp; "-" &amp; WEEKNUM(A87,2) &amp; "-" &amp; TEXT(ROW(A83),"000"))</f>
      </c>
    </row>
    <row r="88" spans="1:14">
      <c r="A88" s="2"/>
      <c r="E88">
        <f>VLOOKUP(TablaMarimba[[#This Row],[Equipo]],Catalogos!$V$4:$W$64,2,FALSE)</f>
      </c>
      <c r="F88" s="3"/>
      <c r="G88" s="6"/>
      <c r="H88" s="3">
        <f t="shared" si="5"/>
      </c>
      <c r="I88" s="4">
        <v>28.3</v>
      </c>
      <c r="J88" s="4">
        <f t="shared" si="7"/>
      </c>
      <c r="M88">
        <f t="shared" si="6"/>
      </c>
      <c r="N88">
        <f>IF(A88="","", "CM-" &amp; IFERROR(VLOOKUP(C88, Catalogos!$Z$4:$AA$20, 2, FALSE), "FOL") &amp; "-" &amp; WEEKNUM(A88,2) &amp; "-" &amp; TEXT(ROW(A84),"000"))</f>
      </c>
    </row>
    <row r="89" spans="1:14">
      <c r="A89" s="2"/>
      <c r="E89">
        <f>VLOOKUP(TablaMarimba[[#This Row],[Equipo]],Catalogos!$V$4:$W$64,2,FALSE)</f>
      </c>
      <c r="F89" s="3"/>
      <c r="G89" s="6"/>
      <c r="H89" s="3">
        <f t="shared" si="5"/>
      </c>
      <c r="I89" s="4">
        <v>28.3</v>
      </c>
      <c r="J89" s="4">
        <f t="shared" si="7"/>
      </c>
      <c r="M89">
        <f t="shared" si="6"/>
      </c>
      <c r="N89">
        <f>IF(A89="","", "CM-" &amp; IFERROR(VLOOKUP(C89, Catalogos!$Z$4:$AA$20, 2, FALSE), "FOL") &amp; "-" &amp; WEEKNUM(A89,2) &amp; "-" &amp; TEXT(ROW(A85),"000"))</f>
      </c>
    </row>
    <row r="90" spans="1:14">
      <c r="A90" s="2"/>
      <c r="E90">
        <f>VLOOKUP(TablaMarimba[[#This Row],[Equipo]],Catalogos!$V$4:$W$64,2,FALSE)</f>
      </c>
      <c r="F90" s="3"/>
      <c r="G90" s="6"/>
      <c r="H90" s="3">
        <f t="shared" si="5"/>
      </c>
      <c r="I90" s="4">
        <v>28.3</v>
      </c>
      <c r="J90" s="4">
        <f t="shared" si="7"/>
      </c>
      <c r="M90">
        <f t="shared" si="6"/>
      </c>
      <c r="N90">
        <f>IF(A90="","", "CM-" &amp; IFERROR(VLOOKUP(C90, Catalogos!$Z$4:$AA$20, 2, FALSE), "FOL") &amp; "-" &amp; WEEKNUM(A90,2) &amp; "-" &amp; TEXT(ROW(A86),"000"))</f>
      </c>
    </row>
    <row r="91" spans="1:14">
      <c r="A91" s="2"/>
      <c r="E91">
        <f>VLOOKUP(TablaMarimba[[#This Row],[Equipo]],Catalogos!$V$4:$W$64,2,FALSE)</f>
      </c>
      <c r="F91" s="3"/>
      <c r="G91" s="6"/>
      <c r="H91" s="3">
        <f t="shared" si="5"/>
      </c>
      <c r="I91" s="4">
        <v>28.3</v>
      </c>
      <c r="J91" s="4">
        <f t="shared" si="7"/>
      </c>
      <c r="M91">
        <f t="shared" si="6"/>
      </c>
      <c r="N91">
        <f>IF(A91="","", "CM-" &amp; IFERROR(VLOOKUP(C91, Catalogos!$Z$4:$AA$20, 2, FALSE), "FOL") &amp; "-" &amp; WEEKNUM(A91,2) &amp; "-" &amp; TEXT(ROW(A87),"000"))</f>
      </c>
    </row>
    <row r="92" spans="1:14">
      <c r="A92" s="2"/>
      <c r="E92">
        <f>VLOOKUP(TablaMarimba[[#This Row],[Equipo]],Catalogos!$V$4:$W$64,2,FALSE)</f>
      </c>
      <c r="F92" s="3"/>
      <c r="G92" s="6"/>
      <c r="H92" s="3">
        <f t="shared" si="5"/>
      </c>
      <c r="I92" s="4">
        <v>28.3</v>
      </c>
      <c r="J92" s="4">
        <f t="shared" si="7"/>
      </c>
      <c r="M92">
        <f t="shared" si="6"/>
      </c>
      <c r="N92">
        <f>IF(A92="","", "CM-" &amp; IFERROR(VLOOKUP(C92, Catalogos!$Z$4:$AA$20, 2, FALSE), "FOL") &amp; "-" &amp; WEEKNUM(A92,2) &amp; "-" &amp; TEXT(ROW(A88),"000"))</f>
      </c>
    </row>
    <row r="93" spans="1:14">
      <c r="A93" s="2"/>
      <c r="E93">
        <f>VLOOKUP(TablaMarimba[[#This Row],[Equipo]],Catalogos!$V$4:$W$64,2,FALSE)</f>
      </c>
      <c r="F93" s="3"/>
      <c r="G93" s="6"/>
      <c r="H93" s="3">
        <f t="shared" si="5"/>
      </c>
      <c r="I93" s="4">
        <v>28.3</v>
      </c>
      <c r="J93" s="4">
        <f t="shared" si="7"/>
      </c>
      <c r="M93">
        <f t="shared" si="6"/>
      </c>
      <c r="N93">
        <f>IF(A93="","", "CM-" &amp; IFERROR(VLOOKUP(C93, Catalogos!$Z$4:$AA$20, 2, FALSE), "FOL") &amp; "-" &amp; WEEKNUM(A93,2) &amp; "-" &amp; TEXT(ROW(A89),"000"))</f>
      </c>
    </row>
    <row r="94" spans="1:14">
      <c r="A94" s="2"/>
      <c r="E94">
        <f>VLOOKUP(TablaMarimba[[#This Row],[Equipo]],Catalogos!$V$4:$W$64,2,FALSE)</f>
      </c>
      <c r="F94" s="3"/>
      <c r="G94" s="6"/>
      <c r="H94" s="3">
        <f t="shared" si="5"/>
      </c>
      <c r="I94" s="4">
        <v>28.3</v>
      </c>
      <c r="J94" s="4">
        <f t="shared" si="7"/>
      </c>
      <c r="M94">
        <f t="shared" si="6"/>
      </c>
      <c r="N94">
        <f>IF(A94="","", "CM-" &amp; IFERROR(VLOOKUP(C94, Catalogos!$Z$4:$AA$20, 2, FALSE), "FOL") &amp; "-" &amp; WEEKNUM(A94,2) &amp; "-" &amp; TEXT(ROW(A90),"000"))</f>
      </c>
    </row>
    <row r="95" spans="1:14">
      <c r="A95" s="2"/>
      <c r="E95">
        <f>VLOOKUP(TablaMarimba[[#This Row],[Equipo]],Catalogos!$V$4:$W$64,2,FALSE)</f>
      </c>
      <c r="F95" s="3"/>
      <c r="G95" s="6"/>
      <c r="H95" s="3">
        <f t="shared" si="5"/>
      </c>
      <c r="I95" s="4">
        <v>28.3</v>
      </c>
      <c r="J95" s="4">
        <f t="shared" si="7"/>
      </c>
      <c r="M95">
        <f t="shared" si="6"/>
      </c>
      <c r="N95">
        <f>IF(A95="","", "CM-" &amp; IFERROR(VLOOKUP(C95, Catalogos!$Z$4:$AA$20, 2, FALSE), "FOL") &amp; "-" &amp; WEEKNUM(A95,2) &amp; "-" &amp; TEXT(ROW(A91),"000"))</f>
      </c>
    </row>
    <row r="96" spans="1:14">
      <c r="A96" s="2"/>
      <c r="E96">
        <f>VLOOKUP(TablaMarimba[[#This Row],[Equipo]],Catalogos!$V$4:$W$64,2,FALSE)</f>
      </c>
      <c r="F96" s="3"/>
      <c r="G96" s="6"/>
      <c r="H96" s="3">
        <f t="shared" si="5"/>
      </c>
      <c r="I96" s="4">
        <v>28.3</v>
      </c>
      <c r="J96" s="4">
        <f t="shared" si="7"/>
      </c>
      <c r="M96">
        <f t="shared" si="6"/>
      </c>
      <c r="N96">
        <f>IF(A96="","", "CM-" &amp; IFERROR(VLOOKUP(C96, Catalogos!$Z$4:$AA$20, 2, FALSE), "FOL") &amp; "-" &amp; WEEKNUM(A96,2) &amp; "-" &amp; TEXT(ROW(A92),"000"))</f>
      </c>
    </row>
    <row r="97" spans="1:14">
      <c r="A97" s="2"/>
      <c r="E97">
        <f>VLOOKUP(TablaMarimba[[#This Row],[Equipo]],Catalogos!$V$4:$W$64,2,FALSE)</f>
      </c>
      <c r="F97" s="3"/>
      <c r="G97" s="6"/>
      <c r="H97" s="3">
        <f t="shared" si="5"/>
      </c>
      <c r="I97" s="4">
        <v>28.3</v>
      </c>
      <c r="J97" s="4">
        <f t="shared" si="7"/>
      </c>
      <c r="M97">
        <f t="shared" si="6"/>
      </c>
      <c r="N97">
        <f>IF(A97="","", "CM-" &amp; IFERROR(VLOOKUP(C97, Catalogos!$Z$4:$AA$20, 2, FALSE), "FOL") &amp; "-" &amp; WEEKNUM(A97,2) &amp; "-" &amp; TEXT(ROW(A93),"000"))</f>
      </c>
    </row>
    <row r="98" spans="1:14">
      <c r="A98" s="2"/>
      <c r="E98">
        <f>VLOOKUP(TablaMarimba[[#This Row],[Equipo]],Catalogos!$V$4:$W$64,2,FALSE)</f>
      </c>
      <c r="F98" s="3"/>
      <c r="G98" s="6"/>
      <c r="H98" s="3">
        <f t="shared" si="5"/>
      </c>
      <c r="I98" s="4">
        <v>28.3</v>
      </c>
      <c r="J98" s="4">
        <f t="shared" si="7"/>
      </c>
      <c r="M98">
        <f t="shared" si="6"/>
      </c>
      <c r="N98">
        <f>IF(A98="","", "CM-" &amp; IFERROR(VLOOKUP(C98, Catalogos!$Z$4:$AA$20, 2, FALSE), "FOL") &amp; "-" &amp; WEEKNUM(A98,2) &amp; "-" &amp; TEXT(ROW(A94),"000"))</f>
      </c>
    </row>
    <row r="99" spans="1:14">
      <c r="A99" s="2"/>
      <c r="E99">
        <f>VLOOKUP(TablaMarimba[[#This Row],[Equipo]],Catalogos!$V$4:$W$64,2,FALSE)</f>
      </c>
      <c r="F99" s="3"/>
      <c r="G99" s="6"/>
      <c r="H99" s="3">
        <f t="shared" si="5"/>
      </c>
      <c r="I99" s="4">
        <v>28.3</v>
      </c>
      <c r="J99" s="4">
        <f t="shared" si="7"/>
      </c>
      <c r="M99">
        <f t="shared" si="6"/>
      </c>
      <c r="N99">
        <f>IF(A99="","", "CM-" &amp; IFERROR(VLOOKUP(C99, Catalogos!$Z$4:$AA$20, 2, FALSE), "FOL") &amp; "-" &amp; WEEKNUM(A99,2) &amp; "-" &amp; TEXT(ROW(A95),"000"))</f>
      </c>
    </row>
    <row r="100" spans="1:14">
      <c r="A100" s="2"/>
      <c r="E100">
        <f>VLOOKUP(TablaMarimba[[#This Row],[Equipo]],Catalogos!$V$4:$W$64,2,FALSE)</f>
      </c>
      <c r="F100" s="3"/>
      <c r="G100" s="6"/>
      <c r="H100" s="3">
        <f t="shared" si="5"/>
      </c>
      <c r="I100" s="4">
        <v>28.3</v>
      </c>
      <c r="J100" s="4">
        <f t="shared" si="7"/>
      </c>
      <c r="M100">
        <f t="shared" si="6"/>
      </c>
      <c r="N100">
        <f>IF(A100="","", "CM-" &amp; IFERROR(VLOOKUP(C100, Catalogos!$Z$4:$AA$20, 2, FALSE), "FOL") &amp; "-" &amp; WEEKNUM(A100,2) &amp; "-" &amp; TEXT(ROW(A96),"000"))</f>
      </c>
    </row>
    <row r="101" spans="1:14">
      <c r="A101" s="2"/>
      <c r="E101">
        <f>VLOOKUP(TablaMarimba[[#This Row],[Equipo]],Catalogos!$V$4:$W$64,2,FALSE)</f>
      </c>
      <c r="F101" s="3"/>
      <c r="G101" s="6"/>
      <c r="H101" s="3">
        <f t="shared" si="5"/>
      </c>
      <c r="I101" s="4">
        <v>28.3</v>
      </c>
      <c r="J101" s="4">
        <f t="shared" si="7"/>
      </c>
      <c r="M101">
        <f t="shared" si="6"/>
      </c>
      <c r="N101">
        <f>IF(A101="","", "CM-" &amp; IFERROR(VLOOKUP(C101, Catalogos!$Z$4:$AA$20, 2, FALSE), "FOL") &amp; "-" &amp; WEEKNUM(A101,2) &amp; "-" &amp; TEXT(ROW(A97),"000"))</f>
      </c>
    </row>
    <row r="102" spans="1:14">
      <c r="A102" s="2"/>
      <c r="E102">
        <f>VLOOKUP(TablaMarimba[[#This Row],[Equipo]],Catalogos!$V$4:$W$64,2,FALSE)</f>
      </c>
      <c r="F102" s="3"/>
      <c r="G102" s="6"/>
      <c r="H102" s="3">
        <f t="shared" si="5"/>
      </c>
      <c r="I102" s="4">
        <v>28.3</v>
      </c>
      <c r="J102" s="4">
        <f t="shared" si="7"/>
      </c>
      <c r="M102">
        <f t="shared" si="6"/>
      </c>
      <c r="N102">
        <f>IF(A102="","", "CM-" &amp; IFERROR(VLOOKUP(C102, Catalogos!$Z$4:$AA$20, 2, FALSE), "FOL") &amp; "-" &amp; WEEKNUM(A102,2) &amp; "-" &amp; TEXT(ROW(A98),"000"))</f>
      </c>
    </row>
    <row r="103" spans="1:14">
      <c r="A103" s="2"/>
      <c r="E103">
        <f>VLOOKUP(TablaMarimba[[#This Row],[Equipo]],Catalogos!$V$4:$W$64,2,FALSE)</f>
      </c>
      <c r="F103" s="3"/>
      <c r="G103" s="6"/>
      <c r="H103" s="3">
        <f t="shared" si="5"/>
      </c>
      <c r="I103" s="4">
        <v>28.3</v>
      </c>
      <c r="J103" s="4">
        <f t="shared" ref="J103:J134" si="8">IFERROR((F103+G103)*I103,0)</f>
      </c>
      <c r="M103">
        <f t="shared" si="6"/>
      </c>
      <c r="N103">
        <f>IF(A103="","", "CM-" &amp; IFERROR(VLOOKUP(C103, Catalogos!$Z$4:$AA$20, 2, FALSE), "FOL") &amp; "-" &amp; WEEKNUM(A103,2) &amp; "-" &amp; TEXT(ROW(A99),"000"))</f>
      </c>
    </row>
    <row r="104" spans="1:14">
      <c r="A104" s="2"/>
      <c r="E104">
        <f>VLOOKUP(TablaMarimba[[#This Row],[Equipo]],Catalogos!$V$4:$W$64,2,FALSE)</f>
      </c>
      <c r="F104" s="3"/>
      <c r="G104" s="6"/>
      <c r="H104" s="3">
        <f t="shared" si="5"/>
      </c>
      <c r="I104" s="4">
        <v>28.3</v>
      </c>
      <c r="J104" s="4">
        <f t="shared" si="8"/>
      </c>
      <c r="M104">
        <f t="shared" si="6"/>
      </c>
      <c r="N104">
        <f>IF(A104="","", "CM-" &amp; IFERROR(VLOOKUP(C104, Catalogos!$Z$4:$AA$20, 2, FALSE), "FOL") &amp; "-" &amp; WEEKNUM(A104,2) &amp; "-" &amp; TEXT(ROW(A100),"000"))</f>
      </c>
    </row>
    <row r="105" spans="1:14">
      <c r="A105" s="2"/>
      <c r="E105">
        <f>VLOOKUP(TablaMarimba[[#This Row],[Equipo]],Catalogos!$V$4:$W$64,2,FALSE)</f>
      </c>
      <c r="F105" s="3"/>
      <c r="G105" s="6"/>
      <c r="H105" s="3">
        <f t="shared" si="5"/>
      </c>
      <c r="I105" s="4">
        <v>28.3</v>
      </c>
      <c r="J105" s="4">
        <f t="shared" si="8"/>
      </c>
      <c r="M105">
        <f t="shared" si="6"/>
      </c>
      <c r="N105">
        <f>IF(A105="","", "CM-" &amp; IFERROR(VLOOKUP(C105, Catalogos!$Z$4:$AA$20, 2, FALSE), "FOL") &amp; "-" &amp; WEEKNUM(A105,2) &amp; "-" &amp; TEXT(ROW(A101),"000"))</f>
      </c>
    </row>
    <row r="106" spans="1:14">
      <c r="A106" s="2"/>
      <c r="E106">
        <f>VLOOKUP(TablaMarimba[[#This Row],[Equipo]],Catalogos!$V$4:$W$64,2,FALSE)</f>
      </c>
      <c r="F106" s="3"/>
      <c r="G106" s="6"/>
      <c r="H106" s="3">
        <f t="shared" si="5"/>
      </c>
      <c r="I106" s="4">
        <v>28.3</v>
      </c>
      <c r="J106" s="4">
        <f t="shared" si="8"/>
      </c>
      <c r="M106">
        <f t="shared" si="6"/>
      </c>
      <c r="N106">
        <f>IF(A106="","", "CM-" &amp; IFERROR(VLOOKUP(C106, Catalogos!$Z$4:$AA$20, 2, FALSE), "FOL") &amp; "-" &amp; WEEKNUM(A106,2) &amp; "-" &amp; TEXT(ROW(A102),"000"))</f>
      </c>
    </row>
    <row r="107" spans="1:14">
      <c r="A107" s="2"/>
      <c r="E107">
        <f>VLOOKUP(TablaMarimba[[#This Row],[Equipo]],Catalogos!$V$4:$W$64,2,FALSE)</f>
      </c>
      <c r="F107" s="3"/>
      <c r="G107" s="6"/>
      <c r="H107" s="3">
        <f t="shared" si="5"/>
      </c>
      <c r="I107" s="4">
        <v>28.3</v>
      </c>
      <c r="J107" s="4">
        <f t="shared" si="8"/>
      </c>
      <c r="M107">
        <f t="shared" si="6"/>
      </c>
      <c r="N107">
        <f>IF(A107="","", "CM-" &amp; IFERROR(VLOOKUP(C107, Catalogos!$Z$4:$AA$20, 2, FALSE), "FOL") &amp; "-" &amp; WEEKNUM(A107,2) &amp; "-" &amp; TEXT(ROW(A103),"000"))</f>
      </c>
    </row>
    <row r="108" spans="1:14">
      <c r="A108" s="2"/>
      <c r="E108">
        <f>VLOOKUP(TablaMarimba[[#This Row],[Equipo]],Catalogos!$V$4:$W$64,2,FALSE)</f>
      </c>
      <c r="F108" s="3"/>
      <c r="G108" s="6"/>
      <c r="H108" s="3">
        <f t="shared" si="5"/>
      </c>
      <c r="I108" s="4">
        <v>28.3</v>
      </c>
      <c r="J108" s="4">
        <f t="shared" si="8"/>
      </c>
      <c r="M108">
        <f t="shared" si="6"/>
      </c>
      <c r="N108">
        <f>IF(A108="","", "CM-" &amp; IFERROR(VLOOKUP(C108, Catalogos!$Z$4:$AA$20, 2, FALSE), "FOL") &amp; "-" &amp; WEEKNUM(A108,2) &amp; "-" &amp; TEXT(ROW(A104),"000"))</f>
      </c>
    </row>
    <row r="109" spans="1:14">
      <c r="A109" s="2"/>
      <c r="E109">
        <f>VLOOKUP(TablaMarimba[[#This Row],[Equipo]],Catalogos!$V$4:$W$64,2,FALSE)</f>
      </c>
      <c r="F109" s="3"/>
      <c r="G109" s="6"/>
      <c r="H109" s="3">
        <f t="shared" si="5"/>
      </c>
      <c r="I109" s="4">
        <v>28.3</v>
      </c>
      <c r="J109" s="4">
        <f t="shared" si="8"/>
      </c>
      <c r="M109">
        <f t="shared" si="6"/>
      </c>
      <c r="N109">
        <f>IF(A109="","", "CM-" &amp; IFERROR(VLOOKUP(C109, Catalogos!$Z$4:$AA$20, 2, FALSE), "FOL") &amp; "-" &amp; WEEKNUM(A109,2) &amp; "-" &amp; TEXT(ROW(A105),"000"))</f>
      </c>
    </row>
    <row r="110" spans="1:14">
      <c r="A110" s="2"/>
      <c r="E110">
        <f>VLOOKUP(TablaMarimba[[#This Row],[Equipo]],Catalogos!$V$4:$W$64,2,FALSE)</f>
      </c>
      <c r="F110" s="3"/>
      <c r="G110" s="6"/>
      <c r="H110" s="3">
        <f t="shared" si="5"/>
      </c>
      <c r="I110" s="4">
        <v>28.3</v>
      </c>
      <c r="J110" s="4">
        <f t="shared" si="8"/>
      </c>
      <c r="M110">
        <f t="shared" si="6"/>
      </c>
      <c r="N110">
        <f>IF(A110="","", "CM-" &amp; IFERROR(VLOOKUP(C110, Catalogos!$Z$4:$AA$20, 2, FALSE), "FOL") &amp; "-" &amp; WEEKNUM(A110,2) &amp; "-" &amp; TEXT(ROW(A106),"000"))</f>
      </c>
    </row>
    <row r="111" spans="1:14">
      <c r="A111" s="2"/>
      <c r="E111">
        <f>VLOOKUP(TablaMarimba[[#This Row],[Equipo]],Catalogos!$V$4:$W$64,2,FALSE)</f>
      </c>
      <c r="F111" s="3"/>
      <c r="G111" s="6"/>
      <c r="H111" s="3">
        <f t="shared" si="5"/>
      </c>
      <c r="I111" s="4">
        <v>28.3</v>
      </c>
      <c r="J111" s="4">
        <f t="shared" si="8"/>
      </c>
      <c r="M111">
        <f t="shared" si="6"/>
      </c>
      <c r="N111">
        <f>IF(A111="","", "CM-" &amp; IFERROR(VLOOKUP(C111, Catalogos!$Z$4:$AA$20, 2, FALSE), "FOL") &amp; "-" &amp; WEEKNUM(A111,2) &amp; "-" &amp; TEXT(ROW(A107),"000"))</f>
      </c>
    </row>
    <row r="112" spans="1:14">
      <c r="A112" s="2"/>
      <c r="E112">
        <f>VLOOKUP(TablaMarimba[[#This Row],[Equipo]],Catalogos!$V$4:$W$64,2,FALSE)</f>
      </c>
      <c r="F112" s="3"/>
      <c r="G112" s="6"/>
      <c r="H112" s="3">
        <f t="shared" si="5"/>
      </c>
      <c r="I112" s="4">
        <v>28.3</v>
      </c>
      <c r="J112" s="4">
        <f t="shared" si="8"/>
      </c>
      <c r="M112">
        <f t="shared" si="6"/>
      </c>
      <c r="N112">
        <f>IF(A112="","", "CM-" &amp; IFERROR(VLOOKUP(C112, Catalogos!$Z$4:$AA$20, 2, FALSE), "FOL") &amp; "-" &amp; WEEKNUM(A112,2) &amp; "-" &amp; TEXT(ROW(A108),"000"))</f>
      </c>
    </row>
    <row r="113" spans="1:14">
      <c r="A113" s="2"/>
      <c r="E113">
        <f>VLOOKUP(TablaMarimba[[#This Row],[Equipo]],Catalogos!$V$4:$W$64,2,FALSE)</f>
      </c>
      <c r="F113" s="3"/>
      <c r="G113" s="6"/>
      <c r="H113" s="3">
        <f t="shared" si="5"/>
      </c>
      <c r="I113" s="4">
        <v>28.3</v>
      </c>
      <c r="J113" s="4">
        <f t="shared" si="8"/>
      </c>
      <c r="M113">
        <f t="shared" si="6"/>
      </c>
      <c r="N113">
        <f>IF(A113="","", "CM-" &amp; IFERROR(VLOOKUP(C113, Catalogos!$Z$4:$AA$20, 2, FALSE), "FOL") &amp; "-" &amp; WEEKNUM(A113,2) &amp; "-" &amp; TEXT(ROW(A109),"000"))</f>
      </c>
    </row>
    <row r="114" spans="1:14">
      <c r="A114" s="2"/>
      <c r="E114">
        <f>VLOOKUP(TablaMarimba[[#This Row],[Equipo]],Catalogos!$V$4:$W$64,2,FALSE)</f>
      </c>
      <c r="F114" s="3"/>
      <c r="G114" s="6"/>
      <c r="H114" s="3">
        <f t="shared" si="5"/>
      </c>
      <c r="I114" s="4">
        <v>28.3</v>
      </c>
      <c r="J114" s="4">
        <f t="shared" si="8"/>
      </c>
      <c r="M114">
        <f t="shared" si="6"/>
      </c>
      <c r="N114">
        <f>IF(A114="","", "CM-" &amp; IFERROR(VLOOKUP(C114, Catalogos!$Z$4:$AA$20, 2, FALSE), "FOL") &amp; "-" &amp; WEEKNUM(A114,2) &amp; "-" &amp; TEXT(ROW(A110),"000"))</f>
      </c>
    </row>
    <row r="115" spans="1:14">
      <c r="A115" s="2"/>
      <c r="E115">
        <f>VLOOKUP(TablaMarimba[[#This Row],[Equipo]],Catalogos!$V$4:$W$64,2,FALSE)</f>
      </c>
      <c r="F115" s="3"/>
      <c r="G115" s="6"/>
      <c r="H115" s="3">
        <f t="shared" si="5"/>
      </c>
      <c r="I115" s="4">
        <v>28.3</v>
      </c>
      <c r="J115" s="4">
        <f t="shared" si="8"/>
      </c>
      <c r="M115">
        <f t="shared" si="6"/>
      </c>
      <c r="N115">
        <f>IF(A115="","", "CM-" &amp; IFERROR(VLOOKUP(C115, Catalogos!$Z$4:$AA$20, 2, FALSE), "FOL") &amp; "-" &amp; WEEKNUM(A115,2) &amp; "-" &amp; TEXT(ROW(A111),"000"))</f>
      </c>
    </row>
    <row r="116" spans="1:14">
      <c r="A116" s="2"/>
      <c r="E116">
        <f>VLOOKUP(TablaMarimba[[#This Row],[Equipo]],Catalogos!$V$4:$W$64,2,FALSE)</f>
      </c>
      <c r="F116" s="3"/>
      <c r="G116" s="6"/>
      <c r="H116" s="3">
        <f t="shared" si="5"/>
      </c>
      <c r="I116" s="4">
        <v>28.3</v>
      </c>
      <c r="J116" s="4">
        <f t="shared" si="8"/>
      </c>
      <c r="M116">
        <f t="shared" si="6"/>
      </c>
      <c r="N116">
        <f>IF(A116="","", "CM-" &amp; IFERROR(VLOOKUP(C116, Catalogos!$Z$4:$AA$20, 2, FALSE), "FOL") &amp; "-" &amp; WEEKNUM(A116,2) &amp; "-" &amp; TEXT(ROW(A112),"000"))</f>
      </c>
    </row>
    <row r="117" spans="1:14">
      <c r="A117" s="2"/>
      <c r="E117">
        <f>VLOOKUP(TablaMarimba[[#This Row],[Equipo]],Catalogos!$V$4:$W$64,2,FALSE)</f>
      </c>
      <c r="F117" s="3"/>
      <c r="G117" s="6"/>
      <c r="H117" s="3">
        <f t="shared" si="5"/>
      </c>
      <c r="I117" s="4">
        <v>28.3</v>
      </c>
      <c r="J117" s="4">
        <f t="shared" si="8"/>
      </c>
      <c r="M117">
        <f t="shared" si="6"/>
      </c>
      <c r="N117">
        <f>IF(A117="","", "CM-" &amp; IFERROR(VLOOKUP(C117, Catalogos!$Z$4:$AA$20, 2, FALSE), "FOL") &amp; "-" &amp; WEEKNUM(A117,2) &amp; "-" &amp; TEXT(ROW(A113),"000"))</f>
      </c>
    </row>
    <row r="118" spans="1:14">
      <c r="A118" s="2"/>
      <c r="E118">
        <f>VLOOKUP(TablaMarimba[[#This Row],[Equipo]],Catalogos!$V$4:$W$64,2,FALSE)</f>
      </c>
      <c r="F118" s="3"/>
      <c r="G118" s="6"/>
      <c r="H118" s="3">
        <f t="shared" si="5"/>
      </c>
      <c r="I118" s="4">
        <v>28.3</v>
      </c>
      <c r="J118" s="4">
        <f t="shared" si="8"/>
      </c>
      <c r="M118">
        <f t="shared" si="6"/>
      </c>
      <c r="N118">
        <f>IF(A118="","", "CM-" &amp; IFERROR(VLOOKUP(C118, Catalogos!$Z$4:$AA$20, 2, FALSE), "FOL") &amp; "-" &amp; WEEKNUM(A118,2) &amp; "-" &amp; TEXT(ROW(A114),"000"))</f>
      </c>
    </row>
    <row r="119" spans="1:14">
      <c r="A119" s="2"/>
      <c r="E119">
        <f>VLOOKUP(TablaMarimba[[#This Row],[Equipo]],Catalogos!$V$4:$W$64,2,FALSE)</f>
      </c>
      <c r="F119" s="3"/>
      <c r="G119" s="6"/>
      <c r="H119" s="3">
        <f t="shared" si="5"/>
      </c>
      <c r="I119" s="4">
        <v>28.3</v>
      </c>
      <c r="J119" s="4">
        <f t="shared" si="8"/>
      </c>
      <c r="M119">
        <f t="shared" si="6"/>
      </c>
      <c r="N119">
        <f>IF(A119="","", "CM-" &amp; IFERROR(VLOOKUP(C119, Catalogos!$Z$4:$AA$20, 2, FALSE), "FOL") &amp; "-" &amp; WEEKNUM(A119,2) &amp; "-" &amp; TEXT(ROW(A115),"000"))</f>
      </c>
    </row>
    <row r="120" spans="1:14">
      <c r="A120" s="2"/>
      <c r="E120">
        <f>VLOOKUP(TablaMarimba[[#This Row],[Equipo]],Catalogos!$V$4:$W$64,2,FALSE)</f>
      </c>
      <c r="F120" s="3"/>
      <c r="G120" s="6"/>
      <c r="H120" s="3">
        <f t="shared" si="5"/>
      </c>
      <c r="I120" s="4">
        <v>28.3</v>
      </c>
      <c r="J120" s="4">
        <f t="shared" si="8"/>
      </c>
      <c r="M120">
        <f t="shared" si="6"/>
      </c>
      <c r="N120">
        <f>IF(A120="","", "CM-" &amp; IFERROR(VLOOKUP(C120, Catalogos!$Z$4:$AA$20, 2, FALSE), "FOL") &amp; "-" &amp; WEEKNUM(A120,2) &amp; "-" &amp; TEXT(ROW(A116),"000"))</f>
      </c>
    </row>
    <row r="121" spans="1:14">
      <c r="A121" s="2"/>
      <c r="E121">
        <f>VLOOKUP(TablaMarimba[[#This Row],[Equipo]],Catalogos!$V$4:$W$64,2,FALSE)</f>
      </c>
      <c r="F121" s="3"/>
      <c r="G121" s="6"/>
      <c r="H121" s="3">
        <f t="shared" si="5"/>
      </c>
      <c r="I121" s="4">
        <v>28.3</v>
      </c>
      <c r="J121" s="4">
        <f t="shared" si="8"/>
      </c>
      <c r="M121">
        <f t="shared" si="6"/>
      </c>
      <c r="N121">
        <f>IF(A121="","", "CM-" &amp; IFERROR(VLOOKUP(C121, Catalogos!$Z$4:$AA$20, 2, FALSE), "FOL") &amp; "-" &amp; WEEKNUM(A121,2) &amp; "-" &amp; TEXT(ROW(A117),"000"))</f>
      </c>
    </row>
    <row r="122" spans="1:14">
      <c r="A122" s="2"/>
      <c r="E122">
        <f>VLOOKUP(TablaMarimba[[#This Row],[Equipo]],Catalogos!$V$4:$W$64,2,FALSE)</f>
      </c>
      <c r="F122" s="3"/>
      <c r="G122" s="6"/>
      <c r="H122" s="3">
        <f t="shared" si="5"/>
      </c>
      <c r="I122" s="4">
        <v>28.3</v>
      </c>
      <c r="J122" s="4">
        <f t="shared" si="8"/>
      </c>
      <c r="M122">
        <f t="shared" si="6"/>
      </c>
      <c r="N122">
        <f>IF(A122="","", "CM-" &amp; IFERROR(VLOOKUP(C122, Catalogos!$Z$4:$AA$20, 2, FALSE), "FOL") &amp; "-" &amp; WEEKNUM(A122,2) &amp; "-" &amp; TEXT(ROW(A118),"000"))</f>
      </c>
    </row>
    <row r="123" spans="1:14">
      <c r="A123" s="2"/>
      <c r="E123">
        <f>VLOOKUP(TablaMarimba[[#This Row],[Equipo]],Catalogos!$V$4:$W$64,2,FALSE)</f>
      </c>
      <c r="F123" s="3"/>
      <c r="G123" s="6"/>
      <c r="H123" s="3">
        <f t="shared" si="5"/>
      </c>
      <c r="I123" s="4">
        <v>28.3</v>
      </c>
      <c r="J123" s="4">
        <f t="shared" si="8"/>
      </c>
      <c r="M123">
        <f t="shared" si="6"/>
      </c>
      <c r="N123">
        <f>IF(A123="","", "CM-" &amp; IFERROR(VLOOKUP(C123, Catalogos!$Z$4:$AA$20, 2, FALSE), "FOL") &amp; "-" &amp; WEEKNUM(A123,2) &amp; "-" &amp; TEXT(ROW(A119),"000"))</f>
      </c>
    </row>
    <row r="124" spans="1:14">
      <c r="A124" s="2"/>
      <c r="E124">
        <f>VLOOKUP(TablaMarimba[[#This Row],[Equipo]],Catalogos!$V$4:$W$64,2,FALSE)</f>
      </c>
      <c r="F124" s="3"/>
      <c r="G124" s="6"/>
      <c r="H124" s="3">
        <f t="shared" si="5"/>
      </c>
      <c r="I124" s="4">
        <v>28.3</v>
      </c>
      <c r="J124" s="4">
        <f t="shared" si="8"/>
      </c>
      <c r="M124">
        <f t="shared" si="6"/>
      </c>
      <c r="N124">
        <f>IF(A124="","", "CM-" &amp; IFERROR(VLOOKUP(C124, Catalogos!$Z$4:$AA$20, 2, FALSE), "FOL") &amp; "-" &amp; WEEKNUM(A124,2) &amp; "-" &amp; TEXT(ROW(A120),"000"))</f>
      </c>
    </row>
    <row r="125" spans="1:14">
      <c r="A125" s="2"/>
      <c r="E125">
        <f>VLOOKUP(TablaMarimba[[#This Row],[Equipo]],Catalogos!$V$4:$W$64,2,FALSE)</f>
      </c>
      <c r="F125" s="3"/>
      <c r="G125" s="6"/>
      <c r="H125" s="3">
        <f t="shared" si="5"/>
      </c>
      <c r="I125" s="4">
        <v>28.3</v>
      </c>
      <c r="J125" s="4">
        <f t="shared" si="8"/>
      </c>
      <c r="M125">
        <f t="shared" si="6"/>
      </c>
      <c r="N125">
        <f>IF(A125="","", "CM-" &amp; IFERROR(VLOOKUP(C125, Catalogos!$Z$4:$AA$20, 2, FALSE), "FOL") &amp; "-" &amp; WEEKNUM(A125,2) &amp; "-" &amp; TEXT(ROW(A121),"000"))</f>
      </c>
    </row>
    <row r="126" spans="1:14">
      <c r="A126" s="2"/>
      <c r="E126">
        <f>VLOOKUP(TablaMarimba[[#This Row],[Equipo]],Catalogos!$V$4:$W$64,2,FALSE)</f>
      </c>
      <c r="F126" s="3"/>
      <c r="G126" s="6"/>
      <c r="H126" s="3">
        <f t="shared" si="5"/>
      </c>
      <c r="I126" s="4">
        <v>28.3</v>
      </c>
      <c r="J126" s="4">
        <f t="shared" si="8"/>
      </c>
      <c r="M126">
        <f t="shared" si="6"/>
      </c>
      <c r="N126">
        <f>IF(A126="","", "CM-" &amp; IFERROR(VLOOKUP(C126, Catalogos!$Z$4:$AA$20, 2, FALSE), "FOL") &amp; "-" &amp; WEEKNUM(A126,2) &amp; "-" &amp; TEXT(ROW(A122),"000"))</f>
      </c>
    </row>
    <row r="127" spans="1:14">
      <c r="A127" s="2"/>
      <c r="E127">
        <f>VLOOKUP(TablaMarimba[[#This Row],[Equipo]],Catalogos!$V$4:$W$64,2,FALSE)</f>
      </c>
      <c r="F127" s="3"/>
      <c r="G127" s="6"/>
      <c r="H127" s="3">
        <f t="shared" si="5"/>
      </c>
      <c r="I127" s="4">
        <v>28.3</v>
      </c>
      <c r="J127" s="4">
        <f t="shared" si="8"/>
      </c>
      <c r="M127">
        <f t="shared" si="6"/>
      </c>
      <c r="N127">
        <f>IF(A127="","", "CM-" &amp; IFERROR(VLOOKUP(C127, Catalogos!$Z$4:$AA$20, 2, FALSE), "FOL") &amp; "-" &amp; WEEKNUM(A127,2) &amp; "-" &amp; TEXT(ROW(A123),"000"))</f>
      </c>
    </row>
    <row r="128" spans="1:14">
      <c r="A128" s="2"/>
      <c r="E128">
        <f>VLOOKUP(TablaMarimba[[#This Row],[Equipo]],Catalogos!$V$4:$W$64,2,FALSE)</f>
      </c>
      <c r="F128" s="3"/>
      <c r="G128" s="6"/>
      <c r="H128" s="3">
        <f t="shared" si="5"/>
      </c>
      <c r="I128" s="4">
        <v>28.3</v>
      </c>
      <c r="J128" s="4">
        <f t="shared" si="8"/>
      </c>
      <c r="M128">
        <f t="shared" si="6"/>
      </c>
      <c r="N128">
        <f>IF(A128="","", "CM-" &amp; IFERROR(VLOOKUP(C128, Catalogos!$Z$4:$AA$20, 2, FALSE), "FOL") &amp; "-" &amp; WEEKNUM(A128,2) &amp; "-" &amp; TEXT(ROW(A124),"000"))</f>
      </c>
    </row>
    <row r="129" spans="1:14">
      <c r="A129" s="2"/>
      <c r="E129">
        <f>VLOOKUP(TablaMarimba[[#This Row],[Equipo]],Catalogos!$V$4:$W$64,2,FALSE)</f>
      </c>
      <c r="F129" s="3"/>
      <c r="G129" s="6"/>
      <c r="H129" s="3">
        <f t="shared" si="5"/>
      </c>
      <c r="I129" s="4">
        <v>28.3</v>
      </c>
      <c r="J129" s="4">
        <f t="shared" si="8"/>
      </c>
      <c r="M129">
        <f t="shared" si="6"/>
      </c>
      <c r="N129">
        <f>IF(A129="","", "CM-" &amp; IFERROR(VLOOKUP(C129, Catalogos!$Z$4:$AA$20, 2, FALSE), "FOL") &amp; "-" &amp; WEEKNUM(A129,2) &amp; "-" &amp; TEXT(ROW(A125),"000"))</f>
      </c>
    </row>
    <row r="130" spans="1:14">
      <c r="A130" s="2"/>
      <c r="E130">
        <f>VLOOKUP(TablaMarimba[[#This Row],[Equipo]],Catalogos!$V$4:$W$64,2,FALSE)</f>
      </c>
      <c r="F130" s="3"/>
      <c r="G130" s="6"/>
      <c r="H130" s="3">
        <f t="shared" ref="H130:H193" si="9">IF(ROW()=5,F130-G130,H129+F130-G130)</f>
      </c>
      <c r="I130" s="4">
        <v>28.3</v>
      </c>
      <c r="J130" s="4">
        <f t="shared" si="8"/>
      </c>
      <c r="M130">
        <f t="shared" si="6"/>
      </c>
      <c r="N130">
        <f>IF(A130="","", "CM-" &amp; IFERROR(VLOOKUP(C130, Catalogos!$Z$4:$AA$20, 2, FALSE), "FOL") &amp; "-" &amp; WEEKNUM(A130,2) &amp; "-" &amp; TEXT(ROW(A126),"000"))</f>
      </c>
    </row>
    <row r="131" spans="1:14">
      <c r="A131" s="2"/>
      <c r="E131">
        <f>VLOOKUP(TablaMarimba[[#This Row],[Equipo]],Catalogos!$V$4:$W$64,2,FALSE)</f>
      </c>
      <c r="F131" s="3"/>
      <c r="G131" s="6"/>
      <c r="H131" s="3">
        <f t="shared" si="9"/>
      </c>
      <c r="I131" s="4">
        <v>28.3</v>
      </c>
      <c r="J131" s="4">
        <f t="shared" si="8"/>
      </c>
      <c r="M131">
        <f t="shared" si="6"/>
      </c>
      <c r="N131">
        <f>IF(A131="","", "CM-" &amp; IFERROR(VLOOKUP(C131, Catalogos!$Z$4:$AA$20, 2, FALSE), "FOL") &amp; "-" &amp; WEEKNUM(A131,2) &amp; "-" &amp; TEXT(ROW(A127),"000"))</f>
      </c>
    </row>
    <row r="132" spans="1:14">
      <c r="A132" s="2"/>
      <c r="E132">
        <f>VLOOKUP(TablaMarimba[[#This Row],[Equipo]],Catalogos!$V$4:$W$64,2,FALSE)</f>
      </c>
      <c r="F132" s="3"/>
      <c r="G132" s="6"/>
      <c r="H132" s="3">
        <f t="shared" si="9"/>
      </c>
      <c r="I132" s="4">
        <v>28.3</v>
      </c>
      <c r="J132" s="4">
        <f t="shared" si="8"/>
      </c>
      <c r="M132">
        <f t="shared" si="6"/>
      </c>
      <c r="N132">
        <f>IF(A132="","", "CM-" &amp; IFERROR(VLOOKUP(C132, Catalogos!$Z$4:$AA$20, 2, FALSE), "FOL") &amp; "-" &amp; WEEKNUM(A132,2) &amp; "-" &amp; TEXT(ROW(A128),"000"))</f>
      </c>
    </row>
    <row r="133" spans="1:14">
      <c r="A133" s="2"/>
      <c r="E133">
        <f>VLOOKUP(TablaMarimba[[#This Row],[Equipo]],Catalogos!$V$4:$W$64,2,FALSE)</f>
      </c>
      <c r="F133" s="3"/>
      <c r="G133" s="6"/>
      <c r="H133" s="3">
        <f t="shared" si="9"/>
      </c>
      <c r="I133" s="4">
        <v>28.3</v>
      </c>
      <c r="J133" s="4">
        <f t="shared" si="8"/>
      </c>
      <c r="M133">
        <f t="shared" ref="M133:M196" si="10">IF(A133="","", WEEKNUM(A133, 2))</f>
      </c>
      <c r="N133">
        <f>IF(A133="","", "CM-" &amp; IFERROR(VLOOKUP(C133, Catalogos!$Z$4:$AA$20, 2, FALSE), "FOL") &amp; "-" &amp; WEEKNUM(A133,2) &amp; "-" &amp; TEXT(ROW(A129),"000"))</f>
      </c>
    </row>
    <row r="134" spans="1:14">
      <c r="A134" s="2"/>
      <c r="E134">
        <f>VLOOKUP(TablaMarimba[[#This Row],[Equipo]],Catalogos!$V$4:$W$64,2,FALSE)</f>
      </c>
      <c r="F134" s="3"/>
      <c r="G134" s="6"/>
      <c r="H134" s="3">
        <f t="shared" si="9"/>
      </c>
      <c r="I134" s="4">
        <v>28.3</v>
      </c>
      <c r="J134" s="4">
        <f t="shared" si="8"/>
      </c>
      <c r="M134">
        <f t="shared" si="10"/>
      </c>
      <c r="N134">
        <f>IF(A134="","", "CM-" &amp; IFERROR(VLOOKUP(C134, Catalogos!$Z$4:$AA$20, 2, FALSE), "FOL") &amp; "-" &amp; WEEKNUM(A134,2) &amp; "-" &amp; TEXT(ROW(A130),"000"))</f>
      </c>
    </row>
    <row r="135" spans="1:14">
      <c r="A135" s="2"/>
      <c r="E135">
        <f>VLOOKUP(TablaMarimba[[#This Row],[Equipo]],Catalogos!$V$4:$W$64,2,FALSE)</f>
      </c>
      <c r="F135" s="3"/>
      <c r="G135" s="6"/>
      <c r="H135" s="3">
        <f t="shared" si="9"/>
      </c>
      <c r="I135" s="4">
        <v>28.3</v>
      </c>
      <c r="J135" s="4">
        <f t="shared" ref="J135:J166" si="11">IFERROR((F135+G135)*I135,0)</f>
      </c>
      <c r="M135">
        <f t="shared" si="10"/>
      </c>
      <c r="N135">
        <f>IF(A135="","", "CM-" &amp; IFERROR(VLOOKUP(C135, Catalogos!$Z$4:$AA$20, 2, FALSE), "FOL") &amp; "-" &amp; WEEKNUM(A135,2) &amp; "-" &amp; TEXT(ROW(A131),"000"))</f>
      </c>
    </row>
    <row r="136" spans="1:14">
      <c r="A136" s="2"/>
      <c r="E136">
        <f>VLOOKUP(TablaMarimba[[#This Row],[Equipo]],Catalogos!$V$4:$W$64,2,FALSE)</f>
      </c>
      <c r="F136" s="3"/>
      <c r="G136" s="6"/>
      <c r="H136" s="3">
        <f t="shared" si="9"/>
      </c>
      <c r="I136" s="4">
        <v>28.3</v>
      </c>
      <c r="J136" s="4">
        <f t="shared" si="11"/>
      </c>
      <c r="M136">
        <f t="shared" si="10"/>
      </c>
      <c r="N136">
        <f>IF(A136="","", "CM-" &amp; IFERROR(VLOOKUP(C136, Catalogos!$Z$4:$AA$20, 2, FALSE), "FOL") &amp; "-" &amp; WEEKNUM(A136,2) &amp; "-" &amp; TEXT(ROW(A132),"000"))</f>
      </c>
    </row>
    <row r="137" spans="1:14">
      <c r="A137" s="2"/>
      <c r="E137">
        <f>VLOOKUP(TablaMarimba[[#This Row],[Equipo]],Catalogos!$V$4:$W$64,2,FALSE)</f>
      </c>
      <c r="F137" s="3"/>
      <c r="G137" s="6"/>
      <c r="H137" s="3">
        <f t="shared" si="9"/>
      </c>
      <c r="I137" s="4">
        <v>28.3</v>
      </c>
      <c r="J137" s="4">
        <f t="shared" si="11"/>
      </c>
      <c r="M137">
        <f t="shared" si="10"/>
      </c>
      <c r="N137">
        <f>IF(A137="","", "CM-" &amp; IFERROR(VLOOKUP(C137, Catalogos!$Z$4:$AA$20, 2, FALSE), "FOL") &amp; "-" &amp; WEEKNUM(A137,2) &amp; "-" &amp; TEXT(ROW(A133),"000"))</f>
      </c>
    </row>
    <row r="138" spans="1:14">
      <c r="A138" s="2"/>
      <c r="E138">
        <f>VLOOKUP(TablaMarimba[[#This Row],[Equipo]],Catalogos!$V$4:$W$64,2,FALSE)</f>
      </c>
      <c r="F138" s="3"/>
      <c r="G138" s="6"/>
      <c r="H138" s="3">
        <f t="shared" si="9"/>
      </c>
      <c r="I138" s="4">
        <v>28.3</v>
      </c>
      <c r="J138" s="4">
        <f t="shared" si="11"/>
      </c>
      <c r="M138">
        <f t="shared" si="10"/>
      </c>
      <c r="N138">
        <f>IF(A138="","", "CM-" &amp; IFERROR(VLOOKUP(C138, Catalogos!$Z$4:$AA$20, 2, FALSE), "FOL") &amp; "-" &amp; WEEKNUM(A138,2) &amp; "-" &amp; TEXT(ROW(A134),"000"))</f>
      </c>
    </row>
    <row r="139" spans="1:14">
      <c r="A139" s="2"/>
      <c r="E139">
        <f>VLOOKUP(TablaMarimba[[#This Row],[Equipo]],Catalogos!$V$4:$W$64,2,FALSE)</f>
      </c>
      <c r="F139" s="3"/>
      <c r="G139" s="6"/>
      <c r="H139" s="3">
        <f t="shared" si="9"/>
      </c>
      <c r="I139" s="4">
        <v>28.3</v>
      </c>
      <c r="J139" s="4">
        <f t="shared" si="11"/>
      </c>
      <c r="M139">
        <f t="shared" si="10"/>
      </c>
      <c r="N139">
        <f>IF(A139="","", "CM-" &amp; IFERROR(VLOOKUP(C139, Catalogos!$Z$4:$AA$20, 2, FALSE), "FOL") &amp; "-" &amp; WEEKNUM(A139,2) &amp; "-" &amp; TEXT(ROW(A135),"000"))</f>
      </c>
    </row>
    <row r="140" spans="1:14">
      <c r="A140" s="2"/>
      <c r="E140">
        <f>VLOOKUP(TablaMarimba[[#This Row],[Equipo]],Catalogos!$V$4:$W$64,2,FALSE)</f>
      </c>
      <c r="F140" s="3"/>
      <c r="G140" s="6"/>
      <c r="H140" s="3">
        <f t="shared" si="9"/>
      </c>
      <c r="I140" s="4">
        <v>28.3</v>
      </c>
      <c r="J140" s="4">
        <f t="shared" si="11"/>
      </c>
      <c r="M140">
        <f t="shared" si="10"/>
      </c>
      <c r="N140">
        <f>IF(A140="","", "CM-" &amp; IFERROR(VLOOKUP(C140, Catalogos!$Z$4:$AA$20, 2, FALSE), "FOL") &amp; "-" &amp; WEEKNUM(A140,2) &amp; "-" &amp; TEXT(ROW(A136),"000"))</f>
      </c>
    </row>
    <row r="141" spans="1:14">
      <c r="A141" s="2"/>
      <c r="E141">
        <f>VLOOKUP(TablaMarimba[[#This Row],[Equipo]],Catalogos!$V$4:$W$64,2,FALSE)</f>
      </c>
      <c r="F141" s="3"/>
      <c r="G141" s="6"/>
      <c r="H141" s="3">
        <f t="shared" si="9"/>
      </c>
      <c r="I141" s="4">
        <v>28.3</v>
      </c>
      <c r="J141" s="4">
        <f t="shared" si="11"/>
      </c>
      <c r="M141">
        <f t="shared" si="10"/>
      </c>
      <c r="N141">
        <f>IF(A141="","", "CM-" &amp; IFERROR(VLOOKUP(C141, Catalogos!$Z$4:$AA$20, 2, FALSE), "FOL") &amp; "-" &amp; WEEKNUM(A141,2) &amp; "-" &amp; TEXT(ROW(A137),"000"))</f>
      </c>
    </row>
    <row r="142" spans="1:14">
      <c r="A142" s="2"/>
      <c r="E142">
        <f>VLOOKUP(TablaMarimba[[#This Row],[Equipo]],Catalogos!$V$4:$W$64,2,FALSE)</f>
      </c>
      <c r="F142" s="3"/>
      <c r="G142" s="6"/>
      <c r="H142" s="3">
        <f t="shared" si="9"/>
      </c>
      <c r="I142" s="4">
        <v>28.3</v>
      </c>
      <c r="J142" s="4">
        <f t="shared" si="11"/>
      </c>
      <c r="M142">
        <f t="shared" si="10"/>
      </c>
      <c r="N142">
        <f>IF(A142="","", "CM-" &amp; IFERROR(VLOOKUP(C142, Catalogos!$Z$4:$AA$20, 2, FALSE), "FOL") &amp; "-" &amp; WEEKNUM(A142,2) &amp; "-" &amp; TEXT(ROW(A138),"000"))</f>
      </c>
    </row>
    <row r="143" spans="1:14">
      <c r="A143" s="2"/>
      <c r="E143">
        <f>VLOOKUP(TablaMarimba[[#This Row],[Equipo]],Catalogos!$V$4:$W$64,2,FALSE)</f>
      </c>
      <c r="F143" s="3"/>
      <c r="G143" s="6"/>
      <c r="H143" s="3">
        <f t="shared" si="9"/>
      </c>
      <c r="I143" s="4">
        <v>28.3</v>
      </c>
      <c r="J143" s="4">
        <f t="shared" si="11"/>
      </c>
      <c r="M143">
        <f t="shared" si="10"/>
      </c>
      <c r="N143">
        <f>IF(A143="","", "CM-" &amp; IFERROR(VLOOKUP(C143, Catalogos!$Z$4:$AA$20, 2, FALSE), "FOL") &amp; "-" &amp; WEEKNUM(A143,2) &amp; "-" &amp; TEXT(ROW(A139),"000"))</f>
      </c>
    </row>
    <row r="144" spans="1:14">
      <c r="A144" s="2"/>
      <c r="E144">
        <f>VLOOKUP(TablaMarimba[[#This Row],[Equipo]],Catalogos!$V$4:$W$64,2,FALSE)</f>
      </c>
      <c r="F144" s="3"/>
      <c r="G144" s="6"/>
      <c r="H144" s="3">
        <f t="shared" si="9"/>
      </c>
      <c r="I144" s="4">
        <v>28.3</v>
      </c>
      <c r="J144" s="4">
        <f t="shared" si="11"/>
      </c>
      <c r="M144">
        <f t="shared" si="10"/>
      </c>
      <c r="N144">
        <f>IF(A144="","", "CM-" &amp; IFERROR(VLOOKUP(C144, Catalogos!$Z$4:$AA$20, 2, FALSE), "FOL") &amp; "-" &amp; WEEKNUM(A144,2) &amp; "-" &amp; TEXT(ROW(A140),"000"))</f>
      </c>
    </row>
    <row r="145" spans="1:14">
      <c r="A145" s="2"/>
      <c r="E145">
        <f>VLOOKUP(TablaMarimba[[#This Row],[Equipo]],Catalogos!$V$4:$W$64,2,FALSE)</f>
      </c>
      <c r="F145" s="3"/>
      <c r="G145" s="6"/>
      <c r="H145" s="3">
        <f t="shared" si="9"/>
      </c>
      <c r="I145" s="4">
        <v>28.3</v>
      </c>
      <c r="J145" s="4">
        <f t="shared" si="11"/>
      </c>
      <c r="M145">
        <f t="shared" si="10"/>
      </c>
      <c r="N145">
        <f>IF(A145="","", "CM-" &amp; IFERROR(VLOOKUP(C145, Catalogos!$Z$4:$AA$20, 2, FALSE), "FOL") &amp; "-" &amp; WEEKNUM(A145,2) &amp; "-" &amp; TEXT(ROW(A141),"000"))</f>
      </c>
    </row>
    <row r="146" spans="1:14">
      <c r="A146" s="2"/>
      <c r="E146">
        <f>VLOOKUP(TablaMarimba[[#This Row],[Equipo]],Catalogos!$V$4:$W$64,2,FALSE)</f>
      </c>
      <c r="F146" s="3"/>
      <c r="G146" s="6"/>
      <c r="H146" s="3">
        <f t="shared" si="9"/>
      </c>
      <c r="I146" s="4">
        <v>28.3</v>
      </c>
      <c r="J146" s="4">
        <f t="shared" si="11"/>
      </c>
      <c r="M146">
        <f t="shared" si="10"/>
      </c>
      <c r="N146">
        <f>IF(A146="","", "CM-" &amp; IFERROR(VLOOKUP(C146, Catalogos!$Z$4:$AA$20, 2, FALSE), "FOL") &amp; "-" &amp; WEEKNUM(A146,2) &amp; "-" &amp; TEXT(ROW(A142),"000"))</f>
      </c>
    </row>
    <row r="147" spans="1:14">
      <c r="A147" s="2"/>
      <c r="E147">
        <f>VLOOKUP(TablaMarimba[[#This Row],[Equipo]],Catalogos!$V$4:$W$64,2,FALSE)</f>
      </c>
      <c r="F147" s="3"/>
      <c r="G147" s="6"/>
      <c r="H147" s="3">
        <f t="shared" si="9"/>
      </c>
      <c r="I147" s="4">
        <v>28.3</v>
      </c>
      <c r="J147" s="4">
        <f t="shared" si="11"/>
      </c>
      <c r="M147">
        <f t="shared" si="10"/>
      </c>
      <c r="N147">
        <f>IF(A147="","", "CM-" &amp; IFERROR(VLOOKUP(C147, Catalogos!$Z$4:$AA$20, 2, FALSE), "FOL") &amp; "-" &amp; WEEKNUM(A147,2) &amp; "-" &amp; TEXT(ROW(A143),"000"))</f>
      </c>
    </row>
    <row r="148" spans="1:14">
      <c r="A148" s="2"/>
      <c r="E148">
        <f>VLOOKUP(TablaMarimba[[#This Row],[Equipo]],Catalogos!$V$4:$W$64,2,FALSE)</f>
      </c>
      <c r="F148" s="3"/>
      <c r="G148" s="6"/>
      <c r="H148" s="3">
        <f t="shared" si="9"/>
      </c>
      <c r="I148" s="4">
        <v>28.3</v>
      </c>
      <c r="J148" s="4">
        <f t="shared" si="11"/>
      </c>
      <c r="M148">
        <f t="shared" si="10"/>
      </c>
      <c r="N148">
        <f>IF(A148="","", "CM-" &amp; IFERROR(VLOOKUP(C148, Catalogos!$Z$4:$AA$20, 2, FALSE), "FOL") &amp; "-" &amp; WEEKNUM(A148,2) &amp; "-" &amp; TEXT(ROW(A144),"000"))</f>
      </c>
    </row>
    <row r="149" spans="1:14">
      <c r="A149" s="2"/>
      <c r="E149">
        <f>VLOOKUP(TablaMarimba[[#This Row],[Equipo]],Catalogos!$V$4:$W$64,2,FALSE)</f>
      </c>
      <c r="F149" s="3"/>
      <c r="G149" s="6"/>
      <c r="H149" s="3">
        <f t="shared" si="9"/>
      </c>
      <c r="I149" s="4">
        <v>28.3</v>
      </c>
      <c r="J149" s="4">
        <f t="shared" si="11"/>
      </c>
      <c r="M149">
        <f t="shared" si="10"/>
      </c>
      <c r="N149">
        <f>IF(A149="","", "CM-" &amp; IFERROR(VLOOKUP(C149, Catalogos!$Z$4:$AA$20, 2, FALSE), "FOL") &amp; "-" &amp; WEEKNUM(A149,2) &amp; "-" &amp; TEXT(ROW(A145),"000"))</f>
      </c>
    </row>
    <row r="150" spans="1:14">
      <c r="A150" s="2"/>
      <c r="E150">
        <f>VLOOKUP(TablaMarimba[[#This Row],[Equipo]],Catalogos!$V$4:$W$64,2,FALSE)</f>
      </c>
      <c r="F150" s="3"/>
      <c r="G150" s="6"/>
      <c r="H150" s="3">
        <f t="shared" si="9"/>
      </c>
      <c r="I150" s="4">
        <v>28.3</v>
      </c>
      <c r="J150" s="4">
        <f t="shared" si="11"/>
      </c>
      <c r="M150">
        <f t="shared" si="10"/>
      </c>
      <c r="N150">
        <f>IF(A150="","", "CM-" &amp; IFERROR(VLOOKUP(C150, Catalogos!$Z$4:$AA$20, 2, FALSE), "FOL") &amp; "-" &amp; WEEKNUM(A150,2) &amp; "-" &amp; TEXT(ROW(A146),"000"))</f>
      </c>
    </row>
    <row r="151" spans="1:14">
      <c r="A151" s="2"/>
      <c r="E151">
        <f>VLOOKUP(TablaMarimba[[#This Row],[Equipo]],Catalogos!$V$4:$W$64,2,FALSE)</f>
      </c>
      <c r="F151" s="3"/>
      <c r="G151" s="6"/>
      <c r="H151" s="3">
        <f t="shared" si="9"/>
      </c>
      <c r="I151" s="4">
        <v>28.3</v>
      </c>
      <c r="J151" s="4">
        <f t="shared" si="11"/>
      </c>
      <c r="M151">
        <f t="shared" si="10"/>
      </c>
      <c r="N151">
        <f>IF(A151="","", "CM-" &amp; IFERROR(VLOOKUP(C151, Catalogos!$Z$4:$AA$20, 2, FALSE), "FOL") &amp; "-" &amp; WEEKNUM(A151,2) &amp; "-" &amp; TEXT(ROW(A147),"000"))</f>
      </c>
    </row>
    <row r="152" spans="1:14">
      <c r="A152" s="2"/>
      <c r="E152">
        <f>VLOOKUP(TablaMarimba[[#This Row],[Equipo]],Catalogos!$V$4:$W$64,2,FALSE)</f>
      </c>
      <c r="F152" s="3"/>
      <c r="G152" s="6"/>
      <c r="H152" s="3">
        <f t="shared" si="9"/>
      </c>
      <c r="I152" s="4">
        <v>28.3</v>
      </c>
      <c r="J152" s="4">
        <f t="shared" si="11"/>
      </c>
      <c r="M152">
        <f t="shared" si="10"/>
      </c>
      <c r="N152">
        <f>IF(A152="","", "CM-" &amp; IFERROR(VLOOKUP(C152, Catalogos!$Z$4:$AA$20, 2, FALSE), "FOL") &amp; "-" &amp; WEEKNUM(A152,2) &amp; "-" &amp; TEXT(ROW(A148),"000"))</f>
      </c>
    </row>
    <row r="153" spans="1:14">
      <c r="A153" s="2"/>
      <c r="E153">
        <f>VLOOKUP(TablaMarimba[[#This Row],[Equipo]],Catalogos!$V$4:$W$64,2,FALSE)</f>
      </c>
      <c r="F153" s="3"/>
      <c r="G153" s="6"/>
      <c r="H153" s="3">
        <f t="shared" si="9"/>
      </c>
      <c r="I153" s="4">
        <v>28.3</v>
      </c>
      <c r="J153" s="4">
        <f t="shared" si="11"/>
      </c>
      <c r="M153">
        <f t="shared" si="10"/>
      </c>
      <c r="N153">
        <f>IF(A153="","", "CM-" &amp; IFERROR(VLOOKUP(C153, Catalogos!$Z$4:$AA$20, 2, FALSE), "FOL") &amp; "-" &amp; WEEKNUM(A153,2) &amp; "-" &amp; TEXT(ROW(A149),"000"))</f>
      </c>
    </row>
    <row r="154" spans="1:14">
      <c r="A154" s="2"/>
      <c r="E154">
        <f>VLOOKUP(TablaMarimba[[#This Row],[Equipo]],Catalogos!$V$4:$W$64,2,FALSE)</f>
      </c>
      <c r="F154" s="3"/>
      <c r="G154" s="6"/>
      <c r="H154" s="3">
        <f t="shared" si="9"/>
      </c>
      <c r="I154" s="4">
        <v>28.3</v>
      </c>
      <c r="J154" s="4">
        <f t="shared" si="11"/>
      </c>
      <c r="M154">
        <f t="shared" si="10"/>
      </c>
      <c r="N154">
        <f>IF(A154="","", "CM-" &amp; IFERROR(VLOOKUP(C154, Catalogos!$Z$4:$AA$20, 2, FALSE), "FOL") &amp; "-" &amp; WEEKNUM(A154,2) &amp; "-" &amp; TEXT(ROW(A150),"000"))</f>
      </c>
    </row>
    <row r="155" spans="1:14">
      <c r="A155" s="2"/>
      <c r="E155">
        <f>VLOOKUP(TablaMarimba[[#This Row],[Equipo]],Catalogos!$V$4:$W$64,2,FALSE)</f>
      </c>
      <c r="F155" s="3"/>
      <c r="G155" s="6"/>
      <c r="H155" s="3">
        <f t="shared" si="9"/>
      </c>
      <c r="I155" s="4">
        <v>28.3</v>
      </c>
      <c r="J155" s="4">
        <f t="shared" si="11"/>
      </c>
      <c r="M155">
        <f t="shared" si="10"/>
      </c>
      <c r="N155">
        <f>IF(A155="","", "CM-" &amp; IFERROR(VLOOKUP(C155, Catalogos!$Z$4:$AA$20, 2, FALSE), "FOL") &amp; "-" &amp; WEEKNUM(A155,2) &amp; "-" &amp; TEXT(ROW(A151),"000"))</f>
      </c>
    </row>
    <row r="156" spans="1:14">
      <c r="A156" s="2"/>
      <c r="E156">
        <f>VLOOKUP(TablaMarimba[[#This Row],[Equipo]],Catalogos!$V$4:$W$64,2,FALSE)</f>
      </c>
      <c r="F156" s="3"/>
      <c r="G156" s="6"/>
      <c r="H156" s="3">
        <f t="shared" si="9"/>
      </c>
      <c r="I156" s="4">
        <v>28.3</v>
      </c>
      <c r="J156" s="4">
        <f t="shared" si="11"/>
      </c>
      <c r="M156">
        <f t="shared" si="10"/>
      </c>
      <c r="N156">
        <f>IF(A156="","", "CM-" &amp; IFERROR(VLOOKUP(C156, Catalogos!$Z$4:$AA$20, 2, FALSE), "FOL") &amp; "-" &amp; WEEKNUM(A156,2) &amp; "-" &amp; TEXT(ROW(A152),"000"))</f>
      </c>
    </row>
    <row r="157" spans="1:14">
      <c r="A157" s="2"/>
      <c r="E157">
        <f>VLOOKUP(TablaMarimba[[#This Row],[Equipo]],Catalogos!$V$4:$W$64,2,FALSE)</f>
      </c>
      <c r="F157" s="3"/>
      <c r="G157" s="6"/>
      <c r="H157" s="3">
        <f t="shared" si="9"/>
      </c>
      <c r="I157" s="4">
        <v>28.3</v>
      </c>
      <c r="J157" s="4">
        <f t="shared" si="11"/>
      </c>
      <c r="M157">
        <f t="shared" si="10"/>
      </c>
      <c r="N157">
        <f>IF(A157="","", "CM-" &amp; IFERROR(VLOOKUP(C157, Catalogos!$Z$4:$AA$20, 2, FALSE), "FOL") &amp; "-" &amp; WEEKNUM(A157,2) &amp; "-" &amp; TEXT(ROW(A153),"000"))</f>
      </c>
    </row>
    <row r="158" spans="1:14">
      <c r="A158" s="2"/>
      <c r="E158">
        <f>VLOOKUP(TablaMarimba[[#This Row],[Equipo]],Catalogos!$V$4:$W$64,2,FALSE)</f>
      </c>
      <c r="F158" s="3"/>
      <c r="G158" s="6"/>
      <c r="H158" s="3">
        <f t="shared" si="9"/>
      </c>
      <c r="I158" s="4">
        <v>28.3</v>
      </c>
      <c r="J158" s="4">
        <f t="shared" si="11"/>
      </c>
      <c r="M158">
        <f t="shared" si="10"/>
      </c>
      <c r="N158">
        <f>IF(A158="","", "CM-" &amp; IFERROR(VLOOKUP(C158, Catalogos!$Z$4:$AA$20, 2, FALSE), "FOL") &amp; "-" &amp; WEEKNUM(A158,2) &amp; "-" &amp; TEXT(ROW(A154),"000"))</f>
      </c>
    </row>
    <row r="159" spans="1:14">
      <c r="A159" s="2"/>
      <c r="E159">
        <f>VLOOKUP(TablaMarimba[[#This Row],[Equipo]],Catalogos!$V$4:$W$64,2,FALSE)</f>
      </c>
      <c r="F159" s="3"/>
      <c r="G159" s="6"/>
      <c r="H159" s="3">
        <f t="shared" si="9"/>
      </c>
      <c r="I159" s="4">
        <v>28.3</v>
      </c>
      <c r="J159" s="4">
        <f t="shared" si="11"/>
      </c>
      <c r="M159">
        <f t="shared" si="10"/>
      </c>
      <c r="N159">
        <f>IF(A159="","", "CM-" &amp; IFERROR(VLOOKUP(C159, Catalogos!$Z$4:$AA$20, 2, FALSE), "FOL") &amp; "-" &amp; WEEKNUM(A159,2) &amp; "-" &amp; TEXT(ROW(A155),"000"))</f>
      </c>
    </row>
    <row r="160" spans="1:14">
      <c r="A160" s="2"/>
      <c r="E160">
        <f>VLOOKUP(TablaMarimba[[#This Row],[Equipo]],Catalogos!$V$4:$W$64,2,FALSE)</f>
      </c>
      <c r="F160" s="3"/>
      <c r="G160" s="6"/>
      <c r="H160" s="3">
        <f t="shared" si="9"/>
      </c>
      <c r="I160" s="4">
        <v>28.3</v>
      </c>
      <c r="J160" s="4">
        <f t="shared" si="11"/>
      </c>
      <c r="M160">
        <f t="shared" si="10"/>
      </c>
      <c r="N160">
        <f>IF(A160="","", "CM-" &amp; IFERROR(VLOOKUP(C160, Catalogos!$Z$4:$AA$20, 2, FALSE), "FOL") &amp; "-" &amp; WEEKNUM(A160,2) &amp; "-" &amp; TEXT(ROW(A156),"000"))</f>
      </c>
    </row>
    <row r="161" spans="1:14">
      <c r="A161" s="2"/>
      <c r="E161">
        <f>VLOOKUP(TablaMarimba[[#This Row],[Equipo]],Catalogos!$V$4:$W$64,2,FALSE)</f>
      </c>
      <c r="F161" s="3"/>
      <c r="G161" s="6"/>
      <c r="H161" s="3">
        <f t="shared" si="9"/>
      </c>
      <c r="I161" s="4">
        <v>28.3</v>
      </c>
      <c r="J161" s="4">
        <f t="shared" si="11"/>
      </c>
      <c r="M161">
        <f t="shared" si="10"/>
      </c>
      <c r="N161">
        <f>IF(A161="","", "CM-" &amp; IFERROR(VLOOKUP(C161, Catalogos!$Z$4:$AA$20, 2, FALSE), "FOL") &amp; "-" &amp; WEEKNUM(A161,2) &amp; "-" &amp; TEXT(ROW(A157),"000"))</f>
      </c>
    </row>
    <row r="162" spans="1:14">
      <c r="A162" s="2"/>
      <c r="E162">
        <f>VLOOKUP(TablaMarimba[[#This Row],[Equipo]],Catalogos!$V$4:$W$64,2,FALSE)</f>
      </c>
      <c r="F162" s="3"/>
      <c r="G162" s="6"/>
      <c r="H162" s="3">
        <f t="shared" si="9"/>
      </c>
      <c r="I162" s="4">
        <v>28.3</v>
      </c>
      <c r="J162" s="4">
        <f t="shared" si="11"/>
      </c>
      <c r="M162">
        <f t="shared" si="10"/>
      </c>
      <c r="N162">
        <f>IF(A162="","", "CM-" &amp; IFERROR(VLOOKUP(C162, Catalogos!$Z$4:$AA$20, 2, FALSE), "FOL") &amp; "-" &amp; WEEKNUM(A162,2) &amp; "-" &amp; TEXT(ROW(A158),"000"))</f>
      </c>
    </row>
    <row r="163" spans="1:14">
      <c r="A163" s="2"/>
      <c r="E163">
        <f>VLOOKUP(TablaMarimba[[#This Row],[Equipo]],Catalogos!$V$4:$W$64,2,FALSE)</f>
      </c>
      <c r="F163" s="3"/>
      <c r="G163" s="6"/>
      <c r="H163" s="3">
        <f t="shared" si="9"/>
      </c>
      <c r="I163" s="4">
        <v>28.3</v>
      </c>
      <c r="J163" s="4">
        <f t="shared" si="11"/>
      </c>
      <c r="M163">
        <f t="shared" si="10"/>
      </c>
      <c r="N163">
        <f>IF(A163="","", "CM-" &amp; IFERROR(VLOOKUP(C163, Catalogos!$Z$4:$AA$20, 2, FALSE), "FOL") &amp; "-" &amp; WEEKNUM(A163,2) &amp; "-" &amp; TEXT(ROW(A159),"000"))</f>
      </c>
    </row>
    <row r="164" spans="1:14">
      <c r="A164" s="2"/>
      <c r="E164">
        <f>VLOOKUP(TablaMarimba[[#This Row],[Equipo]],Catalogos!$V$4:$W$64,2,FALSE)</f>
      </c>
      <c r="F164" s="3"/>
      <c r="G164" s="6"/>
      <c r="H164" s="3">
        <f t="shared" si="9"/>
      </c>
      <c r="I164" s="4">
        <v>28.3</v>
      </c>
      <c r="J164" s="4">
        <f t="shared" si="11"/>
      </c>
      <c r="M164">
        <f t="shared" si="10"/>
      </c>
      <c r="N164">
        <f>IF(A164="","", "CM-" &amp; IFERROR(VLOOKUP(C164, Catalogos!$Z$4:$AA$20, 2, FALSE), "FOL") &amp; "-" &amp; WEEKNUM(A164,2) &amp; "-" &amp; TEXT(ROW(A160),"000"))</f>
      </c>
    </row>
    <row r="165" spans="1:14">
      <c r="A165" s="2"/>
      <c r="E165">
        <f>VLOOKUP(TablaMarimba[[#This Row],[Equipo]],Catalogos!$V$4:$W$64,2,FALSE)</f>
      </c>
      <c r="F165" s="3"/>
      <c r="G165" s="6"/>
      <c r="H165" s="3">
        <f t="shared" si="9"/>
      </c>
      <c r="I165" s="4">
        <v>28.3</v>
      </c>
      <c r="J165" s="4">
        <f t="shared" si="11"/>
      </c>
      <c r="M165">
        <f t="shared" si="10"/>
      </c>
      <c r="N165">
        <f>IF(A165="","", "CM-" &amp; IFERROR(VLOOKUP(C165, Catalogos!$Z$4:$AA$20, 2, FALSE), "FOL") &amp; "-" &amp; WEEKNUM(A165,2) &amp; "-" &amp; TEXT(ROW(A161),"000"))</f>
      </c>
    </row>
    <row r="166" spans="1:14">
      <c r="A166" s="2"/>
      <c r="E166">
        <f>VLOOKUP(TablaMarimba[[#This Row],[Equipo]],Catalogos!$V$4:$W$64,2,FALSE)</f>
      </c>
      <c r="F166" s="3"/>
      <c r="G166" s="6"/>
      <c r="H166" s="3">
        <f t="shared" si="9"/>
      </c>
      <c r="I166" s="4">
        <v>28.3</v>
      </c>
      <c r="J166" s="4">
        <f t="shared" si="11"/>
      </c>
      <c r="M166">
        <f t="shared" si="10"/>
      </c>
      <c r="N166">
        <f>IF(A166="","", "CM-" &amp; IFERROR(VLOOKUP(C166, Catalogos!$Z$4:$AA$20, 2, FALSE), "FOL") &amp; "-" &amp; WEEKNUM(A166,2) &amp; "-" &amp; TEXT(ROW(A162),"000"))</f>
      </c>
    </row>
    <row r="167" spans="1:14">
      <c r="A167" s="2"/>
      <c r="E167">
        <f>VLOOKUP(TablaMarimba[[#This Row],[Equipo]],Catalogos!$V$4:$W$64,2,FALSE)</f>
      </c>
      <c r="F167" s="3"/>
      <c r="G167" s="6"/>
      <c r="H167" s="3">
        <f t="shared" si="9"/>
      </c>
      <c r="I167" s="4">
        <v>28.3</v>
      </c>
      <c r="J167" s="4">
        <f t="shared" ref="J167:J198" si="12">IFERROR((F167+G167)*I167,0)</f>
      </c>
      <c r="M167">
        <f t="shared" si="10"/>
      </c>
      <c r="N167">
        <f>IF(A167="","", "CM-" &amp; IFERROR(VLOOKUP(C167, Catalogos!$Z$4:$AA$20, 2, FALSE), "FOL") &amp; "-" &amp; WEEKNUM(A167,2) &amp; "-" &amp; TEXT(ROW(A163),"000"))</f>
      </c>
    </row>
    <row r="168" spans="1:14">
      <c r="A168" s="2"/>
      <c r="E168">
        <f>VLOOKUP(TablaMarimba[[#This Row],[Equipo]],Catalogos!$V$4:$W$64,2,FALSE)</f>
      </c>
      <c r="F168" s="3"/>
      <c r="G168" s="6"/>
      <c r="H168" s="3">
        <f t="shared" si="9"/>
      </c>
      <c r="I168" s="4">
        <v>28.3</v>
      </c>
      <c r="J168" s="4">
        <f t="shared" si="12"/>
      </c>
      <c r="M168">
        <f t="shared" si="10"/>
      </c>
      <c r="N168">
        <f>IF(A168="","", "CM-" &amp; IFERROR(VLOOKUP(C168, Catalogos!$Z$4:$AA$20, 2, FALSE), "FOL") &amp; "-" &amp; WEEKNUM(A168,2) &amp; "-" &amp; TEXT(ROW(A164),"000"))</f>
      </c>
    </row>
    <row r="169" spans="1:14">
      <c r="A169" s="2"/>
      <c r="E169">
        <f>VLOOKUP(TablaMarimba[[#This Row],[Equipo]],Catalogos!$V$4:$W$64,2,FALSE)</f>
      </c>
      <c r="F169" s="3"/>
      <c r="G169" s="6"/>
      <c r="H169" s="3">
        <f t="shared" si="9"/>
      </c>
      <c r="I169" s="4">
        <v>28.3</v>
      </c>
      <c r="J169" s="4">
        <f t="shared" si="12"/>
      </c>
      <c r="M169">
        <f t="shared" si="10"/>
      </c>
      <c r="N169">
        <f>IF(A169="","", "CM-" &amp; IFERROR(VLOOKUP(C169, Catalogos!$Z$4:$AA$20, 2, FALSE), "FOL") &amp; "-" &amp; WEEKNUM(A169,2) &amp; "-" &amp; TEXT(ROW(A165),"000"))</f>
      </c>
    </row>
    <row r="170" spans="1:14">
      <c r="A170" s="2"/>
      <c r="E170">
        <f>VLOOKUP(TablaMarimba[[#This Row],[Equipo]],Catalogos!$V$4:$W$64,2,FALSE)</f>
      </c>
      <c r="F170" s="3"/>
      <c r="G170" s="6"/>
      <c r="H170" s="3">
        <f t="shared" si="9"/>
      </c>
      <c r="I170" s="4">
        <v>28.3</v>
      </c>
      <c r="J170" s="4">
        <f t="shared" si="12"/>
      </c>
      <c r="M170">
        <f t="shared" si="10"/>
      </c>
      <c r="N170">
        <f>IF(A170="","", "CM-" &amp; IFERROR(VLOOKUP(C170, Catalogos!$Z$4:$AA$20, 2, FALSE), "FOL") &amp; "-" &amp; WEEKNUM(A170,2) &amp; "-" &amp; TEXT(ROW(A166),"000"))</f>
      </c>
    </row>
    <row r="171" spans="1:14">
      <c r="A171" s="2"/>
      <c r="E171">
        <f>VLOOKUP(TablaMarimba[[#This Row],[Equipo]],Catalogos!$V$4:$W$64,2,FALSE)</f>
      </c>
      <c r="F171" s="3"/>
      <c r="G171" s="6"/>
      <c r="H171" s="3">
        <f t="shared" si="9"/>
      </c>
      <c r="I171" s="4">
        <v>28.3</v>
      </c>
      <c r="J171" s="4">
        <f t="shared" si="12"/>
      </c>
      <c r="M171">
        <f t="shared" si="10"/>
      </c>
      <c r="N171">
        <f>IF(A171="","", "CM-" &amp; IFERROR(VLOOKUP(C171, Catalogos!$Z$4:$AA$20, 2, FALSE), "FOL") &amp; "-" &amp; WEEKNUM(A171,2) &amp; "-" &amp; TEXT(ROW(A167),"000"))</f>
      </c>
    </row>
    <row r="172" spans="1:14">
      <c r="A172" s="2"/>
      <c r="E172">
        <f>VLOOKUP(TablaMarimba[[#This Row],[Equipo]],Catalogos!$V$4:$W$64,2,FALSE)</f>
      </c>
      <c r="F172" s="3"/>
      <c r="G172" s="6"/>
      <c r="H172" s="3">
        <f t="shared" si="9"/>
      </c>
      <c r="I172" s="4">
        <v>28.3</v>
      </c>
      <c r="J172" s="4">
        <f t="shared" si="12"/>
      </c>
      <c r="M172">
        <f t="shared" si="10"/>
      </c>
      <c r="N172">
        <f>IF(A172="","", "CM-" &amp; IFERROR(VLOOKUP(C172, Catalogos!$Z$4:$AA$20, 2, FALSE), "FOL") &amp; "-" &amp; WEEKNUM(A172,2) &amp; "-" &amp; TEXT(ROW(A168),"000"))</f>
      </c>
    </row>
    <row r="173" spans="1:14">
      <c r="A173" s="2"/>
      <c r="E173">
        <f>VLOOKUP(TablaMarimba[[#This Row],[Equipo]],Catalogos!$V$4:$W$64,2,FALSE)</f>
      </c>
      <c r="F173" s="3"/>
      <c r="G173" s="6"/>
      <c r="H173" s="3">
        <f t="shared" si="9"/>
      </c>
      <c r="I173" s="4">
        <v>28.3</v>
      </c>
      <c r="J173" s="4">
        <f t="shared" si="12"/>
      </c>
      <c r="M173">
        <f t="shared" si="10"/>
      </c>
      <c r="N173">
        <f>IF(A173="","", "CM-" &amp; IFERROR(VLOOKUP(C173, Catalogos!$Z$4:$AA$20, 2, FALSE), "FOL") &amp; "-" &amp; WEEKNUM(A173,2) &amp; "-" &amp; TEXT(ROW(A169),"000"))</f>
      </c>
    </row>
    <row r="174" spans="1:14">
      <c r="A174" s="2"/>
      <c r="E174">
        <f>VLOOKUP(TablaMarimba[[#This Row],[Equipo]],Catalogos!$V$4:$W$64,2,FALSE)</f>
      </c>
      <c r="F174" s="3"/>
      <c r="G174" s="6"/>
      <c r="H174" s="3">
        <f t="shared" si="9"/>
      </c>
      <c r="I174" s="4">
        <v>28.3</v>
      </c>
      <c r="J174" s="4">
        <f t="shared" si="12"/>
      </c>
      <c r="M174">
        <f t="shared" si="10"/>
      </c>
      <c r="N174">
        <f>IF(A174="","", "CM-" &amp; IFERROR(VLOOKUP(C174, Catalogos!$Z$4:$AA$20, 2, FALSE), "FOL") &amp; "-" &amp; WEEKNUM(A174,2) &amp; "-" &amp; TEXT(ROW(A170),"000"))</f>
      </c>
    </row>
    <row r="175" spans="1:14">
      <c r="A175" s="2"/>
      <c r="E175">
        <f>VLOOKUP(TablaMarimba[[#This Row],[Equipo]],Catalogos!$V$4:$W$64,2,FALSE)</f>
      </c>
      <c r="F175" s="3"/>
      <c r="G175" s="6"/>
      <c r="H175" s="3">
        <f t="shared" si="9"/>
      </c>
      <c r="I175" s="4">
        <v>28.3</v>
      </c>
      <c r="J175" s="4">
        <f t="shared" si="12"/>
      </c>
      <c r="M175">
        <f t="shared" si="10"/>
      </c>
      <c r="N175">
        <f>IF(A175="","", "CM-" &amp; IFERROR(VLOOKUP(C175, Catalogos!$Z$4:$AA$20, 2, FALSE), "FOL") &amp; "-" &amp; WEEKNUM(A175,2) &amp; "-" &amp; TEXT(ROW(A171),"000"))</f>
      </c>
    </row>
    <row r="176" spans="1:14">
      <c r="A176" s="2"/>
      <c r="E176">
        <f>VLOOKUP(TablaMarimba[[#This Row],[Equipo]],Catalogos!$V$4:$W$64,2,FALSE)</f>
      </c>
      <c r="F176" s="3"/>
      <c r="G176" s="6"/>
      <c r="H176" s="3">
        <f t="shared" si="9"/>
      </c>
      <c r="I176" s="4">
        <v>28.3</v>
      </c>
      <c r="J176" s="4">
        <f t="shared" si="12"/>
      </c>
      <c r="M176">
        <f t="shared" si="10"/>
      </c>
      <c r="N176">
        <f>IF(A176="","", "CM-" &amp; IFERROR(VLOOKUP(C176, Catalogos!$Z$4:$AA$20, 2, FALSE), "FOL") &amp; "-" &amp; WEEKNUM(A176,2) &amp; "-" &amp; TEXT(ROW(A172),"000"))</f>
      </c>
    </row>
    <row r="177" spans="1:14">
      <c r="A177" s="2"/>
      <c r="E177">
        <f>VLOOKUP(TablaMarimba[[#This Row],[Equipo]],Catalogos!$V$4:$W$64,2,FALSE)</f>
      </c>
      <c r="F177" s="3"/>
      <c r="G177" s="6"/>
      <c r="H177" s="3">
        <f t="shared" si="9"/>
      </c>
      <c r="I177" s="4">
        <v>28.3</v>
      </c>
      <c r="J177" s="4">
        <f t="shared" si="12"/>
      </c>
      <c r="M177">
        <f t="shared" si="10"/>
      </c>
      <c r="N177">
        <f>IF(A177="","", "CM-" &amp; IFERROR(VLOOKUP(C177, Catalogos!$Z$4:$AA$20, 2, FALSE), "FOL") &amp; "-" &amp; WEEKNUM(A177,2) &amp; "-" &amp; TEXT(ROW(A173),"000"))</f>
      </c>
    </row>
    <row r="178" spans="1:14">
      <c r="A178" s="2"/>
      <c r="E178">
        <f>VLOOKUP(TablaMarimba[[#This Row],[Equipo]],Catalogos!$V$4:$W$64,2,FALSE)</f>
      </c>
      <c r="F178" s="3"/>
      <c r="G178" s="6"/>
      <c r="H178" s="3">
        <f t="shared" si="9"/>
      </c>
      <c r="I178" s="4">
        <v>28.3</v>
      </c>
      <c r="J178" s="4">
        <f t="shared" si="12"/>
      </c>
      <c r="M178">
        <f t="shared" si="10"/>
      </c>
      <c r="N178">
        <f>IF(A178="","", "CM-" &amp; IFERROR(VLOOKUP(C178, Catalogos!$Z$4:$AA$20, 2, FALSE), "FOL") &amp; "-" &amp; WEEKNUM(A178,2) &amp; "-" &amp; TEXT(ROW(A174),"000"))</f>
      </c>
    </row>
    <row r="179" spans="1:14">
      <c r="A179" s="2"/>
      <c r="E179">
        <f>VLOOKUP(TablaMarimba[[#This Row],[Equipo]],Catalogos!$V$4:$W$64,2,FALSE)</f>
      </c>
      <c r="F179" s="3"/>
      <c r="G179" s="6"/>
      <c r="H179" s="3">
        <f t="shared" si="9"/>
      </c>
      <c r="I179" s="4">
        <v>28.3</v>
      </c>
      <c r="J179" s="4">
        <f t="shared" si="12"/>
      </c>
      <c r="M179">
        <f t="shared" si="10"/>
      </c>
      <c r="N179">
        <f>IF(A179="","", "CM-" &amp; IFERROR(VLOOKUP(C179, Catalogos!$Z$4:$AA$20, 2, FALSE), "FOL") &amp; "-" &amp; WEEKNUM(A179,2) &amp; "-" &amp; TEXT(ROW(A175),"000"))</f>
      </c>
    </row>
    <row r="180" spans="1:14">
      <c r="A180" s="2"/>
      <c r="E180">
        <f>VLOOKUP(TablaMarimba[[#This Row],[Equipo]],Catalogos!$V$4:$W$64,2,FALSE)</f>
      </c>
      <c r="F180" s="3"/>
      <c r="G180" s="6"/>
      <c r="H180" s="3">
        <f t="shared" si="9"/>
      </c>
      <c r="I180" s="4">
        <v>28.3</v>
      </c>
      <c r="J180" s="4">
        <f t="shared" si="12"/>
      </c>
      <c r="M180">
        <f t="shared" si="10"/>
      </c>
      <c r="N180">
        <f>IF(A180="","", "CM-" &amp; IFERROR(VLOOKUP(C180, Catalogos!$Z$4:$AA$20, 2, FALSE), "FOL") &amp; "-" &amp; WEEKNUM(A180,2) &amp; "-" &amp; TEXT(ROW(A176),"000"))</f>
      </c>
    </row>
    <row r="181" spans="1:14">
      <c r="A181" s="2"/>
      <c r="E181">
        <f>VLOOKUP(TablaMarimba[[#This Row],[Equipo]],Catalogos!$V$4:$W$64,2,FALSE)</f>
      </c>
      <c r="F181" s="3"/>
      <c r="G181" s="6"/>
      <c r="H181" s="3">
        <f t="shared" si="9"/>
      </c>
      <c r="I181" s="4">
        <v>28.3</v>
      </c>
      <c r="J181" s="4">
        <f t="shared" si="12"/>
      </c>
      <c r="M181">
        <f t="shared" si="10"/>
      </c>
      <c r="N181">
        <f>IF(A181="","", "CM-" &amp; IFERROR(VLOOKUP(C181, Catalogos!$Z$4:$AA$20, 2, FALSE), "FOL") &amp; "-" &amp; WEEKNUM(A181,2) &amp; "-" &amp; TEXT(ROW(A177),"000"))</f>
      </c>
    </row>
    <row r="182" spans="1:14">
      <c r="A182" s="2"/>
      <c r="E182">
        <f>VLOOKUP(TablaMarimba[[#This Row],[Equipo]],Catalogos!$V$4:$W$64,2,FALSE)</f>
      </c>
      <c r="F182" s="3"/>
      <c r="G182" s="6"/>
      <c r="H182" s="3">
        <f t="shared" si="9"/>
      </c>
      <c r="I182" s="4">
        <v>28.3</v>
      </c>
      <c r="J182" s="4">
        <f t="shared" si="12"/>
      </c>
      <c r="M182">
        <f t="shared" si="10"/>
      </c>
      <c r="N182">
        <f>IF(A182="","", "CM-" &amp; IFERROR(VLOOKUP(C182, Catalogos!$Z$4:$AA$20, 2, FALSE), "FOL") &amp; "-" &amp; WEEKNUM(A182,2) &amp; "-" &amp; TEXT(ROW(A178),"000"))</f>
      </c>
    </row>
    <row r="183" spans="1:14">
      <c r="A183" s="2"/>
      <c r="E183">
        <f>VLOOKUP(TablaMarimba[[#This Row],[Equipo]],Catalogos!$V$4:$W$64,2,FALSE)</f>
      </c>
      <c r="F183" s="3"/>
      <c r="G183" s="6"/>
      <c r="H183" s="3">
        <f t="shared" si="9"/>
      </c>
      <c r="I183" s="4">
        <v>28.3</v>
      </c>
      <c r="J183" s="4">
        <f t="shared" si="12"/>
      </c>
      <c r="M183">
        <f t="shared" si="10"/>
      </c>
      <c r="N183">
        <f>IF(A183="","", "CM-" &amp; IFERROR(VLOOKUP(C183, Catalogos!$Z$4:$AA$20, 2, FALSE), "FOL") &amp; "-" &amp; WEEKNUM(A183,2) &amp; "-" &amp; TEXT(ROW(A179),"000"))</f>
      </c>
    </row>
    <row r="184" spans="1:14">
      <c r="A184" s="2"/>
      <c r="E184">
        <f>VLOOKUP(TablaMarimba[[#This Row],[Equipo]],Catalogos!$V$4:$W$64,2,FALSE)</f>
      </c>
      <c r="F184" s="3"/>
      <c r="G184" s="6"/>
      <c r="H184" s="3">
        <f t="shared" si="9"/>
      </c>
      <c r="I184" s="4">
        <v>28.3</v>
      </c>
      <c r="J184" s="4">
        <f t="shared" si="12"/>
      </c>
      <c r="M184">
        <f t="shared" si="10"/>
      </c>
      <c r="N184">
        <f>IF(A184="","", "CM-" &amp; IFERROR(VLOOKUP(C184, Catalogos!$Z$4:$AA$20, 2, FALSE), "FOL") &amp; "-" &amp; WEEKNUM(A184,2) &amp; "-" &amp; TEXT(ROW(A180),"000"))</f>
      </c>
    </row>
    <row r="185" spans="1:14">
      <c r="A185" s="2"/>
      <c r="E185">
        <f>VLOOKUP(TablaMarimba[[#This Row],[Equipo]],Catalogos!$V$4:$W$64,2,FALSE)</f>
      </c>
      <c r="F185" s="3"/>
      <c r="G185" s="6"/>
      <c r="H185" s="3">
        <f t="shared" si="9"/>
      </c>
      <c r="I185" s="4">
        <v>28.3</v>
      </c>
      <c r="J185" s="4">
        <f t="shared" si="12"/>
      </c>
      <c r="M185">
        <f t="shared" si="10"/>
      </c>
      <c r="N185">
        <f>IF(A185="","", "CM-" &amp; IFERROR(VLOOKUP(C185, Catalogos!$Z$4:$AA$20, 2, FALSE), "FOL") &amp; "-" &amp; WEEKNUM(A185,2) &amp; "-" &amp; TEXT(ROW(A181),"000"))</f>
      </c>
    </row>
    <row r="186" spans="1:14">
      <c r="A186" s="2"/>
      <c r="E186">
        <f>VLOOKUP(TablaMarimba[[#This Row],[Equipo]],Catalogos!$V$4:$W$64,2,FALSE)</f>
      </c>
      <c r="F186" s="3"/>
      <c r="G186" s="6"/>
      <c r="H186" s="3">
        <f t="shared" si="9"/>
      </c>
      <c r="I186" s="4">
        <v>28.3</v>
      </c>
      <c r="J186" s="4">
        <f t="shared" si="12"/>
      </c>
      <c r="M186">
        <f t="shared" si="10"/>
      </c>
      <c r="N186">
        <f>IF(A186="","", "CM-" &amp; IFERROR(VLOOKUP(C186, Catalogos!$Z$4:$AA$20, 2, FALSE), "FOL") &amp; "-" &amp; WEEKNUM(A186,2) &amp; "-" &amp; TEXT(ROW(A182),"000"))</f>
      </c>
    </row>
    <row r="187" spans="1:14">
      <c r="A187" s="2"/>
      <c r="E187">
        <f>VLOOKUP(TablaMarimba[[#This Row],[Equipo]],Catalogos!$V$4:$W$64,2,FALSE)</f>
      </c>
      <c r="F187" s="3"/>
      <c r="G187" s="6"/>
      <c r="H187" s="3">
        <f t="shared" si="9"/>
      </c>
      <c r="I187" s="4">
        <v>28.3</v>
      </c>
      <c r="J187" s="4">
        <f t="shared" si="12"/>
      </c>
      <c r="M187">
        <f t="shared" si="10"/>
      </c>
      <c r="N187">
        <f>IF(A187="","", "CM-" &amp; IFERROR(VLOOKUP(C187, Catalogos!$Z$4:$AA$20, 2, FALSE), "FOL") &amp; "-" &amp; WEEKNUM(A187,2) &amp; "-" &amp; TEXT(ROW(A183),"000"))</f>
      </c>
    </row>
    <row r="188" spans="1:14">
      <c r="A188" s="2"/>
      <c r="E188">
        <f>VLOOKUP(TablaMarimba[[#This Row],[Equipo]],Catalogos!$V$4:$W$64,2,FALSE)</f>
      </c>
      <c r="F188" s="3"/>
      <c r="G188" s="6"/>
      <c r="H188" s="3">
        <f t="shared" si="9"/>
      </c>
      <c r="I188" s="4">
        <v>28.3</v>
      </c>
      <c r="J188" s="4">
        <f t="shared" si="12"/>
      </c>
      <c r="M188">
        <f t="shared" si="10"/>
      </c>
      <c r="N188">
        <f>IF(A188="","", "CM-" &amp; IFERROR(VLOOKUP(C188, Catalogos!$Z$4:$AA$20, 2, FALSE), "FOL") &amp; "-" &amp; WEEKNUM(A188,2) &amp; "-" &amp; TEXT(ROW(A184),"000"))</f>
      </c>
    </row>
    <row r="189" spans="1:14">
      <c r="A189" s="2"/>
      <c r="E189">
        <f>VLOOKUP(TablaMarimba[[#This Row],[Equipo]],Catalogos!$V$4:$W$64,2,FALSE)</f>
      </c>
      <c r="F189" s="3"/>
      <c r="G189" s="6"/>
      <c r="H189" s="3">
        <f t="shared" si="9"/>
      </c>
      <c r="I189" s="4">
        <v>28.3</v>
      </c>
      <c r="J189" s="4">
        <f t="shared" si="12"/>
      </c>
      <c r="M189">
        <f t="shared" si="10"/>
      </c>
      <c r="N189">
        <f>IF(A189="","", "CM-" &amp; IFERROR(VLOOKUP(C189, Catalogos!$Z$4:$AA$20, 2, FALSE), "FOL") &amp; "-" &amp; WEEKNUM(A189,2) &amp; "-" &amp; TEXT(ROW(A185),"000"))</f>
      </c>
    </row>
    <row r="190" spans="1:14">
      <c r="A190" s="2"/>
      <c r="E190">
        <f>VLOOKUP(TablaMarimba[[#This Row],[Equipo]],Catalogos!$V$4:$W$64,2,FALSE)</f>
      </c>
      <c r="F190" s="3"/>
      <c r="G190" s="6"/>
      <c r="H190" s="3">
        <f t="shared" si="9"/>
      </c>
      <c r="I190" s="4">
        <v>28.3</v>
      </c>
      <c r="J190" s="4">
        <f t="shared" si="12"/>
      </c>
      <c r="M190">
        <f t="shared" si="10"/>
      </c>
      <c r="N190">
        <f>IF(A190="","", "CM-" &amp; IFERROR(VLOOKUP(C190, Catalogos!$Z$4:$AA$20, 2, FALSE), "FOL") &amp; "-" &amp; WEEKNUM(A190,2) &amp; "-" &amp; TEXT(ROW(A186),"000"))</f>
      </c>
    </row>
    <row r="191" spans="1:14">
      <c r="A191" s="2"/>
      <c r="E191">
        <f>VLOOKUP(TablaMarimba[[#This Row],[Equipo]],Catalogos!$V$4:$W$64,2,FALSE)</f>
      </c>
      <c r="F191" s="3"/>
      <c r="G191" s="6"/>
      <c r="H191" s="3">
        <f t="shared" si="9"/>
      </c>
      <c r="I191" s="4">
        <v>28.3</v>
      </c>
      <c r="J191" s="4">
        <f t="shared" si="12"/>
      </c>
      <c r="M191">
        <f t="shared" si="10"/>
      </c>
      <c r="N191">
        <f>IF(A191="","", "CM-" &amp; IFERROR(VLOOKUP(C191, Catalogos!$Z$4:$AA$20, 2, FALSE), "FOL") &amp; "-" &amp; WEEKNUM(A191,2) &amp; "-" &amp; TEXT(ROW(A187),"000"))</f>
      </c>
    </row>
    <row r="192" spans="1:14">
      <c r="A192" s="2"/>
      <c r="E192">
        <f>VLOOKUP(TablaMarimba[[#This Row],[Equipo]],Catalogos!$V$4:$W$64,2,FALSE)</f>
      </c>
      <c r="F192" s="3"/>
      <c r="G192" s="6"/>
      <c r="H192" s="3">
        <f t="shared" si="9"/>
      </c>
      <c r="I192" s="4">
        <v>28.3</v>
      </c>
      <c r="J192" s="4">
        <f t="shared" si="12"/>
      </c>
      <c r="M192">
        <f t="shared" si="10"/>
      </c>
      <c r="N192">
        <f>IF(A192="","", "CM-" &amp; IFERROR(VLOOKUP(C192, Catalogos!$Z$4:$AA$20, 2, FALSE), "FOL") &amp; "-" &amp; WEEKNUM(A192,2) &amp; "-" &amp; TEXT(ROW(A188),"000"))</f>
      </c>
    </row>
    <row r="193" spans="1:14">
      <c r="A193" s="2"/>
      <c r="E193">
        <f>VLOOKUP(TablaMarimba[[#This Row],[Equipo]],Catalogos!$V$4:$W$64,2,FALSE)</f>
      </c>
      <c r="F193" s="3"/>
      <c r="G193" s="6"/>
      <c r="H193" s="3">
        <f t="shared" si="9"/>
      </c>
      <c r="I193" s="4">
        <v>28.3</v>
      </c>
      <c r="J193" s="4">
        <f t="shared" si="12"/>
      </c>
      <c r="M193">
        <f t="shared" si="10"/>
      </c>
      <c r="N193">
        <f>IF(A193="","", "CM-" &amp; IFERROR(VLOOKUP(C193, Catalogos!$Z$4:$AA$20, 2, FALSE), "FOL") &amp; "-" &amp; WEEKNUM(A193,2) &amp; "-" &amp; TEXT(ROW(A189),"000"))</f>
      </c>
    </row>
    <row r="194" spans="1:14">
      <c r="A194" s="2"/>
      <c r="E194">
        <f>VLOOKUP(TablaMarimba[[#This Row],[Equipo]],Catalogos!$V$4:$W$64,2,FALSE)</f>
      </c>
      <c r="F194" s="3"/>
      <c r="G194" s="6"/>
      <c r="H194" s="3">
        <f t="shared" ref="H194:H206" si="13">IF(ROW()=5,F194-G194,H193+F194-G194)</f>
      </c>
      <c r="I194" s="4">
        <v>28.3</v>
      </c>
      <c r="J194" s="4">
        <f t="shared" si="12"/>
      </c>
      <c r="M194">
        <f t="shared" si="10"/>
      </c>
      <c r="N194">
        <f>IF(A194="","", "CM-" &amp; IFERROR(VLOOKUP(C194, Catalogos!$Z$4:$AA$20, 2, FALSE), "FOL") &amp; "-" &amp; WEEKNUM(A194,2) &amp; "-" &amp; TEXT(ROW(A190),"000"))</f>
      </c>
    </row>
    <row r="195" spans="1:14">
      <c r="A195" s="2"/>
      <c r="E195">
        <f>VLOOKUP(TablaMarimba[[#This Row],[Equipo]],Catalogos!$V$4:$W$64,2,FALSE)</f>
      </c>
      <c r="F195" s="3"/>
      <c r="G195" s="6"/>
      <c r="H195" s="3">
        <f t="shared" si="13"/>
      </c>
      <c r="I195" s="4">
        <v>28.3</v>
      </c>
      <c r="J195" s="4">
        <f t="shared" si="12"/>
      </c>
      <c r="M195">
        <f t="shared" si="10"/>
      </c>
      <c r="N195">
        <f>IF(A195="","", "CM-" &amp; IFERROR(VLOOKUP(C195, Catalogos!$Z$4:$AA$20, 2, FALSE), "FOL") &amp; "-" &amp; WEEKNUM(A195,2) &amp; "-" &amp; TEXT(ROW(A191),"000"))</f>
      </c>
    </row>
    <row r="196" spans="1:14">
      <c r="A196" s="2"/>
      <c r="E196">
        <f>VLOOKUP(TablaMarimba[[#This Row],[Equipo]],Catalogos!$V$4:$W$64,2,FALSE)</f>
      </c>
      <c r="F196" s="3"/>
      <c r="G196" s="6"/>
      <c r="H196" s="3">
        <f t="shared" si="13"/>
      </c>
      <c r="I196" s="4">
        <v>28.3</v>
      </c>
      <c r="J196" s="4">
        <f t="shared" si="12"/>
      </c>
      <c r="M196">
        <f t="shared" si="10"/>
      </c>
      <c r="N196">
        <f>IF(A196="","", "CM-" &amp; IFERROR(VLOOKUP(C196, Catalogos!$Z$4:$AA$20, 2, FALSE), "FOL") &amp; "-" &amp; WEEKNUM(A196,2) &amp; "-" &amp; TEXT(ROW(A192),"000"))</f>
      </c>
    </row>
    <row r="197" spans="1:14">
      <c r="A197" s="2"/>
      <c r="E197">
        <f>VLOOKUP(TablaMarimba[[#This Row],[Equipo]],Catalogos!$V$4:$W$64,2,FALSE)</f>
      </c>
      <c r="F197" s="3"/>
      <c r="G197" s="6"/>
      <c r="H197" s="3">
        <f t="shared" si="13"/>
      </c>
      <c r="I197" s="4">
        <v>28.3</v>
      </c>
      <c r="J197" s="4">
        <f t="shared" si="12"/>
      </c>
      <c r="M197">
        <f t="shared" ref="M197:M260" si="14">IF(A197="","", WEEKNUM(A197, 2))</f>
      </c>
      <c r="N197">
        <f>IF(A197="","", "CM-" &amp; IFERROR(VLOOKUP(C197, Catalogos!$Z$4:$AA$20, 2, FALSE), "FOL") &amp; "-" &amp; WEEKNUM(A197,2) &amp; "-" &amp; TEXT(ROW(A193),"000"))</f>
      </c>
    </row>
    <row r="198" spans="1:14">
      <c r="A198" s="2"/>
      <c r="E198">
        <f>VLOOKUP(TablaMarimba[[#This Row],[Equipo]],Catalogos!$V$4:$W$64,2,FALSE)</f>
      </c>
      <c r="F198" s="3"/>
      <c r="G198" s="6"/>
      <c r="H198" s="3">
        <f t="shared" si="13"/>
      </c>
      <c r="I198" s="4">
        <v>28.3</v>
      </c>
      <c r="J198" s="4">
        <f t="shared" si="12"/>
      </c>
      <c r="M198">
        <f t="shared" si="14"/>
      </c>
      <c r="N198">
        <f>IF(A198="","", "CM-" &amp; IFERROR(VLOOKUP(C198, Catalogos!$Z$4:$AA$20, 2, FALSE), "FOL") &amp; "-" &amp; WEEKNUM(A198,2) &amp; "-" &amp; TEXT(ROW(A194),"000"))</f>
      </c>
    </row>
    <row r="199" spans="1:14">
      <c r="A199" s="2"/>
      <c r="E199">
        <f>VLOOKUP(TablaMarimba[[#This Row],[Equipo]],Catalogos!$V$4:$W$64,2,FALSE)</f>
      </c>
      <c r="F199" s="3"/>
      <c r="G199" s="6"/>
      <c r="H199" s="3">
        <f t="shared" si="13"/>
      </c>
      <c r="I199" s="4">
        <v>28.3</v>
      </c>
      <c r="J199" s="4">
        <f t="shared" ref="J199:J206" si="15">IFERROR((F199+G199)*I199,0)</f>
      </c>
      <c r="M199">
        <f t="shared" si="14"/>
      </c>
      <c r="N199">
        <f>IF(A199="","", "CM-" &amp; IFERROR(VLOOKUP(C199, Catalogos!$Z$4:$AA$20, 2, FALSE), "FOL") &amp; "-" &amp; WEEKNUM(A199,2) &amp; "-" &amp; TEXT(ROW(A195),"000"))</f>
      </c>
    </row>
    <row r="200" spans="1:14">
      <c r="A200" s="2"/>
      <c r="E200">
        <f>VLOOKUP(TablaMarimba[[#This Row],[Equipo]],Catalogos!$V$4:$W$64,2,FALSE)</f>
      </c>
      <c r="F200" s="3"/>
      <c r="G200" s="6"/>
      <c r="H200" s="3">
        <f t="shared" si="13"/>
      </c>
      <c r="I200" s="4">
        <v>28.3</v>
      </c>
      <c r="J200" s="4">
        <f t="shared" si="15"/>
      </c>
      <c r="M200">
        <f t="shared" si="14"/>
      </c>
      <c r="N200">
        <f>IF(A200="","", "CM-" &amp; IFERROR(VLOOKUP(C200, Catalogos!$Z$4:$AA$20, 2, FALSE), "FOL") &amp; "-" &amp; WEEKNUM(A200,2) &amp; "-" &amp; TEXT(ROW(A196),"000"))</f>
      </c>
    </row>
    <row r="201" spans="1:14">
      <c r="A201" s="2"/>
      <c r="E201">
        <f>VLOOKUP(TablaMarimba[[#This Row],[Equipo]],Catalogos!$V$4:$W$64,2,FALSE)</f>
      </c>
      <c r="F201" s="3"/>
      <c r="G201" s="6"/>
      <c r="H201" s="3">
        <f t="shared" si="13"/>
      </c>
      <c r="I201" s="4">
        <v>28.3</v>
      </c>
      <c r="J201" s="4">
        <f t="shared" si="15"/>
      </c>
      <c r="M201">
        <f t="shared" si="14"/>
      </c>
    </row>
    <row r="202" spans="1:14">
      <c r="A202" s="2"/>
      <c r="E202">
        <f>VLOOKUP(TablaMarimba[[#This Row],[Equipo]],Catalogos!$V$4:$W$64,2,FALSE)</f>
      </c>
      <c r="F202" s="3"/>
      <c r="G202" s="6"/>
      <c r="H202" s="3">
        <f t="shared" si="13"/>
      </c>
      <c r="I202" s="4">
        <v>28.3</v>
      </c>
      <c r="J202" s="4">
        <f t="shared" si="15"/>
      </c>
      <c r="M202">
        <f t="shared" si="14"/>
      </c>
    </row>
    <row r="203" spans="1:14">
      <c r="A203" s="2"/>
      <c r="E203">
        <f>VLOOKUP(TablaMarimba[[#This Row],[Equipo]],Catalogos!$V$4:$W$64,2,FALSE)</f>
      </c>
      <c r="F203" s="3"/>
      <c r="G203" s="6"/>
      <c r="H203" s="3">
        <f t="shared" si="13"/>
      </c>
      <c r="I203" s="4">
        <v>28.3</v>
      </c>
      <c r="J203" s="4">
        <f t="shared" si="15"/>
      </c>
      <c r="M203">
        <f t="shared" si="14"/>
      </c>
    </row>
    <row r="204" spans="1:14">
      <c r="A204" s="2"/>
      <c r="E204">
        <f>VLOOKUP(TablaMarimba[[#This Row],[Equipo]],Catalogos!$V$4:$W$64,2,FALSE)</f>
      </c>
      <c r="F204" s="3"/>
      <c r="G204" s="6"/>
      <c r="H204" s="3">
        <f t="shared" si="13"/>
      </c>
      <c r="I204" s="4">
        <v>28.3</v>
      </c>
      <c r="J204" s="4">
        <f t="shared" si="15"/>
      </c>
      <c r="M204">
        <f t="shared" si="14"/>
      </c>
    </row>
    <row r="205" spans="1:14">
      <c r="A205" s="2"/>
      <c r="E205">
        <f>VLOOKUP(TablaMarimba[[#This Row],[Equipo]],Catalogos!$V$4:$W$64,2,FALSE)</f>
      </c>
      <c r="F205" s="3"/>
      <c r="G205" s="6"/>
      <c r="H205" s="3">
        <f t="shared" si="13"/>
      </c>
      <c r="I205" s="4">
        <v>28.3</v>
      </c>
      <c r="J205" s="4">
        <f t="shared" si="15"/>
      </c>
      <c r="M205">
        <f t="shared" si="14"/>
      </c>
    </row>
    <row r="206" spans="1:14">
      <c r="A206" s="2"/>
      <c r="E206">
        <f>VLOOKUP(TablaMarimba[[#This Row],[Equipo]],Catalogos!$V$4:$W$64,2,FALSE)</f>
      </c>
      <c r="F206" s="3"/>
      <c r="G206" s="6"/>
      <c r="H206" s="3">
        <f t="shared" si="13"/>
      </c>
      <c r="I206" s="4">
        <v>28.3</v>
      </c>
      <c r="J206" s="4">
        <f t="shared" si="15"/>
      </c>
      <c r="M206">
        <f t="shared" si="14"/>
      </c>
    </row>
    <row r="207" spans="1:14">
      <c r="M207">
        <f t="shared" si="14"/>
      </c>
    </row>
    <row r="208" spans="1:14">
      <c r="M208">
        <f t="shared" si="14"/>
      </c>
    </row>
    <row r="209" spans="7:13">
      <c r="G209" s="6"/>
      <c r="M209">
        <f t="shared" si="14"/>
      </c>
    </row>
    <row r="210" spans="7:13">
      <c r="M210">
        <f t="shared" si="14"/>
      </c>
    </row>
    <row r="211" spans="7:13">
      <c r="M211">
        <f t="shared" si="14"/>
      </c>
    </row>
    <row r="212" spans="7:13">
      <c r="M212">
        <f t="shared" si="14"/>
      </c>
    </row>
    <row r="213" spans="7:13">
      <c r="M213">
        <f t="shared" si="14"/>
      </c>
    </row>
    <row r="214" spans="7:13">
      <c r="M214">
        <f t="shared" si="14"/>
      </c>
    </row>
    <row r="215" spans="7:13">
      <c r="M215">
        <f t="shared" si="14"/>
      </c>
    </row>
    <row r="216" spans="7:13">
      <c r="M216">
        <f t="shared" si="14"/>
      </c>
    </row>
    <row r="217" spans="7:13">
      <c r="M217">
        <f t="shared" si="14"/>
      </c>
    </row>
    <row r="218" spans="7:13">
      <c r="M218">
        <f t="shared" si="14"/>
      </c>
    </row>
    <row r="219" spans="7:13">
      <c r="M219">
        <f t="shared" si="14"/>
      </c>
    </row>
    <row r="220" spans="7:13">
      <c r="M220">
        <f t="shared" si="14"/>
      </c>
    </row>
    <row r="221" spans="7:13">
      <c r="M221">
        <f t="shared" si="14"/>
      </c>
    </row>
    <row r="222" spans="7:13">
      <c r="M222">
        <f t="shared" si="14"/>
      </c>
    </row>
    <row r="223" spans="7:13">
      <c r="M223">
        <f t="shared" si="14"/>
      </c>
    </row>
    <row r="224" spans="7:13">
      <c r="M224">
        <f t="shared" si="14"/>
      </c>
    </row>
    <row r="225" spans="13:13">
      <c r="M225">
        <f t="shared" si="14"/>
      </c>
    </row>
    <row r="226" spans="13:13">
      <c r="M226">
        <f t="shared" si="14"/>
      </c>
    </row>
    <row r="227" spans="13:13">
      <c r="M227">
        <f t="shared" si="14"/>
      </c>
    </row>
    <row r="228" spans="13:13">
      <c r="M228">
        <f t="shared" si="14"/>
      </c>
    </row>
    <row r="229" spans="13:13">
      <c r="M229">
        <f t="shared" si="14"/>
      </c>
    </row>
    <row r="230" spans="13:13">
      <c r="M230">
        <f t="shared" si="14"/>
      </c>
    </row>
    <row r="231" spans="13:13">
      <c r="M231">
        <f t="shared" si="14"/>
      </c>
    </row>
    <row r="232" spans="13:13">
      <c r="M232">
        <f t="shared" si="14"/>
      </c>
    </row>
    <row r="233" spans="13:13">
      <c r="M233">
        <f t="shared" si="14"/>
      </c>
    </row>
    <row r="234" spans="13:13">
      <c r="M234">
        <f t="shared" si="14"/>
      </c>
    </row>
    <row r="235" spans="13:13">
      <c r="M235">
        <f t="shared" si="14"/>
      </c>
    </row>
    <row r="236" spans="13:13">
      <c r="M236">
        <f t="shared" si="14"/>
      </c>
    </row>
    <row r="237" spans="13:13">
      <c r="M237">
        <f t="shared" si="14"/>
      </c>
    </row>
    <row r="238" spans="13:13">
      <c r="M238">
        <f t="shared" si="14"/>
      </c>
    </row>
    <row r="239" spans="13:13">
      <c r="M239">
        <f t="shared" si="14"/>
      </c>
    </row>
    <row r="240" spans="13:13">
      <c r="M240">
        <f t="shared" si="14"/>
      </c>
    </row>
    <row r="241" spans="13:13">
      <c r="M241">
        <f t="shared" si="14"/>
      </c>
    </row>
    <row r="242" spans="13:13">
      <c r="M242">
        <f t="shared" si="14"/>
      </c>
    </row>
    <row r="243" spans="13:13">
      <c r="M243">
        <f t="shared" si="14"/>
      </c>
    </row>
    <row r="244" spans="13:13">
      <c r="M244">
        <f t="shared" si="14"/>
      </c>
    </row>
    <row r="245" spans="13:13">
      <c r="M245">
        <f t="shared" si="14"/>
      </c>
    </row>
    <row r="246" spans="13:13">
      <c r="M246">
        <f t="shared" si="14"/>
      </c>
    </row>
    <row r="247" spans="13:13">
      <c r="M247">
        <f t="shared" si="14"/>
      </c>
    </row>
    <row r="248" spans="13:13">
      <c r="M248">
        <f t="shared" si="14"/>
      </c>
    </row>
    <row r="249" spans="13:13">
      <c r="M249">
        <f t="shared" si="14"/>
      </c>
    </row>
    <row r="250" spans="13:13">
      <c r="M250">
        <f t="shared" si="14"/>
      </c>
    </row>
    <row r="251" spans="13:13">
      <c r="M251">
        <f t="shared" si="14"/>
      </c>
    </row>
    <row r="252" spans="13:13">
      <c r="M252">
        <f t="shared" si="14"/>
      </c>
    </row>
    <row r="253" spans="13:13">
      <c r="M253">
        <f t="shared" si="14"/>
      </c>
    </row>
    <row r="254" spans="13:13">
      <c r="M254">
        <f t="shared" si="14"/>
      </c>
    </row>
    <row r="255" spans="13:13">
      <c r="M255">
        <f t="shared" si="14"/>
      </c>
    </row>
    <row r="256" spans="13:13">
      <c r="M256">
        <f t="shared" si="14"/>
      </c>
    </row>
    <row r="257" spans="13:13">
      <c r="M257">
        <f t="shared" si="14"/>
      </c>
    </row>
    <row r="258" spans="13:13">
      <c r="M258">
        <f t="shared" si="14"/>
      </c>
    </row>
    <row r="259" spans="13:13">
      <c r="M259">
        <f t="shared" si="14"/>
      </c>
    </row>
    <row r="260" spans="13:13">
      <c r="M260">
        <f t="shared" si="14"/>
      </c>
    </row>
    <row r="261" spans="13:13">
      <c r="M261">
        <f t="shared" ref="M261:M324" si="16">IF(A261="","", WEEKNUM(A261, 2))</f>
      </c>
    </row>
    <row r="262" spans="13:13">
      <c r="M262">
        <f t="shared" si="16"/>
      </c>
    </row>
    <row r="263" spans="13:13">
      <c r="M263">
        <f t="shared" si="16"/>
      </c>
    </row>
    <row r="264" spans="13:13">
      <c r="M264">
        <f t="shared" si="16"/>
      </c>
    </row>
    <row r="265" spans="13:13">
      <c r="M265">
        <f t="shared" si="16"/>
      </c>
    </row>
    <row r="266" spans="13:13">
      <c r="M266">
        <f t="shared" si="16"/>
      </c>
    </row>
    <row r="267" spans="13:13">
      <c r="M267">
        <f t="shared" si="16"/>
      </c>
    </row>
    <row r="268" spans="13:13">
      <c r="M268">
        <f t="shared" si="16"/>
      </c>
    </row>
    <row r="269" spans="13:13">
      <c r="M269">
        <f t="shared" si="16"/>
      </c>
    </row>
    <row r="270" spans="13:13">
      <c r="M270">
        <f t="shared" si="16"/>
      </c>
    </row>
    <row r="271" spans="13:13">
      <c r="M271">
        <f t="shared" si="16"/>
      </c>
    </row>
    <row r="272" spans="13:13">
      <c r="M272">
        <f t="shared" si="16"/>
      </c>
    </row>
    <row r="273" spans="13:13">
      <c r="M273">
        <f t="shared" si="16"/>
      </c>
    </row>
    <row r="274" spans="13:13">
      <c r="M274">
        <f t="shared" si="16"/>
      </c>
    </row>
    <row r="275" spans="13:13">
      <c r="M275">
        <f t="shared" si="16"/>
      </c>
    </row>
    <row r="276" spans="13:13">
      <c r="M276">
        <f t="shared" si="16"/>
      </c>
    </row>
    <row r="277" spans="13:13">
      <c r="M277">
        <f t="shared" si="16"/>
      </c>
    </row>
    <row r="278" spans="13:13">
      <c r="M278">
        <f t="shared" si="16"/>
      </c>
    </row>
    <row r="279" spans="13:13">
      <c r="M279">
        <f t="shared" si="16"/>
      </c>
    </row>
    <row r="280" spans="13:13">
      <c r="M280">
        <f t="shared" si="16"/>
      </c>
    </row>
    <row r="281" spans="13:13">
      <c r="M281">
        <f t="shared" si="16"/>
      </c>
    </row>
    <row r="282" spans="13:13">
      <c r="M282">
        <f t="shared" si="16"/>
      </c>
    </row>
    <row r="283" spans="13:13">
      <c r="M283">
        <f t="shared" si="16"/>
      </c>
    </row>
    <row r="284" spans="13:13">
      <c r="M284">
        <f t="shared" si="16"/>
      </c>
    </row>
    <row r="285" spans="13:13">
      <c r="M285">
        <f t="shared" si="16"/>
      </c>
    </row>
    <row r="286" spans="13:13">
      <c r="M286">
        <f t="shared" si="16"/>
      </c>
    </row>
    <row r="287" spans="13:13">
      <c r="M287">
        <f t="shared" si="16"/>
      </c>
    </row>
    <row r="288" spans="13:13">
      <c r="M288">
        <f t="shared" si="16"/>
      </c>
    </row>
    <row r="289" spans="13:13">
      <c r="M289">
        <f t="shared" si="16"/>
      </c>
    </row>
    <row r="290" spans="13:13">
      <c r="M290">
        <f t="shared" si="16"/>
      </c>
    </row>
    <row r="291" spans="13:13">
      <c r="M291">
        <f t="shared" si="16"/>
      </c>
    </row>
    <row r="292" spans="13:13">
      <c r="M292">
        <f t="shared" si="16"/>
      </c>
    </row>
    <row r="293" spans="13:13">
      <c r="M293">
        <f t="shared" si="16"/>
      </c>
    </row>
    <row r="294" spans="13:13">
      <c r="M294">
        <f t="shared" si="16"/>
      </c>
    </row>
    <row r="295" spans="13:13">
      <c r="M295">
        <f t="shared" si="16"/>
      </c>
    </row>
    <row r="296" spans="13:13">
      <c r="M296">
        <f t="shared" si="16"/>
      </c>
    </row>
    <row r="297" spans="13:13">
      <c r="M297">
        <f t="shared" si="16"/>
      </c>
    </row>
    <row r="298" spans="13:13">
      <c r="M298">
        <f t="shared" si="16"/>
      </c>
    </row>
    <row r="299" spans="13:13">
      <c r="M299">
        <f t="shared" si="16"/>
      </c>
    </row>
    <row r="300" spans="13:13">
      <c r="M300">
        <f t="shared" si="16"/>
      </c>
    </row>
    <row r="301" spans="13:13">
      <c r="M301">
        <f t="shared" si="16"/>
      </c>
    </row>
    <row r="302" spans="13:13">
      <c r="M302">
        <f t="shared" si="16"/>
      </c>
    </row>
    <row r="303" spans="13:13">
      <c r="M303">
        <f t="shared" si="16"/>
      </c>
    </row>
    <row r="304" spans="13:13">
      <c r="M304">
        <f t="shared" si="16"/>
      </c>
    </row>
    <row r="305" spans="13:13">
      <c r="M305">
        <f t="shared" si="16"/>
      </c>
    </row>
    <row r="306" spans="13:13">
      <c r="M306">
        <f t="shared" si="16"/>
      </c>
    </row>
    <row r="307" spans="13:13">
      <c r="M307">
        <f t="shared" si="16"/>
      </c>
    </row>
    <row r="308" spans="13:13">
      <c r="M308">
        <f t="shared" si="16"/>
      </c>
    </row>
    <row r="309" spans="13:13">
      <c r="M309">
        <f t="shared" si="16"/>
      </c>
    </row>
    <row r="310" spans="13:13">
      <c r="M310">
        <f t="shared" si="16"/>
      </c>
    </row>
    <row r="311" spans="13:13">
      <c r="M311">
        <f t="shared" si="16"/>
      </c>
    </row>
    <row r="312" spans="13:13">
      <c r="M312">
        <f t="shared" si="16"/>
      </c>
    </row>
    <row r="313" spans="13:13">
      <c r="M313">
        <f t="shared" si="16"/>
      </c>
    </row>
    <row r="314" spans="13:13">
      <c r="M314">
        <f t="shared" si="16"/>
      </c>
    </row>
    <row r="315" spans="13:13">
      <c r="M315">
        <f t="shared" si="16"/>
      </c>
    </row>
    <row r="316" spans="13:13">
      <c r="M316">
        <f t="shared" si="16"/>
      </c>
    </row>
    <row r="317" spans="13:13">
      <c r="M317">
        <f t="shared" si="16"/>
      </c>
    </row>
    <row r="318" spans="13:13">
      <c r="M318">
        <f t="shared" si="16"/>
      </c>
    </row>
    <row r="319" spans="13:13">
      <c r="M319">
        <f t="shared" si="16"/>
      </c>
    </row>
    <row r="320" spans="13:13">
      <c r="M320">
        <f t="shared" si="16"/>
      </c>
    </row>
    <row r="321" spans="13:13">
      <c r="M321">
        <f t="shared" si="16"/>
      </c>
    </row>
    <row r="322" spans="13:13">
      <c r="M322">
        <f t="shared" si="16"/>
      </c>
    </row>
    <row r="323" spans="13:13">
      <c r="M323">
        <f t="shared" si="16"/>
      </c>
    </row>
    <row r="324" spans="13:13">
      <c r="M324">
        <f t="shared" si="16"/>
      </c>
    </row>
    <row r="325" spans="13:13">
      <c r="M325">
        <f t="shared" ref="M325:M388" si="17">IF(A325="","", WEEKNUM(A325, 2))</f>
      </c>
    </row>
    <row r="326" spans="13:13">
      <c r="M326">
        <f t="shared" si="17"/>
      </c>
    </row>
    <row r="327" spans="13:13">
      <c r="M327">
        <f t="shared" si="17"/>
      </c>
    </row>
    <row r="328" spans="13:13">
      <c r="M328">
        <f t="shared" si="17"/>
      </c>
    </row>
    <row r="329" spans="13:13">
      <c r="M329">
        <f t="shared" si="17"/>
      </c>
    </row>
    <row r="330" spans="13:13">
      <c r="M330">
        <f t="shared" si="17"/>
      </c>
    </row>
    <row r="331" spans="13:13">
      <c r="M331">
        <f t="shared" si="17"/>
      </c>
    </row>
    <row r="332" spans="13:13">
      <c r="M332">
        <f t="shared" si="17"/>
      </c>
    </row>
    <row r="333" spans="13:13">
      <c r="M333">
        <f t="shared" si="17"/>
      </c>
    </row>
    <row r="334" spans="13:13">
      <c r="M334">
        <f t="shared" si="17"/>
      </c>
    </row>
    <row r="335" spans="13:13">
      <c r="M335">
        <f t="shared" si="17"/>
      </c>
    </row>
    <row r="336" spans="13:13">
      <c r="M336">
        <f t="shared" si="17"/>
      </c>
    </row>
    <row r="337" spans="13:13">
      <c r="M337">
        <f t="shared" si="17"/>
      </c>
    </row>
    <row r="338" spans="13:13">
      <c r="M338">
        <f t="shared" si="17"/>
      </c>
    </row>
    <row r="339" spans="13:13">
      <c r="M339">
        <f t="shared" si="17"/>
      </c>
    </row>
    <row r="340" spans="13:13">
      <c r="M340">
        <f t="shared" si="17"/>
      </c>
    </row>
    <row r="341" spans="13:13">
      <c r="M341">
        <f t="shared" si="17"/>
      </c>
    </row>
    <row r="342" spans="13:13">
      <c r="M342">
        <f t="shared" si="17"/>
      </c>
    </row>
    <row r="343" spans="13:13">
      <c r="M343">
        <f t="shared" si="17"/>
      </c>
    </row>
    <row r="344" spans="13:13">
      <c r="M344">
        <f t="shared" si="17"/>
      </c>
    </row>
    <row r="345" spans="13:13">
      <c r="M345">
        <f t="shared" si="17"/>
      </c>
    </row>
    <row r="346" spans="13:13">
      <c r="M346">
        <f t="shared" si="17"/>
      </c>
    </row>
    <row r="347" spans="13:13">
      <c r="M347">
        <f t="shared" si="17"/>
      </c>
    </row>
    <row r="348" spans="13:13">
      <c r="M348">
        <f t="shared" si="17"/>
      </c>
    </row>
    <row r="349" spans="13:13">
      <c r="M349">
        <f t="shared" si="17"/>
      </c>
    </row>
    <row r="350" spans="13:13">
      <c r="M350">
        <f t="shared" si="17"/>
      </c>
    </row>
    <row r="351" spans="13:13">
      <c r="M351">
        <f t="shared" si="17"/>
      </c>
    </row>
    <row r="352" spans="13:13">
      <c r="M352">
        <f t="shared" si="17"/>
      </c>
    </row>
    <row r="353" spans="13:13">
      <c r="M353">
        <f t="shared" si="17"/>
      </c>
    </row>
    <row r="354" spans="13:13">
      <c r="M354">
        <f t="shared" si="17"/>
      </c>
    </row>
    <row r="355" spans="13:13">
      <c r="M355">
        <f t="shared" si="17"/>
      </c>
    </row>
    <row r="356" spans="13:13">
      <c r="M356">
        <f t="shared" si="17"/>
      </c>
    </row>
    <row r="357" spans="13:13">
      <c r="M357">
        <f t="shared" si="17"/>
      </c>
    </row>
    <row r="358" spans="13:13">
      <c r="M358">
        <f t="shared" si="17"/>
      </c>
    </row>
    <row r="359" spans="13:13">
      <c r="M359">
        <f t="shared" si="17"/>
      </c>
    </row>
    <row r="360" spans="13:13">
      <c r="M360">
        <f t="shared" si="17"/>
      </c>
    </row>
    <row r="361" spans="13:13">
      <c r="M361">
        <f t="shared" si="17"/>
      </c>
    </row>
    <row r="362" spans="13:13">
      <c r="M362">
        <f t="shared" si="17"/>
      </c>
    </row>
    <row r="363" spans="13:13">
      <c r="M363">
        <f t="shared" si="17"/>
      </c>
    </row>
    <row r="364" spans="13:13">
      <c r="M364">
        <f t="shared" si="17"/>
      </c>
    </row>
    <row r="365" spans="13:13">
      <c r="M365">
        <f t="shared" si="17"/>
      </c>
    </row>
    <row r="366" spans="13:13">
      <c r="M366">
        <f t="shared" si="17"/>
      </c>
    </row>
    <row r="367" spans="13:13">
      <c r="M367">
        <f t="shared" si="17"/>
      </c>
    </row>
    <row r="368" spans="13:13">
      <c r="M368">
        <f t="shared" si="17"/>
      </c>
    </row>
    <row r="369" spans="13:13">
      <c r="M369">
        <f t="shared" si="17"/>
      </c>
    </row>
    <row r="370" spans="13:13">
      <c r="M370">
        <f t="shared" si="17"/>
      </c>
    </row>
    <row r="371" spans="13:13">
      <c r="M371">
        <f t="shared" si="17"/>
      </c>
    </row>
    <row r="372" spans="13:13">
      <c r="M372">
        <f t="shared" si="17"/>
      </c>
    </row>
    <row r="373" spans="13:13">
      <c r="M373">
        <f t="shared" si="17"/>
      </c>
    </row>
    <row r="374" spans="13:13">
      <c r="M374">
        <f t="shared" si="17"/>
      </c>
    </row>
    <row r="375" spans="13:13">
      <c r="M375">
        <f t="shared" si="17"/>
      </c>
    </row>
    <row r="376" spans="13:13">
      <c r="M376">
        <f t="shared" si="17"/>
      </c>
    </row>
    <row r="377" spans="13:13">
      <c r="M377">
        <f t="shared" si="17"/>
      </c>
    </row>
    <row r="378" spans="13:13">
      <c r="M378">
        <f t="shared" si="17"/>
      </c>
    </row>
    <row r="379" spans="13:13">
      <c r="M379">
        <f t="shared" si="17"/>
      </c>
    </row>
    <row r="380" spans="13:13">
      <c r="M380">
        <f t="shared" si="17"/>
      </c>
    </row>
    <row r="381" spans="13:13">
      <c r="M381">
        <f t="shared" si="17"/>
      </c>
    </row>
    <row r="382" spans="13:13">
      <c r="M382">
        <f t="shared" si="17"/>
      </c>
    </row>
    <row r="383" spans="13:13">
      <c r="M383">
        <f t="shared" si="17"/>
      </c>
    </row>
    <row r="384" spans="13:13">
      <c r="M384">
        <f t="shared" si="17"/>
      </c>
    </row>
    <row r="385" spans="13:13">
      <c r="M385">
        <f t="shared" si="17"/>
      </c>
    </row>
    <row r="386" spans="13:13">
      <c r="M386">
        <f t="shared" si="17"/>
      </c>
    </row>
    <row r="387" spans="13:13">
      <c r="M387">
        <f t="shared" si="17"/>
      </c>
    </row>
    <row r="388" spans="13:13">
      <c r="M388">
        <f t="shared" si="17"/>
      </c>
    </row>
    <row r="389" spans="13:13">
      <c r="M389">
        <f t="shared" ref="M389:M452" si="18">IF(A389="","", WEEKNUM(A389, 2))</f>
      </c>
    </row>
    <row r="390" spans="13:13">
      <c r="M390">
        <f t="shared" si="18"/>
      </c>
    </row>
    <row r="391" spans="13:13">
      <c r="M391">
        <f t="shared" si="18"/>
      </c>
    </row>
    <row r="392" spans="13:13">
      <c r="M392">
        <f t="shared" si="18"/>
      </c>
    </row>
    <row r="393" spans="13:13">
      <c r="M393">
        <f t="shared" si="18"/>
      </c>
    </row>
    <row r="394" spans="13:13">
      <c r="M394">
        <f t="shared" si="18"/>
      </c>
    </row>
    <row r="395" spans="13:13">
      <c r="M395">
        <f t="shared" si="18"/>
      </c>
    </row>
    <row r="396" spans="13:13">
      <c r="M396">
        <f t="shared" si="18"/>
      </c>
    </row>
    <row r="397" spans="13:13">
      <c r="M397">
        <f t="shared" si="18"/>
      </c>
    </row>
    <row r="398" spans="13:13">
      <c r="M398">
        <f t="shared" si="18"/>
      </c>
    </row>
    <row r="399" spans="13:13">
      <c r="M399">
        <f t="shared" si="18"/>
      </c>
    </row>
    <row r="400" spans="13:13">
      <c r="M400">
        <f t="shared" si="18"/>
      </c>
    </row>
    <row r="401" spans="13:13">
      <c r="M401">
        <f t="shared" si="18"/>
      </c>
    </row>
    <row r="402" spans="13:13">
      <c r="M402">
        <f t="shared" si="18"/>
      </c>
    </row>
    <row r="403" spans="13:13">
      <c r="M403">
        <f t="shared" si="18"/>
      </c>
    </row>
    <row r="404" spans="13:13">
      <c r="M404">
        <f t="shared" si="18"/>
      </c>
    </row>
    <row r="405" spans="13:13">
      <c r="M405">
        <f t="shared" si="18"/>
      </c>
    </row>
    <row r="406" spans="13:13">
      <c r="M406">
        <f t="shared" si="18"/>
      </c>
    </row>
    <row r="407" spans="13:13">
      <c r="M407">
        <f t="shared" si="18"/>
      </c>
    </row>
    <row r="408" spans="13:13">
      <c r="M408">
        <f t="shared" si="18"/>
      </c>
    </row>
    <row r="409" spans="13:13">
      <c r="M409">
        <f t="shared" si="18"/>
      </c>
    </row>
    <row r="410" spans="13:13">
      <c r="M410">
        <f t="shared" si="18"/>
      </c>
    </row>
    <row r="411" spans="13:13">
      <c r="M411">
        <f t="shared" si="18"/>
      </c>
    </row>
    <row r="412" spans="13:13">
      <c r="M412">
        <f t="shared" si="18"/>
      </c>
    </row>
    <row r="413" spans="13:13">
      <c r="M413">
        <f t="shared" si="18"/>
      </c>
    </row>
    <row r="414" spans="13:13">
      <c r="M414">
        <f t="shared" si="18"/>
      </c>
    </row>
    <row r="415" spans="13:13">
      <c r="M415">
        <f t="shared" si="18"/>
      </c>
    </row>
    <row r="416" spans="13:13">
      <c r="M416">
        <f t="shared" si="18"/>
      </c>
    </row>
    <row r="417" spans="13:13">
      <c r="M417">
        <f t="shared" si="18"/>
      </c>
    </row>
    <row r="418" spans="13:13">
      <c r="M418">
        <f t="shared" si="18"/>
      </c>
    </row>
    <row r="419" spans="13:13">
      <c r="M419">
        <f t="shared" si="18"/>
      </c>
    </row>
    <row r="420" spans="13:13">
      <c r="M420">
        <f t="shared" si="18"/>
      </c>
    </row>
    <row r="421" spans="13:13">
      <c r="M421">
        <f t="shared" si="18"/>
      </c>
    </row>
    <row r="422" spans="13:13">
      <c r="M422">
        <f t="shared" si="18"/>
      </c>
    </row>
    <row r="423" spans="13:13">
      <c r="M423">
        <f t="shared" si="18"/>
      </c>
    </row>
    <row r="424" spans="13:13">
      <c r="M424">
        <f t="shared" si="18"/>
      </c>
    </row>
    <row r="425" spans="13:13">
      <c r="M425">
        <f t="shared" si="18"/>
      </c>
    </row>
    <row r="426" spans="13:13">
      <c r="M426">
        <f t="shared" si="18"/>
      </c>
    </row>
    <row r="427" spans="13:13">
      <c r="M427">
        <f t="shared" si="18"/>
      </c>
    </row>
    <row r="428" spans="13:13">
      <c r="M428">
        <f t="shared" si="18"/>
      </c>
    </row>
    <row r="429" spans="13:13">
      <c r="M429">
        <f t="shared" si="18"/>
      </c>
    </row>
    <row r="430" spans="13:13">
      <c r="M430">
        <f t="shared" si="18"/>
      </c>
    </row>
    <row r="431" spans="13:13">
      <c r="M431">
        <f t="shared" si="18"/>
      </c>
    </row>
    <row r="432" spans="13:13">
      <c r="M432">
        <f t="shared" si="18"/>
      </c>
    </row>
    <row r="433" spans="13:13">
      <c r="M433">
        <f t="shared" si="18"/>
      </c>
    </row>
    <row r="434" spans="13:13">
      <c r="M434">
        <f t="shared" si="18"/>
      </c>
    </row>
    <row r="435" spans="13:13">
      <c r="M435">
        <f t="shared" si="18"/>
      </c>
    </row>
    <row r="436" spans="13:13">
      <c r="M436">
        <f t="shared" si="18"/>
      </c>
    </row>
    <row r="437" spans="13:13">
      <c r="M437">
        <f t="shared" si="18"/>
      </c>
    </row>
    <row r="438" spans="13:13">
      <c r="M438">
        <f t="shared" si="18"/>
      </c>
    </row>
    <row r="439" spans="13:13">
      <c r="M439">
        <f t="shared" si="18"/>
      </c>
    </row>
    <row r="440" spans="13:13">
      <c r="M440">
        <f t="shared" si="18"/>
      </c>
    </row>
    <row r="441" spans="13:13">
      <c r="M441">
        <f t="shared" si="18"/>
      </c>
    </row>
    <row r="442" spans="13:13">
      <c r="M442">
        <f t="shared" si="18"/>
      </c>
    </row>
    <row r="443" spans="13:13">
      <c r="M443">
        <f t="shared" si="18"/>
      </c>
    </row>
    <row r="444" spans="13:13">
      <c r="M444">
        <f t="shared" si="18"/>
      </c>
    </row>
    <row r="445" spans="13:13">
      <c r="M445">
        <f t="shared" si="18"/>
      </c>
    </row>
    <row r="446" spans="13:13">
      <c r="M446">
        <f t="shared" si="18"/>
      </c>
    </row>
    <row r="447" spans="13:13">
      <c r="M447">
        <f t="shared" si="18"/>
      </c>
    </row>
    <row r="448" spans="13:13">
      <c r="M448">
        <f t="shared" si="18"/>
      </c>
    </row>
    <row r="449" spans="13:13">
      <c r="M449">
        <f t="shared" si="18"/>
      </c>
    </row>
    <row r="450" spans="13:13">
      <c r="M450">
        <f t="shared" si="18"/>
      </c>
    </row>
    <row r="451" spans="13:13">
      <c r="M451">
        <f t="shared" si="18"/>
      </c>
    </row>
    <row r="452" spans="13:13">
      <c r="M452">
        <f t="shared" si="18"/>
      </c>
    </row>
    <row r="453" spans="13:13">
      <c r="M453">
        <f t="shared" ref="M453:M516" si="19">IF(A453="","", WEEKNUM(A453, 2))</f>
      </c>
    </row>
    <row r="454" spans="13:13">
      <c r="M454">
        <f t="shared" si="19"/>
      </c>
    </row>
    <row r="455" spans="13:13">
      <c r="M455">
        <f t="shared" si="19"/>
      </c>
    </row>
    <row r="456" spans="13:13">
      <c r="M456">
        <f t="shared" si="19"/>
      </c>
    </row>
    <row r="457" spans="13:13">
      <c r="M457">
        <f t="shared" si="19"/>
      </c>
    </row>
    <row r="458" spans="13:13">
      <c r="M458">
        <f t="shared" si="19"/>
      </c>
    </row>
    <row r="459" spans="13:13">
      <c r="M459">
        <f t="shared" si="19"/>
      </c>
    </row>
    <row r="460" spans="13:13">
      <c r="M460">
        <f t="shared" si="19"/>
      </c>
    </row>
    <row r="461" spans="13:13">
      <c r="M461">
        <f t="shared" si="19"/>
      </c>
    </row>
    <row r="462" spans="13:13">
      <c r="M462">
        <f t="shared" si="19"/>
      </c>
    </row>
    <row r="463" spans="13:13">
      <c r="M463">
        <f t="shared" si="19"/>
      </c>
    </row>
    <row r="464" spans="13:13">
      <c r="M464">
        <f t="shared" si="19"/>
      </c>
    </row>
    <row r="465" spans="13:13">
      <c r="M465">
        <f t="shared" si="19"/>
      </c>
    </row>
    <row r="466" spans="13:13">
      <c r="M466">
        <f t="shared" si="19"/>
      </c>
    </row>
    <row r="467" spans="13:13">
      <c r="M467">
        <f t="shared" si="19"/>
      </c>
    </row>
    <row r="468" spans="13:13">
      <c r="M468">
        <f t="shared" si="19"/>
      </c>
    </row>
    <row r="469" spans="13:13">
      <c r="M469">
        <f t="shared" si="19"/>
      </c>
    </row>
    <row r="470" spans="13:13">
      <c r="M470">
        <f t="shared" si="19"/>
      </c>
    </row>
    <row r="471" spans="13:13">
      <c r="M471">
        <f t="shared" si="19"/>
      </c>
    </row>
    <row r="472" spans="13:13">
      <c r="M472">
        <f t="shared" si="19"/>
      </c>
    </row>
    <row r="473" spans="13:13">
      <c r="M473">
        <f t="shared" si="19"/>
      </c>
    </row>
    <row r="474" spans="13:13">
      <c r="M474">
        <f t="shared" si="19"/>
      </c>
    </row>
    <row r="475" spans="13:13">
      <c r="M475">
        <f t="shared" si="19"/>
      </c>
    </row>
    <row r="476" spans="13:13">
      <c r="M476">
        <f t="shared" si="19"/>
      </c>
    </row>
    <row r="477" spans="13:13">
      <c r="M477">
        <f t="shared" si="19"/>
      </c>
    </row>
    <row r="478" spans="13:13">
      <c r="M478">
        <f t="shared" si="19"/>
      </c>
    </row>
    <row r="479" spans="13:13">
      <c r="M479">
        <f t="shared" si="19"/>
      </c>
    </row>
    <row r="480" spans="13:13">
      <c r="M480">
        <f t="shared" si="19"/>
      </c>
    </row>
    <row r="481" spans="13:13">
      <c r="M481">
        <f t="shared" si="19"/>
      </c>
    </row>
    <row r="482" spans="13:13">
      <c r="M482">
        <f t="shared" si="19"/>
      </c>
    </row>
    <row r="483" spans="13:13">
      <c r="M483">
        <f t="shared" si="19"/>
      </c>
    </row>
    <row r="484" spans="13:13">
      <c r="M484">
        <f t="shared" si="19"/>
      </c>
    </row>
    <row r="485" spans="13:13">
      <c r="M485">
        <f t="shared" si="19"/>
      </c>
    </row>
    <row r="486" spans="13:13">
      <c r="M486">
        <f t="shared" si="19"/>
      </c>
    </row>
    <row r="487" spans="13:13">
      <c r="M487">
        <f t="shared" si="19"/>
      </c>
    </row>
    <row r="488" spans="13:13">
      <c r="M488">
        <f t="shared" si="19"/>
      </c>
    </row>
    <row r="489" spans="13:13">
      <c r="M489">
        <f t="shared" si="19"/>
      </c>
    </row>
    <row r="490" spans="13:13">
      <c r="M490">
        <f t="shared" si="19"/>
      </c>
    </row>
    <row r="491" spans="13:13">
      <c r="M491">
        <f t="shared" si="19"/>
      </c>
    </row>
    <row r="492" spans="13:13">
      <c r="M492">
        <f t="shared" si="19"/>
      </c>
    </row>
    <row r="493" spans="13:13">
      <c r="M493">
        <f t="shared" si="19"/>
      </c>
    </row>
    <row r="494" spans="13:13">
      <c r="M494">
        <f t="shared" si="19"/>
      </c>
    </row>
    <row r="495" spans="13:13">
      <c r="M495">
        <f t="shared" si="19"/>
      </c>
    </row>
    <row r="496" spans="13:13">
      <c r="M496">
        <f t="shared" si="19"/>
      </c>
    </row>
    <row r="497" spans="13:13">
      <c r="M497">
        <f t="shared" si="19"/>
      </c>
    </row>
    <row r="498" spans="13:13">
      <c r="M498">
        <f t="shared" si="19"/>
      </c>
    </row>
    <row r="499" spans="13:13">
      <c r="M499">
        <f t="shared" si="19"/>
      </c>
    </row>
    <row r="500" spans="13:13">
      <c r="M500">
        <f t="shared" si="19"/>
      </c>
    </row>
    <row r="501" spans="13:13">
      <c r="M501">
        <f t="shared" si="19"/>
      </c>
    </row>
    <row r="502" spans="13:13">
      <c r="M502">
        <f t="shared" si="19"/>
      </c>
    </row>
    <row r="503" spans="13:13">
      <c r="M503">
        <f t="shared" si="19"/>
      </c>
    </row>
    <row r="504" spans="13:13">
      <c r="M504">
        <f t="shared" si="19"/>
      </c>
    </row>
    <row r="505" spans="13:13">
      <c r="M505">
        <f t="shared" si="19"/>
      </c>
    </row>
    <row r="506" spans="13:13">
      <c r="M506">
        <f t="shared" si="19"/>
      </c>
    </row>
    <row r="507" spans="13:13">
      <c r="M507">
        <f t="shared" si="19"/>
      </c>
    </row>
    <row r="508" spans="13:13">
      <c r="M508">
        <f t="shared" si="19"/>
      </c>
    </row>
    <row r="509" spans="13:13">
      <c r="M509">
        <f t="shared" si="19"/>
      </c>
    </row>
    <row r="510" spans="13:13">
      <c r="M510">
        <f t="shared" si="19"/>
      </c>
    </row>
    <row r="511" spans="13:13">
      <c r="M511">
        <f t="shared" si="19"/>
      </c>
    </row>
    <row r="512" spans="13:13">
      <c r="M512">
        <f t="shared" si="19"/>
      </c>
    </row>
    <row r="513" spans="13:13">
      <c r="M513">
        <f t="shared" si="19"/>
      </c>
    </row>
    <row r="514" spans="13:13">
      <c r="M514">
        <f t="shared" si="19"/>
      </c>
    </row>
    <row r="515" spans="13:13">
      <c r="M515">
        <f t="shared" si="19"/>
      </c>
    </row>
    <row r="516" spans="13:13">
      <c r="M516">
        <f t="shared" si="19"/>
      </c>
    </row>
    <row r="517" spans="13:13">
      <c r="M517">
        <f t="shared" ref="M517:M580" si="20">IF(A517="","", WEEKNUM(A517, 2))</f>
      </c>
    </row>
    <row r="518" spans="13:13">
      <c r="M518">
        <f t="shared" si="20"/>
      </c>
    </row>
    <row r="519" spans="13:13">
      <c r="M519">
        <f t="shared" si="20"/>
      </c>
    </row>
    <row r="520" spans="13:13">
      <c r="M520">
        <f t="shared" si="20"/>
      </c>
    </row>
    <row r="521" spans="13:13">
      <c r="M521">
        <f t="shared" si="20"/>
      </c>
    </row>
    <row r="522" spans="13:13">
      <c r="M522">
        <f t="shared" si="20"/>
      </c>
    </row>
    <row r="523" spans="13:13">
      <c r="M523">
        <f t="shared" si="20"/>
      </c>
    </row>
    <row r="524" spans="13:13">
      <c r="M524">
        <f t="shared" si="20"/>
      </c>
    </row>
    <row r="525" spans="13:13">
      <c r="M525">
        <f t="shared" si="20"/>
      </c>
    </row>
    <row r="526" spans="13:13">
      <c r="M526">
        <f t="shared" si="20"/>
      </c>
    </row>
    <row r="527" spans="13:13">
      <c r="M527">
        <f t="shared" si="20"/>
      </c>
    </row>
    <row r="528" spans="13:13">
      <c r="M528">
        <f t="shared" si="20"/>
      </c>
    </row>
    <row r="529" spans="13:13">
      <c r="M529">
        <f t="shared" si="20"/>
      </c>
    </row>
    <row r="530" spans="13:13">
      <c r="M530">
        <f t="shared" si="20"/>
      </c>
    </row>
    <row r="531" spans="13:13">
      <c r="M531">
        <f t="shared" si="20"/>
      </c>
    </row>
    <row r="532" spans="13:13">
      <c r="M532">
        <f t="shared" si="20"/>
      </c>
    </row>
    <row r="533" spans="13:13">
      <c r="M533">
        <f t="shared" si="20"/>
      </c>
    </row>
    <row r="534" spans="13:13">
      <c r="M534">
        <f t="shared" si="20"/>
      </c>
    </row>
    <row r="535" spans="13:13">
      <c r="M535">
        <f t="shared" si="20"/>
      </c>
    </row>
    <row r="536" spans="13:13">
      <c r="M536">
        <f t="shared" si="20"/>
      </c>
    </row>
    <row r="537" spans="13:13">
      <c r="M537">
        <f t="shared" si="20"/>
      </c>
    </row>
    <row r="538" spans="13:13">
      <c r="M538">
        <f t="shared" si="20"/>
      </c>
    </row>
    <row r="539" spans="13:13">
      <c r="M539">
        <f t="shared" si="20"/>
      </c>
    </row>
    <row r="540" spans="13:13">
      <c r="M540">
        <f t="shared" si="20"/>
      </c>
    </row>
    <row r="541" spans="13:13">
      <c r="M541">
        <f t="shared" si="20"/>
      </c>
    </row>
    <row r="542" spans="13:13">
      <c r="M542">
        <f t="shared" si="20"/>
      </c>
    </row>
    <row r="543" spans="13:13">
      <c r="M543">
        <f t="shared" si="20"/>
      </c>
    </row>
    <row r="544" spans="13:13">
      <c r="M544">
        <f t="shared" si="20"/>
      </c>
    </row>
    <row r="545" spans="13:13">
      <c r="M545">
        <f t="shared" si="20"/>
      </c>
    </row>
    <row r="546" spans="13:13">
      <c r="M546">
        <f t="shared" si="20"/>
      </c>
    </row>
    <row r="547" spans="13:13">
      <c r="M547">
        <f t="shared" si="20"/>
      </c>
    </row>
    <row r="548" spans="13:13">
      <c r="M548">
        <f t="shared" si="20"/>
      </c>
    </row>
    <row r="549" spans="13:13">
      <c r="M549">
        <f t="shared" si="20"/>
      </c>
    </row>
    <row r="550" spans="13:13">
      <c r="M550">
        <f t="shared" si="20"/>
      </c>
    </row>
    <row r="551" spans="13:13">
      <c r="M551">
        <f t="shared" si="20"/>
      </c>
    </row>
    <row r="552" spans="13:13">
      <c r="M552">
        <f t="shared" si="20"/>
      </c>
    </row>
    <row r="553" spans="13:13">
      <c r="M553">
        <f t="shared" si="20"/>
      </c>
    </row>
    <row r="554" spans="13:13">
      <c r="M554">
        <f t="shared" si="20"/>
      </c>
    </row>
    <row r="555" spans="13:13">
      <c r="M555">
        <f t="shared" si="20"/>
      </c>
    </row>
    <row r="556" spans="13:13">
      <c r="M556">
        <f t="shared" si="20"/>
      </c>
    </row>
    <row r="557" spans="13:13">
      <c r="M557">
        <f t="shared" si="20"/>
      </c>
    </row>
    <row r="558" spans="13:13">
      <c r="M558">
        <f t="shared" si="20"/>
      </c>
    </row>
    <row r="559" spans="13:13">
      <c r="M559">
        <f t="shared" si="20"/>
      </c>
    </row>
    <row r="560" spans="13:13">
      <c r="M560">
        <f t="shared" si="20"/>
      </c>
    </row>
    <row r="561" spans="13:13">
      <c r="M561">
        <f t="shared" si="20"/>
      </c>
    </row>
    <row r="562" spans="13:13">
      <c r="M562">
        <f t="shared" si="20"/>
      </c>
    </row>
    <row r="563" spans="13:13">
      <c r="M563">
        <f t="shared" si="20"/>
      </c>
    </row>
    <row r="564" spans="13:13">
      <c r="M564">
        <f t="shared" si="20"/>
      </c>
    </row>
    <row r="565" spans="13:13">
      <c r="M565">
        <f t="shared" si="20"/>
      </c>
    </row>
    <row r="566" spans="13:13">
      <c r="M566">
        <f t="shared" si="20"/>
      </c>
    </row>
    <row r="567" spans="13:13">
      <c r="M567">
        <f t="shared" si="20"/>
      </c>
    </row>
    <row r="568" spans="13:13">
      <c r="M568">
        <f t="shared" si="20"/>
      </c>
    </row>
    <row r="569" spans="13:13">
      <c r="M569">
        <f t="shared" si="20"/>
      </c>
    </row>
    <row r="570" spans="13:13">
      <c r="M570">
        <f t="shared" si="20"/>
      </c>
    </row>
    <row r="571" spans="13:13">
      <c r="M571">
        <f t="shared" si="20"/>
      </c>
    </row>
    <row r="572" spans="13:13">
      <c r="M572">
        <f t="shared" si="20"/>
      </c>
    </row>
    <row r="573" spans="13:13">
      <c r="M573">
        <f t="shared" si="20"/>
      </c>
    </row>
    <row r="574" spans="13:13">
      <c r="M574">
        <f t="shared" si="20"/>
      </c>
    </row>
    <row r="575" spans="13:13">
      <c r="M575">
        <f t="shared" si="20"/>
      </c>
    </row>
    <row r="576" spans="13:13">
      <c r="M576">
        <f t="shared" si="20"/>
      </c>
    </row>
    <row r="577" spans="13:13">
      <c r="M577">
        <f t="shared" si="20"/>
      </c>
    </row>
    <row r="578" spans="13:13">
      <c r="M578">
        <f t="shared" si="20"/>
      </c>
    </row>
    <row r="579" spans="13:13">
      <c r="M579">
        <f t="shared" si="20"/>
      </c>
    </row>
    <row r="580" spans="13:13">
      <c r="M580">
        <f t="shared" si="20"/>
      </c>
    </row>
    <row r="581" spans="13:13">
      <c r="M581">
        <f t="shared" ref="M581:M644" si="21">IF(A581="","", WEEKNUM(A581, 2))</f>
      </c>
    </row>
    <row r="582" spans="13:13">
      <c r="M582">
        <f t="shared" si="21"/>
      </c>
    </row>
    <row r="583" spans="13:13">
      <c r="M583">
        <f t="shared" si="21"/>
      </c>
    </row>
    <row r="584" spans="13:13">
      <c r="M584">
        <f t="shared" si="21"/>
      </c>
    </row>
    <row r="585" spans="13:13">
      <c r="M585">
        <f t="shared" si="21"/>
      </c>
    </row>
    <row r="586" spans="13:13">
      <c r="M586">
        <f t="shared" si="21"/>
      </c>
    </row>
    <row r="587" spans="13:13">
      <c r="M587">
        <f t="shared" si="21"/>
      </c>
    </row>
    <row r="588" spans="13:13">
      <c r="M588">
        <f t="shared" si="21"/>
      </c>
    </row>
    <row r="589" spans="13:13">
      <c r="M589">
        <f t="shared" si="21"/>
      </c>
    </row>
    <row r="590" spans="13:13">
      <c r="M590">
        <f t="shared" si="21"/>
      </c>
    </row>
    <row r="591" spans="13:13">
      <c r="M591">
        <f t="shared" si="21"/>
      </c>
    </row>
    <row r="592" spans="13:13">
      <c r="M592">
        <f t="shared" si="21"/>
      </c>
    </row>
    <row r="593" spans="13:13">
      <c r="M593">
        <f t="shared" si="21"/>
      </c>
    </row>
    <row r="594" spans="13:13">
      <c r="M594">
        <f t="shared" si="21"/>
      </c>
    </row>
    <row r="595" spans="13:13">
      <c r="M595">
        <f t="shared" si="21"/>
      </c>
    </row>
    <row r="596" spans="13:13">
      <c r="M596">
        <f t="shared" si="21"/>
      </c>
    </row>
    <row r="597" spans="13:13">
      <c r="M597">
        <f t="shared" si="21"/>
      </c>
    </row>
    <row r="598" spans="13:13">
      <c r="M598">
        <f t="shared" si="21"/>
      </c>
    </row>
    <row r="599" spans="13:13">
      <c r="M599">
        <f t="shared" si="21"/>
      </c>
    </row>
    <row r="600" spans="13:13">
      <c r="M600">
        <f t="shared" si="21"/>
      </c>
    </row>
    <row r="601" spans="13:13">
      <c r="M601">
        <f t="shared" si="21"/>
      </c>
    </row>
    <row r="602" spans="13:13">
      <c r="M602">
        <f t="shared" si="21"/>
      </c>
    </row>
    <row r="603" spans="13:13">
      <c r="M603">
        <f t="shared" si="21"/>
      </c>
    </row>
    <row r="604" spans="13:13">
      <c r="M604">
        <f t="shared" si="21"/>
      </c>
    </row>
    <row r="605" spans="13:13">
      <c r="M605">
        <f t="shared" si="21"/>
      </c>
    </row>
    <row r="606" spans="13:13">
      <c r="M606">
        <f t="shared" si="21"/>
      </c>
    </row>
    <row r="607" spans="13:13">
      <c r="M607">
        <f t="shared" si="21"/>
      </c>
    </row>
    <row r="608" spans="13:13">
      <c r="M608">
        <f t="shared" si="21"/>
      </c>
    </row>
    <row r="609" spans="13:13">
      <c r="M609">
        <f t="shared" si="21"/>
      </c>
    </row>
    <row r="610" spans="13:13">
      <c r="M610">
        <f t="shared" si="21"/>
      </c>
    </row>
    <row r="611" spans="13:13">
      <c r="M611">
        <f t="shared" si="21"/>
      </c>
    </row>
    <row r="612" spans="13:13">
      <c r="M612">
        <f t="shared" si="21"/>
      </c>
    </row>
    <row r="613" spans="13:13">
      <c r="M613">
        <f t="shared" si="21"/>
      </c>
    </row>
    <row r="614" spans="13:13">
      <c r="M614">
        <f t="shared" si="21"/>
      </c>
    </row>
    <row r="615" spans="13:13">
      <c r="M615">
        <f t="shared" si="21"/>
      </c>
    </row>
    <row r="616" spans="13:13">
      <c r="M616">
        <f t="shared" si="21"/>
      </c>
    </row>
    <row r="617" spans="13:13">
      <c r="M617">
        <f t="shared" si="21"/>
      </c>
    </row>
    <row r="618" spans="13:13">
      <c r="M618">
        <f t="shared" si="21"/>
      </c>
    </row>
    <row r="619" spans="13:13">
      <c r="M619">
        <f t="shared" si="21"/>
      </c>
    </row>
    <row r="620" spans="13:13">
      <c r="M620">
        <f t="shared" si="21"/>
      </c>
    </row>
    <row r="621" spans="13:13">
      <c r="M621">
        <f t="shared" si="21"/>
      </c>
    </row>
    <row r="622" spans="13:13">
      <c r="M622">
        <f t="shared" si="21"/>
      </c>
    </row>
    <row r="623" spans="13:13">
      <c r="M623">
        <f t="shared" si="21"/>
      </c>
    </row>
    <row r="624" spans="13:13">
      <c r="M624">
        <f t="shared" si="21"/>
      </c>
    </row>
    <row r="625" spans="13:13">
      <c r="M625">
        <f t="shared" si="21"/>
      </c>
    </row>
    <row r="626" spans="13:13">
      <c r="M626">
        <f t="shared" si="21"/>
      </c>
    </row>
    <row r="627" spans="13:13">
      <c r="M627">
        <f t="shared" si="21"/>
      </c>
    </row>
    <row r="628" spans="13:13">
      <c r="M628">
        <f t="shared" si="21"/>
      </c>
    </row>
    <row r="629" spans="13:13">
      <c r="M629">
        <f t="shared" si="21"/>
      </c>
    </row>
    <row r="630" spans="13:13">
      <c r="M630">
        <f t="shared" si="21"/>
      </c>
    </row>
    <row r="631" spans="13:13">
      <c r="M631">
        <f t="shared" si="21"/>
      </c>
    </row>
    <row r="632" spans="13:13">
      <c r="M632">
        <f t="shared" si="21"/>
      </c>
    </row>
    <row r="633" spans="13:13">
      <c r="M633">
        <f t="shared" si="21"/>
      </c>
    </row>
    <row r="634" spans="13:13">
      <c r="M634">
        <f t="shared" si="21"/>
      </c>
    </row>
    <row r="635" spans="13:13">
      <c r="M635">
        <f t="shared" si="21"/>
      </c>
    </row>
    <row r="636" spans="13:13">
      <c r="M636">
        <f t="shared" si="21"/>
      </c>
    </row>
    <row r="637" spans="13:13">
      <c r="M637">
        <f t="shared" si="21"/>
      </c>
    </row>
    <row r="638" spans="13:13">
      <c r="M638">
        <f t="shared" si="21"/>
      </c>
    </row>
    <row r="639" spans="13:13">
      <c r="M639">
        <f t="shared" si="21"/>
      </c>
    </row>
    <row r="640" spans="13:13">
      <c r="M640">
        <f t="shared" si="21"/>
      </c>
    </row>
    <row r="641" spans="13:13">
      <c r="M641">
        <f t="shared" si="21"/>
      </c>
    </row>
    <row r="642" spans="13:13">
      <c r="M642">
        <f t="shared" si="21"/>
      </c>
    </row>
    <row r="643" spans="13:13">
      <c r="M643">
        <f t="shared" si="21"/>
      </c>
    </row>
    <row r="644" spans="13:13">
      <c r="M644">
        <f t="shared" si="21"/>
      </c>
    </row>
    <row r="645" spans="13:13">
      <c r="M645">
        <f t="shared" ref="M645:M708" si="22">IF(A645="","", WEEKNUM(A645, 2))</f>
      </c>
    </row>
    <row r="646" spans="13:13">
      <c r="M646">
        <f t="shared" si="22"/>
      </c>
    </row>
    <row r="647" spans="13:13">
      <c r="M647">
        <f t="shared" si="22"/>
      </c>
    </row>
    <row r="648" spans="13:13">
      <c r="M648">
        <f t="shared" si="22"/>
      </c>
    </row>
    <row r="649" spans="13:13">
      <c r="M649">
        <f t="shared" si="22"/>
      </c>
    </row>
    <row r="650" spans="13:13">
      <c r="M650">
        <f t="shared" si="22"/>
      </c>
    </row>
    <row r="651" spans="13:13">
      <c r="M651">
        <f t="shared" si="22"/>
      </c>
    </row>
    <row r="652" spans="13:13">
      <c r="M652">
        <f t="shared" si="22"/>
      </c>
    </row>
    <row r="653" spans="13:13">
      <c r="M653">
        <f t="shared" si="22"/>
      </c>
    </row>
    <row r="654" spans="13:13">
      <c r="M654">
        <f t="shared" si="22"/>
      </c>
    </row>
    <row r="655" spans="13:13">
      <c r="M655">
        <f t="shared" si="22"/>
      </c>
    </row>
    <row r="656" spans="13:13">
      <c r="M656">
        <f t="shared" si="22"/>
      </c>
    </row>
    <row r="657" spans="13:13">
      <c r="M657">
        <f t="shared" si="22"/>
      </c>
    </row>
    <row r="658" spans="13:13">
      <c r="M658">
        <f t="shared" si="22"/>
      </c>
    </row>
    <row r="659" spans="13:13">
      <c r="M659">
        <f t="shared" si="22"/>
      </c>
    </row>
    <row r="660" spans="13:13">
      <c r="M660">
        <f t="shared" si="22"/>
      </c>
    </row>
    <row r="661" spans="13:13">
      <c r="M661">
        <f t="shared" si="22"/>
      </c>
    </row>
    <row r="662" spans="13:13">
      <c r="M662">
        <f t="shared" si="22"/>
      </c>
    </row>
    <row r="663" spans="13:13">
      <c r="M663">
        <f t="shared" si="22"/>
      </c>
    </row>
    <row r="664" spans="13:13">
      <c r="M664">
        <f t="shared" si="22"/>
      </c>
    </row>
    <row r="665" spans="13:13">
      <c r="M665">
        <f t="shared" si="22"/>
      </c>
    </row>
    <row r="666" spans="13:13">
      <c r="M666">
        <f t="shared" si="22"/>
      </c>
    </row>
    <row r="667" spans="13:13">
      <c r="M667">
        <f t="shared" si="22"/>
      </c>
    </row>
    <row r="668" spans="13:13">
      <c r="M668">
        <f t="shared" si="22"/>
      </c>
    </row>
    <row r="669" spans="13:13">
      <c r="M669">
        <f t="shared" si="22"/>
      </c>
    </row>
    <row r="670" spans="13:13">
      <c r="M670">
        <f t="shared" si="22"/>
      </c>
    </row>
    <row r="671" spans="13:13">
      <c r="M671">
        <f t="shared" si="22"/>
      </c>
    </row>
    <row r="672" spans="13:13">
      <c r="M672">
        <f t="shared" si="22"/>
      </c>
    </row>
    <row r="673" spans="13:13">
      <c r="M673">
        <f t="shared" si="22"/>
      </c>
    </row>
    <row r="674" spans="13:13">
      <c r="M674">
        <f t="shared" si="22"/>
      </c>
    </row>
    <row r="675" spans="13:13">
      <c r="M675">
        <f t="shared" si="22"/>
      </c>
    </row>
    <row r="676" spans="13:13">
      <c r="M676">
        <f t="shared" si="22"/>
      </c>
    </row>
    <row r="677" spans="13:13">
      <c r="M677">
        <f t="shared" si="22"/>
      </c>
    </row>
    <row r="678" spans="13:13">
      <c r="M678">
        <f t="shared" si="22"/>
      </c>
    </row>
    <row r="679" spans="13:13">
      <c r="M679">
        <f t="shared" si="22"/>
      </c>
    </row>
    <row r="680" spans="13:13">
      <c r="M680">
        <f t="shared" si="22"/>
      </c>
    </row>
    <row r="681" spans="13:13">
      <c r="M681">
        <f t="shared" si="22"/>
      </c>
    </row>
    <row r="682" spans="13:13">
      <c r="M682">
        <f t="shared" si="22"/>
      </c>
    </row>
    <row r="683" spans="13:13">
      <c r="M683">
        <f t="shared" si="22"/>
      </c>
    </row>
    <row r="684" spans="13:13">
      <c r="M684">
        <f t="shared" si="22"/>
      </c>
    </row>
    <row r="685" spans="13:13">
      <c r="M685">
        <f t="shared" si="22"/>
      </c>
    </row>
    <row r="686" spans="13:13">
      <c r="M686">
        <f t="shared" si="22"/>
      </c>
    </row>
    <row r="687" spans="13:13">
      <c r="M687">
        <f t="shared" si="22"/>
      </c>
    </row>
    <row r="688" spans="13:13">
      <c r="M688">
        <f t="shared" si="22"/>
      </c>
    </row>
    <row r="689" spans="13:13">
      <c r="M689">
        <f t="shared" si="22"/>
      </c>
    </row>
    <row r="690" spans="13:13">
      <c r="M690">
        <f t="shared" si="22"/>
      </c>
    </row>
    <row r="691" spans="13:13">
      <c r="M691">
        <f t="shared" si="22"/>
      </c>
    </row>
    <row r="692" spans="13:13">
      <c r="M692">
        <f t="shared" si="22"/>
      </c>
    </row>
    <row r="693" spans="13:13">
      <c r="M693">
        <f t="shared" si="22"/>
      </c>
    </row>
    <row r="694" spans="13:13">
      <c r="M694">
        <f t="shared" si="22"/>
      </c>
    </row>
    <row r="695" spans="13:13">
      <c r="M695">
        <f t="shared" si="22"/>
      </c>
    </row>
    <row r="696" spans="13:13">
      <c r="M696">
        <f t="shared" si="22"/>
      </c>
    </row>
    <row r="697" spans="13:13">
      <c r="M697">
        <f t="shared" si="22"/>
      </c>
    </row>
    <row r="698" spans="13:13">
      <c r="M698">
        <f t="shared" si="22"/>
      </c>
    </row>
    <row r="699" spans="13:13">
      <c r="M699">
        <f t="shared" si="22"/>
      </c>
    </row>
    <row r="700" spans="13:13">
      <c r="M700">
        <f t="shared" si="22"/>
      </c>
    </row>
    <row r="701" spans="13:13">
      <c r="M701">
        <f t="shared" si="22"/>
      </c>
    </row>
    <row r="702" spans="13:13">
      <c r="M702">
        <f t="shared" si="22"/>
      </c>
    </row>
    <row r="703" spans="13:13">
      <c r="M703">
        <f t="shared" si="22"/>
      </c>
    </row>
    <row r="704" spans="13:13">
      <c r="M704">
        <f t="shared" si="22"/>
      </c>
    </row>
    <row r="705" spans="13:13">
      <c r="M705">
        <f t="shared" si="22"/>
      </c>
    </row>
    <row r="706" spans="13:13">
      <c r="M706">
        <f t="shared" si="22"/>
      </c>
    </row>
    <row r="707" spans="13:13">
      <c r="M707">
        <f t="shared" si="22"/>
      </c>
    </row>
    <row r="708" spans="13:13">
      <c r="M708">
        <f t="shared" si="22"/>
      </c>
    </row>
    <row r="709" spans="13:13">
      <c r="M709">
        <f t="shared" ref="M709:M772" si="23">IF(A709="","", WEEKNUM(A709, 2))</f>
      </c>
    </row>
    <row r="710" spans="13:13">
      <c r="M710">
        <f t="shared" si="23"/>
      </c>
    </row>
    <row r="711" spans="13:13">
      <c r="M711">
        <f t="shared" si="23"/>
      </c>
    </row>
    <row r="712" spans="13:13">
      <c r="M712">
        <f t="shared" si="23"/>
      </c>
    </row>
    <row r="713" spans="13:13">
      <c r="M713">
        <f t="shared" si="23"/>
      </c>
    </row>
    <row r="714" spans="13:13">
      <c r="M714">
        <f t="shared" si="23"/>
      </c>
    </row>
    <row r="715" spans="13:13">
      <c r="M715">
        <f t="shared" si="23"/>
      </c>
    </row>
    <row r="716" spans="13:13">
      <c r="M716">
        <f t="shared" si="23"/>
      </c>
    </row>
    <row r="717" spans="13:13">
      <c r="M717">
        <f t="shared" si="23"/>
      </c>
    </row>
    <row r="718" spans="13:13">
      <c r="M718">
        <f t="shared" si="23"/>
      </c>
    </row>
    <row r="719" spans="13:13">
      <c r="M719">
        <f t="shared" si="23"/>
      </c>
    </row>
    <row r="720" spans="13:13">
      <c r="M720">
        <f t="shared" si="23"/>
      </c>
    </row>
    <row r="721" spans="13:13">
      <c r="M721">
        <f t="shared" si="23"/>
      </c>
    </row>
    <row r="722" spans="13:13">
      <c r="M722">
        <f t="shared" si="23"/>
      </c>
    </row>
    <row r="723" spans="13:13">
      <c r="M723">
        <f t="shared" si="23"/>
      </c>
    </row>
    <row r="724" spans="13:13">
      <c r="M724">
        <f t="shared" si="23"/>
      </c>
    </row>
    <row r="725" spans="13:13">
      <c r="M725">
        <f t="shared" si="23"/>
      </c>
    </row>
    <row r="726" spans="13:13">
      <c r="M726">
        <f t="shared" si="23"/>
      </c>
    </row>
    <row r="727" spans="13:13">
      <c r="M727">
        <f t="shared" si="23"/>
      </c>
    </row>
    <row r="728" spans="13:13">
      <c r="M728">
        <f t="shared" si="23"/>
      </c>
    </row>
    <row r="729" spans="13:13">
      <c r="M729">
        <f t="shared" si="23"/>
      </c>
    </row>
    <row r="730" spans="13:13">
      <c r="M730">
        <f t="shared" si="23"/>
      </c>
    </row>
    <row r="731" spans="13:13">
      <c r="M731">
        <f t="shared" si="23"/>
      </c>
    </row>
    <row r="732" spans="13:13">
      <c r="M732">
        <f t="shared" si="23"/>
      </c>
    </row>
    <row r="733" spans="13:13">
      <c r="M733">
        <f t="shared" si="23"/>
      </c>
    </row>
    <row r="734" spans="13:13">
      <c r="M734">
        <f t="shared" si="23"/>
      </c>
    </row>
    <row r="735" spans="13:13">
      <c r="M735">
        <f t="shared" si="23"/>
      </c>
    </row>
    <row r="736" spans="13:13">
      <c r="M736">
        <f t="shared" si="23"/>
      </c>
    </row>
    <row r="737" spans="13:13">
      <c r="M737">
        <f t="shared" si="23"/>
      </c>
    </row>
    <row r="738" spans="13:13">
      <c r="M738">
        <f t="shared" si="23"/>
      </c>
    </row>
    <row r="739" spans="13:13">
      <c r="M739">
        <f t="shared" si="23"/>
      </c>
    </row>
    <row r="740" spans="13:13">
      <c r="M740">
        <f t="shared" si="23"/>
      </c>
    </row>
    <row r="741" spans="13:13">
      <c r="M741">
        <f t="shared" si="23"/>
      </c>
    </row>
    <row r="742" spans="13:13">
      <c r="M742">
        <f t="shared" si="23"/>
      </c>
    </row>
    <row r="743" spans="13:13">
      <c r="M743">
        <f t="shared" si="23"/>
      </c>
    </row>
    <row r="744" spans="13:13">
      <c r="M744">
        <f t="shared" si="23"/>
      </c>
    </row>
    <row r="745" spans="13:13">
      <c r="M745">
        <f t="shared" si="23"/>
      </c>
    </row>
    <row r="746" spans="13:13">
      <c r="M746">
        <f t="shared" si="23"/>
      </c>
    </row>
    <row r="747" spans="13:13">
      <c r="M747">
        <f t="shared" si="23"/>
      </c>
    </row>
    <row r="748" spans="13:13">
      <c r="M748">
        <f t="shared" si="23"/>
      </c>
    </row>
    <row r="749" spans="13:13">
      <c r="M749">
        <f t="shared" si="23"/>
      </c>
    </row>
    <row r="750" spans="13:13">
      <c r="M750">
        <f t="shared" si="23"/>
      </c>
    </row>
    <row r="751" spans="13:13">
      <c r="M751">
        <f t="shared" si="23"/>
      </c>
    </row>
    <row r="752" spans="13:13">
      <c r="M752">
        <f t="shared" si="23"/>
      </c>
    </row>
    <row r="753" spans="13:13">
      <c r="M753">
        <f t="shared" si="23"/>
      </c>
    </row>
    <row r="754" spans="13:13">
      <c r="M754">
        <f t="shared" si="23"/>
      </c>
    </row>
    <row r="755" spans="13:13">
      <c r="M755">
        <f t="shared" si="23"/>
      </c>
    </row>
    <row r="756" spans="13:13">
      <c r="M756">
        <f t="shared" si="23"/>
      </c>
    </row>
    <row r="757" spans="13:13">
      <c r="M757">
        <f t="shared" si="23"/>
      </c>
    </row>
    <row r="758" spans="13:13">
      <c r="M758">
        <f t="shared" si="23"/>
      </c>
    </row>
    <row r="759" spans="13:13">
      <c r="M759">
        <f t="shared" si="23"/>
      </c>
    </row>
    <row r="760" spans="13:13">
      <c r="M760">
        <f t="shared" si="23"/>
      </c>
    </row>
    <row r="761" spans="13:13">
      <c r="M761">
        <f t="shared" si="23"/>
      </c>
    </row>
    <row r="762" spans="13:13">
      <c r="M762">
        <f t="shared" si="23"/>
      </c>
    </row>
    <row r="763" spans="13:13">
      <c r="M763">
        <f t="shared" si="23"/>
      </c>
    </row>
    <row r="764" spans="13:13">
      <c r="M764">
        <f t="shared" si="23"/>
      </c>
    </row>
    <row r="765" spans="13:13">
      <c r="M765">
        <f t="shared" si="23"/>
      </c>
    </row>
    <row r="766" spans="13:13">
      <c r="M766">
        <f t="shared" si="23"/>
      </c>
    </row>
    <row r="767" spans="13:13">
      <c r="M767">
        <f t="shared" si="23"/>
      </c>
    </row>
    <row r="768" spans="13:13">
      <c r="M768">
        <f t="shared" si="23"/>
      </c>
    </row>
    <row r="769" spans="13:13">
      <c r="M769">
        <f t="shared" si="23"/>
      </c>
    </row>
    <row r="770" spans="13:13">
      <c r="M770">
        <f t="shared" si="23"/>
      </c>
    </row>
    <row r="771" spans="13:13">
      <c r="M771">
        <f t="shared" si="23"/>
      </c>
    </row>
    <row r="772" spans="13:13">
      <c r="M772">
        <f t="shared" si="23"/>
      </c>
    </row>
    <row r="773" spans="13:13">
      <c r="M773">
        <f t="shared" ref="M773:M836" si="24">IF(A773="","", WEEKNUM(A773, 2))</f>
      </c>
    </row>
    <row r="774" spans="13:13">
      <c r="M774">
        <f t="shared" si="24"/>
      </c>
    </row>
    <row r="775" spans="13:13">
      <c r="M775">
        <f t="shared" si="24"/>
      </c>
    </row>
    <row r="776" spans="13:13">
      <c r="M776">
        <f t="shared" si="24"/>
      </c>
    </row>
    <row r="777" spans="13:13">
      <c r="M777">
        <f t="shared" si="24"/>
      </c>
    </row>
    <row r="778" spans="13:13">
      <c r="M778">
        <f t="shared" si="24"/>
      </c>
    </row>
    <row r="779" spans="13:13">
      <c r="M779">
        <f t="shared" si="24"/>
      </c>
    </row>
    <row r="780" spans="13:13">
      <c r="M780">
        <f t="shared" si="24"/>
      </c>
    </row>
    <row r="781" spans="13:13">
      <c r="M781">
        <f t="shared" si="24"/>
      </c>
    </row>
    <row r="782" spans="13:13">
      <c r="M782">
        <f t="shared" si="24"/>
      </c>
    </row>
    <row r="783" spans="13:13">
      <c r="M783">
        <f t="shared" si="24"/>
      </c>
    </row>
    <row r="784" spans="13:13">
      <c r="M784">
        <f t="shared" si="24"/>
      </c>
    </row>
    <row r="785" spans="13:13">
      <c r="M785">
        <f t="shared" si="24"/>
      </c>
    </row>
    <row r="786" spans="13:13">
      <c r="M786">
        <f t="shared" si="24"/>
      </c>
    </row>
    <row r="787" spans="13:13">
      <c r="M787">
        <f t="shared" si="24"/>
      </c>
    </row>
    <row r="788" spans="13:13">
      <c r="M788">
        <f t="shared" si="24"/>
      </c>
    </row>
    <row r="789" spans="13:13">
      <c r="M789">
        <f t="shared" si="24"/>
      </c>
    </row>
    <row r="790" spans="13:13">
      <c r="M790">
        <f t="shared" si="24"/>
      </c>
    </row>
    <row r="791" spans="13:13">
      <c r="M791">
        <f t="shared" si="24"/>
      </c>
    </row>
    <row r="792" spans="13:13">
      <c r="M792">
        <f t="shared" si="24"/>
      </c>
    </row>
    <row r="793" spans="13:13">
      <c r="M793">
        <f t="shared" si="24"/>
      </c>
    </row>
    <row r="794" spans="13:13">
      <c r="M794">
        <f t="shared" si="24"/>
      </c>
    </row>
    <row r="795" spans="13:13">
      <c r="M795">
        <f t="shared" si="24"/>
      </c>
    </row>
    <row r="796" spans="13:13">
      <c r="M796">
        <f t="shared" si="24"/>
      </c>
    </row>
    <row r="797" spans="13:13">
      <c r="M797">
        <f t="shared" si="24"/>
      </c>
    </row>
    <row r="798" spans="13:13">
      <c r="M798">
        <f t="shared" si="24"/>
      </c>
    </row>
    <row r="799" spans="13:13">
      <c r="M799">
        <f t="shared" si="24"/>
      </c>
    </row>
    <row r="800" spans="13:13">
      <c r="M800">
        <f t="shared" si="24"/>
      </c>
    </row>
    <row r="801" spans="13:13">
      <c r="M801">
        <f t="shared" si="24"/>
      </c>
    </row>
    <row r="802" spans="13:13">
      <c r="M802">
        <f t="shared" si="24"/>
      </c>
    </row>
    <row r="803" spans="13:13">
      <c r="M803">
        <f t="shared" si="24"/>
      </c>
    </row>
    <row r="804" spans="13:13">
      <c r="M804">
        <f t="shared" si="24"/>
      </c>
    </row>
    <row r="805" spans="13:13">
      <c r="M805">
        <f t="shared" si="24"/>
      </c>
    </row>
    <row r="806" spans="13:13">
      <c r="M806">
        <f t="shared" si="24"/>
      </c>
    </row>
    <row r="807" spans="13:13">
      <c r="M807">
        <f t="shared" si="24"/>
      </c>
    </row>
    <row r="808" spans="13:13">
      <c r="M808">
        <f t="shared" si="24"/>
      </c>
    </row>
    <row r="809" spans="13:13">
      <c r="M809">
        <f t="shared" si="24"/>
      </c>
    </row>
    <row r="810" spans="13:13">
      <c r="M810">
        <f t="shared" si="24"/>
      </c>
    </row>
    <row r="811" spans="13:13">
      <c r="M811">
        <f t="shared" si="24"/>
      </c>
    </row>
    <row r="812" spans="13:13">
      <c r="M812">
        <f t="shared" si="24"/>
      </c>
    </row>
    <row r="813" spans="13:13">
      <c r="M813">
        <f t="shared" si="24"/>
      </c>
    </row>
    <row r="814" spans="13:13">
      <c r="M814">
        <f t="shared" si="24"/>
      </c>
    </row>
    <row r="815" spans="13:13">
      <c r="M815">
        <f t="shared" si="24"/>
      </c>
    </row>
    <row r="816" spans="13:13">
      <c r="M816">
        <f t="shared" si="24"/>
      </c>
    </row>
    <row r="817" spans="13:13">
      <c r="M817">
        <f t="shared" si="24"/>
      </c>
    </row>
    <row r="818" spans="13:13">
      <c r="M818">
        <f t="shared" si="24"/>
      </c>
    </row>
    <row r="819" spans="13:13">
      <c r="M819">
        <f t="shared" si="24"/>
      </c>
    </row>
    <row r="820" spans="13:13">
      <c r="M820">
        <f t="shared" si="24"/>
      </c>
    </row>
    <row r="821" spans="13:13">
      <c r="M821">
        <f t="shared" si="24"/>
      </c>
    </row>
    <row r="822" spans="13:13">
      <c r="M822">
        <f t="shared" si="24"/>
      </c>
    </row>
    <row r="823" spans="13:13">
      <c r="M823">
        <f t="shared" si="24"/>
      </c>
    </row>
    <row r="824" spans="13:13">
      <c r="M824">
        <f t="shared" si="24"/>
      </c>
    </row>
    <row r="825" spans="13:13">
      <c r="M825">
        <f t="shared" si="24"/>
      </c>
    </row>
    <row r="826" spans="13:13">
      <c r="M826">
        <f t="shared" si="24"/>
      </c>
    </row>
    <row r="827" spans="13:13">
      <c r="M827">
        <f t="shared" si="24"/>
      </c>
    </row>
    <row r="828" spans="13:13">
      <c r="M828">
        <f t="shared" si="24"/>
      </c>
    </row>
    <row r="829" spans="13:13">
      <c r="M829">
        <f t="shared" si="24"/>
      </c>
    </row>
    <row r="830" spans="13:13">
      <c r="M830">
        <f t="shared" si="24"/>
      </c>
    </row>
    <row r="831" spans="13:13">
      <c r="M831">
        <f t="shared" si="24"/>
      </c>
    </row>
    <row r="832" spans="13:13">
      <c r="M832">
        <f t="shared" si="24"/>
      </c>
    </row>
    <row r="833" spans="13:13">
      <c r="M833">
        <f t="shared" si="24"/>
      </c>
    </row>
    <row r="834" spans="13:13">
      <c r="M834">
        <f t="shared" si="24"/>
      </c>
    </row>
    <row r="835" spans="13:13">
      <c r="M835">
        <f t="shared" si="24"/>
      </c>
    </row>
    <row r="836" spans="13:13">
      <c r="M836">
        <f t="shared" si="24"/>
      </c>
    </row>
    <row r="837" spans="13:13">
      <c r="M837">
        <f t="shared" ref="M837:M900" si="25">IF(A837="","", WEEKNUM(A837, 2))</f>
      </c>
    </row>
    <row r="838" spans="13:13">
      <c r="M838">
        <f t="shared" si="25"/>
      </c>
    </row>
    <row r="839" spans="13:13">
      <c r="M839">
        <f t="shared" si="25"/>
      </c>
    </row>
    <row r="840" spans="13:13">
      <c r="M840">
        <f t="shared" si="25"/>
      </c>
    </row>
    <row r="841" spans="13:13">
      <c r="M841">
        <f t="shared" si="25"/>
      </c>
    </row>
    <row r="842" spans="13:13">
      <c r="M842">
        <f t="shared" si="25"/>
      </c>
    </row>
    <row r="843" spans="13:13">
      <c r="M843">
        <f t="shared" si="25"/>
      </c>
    </row>
    <row r="844" spans="13:13">
      <c r="M844">
        <f t="shared" si="25"/>
      </c>
    </row>
    <row r="845" spans="13:13">
      <c r="M845">
        <f t="shared" si="25"/>
      </c>
    </row>
    <row r="846" spans="13:13">
      <c r="M846">
        <f t="shared" si="25"/>
      </c>
    </row>
    <row r="847" spans="13:13">
      <c r="M847">
        <f t="shared" si="25"/>
      </c>
    </row>
    <row r="848" spans="13:13">
      <c r="M848">
        <f t="shared" si="25"/>
      </c>
    </row>
    <row r="849" spans="13:13">
      <c r="M849">
        <f t="shared" si="25"/>
      </c>
    </row>
    <row r="850" spans="13:13">
      <c r="M850">
        <f t="shared" si="25"/>
      </c>
    </row>
    <row r="851" spans="13:13">
      <c r="M851">
        <f t="shared" si="25"/>
      </c>
    </row>
    <row r="852" spans="13:13">
      <c r="M852">
        <f t="shared" si="25"/>
      </c>
    </row>
    <row r="853" spans="13:13">
      <c r="M853">
        <f t="shared" si="25"/>
      </c>
    </row>
    <row r="854" spans="13:13">
      <c r="M854">
        <f t="shared" si="25"/>
      </c>
    </row>
    <row r="855" spans="13:13">
      <c r="M855">
        <f t="shared" si="25"/>
      </c>
    </row>
    <row r="856" spans="13:13">
      <c r="M856">
        <f t="shared" si="25"/>
      </c>
    </row>
    <row r="857" spans="13:13">
      <c r="M857">
        <f t="shared" si="25"/>
      </c>
    </row>
    <row r="858" spans="13:13">
      <c r="M858">
        <f t="shared" si="25"/>
      </c>
    </row>
    <row r="859" spans="13:13">
      <c r="M859">
        <f t="shared" si="25"/>
      </c>
    </row>
    <row r="860" spans="13:13">
      <c r="M860">
        <f t="shared" si="25"/>
      </c>
    </row>
    <row r="861" spans="13:13">
      <c r="M861">
        <f t="shared" si="25"/>
      </c>
    </row>
    <row r="862" spans="13:13">
      <c r="M862">
        <f t="shared" si="25"/>
      </c>
    </row>
    <row r="863" spans="13:13">
      <c r="M863">
        <f t="shared" si="25"/>
      </c>
    </row>
    <row r="864" spans="13:13">
      <c r="M864">
        <f t="shared" si="25"/>
      </c>
    </row>
    <row r="865" spans="13:13">
      <c r="M865">
        <f t="shared" si="25"/>
      </c>
    </row>
    <row r="866" spans="13:13">
      <c r="M866">
        <f t="shared" si="25"/>
      </c>
    </row>
    <row r="867" spans="13:13">
      <c r="M867">
        <f t="shared" si="25"/>
      </c>
    </row>
    <row r="868" spans="13:13">
      <c r="M868">
        <f t="shared" si="25"/>
      </c>
    </row>
    <row r="869" spans="13:13">
      <c r="M869">
        <f t="shared" si="25"/>
      </c>
    </row>
    <row r="870" spans="13:13">
      <c r="M870">
        <f t="shared" si="25"/>
      </c>
    </row>
    <row r="871" spans="13:13">
      <c r="M871">
        <f t="shared" si="25"/>
      </c>
    </row>
    <row r="872" spans="13:13">
      <c r="M872">
        <f t="shared" si="25"/>
      </c>
    </row>
    <row r="873" spans="13:13">
      <c r="M873">
        <f t="shared" si="25"/>
      </c>
    </row>
    <row r="874" spans="13:13">
      <c r="M874">
        <f t="shared" si="25"/>
      </c>
    </row>
    <row r="875" spans="13:13">
      <c r="M875">
        <f t="shared" si="25"/>
      </c>
    </row>
    <row r="876" spans="13:13">
      <c r="M876">
        <f t="shared" si="25"/>
      </c>
    </row>
    <row r="877" spans="13:13">
      <c r="M877">
        <f t="shared" si="25"/>
      </c>
    </row>
    <row r="878" spans="13:13">
      <c r="M878">
        <f t="shared" si="25"/>
      </c>
    </row>
    <row r="879" spans="13:13">
      <c r="M879">
        <f t="shared" si="25"/>
      </c>
    </row>
    <row r="880" spans="13:13">
      <c r="M880">
        <f t="shared" si="25"/>
      </c>
    </row>
    <row r="881" spans="13:13">
      <c r="M881">
        <f t="shared" si="25"/>
      </c>
    </row>
    <row r="882" spans="13:13">
      <c r="M882">
        <f t="shared" si="25"/>
      </c>
    </row>
    <row r="883" spans="13:13">
      <c r="M883">
        <f t="shared" si="25"/>
      </c>
    </row>
    <row r="884" spans="13:13">
      <c r="M884">
        <f t="shared" si="25"/>
      </c>
    </row>
    <row r="885" spans="13:13">
      <c r="M885">
        <f t="shared" si="25"/>
      </c>
    </row>
    <row r="886" spans="13:13">
      <c r="M886">
        <f t="shared" si="25"/>
      </c>
    </row>
    <row r="887" spans="13:13">
      <c r="M887">
        <f t="shared" si="25"/>
      </c>
    </row>
    <row r="888" spans="13:13">
      <c r="M888">
        <f t="shared" si="25"/>
      </c>
    </row>
    <row r="889" spans="13:13">
      <c r="M889">
        <f t="shared" si="25"/>
      </c>
    </row>
    <row r="890" spans="13:13">
      <c r="M890">
        <f t="shared" si="25"/>
      </c>
    </row>
    <row r="891" spans="13:13">
      <c r="M891">
        <f t="shared" si="25"/>
      </c>
    </row>
    <row r="892" spans="13:13">
      <c r="M892">
        <f t="shared" si="25"/>
      </c>
    </row>
    <row r="893" spans="13:13">
      <c r="M893">
        <f t="shared" si="25"/>
      </c>
    </row>
    <row r="894" spans="13:13">
      <c r="M894">
        <f t="shared" si="25"/>
      </c>
    </row>
    <row r="895" spans="13:13">
      <c r="M895">
        <f t="shared" si="25"/>
      </c>
    </row>
    <row r="896" spans="13:13">
      <c r="M896">
        <f t="shared" si="25"/>
      </c>
    </row>
    <row r="897" spans="13:13">
      <c r="M897">
        <f t="shared" si="25"/>
      </c>
    </row>
    <row r="898" spans="13:13">
      <c r="M898">
        <f t="shared" si="25"/>
      </c>
    </row>
    <row r="899" spans="13:13">
      <c r="M899">
        <f t="shared" si="25"/>
      </c>
    </row>
    <row r="900" spans="13:13">
      <c r="M900">
        <f t="shared" si="25"/>
      </c>
    </row>
    <row r="901" spans="13:13">
      <c r="M901">
        <f t="shared" ref="M901:M964" si="26">IF(A901="","", WEEKNUM(A901, 2))</f>
      </c>
    </row>
    <row r="902" spans="13:13">
      <c r="M902">
        <f t="shared" si="26"/>
      </c>
    </row>
    <row r="903" spans="13:13">
      <c r="M903">
        <f t="shared" si="26"/>
      </c>
    </row>
    <row r="904" spans="13:13">
      <c r="M904">
        <f t="shared" si="26"/>
      </c>
    </row>
    <row r="905" spans="13:13">
      <c r="M905">
        <f t="shared" si="26"/>
      </c>
    </row>
    <row r="906" spans="13:13">
      <c r="M906">
        <f t="shared" si="26"/>
      </c>
    </row>
    <row r="907" spans="13:13">
      <c r="M907">
        <f t="shared" si="26"/>
      </c>
    </row>
    <row r="908" spans="13:13">
      <c r="M908">
        <f t="shared" si="26"/>
      </c>
    </row>
    <row r="909" spans="13:13">
      <c r="M909">
        <f t="shared" si="26"/>
      </c>
    </row>
    <row r="910" spans="13:13">
      <c r="M910">
        <f t="shared" si="26"/>
      </c>
    </row>
    <row r="911" spans="13:13">
      <c r="M911">
        <f t="shared" si="26"/>
      </c>
    </row>
    <row r="912" spans="13:13">
      <c r="M912">
        <f t="shared" si="26"/>
      </c>
    </row>
    <row r="913" spans="13:13">
      <c r="M913">
        <f t="shared" si="26"/>
      </c>
    </row>
    <row r="914" spans="13:13">
      <c r="M914">
        <f t="shared" si="26"/>
      </c>
    </row>
    <row r="915" spans="13:13">
      <c r="M915">
        <f t="shared" si="26"/>
      </c>
    </row>
    <row r="916" spans="13:13">
      <c r="M916">
        <f t="shared" si="26"/>
      </c>
    </row>
    <row r="917" spans="13:13">
      <c r="M917">
        <f t="shared" si="26"/>
      </c>
    </row>
    <row r="918" spans="13:13">
      <c r="M918">
        <f t="shared" si="26"/>
      </c>
    </row>
    <row r="919" spans="13:13">
      <c r="M919">
        <f t="shared" si="26"/>
      </c>
    </row>
    <row r="920" spans="13:13">
      <c r="M920">
        <f t="shared" si="26"/>
      </c>
    </row>
    <row r="921" spans="13:13">
      <c r="M921">
        <f t="shared" si="26"/>
      </c>
    </row>
    <row r="922" spans="13:13">
      <c r="M922">
        <f t="shared" si="26"/>
      </c>
    </row>
    <row r="923" spans="13:13">
      <c r="M923">
        <f t="shared" si="26"/>
      </c>
    </row>
    <row r="924" spans="13:13">
      <c r="M924">
        <f t="shared" si="26"/>
      </c>
    </row>
    <row r="925" spans="13:13">
      <c r="M925">
        <f t="shared" si="26"/>
      </c>
    </row>
    <row r="926" spans="13:13">
      <c r="M926">
        <f t="shared" si="26"/>
      </c>
    </row>
    <row r="927" spans="13:13">
      <c r="M927">
        <f t="shared" si="26"/>
      </c>
    </row>
    <row r="928" spans="13:13">
      <c r="M928">
        <f t="shared" si="26"/>
      </c>
    </row>
    <row r="929" spans="13:13">
      <c r="M929">
        <f t="shared" si="26"/>
      </c>
    </row>
    <row r="930" spans="13:13">
      <c r="M930">
        <f t="shared" si="26"/>
      </c>
    </row>
    <row r="931" spans="13:13">
      <c r="M931">
        <f t="shared" si="26"/>
      </c>
    </row>
    <row r="932" spans="13:13">
      <c r="M932">
        <f t="shared" si="26"/>
      </c>
    </row>
    <row r="933" spans="13:13">
      <c r="M933">
        <f t="shared" si="26"/>
      </c>
    </row>
    <row r="934" spans="13:13">
      <c r="M934">
        <f t="shared" si="26"/>
      </c>
    </row>
    <row r="935" spans="13:13">
      <c r="M935">
        <f t="shared" si="26"/>
      </c>
    </row>
    <row r="936" spans="13:13">
      <c r="M936">
        <f t="shared" si="26"/>
      </c>
    </row>
    <row r="937" spans="13:13">
      <c r="M937">
        <f t="shared" si="26"/>
      </c>
    </row>
    <row r="938" spans="13:13">
      <c r="M938">
        <f t="shared" si="26"/>
      </c>
    </row>
    <row r="939" spans="13:13">
      <c r="M939">
        <f t="shared" si="26"/>
      </c>
    </row>
    <row r="940" spans="13:13">
      <c r="M940">
        <f t="shared" si="26"/>
      </c>
    </row>
    <row r="941" spans="13:13">
      <c r="M941">
        <f t="shared" si="26"/>
      </c>
    </row>
    <row r="942" spans="13:13">
      <c r="M942">
        <f t="shared" si="26"/>
      </c>
    </row>
    <row r="943" spans="13:13">
      <c r="M943">
        <f t="shared" si="26"/>
      </c>
    </row>
    <row r="944" spans="13:13">
      <c r="M944">
        <f t="shared" si="26"/>
      </c>
    </row>
    <row r="945" spans="13:13">
      <c r="M945">
        <f t="shared" si="26"/>
      </c>
    </row>
    <row r="946" spans="13:13">
      <c r="M946">
        <f t="shared" si="26"/>
      </c>
    </row>
    <row r="947" spans="13:13">
      <c r="M947">
        <f t="shared" si="26"/>
      </c>
    </row>
    <row r="948" spans="13:13">
      <c r="M948">
        <f t="shared" si="26"/>
      </c>
    </row>
    <row r="949" spans="13:13">
      <c r="M949">
        <f t="shared" si="26"/>
      </c>
    </row>
    <row r="950" spans="13:13">
      <c r="M950">
        <f t="shared" si="26"/>
      </c>
    </row>
    <row r="951" spans="13:13">
      <c r="M951">
        <f t="shared" si="26"/>
      </c>
    </row>
    <row r="952" spans="13:13">
      <c r="M952">
        <f t="shared" si="26"/>
      </c>
    </row>
    <row r="953" spans="13:13">
      <c r="M953">
        <f t="shared" si="26"/>
      </c>
    </row>
    <row r="954" spans="13:13">
      <c r="M954">
        <f t="shared" si="26"/>
      </c>
    </row>
    <row r="955" spans="13:13">
      <c r="M955">
        <f t="shared" si="26"/>
      </c>
    </row>
    <row r="956" spans="13:13">
      <c r="M956">
        <f t="shared" si="26"/>
      </c>
    </row>
    <row r="957" spans="13:13">
      <c r="M957">
        <f t="shared" si="26"/>
      </c>
    </row>
    <row r="958" spans="13:13">
      <c r="M958">
        <f t="shared" si="26"/>
      </c>
    </row>
    <row r="959" spans="13:13">
      <c r="M959">
        <f t="shared" si="26"/>
      </c>
    </row>
    <row r="960" spans="13:13">
      <c r="M960">
        <f t="shared" si="26"/>
      </c>
    </row>
    <row r="961" spans="13:13">
      <c r="M961">
        <f t="shared" si="26"/>
      </c>
    </row>
    <row r="962" spans="13:13">
      <c r="M962">
        <f t="shared" si="26"/>
      </c>
    </row>
    <row r="963" spans="13:13">
      <c r="M963">
        <f t="shared" si="26"/>
      </c>
    </row>
    <row r="964" spans="13:13">
      <c r="M964">
        <f t="shared" si="26"/>
      </c>
    </row>
    <row r="965" spans="13:13">
      <c r="M965">
        <f t="shared" ref="M965:M1028" si="27">IF(A965="","", WEEKNUM(A965, 2))</f>
      </c>
    </row>
    <row r="966" spans="13:13">
      <c r="M966">
        <f t="shared" si="27"/>
      </c>
    </row>
    <row r="967" spans="13:13">
      <c r="M967">
        <f t="shared" si="27"/>
      </c>
    </row>
    <row r="968" spans="13:13">
      <c r="M968">
        <f t="shared" si="27"/>
      </c>
    </row>
    <row r="969" spans="13:13">
      <c r="M969">
        <f t="shared" si="27"/>
      </c>
    </row>
    <row r="970" spans="13:13">
      <c r="M970">
        <f t="shared" si="27"/>
      </c>
    </row>
    <row r="971" spans="13:13">
      <c r="M971">
        <f t="shared" si="27"/>
      </c>
    </row>
    <row r="972" spans="13:13">
      <c r="M972">
        <f t="shared" si="27"/>
      </c>
    </row>
    <row r="973" spans="13:13">
      <c r="M973">
        <f t="shared" si="27"/>
      </c>
    </row>
    <row r="974" spans="13:13">
      <c r="M974">
        <f t="shared" si="27"/>
      </c>
    </row>
    <row r="975" spans="13:13">
      <c r="M975">
        <f t="shared" si="27"/>
      </c>
    </row>
    <row r="976" spans="13:13">
      <c r="M976">
        <f t="shared" si="27"/>
      </c>
    </row>
    <row r="977" spans="13:13">
      <c r="M977">
        <f t="shared" si="27"/>
      </c>
    </row>
    <row r="978" spans="13:13">
      <c r="M978">
        <f t="shared" si="27"/>
      </c>
    </row>
    <row r="979" spans="13:13">
      <c r="M979">
        <f t="shared" si="27"/>
      </c>
    </row>
    <row r="980" spans="13:13">
      <c r="M980">
        <f t="shared" si="27"/>
      </c>
    </row>
    <row r="981" spans="13:13">
      <c r="M981">
        <f t="shared" si="27"/>
      </c>
    </row>
    <row r="982" spans="13:13">
      <c r="M982">
        <f t="shared" si="27"/>
      </c>
    </row>
    <row r="983" spans="13:13">
      <c r="M983">
        <f t="shared" si="27"/>
      </c>
    </row>
    <row r="984" spans="13:13">
      <c r="M984">
        <f t="shared" si="27"/>
      </c>
    </row>
    <row r="985" spans="13:13">
      <c r="M985">
        <f t="shared" si="27"/>
      </c>
    </row>
    <row r="986" spans="13:13">
      <c r="M986">
        <f t="shared" si="27"/>
      </c>
    </row>
    <row r="987" spans="13:13">
      <c r="M987">
        <f t="shared" si="27"/>
      </c>
    </row>
    <row r="988" spans="13:13">
      <c r="M988">
        <f t="shared" si="27"/>
      </c>
    </row>
    <row r="989" spans="13:13">
      <c r="M989">
        <f t="shared" si="27"/>
      </c>
    </row>
    <row r="990" spans="13:13">
      <c r="M990">
        <f t="shared" si="27"/>
      </c>
    </row>
    <row r="991" spans="13:13">
      <c r="M991">
        <f t="shared" si="27"/>
      </c>
    </row>
    <row r="992" spans="13:13">
      <c r="M992">
        <f t="shared" si="27"/>
      </c>
    </row>
    <row r="993" spans="13:13">
      <c r="M993">
        <f t="shared" si="27"/>
      </c>
    </row>
    <row r="994" spans="13:13">
      <c r="M994">
        <f t="shared" si="27"/>
      </c>
    </row>
    <row r="995" spans="13:13">
      <c r="M995">
        <f t="shared" si="27"/>
      </c>
    </row>
    <row r="996" spans="13:13">
      <c r="M996">
        <f t="shared" si="27"/>
      </c>
    </row>
    <row r="997" spans="13:13">
      <c r="M997">
        <f t="shared" si="27"/>
      </c>
    </row>
    <row r="998" spans="13:13">
      <c r="M998">
        <f t="shared" si="27"/>
      </c>
    </row>
    <row r="999" spans="13:13">
      <c r="M999">
        <f t="shared" si="27"/>
      </c>
    </row>
    <row r="1000" spans="13:13">
      <c r="M1000">
        <f t="shared" si="27"/>
      </c>
    </row>
    <row r="1001" spans="13:13">
      <c r="M1001">
        <f t="shared" si="27"/>
      </c>
    </row>
    <row r="1002" spans="13:13">
      <c r="M1002">
        <f t="shared" si="27"/>
      </c>
    </row>
    <row r="1003" spans="13:13">
      <c r="M1003">
        <f t="shared" si="27"/>
      </c>
    </row>
    <row r="1004" spans="13:13">
      <c r="M1004">
        <f t="shared" si="27"/>
      </c>
    </row>
    <row r="1005" spans="13:13">
      <c r="M1005">
        <f t="shared" si="27"/>
      </c>
    </row>
    <row r="1006" spans="13:13">
      <c r="M1006">
        <f t="shared" si="27"/>
      </c>
    </row>
    <row r="1007" spans="13:13">
      <c r="M1007">
        <f t="shared" si="27"/>
      </c>
    </row>
    <row r="1008" spans="13:13">
      <c r="M1008">
        <f t="shared" si="27"/>
      </c>
    </row>
    <row r="1009" spans="13:13">
      <c r="M1009">
        <f t="shared" si="27"/>
      </c>
    </row>
    <row r="1010" spans="13:13">
      <c r="M1010">
        <f t="shared" si="27"/>
      </c>
    </row>
    <row r="1011" spans="13:13">
      <c r="M1011">
        <f t="shared" si="27"/>
      </c>
    </row>
    <row r="1012" spans="13:13">
      <c r="M1012">
        <f t="shared" si="27"/>
      </c>
    </row>
    <row r="1013" spans="13:13">
      <c r="M1013">
        <f t="shared" si="27"/>
      </c>
    </row>
    <row r="1014" spans="13:13">
      <c r="M1014">
        <f t="shared" si="27"/>
      </c>
    </row>
    <row r="1015" spans="13:13">
      <c r="M1015">
        <f t="shared" si="27"/>
      </c>
    </row>
    <row r="1016" spans="13:13">
      <c r="M1016">
        <f t="shared" si="27"/>
      </c>
    </row>
    <row r="1017" spans="13:13">
      <c r="M1017">
        <f t="shared" si="27"/>
      </c>
    </row>
    <row r="1018" spans="13:13">
      <c r="M1018">
        <f t="shared" si="27"/>
      </c>
    </row>
    <row r="1019" spans="13:13">
      <c r="M1019">
        <f t="shared" si="27"/>
      </c>
    </row>
    <row r="1020" spans="13:13">
      <c r="M1020">
        <f t="shared" si="27"/>
      </c>
    </row>
    <row r="1021" spans="13:13">
      <c r="M1021">
        <f t="shared" si="27"/>
      </c>
    </row>
    <row r="1022" spans="13:13">
      <c r="M1022">
        <f t="shared" si="27"/>
      </c>
    </row>
    <row r="1023" spans="13:13">
      <c r="M1023">
        <f t="shared" si="27"/>
      </c>
    </row>
    <row r="1024" spans="13:13">
      <c r="M1024">
        <f t="shared" si="27"/>
      </c>
    </row>
    <row r="1025" spans="13:13">
      <c r="M1025">
        <f t="shared" si="27"/>
      </c>
    </row>
    <row r="1026" spans="13:13">
      <c r="M1026">
        <f t="shared" si="27"/>
      </c>
    </row>
    <row r="1027" spans="13:13">
      <c r="M1027">
        <f t="shared" si="27"/>
      </c>
    </row>
    <row r="1028" spans="13:13">
      <c r="M1028">
        <f t="shared" si="27"/>
      </c>
    </row>
    <row r="1029" spans="13:13">
      <c r="M1029">
        <f t="shared" ref="M1029:M1092" si="28">IF(A1029="","", WEEKNUM(A1029, 2))</f>
      </c>
    </row>
    <row r="1030" spans="13:13">
      <c r="M1030">
        <f t="shared" si="28"/>
      </c>
    </row>
    <row r="1031" spans="13:13">
      <c r="M1031">
        <f t="shared" si="28"/>
      </c>
    </row>
    <row r="1032" spans="13:13">
      <c r="M1032">
        <f t="shared" si="28"/>
      </c>
    </row>
    <row r="1033" spans="13:13">
      <c r="M1033">
        <f t="shared" si="28"/>
      </c>
    </row>
    <row r="1034" spans="13:13">
      <c r="M1034">
        <f t="shared" si="28"/>
      </c>
    </row>
    <row r="1035" spans="13:13">
      <c r="M1035">
        <f t="shared" si="28"/>
      </c>
    </row>
    <row r="1036" spans="13:13">
      <c r="M1036">
        <f t="shared" si="28"/>
      </c>
    </row>
    <row r="1037" spans="13:13">
      <c r="M1037">
        <f t="shared" si="28"/>
      </c>
    </row>
    <row r="1038" spans="13:13">
      <c r="M1038">
        <f t="shared" si="28"/>
      </c>
    </row>
    <row r="1039" spans="13:13">
      <c r="M1039">
        <f t="shared" si="28"/>
      </c>
    </row>
    <row r="1040" spans="13:13">
      <c r="M1040">
        <f t="shared" si="28"/>
      </c>
    </row>
    <row r="1041" spans="13:13">
      <c r="M1041">
        <f t="shared" si="28"/>
      </c>
    </row>
    <row r="1042" spans="13:13">
      <c r="M1042">
        <f t="shared" si="28"/>
      </c>
    </row>
    <row r="1043" spans="13:13">
      <c r="M1043">
        <f t="shared" si="28"/>
      </c>
    </row>
    <row r="1044" spans="13:13">
      <c r="M1044">
        <f t="shared" si="28"/>
      </c>
    </row>
    <row r="1045" spans="13:13">
      <c r="M1045">
        <f t="shared" si="28"/>
      </c>
    </row>
    <row r="1046" spans="13:13">
      <c r="M1046">
        <f t="shared" si="28"/>
      </c>
    </row>
    <row r="1047" spans="13:13">
      <c r="M1047">
        <f t="shared" si="28"/>
      </c>
    </row>
    <row r="1048" spans="13:13">
      <c r="M1048">
        <f t="shared" si="28"/>
      </c>
    </row>
    <row r="1049" spans="13:13">
      <c r="M1049">
        <f t="shared" si="28"/>
      </c>
    </row>
    <row r="1050" spans="13:13">
      <c r="M1050">
        <f t="shared" si="28"/>
      </c>
    </row>
    <row r="1051" spans="13:13">
      <c r="M1051">
        <f t="shared" si="28"/>
      </c>
    </row>
    <row r="1052" spans="13:13">
      <c r="M1052">
        <f t="shared" si="28"/>
      </c>
    </row>
    <row r="1053" spans="13:13">
      <c r="M1053">
        <f t="shared" si="28"/>
      </c>
    </row>
    <row r="1054" spans="13:13">
      <c r="M1054">
        <f t="shared" si="28"/>
      </c>
    </row>
    <row r="1055" spans="13:13">
      <c r="M1055">
        <f t="shared" si="28"/>
      </c>
    </row>
    <row r="1056" spans="13:13">
      <c r="M1056">
        <f t="shared" si="28"/>
      </c>
    </row>
    <row r="1057" spans="13:13">
      <c r="M1057">
        <f t="shared" si="28"/>
      </c>
    </row>
    <row r="1058" spans="13:13">
      <c r="M1058">
        <f t="shared" si="28"/>
      </c>
    </row>
    <row r="1059" spans="13:13">
      <c r="M1059">
        <f t="shared" si="28"/>
      </c>
    </row>
    <row r="1060" spans="13:13">
      <c r="M1060">
        <f t="shared" si="28"/>
      </c>
    </row>
    <row r="1061" spans="13:13">
      <c r="M1061">
        <f t="shared" si="28"/>
      </c>
    </row>
    <row r="1062" spans="13:13">
      <c r="M1062">
        <f t="shared" si="28"/>
      </c>
    </row>
    <row r="1063" spans="13:13">
      <c r="M1063">
        <f t="shared" si="28"/>
      </c>
    </row>
    <row r="1064" spans="13:13">
      <c r="M1064">
        <f t="shared" si="28"/>
      </c>
    </row>
    <row r="1065" spans="13:13">
      <c r="M1065">
        <f t="shared" si="28"/>
      </c>
    </row>
    <row r="1066" spans="13:13">
      <c r="M1066">
        <f t="shared" si="28"/>
      </c>
    </row>
    <row r="1067" spans="13:13">
      <c r="M1067">
        <f t="shared" si="28"/>
      </c>
    </row>
    <row r="1068" spans="13:13">
      <c r="M1068">
        <f t="shared" si="28"/>
      </c>
    </row>
    <row r="1069" spans="13:13">
      <c r="M1069">
        <f t="shared" si="28"/>
      </c>
    </row>
    <row r="1070" spans="13:13">
      <c r="M1070">
        <f t="shared" si="28"/>
      </c>
    </row>
    <row r="1071" spans="13:13">
      <c r="M1071">
        <f t="shared" si="28"/>
      </c>
    </row>
    <row r="1072" spans="13:13">
      <c r="M1072">
        <f t="shared" si="28"/>
      </c>
    </row>
    <row r="1073" spans="13:13">
      <c r="M1073">
        <f t="shared" si="28"/>
      </c>
    </row>
    <row r="1074" spans="13:13">
      <c r="M1074">
        <f t="shared" si="28"/>
      </c>
    </row>
    <row r="1075" spans="13:13">
      <c r="M1075">
        <f t="shared" si="28"/>
      </c>
    </row>
    <row r="1076" spans="13:13">
      <c r="M1076">
        <f t="shared" si="28"/>
      </c>
    </row>
    <row r="1077" spans="13:13">
      <c r="M1077">
        <f t="shared" si="28"/>
      </c>
    </row>
    <row r="1078" spans="13:13">
      <c r="M1078">
        <f t="shared" si="28"/>
      </c>
    </row>
    <row r="1079" spans="13:13">
      <c r="M1079">
        <f t="shared" si="28"/>
      </c>
    </row>
    <row r="1080" spans="13:13">
      <c r="M1080">
        <f t="shared" si="28"/>
      </c>
    </row>
    <row r="1081" spans="13:13">
      <c r="M1081">
        <f t="shared" si="28"/>
      </c>
    </row>
    <row r="1082" spans="13:13">
      <c r="M1082">
        <f t="shared" si="28"/>
      </c>
    </row>
    <row r="1083" spans="13:13">
      <c r="M1083">
        <f t="shared" si="28"/>
      </c>
    </row>
    <row r="1084" spans="13:13">
      <c r="M1084">
        <f t="shared" si="28"/>
      </c>
    </row>
    <row r="1085" spans="13:13">
      <c r="M1085">
        <f t="shared" si="28"/>
      </c>
    </row>
    <row r="1086" spans="13:13">
      <c r="M1086">
        <f t="shared" si="28"/>
      </c>
    </row>
    <row r="1087" spans="13:13">
      <c r="M1087">
        <f t="shared" si="28"/>
      </c>
    </row>
    <row r="1088" spans="13:13">
      <c r="M1088">
        <f t="shared" si="28"/>
      </c>
    </row>
    <row r="1089" spans="13:13">
      <c r="M1089">
        <f t="shared" si="28"/>
      </c>
    </row>
    <row r="1090" spans="13:13">
      <c r="M1090">
        <f t="shared" si="28"/>
      </c>
    </row>
    <row r="1091" spans="13:13">
      <c r="M1091">
        <f t="shared" si="28"/>
      </c>
    </row>
    <row r="1092" spans="13:13">
      <c r="M1092">
        <f t="shared" si="28"/>
      </c>
    </row>
    <row r="1093" spans="13:13">
      <c r="M1093">
        <f t="shared" ref="M1093:M1156" si="29">IF(A1093="","", WEEKNUM(A1093, 2))</f>
      </c>
    </row>
    <row r="1094" spans="13:13">
      <c r="M1094">
        <f t="shared" si="29"/>
      </c>
    </row>
    <row r="1095" spans="13:13">
      <c r="M1095">
        <f t="shared" si="29"/>
      </c>
    </row>
    <row r="1096" spans="13:13">
      <c r="M1096">
        <f t="shared" si="29"/>
      </c>
    </row>
    <row r="1097" spans="13:13">
      <c r="M1097">
        <f t="shared" si="29"/>
      </c>
    </row>
    <row r="1098" spans="13:13">
      <c r="M1098">
        <f t="shared" si="29"/>
      </c>
    </row>
    <row r="1099" spans="13:13">
      <c r="M1099">
        <f t="shared" si="29"/>
      </c>
    </row>
    <row r="1100" spans="13:13">
      <c r="M1100">
        <f t="shared" si="29"/>
      </c>
    </row>
    <row r="1101" spans="13:13">
      <c r="M1101">
        <f t="shared" si="29"/>
      </c>
    </row>
    <row r="1102" spans="13:13">
      <c r="M1102">
        <f t="shared" si="29"/>
      </c>
    </row>
    <row r="1103" spans="13:13">
      <c r="M1103">
        <f t="shared" si="29"/>
      </c>
    </row>
    <row r="1104" spans="13:13">
      <c r="M1104">
        <f t="shared" si="29"/>
      </c>
    </row>
    <row r="1105" spans="13:13">
      <c r="M1105">
        <f t="shared" si="29"/>
      </c>
    </row>
    <row r="1106" spans="13:13">
      <c r="M1106">
        <f t="shared" si="29"/>
      </c>
    </row>
    <row r="1107" spans="13:13">
      <c r="M1107">
        <f t="shared" si="29"/>
      </c>
    </row>
    <row r="1108" spans="13:13">
      <c r="M1108">
        <f t="shared" si="29"/>
      </c>
    </row>
    <row r="1109" spans="13:13">
      <c r="M1109">
        <f t="shared" si="29"/>
      </c>
    </row>
    <row r="1110" spans="13:13">
      <c r="M1110">
        <f t="shared" si="29"/>
      </c>
    </row>
    <row r="1111" spans="13:13">
      <c r="M1111">
        <f t="shared" si="29"/>
      </c>
    </row>
    <row r="1112" spans="13:13">
      <c r="M1112">
        <f t="shared" si="29"/>
      </c>
    </row>
    <row r="1113" spans="13:13">
      <c r="M1113">
        <f t="shared" si="29"/>
      </c>
    </row>
    <row r="1114" spans="13:13">
      <c r="M1114">
        <f t="shared" si="29"/>
      </c>
    </row>
    <row r="1115" spans="13:13">
      <c r="M1115">
        <f t="shared" si="29"/>
      </c>
    </row>
    <row r="1116" spans="13:13">
      <c r="M1116">
        <f t="shared" si="29"/>
      </c>
    </row>
    <row r="1117" spans="13:13">
      <c r="M1117">
        <f t="shared" si="29"/>
      </c>
    </row>
    <row r="1118" spans="13:13">
      <c r="M1118">
        <f t="shared" si="29"/>
      </c>
    </row>
    <row r="1119" spans="13:13">
      <c r="M1119">
        <f t="shared" si="29"/>
      </c>
    </row>
    <row r="1120" spans="13:13">
      <c r="M1120">
        <f t="shared" si="29"/>
      </c>
    </row>
    <row r="1121" spans="13:13">
      <c r="M1121">
        <f t="shared" si="29"/>
      </c>
    </row>
    <row r="1122" spans="13:13">
      <c r="M1122">
        <f t="shared" si="29"/>
      </c>
    </row>
    <row r="1123" spans="13:13">
      <c r="M1123">
        <f t="shared" si="29"/>
      </c>
    </row>
    <row r="1124" spans="13:13">
      <c r="M1124">
        <f t="shared" si="29"/>
      </c>
    </row>
    <row r="1125" spans="13:13">
      <c r="M1125">
        <f t="shared" si="29"/>
      </c>
    </row>
    <row r="1126" spans="13:13">
      <c r="M1126">
        <f t="shared" si="29"/>
      </c>
    </row>
    <row r="1127" spans="13:13">
      <c r="M1127">
        <f t="shared" si="29"/>
      </c>
    </row>
    <row r="1128" spans="13:13">
      <c r="M1128">
        <f t="shared" si="29"/>
      </c>
    </row>
    <row r="1129" spans="13:13">
      <c r="M1129">
        <f t="shared" si="29"/>
      </c>
    </row>
    <row r="1130" spans="13:13">
      <c r="M1130">
        <f t="shared" si="29"/>
      </c>
    </row>
    <row r="1131" spans="13:13">
      <c r="M1131">
        <f t="shared" si="29"/>
      </c>
    </row>
    <row r="1132" spans="13:13">
      <c r="M1132">
        <f t="shared" si="29"/>
      </c>
    </row>
    <row r="1133" spans="13:13">
      <c r="M1133">
        <f t="shared" si="29"/>
      </c>
    </row>
    <row r="1134" spans="13:13">
      <c r="M1134">
        <f t="shared" si="29"/>
      </c>
    </row>
    <row r="1135" spans="13:13">
      <c r="M1135">
        <f t="shared" si="29"/>
      </c>
    </row>
    <row r="1136" spans="13:13">
      <c r="M1136">
        <f t="shared" si="29"/>
      </c>
    </row>
    <row r="1137" spans="13:13">
      <c r="M1137">
        <f t="shared" si="29"/>
      </c>
    </row>
    <row r="1138" spans="13:13">
      <c r="M1138">
        <f t="shared" si="29"/>
      </c>
    </row>
    <row r="1139" spans="13:13">
      <c r="M1139">
        <f t="shared" si="29"/>
      </c>
    </row>
    <row r="1140" spans="13:13">
      <c r="M1140">
        <f t="shared" si="29"/>
      </c>
    </row>
    <row r="1141" spans="13:13">
      <c r="M1141">
        <f t="shared" si="29"/>
      </c>
    </row>
    <row r="1142" spans="13:13">
      <c r="M1142">
        <f t="shared" si="29"/>
      </c>
    </row>
    <row r="1143" spans="13:13">
      <c r="M1143">
        <f t="shared" si="29"/>
      </c>
    </row>
    <row r="1144" spans="13:13">
      <c r="M1144">
        <f t="shared" si="29"/>
      </c>
    </row>
    <row r="1145" spans="13:13">
      <c r="M1145">
        <f t="shared" si="29"/>
      </c>
    </row>
    <row r="1146" spans="13:13">
      <c r="M1146">
        <f t="shared" si="29"/>
      </c>
    </row>
    <row r="1147" spans="13:13">
      <c r="M1147">
        <f t="shared" si="29"/>
      </c>
    </row>
    <row r="1148" spans="13:13">
      <c r="M1148">
        <f t="shared" si="29"/>
      </c>
    </row>
    <row r="1149" spans="13:13">
      <c r="M1149">
        <f t="shared" si="29"/>
      </c>
    </row>
    <row r="1150" spans="13:13">
      <c r="M1150">
        <f t="shared" si="29"/>
      </c>
    </row>
    <row r="1151" spans="13:13">
      <c r="M1151">
        <f t="shared" si="29"/>
      </c>
    </row>
    <row r="1152" spans="13:13">
      <c r="M1152">
        <f t="shared" si="29"/>
      </c>
    </row>
    <row r="1153" spans="13:13">
      <c r="M1153">
        <f t="shared" si="29"/>
      </c>
    </row>
    <row r="1154" spans="13:13">
      <c r="M1154">
        <f t="shared" si="29"/>
      </c>
    </row>
    <row r="1155" spans="13:13">
      <c r="M1155">
        <f t="shared" si="29"/>
      </c>
    </row>
    <row r="1156" spans="13:13">
      <c r="M1156">
        <f t="shared" si="29"/>
      </c>
    </row>
    <row r="1157" spans="13:13">
      <c r="M1157">
        <f t="shared" ref="M1157:M1220" si="30">IF(A1157="","", WEEKNUM(A1157, 2))</f>
      </c>
    </row>
    <row r="1158" spans="13:13">
      <c r="M1158">
        <f t="shared" si="30"/>
      </c>
    </row>
    <row r="1159" spans="13:13">
      <c r="M1159">
        <f t="shared" si="30"/>
      </c>
    </row>
    <row r="1160" spans="13:13">
      <c r="M1160">
        <f t="shared" si="30"/>
      </c>
    </row>
    <row r="1161" spans="13:13">
      <c r="M1161">
        <f t="shared" si="30"/>
      </c>
    </row>
    <row r="1162" spans="13:13">
      <c r="M1162">
        <f t="shared" si="30"/>
      </c>
    </row>
    <row r="1163" spans="13:13">
      <c r="M1163">
        <f t="shared" si="30"/>
      </c>
    </row>
    <row r="1164" spans="13:13">
      <c r="M1164">
        <f t="shared" si="30"/>
      </c>
    </row>
    <row r="1165" spans="13:13">
      <c r="M1165">
        <f t="shared" si="30"/>
      </c>
    </row>
    <row r="1166" spans="13:13">
      <c r="M1166">
        <f t="shared" si="30"/>
      </c>
    </row>
    <row r="1167" spans="13:13">
      <c r="M1167">
        <f t="shared" si="30"/>
      </c>
    </row>
    <row r="1168" spans="13:13">
      <c r="M1168">
        <f t="shared" si="30"/>
      </c>
    </row>
    <row r="1169" spans="13:13">
      <c r="M1169">
        <f t="shared" si="30"/>
      </c>
    </row>
    <row r="1170" spans="13:13">
      <c r="M1170">
        <f t="shared" si="30"/>
      </c>
    </row>
    <row r="1171" spans="13:13">
      <c r="M1171">
        <f t="shared" si="30"/>
      </c>
    </row>
    <row r="1172" spans="13:13">
      <c r="M1172">
        <f t="shared" si="30"/>
      </c>
    </row>
    <row r="1173" spans="13:13">
      <c r="M1173">
        <f t="shared" si="30"/>
      </c>
    </row>
    <row r="1174" spans="13:13">
      <c r="M1174">
        <f t="shared" si="30"/>
      </c>
    </row>
    <row r="1175" spans="13:13">
      <c r="M1175">
        <f t="shared" si="30"/>
      </c>
    </row>
    <row r="1176" spans="13:13">
      <c r="M1176">
        <f t="shared" si="30"/>
      </c>
    </row>
    <row r="1177" spans="13:13">
      <c r="M1177">
        <f t="shared" si="30"/>
      </c>
    </row>
    <row r="1178" spans="13:13">
      <c r="M1178">
        <f t="shared" si="30"/>
      </c>
    </row>
    <row r="1179" spans="13:13">
      <c r="M1179">
        <f t="shared" si="30"/>
      </c>
    </row>
    <row r="1180" spans="13:13">
      <c r="M1180">
        <f t="shared" si="30"/>
      </c>
    </row>
    <row r="1181" spans="13:13">
      <c r="M1181">
        <f t="shared" si="30"/>
      </c>
    </row>
    <row r="1182" spans="13:13">
      <c r="M1182">
        <f t="shared" si="30"/>
      </c>
    </row>
    <row r="1183" spans="13:13">
      <c r="M1183">
        <f t="shared" si="30"/>
      </c>
    </row>
    <row r="1184" spans="13:13">
      <c r="M1184">
        <f t="shared" si="30"/>
      </c>
    </row>
    <row r="1185" spans="13:13">
      <c r="M1185">
        <f t="shared" si="30"/>
      </c>
    </row>
    <row r="1186" spans="13:13">
      <c r="M1186">
        <f t="shared" si="30"/>
      </c>
    </row>
    <row r="1187" spans="13:13">
      <c r="M1187">
        <f t="shared" si="30"/>
      </c>
    </row>
    <row r="1188" spans="13:13">
      <c r="M1188">
        <f t="shared" si="30"/>
      </c>
    </row>
    <row r="1189" spans="13:13">
      <c r="M1189">
        <f t="shared" si="30"/>
      </c>
    </row>
    <row r="1190" spans="13:13">
      <c r="M1190">
        <f t="shared" si="30"/>
      </c>
    </row>
    <row r="1191" spans="13:13">
      <c r="M1191">
        <f t="shared" si="30"/>
      </c>
    </row>
    <row r="1192" spans="13:13">
      <c r="M1192">
        <f t="shared" si="30"/>
      </c>
    </row>
    <row r="1193" spans="13:13">
      <c r="M1193">
        <f t="shared" si="30"/>
      </c>
    </row>
    <row r="1194" spans="13:13">
      <c r="M1194">
        <f t="shared" si="30"/>
      </c>
    </row>
    <row r="1195" spans="13:13">
      <c r="M1195">
        <f t="shared" si="30"/>
      </c>
    </row>
    <row r="1196" spans="13:13">
      <c r="M1196">
        <f t="shared" si="30"/>
      </c>
    </row>
    <row r="1197" spans="13:13">
      <c r="M1197">
        <f t="shared" si="30"/>
      </c>
    </row>
    <row r="1198" spans="13:13">
      <c r="M1198">
        <f t="shared" si="30"/>
      </c>
    </row>
    <row r="1199" spans="13:13">
      <c r="M1199">
        <f t="shared" si="30"/>
      </c>
    </row>
    <row r="1200" spans="13:13">
      <c r="M1200">
        <f t="shared" si="30"/>
      </c>
    </row>
    <row r="1201" spans="13:13">
      <c r="M1201">
        <f t="shared" si="30"/>
      </c>
    </row>
    <row r="1202" spans="13:13">
      <c r="M1202">
        <f t="shared" si="30"/>
      </c>
    </row>
    <row r="1203" spans="13:13">
      <c r="M1203">
        <f t="shared" si="30"/>
      </c>
    </row>
    <row r="1204" spans="13:13">
      <c r="M1204">
        <f t="shared" si="30"/>
      </c>
    </row>
    <row r="1205" spans="13:13">
      <c r="M1205">
        <f t="shared" si="30"/>
      </c>
    </row>
    <row r="1206" spans="13:13">
      <c r="M1206">
        <f t="shared" si="30"/>
      </c>
    </row>
    <row r="1207" spans="13:13">
      <c r="M1207">
        <f t="shared" si="30"/>
      </c>
    </row>
    <row r="1208" spans="13:13">
      <c r="M1208">
        <f t="shared" si="30"/>
      </c>
    </row>
    <row r="1209" spans="13:13">
      <c r="M1209">
        <f t="shared" si="30"/>
      </c>
    </row>
    <row r="1210" spans="13:13">
      <c r="M1210">
        <f t="shared" si="30"/>
      </c>
    </row>
    <row r="1211" spans="13:13">
      <c r="M1211">
        <f t="shared" si="30"/>
      </c>
    </row>
    <row r="1212" spans="13:13">
      <c r="M1212">
        <f t="shared" si="30"/>
      </c>
    </row>
    <row r="1213" spans="13:13">
      <c r="M1213">
        <f t="shared" si="30"/>
      </c>
    </row>
    <row r="1214" spans="13:13">
      <c r="M1214">
        <f t="shared" si="30"/>
      </c>
    </row>
    <row r="1215" spans="13:13">
      <c r="M1215">
        <f t="shared" si="30"/>
      </c>
    </row>
    <row r="1216" spans="13:13">
      <c r="M1216">
        <f t="shared" si="30"/>
      </c>
    </row>
    <row r="1217" spans="13:13">
      <c r="M1217">
        <f t="shared" si="30"/>
      </c>
    </row>
    <row r="1218" spans="13:13">
      <c r="M1218">
        <f t="shared" si="30"/>
      </c>
    </row>
    <row r="1219" spans="13:13">
      <c r="M1219">
        <f t="shared" si="30"/>
      </c>
    </row>
    <row r="1220" spans="13:13">
      <c r="M1220">
        <f t="shared" si="30"/>
      </c>
    </row>
    <row r="1221" spans="13:13">
      <c r="M1221">
        <f t="shared" ref="M1221:M1284" si="31">IF(A1221="","", WEEKNUM(A1221, 2))</f>
      </c>
    </row>
    <row r="1222" spans="13:13">
      <c r="M1222">
        <f t="shared" si="31"/>
      </c>
    </row>
    <row r="1223" spans="13:13">
      <c r="M1223">
        <f t="shared" si="31"/>
      </c>
    </row>
    <row r="1224" spans="13:13">
      <c r="M1224">
        <f t="shared" si="31"/>
      </c>
    </row>
    <row r="1225" spans="13:13">
      <c r="M1225">
        <f t="shared" si="31"/>
      </c>
    </row>
    <row r="1226" spans="13:13">
      <c r="M1226">
        <f t="shared" si="31"/>
      </c>
    </row>
    <row r="1227" spans="13:13">
      <c r="M1227">
        <f t="shared" si="31"/>
      </c>
    </row>
    <row r="1228" spans="13:13">
      <c r="M1228">
        <f t="shared" si="31"/>
      </c>
    </row>
    <row r="1229" spans="13:13">
      <c r="M1229">
        <f t="shared" si="31"/>
      </c>
    </row>
    <row r="1230" spans="13:13">
      <c r="M1230">
        <f t="shared" si="31"/>
      </c>
    </row>
    <row r="1231" spans="13:13">
      <c r="M1231">
        <f t="shared" si="31"/>
      </c>
    </row>
    <row r="1232" spans="13:13">
      <c r="M1232">
        <f t="shared" si="31"/>
      </c>
    </row>
    <row r="1233" spans="13:13">
      <c r="M1233">
        <f t="shared" si="31"/>
      </c>
    </row>
    <row r="1234" spans="13:13">
      <c r="M1234">
        <f t="shared" si="31"/>
      </c>
    </row>
    <row r="1235" spans="13:13">
      <c r="M1235">
        <f t="shared" si="31"/>
      </c>
    </row>
    <row r="1236" spans="13:13">
      <c r="M1236">
        <f t="shared" si="31"/>
      </c>
    </row>
    <row r="1237" spans="13:13">
      <c r="M1237">
        <f t="shared" si="31"/>
      </c>
    </row>
    <row r="1238" spans="13:13">
      <c r="M1238">
        <f t="shared" si="31"/>
      </c>
    </row>
    <row r="1239" spans="13:13">
      <c r="M1239">
        <f t="shared" si="31"/>
      </c>
    </row>
    <row r="1240" spans="13:13">
      <c r="M1240">
        <f t="shared" si="31"/>
      </c>
    </row>
    <row r="1241" spans="13:13">
      <c r="M1241">
        <f t="shared" si="31"/>
      </c>
    </row>
    <row r="1242" spans="13:13">
      <c r="M1242">
        <f t="shared" si="31"/>
      </c>
    </row>
    <row r="1243" spans="13:13">
      <c r="M1243">
        <f t="shared" si="31"/>
      </c>
    </row>
    <row r="1244" spans="13:13">
      <c r="M1244">
        <f t="shared" si="31"/>
      </c>
    </row>
    <row r="1245" spans="13:13">
      <c r="M1245">
        <f t="shared" si="31"/>
      </c>
    </row>
    <row r="1246" spans="13:13">
      <c r="M1246">
        <f t="shared" si="31"/>
      </c>
    </row>
    <row r="1247" spans="13:13">
      <c r="M1247">
        <f t="shared" si="31"/>
      </c>
    </row>
    <row r="1248" spans="13:13">
      <c r="M1248">
        <f t="shared" si="31"/>
      </c>
    </row>
    <row r="1249" spans="13:13">
      <c r="M1249">
        <f t="shared" si="31"/>
      </c>
    </row>
    <row r="1250" spans="13:13">
      <c r="M1250">
        <f t="shared" si="31"/>
      </c>
    </row>
    <row r="1251" spans="13:13">
      <c r="M1251">
        <f t="shared" si="31"/>
      </c>
    </row>
    <row r="1252" spans="13:13">
      <c r="M1252">
        <f t="shared" si="31"/>
      </c>
    </row>
    <row r="1253" spans="13:13">
      <c r="M1253">
        <f t="shared" si="31"/>
      </c>
    </row>
    <row r="1254" spans="13:13">
      <c r="M1254">
        <f t="shared" si="31"/>
      </c>
    </row>
    <row r="1255" spans="13:13">
      <c r="M1255">
        <f t="shared" si="31"/>
      </c>
    </row>
    <row r="1256" spans="13:13">
      <c r="M1256">
        <f t="shared" si="31"/>
      </c>
    </row>
    <row r="1257" spans="13:13">
      <c r="M1257">
        <f t="shared" si="31"/>
      </c>
    </row>
    <row r="1258" spans="13:13">
      <c r="M1258">
        <f t="shared" si="31"/>
      </c>
    </row>
    <row r="1259" spans="13:13">
      <c r="M1259">
        <f t="shared" si="31"/>
      </c>
    </row>
    <row r="1260" spans="13:13">
      <c r="M1260">
        <f t="shared" si="31"/>
      </c>
    </row>
    <row r="1261" spans="13:13">
      <c r="M1261">
        <f t="shared" si="31"/>
      </c>
    </row>
    <row r="1262" spans="13:13">
      <c r="M1262">
        <f t="shared" si="31"/>
      </c>
    </row>
    <row r="1263" spans="13:13">
      <c r="M1263">
        <f t="shared" si="31"/>
      </c>
    </row>
    <row r="1264" spans="13:13">
      <c r="M1264">
        <f t="shared" si="31"/>
      </c>
    </row>
    <row r="1265" spans="13:13">
      <c r="M1265">
        <f t="shared" si="31"/>
      </c>
    </row>
    <row r="1266" spans="13:13">
      <c r="M1266">
        <f t="shared" si="31"/>
      </c>
    </row>
    <row r="1267" spans="13:13">
      <c r="M1267">
        <f t="shared" si="31"/>
      </c>
    </row>
    <row r="1268" spans="13:13">
      <c r="M1268">
        <f t="shared" si="31"/>
      </c>
    </row>
    <row r="1269" spans="13:13">
      <c r="M1269">
        <f t="shared" si="31"/>
      </c>
    </row>
    <row r="1270" spans="13:13">
      <c r="M1270">
        <f t="shared" si="31"/>
      </c>
    </row>
    <row r="1271" spans="13:13">
      <c r="M1271">
        <f t="shared" si="31"/>
      </c>
    </row>
    <row r="1272" spans="13:13">
      <c r="M1272">
        <f t="shared" si="31"/>
      </c>
    </row>
    <row r="1273" spans="13:13">
      <c r="M1273">
        <f t="shared" si="31"/>
      </c>
    </row>
    <row r="1274" spans="13:13">
      <c r="M1274">
        <f t="shared" si="31"/>
      </c>
    </row>
    <row r="1275" spans="13:13">
      <c r="M1275">
        <f t="shared" si="31"/>
      </c>
    </row>
    <row r="1276" spans="13:13">
      <c r="M1276">
        <f t="shared" si="31"/>
      </c>
    </row>
    <row r="1277" spans="13:13">
      <c r="M1277">
        <f t="shared" si="31"/>
      </c>
    </row>
    <row r="1278" spans="13:13">
      <c r="M1278">
        <f t="shared" si="31"/>
      </c>
    </row>
    <row r="1279" spans="13:13">
      <c r="M1279">
        <f t="shared" si="31"/>
      </c>
    </row>
    <row r="1280" spans="13:13">
      <c r="M1280">
        <f t="shared" si="31"/>
      </c>
    </row>
    <row r="1281" spans="13:13">
      <c r="M1281">
        <f t="shared" si="31"/>
      </c>
    </row>
    <row r="1282" spans="13:13">
      <c r="M1282">
        <f t="shared" si="31"/>
      </c>
    </row>
    <row r="1283" spans="13:13">
      <c r="M1283">
        <f t="shared" si="31"/>
      </c>
    </row>
    <row r="1284" spans="13:13">
      <c r="M1284">
        <f t="shared" si="31"/>
      </c>
    </row>
    <row r="1285" spans="13:13">
      <c r="M1285">
        <f t="shared" ref="M1285:M1348" si="32">IF(A1285="","", WEEKNUM(A1285, 2))</f>
      </c>
    </row>
    <row r="1286" spans="13:13">
      <c r="M1286">
        <f t="shared" si="32"/>
      </c>
    </row>
    <row r="1287" spans="13:13">
      <c r="M1287">
        <f t="shared" si="32"/>
      </c>
    </row>
    <row r="1288" spans="13:13">
      <c r="M1288">
        <f t="shared" si="32"/>
      </c>
    </row>
    <row r="1289" spans="13:13">
      <c r="M1289">
        <f t="shared" si="32"/>
      </c>
    </row>
    <row r="1290" spans="13:13">
      <c r="M1290">
        <f t="shared" si="32"/>
      </c>
    </row>
    <row r="1291" spans="13:13">
      <c r="M1291">
        <f t="shared" si="32"/>
      </c>
    </row>
    <row r="1292" spans="13:13">
      <c r="M1292">
        <f t="shared" si="32"/>
      </c>
    </row>
    <row r="1293" spans="13:13">
      <c r="M1293">
        <f t="shared" si="32"/>
      </c>
    </row>
    <row r="1294" spans="13:13">
      <c r="M1294">
        <f t="shared" si="32"/>
      </c>
    </row>
    <row r="1295" spans="13:13">
      <c r="M1295">
        <f t="shared" si="32"/>
      </c>
    </row>
    <row r="1296" spans="13:13">
      <c r="M1296">
        <f t="shared" si="32"/>
      </c>
    </row>
    <row r="1297" spans="13:13">
      <c r="M1297">
        <f t="shared" si="32"/>
      </c>
    </row>
    <row r="1298" spans="13:13">
      <c r="M1298">
        <f t="shared" si="32"/>
      </c>
    </row>
    <row r="1299" spans="13:13">
      <c r="M1299">
        <f t="shared" si="32"/>
      </c>
    </row>
    <row r="1300" spans="13:13">
      <c r="M1300">
        <f t="shared" si="32"/>
      </c>
    </row>
    <row r="1301" spans="13:13">
      <c r="M1301">
        <f t="shared" si="32"/>
      </c>
    </row>
    <row r="1302" spans="13:13">
      <c r="M1302">
        <f t="shared" si="32"/>
      </c>
    </row>
    <row r="1303" spans="13:13">
      <c r="M1303">
        <f t="shared" si="32"/>
      </c>
    </row>
    <row r="1304" spans="13:13">
      <c r="M1304">
        <f t="shared" si="32"/>
      </c>
    </row>
    <row r="1305" spans="13:13">
      <c r="M1305">
        <f t="shared" si="32"/>
      </c>
    </row>
    <row r="1306" spans="13:13">
      <c r="M1306">
        <f t="shared" si="32"/>
      </c>
    </row>
    <row r="1307" spans="13:13">
      <c r="M1307">
        <f t="shared" si="32"/>
      </c>
    </row>
    <row r="1308" spans="13:13">
      <c r="M1308">
        <f t="shared" si="32"/>
      </c>
    </row>
    <row r="1309" spans="13:13">
      <c r="M1309">
        <f t="shared" si="32"/>
      </c>
    </row>
    <row r="1310" spans="13:13">
      <c r="M1310">
        <f t="shared" si="32"/>
      </c>
    </row>
    <row r="1311" spans="13:13">
      <c r="M1311">
        <f t="shared" si="32"/>
      </c>
    </row>
    <row r="1312" spans="13:13">
      <c r="M1312">
        <f t="shared" si="32"/>
      </c>
    </row>
    <row r="1313" spans="13:13">
      <c r="M1313">
        <f t="shared" si="32"/>
      </c>
    </row>
    <row r="1314" spans="13:13">
      <c r="M1314">
        <f t="shared" si="32"/>
      </c>
    </row>
    <row r="1315" spans="13:13">
      <c r="M1315">
        <f t="shared" si="32"/>
      </c>
    </row>
    <row r="1316" spans="13:13">
      <c r="M1316">
        <f t="shared" si="32"/>
      </c>
    </row>
    <row r="1317" spans="13:13">
      <c r="M1317">
        <f t="shared" si="32"/>
      </c>
    </row>
    <row r="1318" spans="13:13">
      <c r="M1318">
        <f t="shared" si="32"/>
      </c>
    </row>
    <row r="1319" spans="13:13">
      <c r="M1319">
        <f t="shared" si="32"/>
      </c>
    </row>
    <row r="1320" spans="13:13">
      <c r="M1320">
        <f t="shared" si="32"/>
      </c>
    </row>
    <row r="1321" spans="13:13">
      <c r="M1321">
        <f t="shared" si="32"/>
      </c>
    </row>
    <row r="1322" spans="13:13">
      <c r="M1322">
        <f t="shared" si="32"/>
      </c>
    </row>
    <row r="1323" spans="13:13">
      <c r="M1323">
        <f t="shared" si="32"/>
      </c>
    </row>
    <row r="1324" spans="13:13">
      <c r="M1324">
        <f t="shared" si="32"/>
      </c>
    </row>
    <row r="1325" spans="13:13">
      <c r="M1325">
        <f t="shared" si="32"/>
      </c>
    </row>
    <row r="1326" spans="13:13">
      <c r="M1326">
        <f t="shared" si="32"/>
      </c>
    </row>
    <row r="1327" spans="13:13">
      <c r="M1327">
        <f t="shared" si="32"/>
      </c>
    </row>
    <row r="1328" spans="13:13">
      <c r="M1328">
        <f t="shared" si="32"/>
      </c>
    </row>
    <row r="1329" spans="13:13">
      <c r="M1329">
        <f t="shared" si="32"/>
      </c>
    </row>
    <row r="1330" spans="13:13">
      <c r="M1330">
        <f t="shared" si="32"/>
      </c>
    </row>
    <row r="1331" spans="13:13">
      <c r="M1331">
        <f t="shared" si="32"/>
      </c>
    </row>
    <row r="1332" spans="13:13">
      <c r="M1332">
        <f t="shared" si="32"/>
      </c>
    </row>
    <row r="1333" spans="13:13">
      <c r="M1333">
        <f t="shared" si="32"/>
      </c>
    </row>
    <row r="1334" spans="13:13">
      <c r="M1334">
        <f t="shared" si="32"/>
      </c>
    </row>
    <row r="1335" spans="13:13">
      <c r="M1335">
        <f t="shared" si="32"/>
      </c>
    </row>
    <row r="1336" spans="13:13">
      <c r="M1336">
        <f t="shared" si="32"/>
      </c>
    </row>
    <row r="1337" spans="13:13">
      <c r="M1337">
        <f t="shared" si="32"/>
      </c>
    </row>
    <row r="1338" spans="13:13">
      <c r="M1338">
        <f t="shared" si="32"/>
      </c>
    </row>
    <row r="1339" spans="13:13">
      <c r="M1339">
        <f t="shared" si="32"/>
      </c>
    </row>
    <row r="1340" spans="13:13">
      <c r="M1340">
        <f t="shared" si="32"/>
      </c>
    </row>
    <row r="1341" spans="13:13">
      <c r="M1341">
        <f t="shared" si="32"/>
      </c>
    </row>
    <row r="1342" spans="13:13">
      <c r="M1342">
        <f t="shared" si="32"/>
      </c>
    </row>
    <row r="1343" spans="13:13">
      <c r="M1343">
        <f t="shared" si="32"/>
      </c>
    </row>
    <row r="1344" spans="13:13">
      <c r="M1344">
        <f t="shared" si="32"/>
      </c>
    </row>
    <row r="1345" spans="13:13">
      <c r="M1345">
        <f t="shared" si="32"/>
      </c>
    </row>
    <row r="1346" spans="13:13">
      <c r="M1346">
        <f t="shared" si="32"/>
      </c>
    </row>
    <row r="1347" spans="13:13">
      <c r="M1347">
        <f t="shared" si="32"/>
      </c>
    </row>
    <row r="1348" spans="13:13">
      <c r="M1348">
        <f t="shared" si="32"/>
      </c>
    </row>
    <row r="1349" spans="13:13">
      <c r="M1349">
        <f t="shared" ref="M1349:M1412" si="33">IF(A1349="","", WEEKNUM(A1349, 2))</f>
      </c>
    </row>
    <row r="1350" spans="13:13">
      <c r="M1350">
        <f t="shared" si="33"/>
      </c>
    </row>
    <row r="1351" spans="13:13">
      <c r="M1351">
        <f t="shared" si="33"/>
      </c>
    </row>
    <row r="1352" spans="13:13">
      <c r="M1352">
        <f t="shared" si="33"/>
      </c>
    </row>
    <row r="1353" spans="13:13">
      <c r="M1353">
        <f t="shared" si="33"/>
      </c>
    </row>
    <row r="1354" spans="13:13">
      <c r="M1354">
        <f t="shared" si="33"/>
      </c>
    </row>
    <row r="1355" spans="13:13">
      <c r="M1355">
        <f t="shared" si="33"/>
      </c>
    </row>
    <row r="1356" spans="13:13">
      <c r="M1356">
        <f t="shared" si="33"/>
      </c>
    </row>
    <row r="1357" spans="13:13">
      <c r="M1357">
        <f t="shared" si="33"/>
      </c>
    </row>
    <row r="1358" spans="13:13">
      <c r="M1358">
        <f t="shared" si="33"/>
      </c>
    </row>
    <row r="1359" spans="13:13">
      <c r="M1359">
        <f t="shared" si="33"/>
      </c>
    </row>
    <row r="1360" spans="13:13">
      <c r="M1360">
        <f t="shared" si="33"/>
      </c>
    </row>
    <row r="1361" spans="13:13">
      <c r="M1361">
        <f t="shared" si="33"/>
      </c>
    </row>
    <row r="1362" spans="13:13">
      <c r="M1362">
        <f t="shared" si="33"/>
      </c>
    </row>
    <row r="1363" spans="13:13">
      <c r="M1363">
        <f t="shared" si="33"/>
      </c>
    </row>
    <row r="1364" spans="13:13">
      <c r="M1364">
        <f t="shared" si="33"/>
      </c>
    </row>
    <row r="1365" spans="13:13">
      <c r="M1365">
        <f t="shared" si="33"/>
      </c>
    </row>
    <row r="1366" spans="13:13">
      <c r="M1366">
        <f t="shared" si="33"/>
      </c>
    </row>
    <row r="1367" spans="13:13">
      <c r="M1367">
        <f t="shared" si="33"/>
      </c>
    </row>
    <row r="1368" spans="13:13">
      <c r="M1368">
        <f t="shared" si="33"/>
      </c>
    </row>
    <row r="1369" spans="13:13">
      <c r="M1369">
        <f t="shared" si="33"/>
      </c>
    </row>
    <row r="1370" spans="13:13">
      <c r="M1370">
        <f t="shared" si="33"/>
      </c>
    </row>
    <row r="1371" spans="13:13">
      <c r="M1371">
        <f t="shared" si="33"/>
      </c>
    </row>
    <row r="1372" spans="13:13">
      <c r="M1372">
        <f t="shared" si="33"/>
      </c>
    </row>
    <row r="1373" spans="13:13">
      <c r="M1373">
        <f t="shared" si="33"/>
      </c>
    </row>
    <row r="1374" spans="13:13">
      <c r="M1374">
        <f t="shared" si="33"/>
      </c>
    </row>
    <row r="1375" spans="13:13">
      <c r="M1375">
        <f t="shared" si="33"/>
      </c>
    </row>
    <row r="1376" spans="13:13">
      <c r="M1376">
        <f t="shared" si="33"/>
      </c>
    </row>
    <row r="1377" spans="13:13">
      <c r="M1377">
        <f t="shared" si="33"/>
      </c>
    </row>
    <row r="1378" spans="13:13">
      <c r="M1378">
        <f t="shared" si="33"/>
      </c>
    </row>
    <row r="1379" spans="13:13">
      <c r="M1379">
        <f t="shared" si="33"/>
      </c>
    </row>
    <row r="1380" spans="13:13">
      <c r="M1380">
        <f t="shared" si="33"/>
      </c>
    </row>
    <row r="1381" spans="13:13">
      <c r="M1381">
        <f t="shared" si="33"/>
      </c>
    </row>
    <row r="1382" spans="13:13">
      <c r="M1382">
        <f t="shared" si="33"/>
      </c>
    </row>
    <row r="1383" spans="13:13">
      <c r="M1383">
        <f t="shared" si="33"/>
      </c>
    </row>
    <row r="1384" spans="13:13">
      <c r="M1384">
        <f t="shared" si="33"/>
      </c>
    </row>
    <row r="1385" spans="13:13">
      <c r="M1385">
        <f t="shared" si="33"/>
      </c>
    </row>
    <row r="1386" spans="13:13">
      <c r="M1386">
        <f t="shared" si="33"/>
      </c>
    </row>
    <row r="1387" spans="13:13">
      <c r="M1387">
        <f t="shared" si="33"/>
      </c>
    </row>
    <row r="1388" spans="13:13">
      <c r="M1388">
        <f t="shared" si="33"/>
      </c>
    </row>
    <row r="1389" spans="13:13">
      <c r="M1389">
        <f t="shared" si="33"/>
      </c>
    </row>
    <row r="1390" spans="13:13">
      <c r="M1390">
        <f t="shared" si="33"/>
      </c>
    </row>
    <row r="1391" spans="13:13">
      <c r="M1391">
        <f t="shared" si="33"/>
      </c>
    </row>
    <row r="1392" spans="13:13">
      <c r="M1392">
        <f t="shared" si="33"/>
      </c>
    </row>
    <row r="1393" spans="13:13">
      <c r="M1393">
        <f t="shared" si="33"/>
      </c>
    </row>
    <row r="1394" spans="13:13">
      <c r="M1394">
        <f t="shared" si="33"/>
      </c>
    </row>
    <row r="1395" spans="13:13">
      <c r="M1395">
        <f t="shared" si="33"/>
      </c>
    </row>
    <row r="1396" spans="13:13">
      <c r="M1396">
        <f t="shared" si="33"/>
      </c>
    </row>
    <row r="1397" spans="13:13">
      <c r="M1397">
        <f t="shared" si="33"/>
      </c>
    </row>
    <row r="1398" spans="13:13">
      <c r="M1398">
        <f t="shared" si="33"/>
      </c>
    </row>
    <row r="1399" spans="13:13">
      <c r="M1399">
        <f t="shared" si="33"/>
      </c>
    </row>
    <row r="1400" spans="13:13">
      <c r="M1400">
        <f t="shared" si="33"/>
      </c>
    </row>
    <row r="1401" spans="13:13">
      <c r="M1401">
        <f t="shared" si="33"/>
      </c>
    </row>
    <row r="1402" spans="13:13">
      <c r="M1402">
        <f t="shared" si="33"/>
      </c>
    </row>
    <row r="1403" spans="13:13">
      <c r="M1403">
        <f t="shared" si="33"/>
      </c>
    </row>
    <row r="1404" spans="13:13">
      <c r="M1404">
        <f t="shared" si="33"/>
      </c>
    </row>
    <row r="1405" spans="13:13">
      <c r="M1405">
        <f t="shared" si="33"/>
      </c>
    </row>
    <row r="1406" spans="13:13">
      <c r="M1406">
        <f t="shared" si="33"/>
      </c>
    </row>
    <row r="1407" spans="13:13">
      <c r="M1407">
        <f t="shared" si="33"/>
      </c>
    </row>
    <row r="1408" spans="13:13">
      <c r="M1408">
        <f t="shared" si="33"/>
      </c>
    </row>
    <row r="1409" spans="13:13">
      <c r="M1409">
        <f t="shared" si="33"/>
      </c>
    </row>
    <row r="1410" spans="13:13">
      <c r="M1410">
        <f t="shared" si="33"/>
      </c>
    </row>
    <row r="1411" spans="13:13">
      <c r="M1411">
        <f t="shared" si="33"/>
      </c>
    </row>
    <row r="1412" spans="13:13">
      <c r="M1412">
        <f t="shared" si="33"/>
      </c>
    </row>
    <row r="1413" spans="13:13">
      <c r="M1413">
        <f t="shared" ref="M1413:M1476" si="34">IF(A1413="","", WEEKNUM(A1413, 2))</f>
      </c>
    </row>
    <row r="1414" spans="13:13">
      <c r="M1414">
        <f t="shared" si="34"/>
      </c>
    </row>
    <row r="1415" spans="13:13">
      <c r="M1415">
        <f t="shared" si="34"/>
      </c>
    </row>
    <row r="1416" spans="13:13">
      <c r="M1416">
        <f t="shared" si="34"/>
      </c>
    </row>
    <row r="1417" spans="13:13">
      <c r="M1417">
        <f t="shared" si="34"/>
      </c>
    </row>
    <row r="1418" spans="13:13">
      <c r="M1418">
        <f t="shared" si="34"/>
      </c>
    </row>
    <row r="1419" spans="13:13">
      <c r="M1419">
        <f t="shared" si="34"/>
      </c>
    </row>
    <row r="1420" spans="13:13">
      <c r="M1420">
        <f t="shared" si="34"/>
      </c>
    </row>
    <row r="1421" spans="13:13">
      <c r="M1421">
        <f t="shared" si="34"/>
      </c>
    </row>
    <row r="1422" spans="13:13">
      <c r="M1422">
        <f t="shared" si="34"/>
      </c>
    </row>
    <row r="1423" spans="13:13">
      <c r="M1423">
        <f t="shared" si="34"/>
      </c>
    </row>
    <row r="1424" spans="13:13">
      <c r="M1424">
        <f t="shared" si="34"/>
      </c>
    </row>
    <row r="1425" spans="13:13">
      <c r="M1425">
        <f t="shared" si="34"/>
      </c>
    </row>
    <row r="1426" spans="13:13">
      <c r="M1426">
        <f t="shared" si="34"/>
      </c>
    </row>
    <row r="1427" spans="13:13">
      <c r="M1427">
        <f t="shared" si="34"/>
      </c>
    </row>
    <row r="1428" spans="13:13">
      <c r="M1428">
        <f t="shared" si="34"/>
      </c>
    </row>
    <row r="1429" spans="13:13">
      <c r="M1429">
        <f t="shared" si="34"/>
      </c>
    </row>
    <row r="1430" spans="13:13">
      <c r="M1430">
        <f t="shared" si="34"/>
      </c>
    </row>
    <row r="1431" spans="13:13">
      <c r="M1431">
        <f t="shared" si="34"/>
      </c>
    </row>
    <row r="1432" spans="13:13">
      <c r="M1432">
        <f t="shared" si="34"/>
      </c>
    </row>
    <row r="1433" spans="13:13">
      <c r="M1433">
        <f t="shared" si="34"/>
      </c>
    </row>
    <row r="1434" spans="13:13">
      <c r="M1434">
        <f t="shared" si="34"/>
      </c>
    </row>
    <row r="1435" spans="13:13">
      <c r="M1435">
        <f t="shared" si="34"/>
      </c>
    </row>
    <row r="1436" spans="13:13">
      <c r="M1436">
        <f t="shared" si="34"/>
      </c>
    </row>
    <row r="1437" spans="13:13">
      <c r="M1437">
        <f t="shared" si="34"/>
      </c>
    </row>
    <row r="1438" spans="13:13">
      <c r="M1438">
        <f t="shared" si="34"/>
      </c>
    </row>
    <row r="1439" spans="13:13">
      <c r="M1439">
        <f t="shared" si="34"/>
      </c>
    </row>
    <row r="1440" spans="13:13">
      <c r="M1440">
        <f t="shared" si="34"/>
      </c>
    </row>
    <row r="1441" spans="13:13">
      <c r="M1441">
        <f t="shared" si="34"/>
      </c>
    </row>
    <row r="1442" spans="13:13">
      <c r="M1442">
        <f t="shared" si="34"/>
      </c>
    </row>
    <row r="1443" spans="13:13">
      <c r="M1443">
        <f t="shared" si="34"/>
      </c>
    </row>
    <row r="1444" spans="13:13">
      <c r="M1444">
        <f t="shared" si="34"/>
      </c>
    </row>
    <row r="1445" spans="13:13">
      <c r="M1445">
        <f t="shared" si="34"/>
      </c>
    </row>
    <row r="1446" spans="13:13">
      <c r="M1446">
        <f t="shared" si="34"/>
      </c>
    </row>
    <row r="1447" spans="13:13">
      <c r="M1447">
        <f t="shared" si="34"/>
      </c>
    </row>
    <row r="1448" spans="13:13">
      <c r="M1448">
        <f t="shared" si="34"/>
      </c>
    </row>
    <row r="1449" spans="13:13">
      <c r="M1449">
        <f t="shared" si="34"/>
      </c>
    </row>
    <row r="1450" spans="13:13">
      <c r="M1450">
        <f t="shared" si="34"/>
      </c>
    </row>
    <row r="1451" spans="13:13">
      <c r="M1451">
        <f t="shared" si="34"/>
      </c>
    </row>
    <row r="1452" spans="13:13">
      <c r="M1452">
        <f t="shared" si="34"/>
      </c>
    </row>
    <row r="1453" spans="13:13">
      <c r="M1453">
        <f t="shared" si="34"/>
      </c>
    </row>
    <row r="1454" spans="13:13">
      <c r="M1454">
        <f t="shared" si="34"/>
      </c>
    </row>
    <row r="1455" spans="13:13">
      <c r="M1455">
        <f t="shared" si="34"/>
      </c>
    </row>
    <row r="1456" spans="13:13">
      <c r="M1456">
        <f t="shared" si="34"/>
      </c>
    </row>
    <row r="1457" spans="13:13">
      <c r="M1457">
        <f t="shared" si="34"/>
      </c>
    </row>
    <row r="1458" spans="13:13">
      <c r="M1458">
        <f t="shared" si="34"/>
      </c>
    </row>
    <row r="1459" spans="13:13">
      <c r="M1459">
        <f t="shared" si="34"/>
      </c>
    </row>
    <row r="1460" spans="13:13">
      <c r="M1460">
        <f t="shared" si="34"/>
      </c>
    </row>
    <row r="1461" spans="13:13">
      <c r="M1461">
        <f t="shared" si="34"/>
      </c>
    </row>
    <row r="1462" spans="13:13">
      <c r="M1462">
        <f t="shared" si="34"/>
      </c>
    </row>
    <row r="1463" spans="13:13">
      <c r="M1463">
        <f t="shared" si="34"/>
      </c>
    </row>
    <row r="1464" spans="13:13">
      <c r="M1464">
        <f t="shared" si="34"/>
      </c>
    </row>
    <row r="1465" spans="13:13">
      <c r="M1465">
        <f t="shared" si="34"/>
      </c>
    </row>
    <row r="1466" spans="13:13">
      <c r="M1466">
        <f t="shared" si="34"/>
      </c>
    </row>
    <row r="1467" spans="13:13">
      <c r="M1467">
        <f t="shared" si="34"/>
      </c>
    </row>
    <row r="1468" spans="13:13">
      <c r="M1468">
        <f t="shared" si="34"/>
      </c>
    </row>
    <row r="1469" spans="13:13">
      <c r="M1469">
        <f t="shared" si="34"/>
      </c>
    </row>
    <row r="1470" spans="13:13">
      <c r="M1470">
        <f t="shared" si="34"/>
      </c>
    </row>
    <row r="1471" spans="13:13">
      <c r="M1471">
        <f t="shared" si="34"/>
      </c>
    </row>
    <row r="1472" spans="13:13">
      <c r="M1472">
        <f t="shared" si="34"/>
      </c>
    </row>
    <row r="1473" spans="13:13">
      <c r="M1473">
        <f t="shared" si="34"/>
      </c>
    </row>
    <row r="1474" spans="13:13">
      <c r="M1474">
        <f t="shared" si="34"/>
      </c>
    </row>
    <row r="1475" spans="13:13">
      <c r="M1475">
        <f t="shared" si="34"/>
      </c>
    </row>
    <row r="1476" spans="13:13">
      <c r="M1476">
        <f t="shared" si="34"/>
      </c>
    </row>
    <row r="1477" spans="13:13">
      <c r="M1477">
        <f t="shared" ref="M1477:M1540" si="35">IF(A1477="","", WEEKNUM(A1477, 2))</f>
      </c>
    </row>
    <row r="1478" spans="13:13">
      <c r="M1478">
        <f t="shared" si="35"/>
      </c>
    </row>
    <row r="1479" spans="13:13">
      <c r="M1479">
        <f t="shared" si="35"/>
      </c>
    </row>
    <row r="1480" spans="13:13">
      <c r="M1480">
        <f t="shared" si="35"/>
      </c>
    </row>
    <row r="1481" spans="13:13">
      <c r="M1481">
        <f t="shared" si="35"/>
      </c>
    </row>
    <row r="1482" spans="13:13">
      <c r="M1482">
        <f t="shared" si="35"/>
      </c>
    </row>
    <row r="1483" spans="13:13">
      <c r="M1483">
        <f t="shared" si="35"/>
      </c>
    </row>
    <row r="1484" spans="13:13">
      <c r="M1484">
        <f t="shared" si="35"/>
      </c>
    </row>
    <row r="1485" spans="13:13">
      <c r="M1485">
        <f t="shared" si="35"/>
      </c>
    </row>
    <row r="1486" spans="13:13">
      <c r="M1486">
        <f t="shared" si="35"/>
      </c>
    </row>
    <row r="1487" spans="13:13">
      <c r="M1487">
        <f t="shared" si="35"/>
      </c>
    </row>
    <row r="1488" spans="13:13">
      <c r="M1488">
        <f t="shared" si="35"/>
      </c>
    </row>
    <row r="1489" spans="13:13">
      <c r="M1489">
        <f t="shared" si="35"/>
      </c>
    </row>
    <row r="1490" spans="13:13">
      <c r="M1490">
        <f t="shared" si="35"/>
      </c>
    </row>
    <row r="1491" spans="13:13">
      <c r="M1491">
        <f t="shared" si="35"/>
      </c>
    </row>
    <row r="1492" spans="13:13">
      <c r="M1492">
        <f t="shared" si="35"/>
      </c>
    </row>
    <row r="1493" spans="13:13">
      <c r="M1493">
        <f t="shared" si="35"/>
      </c>
    </row>
    <row r="1494" spans="13:13">
      <c r="M1494">
        <f t="shared" si="35"/>
      </c>
    </row>
    <row r="1495" spans="13:13">
      <c r="M1495">
        <f t="shared" si="35"/>
      </c>
    </row>
    <row r="1496" spans="13:13">
      <c r="M1496">
        <f t="shared" si="35"/>
      </c>
    </row>
    <row r="1497" spans="13:13">
      <c r="M1497">
        <f t="shared" si="35"/>
      </c>
    </row>
    <row r="1498" spans="13:13">
      <c r="M1498">
        <f t="shared" si="35"/>
      </c>
    </row>
    <row r="1499" spans="13:13">
      <c r="M1499">
        <f t="shared" si="35"/>
      </c>
    </row>
    <row r="1500" spans="13:13">
      <c r="M1500">
        <f t="shared" si="35"/>
      </c>
    </row>
    <row r="1501" spans="13:13">
      <c r="M1501">
        <f t="shared" si="35"/>
      </c>
    </row>
    <row r="1502" spans="13:13">
      <c r="M1502">
        <f t="shared" si="35"/>
      </c>
    </row>
    <row r="1503" spans="13:13">
      <c r="M1503">
        <f t="shared" si="35"/>
      </c>
    </row>
    <row r="1504" spans="13:13">
      <c r="M1504">
        <f t="shared" si="35"/>
      </c>
    </row>
    <row r="1505" spans="13:13">
      <c r="M1505">
        <f t="shared" si="35"/>
      </c>
    </row>
    <row r="1506" spans="13:13">
      <c r="M1506">
        <f t="shared" si="35"/>
      </c>
    </row>
    <row r="1507" spans="13:13">
      <c r="M1507">
        <f t="shared" si="35"/>
      </c>
    </row>
    <row r="1508" spans="13:13">
      <c r="M1508">
        <f t="shared" si="35"/>
      </c>
    </row>
    <row r="1509" spans="13:13">
      <c r="M1509">
        <f t="shared" si="35"/>
      </c>
    </row>
    <row r="1510" spans="13:13">
      <c r="M1510">
        <f t="shared" si="35"/>
      </c>
    </row>
    <row r="1511" spans="13:13">
      <c r="M1511">
        <f t="shared" si="35"/>
      </c>
    </row>
    <row r="1512" spans="13:13">
      <c r="M1512">
        <f t="shared" si="35"/>
      </c>
    </row>
    <row r="1513" spans="13:13">
      <c r="M1513">
        <f t="shared" si="35"/>
      </c>
    </row>
    <row r="1514" spans="13:13">
      <c r="M1514">
        <f t="shared" si="35"/>
      </c>
    </row>
    <row r="1515" spans="13:13">
      <c r="M1515">
        <f t="shared" si="35"/>
      </c>
    </row>
    <row r="1516" spans="13:13">
      <c r="M1516">
        <f t="shared" si="35"/>
      </c>
    </row>
    <row r="1517" spans="13:13">
      <c r="M1517">
        <f t="shared" si="35"/>
      </c>
    </row>
    <row r="1518" spans="13:13">
      <c r="M1518">
        <f t="shared" si="35"/>
      </c>
    </row>
    <row r="1519" spans="13:13">
      <c r="M1519">
        <f t="shared" si="35"/>
      </c>
    </row>
    <row r="1520" spans="13:13">
      <c r="M1520">
        <f t="shared" si="35"/>
      </c>
    </row>
    <row r="1521" spans="13:13">
      <c r="M1521">
        <f t="shared" si="35"/>
      </c>
    </row>
    <row r="1522" spans="13:13">
      <c r="M1522">
        <f t="shared" si="35"/>
      </c>
    </row>
    <row r="1523" spans="13:13">
      <c r="M1523">
        <f t="shared" si="35"/>
      </c>
    </row>
    <row r="1524" spans="13:13">
      <c r="M1524">
        <f t="shared" si="35"/>
      </c>
    </row>
    <row r="1525" spans="13:13">
      <c r="M1525">
        <f t="shared" si="35"/>
      </c>
    </row>
    <row r="1526" spans="13:13">
      <c r="M1526">
        <f t="shared" si="35"/>
      </c>
    </row>
    <row r="1527" spans="13:13">
      <c r="M1527">
        <f t="shared" si="35"/>
      </c>
    </row>
    <row r="1528" spans="13:13">
      <c r="M1528">
        <f t="shared" si="35"/>
      </c>
    </row>
    <row r="1529" spans="13:13">
      <c r="M1529">
        <f t="shared" si="35"/>
      </c>
    </row>
    <row r="1530" spans="13:13">
      <c r="M1530">
        <f t="shared" si="35"/>
      </c>
    </row>
    <row r="1531" spans="13:13">
      <c r="M1531">
        <f t="shared" si="35"/>
      </c>
    </row>
    <row r="1532" spans="13:13">
      <c r="M1532">
        <f t="shared" si="35"/>
      </c>
    </row>
    <row r="1533" spans="13:13">
      <c r="M1533">
        <f t="shared" si="35"/>
      </c>
    </row>
    <row r="1534" spans="13:13">
      <c r="M1534">
        <f t="shared" si="35"/>
      </c>
    </row>
    <row r="1535" spans="13:13">
      <c r="M1535">
        <f t="shared" si="35"/>
      </c>
    </row>
    <row r="1536" spans="13:13">
      <c r="M1536">
        <f t="shared" si="35"/>
      </c>
    </row>
    <row r="1537" spans="13:13">
      <c r="M1537">
        <f t="shared" si="35"/>
      </c>
    </row>
    <row r="1538" spans="13:13">
      <c r="M1538">
        <f t="shared" si="35"/>
      </c>
    </row>
    <row r="1539" spans="13:13">
      <c r="M1539">
        <f t="shared" si="35"/>
      </c>
    </row>
    <row r="1540" spans="13:13">
      <c r="M1540">
        <f t="shared" si="35"/>
      </c>
    </row>
    <row r="1541" spans="13:13">
      <c r="M1541">
        <f t="shared" ref="M1541:M1604" si="36">IF(A1541="","", WEEKNUM(A1541, 2))</f>
      </c>
    </row>
    <row r="1542" spans="13:13">
      <c r="M1542">
        <f t="shared" si="36"/>
      </c>
    </row>
    <row r="1543" spans="13:13">
      <c r="M1543">
        <f t="shared" si="36"/>
      </c>
    </row>
    <row r="1544" spans="13:13">
      <c r="M1544">
        <f t="shared" si="36"/>
      </c>
    </row>
    <row r="1545" spans="13:13">
      <c r="M1545">
        <f t="shared" si="36"/>
      </c>
    </row>
    <row r="1546" spans="13:13">
      <c r="M1546">
        <f t="shared" si="36"/>
      </c>
    </row>
    <row r="1547" spans="13:13">
      <c r="M1547">
        <f t="shared" si="36"/>
      </c>
    </row>
    <row r="1548" spans="13:13">
      <c r="M1548">
        <f t="shared" si="36"/>
      </c>
    </row>
    <row r="1549" spans="13:13">
      <c r="M1549">
        <f t="shared" si="36"/>
      </c>
    </row>
    <row r="1550" spans="13:13">
      <c r="M1550">
        <f t="shared" si="36"/>
      </c>
    </row>
    <row r="1551" spans="13:13">
      <c r="M1551">
        <f t="shared" si="36"/>
      </c>
    </row>
    <row r="1552" spans="13:13">
      <c r="M1552">
        <f t="shared" si="36"/>
      </c>
    </row>
    <row r="1553" spans="13:13">
      <c r="M1553">
        <f t="shared" si="36"/>
      </c>
    </row>
    <row r="1554" spans="13:13">
      <c r="M1554">
        <f t="shared" si="36"/>
      </c>
    </row>
    <row r="1555" spans="13:13">
      <c r="M1555">
        <f t="shared" si="36"/>
      </c>
    </row>
    <row r="1556" spans="13:13">
      <c r="M1556">
        <f t="shared" si="36"/>
      </c>
    </row>
    <row r="1557" spans="13:13">
      <c r="M1557">
        <f t="shared" si="36"/>
      </c>
    </row>
    <row r="1558" spans="13:13">
      <c r="M1558">
        <f t="shared" si="36"/>
      </c>
    </row>
    <row r="1559" spans="13:13">
      <c r="M1559">
        <f t="shared" si="36"/>
      </c>
    </row>
    <row r="1560" spans="13:13">
      <c r="M1560">
        <f t="shared" si="36"/>
      </c>
    </row>
    <row r="1561" spans="13:13">
      <c r="M1561">
        <f t="shared" si="36"/>
      </c>
    </row>
    <row r="1562" spans="13:13">
      <c r="M1562">
        <f t="shared" si="36"/>
      </c>
    </row>
    <row r="1563" spans="13:13">
      <c r="M1563">
        <f t="shared" si="36"/>
      </c>
    </row>
    <row r="1564" spans="13:13">
      <c r="M1564">
        <f t="shared" si="36"/>
      </c>
    </row>
    <row r="1565" spans="13:13">
      <c r="M1565">
        <f t="shared" si="36"/>
      </c>
    </row>
    <row r="1566" spans="13:13">
      <c r="M1566">
        <f t="shared" si="36"/>
      </c>
    </row>
    <row r="1567" spans="13:13">
      <c r="M1567">
        <f t="shared" si="36"/>
      </c>
    </row>
    <row r="1568" spans="13:13">
      <c r="M1568">
        <f t="shared" si="36"/>
      </c>
    </row>
    <row r="1569" spans="13:13">
      <c r="M1569">
        <f t="shared" si="36"/>
      </c>
    </row>
    <row r="1570" spans="13:13">
      <c r="M1570">
        <f t="shared" si="36"/>
      </c>
    </row>
    <row r="1571" spans="13:13">
      <c r="M1571">
        <f t="shared" si="36"/>
      </c>
    </row>
    <row r="1572" spans="13:13">
      <c r="M1572">
        <f t="shared" si="36"/>
      </c>
    </row>
    <row r="1573" spans="13:13">
      <c r="M1573">
        <f t="shared" si="36"/>
      </c>
    </row>
    <row r="1574" spans="13:13">
      <c r="M1574">
        <f t="shared" si="36"/>
      </c>
    </row>
    <row r="1575" spans="13:13">
      <c r="M1575">
        <f t="shared" si="36"/>
      </c>
    </row>
    <row r="1576" spans="13:13">
      <c r="M1576">
        <f t="shared" si="36"/>
      </c>
    </row>
    <row r="1577" spans="13:13">
      <c r="M1577">
        <f t="shared" si="36"/>
      </c>
    </row>
    <row r="1578" spans="13:13">
      <c r="M1578">
        <f t="shared" si="36"/>
      </c>
    </row>
    <row r="1579" spans="13:13">
      <c r="M1579">
        <f t="shared" si="36"/>
      </c>
    </row>
    <row r="1580" spans="13:13">
      <c r="M1580">
        <f t="shared" si="36"/>
      </c>
    </row>
    <row r="1581" spans="13:13">
      <c r="M1581">
        <f t="shared" si="36"/>
      </c>
    </row>
    <row r="1582" spans="13:13">
      <c r="M1582">
        <f t="shared" si="36"/>
      </c>
    </row>
    <row r="1583" spans="13:13">
      <c r="M1583">
        <f t="shared" si="36"/>
      </c>
    </row>
    <row r="1584" spans="13:13">
      <c r="M1584">
        <f t="shared" si="36"/>
      </c>
    </row>
    <row r="1585" spans="13:13">
      <c r="M1585">
        <f t="shared" si="36"/>
      </c>
    </row>
    <row r="1586" spans="13:13">
      <c r="M1586">
        <f t="shared" si="36"/>
      </c>
    </row>
    <row r="1587" spans="13:13">
      <c r="M1587">
        <f t="shared" si="36"/>
      </c>
    </row>
    <row r="1588" spans="13:13">
      <c r="M1588">
        <f t="shared" si="36"/>
      </c>
    </row>
    <row r="1589" spans="13:13">
      <c r="M1589">
        <f t="shared" si="36"/>
      </c>
    </row>
    <row r="1590" spans="13:13">
      <c r="M1590">
        <f t="shared" si="36"/>
      </c>
    </row>
    <row r="1591" spans="13:13">
      <c r="M1591">
        <f t="shared" si="36"/>
      </c>
    </row>
    <row r="1592" spans="13:13">
      <c r="M1592">
        <f t="shared" si="36"/>
      </c>
    </row>
    <row r="1593" spans="13:13">
      <c r="M1593">
        <f t="shared" si="36"/>
      </c>
    </row>
    <row r="1594" spans="13:13">
      <c r="M1594">
        <f t="shared" si="36"/>
      </c>
    </row>
    <row r="1595" spans="13:13">
      <c r="M1595">
        <f t="shared" si="36"/>
      </c>
    </row>
    <row r="1596" spans="13:13">
      <c r="M1596">
        <f t="shared" si="36"/>
      </c>
    </row>
    <row r="1597" spans="13:13">
      <c r="M1597">
        <f t="shared" si="36"/>
      </c>
    </row>
    <row r="1598" spans="13:13">
      <c r="M1598">
        <f t="shared" si="36"/>
      </c>
    </row>
    <row r="1599" spans="13:13">
      <c r="M1599">
        <f t="shared" si="36"/>
      </c>
    </row>
    <row r="1600" spans="13:13">
      <c r="M1600">
        <f t="shared" si="36"/>
      </c>
    </row>
    <row r="1601" spans="13:13">
      <c r="M1601">
        <f t="shared" si="36"/>
      </c>
    </row>
    <row r="1602" spans="13:13">
      <c r="M1602">
        <f t="shared" si="36"/>
      </c>
    </row>
    <row r="1603" spans="13:13">
      <c r="M1603">
        <f t="shared" si="36"/>
      </c>
    </row>
    <row r="1604" spans="13:13">
      <c r="M1604">
        <f t="shared" si="36"/>
      </c>
    </row>
    <row r="1605" spans="13:13">
      <c r="M1605">
        <f t="shared" ref="M1605:M1668" si="37">IF(A1605="","", WEEKNUM(A1605, 2))</f>
      </c>
    </row>
    <row r="1606" spans="13:13">
      <c r="M1606">
        <f t="shared" si="37"/>
      </c>
    </row>
    <row r="1607" spans="13:13">
      <c r="M1607">
        <f t="shared" si="37"/>
      </c>
    </row>
    <row r="1608" spans="13:13">
      <c r="M1608">
        <f t="shared" si="37"/>
      </c>
    </row>
    <row r="1609" spans="13:13">
      <c r="M1609">
        <f t="shared" si="37"/>
      </c>
    </row>
    <row r="1610" spans="13:13">
      <c r="M1610">
        <f t="shared" si="37"/>
      </c>
    </row>
    <row r="1611" spans="13:13">
      <c r="M1611">
        <f t="shared" si="37"/>
      </c>
    </row>
    <row r="1612" spans="13:13">
      <c r="M1612">
        <f t="shared" si="37"/>
      </c>
    </row>
    <row r="1613" spans="13:13">
      <c r="M1613">
        <f t="shared" si="37"/>
      </c>
    </row>
    <row r="1614" spans="13:13">
      <c r="M1614">
        <f t="shared" si="37"/>
      </c>
    </row>
    <row r="1615" spans="13:13">
      <c r="M1615">
        <f t="shared" si="37"/>
      </c>
    </row>
    <row r="1616" spans="13:13">
      <c r="M1616">
        <f t="shared" si="37"/>
      </c>
    </row>
    <row r="1617" spans="13:13">
      <c r="M1617">
        <f t="shared" si="37"/>
      </c>
    </row>
    <row r="1618" spans="13:13">
      <c r="M1618">
        <f t="shared" si="37"/>
      </c>
    </row>
    <row r="1619" spans="13:13">
      <c r="M1619">
        <f t="shared" si="37"/>
      </c>
    </row>
    <row r="1620" spans="13:13">
      <c r="M1620">
        <f t="shared" si="37"/>
      </c>
    </row>
    <row r="1621" spans="13:13">
      <c r="M1621">
        <f t="shared" si="37"/>
      </c>
    </row>
    <row r="1622" spans="13:13">
      <c r="M1622">
        <f t="shared" si="37"/>
      </c>
    </row>
    <row r="1623" spans="13:13">
      <c r="M1623">
        <f t="shared" si="37"/>
      </c>
    </row>
    <row r="1624" spans="13:13">
      <c r="M1624">
        <f t="shared" si="37"/>
      </c>
    </row>
    <row r="1625" spans="13:13">
      <c r="M1625">
        <f t="shared" si="37"/>
      </c>
    </row>
    <row r="1626" spans="13:13">
      <c r="M1626">
        <f t="shared" si="37"/>
      </c>
    </row>
    <row r="1627" spans="13:13">
      <c r="M1627">
        <f t="shared" si="37"/>
      </c>
    </row>
    <row r="1628" spans="13:13">
      <c r="M1628">
        <f t="shared" si="37"/>
      </c>
    </row>
    <row r="1629" spans="13:13">
      <c r="M1629">
        <f t="shared" si="37"/>
      </c>
    </row>
    <row r="1630" spans="13:13">
      <c r="M1630">
        <f t="shared" si="37"/>
      </c>
    </row>
    <row r="1631" spans="13:13">
      <c r="M1631">
        <f t="shared" si="37"/>
      </c>
    </row>
    <row r="1632" spans="13:13">
      <c r="M1632">
        <f t="shared" si="37"/>
      </c>
    </row>
    <row r="1633" spans="13:13">
      <c r="M1633">
        <f t="shared" si="37"/>
      </c>
    </row>
    <row r="1634" spans="13:13">
      <c r="M1634">
        <f t="shared" si="37"/>
      </c>
    </row>
    <row r="1635" spans="13:13">
      <c r="M1635">
        <f t="shared" si="37"/>
      </c>
    </row>
    <row r="1636" spans="13:13">
      <c r="M1636">
        <f t="shared" si="37"/>
      </c>
    </row>
    <row r="1637" spans="13:13">
      <c r="M1637">
        <f t="shared" si="37"/>
      </c>
    </row>
    <row r="1638" spans="13:13">
      <c r="M1638">
        <f t="shared" si="37"/>
      </c>
    </row>
    <row r="1639" spans="13:13">
      <c r="M1639">
        <f t="shared" si="37"/>
      </c>
    </row>
    <row r="1640" spans="13:13">
      <c r="M1640">
        <f t="shared" si="37"/>
      </c>
    </row>
    <row r="1641" spans="13:13">
      <c r="M1641">
        <f t="shared" si="37"/>
      </c>
    </row>
    <row r="1642" spans="13:13">
      <c r="M1642">
        <f t="shared" si="37"/>
      </c>
    </row>
    <row r="1643" spans="13:13">
      <c r="M1643">
        <f t="shared" si="37"/>
      </c>
    </row>
    <row r="1644" spans="13:13">
      <c r="M1644">
        <f t="shared" si="37"/>
      </c>
    </row>
    <row r="1645" spans="13:13">
      <c r="M1645">
        <f t="shared" si="37"/>
      </c>
    </row>
    <row r="1646" spans="13:13">
      <c r="M1646">
        <f t="shared" si="37"/>
      </c>
    </row>
    <row r="1647" spans="13:13">
      <c r="M1647">
        <f t="shared" si="37"/>
      </c>
    </row>
    <row r="1648" spans="13:13">
      <c r="M1648">
        <f t="shared" si="37"/>
      </c>
    </row>
    <row r="1649" spans="13:13">
      <c r="M1649">
        <f t="shared" si="37"/>
      </c>
    </row>
    <row r="1650" spans="13:13">
      <c r="M1650">
        <f t="shared" si="37"/>
      </c>
    </row>
    <row r="1651" spans="13:13">
      <c r="M1651">
        <f t="shared" si="37"/>
      </c>
    </row>
    <row r="1652" spans="13:13">
      <c r="M1652">
        <f t="shared" si="37"/>
      </c>
    </row>
    <row r="1653" spans="13:13">
      <c r="M1653">
        <f t="shared" si="37"/>
      </c>
    </row>
    <row r="1654" spans="13:13">
      <c r="M1654">
        <f t="shared" si="37"/>
      </c>
    </row>
    <row r="1655" spans="13:13">
      <c r="M1655">
        <f t="shared" si="37"/>
      </c>
    </row>
    <row r="1656" spans="13:13">
      <c r="M1656">
        <f t="shared" si="37"/>
      </c>
    </row>
    <row r="1657" spans="13:13">
      <c r="M1657">
        <f t="shared" si="37"/>
      </c>
    </row>
    <row r="1658" spans="13:13">
      <c r="M1658">
        <f t="shared" si="37"/>
      </c>
    </row>
    <row r="1659" spans="13:13">
      <c r="M1659">
        <f t="shared" si="37"/>
      </c>
    </row>
    <row r="1660" spans="13:13">
      <c r="M1660">
        <f t="shared" si="37"/>
      </c>
    </row>
    <row r="1661" spans="13:13">
      <c r="M1661">
        <f t="shared" si="37"/>
      </c>
    </row>
    <row r="1662" spans="13:13">
      <c r="M1662">
        <f t="shared" si="37"/>
      </c>
    </row>
    <row r="1663" spans="13:13">
      <c r="M1663">
        <f t="shared" si="37"/>
      </c>
    </row>
    <row r="1664" spans="13:13">
      <c r="M1664">
        <f t="shared" si="37"/>
      </c>
    </row>
    <row r="1665" spans="13:13">
      <c r="M1665">
        <f t="shared" si="37"/>
      </c>
    </row>
    <row r="1666" spans="13:13">
      <c r="M1666">
        <f t="shared" si="37"/>
      </c>
    </row>
    <row r="1667" spans="13:13">
      <c r="M1667">
        <f t="shared" si="37"/>
      </c>
    </row>
    <row r="1668" spans="13:13">
      <c r="M1668">
        <f t="shared" si="37"/>
      </c>
    </row>
    <row r="1669" spans="13:13">
      <c r="M1669">
        <f t="shared" ref="M1669:M1732" si="38">IF(A1669="","", WEEKNUM(A1669, 2))</f>
      </c>
    </row>
    <row r="1670" spans="13:13">
      <c r="M1670">
        <f t="shared" si="38"/>
      </c>
    </row>
    <row r="1671" spans="13:13">
      <c r="M1671">
        <f t="shared" si="38"/>
      </c>
    </row>
    <row r="1672" spans="13:13">
      <c r="M1672">
        <f t="shared" si="38"/>
      </c>
    </row>
    <row r="1673" spans="13:13">
      <c r="M1673">
        <f t="shared" si="38"/>
      </c>
    </row>
    <row r="1674" spans="13:13">
      <c r="M1674">
        <f t="shared" si="38"/>
      </c>
    </row>
    <row r="1675" spans="13:13">
      <c r="M1675">
        <f t="shared" si="38"/>
      </c>
    </row>
    <row r="1676" spans="13:13">
      <c r="M1676">
        <f t="shared" si="38"/>
      </c>
    </row>
    <row r="1677" spans="13:13">
      <c r="M1677">
        <f t="shared" si="38"/>
      </c>
    </row>
    <row r="1678" spans="13:13">
      <c r="M1678">
        <f t="shared" si="38"/>
      </c>
    </row>
    <row r="1679" spans="13:13">
      <c r="M1679">
        <f t="shared" si="38"/>
      </c>
    </row>
    <row r="1680" spans="13:13">
      <c r="M1680">
        <f t="shared" si="38"/>
      </c>
    </row>
    <row r="1681" spans="13:13">
      <c r="M1681">
        <f t="shared" si="38"/>
      </c>
    </row>
    <row r="1682" spans="13:13">
      <c r="M1682">
        <f t="shared" si="38"/>
      </c>
    </row>
    <row r="1683" spans="13:13">
      <c r="M1683">
        <f t="shared" si="38"/>
      </c>
    </row>
    <row r="1684" spans="13:13">
      <c r="M1684">
        <f t="shared" si="38"/>
      </c>
    </row>
    <row r="1685" spans="13:13">
      <c r="M1685">
        <f t="shared" si="38"/>
      </c>
    </row>
    <row r="1686" spans="13:13">
      <c r="M1686">
        <f t="shared" si="38"/>
      </c>
    </row>
    <row r="1687" spans="13:13">
      <c r="M1687">
        <f t="shared" si="38"/>
      </c>
    </row>
    <row r="1688" spans="13:13">
      <c r="M1688">
        <f t="shared" si="38"/>
      </c>
    </row>
    <row r="1689" spans="13:13">
      <c r="M1689">
        <f t="shared" si="38"/>
      </c>
    </row>
    <row r="1690" spans="13:13">
      <c r="M1690">
        <f t="shared" si="38"/>
      </c>
    </row>
    <row r="1691" spans="13:13">
      <c r="M1691">
        <f t="shared" si="38"/>
      </c>
    </row>
    <row r="1692" spans="13:13">
      <c r="M1692">
        <f t="shared" si="38"/>
      </c>
    </row>
    <row r="1693" spans="13:13">
      <c r="M1693">
        <f t="shared" si="38"/>
      </c>
    </row>
    <row r="1694" spans="13:13">
      <c r="M1694">
        <f t="shared" si="38"/>
      </c>
    </row>
    <row r="1695" spans="13:13">
      <c r="M1695">
        <f t="shared" si="38"/>
      </c>
    </row>
    <row r="1696" spans="13:13">
      <c r="M1696">
        <f t="shared" si="38"/>
      </c>
    </row>
    <row r="1697" spans="13:13">
      <c r="M1697">
        <f t="shared" si="38"/>
      </c>
    </row>
    <row r="1698" spans="13:13">
      <c r="M1698">
        <f t="shared" si="38"/>
      </c>
    </row>
    <row r="1699" spans="13:13">
      <c r="M1699">
        <f t="shared" si="38"/>
      </c>
    </row>
    <row r="1700" spans="13:13">
      <c r="M1700">
        <f t="shared" si="38"/>
      </c>
    </row>
    <row r="1701" spans="13:13">
      <c r="M1701">
        <f t="shared" si="38"/>
      </c>
    </row>
    <row r="1702" spans="13:13">
      <c r="M1702">
        <f t="shared" si="38"/>
      </c>
    </row>
    <row r="1703" spans="13:13">
      <c r="M1703">
        <f t="shared" si="38"/>
      </c>
    </row>
    <row r="1704" spans="13:13">
      <c r="M1704">
        <f t="shared" si="38"/>
      </c>
    </row>
    <row r="1705" spans="13:13">
      <c r="M1705">
        <f t="shared" si="38"/>
      </c>
    </row>
    <row r="1706" spans="13:13">
      <c r="M1706">
        <f t="shared" si="38"/>
      </c>
    </row>
    <row r="1707" spans="13:13">
      <c r="M1707">
        <f t="shared" si="38"/>
      </c>
    </row>
    <row r="1708" spans="13:13">
      <c r="M1708">
        <f t="shared" si="38"/>
      </c>
    </row>
    <row r="1709" spans="13:13">
      <c r="M1709">
        <f t="shared" si="38"/>
      </c>
    </row>
    <row r="1710" spans="13:13">
      <c r="M1710">
        <f t="shared" si="38"/>
      </c>
    </row>
    <row r="1711" spans="13:13">
      <c r="M1711">
        <f t="shared" si="38"/>
      </c>
    </row>
    <row r="1712" spans="13:13">
      <c r="M1712">
        <f t="shared" si="38"/>
      </c>
    </row>
    <row r="1713" spans="13:13">
      <c r="M1713">
        <f t="shared" si="38"/>
      </c>
    </row>
    <row r="1714" spans="13:13">
      <c r="M1714">
        <f t="shared" si="38"/>
      </c>
    </row>
    <row r="1715" spans="13:13">
      <c r="M1715">
        <f t="shared" si="38"/>
      </c>
    </row>
    <row r="1716" spans="13:13">
      <c r="M1716">
        <f t="shared" si="38"/>
      </c>
    </row>
    <row r="1717" spans="13:13">
      <c r="M1717">
        <f t="shared" si="38"/>
      </c>
    </row>
    <row r="1718" spans="13:13">
      <c r="M1718">
        <f t="shared" si="38"/>
      </c>
    </row>
    <row r="1719" spans="13:13">
      <c r="M1719">
        <f t="shared" si="38"/>
      </c>
    </row>
    <row r="1720" spans="13:13">
      <c r="M1720">
        <f t="shared" si="38"/>
      </c>
    </row>
    <row r="1721" spans="13:13">
      <c r="M1721">
        <f t="shared" si="38"/>
      </c>
    </row>
    <row r="1722" spans="13:13">
      <c r="M1722">
        <f t="shared" si="38"/>
      </c>
    </row>
    <row r="1723" spans="13:13">
      <c r="M1723">
        <f t="shared" si="38"/>
      </c>
    </row>
    <row r="1724" spans="13:13">
      <c r="M1724">
        <f t="shared" si="38"/>
      </c>
    </row>
    <row r="1725" spans="13:13">
      <c r="M1725">
        <f t="shared" si="38"/>
      </c>
    </row>
    <row r="1726" spans="13:13">
      <c r="M1726">
        <f t="shared" si="38"/>
      </c>
    </row>
    <row r="1727" spans="13:13">
      <c r="M1727">
        <f t="shared" si="38"/>
      </c>
    </row>
    <row r="1728" spans="13:13">
      <c r="M1728">
        <f t="shared" si="38"/>
      </c>
    </row>
    <row r="1729" spans="13:13">
      <c r="M1729">
        <f t="shared" si="38"/>
      </c>
    </row>
    <row r="1730" spans="13:13">
      <c r="M1730">
        <f t="shared" si="38"/>
      </c>
    </row>
    <row r="1731" spans="13:13">
      <c r="M1731">
        <f t="shared" si="38"/>
      </c>
    </row>
    <row r="1732" spans="13:13">
      <c r="M1732">
        <f t="shared" si="38"/>
      </c>
    </row>
    <row r="1733" spans="13:13">
      <c r="M1733">
        <f t="shared" ref="M1733:M1796" si="39">IF(A1733="","", WEEKNUM(A1733, 2))</f>
      </c>
    </row>
    <row r="1734" spans="13:13">
      <c r="M1734">
        <f t="shared" si="39"/>
      </c>
    </row>
    <row r="1735" spans="13:13">
      <c r="M1735">
        <f t="shared" si="39"/>
      </c>
    </row>
    <row r="1736" spans="13:13">
      <c r="M1736">
        <f t="shared" si="39"/>
      </c>
    </row>
    <row r="1737" spans="13:13">
      <c r="M1737">
        <f t="shared" si="39"/>
      </c>
    </row>
    <row r="1738" spans="13:13">
      <c r="M1738">
        <f t="shared" si="39"/>
      </c>
    </row>
    <row r="1739" spans="13:13">
      <c r="M1739">
        <f t="shared" si="39"/>
      </c>
    </row>
    <row r="1740" spans="13:13">
      <c r="M1740">
        <f t="shared" si="39"/>
      </c>
    </row>
    <row r="1741" spans="13:13">
      <c r="M1741">
        <f t="shared" si="39"/>
      </c>
    </row>
    <row r="1742" spans="13:13">
      <c r="M1742">
        <f t="shared" si="39"/>
      </c>
    </row>
    <row r="1743" spans="13:13">
      <c r="M1743">
        <f t="shared" si="39"/>
      </c>
    </row>
    <row r="1744" spans="13:13">
      <c r="M1744">
        <f t="shared" si="39"/>
      </c>
    </row>
    <row r="1745" spans="13:13">
      <c r="M1745">
        <f t="shared" si="39"/>
      </c>
    </row>
    <row r="1746" spans="13:13">
      <c r="M1746">
        <f t="shared" si="39"/>
      </c>
    </row>
    <row r="1747" spans="13:13">
      <c r="M1747">
        <f t="shared" si="39"/>
      </c>
    </row>
    <row r="1748" spans="13:13">
      <c r="M1748">
        <f t="shared" si="39"/>
      </c>
    </row>
    <row r="1749" spans="13:13">
      <c r="M1749">
        <f t="shared" si="39"/>
      </c>
    </row>
    <row r="1750" spans="13:13">
      <c r="M1750">
        <f t="shared" si="39"/>
      </c>
    </row>
    <row r="1751" spans="13:13">
      <c r="M1751">
        <f t="shared" si="39"/>
      </c>
    </row>
    <row r="1752" spans="13:13">
      <c r="M1752">
        <f t="shared" si="39"/>
      </c>
    </row>
    <row r="1753" spans="13:13">
      <c r="M1753">
        <f t="shared" si="39"/>
      </c>
    </row>
    <row r="1754" spans="13:13">
      <c r="M1754">
        <f t="shared" si="39"/>
      </c>
    </row>
    <row r="1755" spans="13:13">
      <c r="M1755">
        <f t="shared" si="39"/>
      </c>
    </row>
    <row r="1756" spans="13:13">
      <c r="M1756">
        <f t="shared" si="39"/>
      </c>
    </row>
    <row r="1757" spans="13:13">
      <c r="M1757">
        <f t="shared" si="39"/>
      </c>
    </row>
    <row r="1758" spans="13:13">
      <c r="M1758">
        <f t="shared" si="39"/>
      </c>
    </row>
    <row r="1759" spans="13:13">
      <c r="M1759">
        <f t="shared" si="39"/>
      </c>
    </row>
    <row r="1760" spans="13:13">
      <c r="M1760">
        <f t="shared" si="39"/>
      </c>
    </row>
    <row r="1761" spans="13:13">
      <c r="M1761">
        <f t="shared" si="39"/>
      </c>
    </row>
    <row r="1762" spans="13:13">
      <c r="M1762">
        <f t="shared" si="39"/>
      </c>
    </row>
    <row r="1763" spans="13:13">
      <c r="M1763">
        <f t="shared" si="39"/>
      </c>
    </row>
    <row r="1764" spans="13:13">
      <c r="M1764">
        <f t="shared" si="39"/>
      </c>
    </row>
    <row r="1765" spans="13:13">
      <c r="M1765">
        <f t="shared" si="39"/>
      </c>
    </row>
    <row r="1766" spans="13:13">
      <c r="M1766">
        <f t="shared" si="39"/>
      </c>
    </row>
    <row r="1767" spans="13:13">
      <c r="M1767">
        <f t="shared" si="39"/>
      </c>
    </row>
    <row r="1768" spans="13:13">
      <c r="M1768">
        <f t="shared" si="39"/>
      </c>
    </row>
    <row r="1769" spans="13:13">
      <c r="M1769">
        <f t="shared" si="39"/>
      </c>
    </row>
    <row r="1770" spans="13:13">
      <c r="M1770">
        <f t="shared" si="39"/>
      </c>
    </row>
    <row r="1771" spans="13:13">
      <c r="M1771">
        <f t="shared" si="39"/>
      </c>
    </row>
    <row r="1772" spans="13:13">
      <c r="M1772">
        <f t="shared" si="39"/>
      </c>
    </row>
    <row r="1773" spans="13:13">
      <c r="M1773">
        <f t="shared" si="39"/>
      </c>
    </row>
    <row r="1774" spans="13:13">
      <c r="M1774">
        <f t="shared" si="39"/>
      </c>
    </row>
    <row r="1775" spans="13:13">
      <c r="M1775">
        <f t="shared" si="39"/>
      </c>
    </row>
    <row r="1776" spans="13:13">
      <c r="M1776">
        <f t="shared" si="39"/>
      </c>
    </row>
    <row r="1777" spans="13:13">
      <c r="M1777">
        <f t="shared" si="39"/>
      </c>
    </row>
    <row r="1778" spans="13:13">
      <c r="M1778">
        <f t="shared" si="39"/>
      </c>
    </row>
    <row r="1779" spans="13:13">
      <c r="M1779">
        <f t="shared" si="39"/>
      </c>
    </row>
    <row r="1780" spans="13:13">
      <c r="M1780">
        <f t="shared" si="39"/>
      </c>
    </row>
    <row r="1781" spans="13:13">
      <c r="M1781">
        <f t="shared" si="39"/>
      </c>
    </row>
    <row r="1782" spans="13:13">
      <c r="M1782">
        <f t="shared" si="39"/>
      </c>
    </row>
    <row r="1783" spans="13:13">
      <c r="M1783">
        <f t="shared" si="39"/>
      </c>
    </row>
    <row r="1784" spans="13:13">
      <c r="M1784">
        <f t="shared" si="39"/>
      </c>
    </row>
    <row r="1785" spans="13:13">
      <c r="M1785">
        <f t="shared" si="39"/>
      </c>
    </row>
    <row r="1786" spans="13:13">
      <c r="M1786">
        <f t="shared" si="39"/>
      </c>
    </row>
    <row r="1787" spans="13:13">
      <c r="M1787">
        <f t="shared" si="39"/>
      </c>
    </row>
    <row r="1788" spans="13:13">
      <c r="M1788">
        <f t="shared" si="39"/>
      </c>
    </row>
    <row r="1789" spans="13:13">
      <c r="M1789">
        <f t="shared" si="39"/>
      </c>
    </row>
    <row r="1790" spans="13:13">
      <c r="M1790">
        <f t="shared" si="39"/>
      </c>
    </row>
    <row r="1791" spans="13:13">
      <c r="M1791">
        <f t="shared" si="39"/>
      </c>
    </row>
    <row r="1792" spans="13:13">
      <c r="M1792">
        <f t="shared" si="39"/>
      </c>
    </row>
    <row r="1793" spans="13:13">
      <c r="M1793">
        <f t="shared" si="39"/>
      </c>
    </row>
    <row r="1794" spans="13:13">
      <c r="M1794">
        <f t="shared" si="39"/>
      </c>
    </row>
    <row r="1795" spans="13:13">
      <c r="M1795">
        <f t="shared" si="39"/>
      </c>
    </row>
    <row r="1796" spans="13:13">
      <c r="M1796">
        <f t="shared" si="39"/>
      </c>
    </row>
    <row r="1797" spans="13:13">
      <c r="M1797">
        <f t="shared" ref="M1797:M1860" si="40">IF(A1797="","", WEEKNUM(A1797, 2))</f>
      </c>
    </row>
    <row r="1798" spans="13:13">
      <c r="M1798">
        <f t="shared" si="40"/>
      </c>
    </row>
    <row r="1799" spans="13:13">
      <c r="M1799">
        <f t="shared" si="40"/>
      </c>
    </row>
    <row r="1800" spans="13:13">
      <c r="M1800">
        <f t="shared" si="40"/>
      </c>
    </row>
    <row r="1801" spans="13:13">
      <c r="M1801">
        <f t="shared" si="40"/>
      </c>
    </row>
    <row r="1802" spans="13:13">
      <c r="M1802">
        <f t="shared" si="40"/>
      </c>
    </row>
    <row r="1803" spans="13:13">
      <c r="M1803">
        <f t="shared" si="40"/>
      </c>
    </row>
    <row r="1804" spans="13:13">
      <c r="M1804">
        <f t="shared" si="40"/>
      </c>
    </row>
    <row r="1805" spans="13:13">
      <c r="M1805">
        <f t="shared" si="40"/>
      </c>
    </row>
    <row r="1806" spans="13:13">
      <c r="M1806">
        <f t="shared" si="40"/>
      </c>
    </row>
    <row r="1807" spans="13:13">
      <c r="M1807">
        <f t="shared" si="40"/>
      </c>
    </row>
    <row r="1808" spans="13:13">
      <c r="M1808">
        <f t="shared" si="40"/>
      </c>
    </row>
    <row r="1809" spans="13:13">
      <c r="M1809">
        <f t="shared" si="40"/>
      </c>
    </row>
    <row r="1810" spans="13:13">
      <c r="M1810">
        <f t="shared" si="40"/>
      </c>
    </row>
    <row r="1811" spans="13:13">
      <c r="M1811">
        <f t="shared" si="40"/>
      </c>
    </row>
    <row r="1812" spans="13:13">
      <c r="M1812">
        <f t="shared" si="40"/>
      </c>
    </row>
    <row r="1813" spans="13:13">
      <c r="M1813">
        <f t="shared" si="40"/>
      </c>
    </row>
    <row r="1814" spans="13:13">
      <c r="M1814">
        <f t="shared" si="40"/>
      </c>
    </row>
    <row r="1815" spans="13:13">
      <c r="M1815">
        <f t="shared" si="40"/>
      </c>
    </row>
    <row r="1816" spans="13:13">
      <c r="M1816">
        <f t="shared" si="40"/>
      </c>
    </row>
    <row r="1817" spans="13:13">
      <c r="M1817">
        <f t="shared" si="40"/>
      </c>
    </row>
    <row r="1818" spans="13:13">
      <c r="M1818">
        <f t="shared" si="40"/>
      </c>
    </row>
    <row r="1819" spans="13:13">
      <c r="M1819">
        <f t="shared" si="40"/>
      </c>
    </row>
    <row r="1820" spans="13:13">
      <c r="M1820">
        <f t="shared" si="40"/>
      </c>
    </row>
    <row r="1821" spans="13:13">
      <c r="M1821">
        <f t="shared" si="40"/>
      </c>
    </row>
    <row r="1822" spans="13:13">
      <c r="M1822">
        <f t="shared" si="40"/>
      </c>
    </row>
    <row r="1823" spans="13:13">
      <c r="M1823">
        <f t="shared" si="40"/>
      </c>
    </row>
    <row r="1824" spans="13:13">
      <c r="M1824">
        <f t="shared" si="40"/>
      </c>
    </row>
    <row r="1825" spans="13:13">
      <c r="M1825">
        <f t="shared" si="40"/>
      </c>
    </row>
    <row r="1826" spans="13:13">
      <c r="M1826">
        <f t="shared" si="40"/>
      </c>
    </row>
    <row r="1827" spans="13:13">
      <c r="M1827">
        <f t="shared" si="40"/>
      </c>
    </row>
    <row r="1828" spans="13:13">
      <c r="M1828">
        <f t="shared" si="40"/>
      </c>
    </row>
    <row r="1829" spans="13:13">
      <c r="M1829">
        <f t="shared" si="40"/>
      </c>
    </row>
    <row r="1830" spans="13:13">
      <c r="M1830">
        <f t="shared" si="40"/>
      </c>
    </row>
    <row r="1831" spans="13:13">
      <c r="M1831">
        <f t="shared" si="40"/>
      </c>
    </row>
    <row r="1832" spans="13:13">
      <c r="M1832">
        <f t="shared" si="40"/>
      </c>
    </row>
    <row r="1833" spans="13:13">
      <c r="M1833">
        <f t="shared" si="40"/>
      </c>
    </row>
    <row r="1834" spans="13:13">
      <c r="M1834">
        <f t="shared" si="40"/>
      </c>
    </row>
    <row r="1835" spans="13:13">
      <c r="M1835">
        <f t="shared" si="40"/>
      </c>
    </row>
    <row r="1836" spans="13:13">
      <c r="M1836">
        <f t="shared" si="40"/>
      </c>
    </row>
    <row r="1837" spans="13:13">
      <c r="M1837">
        <f t="shared" si="40"/>
      </c>
    </row>
    <row r="1838" spans="13:13">
      <c r="M1838">
        <f t="shared" si="40"/>
      </c>
    </row>
    <row r="1839" spans="13:13">
      <c r="M1839">
        <f t="shared" si="40"/>
      </c>
    </row>
    <row r="1840" spans="13:13">
      <c r="M1840">
        <f t="shared" si="40"/>
      </c>
    </row>
    <row r="1841" spans="13:13">
      <c r="M1841">
        <f t="shared" si="40"/>
      </c>
    </row>
    <row r="1842" spans="13:13">
      <c r="M1842">
        <f t="shared" si="40"/>
      </c>
    </row>
    <row r="1843" spans="13:13">
      <c r="M1843">
        <f t="shared" si="40"/>
      </c>
    </row>
    <row r="1844" spans="13:13">
      <c r="M1844">
        <f t="shared" si="40"/>
      </c>
    </row>
    <row r="1845" spans="13:13">
      <c r="M1845">
        <f t="shared" si="40"/>
      </c>
    </row>
    <row r="1846" spans="13:13">
      <c r="M1846">
        <f t="shared" si="40"/>
      </c>
    </row>
    <row r="1847" spans="13:13">
      <c r="M1847">
        <f t="shared" si="40"/>
      </c>
    </row>
    <row r="1848" spans="13:13">
      <c r="M1848">
        <f t="shared" si="40"/>
      </c>
    </row>
    <row r="1849" spans="13:13">
      <c r="M1849">
        <f t="shared" si="40"/>
      </c>
    </row>
    <row r="1850" spans="13:13">
      <c r="M1850">
        <f t="shared" si="40"/>
      </c>
    </row>
    <row r="1851" spans="13:13">
      <c r="M1851">
        <f t="shared" si="40"/>
      </c>
    </row>
    <row r="1852" spans="13:13">
      <c r="M1852">
        <f t="shared" si="40"/>
      </c>
    </row>
    <row r="1853" spans="13:13">
      <c r="M1853">
        <f t="shared" si="40"/>
      </c>
    </row>
    <row r="1854" spans="13:13">
      <c r="M1854">
        <f t="shared" si="40"/>
      </c>
    </row>
    <row r="1855" spans="13:13">
      <c r="M1855">
        <f t="shared" si="40"/>
      </c>
    </row>
    <row r="1856" spans="13:13">
      <c r="M1856">
        <f t="shared" si="40"/>
      </c>
    </row>
    <row r="1857" spans="13:13">
      <c r="M1857">
        <f t="shared" si="40"/>
      </c>
    </row>
    <row r="1858" spans="13:13">
      <c r="M1858">
        <f t="shared" si="40"/>
      </c>
    </row>
    <row r="1859" spans="13:13">
      <c r="M1859">
        <f t="shared" si="40"/>
      </c>
    </row>
    <row r="1860" spans="13:13">
      <c r="M1860">
        <f t="shared" si="40"/>
      </c>
    </row>
    <row r="1861" spans="13:13">
      <c r="M1861">
        <f t="shared" ref="M1861:M1924" si="41">IF(A1861="","", WEEKNUM(A1861, 2))</f>
      </c>
    </row>
    <row r="1862" spans="13:13">
      <c r="M1862">
        <f t="shared" si="41"/>
      </c>
    </row>
    <row r="1863" spans="13:13">
      <c r="M1863">
        <f t="shared" si="41"/>
      </c>
    </row>
    <row r="1864" spans="13:13">
      <c r="M1864">
        <f t="shared" si="41"/>
      </c>
    </row>
    <row r="1865" spans="13:13">
      <c r="M1865">
        <f t="shared" si="41"/>
      </c>
    </row>
    <row r="1866" spans="13:13">
      <c r="M1866">
        <f t="shared" si="41"/>
      </c>
    </row>
    <row r="1867" spans="13:13">
      <c r="M1867">
        <f t="shared" si="41"/>
      </c>
    </row>
    <row r="1868" spans="13:13">
      <c r="M1868">
        <f t="shared" si="41"/>
      </c>
    </row>
    <row r="1869" spans="13:13">
      <c r="M1869">
        <f t="shared" si="41"/>
      </c>
    </row>
    <row r="1870" spans="13:13">
      <c r="M1870">
        <f t="shared" si="41"/>
      </c>
    </row>
    <row r="1871" spans="13:13">
      <c r="M1871">
        <f t="shared" si="41"/>
      </c>
    </row>
    <row r="1872" spans="13:13">
      <c r="M1872">
        <f t="shared" si="41"/>
      </c>
    </row>
    <row r="1873" spans="13:13">
      <c r="M1873">
        <f t="shared" si="41"/>
      </c>
    </row>
    <row r="1874" spans="13:13">
      <c r="M1874">
        <f t="shared" si="41"/>
      </c>
    </row>
    <row r="1875" spans="13:13">
      <c r="M1875">
        <f t="shared" si="41"/>
      </c>
    </row>
    <row r="1876" spans="13:13">
      <c r="M1876">
        <f t="shared" si="41"/>
      </c>
    </row>
    <row r="1877" spans="13:13">
      <c r="M1877">
        <f t="shared" si="41"/>
      </c>
    </row>
    <row r="1878" spans="13:13">
      <c r="M1878">
        <f t="shared" si="41"/>
      </c>
    </row>
    <row r="1879" spans="13:13">
      <c r="M1879">
        <f t="shared" si="41"/>
      </c>
    </row>
    <row r="1880" spans="13:13">
      <c r="M1880">
        <f t="shared" si="41"/>
      </c>
    </row>
    <row r="1881" spans="13:13">
      <c r="M1881">
        <f t="shared" si="41"/>
      </c>
    </row>
    <row r="1882" spans="13:13">
      <c r="M1882">
        <f t="shared" si="41"/>
      </c>
    </row>
    <row r="1883" spans="13:13">
      <c r="M1883">
        <f t="shared" si="41"/>
      </c>
    </row>
    <row r="1884" spans="13:13">
      <c r="M1884">
        <f t="shared" si="41"/>
      </c>
    </row>
    <row r="1885" spans="13:13">
      <c r="M1885">
        <f t="shared" si="41"/>
      </c>
    </row>
    <row r="1886" spans="13:13">
      <c r="M1886">
        <f t="shared" si="41"/>
      </c>
    </row>
    <row r="1887" spans="13:13">
      <c r="M1887">
        <f t="shared" si="41"/>
      </c>
    </row>
    <row r="1888" spans="13:13">
      <c r="M1888">
        <f t="shared" si="41"/>
      </c>
    </row>
    <row r="1889" spans="13:13">
      <c r="M1889">
        <f t="shared" si="41"/>
      </c>
    </row>
    <row r="1890" spans="13:13">
      <c r="M1890">
        <f t="shared" si="41"/>
      </c>
    </row>
    <row r="1891" spans="13:13">
      <c r="M1891">
        <f t="shared" si="41"/>
      </c>
    </row>
    <row r="1892" spans="13:13">
      <c r="M1892">
        <f t="shared" si="41"/>
      </c>
    </row>
    <row r="1893" spans="13:13">
      <c r="M1893">
        <f t="shared" si="41"/>
      </c>
    </row>
    <row r="1894" spans="13:13">
      <c r="M1894">
        <f t="shared" si="41"/>
      </c>
    </row>
    <row r="1895" spans="13:13">
      <c r="M1895">
        <f t="shared" si="41"/>
      </c>
    </row>
    <row r="1896" spans="13:13">
      <c r="M1896">
        <f t="shared" si="41"/>
      </c>
    </row>
    <row r="1897" spans="13:13">
      <c r="M1897">
        <f t="shared" si="41"/>
      </c>
    </row>
    <row r="1898" spans="13:13">
      <c r="M1898">
        <f t="shared" si="41"/>
      </c>
    </row>
    <row r="1899" spans="13:13">
      <c r="M1899">
        <f t="shared" si="41"/>
      </c>
    </row>
    <row r="1900" spans="13:13">
      <c r="M1900">
        <f t="shared" si="41"/>
      </c>
    </row>
    <row r="1901" spans="13:13">
      <c r="M1901">
        <f t="shared" si="41"/>
      </c>
    </row>
    <row r="1902" spans="13:13">
      <c r="M1902">
        <f t="shared" si="41"/>
      </c>
    </row>
    <row r="1903" spans="13:13">
      <c r="M1903">
        <f t="shared" si="41"/>
      </c>
    </row>
    <row r="1904" spans="13:13">
      <c r="M1904">
        <f t="shared" si="41"/>
      </c>
    </row>
    <row r="1905" spans="13:13">
      <c r="M1905">
        <f t="shared" si="41"/>
      </c>
    </row>
    <row r="1906" spans="13:13">
      <c r="M1906">
        <f t="shared" si="41"/>
      </c>
    </row>
    <row r="1907" spans="13:13">
      <c r="M1907">
        <f t="shared" si="41"/>
      </c>
    </row>
    <row r="1908" spans="13:13">
      <c r="M1908">
        <f t="shared" si="41"/>
      </c>
    </row>
    <row r="1909" spans="13:13">
      <c r="M1909">
        <f t="shared" si="41"/>
      </c>
    </row>
    <row r="1910" spans="13:13">
      <c r="M1910">
        <f t="shared" si="41"/>
      </c>
    </row>
    <row r="1911" spans="13:13">
      <c r="M1911">
        <f t="shared" si="41"/>
      </c>
    </row>
    <row r="1912" spans="13:13">
      <c r="M1912">
        <f t="shared" si="41"/>
      </c>
    </row>
    <row r="1913" spans="13:13">
      <c r="M1913">
        <f t="shared" si="41"/>
      </c>
    </row>
    <row r="1914" spans="13:13">
      <c r="M1914">
        <f t="shared" si="41"/>
      </c>
    </row>
    <row r="1915" spans="13:13">
      <c r="M1915">
        <f t="shared" si="41"/>
      </c>
    </row>
    <row r="1916" spans="13:13">
      <c r="M1916">
        <f t="shared" si="41"/>
      </c>
    </row>
    <row r="1917" spans="13:13">
      <c r="M1917">
        <f t="shared" si="41"/>
      </c>
    </row>
    <row r="1918" spans="13:13">
      <c r="M1918">
        <f t="shared" si="41"/>
      </c>
    </row>
    <row r="1919" spans="13:13">
      <c r="M1919">
        <f t="shared" si="41"/>
      </c>
    </row>
    <row r="1920" spans="13:13">
      <c r="M1920">
        <f t="shared" si="41"/>
      </c>
    </row>
    <row r="1921" spans="13:13">
      <c r="M1921">
        <f t="shared" si="41"/>
      </c>
    </row>
    <row r="1922" spans="13:13">
      <c r="M1922">
        <f t="shared" si="41"/>
      </c>
    </row>
    <row r="1923" spans="13:13">
      <c r="M1923">
        <f t="shared" si="41"/>
      </c>
    </row>
    <row r="1924" spans="13:13">
      <c r="M1924">
        <f t="shared" si="41"/>
      </c>
    </row>
    <row r="1925" spans="13:13">
      <c r="M1925">
        <f t="shared" ref="M1925:M1988" si="42">IF(A1925="","", WEEKNUM(A1925, 2))</f>
      </c>
    </row>
    <row r="1926" spans="13:13">
      <c r="M1926">
        <f t="shared" si="42"/>
      </c>
    </row>
    <row r="1927" spans="13:13">
      <c r="M1927">
        <f t="shared" si="42"/>
      </c>
    </row>
    <row r="1928" spans="13:13">
      <c r="M1928">
        <f t="shared" si="42"/>
      </c>
    </row>
    <row r="1929" spans="13:13">
      <c r="M1929">
        <f t="shared" si="42"/>
      </c>
    </row>
    <row r="1930" spans="13:13">
      <c r="M1930">
        <f t="shared" si="42"/>
      </c>
    </row>
    <row r="1931" spans="13:13">
      <c r="M1931">
        <f t="shared" si="42"/>
      </c>
    </row>
    <row r="1932" spans="13:13">
      <c r="M1932">
        <f t="shared" si="42"/>
      </c>
    </row>
    <row r="1933" spans="13:13">
      <c r="M1933">
        <f t="shared" si="42"/>
      </c>
    </row>
    <row r="1934" spans="13:13">
      <c r="M1934">
        <f t="shared" si="42"/>
      </c>
    </row>
    <row r="1935" spans="13:13">
      <c r="M1935">
        <f t="shared" si="42"/>
      </c>
    </row>
    <row r="1936" spans="13:13">
      <c r="M1936">
        <f t="shared" si="42"/>
      </c>
    </row>
    <row r="1937" spans="13:13">
      <c r="M1937">
        <f t="shared" si="42"/>
      </c>
    </row>
    <row r="1938" spans="13:13">
      <c r="M1938">
        <f t="shared" si="42"/>
      </c>
    </row>
    <row r="1939" spans="13:13">
      <c r="M1939">
        <f t="shared" si="42"/>
      </c>
    </row>
    <row r="1940" spans="13:13">
      <c r="M1940">
        <f t="shared" si="42"/>
      </c>
    </row>
    <row r="1941" spans="13:13">
      <c r="M1941">
        <f t="shared" si="42"/>
      </c>
    </row>
    <row r="1942" spans="13:13">
      <c r="M1942">
        <f t="shared" si="42"/>
      </c>
    </row>
    <row r="1943" spans="13:13">
      <c r="M1943">
        <f t="shared" si="42"/>
      </c>
    </row>
    <row r="1944" spans="13:13">
      <c r="M1944">
        <f t="shared" si="42"/>
      </c>
    </row>
    <row r="1945" spans="13:13">
      <c r="M1945">
        <f t="shared" si="42"/>
      </c>
    </row>
    <row r="1946" spans="13:13">
      <c r="M1946">
        <f t="shared" si="42"/>
      </c>
    </row>
    <row r="1947" spans="13:13">
      <c r="M1947">
        <f t="shared" si="42"/>
      </c>
    </row>
    <row r="1948" spans="13:13">
      <c r="M1948">
        <f t="shared" si="42"/>
      </c>
    </row>
    <row r="1949" spans="13:13">
      <c r="M1949">
        <f t="shared" si="42"/>
      </c>
    </row>
    <row r="1950" spans="13:13">
      <c r="M1950">
        <f t="shared" si="42"/>
      </c>
    </row>
    <row r="1951" spans="13:13">
      <c r="M1951">
        <f t="shared" si="42"/>
      </c>
    </row>
    <row r="1952" spans="13:13">
      <c r="M1952">
        <f t="shared" si="42"/>
      </c>
    </row>
    <row r="1953" spans="13:13">
      <c r="M1953">
        <f t="shared" si="42"/>
      </c>
    </row>
    <row r="1954" spans="13:13">
      <c r="M1954">
        <f t="shared" si="42"/>
      </c>
    </row>
    <row r="1955" spans="13:13">
      <c r="M1955">
        <f t="shared" si="42"/>
      </c>
    </row>
    <row r="1956" spans="13:13">
      <c r="M1956">
        <f t="shared" si="42"/>
      </c>
    </row>
    <row r="1957" spans="13:13">
      <c r="M1957">
        <f t="shared" si="42"/>
      </c>
    </row>
    <row r="1958" spans="13:13">
      <c r="M1958">
        <f t="shared" si="42"/>
      </c>
    </row>
    <row r="1959" spans="13:13">
      <c r="M1959">
        <f t="shared" si="42"/>
      </c>
    </row>
    <row r="1960" spans="13:13">
      <c r="M1960">
        <f t="shared" si="42"/>
      </c>
    </row>
    <row r="1961" spans="13:13">
      <c r="M1961">
        <f t="shared" si="42"/>
      </c>
    </row>
    <row r="1962" spans="13:13">
      <c r="M1962">
        <f t="shared" si="42"/>
      </c>
    </row>
    <row r="1963" spans="13:13">
      <c r="M1963">
        <f t="shared" si="42"/>
      </c>
    </row>
    <row r="1964" spans="13:13">
      <c r="M1964">
        <f t="shared" si="42"/>
      </c>
    </row>
    <row r="1965" spans="13:13">
      <c r="M1965">
        <f t="shared" si="42"/>
      </c>
    </row>
    <row r="1966" spans="13:13">
      <c r="M1966">
        <f t="shared" si="42"/>
      </c>
    </row>
    <row r="1967" spans="13:13">
      <c r="M1967">
        <f t="shared" si="42"/>
      </c>
    </row>
    <row r="1968" spans="13:13">
      <c r="M1968">
        <f t="shared" si="42"/>
      </c>
    </row>
    <row r="1969" spans="13:13">
      <c r="M1969">
        <f t="shared" si="42"/>
      </c>
    </row>
    <row r="1970" spans="13:13">
      <c r="M1970">
        <f t="shared" si="42"/>
      </c>
    </row>
    <row r="1971" spans="13:13">
      <c r="M1971">
        <f t="shared" si="42"/>
      </c>
    </row>
    <row r="1972" spans="13:13">
      <c r="M1972">
        <f t="shared" si="42"/>
      </c>
    </row>
    <row r="1973" spans="13:13">
      <c r="M1973">
        <f t="shared" si="42"/>
      </c>
    </row>
    <row r="1974" spans="13:13">
      <c r="M1974">
        <f t="shared" si="42"/>
      </c>
    </row>
    <row r="1975" spans="13:13">
      <c r="M1975">
        <f t="shared" si="42"/>
      </c>
    </row>
    <row r="1976" spans="13:13">
      <c r="M1976">
        <f t="shared" si="42"/>
      </c>
    </row>
    <row r="1977" spans="13:13">
      <c r="M1977">
        <f t="shared" si="42"/>
      </c>
    </row>
    <row r="1978" spans="13:13">
      <c r="M1978">
        <f t="shared" si="42"/>
      </c>
    </row>
    <row r="1979" spans="13:13">
      <c r="M1979">
        <f t="shared" si="42"/>
      </c>
    </row>
    <row r="1980" spans="13:13">
      <c r="M1980">
        <f t="shared" si="42"/>
      </c>
    </row>
    <row r="1981" spans="13:13">
      <c r="M1981">
        <f t="shared" si="42"/>
      </c>
    </row>
    <row r="1982" spans="13:13">
      <c r="M1982">
        <f t="shared" si="42"/>
      </c>
    </row>
    <row r="1983" spans="13:13">
      <c r="M1983">
        <f t="shared" si="42"/>
      </c>
    </row>
    <row r="1984" spans="13:13">
      <c r="M1984">
        <f t="shared" si="42"/>
      </c>
    </row>
    <row r="1985" spans="13:13">
      <c r="M1985">
        <f t="shared" si="42"/>
      </c>
    </row>
    <row r="1986" spans="13:13">
      <c r="M1986">
        <f t="shared" si="42"/>
      </c>
    </row>
    <row r="1987" spans="13:13">
      <c r="M1987">
        <f t="shared" si="42"/>
      </c>
    </row>
    <row r="1988" spans="13:13">
      <c r="M1988">
        <f t="shared" si="42"/>
      </c>
    </row>
    <row r="1989" spans="13:13">
      <c r="M1989">
        <f t="shared" ref="M1989:M2000" si="43">IF(A1989="","", WEEKNUM(A1989, 2))</f>
      </c>
    </row>
    <row r="1990" spans="13:13">
      <c r="M1990">
        <f t="shared" si="43"/>
      </c>
    </row>
    <row r="1991" spans="13:13">
      <c r="M1991">
        <f t="shared" si="43"/>
      </c>
    </row>
    <row r="1992" spans="13:13">
      <c r="M1992">
        <f t="shared" si="43"/>
      </c>
    </row>
    <row r="1993" spans="13:13">
      <c r="M1993">
        <f t="shared" si="43"/>
      </c>
    </row>
    <row r="1994" spans="13:13">
      <c r="M1994">
        <f t="shared" si="43"/>
      </c>
    </row>
    <row r="1995" spans="13:13">
      <c r="M1995">
        <f t="shared" si="43"/>
      </c>
    </row>
    <row r="1996" spans="13:13">
      <c r="M1996">
        <f t="shared" si="43"/>
      </c>
    </row>
    <row r="1997" spans="13:13">
      <c r="M1997">
        <f t="shared" si="43"/>
      </c>
    </row>
    <row r="1998" spans="13:13">
      <c r="M1998">
        <f t="shared" si="43"/>
      </c>
    </row>
    <row r="1999" spans="13:13">
      <c r="M1999">
        <f t="shared" si="43"/>
      </c>
    </row>
    <row r="2000" spans="13:13">
      <c r="M2000">
        <f t="shared" si="43"/>
      </c>
    </row>
  </sheetData>
  <mergeCells count="1">
    <mergeCell ref="A1:L1"/>
  </mergeCells>
  <dataValidations count="1">
    <dataValidation sqref="E5:E206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conómico no válido" error="undefined" promptTitle="undefined" prompt="undefined" xr:uid="{00000000-0002-0000-0300-000002000000}">
          <x14:formula1>
            <xm:f>Catalogos!$J$4:$J$46</xm:f>
          </x14:formula1>
          <xm:sqref>E5:E1000</xm:sqref>
        </x14:dataValidation>
        <x14:dataValidation type="list" xr:uid="{AB1258C1-C8B9-41B2-995B-2C88F7526C4E}">
          <x14:formula1>
            <xm:f>Catalogos!$F$4:$F$15</xm:f>
          </x14:formula1>
          <xm:sqref>B5:B1048576</xm:sqref>
        </x14:dataValidation>
        <x14:dataValidation type="list" xr:uid="{CCA1E93C-8DAD-487A-A640-4CBAA6792041}">
          <x14:formula1>
            <xm:f>Catalogos!$B$4:$B$20</xm:f>
          </x14:formula1>
          <xm:sqref>C5:C1048576</xm:sqref>
        </x14:dataValidation>
        <x14:dataValidation type="list" allowBlank="1" showInputMessage="1" showErrorMessage="1" xr:uid="{A0885F74-8FC4-4AEC-9167-441EFB6AEC45}">
          <x14:formula1>
            <xm:f>Catalogos!$V$4:$V$57</xm:f>
          </x14:formula1>
          <xm:sqref>D5:D1048576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04FC-4DB5-4EA7-BB80-F99044F9994B}">
  <sheetPr/>
  <sheetViews>
    <sheetView topLeftCell="A20" zoomScale="90" workbookViewId="0">
      <selection activeCell="H46" sqref="H4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2" width="14" customWidth="1"/>
    <col min="13" max="13" width="14" hidden="1" customWidth="1"/>
    <col min="14" max="14" width="14" customWidth="1"/>
    <col min="15" max="15" width="18" customWidth="1"/>
    <col min="16" max="16" width="30" customWidth="1"/>
  </cols>
  <sheetData>
    <row r="1" spans="1:16" ht="22.35" customHeight="1">
      <c r="A1" t="s" s="25171">
        <v>165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  <c r="L1" s="25170"/>
      <c r="M1" s="25170"/>
      <c r="N1" s="25170"/>
      <c r="O1" s="25170"/>
      <c r="P1" s="25170"/>
    </row>
    <row r="2" spans="1:16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6" ht="27.6">
      <c r="A4" t="s" s="1">
        <v>11</v>
      </c>
      <c r="B4" t="s" s="1">
        <v>25</v>
      </c>
      <c r="C4" t="s" s="1">
        <v>26</v>
      </c>
      <c r="D4" t="s" s="1">
        <v>27</v>
      </c>
      <c r="E4" t="s" s="1">
        <v>28</v>
      </c>
      <c r="F4" t="s" s="1">
        <v>14</v>
      </c>
      <c r="G4" t="s" s="1">
        <v>15</v>
      </c>
      <c r="H4" t="s" s="1">
        <v>16</v>
      </c>
      <c r="I4" t="s" s="1">
        <v>17</v>
      </c>
      <c r="J4" t="s" s="1">
        <v>18</v>
      </c>
      <c r="K4" t="s" s="1">
        <v>189</v>
      </c>
      <c r="L4" t="s" s="1">
        <v>190</v>
      </c>
      <c r="M4" t="s" s="1">
        <v>408</v>
      </c>
      <c r="N4" t="s" s="1">
        <v>191</v>
      </c>
      <c r="O4" t="s" s="1">
        <v>29</v>
      </c>
      <c r="P4" t="s" s="1">
        <v>19</v>
      </c>
    </row>
    <row r="5" spans="1:16">
      <c r="A5" s="2">
        <v>46168</v>
      </c>
      <c r="B5" t="s">
        <v>171</v>
      </c>
      <c r="C5" t="s">
        <v>166</v>
      </c>
      <c r="D5" t="s">
        <v>167</v>
      </c>
      <c r="E5">
        <f>VLOOKUP(TablaMarimba6[[#This Row],[Equipo]],Catalogos!$V$4:$W$55,2,FALSE)</f>
      </c>
      <c r="F5" s="3"/>
      <c r="G5" s="6">
        <v>89</v>
      </c>
      <c r="H5" s="3">
        <v>0</v>
      </c>
      <c r="I5" s="4">
        <v>27</v>
      </c>
      <c r="J5" s="4">
        <f>(TablaMarimba6[[#This Row],[Salida (L)]]*TablaMarimba6[[#This Row],[Costo/L]])</f>
      </c>
      <c r="K5" s="4">
        <v>21600</v>
      </c>
      <c r="L5" s="4">
        <f>(TablaMarimba6[[#This Row],[Saldo inicial(vales)]]-TablaMarimba6[[#This Row],[Importe]])</f>
      </c>
      <c r="M5" s="4">
        <f t="shared" ref="M5:M68" si="0">IF(A5="","", WEEKNUM(A5, 2))</f>
      </c>
      <c r="N5" s="4"/>
    </row>
    <row r="6" spans="1:16">
      <c r="A6" s="2">
        <v>46169</v>
      </c>
      <c r="B6" t="s">
        <v>171</v>
      </c>
      <c r="C6" t="s">
        <v>166</v>
      </c>
      <c r="D6" t="s">
        <v>167</v>
      </c>
      <c r="E6">
        <f>VLOOKUP(TablaMarimba6[[#This Row],[Equipo]],Catalogos!$V$4:$W$55,2,FALSE)</f>
      </c>
      <c r="F6" s="3"/>
      <c r="G6" s="6">
        <v>89</v>
      </c>
      <c r="H6" s="3">
        <f t="shared" ref="H6:H34" si="1">IF(ROW()=5,F5-G5,H5+F5-G5)</f>
      </c>
      <c r="I6" s="4">
        <v>27</v>
      </c>
      <c r="J6" s="4">
        <f>(TablaMarimba6[[#This Row],[Salida (L)]]*TablaMarimba6[[#This Row],[Costo/L]])</f>
      </c>
      <c r="K6" s="4">
        <f>L5+M5</f>
      </c>
      <c r="L6" s="4">
        <f>(TablaMarimba6[[#This Row],[Saldo inicial(vales)]]-TablaMarimba6[[#This Row],[Importe]])</f>
      </c>
      <c r="M6" s="4">
        <f t="shared" si="0"/>
      </c>
      <c r="N6" s="4"/>
    </row>
    <row r="7" spans="1:16">
      <c r="A7" s="2">
        <v>46171</v>
      </c>
      <c r="B7" t="s">
        <v>171</v>
      </c>
      <c r="C7" t="s">
        <v>166</v>
      </c>
      <c r="D7" t="s">
        <v>167</v>
      </c>
      <c r="E7">
        <f>VLOOKUP(TablaMarimba6[[#This Row],[Equipo]],Catalogos!$V$4:$W$55,2,FALSE)</f>
      </c>
      <c r="F7" s="3"/>
      <c r="G7" s="6">
        <v>99</v>
      </c>
      <c r="H7" s="3">
        <f t="shared" si="1"/>
      </c>
      <c r="I7" s="4">
        <v>27</v>
      </c>
      <c r="J7" s="4">
        <f>(TablaMarimba6[[#This Row],[Salida (L)]]*TablaMarimba6[[#This Row],[Costo/L]])</f>
      </c>
      <c r="K7" s="4">
        <f t="shared" ref="K7:K22" si="2">L6+M6</f>
      </c>
      <c r="L7" s="4">
        <f>(TablaMarimba6[[#This Row],[Saldo inicial(vales)]]-TablaMarimba6[[#This Row],[Importe]])</f>
      </c>
      <c r="M7" s="4">
        <f t="shared" si="0"/>
      </c>
      <c r="N7" s="4"/>
    </row>
    <row r="8" spans="1:16">
      <c r="A8" s="2">
        <v>46171</v>
      </c>
      <c r="B8" t="s">
        <v>171</v>
      </c>
      <c r="C8" t="s">
        <v>166</v>
      </c>
      <c r="D8" t="s">
        <v>58</v>
      </c>
      <c r="E8">
        <f>VLOOKUP(TablaMarimba6[[#This Row],[Equipo]],Catalogos!$V$4:$W$55,2,FALSE)</f>
      </c>
      <c r="F8" s="3"/>
      <c r="G8" s="6">
        <v>99</v>
      </c>
      <c r="H8" s="3">
        <f t="shared" si="1"/>
      </c>
      <c r="I8" s="4">
        <v>27</v>
      </c>
      <c r="J8" s="4">
        <f>(TablaMarimba6[[#This Row],[Salida (L)]]*TablaMarimba6[[#This Row],[Costo/L]])</f>
      </c>
      <c r="K8" s="4">
        <f t="shared" si="2"/>
      </c>
      <c r="L8" s="4">
        <f>(TablaMarimba6[[#This Row],[Saldo inicial(vales)]]-TablaMarimba6[[#This Row],[Importe]])</f>
      </c>
      <c r="M8" s="4">
        <f t="shared" si="0"/>
      </c>
      <c r="N8" s="4"/>
    </row>
    <row r="9" spans="1:16">
      <c r="A9" s="2">
        <v>46172</v>
      </c>
      <c r="B9" t="s">
        <v>171</v>
      </c>
      <c r="C9" t="s">
        <v>166</v>
      </c>
      <c r="D9" t="s">
        <v>167</v>
      </c>
      <c r="E9">
        <f>VLOOKUP(TablaMarimba6[[#This Row],[Equipo]],Catalogos!$V$4:$W$55,2,FALSE)</f>
      </c>
      <c r="F9" s="3"/>
      <c r="G9" s="6">
        <v>90</v>
      </c>
      <c r="H9" s="3">
        <f t="shared" si="1"/>
      </c>
      <c r="I9" s="4">
        <v>27</v>
      </c>
      <c r="J9" s="4">
        <f>(TablaMarimba6[[#This Row],[Salida (L)]]*TablaMarimba6[[#This Row],[Costo/L]])</f>
      </c>
      <c r="K9" s="4">
        <f t="shared" si="2"/>
      </c>
      <c r="L9" s="4">
        <f>(TablaMarimba6[[#This Row],[Saldo inicial(vales)]]-TablaMarimba6[[#This Row],[Importe]])</f>
      </c>
      <c r="M9" s="4">
        <f t="shared" si="0"/>
      </c>
      <c r="N9" s="4"/>
    </row>
    <row r="10" spans="1:16">
      <c r="A10" s="2">
        <v>46172</v>
      </c>
      <c r="B10" t="s">
        <v>171</v>
      </c>
      <c r="C10" t="s">
        <v>166</v>
      </c>
      <c r="D10" t="s">
        <v>58</v>
      </c>
      <c r="E10">
        <f>VLOOKUP(TablaMarimba6[[#This Row],[Equipo]],Catalogos!$V$4:$W$55,2,FALSE)</f>
      </c>
      <c r="F10" s="3"/>
      <c r="G10" s="6">
        <v>90</v>
      </c>
      <c r="H10" s="3">
        <f t="shared" si="1"/>
      </c>
      <c r="I10" s="4">
        <v>27</v>
      </c>
      <c r="J10" s="4">
        <f>(TablaMarimba6[[#This Row],[Salida (L)]]*TablaMarimba6[[#This Row],[Costo/L]])</f>
      </c>
      <c r="K10" s="4">
        <f t="shared" si="2"/>
      </c>
      <c r="L10" s="4">
        <f>(TablaMarimba6[[#This Row],[Saldo inicial(vales)]]-TablaMarimba6[[#This Row],[Importe]])</f>
      </c>
      <c r="M10" s="4">
        <f t="shared" si="0"/>
      </c>
      <c r="N10" s="4"/>
    </row>
    <row r="11" spans="1:16">
      <c r="A11" s="2">
        <v>46174</v>
      </c>
      <c r="B11" t="s">
        <v>171</v>
      </c>
      <c r="C11" t="s">
        <v>166</v>
      </c>
      <c r="D11" t="s">
        <v>56</v>
      </c>
      <c r="E11">
        <f>VLOOKUP(TablaMarimba6[[#This Row],[Equipo]],Catalogos!$V$4:$W$55,2,FALSE)</f>
      </c>
      <c r="F11" s="3"/>
      <c r="G11" s="6">
        <v>50</v>
      </c>
      <c r="H11" s="3">
        <f t="shared" si="1"/>
      </c>
      <c r="I11" s="4">
        <v>27</v>
      </c>
      <c r="J11" s="4">
        <f>(TablaMarimba6[[#This Row],[Salida (L)]]*TablaMarimba6[[#This Row],[Costo/L]])</f>
      </c>
      <c r="K11" s="4">
        <f>L10+M10</f>
      </c>
      <c r="L11" s="4">
        <f>(TablaMarimba6[[#This Row],[Saldo inicial(vales)]]-TablaMarimba6[[#This Row],[Importe]])</f>
      </c>
      <c r="M11" s="4">
        <f t="shared" si="0"/>
      </c>
      <c r="N11" s="4"/>
    </row>
    <row r="12" spans="1:16">
      <c r="A12" s="2">
        <v>46175</v>
      </c>
      <c r="B12" t="s">
        <v>171</v>
      </c>
      <c r="C12" t="s">
        <v>166</v>
      </c>
      <c r="D12" t="s">
        <v>167</v>
      </c>
      <c r="E12">
        <f>VLOOKUP(TablaMarimba6[[#This Row],[Equipo]],Catalogos!$V$4:$W$55,2,FALSE)</f>
      </c>
      <c r="F12" s="3"/>
      <c r="G12" s="6">
        <v>74</v>
      </c>
      <c r="H12" s="3">
        <f t="shared" si="1"/>
      </c>
      <c r="I12" s="4">
        <v>27</v>
      </c>
      <c r="J12" s="4">
        <f>(TablaMarimba6[[#This Row],[Salida (L)]]*TablaMarimba6[[#This Row],[Costo/L]])</f>
      </c>
      <c r="K12" s="4">
        <f>L11+M11</f>
      </c>
      <c r="L12" s="4">
        <f>(TablaMarimba6[[#This Row],[Saldo inicial(vales)]]-TablaMarimba6[[#This Row],[Importe]])</f>
      </c>
      <c r="M12" s="4">
        <f t="shared" si="0"/>
      </c>
      <c r="N12" s="4"/>
    </row>
    <row r="13" spans="1:16">
      <c r="A13" s="2">
        <v>46175</v>
      </c>
      <c r="B13" t="s">
        <v>171</v>
      </c>
      <c r="C13" t="s">
        <v>166</v>
      </c>
      <c r="D13" t="s">
        <v>58</v>
      </c>
      <c r="E13">
        <f>VLOOKUP(TablaMarimba6[[#This Row],[Equipo]],Catalogos!$V$4:$W$55,2,FALSE)</f>
      </c>
      <c r="F13" s="3"/>
      <c r="G13" s="6">
        <v>80</v>
      </c>
      <c r="H13" s="3">
        <f t="shared" si="1"/>
      </c>
      <c r="I13" s="4">
        <v>27</v>
      </c>
      <c r="J13" s="4">
        <f>(TablaMarimba6[[#This Row],[Salida (L)]]*TablaMarimba6[[#This Row],[Costo/L]])</f>
      </c>
      <c r="K13" s="4">
        <f t="shared" si="2"/>
      </c>
      <c r="L13" s="4">
        <f>(TablaMarimba6[[#This Row],[Saldo inicial(vales)]]-TablaMarimba6[[#This Row],[Importe]])</f>
      </c>
      <c r="M13" s="4">
        <f t="shared" si="0"/>
      </c>
      <c r="N13" s="4"/>
    </row>
    <row r="14" spans="1:16">
      <c r="A14" s="2">
        <v>46175</v>
      </c>
      <c r="B14" t="s">
        <v>171</v>
      </c>
      <c r="C14" t="s">
        <v>166</v>
      </c>
      <c r="D14" t="s">
        <v>169</v>
      </c>
      <c r="E14">
        <f>VLOOKUP(TablaMarimba6[[#This Row],[Equipo]],Catalogos!$V$4:$W$55,2,FALSE)</f>
      </c>
      <c r="F14" s="3"/>
      <c r="G14" s="6">
        <v>40</v>
      </c>
      <c r="H14" s="3">
        <f t="shared" si="1"/>
      </c>
      <c r="I14" s="4">
        <v>27</v>
      </c>
      <c r="J14" s="4">
        <f>(TablaMarimba6[[#This Row],[Salida (L)]]*TablaMarimba6[[#This Row],[Costo/L]])</f>
      </c>
      <c r="K14" s="4">
        <f t="shared" si="2"/>
      </c>
      <c r="L14" s="4">
        <f>(TablaMarimba6[[#This Row],[Saldo inicial(vales)]]-TablaMarimba6[[#This Row],[Importe]])</f>
      </c>
      <c r="M14" s="4">
        <f t="shared" si="0"/>
      </c>
      <c r="N14" s="4"/>
    </row>
    <row r="15" spans="1:16">
      <c r="A15" s="2">
        <v>46177</v>
      </c>
      <c r="B15" t="s">
        <v>171</v>
      </c>
      <c r="C15" t="s">
        <v>166</v>
      </c>
      <c r="D15" t="s">
        <v>167</v>
      </c>
      <c r="E15">
        <f>VLOOKUP(TablaMarimba6[[#This Row],[Equipo]],Catalogos!$V$4:$W$55,2,FALSE)</f>
      </c>
      <c r="F15" s="3"/>
      <c r="G15" s="6">
        <v>70</v>
      </c>
      <c r="H15" s="3">
        <f t="shared" si="1"/>
      </c>
      <c r="I15" s="4">
        <v>27</v>
      </c>
      <c r="J15" s="4">
        <f>(TablaMarimba6[[#This Row],[Salida (L)]]*TablaMarimba6[[#This Row],[Costo/L]])</f>
      </c>
      <c r="K15" s="4">
        <f t="shared" si="2"/>
      </c>
      <c r="L15" s="4">
        <f>(TablaMarimba6[[#This Row],[Saldo inicial(vales)]]-TablaMarimba6[[#This Row],[Importe]])</f>
      </c>
      <c r="M15" s="4">
        <f t="shared" si="0"/>
      </c>
      <c r="N15" s="4"/>
    </row>
    <row r="16" spans="1:16">
      <c r="A16" s="2">
        <v>46177</v>
      </c>
      <c r="B16" t="s">
        <v>171</v>
      </c>
      <c r="C16" t="s">
        <v>166</v>
      </c>
      <c r="D16" t="s">
        <v>62</v>
      </c>
      <c r="E16">
        <f>VLOOKUP(TablaMarimba6[[#This Row],[Equipo]],Catalogos!$V$4:$W$55,2,FALSE)</f>
      </c>
      <c r="F16" s="3"/>
      <c r="G16" s="6">
        <v>100</v>
      </c>
      <c r="H16" s="3">
        <f t="shared" si="1"/>
      </c>
      <c r="I16" s="4">
        <v>27</v>
      </c>
      <c r="J16" s="4">
        <f>(TablaMarimba6[[#This Row],[Salida (L)]]*TablaMarimba6[[#This Row],[Costo/L]])</f>
      </c>
      <c r="K16" s="4">
        <f t="shared" si="2"/>
      </c>
      <c r="L16" s="4">
        <f>(TablaMarimba6[[#This Row],[Saldo inicial(vales)]]-TablaMarimba6[[#This Row],[Importe]])</f>
      </c>
      <c r="M16" s="4">
        <f t="shared" si="0"/>
      </c>
      <c r="N16" s="4"/>
    </row>
    <row r="17" spans="1:14">
      <c r="A17" s="2">
        <v>46178</v>
      </c>
      <c r="B17" t="s">
        <v>171</v>
      </c>
      <c r="C17" t="s">
        <v>166</v>
      </c>
      <c r="D17" t="s">
        <v>167</v>
      </c>
      <c r="E17">
        <f>VLOOKUP(TablaMarimba6[[#This Row],[Equipo]],Catalogos!$V$4:$W$55,2,FALSE)</f>
      </c>
      <c r="F17" s="3"/>
      <c r="G17" s="6">
        <v>60</v>
      </c>
      <c r="H17" s="3">
        <f t="shared" si="1"/>
      </c>
      <c r="I17" s="4">
        <v>27</v>
      </c>
      <c r="J17" s="4">
        <f>(TablaMarimba6[[#This Row],[Salida (L)]]*TablaMarimba6[[#This Row],[Costo/L]])</f>
      </c>
      <c r="K17" s="4">
        <f t="shared" si="2"/>
      </c>
      <c r="L17" s="4">
        <f>(TablaMarimba6[[#This Row],[Saldo inicial(vales)]]-TablaMarimba6[[#This Row],[Importe]])</f>
      </c>
      <c r="M17" s="4">
        <f t="shared" si="0"/>
      </c>
      <c r="N17" s="4"/>
    </row>
    <row r="18" spans="1:14">
      <c r="A18" s="2">
        <v>46178</v>
      </c>
      <c r="B18" t="s">
        <v>171</v>
      </c>
      <c r="C18" t="s">
        <v>166</v>
      </c>
      <c r="D18" t="s">
        <v>58</v>
      </c>
      <c r="E18">
        <f>VLOOKUP(TablaMarimba6[[#This Row],[Equipo]],Catalogos!$V$4:$W$55,2,FALSE)</f>
      </c>
      <c r="F18" s="3"/>
      <c r="G18" s="6">
        <v>70</v>
      </c>
      <c r="H18" s="3">
        <f t="shared" si="1"/>
      </c>
      <c r="I18" s="4">
        <v>27</v>
      </c>
      <c r="J18" s="4">
        <f>(TablaMarimba6[[#This Row],[Salida (L)]]*TablaMarimba6[[#This Row],[Costo/L]])</f>
      </c>
      <c r="K18" s="4">
        <f t="shared" si="2"/>
      </c>
      <c r="L18" s="4">
        <f>(TablaMarimba6[[#This Row],[Saldo inicial(vales)]]-TablaMarimba6[[#This Row],[Importe]])</f>
      </c>
      <c r="M18" s="4">
        <f t="shared" si="0"/>
      </c>
      <c r="N18" s="4"/>
    </row>
    <row r="19" spans="1:14">
      <c r="A19" s="2">
        <v>46178</v>
      </c>
      <c r="B19" t="s">
        <v>171</v>
      </c>
      <c r="C19" t="s">
        <v>166</v>
      </c>
      <c r="D19" t="s">
        <v>169</v>
      </c>
      <c r="E19">
        <f>VLOOKUP(TablaMarimba6[[#This Row],[Equipo]],Catalogos!$V$4:$W$55,2,FALSE)</f>
      </c>
      <c r="F19" s="3"/>
      <c r="G19" s="6">
        <v>40</v>
      </c>
      <c r="H19" s="3">
        <f t="shared" si="1"/>
      </c>
      <c r="I19" s="4">
        <v>27</v>
      </c>
      <c r="J19" s="4">
        <f>(TablaMarimba6[[#This Row],[Salida (L)]]*TablaMarimba6[[#This Row],[Costo/L]])</f>
      </c>
      <c r="K19" s="4">
        <f t="shared" si="2"/>
      </c>
      <c r="L19" s="4">
        <f>(TablaMarimba6[[#This Row],[Saldo inicial(vales)]]-TablaMarimba6[[#This Row],[Importe]])</f>
      </c>
      <c r="M19" s="4">
        <f t="shared" si="0"/>
      </c>
      <c r="N19" s="4"/>
    </row>
    <row r="20" spans="1:14">
      <c r="A20" s="2">
        <v>46179</v>
      </c>
      <c r="B20" t="s">
        <v>171</v>
      </c>
      <c r="C20" t="s">
        <v>166</v>
      </c>
      <c r="D20" t="s">
        <v>167</v>
      </c>
      <c r="E20">
        <f>VLOOKUP(TablaMarimba6[[#This Row],[Equipo]],Catalogos!$V$4:$W$55,2,FALSE)</f>
      </c>
      <c r="F20" s="3"/>
      <c r="G20" s="6">
        <v>100</v>
      </c>
      <c r="H20" s="3">
        <f t="shared" si="1"/>
      </c>
      <c r="I20" s="4">
        <v>27</v>
      </c>
      <c r="J20" s="4">
        <f>(TablaMarimba6[[#This Row],[Salida (L)]]*TablaMarimba6[[#This Row],[Costo/L]])</f>
      </c>
      <c r="K20" s="4">
        <f t="shared" si="2"/>
      </c>
      <c r="L20" s="4">
        <f>(TablaMarimba6[[#This Row],[Saldo inicial(vales)]]-TablaMarimba6[[#This Row],[Importe]])</f>
      </c>
      <c r="M20" s="4">
        <f t="shared" si="0"/>
      </c>
      <c r="N20" s="4"/>
    </row>
    <row r="21" spans="1:14">
      <c r="A21" s="2">
        <v>46179</v>
      </c>
      <c r="B21" t="s">
        <v>171</v>
      </c>
      <c r="C21" t="s">
        <v>166</v>
      </c>
      <c r="D21" t="s">
        <v>58</v>
      </c>
      <c r="E21">
        <f>VLOOKUP(TablaMarimba6[[#This Row],[Equipo]],Catalogos!$V$4:$W$55,2,FALSE)</f>
      </c>
      <c r="F21" s="3"/>
      <c r="G21" s="6">
        <v>100</v>
      </c>
      <c r="H21" s="3">
        <f t="shared" si="1"/>
      </c>
      <c r="I21" s="4">
        <v>27</v>
      </c>
      <c r="J21" s="4">
        <f>(TablaMarimba6[[#This Row],[Salida (L)]]*TablaMarimba6[[#This Row],[Costo/L]])</f>
      </c>
      <c r="K21" s="4">
        <f t="shared" si="2"/>
      </c>
      <c r="L21" s="4">
        <f>(TablaMarimba6[[#This Row],[Saldo inicial(vales)]]-TablaMarimba6[[#This Row],[Importe]])</f>
      </c>
      <c r="M21" s="4">
        <f t="shared" si="0"/>
      </c>
      <c r="N21" s="4"/>
    </row>
    <row r="22" spans="1:14">
      <c r="A22" s="2">
        <v>46179</v>
      </c>
      <c r="B22" t="s">
        <v>171</v>
      </c>
      <c r="C22" t="s">
        <v>166</v>
      </c>
      <c r="D22" t="s">
        <v>56</v>
      </c>
      <c r="E22">
        <f>VLOOKUP(TablaMarimba6[[#This Row],[Equipo]],Catalogos!$V$4:$W$55,2,FALSE)</f>
      </c>
      <c r="F22" s="3"/>
      <c r="G22" s="6">
        <v>40</v>
      </c>
      <c r="H22" s="3">
        <f t="shared" si="1"/>
      </c>
      <c r="I22" s="4">
        <v>27</v>
      </c>
      <c r="J22" s="4">
        <f>(TablaMarimba6[[#This Row],[Salida (L)]]*TablaMarimba6[[#This Row],[Costo/L]])</f>
      </c>
      <c r="K22" s="4">
        <f t="shared" si="2"/>
      </c>
      <c r="L22" s="4">
        <f>(TablaMarimba6[[#This Row],[Saldo inicial(vales)]]-TablaMarimba6[[#This Row],[Importe]])</f>
      </c>
      <c r="M22" s="4">
        <f t="shared" si="0"/>
      </c>
      <c r="N22" s="4">
        <v>3000</v>
      </c>
    </row>
    <row r="23" spans="1:14">
      <c r="A23" s="2">
        <v>46181</v>
      </c>
      <c r="B23" t="s">
        <v>171</v>
      </c>
      <c r="C23" t="s">
        <v>166</v>
      </c>
      <c r="D23" t="s">
        <v>167</v>
      </c>
      <c r="E23">
        <f>VLOOKUP(TablaMarimba6[[#This Row],[Equipo]],Catalogos!$V$4:$W$55,2,FALSE)</f>
      </c>
      <c r="F23" s="3"/>
      <c r="G23" s="6">
        <v>70</v>
      </c>
      <c r="H23" s="3">
        <f t="shared" si="1"/>
      </c>
      <c r="I23" s="4">
        <v>27</v>
      </c>
      <c r="J23" s="4">
        <f>(TablaMarimba6[[#This Row],[Salida (L)]]*TablaMarimba6[[#This Row],[Costo/L]])</f>
      </c>
      <c r="K23" s="4">
        <f>L22+M22-N22</f>
      </c>
      <c r="L23" s="4">
        <f>(TablaMarimba6[[#This Row],[Saldo inicial(vales)]]-TablaMarimba6[[#This Row],[Importe]])</f>
      </c>
      <c r="M23" s="4">
        <f t="shared" si="0"/>
      </c>
      <c r="N23" s="4"/>
    </row>
    <row r="24" spans="1:14">
      <c r="A24" s="2">
        <v>46181</v>
      </c>
      <c r="B24" t="s">
        <v>171</v>
      </c>
      <c r="C24" t="s">
        <v>166</v>
      </c>
      <c r="D24" t="s">
        <v>169</v>
      </c>
      <c r="E24">
        <f>VLOOKUP(TablaMarimba6[[#This Row],[Equipo]],Catalogos!$V$4:$W$55,2,FALSE)</f>
      </c>
      <c r="F24" s="3"/>
      <c r="G24" s="6">
        <v>40</v>
      </c>
      <c r="H24" s="3">
        <f t="shared" si="1"/>
      </c>
      <c r="I24" s="4">
        <v>27</v>
      </c>
      <c r="J24" s="4">
        <f>(TablaMarimba6[[#This Row],[Salida (L)]]*TablaMarimba6[[#This Row],[Costo/L]])</f>
      </c>
      <c r="K24" s="4">
        <f>L23+M23-N23</f>
      </c>
      <c r="L24" s="4">
        <f>(TablaMarimba6[[#This Row],[Saldo inicial(vales)]]-TablaMarimba6[[#This Row],[Importe]])</f>
      </c>
      <c r="M24" s="4">
        <f t="shared" si="0"/>
      </c>
      <c r="N24" s="4"/>
    </row>
    <row r="25" spans="1:14">
      <c r="A25" s="2">
        <v>46184</v>
      </c>
      <c r="B25" t="s">
        <v>171</v>
      </c>
      <c r="C25" t="s">
        <v>166</v>
      </c>
      <c r="D25" t="s">
        <v>52</v>
      </c>
      <c r="E25">
        <f>VLOOKUP(TablaMarimba6[[#This Row],[Equipo]],Catalogos!$V$4:$W$55,2,FALSE)</f>
      </c>
      <c r="F25" s="3"/>
      <c r="G25" s="6">
        <v>70</v>
      </c>
      <c r="H25" s="3">
        <f t="shared" si="1"/>
      </c>
      <c r="I25" s="4">
        <v>27</v>
      </c>
      <c r="J25" s="4">
        <f>(TablaMarimba6[[#This Row],[Salida (L)]]*TablaMarimba6[[#This Row],[Costo/L]])</f>
      </c>
      <c r="K25" s="4">
        <f>L24+M24-N24</f>
      </c>
      <c r="L25" s="4">
        <f>(TablaMarimba6[[#This Row],[Saldo inicial(vales)]]-TablaMarimba6[[#This Row],[Importe]])</f>
      </c>
      <c r="M25" s="4">
        <f t="shared" si="0"/>
      </c>
      <c r="N25" s="4">
        <v>1556</v>
      </c>
    </row>
    <row r="26" spans="1:14">
      <c r="A26" s="2">
        <v>46188</v>
      </c>
      <c r="B26" t="s">
        <v>171</v>
      </c>
      <c r="C26" t="s">
        <v>166</v>
      </c>
      <c r="D26" t="s">
        <v>52</v>
      </c>
      <c r="E26">
        <f>VLOOKUP(TablaMarimba6[[#This Row],[Equipo]],Catalogos!$V$4:$W$55,2,FALSE)</f>
      </c>
      <c r="F26" s="3"/>
      <c r="G26" s="6">
        <v>100</v>
      </c>
      <c r="H26" s="3">
        <f t="shared" si="1"/>
      </c>
      <c r="I26" s="4">
        <v>27</v>
      </c>
      <c r="J26" s="4">
        <f>(TablaMarimba6[[#This Row],[Salida (L)]]*TablaMarimba6[[#This Row],[Costo/L]])</f>
      </c>
      <c r="K26" s="4">
        <f t="shared" ref="K26:K87" si="3">L25+M25-N25</f>
      </c>
      <c r="L26" s="4">
        <f>(TablaMarimba6[[#This Row],[Saldo inicial(vales)]]-TablaMarimba6[[#This Row],[Importe]])</f>
      </c>
      <c r="M26" s="4">
        <f t="shared" si="0"/>
      </c>
      <c r="N26" s="4"/>
    </row>
    <row r="27" spans="1:14">
      <c r="A27" s="2">
        <v>46189</v>
      </c>
      <c r="B27" t="s">
        <v>171</v>
      </c>
      <c r="C27" t="s">
        <v>166</v>
      </c>
      <c r="D27" t="s">
        <v>167</v>
      </c>
      <c r="E27">
        <f>VLOOKUP(TablaMarimba6[[#This Row],[Equipo]],Catalogos!$V$4:$W$55,2,FALSE)</f>
      </c>
      <c r="F27" s="3"/>
      <c r="G27" s="6">
        <v>90</v>
      </c>
      <c r="H27" s="3">
        <f t="shared" si="1"/>
      </c>
      <c r="I27" s="4">
        <v>27</v>
      </c>
      <c r="J27" s="4">
        <f>(TablaMarimba6[[#This Row],[Salida (L)]]*TablaMarimba6[[#This Row],[Costo/L]])</f>
      </c>
      <c r="K27" s="4">
        <f t="shared" si="3"/>
      </c>
      <c r="L27" s="4">
        <f>(TablaMarimba6[[#This Row],[Saldo inicial(vales)]]-TablaMarimba6[[#This Row],[Importe]])</f>
      </c>
      <c r="M27" s="4">
        <f t="shared" si="0"/>
      </c>
      <c r="N27" s="4"/>
    </row>
    <row r="28" spans="1:14">
      <c r="A28" s="2">
        <v>46189</v>
      </c>
      <c r="B28" t="s">
        <v>171</v>
      </c>
      <c r="C28" t="s">
        <v>166</v>
      </c>
      <c r="D28" t="s">
        <v>52</v>
      </c>
      <c r="E28">
        <f>VLOOKUP(TablaMarimba6[[#This Row],[Equipo]],Catalogos!$V$4:$W$55,2,FALSE)</f>
      </c>
      <c r="F28" s="3"/>
      <c r="G28" s="6">
        <v>140</v>
      </c>
      <c r="H28" s="3">
        <f t="shared" si="1"/>
      </c>
      <c r="I28" s="4">
        <v>27</v>
      </c>
      <c r="J28" s="4">
        <f>(TablaMarimba6[[#This Row],[Salida (L)]]*TablaMarimba6[[#This Row],[Costo/L]])</f>
      </c>
      <c r="K28" s="4">
        <f t="shared" si="3"/>
      </c>
      <c r="L28" s="4">
        <f>(TablaMarimba6[[#This Row],[Saldo inicial(vales)]]-TablaMarimba6[[#This Row],[Importe]])</f>
      </c>
      <c r="M28" s="4">
        <f t="shared" si="0"/>
      </c>
      <c r="N28" s="4"/>
    </row>
    <row r="29" spans="1:14">
      <c r="A29" s="2">
        <v>46190</v>
      </c>
      <c r="B29" t="s">
        <v>171</v>
      </c>
      <c r="C29" t="s">
        <v>166</v>
      </c>
      <c r="D29" t="s">
        <v>169</v>
      </c>
      <c r="E29">
        <f>VLOOKUP(TablaMarimba6[[#This Row],[Equipo]],Catalogos!$V$4:$W$55,2,FALSE)</f>
      </c>
      <c r="F29" s="3"/>
      <c r="G29" s="6">
        <v>50</v>
      </c>
      <c r="H29" s="3">
        <f t="shared" si="1"/>
      </c>
      <c r="I29" s="4">
        <v>27</v>
      </c>
      <c r="J29" s="4">
        <f>(TablaMarimba6[[#This Row],[Salida (L)]]*TablaMarimba6[[#This Row],[Costo/L]])</f>
      </c>
      <c r="K29" s="4">
        <f t="shared" si="3"/>
      </c>
      <c r="L29" s="4">
        <f>(TablaMarimba6[[#This Row],[Saldo inicial(vales)]]-TablaMarimba6[[#This Row],[Importe]])</f>
      </c>
      <c r="M29" s="4">
        <f t="shared" si="0"/>
      </c>
      <c r="N29" s="4"/>
    </row>
    <row r="30" spans="1:14">
      <c r="A30" s="2">
        <v>46190</v>
      </c>
      <c r="B30" t="s">
        <v>171</v>
      </c>
      <c r="C30" t="s">
        <v>166</v>
      </c>
      <c r="D30" t="s">
        <v>52</v>
      </c>
      <c r="E30">
        <f>VLOOKUP(TablaMarimba6[[#This Row],[Equipo]],Catalogos!$V$4:$W$55,2,FALSE)</f>
      </c>
      <c r="F30" s="3"/>
      <c r="G30" s="6">
        <v>100</v>
      </c>
      <c r="H30" s="3">
        <f t="shared" si="1"/>
      </c>
      <c r="I30" s="4">
        <v>27</v>
      </c>
      <c r="J30" s="4">
        <f>(TablaMarimba6[[#This Row],[Salida (L)]]*TablaMarimba6[[#This Row],[Costo/L]])</f>
      </c>
      <c r="K30" s="4">
        <f t="shared" si="3"/>
      </c>
      <c r="L30" s="4">
        <f>(TablaMarimba6[[#This Row],[Saldo inicial(vales)]]-TablaMarimba6[[#This Row],[Importe]])</f>
      </c>
      <c r="M30" s="4">
        <f t="shared" si="0"/>
      </c>
      <c r="N30" s="4"/>
    </row>
    <row r="31" spans="1:14">
      <c r="A31" s="2">
        <v>46191</v>
      </c>
      <c r="B31" t="s">
        <v>171</v>
      </c>
      <c r="C31" t="s">
        <v>166</v>
      </c>
      <c r="D31" t="s">
        <v>58</v>
      </c>
      <c r="E31">
        <f>VLOOKUP(TablaMarimba6[[#This Row],[Equipo]],Catalogos!$V$4:$W$55,2,FALSE)</f>
      </c>
      <c r="F31" s="3"/>
      <c r="G31" s="6">
        <v>70</v>
      </c>
      <c r="H31" s="3">
        <f t="shared" si="1"/>
      </c>
      <c r="I31" s="4">
        <v>27</v>
      </c>
      <c r="J31" s="4">
        <f>(TablaMarimba6[[#This Row],[Salida (L)]]*TablaMarimba6[[#This Row],[Costo/L]])</f>
      </c>
      <c r="K31" s="4">
        <f t="shared" si="3"/>
      </c>
      <c r="L31" s="4">
        <f>(TablaMarimba6[[#This Row],[Saldo inicial(vales)]]-TablaMarimba6[[#This Row],[Importe]])</f>
      </c>
      <c r="M31" s="4">
        <f t="shared" si="0"/>
      </c>
      <c r="N31" s="4"/>
    </row>
    <row r="32" spans="1:14">
      <c r="A32" s="2">
        <v>46191</v>
      </c>
      <c r="B32" t="s">
        <v>171</v>
      </c>
      <c r="C32" t="s">
        <v>166</v>
      </c>
      <c r="D32" t="s">
        <v>56</v>
      </c>
      <c r="E32">
        <f>VLOOKUP(TablaMarimba6[[#This Row],[Equipo]],Catalogos!$V$4:$W$55,2,FALSE)</f>
      </c>
      <c r="F32" s="3"/>
      <c r="G32" s="6">
        <v>40</v>
      </c>
      <c r="H32" s="3">
        <f t="shared" si="1"/>
      </c>
      <c r="I32" s="4">
        <v>27</v>
      </c>
      <c r="J32" s="4">
        <f>(TablaMarimba6[[#This Row],[Salida (L)]]*TablaMarimba6[[#This Row],[Costo/L]])</f>
      </c>
      <c r="K32" s="4">
        <f t="shared" si="3"/>
      </c>
      <c r="L32" s="4">
        <f>(TablaMarimba6[[#This Row],[Saldo inicial(vales)]]-TablaMarimba6[[#This Row],[Importe]])</f>
      </c>
      <c r="M32" s="4">
        <f t="shared" si="0"/>
      </c>
      <c r="N32" s="4"/>
    </row>
    <row r="33" spans="1:18">
      <c r="A33" s="2">
        <v>46191</v>
      </c>
      <c r="B33" t="s">
        <v>171</v>
      </c>
      <c r="C33" t="s">
        <v>166</v>
      </c>
      <c r="D33" t="s">
        <v>52</v>
      </c>
      <c r="E33">
        <f>VLOOKUP(TablaMarimba6[[#This Row],[Equipo]],Catalogos!$V$4:$W$55,2,FALSE)</f>
      </c>
      <c r="F33" s="3"/>
      <c r="G33" s="6">
        <v>100</v>
      </c>
      <c r="H33" s="3">
        <f t="shared" si="1"/>
      </c>
      <c r="I33" s="4">
        <v>27</v>
      </c>
      <c r="J33" s="4">
        <f>(TablaMarimba6[[#This Row],[Salida (L)]]*TablaMarimba6[[#This Row],[Costo/L]])</f>
      </c>
      <c r="K33" s="4">
        <f t="shared" si="3"/>
      </c>
      <c r="L33" s="4">
        <f>(TablaMarimba6[[#This Row],[Saldo inicial(vales)]]-TablaMarimba6[[#This Row],[Importe]])</f>
      </c>
      <c r="M33" s="4">
        <f t="shared" si="0"/>
      </c>
      <c r="N33" s="4">
        <v>3700</v>
      </c>
    </row>
    <row r="34" spans="1:18">
      <c r="A34" s="2">
        <v>46192</v>
      </c>
      <c r="B34" t="s">
        <v>171</v>
      </c>
      <c r="C34" t="s">
        <v>166</v>
      </c>
      <c r="D34" t="s">
        <v>253</v>
      </c>
      <c r="E34">
        <f>VLOOKUP(TablaMarimba6[[#This Row],[Equipo]],Catalogos!$V$4:$W$55,2,FALSE)</f>
      </c>
      <c r="G34" s="6">
        <v>150</v>
      </c>
      <c r="H34" s="3">
        <f t="shared" si="1"/>
      </c>
      <c r="I34" s="4">
        <v>27</v>
      </c>
      <c r="J34" s="4">
        <f>(TablaMarimba6[[#This Row],[Salida (L)]]*TablaMarimba6[[#This Row],[Costo/L]])</f>
      </c>
      <c r="K34" s="4">
        <f t="shared" si="3"/>
      </c>
      <c r="L34" s="4">
        <f>(TablaMarimba6[[#This Row],[Saldo inicial(vales)]]-TablaMarimba6[[#This Row],[Importe]])</f>
      </c>
      <c r="M34" s="4">
        <f t="shared" si="0"/>
      </c>
      <c r="N34" s="4"/>
    </row>
    <row r="35" spans="1:18">
      <c r="A35" s="2">
        <v>46193</v>
      </c>
      <c r="B35" t="s">
        <v>171</v>
      </c>
      <c r="C35" t="s">
        <v>166</v>
      </c>
      <c r="D35" t="s">
        <v>253</v>
      </c>
      <c r="E35">
        <f>VLOOKUP(TablaMarimba6[[#This Row],[Equipo]],Catalogos!$V$4:$W$55,2,FALSE)</f>
      </c>
      <c r="F35" s="3"/>
      <c r="G35" s="6">
        <v>90</v>
      </c>
      <c r="H35" s="3">
        <f t="shared" ref="H35:H63" si="4">IF(ROW()=5,F35-G35,H34+F35-G35)</f>
      </c>
      <c r="I35" s="4">
        <v>27</v>
      </c>
      <c r="J35" s="4">
        <f>(TablaMarimba6[[#This Row],[Salida (L)]]*TablaMarimba6[[#This Row],[Costo/L]])</f>
      </c>
      <c r="K35" s="4">
        <f t="shared" si="3"/>
      </c>
      <c r="L35" s="4">
        <f>(TablaMarimba6[[#This Row],[Saldo inicial(vales)]]-TablaMarimba6[[#This Row],[Importe]])</f>
      </c>
      <c r="M35" s="4">
        <f t="shared" si="0"/>
      </c>
      <c r="N35" s="4"/>
    </row>
    <row r="36" spans="1:18">
      <c r="A36" s="2">
        <v>46195</v>
      </c>
      <c r="B36" t="s">
        <v>171</v>
      </c>
      <c r="C36" t="s">
        <v>166</v>
      </c>
      <c r="D36" t="s">
        <v>209</v>
      </c>
      <c r="E36">
        <f>VLOOKUP(TablaMarimba6[[#This Row],[Equipo]],Catalogos!$V$4:$W$55,2,FALSE)</f>
      </c>
      <c r="F36" s="3"/>
      <c r="G36" s="6">
        <v>20</v>
      </c>
      <c r="H36" s="3">
        <f t="shared" si="4"/>
      </c>
      <c r="I36" s="4">
        <v>27</v>
      </c>
      <c r="J36" s="4">
        <f>(TablaMarimba6[[#This Row],[Salida (L)]]*TablaMarimba6[[#This Row],[Costo/L]])</f>
      </c>
      <c r="K36" s="4">
        <f t="shared" si="3"/>
      </c>
      <c r="L36" s="4">
        <f>(TablaMarimba6[[#This Row],[Saldo inicial(vales)]]-TablaMarimba6[[#This Row],[Importe]])</f>
      </c>
      <c r="M36" s="4">
        <f t="shared" si="0"/>
      </c>
      <c r="N36" s="4"/>
    </row>
    <row r="37" spans="1:18">
      <c r="A37" s="2">
        <v>46195</v>
      </c>
      <c r="B37" t="s">
        <v>171</v>
      </c>
      <c r="C37" t="s">
        <v>166</v>
      </c>
      <c r="D37" t="s">
        <v>253</v>
      </c>
      <c r="E37">
        <f>VLOOKUP(TablaMarimba6[[#This Row],[Equipo]],Catalogos!$V$4:$W$55,2,FALSE)</f>
      </c>
      <c r="F37" s="3"/>
      <c r="G37" s="6">
        <v>140</v>
      </c>
      <c r="H37" s="3">
        <f t="shared" si="4"/>
      </c>
      <c r="I37" s="4">
        <v>27</v>
      </c>
      <c r="J37" s="4">
        <f>(TablaMarimba6[[#This Row],[Salida (L)]]*TablaMarimba6[[#This Row],[Costo/L]])</f>
      </c>
      <c r="K37" s="4">
        <f t="shared" si="3"/>
      </c>
      <c r="L37" s="4">
        <f>(TablaMarimba6[[#This Row],[Saldo inicial(vales)]]-TablaMarimba6[[#This Row],[Importe]])</f>
      </c>
      <c r="M37" s="4">
        <f t="shared" si="0"/>
      </c>
      <c r="N37" s="4"/>
    </row>
    <row r="38" spans="1:18">
      <c r="A38" s="2">
        <v>46195</v>
      </c>
      <c r="B38" t="s">
        <v>171</v>
      </c>
      <c r="C38" t="s">
        <v>166</v>
      </c>
      <c r="D38" t="s">
        <v>743</v>
      </c>
      <c r="E38">
        <f>VLOOKUP(TablaMarimba6[[#This Row],[Equipo]],Catalogos!$V$4:$W$55,2,FALSE)</f>
      </c>
      <c r="F38" s="3"/>
      <c r="G38" s="6">
        <v>100.74</v>
      </c>
      <c r="H38" s="3">
        <f t="shared" si="4"/>
      </c>
      <c r="I38" s="4">
        <v>27</v>
      </c>
      <c r="J38" s="4">
        <f>(TablaMarimba6[[#This Row],[Salida (L)]]*TablaMarimba6[[#This Row],[Costo/L]])</f>
      </c>
      <c r="K38" s="4">
        <f t="shared" si="3"/>
      </c>
      <c r="L38" s="4">
        <f>(TablaMarimba6[[#This Row],[Saldo inicial(vales)]]-TablaMarimba6[[#This Row],[Importe]])</f>
      </c>
      <c r="M38" s="4">
        <f t="shared" si="0"/>
      </c>
      <c r="N38" s="4"/>
    </row>
    <row r="39" spans="1:18">
      <c r="A39" s="2">
        <v>46196</v>
      </c>
      <c r="B39" t="s">
        <v>171</v>
      </c>
      <c r="C39" t="s">
        <v>166</v>
      </c>
      <c r="D39" t="s">
        <v>253</v>
      </c>
      <c r="E39">
        <f>VLOOKUP(TablaMarimba6[[#This Row],[Equipo]],Catalogos!$V$4:$W$55,2,FALSE)</f>
      </c>
      <c r="F39" s="3"/>
      <c r="G39" s="6">
        <v>140</v>
      </c>
      <c r="H39" s="3">
        <f t="shared" si="4"/>
      </c>
      <c r="I39" s="4">
        <v>27</v>
      </c>
      <c r="J39" s="4">
        <f>(TablaMarimba6[[#This Row],[Salida (L)]]*TablaMarimba6[[#This Row],[Costo/L]])</f>
      </c>
      <c r="K39" s="4">
        <f t="shared" si="3"/>
      </c>
      <c r="L39" s="4">
        <f>(TablaMarimba6[[#This Row],[Saldo inicial(vales)]]-TablaMarimba6[[#This Row],[Importe]])</f>
      </c>
      <c r="M39" s="4">
        <f t="shared" si="0"/>
      </c>
      <c r="N39" s="4"/>
    </row>
    <row r="40" spans="1:18">
      <c r="A40" s="2">
        <v>46196</v>
      </c>
      <c r="B40" t="s">
        <v>171</v>
      </c>
      <c r="C40" t="s">
        <v>166</v>
      </c>
      <c r="D40" t="s">
        <v>743</v>
      </c>
      <c r="E40">
        <f>VLOOKUP(TablaMarimba6[[#This Row],[Equipo]],Catalogos!$V$4:$W$55,2,FALSE)</f>
      </c>
      <c r="F40" s="3"/>
      <c r="G40" s="6">
        <v>119.26</v>
      </c>
      <c r="H40" s="3">
        <f t="shared" si="4"/>
      </c>
      <c r="I40" s="4">
        <v>27</v>
      </c>
      <c r="J40" s="4">
        <f>(TablaMarimba6[[#This Row],[Salida (L)]]*TablaMarimba6[[#This Row],[Costo/L]])</f>
      </c>
      <c r="K40" s="4">
        <f t="shared" si="3"/>
      </c>
      <c r="L40" s="4">
        <f>(TablaMarimba6[[#This Row],[Saldo inicial(vales)]]-TablaMarimba6[[#This Row],[Importe]])</f>
      </c>
      <c r="M40" s="4">
        <f t="shared" si="0"/>
      </c>
      <c r="N40" s="4"/>
    </row>
    <row r="41" spans="1:18">
      <c r="A41" s="2">
        <v>46197</v>
      </c>
      <c r="B41" t="s">
        <v>171</v>
      </c>
      <c r="C41" t="s">
        <v>166</v>
      </c>
      <c r="D41" t="s">
        <v>243</v>
      </c>
      <c r="E41">
        <f>VLOOKUP(TablaMarimba6[[#This Row],[Equipo]],Catalogos!$V$4:$W$55,2,FALSE)</f>
      </c>
      <c r="F41" s="3"/>
      <c r="G41" s="6">
        <v>200</v>
      </c>
      <c r="H41" s="3">
        <f t="shared" si="4"/>
      </c>
      <c r="I41" s="4">
        <v>27</v>
      </c>
      <c r="J41" s="4">
        <f>(TablaMarimba6[[#This Row],[Salida (L)]]*TablaMarimba6[[#This Row],[Costo/L]])</f>
      </c>
      <c r="K41" s="4">
        <f t="shared" si="3"/>
      </c>
      <c r="L41" s="4">
        <f>(TablaMarimba6[[#This Row],[Saldo inicial(vales)]]-TablaMarimba6[[#This Row],[Importe]])</f>
      </c>
      <c r="M41" s="4">
        <f t="shared" si="0"/>
      </c>
      <c r="N41" s="4"/>
    </row>
    <row r="42" spans="1:18">
      <c r="A42" s="2">
        <v>46197</v>
      </c>
      <c r="B42" t="s">
        <v>171</v>
      </c>
      <c r="C42" t="s">
        <v>166</v>
      </c>
      <c r="D42" t="s">
        <v>243</v>
      </c>
      <c r="E42">
        <f>VLOOKUP(TablaMarimba6[[#This Row],[Equipo]],Catalogos!$V$4:$W$55,2,FALSE)</f>
      </c>
      <c r="F42" s="3"/>
      <c r="G42" s="6">
        <v>50</v>
      </c>
      <c r="H42" s="3">
        <f t="shared" si="4"/>
      </c>
      <c r="I42" s="4">
        <v>27</v>
      </c>
      <c r="J42" s="4">
        <f>(TablaMarimba6[[#This Row],[Salida (L)]]*TablaMarimba6[[#This Row],[Costo/L]])</f>
      </c>
      <c r="K42" s="4">
        <f t="shared" si="3"/>
      </c>
      <c r="L42" s="4">
        <f>(TablaMarimba6[[#This Row],[Saldo inicial(vales)]]-TablaMarimba6[[#This Row],[Importe]])</f>
      </c>
      <c r="M42" s="4">
        <f t="shared" si="0"/>
      </c>
      <c r="N42" s="4"/>
    </row>
    <row r="43" spans="1:18">
      <c r="A43" s="2">
        <v>46197</v>
      </c>
      <c r="B43" t="s">
        <v>171</v>
      </c>
      <c r="C43" t="s">
        <v>166</v>
      </c>
      <c r="D43" t="s">
        <v>253</v>
      </c>
      <c r="E43">
        <f>VLOOKUP(TablaMarimba6[[#This Row],[Equipo]],Catalogos!$V$4:$W$55,2,FALSE)</f>
      </c>
      <c r="F43" s="3"/>
      <c r="G43" s="6">
        <v>200</v>
      </c>
      <c r="H43" s="3">
        <f t="shared" si="4"/>
      </c>
      <c r="I43" s="4">
        <v>27</v>
      </c>
      <c r="J43" s="4">
        <f>(TablaMarimba6[[#This Row],[Salida (L)]]*TablaMarimba6[[#This Row],[Costo/L]])</f>
      </c>
      <c r="K43" s="4">
        <f t="shared" si="3"/>
      </c>
      <c r="L43" s="4">
        <f>(TablaMarimba6[[#This Row],[Saldo inicial(vales)]]-TablaMarimba6[[#This Row],[Importe]])</f>
      </c>
      <c r="M43" s="4">
        <f t="shared" si="0"/>
      </c>
      <c r="N43" s="4"/>
      <c r="R43" s="3">
        <f>SUM(G5:G48)</f>
      </c>
    </row>
    <row r="44" spans="1:18">
      <c r="A44" s="2">
        <v>46197</v>
      </c>
      <c r="B44" t="s">
        <v>171</v>
      </c>
      <c r="C44" t="s">
        <v>166</v>
      </c>
      <c r="D44" t="s">
        <v>743</v>
      </c>
      <c r="E44">
        <f>VLOOKUP(TablaMarimba6[[#This Row],[Equipo]],Catalogos!$V$4:$W$55,2,FALSE)</f>
      </c>
      <c r="F44" s="3"/>
      <c r="G44" s="6">
        <v>100</v>
      </c>
      <c r="H44" s="3">
        <f t="shared" si="4"/>
      </c>
      <c r="I44" s="4">
        <v>27</v>
      </c>
      <c r="J44" s="4">
        <f>(TablaMarimba6[[#This Row],[Salida (L)]]*TablaMarimba6[[#This Row],[Costo/L]])</f>
      </c>
      <c r="K44" s="4">
        <f t="shared" si="3"/>
      </c>
      <c r="L44" s="4">
        <f>(TablaMarimba6[[#This Row],[Saldo inicial(vales)]]-TablaMarimba6[[#This Row],[Importe]])</f>
      </c>
      <c r="M44" s="4">
        <f t="shared" si="0"/>
      </c>
      <c r="N44" s="4"/>
    </row>
    <row r="45" spans="1:18">
      <c r="A45" s="2">
        <v>46199</v>
      </c>
      <c r="B45" t="s">
        <v>171</v>
      </c>
      <c r="C45" t="s">
        <v>166</v>
      </c>
      <c r="D45" t="s">
        <v>253</v>
      </c>
      <c r="E45">
        <f>VLOOKUP(TablaMarimba6[[#This Row],[Equipo]],Catalogos!$V$4:$W$55,2,FALSE)</f>
      </c>
      <c r="F45" s="3"/>
      <c r="G45" s="6">
        <v>160</v>
      </c>
      <c r="H45" s="3">
        <f t="shared" si="4"/>
      </c>
      <c r="I45" s="4">
        <v>27</v>
      </c>
      <c r="J45" s="4">
        <f>(TablaMarimba6[[#This Row],[Salida (L)]]*TablaMarimba6[[#This Row],[Costo/L]])</f>
      </c>
      <c r="K45" s="4">
        <f t="shared" si="3"/>
      </c>
      <c r="L45" s="4">
        <f>(TablaMarimba6[[#This Row],[Saldo inicial(vales)]]-TablaMarimba6[[#This Row],[Importe]])</f>
      </c>
      <c r="M45" s="4">
        <f t="shared" si="0"/>
      </c>
      <c r="N45" s="4"/>
    </row>
    <row r="46" spans="1:18">
      <c r="A46" s="2">
        <v>46200</v>
      </c>
      <c r="B46" t="s">
        <v>171</v>
      </c>
      <c r="C46" t="s">
        <v>166</v>
      </c>
      <c r="D46" t="s">
        <v>253</v>
      </c>
      <c r="E46">
        <f>VLOOKUP(TablaMarimba6[[#This Row],[Equipo]],Catalogos!$V$4:$W$55,2,FALSE)</f>
      </c>
      <c r="F46" s="3"/>
      <c r="G46" s="6">
        <v>108</v>
      </c>
      <c r="H46" s="3">
        <f t="shared" si="4"/>
      </c>
      <c r="I46" s="4">
        <v>27</v>
      </c>
      <c r="J46" s="4">
        <f>(TablaMarimba6[[#This Row],[Salida (L)]]*TablaMarimba6[[#This Row],[Costo/L]])</f>
      </c>
      <c r="K46" s="4">
        <f t="shared" si="3"/>
      </c>
      <c r="L46" s="4">
        <f>(TablaMarimba6[[#This Row],[Saldo inicial(vales)]]-TablaMarimba6[[#This Row],[Importe]])</f>
      </c>
      <c r="M46" s="4">
        <f t="shared" si="0"/>
      </c>
      <c r="N46" s="4"/>
    </row>
    <row r="47" spans="1:18">
      <c r="A47" s="2"/>
      <c r="E47">
        <f>VLOOKUP(TablaMarimba6[[#This Row],[Equipo]],Catalogos!$V$4:$W$55,2,FALSE)</f>
      </c>
      <c r="F47" s="3"/>
      <c r="G47" s="6"/>
      <c r="H47" s="3">
        <f t="shared" si="4"/>
      </c>
      <c r="I47" s="4">
        <v>27</v>
      </c>
      <c r="J47" s="4">
        <f>(TablaMarimba6[[#This Row],[Salida (L)]]*TablaMarimba6[[#This Row],[Costo/L]])</f>
      </c>
      <c r="K47" s="4">
        <f t="shared" si="3"/>
      </c>
      <c r="L47" s="4">
        <f>(TablaMarimba6[[#This Row],[Saldo inicial(vales)]]-TablaMarimba6[[#This Row],[Importe]])</f>
      </c>
      <c r="M47" s="4">
        <f t="shared" si="0"/>
      </c>
      <c r="N47" s="4"/>
    </row>
    <row r="48" spans="1:18">
      <c r="A48" s="2"/>
      <c r="E48">
        <f>VLOOKUP(TablaMarimba6[[#This Row],[Equipo]],Catalogos!$V$4:$W$55,2,FALSE)</f>
      </c>
      <c r="F48" s="3"/>
      <c r="G48" s="6"/>
      <c r="H48" s="3">
        <v>0</v>
      </c>
      <c r="I48" s="4">
        <v>27</v>
      </c>
      <c r="J48" s="4">
        <f>(TablaMarimba6[[#This Row],[Salida (L)]]*TablaMarimba6[[#This Row],[Costo/L]])</f>
      </c>
      <c r="K48" s="4">
        <f t="shared" si="3"/>
      </c>
      <c r="L48" s="4">
        <f>(TablaMarimba6[[#This Row],[Saldo inicial(vales)]]-TablaMarimba6[[#This Row],[Importe]])</f>
      </c>
      <c r="M48" s="4">
        <f t="shared" si="0"/>
      </c>
      <c r="N48" s="4"/>
    </row>
    <row r="49" spans="1:14">
      <c r="A49" s="2"/>
      <c r="E49">
        <f>VLOOKUP(TablaMarimba6[[#This Row],[Equipo]],Catalogos!$V$4:$W$55,2,FALSE)</f>
      </c>
      <c r="F49" s="3"/>
      <c r="G49" s="6"/>
      <c r="H49" s="3">
        <f t="shared" si="4"/>
      </c>
      <c r="I49" s="4"/>
      <c r="J49" s="4"/>
      <c r="K49" s="4">
        <f t="shared" si="3"/>
      </c>
      <c r="L49" s="4">
        <f>(TablaMarimba6[[#This Row],[Saldo inicial(vales)]]-TablaMarimba6[[#This Row],[Importe]])</f>
      </c>
      <c r="M49" s="4">
        <f t="shared" si="0"/>
      </c>
      <c r="N49" s="4"/>
    </row>
    <row r="50" spans="1:14">
      <c r="A50" s="2"/>
      <c r="E50">
        <f>VLOOKUP(TablaMarimba6[[#This Row],[Equipo]],Catalogos!$V$4:$W$55,2,FALSE)</f>
      </c>
      <c r="F50" s="3"/>
      <c r="G50" s="6"/>
      <c r="H50" s="3">
        <f t="shared" si="4"/>
      </c>
      <c r="I50" s="4">
        <v>28.3</v>
      </c>
      <c r="J50" s="4">
        <f t="shared" ref="J50:J68" si="5">IFERROR((F50+G50)*I50,0)</f>
      </c>
      <c r="K50" s="4">
        <f t="shared" si="3"/>
      </c>
      <c r="L50" s="4">
        <f>(TablaMarimba6[[#This Row],[Saldo inicial(vales)]]-TablaMarimba6[[#This Row],[Importe]])</f>
      </c>
      <c r="M50" s="4">
        <f t="shared" si="0"/>
      </c>
      <c r="N50" s="4"/>
    </row>
    <row r="51" spans="1:14">
      <c r="A51" s="2"/>
      <c r="E51">
        <f>VLOOKUP(TablaMarimba6[[#This Row],[Equipo]],Catalogos!$V$4:$W$55,2,FALSE)</f>
      </c>
      <c r="F51" s="3"/>
      <c r="G51" s="6"/>
      <c r="H51" s="3">
        <f t="shared" si="4"/>
      </c>
      <c r="I51" s="4">
        <v>28.3</v>
      </c>
      <c r="J51" s="4">
        <f t="shared" si="5"/>
      </c>
      <c r="K51" s="4">
        <f t="shared" si="3"/>
      </c>
      <c r="L51" s="4">
        <f>(TablaMarimba6[[#This Row],[Saldo inicial(vales)]]-TablaMarimba6[[#This Row],[Importe]])</f>
      </c>
      <c r="M51" s="4">
        <f t="shared" si="0"/>
      </c>
      <c r="N51" s="4"/>
    </row>
    <row r="52" spans="1:14">
      <c r="A52" s="2"/>
      <c r="E52">
        <f>VLOOKUP(TablaMarimba6[[#This Row],[Equipo]],Catalogos!$V$4:$W$55,2,FALSE)</f>
      </c>
      <c r="F52" s="3"/>
      <c r="G52" s="6"/>
      <c r="H52" s="3">
        <f t="shared" si="4"/>
      </c>
      <c r="I52" s="4">
        <v>28.3</v>
      </c>
      <c r="J52" s="4">
        <f t="shared" si="5"/>
      </c>
      <c r="K52" s="4">
        <f t="shared" si="3"/>
      </c>
      <c r="L52" s="4">
        <f>(TablaMarimba6[[#This Row],[Saldo inicial(vales)]]-TablaMarimba6[[#This Row],[Importe]])</f>
      </c>
      <c r="M52" s="4">
        <f t="shared" si="0"/>
      </c>
      <c r="N52" s="4"/>
    </row>
    <row r="53" spans="1:14">
      <c r="A53" s="2"/>
      <c r="E53">
        <f>VLOOKUP(TablaMarimba6[[#This Row],[Equipo]],Catalogos!$V$4:$W$55,2,FALSE)</f>
      </c>
      <c r="F53" s="3"/>
      <c r="G53" s="6"/>
      <c r="H53" s="3">
        <f t="shared" si="4"/>
      </c>
      <c r="I53" s="4">
        <v>28.3</v>
      </c>
      <c r="J53" s="4">
        <f t="shared" si="5"/>
      </c>
      <c r="K53" s="4">
        <f t="shared" si="3"/>
      </c>
      <c r="L53" s="4">
        <f>(TablaMarimba6[[#This Row],[Saldo inicial(vales)]]-TablaMarimba6[[#This Row],[Importe]])</f>
      </c>
      <c r="M53" s="4">
        <f t="shared" si="0"/>
      </c>
      <c r="N53" s="4"/>
    </row>
    <row r="54" spans="1:14">
      <c r="A54" s="2"/>
      <c r="E54">
        <f>VLOOKUP(TablaMarimba6[[#This Row],[Equipo]],Catalogos!$V$4:$W$55,2,FALSE)</f>
      </c>
      <c r="F54" s="3"/>
      <c r="G54" s="6"/>
      <c r="H54" s="3">
        <f t="shared" si="4"/>
      </c>
      <c r="I54" s="4">
        <v>28.3</v>
      </c>
      <c r="J54" s="4">
        <f t="shared" si="5"/>
      </c>
      <c r="K54" s="4">
        <f t="shared" si="3"/>
      </c>
      <c r="L54" s="4">
        <f>(TablaMarimba6[[#This Row],[Saldo inicial(vales)]]-TablaMarimba6[[#This Row],[Importe]])</f>
      </c>
      <c r="M54" s="4">
        <f t="shared" si="0"/>
      </c>
      <c r="N54" s="4"/>
    </row>
    <row r="55" spans="1:14">
      <c r="A55" s="2"/>
      <c r="E55">
        <f>VLOOKUP(TablaMarimba6[[#This Row],[Equipo]],Catalogos!$V$4:$W$55,2,FALSE)</f>
      </c>
      <c r="F55" s="3"/>
      <c r="G55" s="6"/>
      <c r="H55" s="3">
        <f t="shared" si="4"/>
      </c>
      <c r="I55" s="4">
        <v>28.3</v>
      </c>
      <c r="J55" s="4">
        <f t="shared" si="5"/>
      </c>
      <c r="K55" s="4">
        <f t="shared" si="3"/>
      </c>
      <c r="L55" s="4">
        <f>(TablaMarimba6[[#This Row],[Saldo inicial(vales)]]-TablaMarimba6[[#This Row],[Importe]])</f>
      </c>
      <c r="M55" s="4">
        <f t="shared" si="0"/>
      </c>
      <c r="N55" s="4"/>
    </row>
    <row r="56" spans="1:14">
      <c r="A56" s="2"/>
      <c r="E56">
        <f>VLOOKUP(TablaMarimba6[[#This Row],[Equipo]],Catalogos!$V$4:$W$55,2,FALSE)</f>
      </c>
      <c r="F56" s="3"/>
      <c r="G56" s="6"/>
      <c r="H56" s="3">
        <v>500</v>
      </c>
      <c r="I56" s="4"/>
      <c r="J56" s="4"/>
      <c r="K56" s="4">
        <f t="shared" si="3"/>
      </c>
      <c r="L56" s="4">
        <f>(TablaMarimba6[[#This Row],[Saldo inicial(vales)]]-TablaMarimba6[[#This Row],[Importe]])</f>
      </c>
      <c r="M56" s="4">
        <f t="shared" si="0"/>
      </c>
      <c r="N56" s="4"/>
    </row>
    <row r="57" spans="1:14">
      <c r="A57" s="2"/>
      <c r="E57">
        <f>VLOOKUP(TablaMarimba6[[#This Row],[Equipo]],Catalogos!$V$4:$W$55,2,FALSE)</f>
      </c>
      <c r="F57" s="3"/>
      <c r="G57" s="6"/>
      <c r="H57" s="3">
        <f t="shared" si="4"/>
      </c>
      <c r="I57" s="4">
        <v>28.3</v>
      </c>
      <c r="J57" s="4">
        <f t="shared" si="5"/>
      </c>
      <c r="K57" s="4">
        <f t="shared" si="3"/>
      </c>
      <c r="L57" s="4">
        <f>(TablaMarimba6[[#This Row],[Saldo inicial(vales)]]-TablaMarimba6[[#This Row],[Importe]])</f>
      </c>
      <c r="M57" s="4">
        <f t="shared" si="0"/>
      </c>
      <c r="N57" s="4"/>
    </row>
    <row r="58" spans="1:14">
      <c r="A58" s="2"/>
      <c r="E58">
        <f>VLOOKUP(TablaMarimba6[[#This Row],[Equipo]],Catalogos!$V$4:$W$55,2,FALSE)</f>
      </c>
      <c r="F58" s="3"/>
      <c r="G58" s="6"/>
      <c r="H58" s="3">
        <f t="shared" si="4"/>
      </c>
      <c r="I58" s="4">
        <v>28.3</v>
      </c>
      <c r="J58" s="4">
        <f t="shared" si="5"/>
      </c>
      <c r="K58" s="4">
        <f t="shared" si="3"/>
      </c>
      <c r="L58" s="4">
        <f>(TablaMarimba6[[#This Row],[Saldo inicial(vales)]]-TablaMarimba6[[#This Row],[Importe]])</f>
      </c>
      <c r="M58" s="4">
        <f t="shared" si="0"/>
      </c>
      <c r="N58" s="4"/>
    </row>
    <row r="59" spans="1:14">
      <c r="A59" s="2"/>
      <c r="E59">
        <f>VLOOKUP(TablaMarimba6[[#This Row],[Equipo]],Catalogos!$V$4:$W$55,2,FALSE)</f>
      </c>
      <c r="F59" s="3"/>
      <c r="G59" s="6"/>
      <c r="H59" s="3">
        <f t="shared" si="4"/>
      </c>
      <c r="I59" s="4">
        <v>28.3</v>
      </c>
      <c r="J59" s="4">
        <f t="shared" si="5"/>
      </c>
      <c r="K59" s="4">
        <f t="shared" si="3"/>
      </c>
      <c r="L59" s="4">
        <f>(TablaMarimba6[[#This Row],[Saldo inicial(vales)]]-TablaMarimba6[[#This Row],[Importe]])</f>
      </c>
      <c r="M59" s="4">
        <f t="shared" si="0"/>
      </c>
      <c r="N59" s="4"/>
    </row>
    <row r="60" spans="1:14">
      <c r="A60" s="2"/>
      <c r="E60">
        <f>VLOOKUP(TablaMarimba6[[#This Row],[Equipo]],Catalogos!$V$4:$W$55,2,FALSE)</f>
      </c>
      <c r="F60" s="3"/>
      <c r="G60" s="6"/>
      <c r="H60" s="3">
        <f t="shared" si="4"/>
      </c>
      <c r="I60" s="4">
        <v>28.3</v>
      </c>
      <c r="J60" s="4">
        <f t="shared" si="5"/>
      </c>
      <c r="K60" s="4">
        <f t="shared" si="3"/>
      </c>
      <c r="L60" s="4">
        <f>(TablaMarimba6[[#This Row],[Saldo inicial(vales)]]-TablaMarimba6[[#This Row],[Importe]])</f>
      </c>
      <c r="M60" s="4">
        <f t="shared" si="0"/>
      </c>
      <c r="N60" s="4"/>
    </row>
    <row r="61" spans="1:14">
      <c r="A61" s="2"/>
      <c r="E61">
        <f>VLOOKUP(TablaMarimba6[[#This Row],[Equipo]],Catalogos!$V$4:$W$55,2,FALSE)</f>
      </c>
      <c r="F61" s="3"/>
      <c r="G61" s="6"/>
      <c r="H61" s="3">
        <f t="shared" si="4"/>
      </c>
      <c r="I61" s="4">
        <v>28.3</v>
      </c>
      <c r="J61" s="4">
        <f t="shared" si="5"/>
      </c>
      <c r="K61" s="4">
        <f t="shared" si="3"/>
      </c>
      <c r="L61" s="4">
        <f>(TablaMarimba6[[#This Row],[Saldo inicial(vales)]]-TablaMarimba6[[#This Row],[Importe]])</f>
      </c>
      <c r="M61" s="4">
        <f t="shared" si="0"/>
      </c>
      <c r="N61" s="4"/>
    </row>
    <row r="62" spans="1:14">
      <c r="A62" s="2"/>
      <c r="E62">
        <f>VLOOKUP(TablaMarimba6[[#This Row],[Equipo]],Catalogos!$V$4:$W$55,2,FALSE)</f>
      </c>
      <c r="F62" s="3"/>
      <c r="G62" s="6"/>
      <c r="H62" s="3">
        <f t="shared" si="4"/>
      </c>
      <c r="I62" s="4">
        <v>28.3</v>
      </c>
      <c r="J62" s="4">
        <f t="shared" si="5"/>
      </c>
      <c r="K62" s="4">
        <f t="shared" si="3"/>
      </c>
      <c r="L62" s="4">
        <f>(TablaMarimba6[[#This Row],[Saldo inicial(vales)]]-TablaMarimba6[[#This Row],[Importe]])</f>
      </c>
      <c r="M62" s="4">
        <f t="shared" si="0"/>
      </c>
      <c r="N62" s="4"/>
    </row>
    <row r="63" spans="1:14">
      <c r="A63" s="2"/>
      <c r="E63">
        <f>VLOOKUP(TablaMarimba6[[#This Row],[Equipo]],Catalogos!$V$4:$W$55,2,FALSE)</f>
      </c>
      <c r="F63" s="3"/>
      <c r="G63" s="6"/>
      <c r="H63" s="3">
        <f t="shared" si="4"/>
      </c>
      <c r="I63" s="4">
        <v>28.3</v>
      </c>
      <c r="J63" s="4">
        <f t="shared" si="5"/>
      </c>
      <c r="K63" s="4">
        <f t="shared" si="3"/>
      </c>
      <c r="L63" s="4">
        <f>(TablaMarimba6[[#This Row],[Saldo inicial(vales)]]-TablaMarimba6[[#This Row],[Importe]])</f>
      </c>
      <c r="M63" s="4">
        <f t="shared" si="0"/>
      </c>
      <c r="N63" s="4"/>
    </row>
    <row r="64" spans="1:14">
      <c r="A64" s="2"/>
      <c r="E64">
        <f>VLOOKUP(TablaMarimba6[[#This Row],[Equipo]],Catalogos!$V$4:$W$55,2,FALSE)</f>
      </c>
      <c r="F64" s="3"/>
      <c r="G64" s="6"/>
      <c r="H64" s="3">
        <v>520</v>
      </c>
      <c r="I64" s="4"/>
      <c r="J64" s="4"/>
      <c r="K64" s="4">
        <f t="shared" si="3"/>
      </c>
      <c r="L64" s="4">
        <f>(TablaMarimba6[[#This Row],[Saldo inicial(vales)]]-TablaMarimba6[[#This Row],[Importe]])</f>
      </c>
      <c r="M64" s="4">
        <f t="shared" si="0"/>
      </c>
      <c r="N64" s="4"/>
    </row>
    <row r="65" spans="1:14">
      <c r="A65" s="2"/>
      <c r="E65">
        <f>VLOOKUP(TablaMarimba6[[#This Row],[Equipo]],Catalogos!$V$4:$W$55,2,FALSE)</f>
      </c>
      <c r="F65" s="3"/>
      <c r="G65" s="6"/>
      <c r="H65" s="3">
        <f>IF(ROW()=5,F65-G65,H64+F65-G65)</f>
      </c>
      <c r="I65" s="4">
        <v>28.3</v>
      </c>
      <c r="J65" s="4">
        <f t="shared" si="5"/>
      </c>
      <c r="K65" s="4">
        <f t="shared" si="3"/>
      </c>
      <c r="L65" s="4">
        <f>(TablaMarimba6[[#This Row],[Saldo inicial(vales)]]-TablaMarimba6[[#This Row],[Importe]])</f>
      </c>
      <c r="M65" s="4">
        <f t="shared" si="0"/>
      </c>
      <c r="N65" s="4"/>
    </row>
    <row r="66" spans="1:14">
      <c r="A66" s="2"/>
      <c r="E66">
        <f>VLOOKUP(TablaMarimba6[[#This Row],[Equipo]],Catalogos!$V$4:$W$55,2,FALSE)</f>
      </c>
      <c r="F66" s="3"/>
      <c r="G66" s="6"/>
      <c r="H66" s="3">
        <f t="shared" ref="H66:H129" si="6">IF(ROW()=5,F66-G66,H65+F66-G66)</f>
      </c>
      <c r="I66" s="4">
        <v>28.3</v>
      </c>
      <c r="J66" s="4">
        <f t="shared" si="5"/>
      </c>
      <c r="K66" s="4">
        <f t="shared" si="3"/>
      </c>
      <c r="L66" s="4">
        <f>(TablaMarimba6[[#This Row],[Saldo inicial(vales)]]-TablaMarimba6[[#This Row],[Importe]])</f>
      </c>
      <c r="M66" s="4">
        <f t="shared" si="0"/>
      </c>
      <c r="N66" s="4"/>
    </row>
    <row r="67" spans="1:14">
      <c r="A67" s="2"/>
      <c r="E67">
        <f>VLOOKUP(TablaMarimba6[[#This Row],[Equipo]],Catalogos!$V$4:$W$55,2,FALSE)</f>
      </c>
      <c r="F67" s="3"/>
      <c r="G67" s="6"/>
      <c r="H67" s="3">
        <f t="shared" si="6"/>
      </c>
      <c r="I67" s="4">
        <v>28.3</v>
      </c>
      <c r="J67" s="4">
        <f t="shared" si="5"/>
      </c>
      <c r="K67" s="4">
        <f t="shared" si="3"/>
      </c>
      <c r="L67" s="4">
        <f>(TablaMarimba6[[#This Row],[Saldo inicial(vales)]]-TablaMarimba6[[#This Row],[Importe]])</f>
      </c>
      <c r="M67" s="4">
        <f t="shared" si="0"/>
      </c>
      <c r="N67" s="4"/>
    </row>
    <row r="68" spans="1:14">
      <c r="A68" s="2"/>
      <c r="E68">
        <f>VLOOKUP(TablaMarimba6[[#This Row],[Equipo]],Catalogos!$V$4:$W$55,2,FALSE)</f>
      </c>
      <c r="F68" s="3"/>
      <c r="G68" s="6"/>
      <c r="H68" s="3">
        <f t="shared" si="6"/>
      </c>
      <c r="I68" s="4">
        <v>28.3</v>
      </c>
      <c r="J68" s="4">
        <f t="shared" si="5"/>
      </c>
      <c r="K68" s="4">
        <f t="shared" si="3"/>
      </c>
      <c r="L68" s="4">
        <f>(TablaMarimba6[[#This Row],[Saldo inicial(vales)]]-TablaMarimba6[[#This Row],[Importe]])</f>
      </c>
      <c r="M68" s="4">
        <f t="shared" si="0"/>
      </c>
      <c r="N68" s="4"/>
    </row>
    <row r="69" spans="1:14">
      <c r="A69" s="2"/>
      <c r="E69">
        <f>VLOOKUP(TablaMarimba6[[#This Row],[Equipo]],Catalogos!$V$4:$W$55,2,FALSE)</f>
      </c>
      <c r="F69" s="3"/>
      <c r="G69" s="6"/>
      <c r="H69" s="3">
        <f t="shared" si="6"/>
      </c>
      <c r="I69" s="4">
        <v>28.3</v>
      </c>
      <c r="J69" s="4">
        <f t="shared" ref="J69:J70" si="7">IFERROR((F69+G69)*I69,0)</f>
      </c>
      <c r="K69" s="4">
        <f t="shared" si="3"/>
      </c>
      <c r="L69" s="4">
        <f>(TablaMarimba6[[#This Row],[Saldo inicial(vales)]]-TablaMarimba6[[#This Row],[Importe]])</f>
      </c>
      <c r="M69" s="4">
        <f t="shared" ref="M69:M132" si="8">IF(A69="","", WEEKNUM(A69, 2))</f>
      </c>
      <c r="N69" s="4"/>
    </row>
    <row r="70" spans="1:14">
      <c r="A70" s="2"/>
      <c r="E70">
        <f>VLOOKUP(TablaMarimba6[[#This Row],[Equipo]],Catalogos!$V$4:$W$55,2,FALSE)</f>
      </c>
      <c r="F70" s="3"/>
      <c r="G70" s="6"/>
      <c r="H70" s="3">
        <f t="shared" si="6"/>
      </c>
      <c r="I70" s="4">
        <v>28.3</v>
      </c>
      <c r="J70" s="4">
        <f t="shared" si="7"/>
      </c>
      <c r="K70" s="4">
        <f t="shared" si="3"/>
      </c>
      <c r="L70" s="4">
        <f>(TablaMarimba6[[#This Row],[Saldo inicial(vales)]]-TablaMarimba6[[#This Row],[Importe]])</f>
      </c>
      <c r="M70" s="4">
        <f t="shared" si="8"/>
      </c>
      <c r="N70" s="4"/>
    </row>
    <row r="71" spans="1:14">
      <c r="A71" s="2"/>
      <c r="E71">
        <f>VLOOKUP(TablaMarimba6[[#This Row],[Equipo]],Catalogos!$V$4:$W$55,2,FALSE)</f>
      </c>
      <c r="G71" s="6"/>
      <c r="H71" s="3">
        <f t="shared" si="6"/>
      </c>
      <c r="I71" s="4">
        <v>28.3</v>
      </c>
      <c r="J71" s="4">
        <f>IFERROR((F72+G72)*I71,0)</f>
      </c>
      <c r="K71" s="4">
        <f t="shared" si="3"/>
      </c>
      <c r="L71" s="4">
        <f>(TablaMarimba6[[#This Row],[Saldo inicial(vales)]]-TablaMarimba6[[#This Row],[Importe]])</f>
      </c>
      <c r="M71" s="4">
        <f t="shared" si="8"/>
      </c>
      <c r="N71" s="4"/>
    </row>
    <row r="72" spans="1:14">
      <c r="A72" s="2"/>
      <c r="E72">
        <f>VLOOKUP(TablaMarimba6[[#This Row],[Equipo]],Catalogos!$V$4:$W$55,2,FALSE)</f>
      </c>
      <c r="F72" s="3"/>
      <c r="G72" s="6"/>
      <c r="H72" s="3">
        <f t="shared" si="6"/>
      </c>
      <c r="I72" s="4">
        <v>28.3</v>
      </c>
      <c r="J72" s="4">
        <f>IFERROR((F73+G73)*I72,0)</f>
      </c>
      <c r="K72" s="4">
        <f t="shared" si="3"/>
      </c>
      <c r="L72" s="4">
        <f>(TablaMarimba6[[#This Row],[Saldo inicial(vales)]]-TablaMarimba6[[#This Row],[Importe]])</f>
      </c>
      <c r="M72" s="4">
        <f t="shared" si="8"/>
      </c>
      <c r="N72" s="4"/>
    </row>
    <row r="73" spans="1:14">
      <c r="A73" s="2"/>
      <c r="E73">
        <f>VLOOKUP(TablaMarimba6[[#This Row],[Equipo]],Catalogos!$V$4:$W$55,2,FALSE)</f>
      </c>
      <c r="F73" s="3"/>
      <c r="G73" s="6"/>
      <c r="H73" s="3">
        <f t="shared" si="6"/>
      </c>
      <c r="I73" s="4">
        <v>28.3</v>
      </c>
      <c r="J73" s="4">
        <f>IFERROR((F74+G74)*I73,0)</f>
      </c>
      <c r="K73" s="4">
        <f t="shared" si="3"/>
      </c>
      <c r="L73" s="4">
        <f>(TablaMarimba6[[#This Row],[Saldo inicial(vales)]]-TablaMarimba6[[#This Row],[Importe]])</f>
      </c>
      <c r="M73" s="4">
        <f t="shared" si="8"/>
      </c>
      <c r="N73" s="4"/>
    </row>
    <row r="74" spans="1:14">
      <c r="A74" s="2"/>
      <c r="E74">
        <f>VLOOKUP(TablaMarimba6[[#This Row],[Equipo]],Catalogos!$V$4:$W$55,2,FALSE)</f>
      </c>
      <c r="F74" s="3"/>
      <c r="G74" s="6"/>
      <c r="H74" s="3">
        <f t="shared" si="6"/>
      </c>
      <c r="I74" s="4">
        <v>28.3</v>
      </c>
      <c r="J74" s="4">
        <f>IFERROR((F75+G75)*I74,0)</f>
      </c>
      <c r="K74" s="4">
        <f t="shared" si="3"/>
      </c>
      <c r="L74" s="4">
        <f>(TablaMarimba6[[#This Row],[Saldo inicial(vales)]]-TablaMarimba6[[#This Row],[Importe]])</f>
      </c>
      <c r="M74" s="4">
        <f t="shared" si="8"/>
      </c>
      <c r="N74" s="4"/>
    </row>
    <row r="75" spans="1:14">
      <c r="A75" s="2"/>
      <c r="E75">
        <f>VLOOKUP(TablaMarimba6[[#This Row],[Equipo]],Catalogos!$V$4:$W$55,2,FALSE)</f>
      </c>
      <c r="F75" s="3"/>
      <c r="G75" s="6"/>
      <c r="H75" s="3">
        <f t="shared" si="6"/>
      </c>
      <c r="I75" s="4">
        <v>28.3</v>
      </c>
      <c r="J75" s="4">
        <f>IFERROR((#REF!+#REF!)*I75,0)</f>
      </c>
      <c r="K75" s="4">
        <f t="shared" si="3"/>
      </c>
      <c r="L75" s="4">
        <f>(TablaMarimba6[[#This Row],[Saldo inicial(vales)]]-TablaMarimba6[[#This Row],[Importe]])</f>
      </c>
      <c r="M75" s="4">
        <f t="shared" si="8"/>
      </c>
      <c r="N75" s="4"/>
    </row>
    <row r="76" spans="1:14">
      <c r="A76" s="2"/>
      <c r="E76">
        <f>VLOOKUP(TablaMarimba6[[#This Row],[Equipo]],Catalogos!$V$4:$W$55,2,FALSE)</f>
      </c>
      <c r="F76" s="3"/>
      <c r="G76" s="6"/>
      <c r="H76" s="3">
        <f t="shared" si="6"/>
      </c>
      <c r="I76" s="4">
        <v>28.3</v>
      </c>
      <c r="J76" s="4">
        <f t="shared" ref="J76:J139" si="9">IFERROR((F76+G76)*I76,0)</f>
      </c>
      <c r="K76" s="4">
        <f t="shared" si="3"/>
      </c>
      <c r="L76" s="4">
        <f>(TablaMarimba6[[#This Row],[Saldo inicial(vales)]]-TablaMarimba6[[#This Row],[Importe]])</f>
      </c>
      <c r="M76" s="4">
        <f t="shared" si="8"/>
      </c>
      <c r="N76" s="4"/>
    </row>
    <row r="77" spans="1:14">
      <c r="A77" s="2"/>
      <c r="E77">
        <f>VLOOKUP(TablaMarimba6[[#This Row],[Equipo]],Catalogos!$V$4:$W$55,2,FALSE)</f>
      </c>
      <c r="F77" s="3"/>
      <c r="G77" s="6"/>
      <c r="H77" s="3">
        <f t="shared" si="6"/>
      </c>
      <c r="I77" s="4">
        <v>28.3</v>
      </c>
      <c r="J77" s="4">
        <f t="shared" si="9"/>
      </c>
      <c r="K77" s="4">
        <f t="shared" si="3"/>
      </c>
      <c r="L77" s="4">
        <f>(TablaMarimba6[[#This Row],[Saldo inicial(vales)]]-TablaMarimba6[[#This Row],[Importe]])</f>
      </c>
      <c r="M77" s="4">
        <f t="shared" si="8"/>
      </c>
      <c r="N77" s="4"/>
    </row>
    <row r="78" spans="1:14">
      <c r="A78" s="2"/>
      <c r="E78">
        <f>VLOOKUP(TablaMarimba6[[#This Row],[Equipo]],Catalogos!$V$4:$W$55,2,FALSE)</f>
      </c>
      <c r="F78" s="3"/>
      <c r="G78" s="6"/>
      <c r="H78" s="3">
        <f t="shared" si="6"/>
      </c>
      <c r="I78" s="4">
        <v>28.3</v>
      </c>
      <c r="J78" s="4">
        <f t="shared" si="9"/>
      </c>
      <c r="K78" s="4">
        <f t="shared" si="3"/>
      </c>
      <c r="L78" s="4">
        <f>(TablaMarimba6[[#This Row],[Saldo inicial(vales)]]-TablaMarimba6[[#This Row],[Importe]])</f>
      </c>
      <c r="M78" s="4">
        <f t="shared" si="8"/>
      </c>
      <c r="N78" s="4"/>
    </row>
    <row r="79" spans="1:14">
      <c r="A79" s="2"/>
      <c r="E79">
        <f>VLOOKUP(TablaMarimba6[[#This Row],[Equipo]],Catalogos!$V$4:$W$55,2,FALSE)</f>
      </c>
      <c r="F79" s="3"/>
      <c r="G79" s="6"/>
      <c r="H79" s="3">
        <f t="shared" si="6"/>
      </c>
      <c r="I79" s="4">
        <v>28.3</v>
      </c>
      <c r="J79" s="4">
        <f t="shared" si="9"/>
      </c>
      <c r="K79" s="4">
        <f t="shared" si="3"/>
      </c>
      <c r="L79" s="4">
        <f>(TablaMarimba6[[#This Row],[Saldo inicial(vales)]]-TablaMarimba6[[#This Row],[Importe]])</f>
      </c>
      <c r="M79" s="4">
        <f t="shared" si="8"/>
      </c>
      <c r="N79" s="4"/>
    </row>
    <row r="80" spans="1:14">
      <c r="A80" s="2"/>
      <c r="E80">
        <f>VLOOKUP(TablaMarimba6[[#This Row],[Equipo]],Catalogos!$V$4:$W$55,2,FALSE)</f>
      </c>
      <c r="F80" s="3"/>
      <c r="G80" s="6"/>
      <c r="H80" s="3">
        <f t="shared" si="6"/>
      </c>
      <c r="I80" s="4">
        <v>28.3</v>
      </c>
      <c r="J80" s="4">
        <f t="shared" si="9"/>
      </c>
      <c r="K80" s="4">
        <f t="shared" si="3"/>
      </c>
      <c r="L80" s="4">
        <f>(TablaMarimba6[[#This Row],[Saldo inicial(vales)]]-TablaMarimba6[[#This Row],[Importe]])</f>
      </c>
      <c r="M80" s="4">
        <f t="shared" si="8"/>
      </c>
      <c r="N80" s="4"/>
    </row>
    <row r="81" spans="1:14">
      <c r="A81" s="2"/>
      <c r="E81">
        <f>VLOOKUP(TablaMarimba6[[#This Row],[Equipo]],Catalogos!$V$4:$W$55,2,FALSE)</f>
      </c>
      <c r="F81" s="3"/>
      <c r="G81" s="6"/>
      <c r="H81" s="3">
        <f t="shared" si="6"/>
      </c>
      <c r="I81" s="4">
        <v>28.3</v>
      </c>
      <c r="J81" s="4">
        <f t="shared" si="9"/>
      </c>
      <c r="K81" s="4">
        <f t="shared" si="3"/>
      </c>
      <c r="L81" s="4">
        <f>(TablaMarimba6[[#This Row],[Saldo inicial(vales)]]-TablaMarimba6[[#This Row],[Importe]])</f>
      </c>
      <c r="M81" s="4">
        <f t="shared" si="8"/>
      </c>
      <c r="N81" s="4"/>
    </row>
    <row r="82" spans="1:14">
      <c r="A82" s="2"/>
      <c r="E82">
        <f>VLOOKUP(TablaMarimba6[[#This Row],[Equipo]],Catalogos!$V$4:$W$55,2,FALSE)</f>
      </c>
      <c r="F82" s="3"/>
      <c r="G82" s="6"/>
      <c r="H82" s="3">
        <f t="shared" si="6"/>
      </c>
      <c r="I82" s="4">
        <v>28.3</v>
      </c>
      <c r="J82" s="4">
        <f t="shared" si="9"/>
      </c>
      <c r="K82" s="4">
        <f t="shared" si="3"/>
      </c>
      <c r="L82" s="4">
        <f>(TablaMarimba6[[#This Row],[Saldo inicial(vales)]]-TablaMarimba6[[#This Row],[Importe]])</f>
      </c>
      <c r="M82" s="4">
        <f t="shared" si="8"/>
      </c>
      <c r="N82" s="4"/>
    </row>
    <row r="83" spans="1:14">
      <c r="A83" s="2"/>
      <c r="E83">
        <f>VLOOKUP(TablaMarimba6[[#This Row],[Equipo]],Catalogos!$V$4:$W$55,2,FALSE)</f>
      </c>
      <c r="F83" s="3"/>
      <c r="G83" s="6"/>
      <c r="H83" s="3">
        <f t="shared" si="6"/>
      </c>
      <c r="I83" s="4">
        <v>28.3</v>
      </c>
      <c r="J83" s="4">
        <f t="shared" si="9"/>
      </c>
      <c r="K83" s="4">
        <f t="shared" si="3"/>
      </c>
      <c r="L83" s="4">
        <f>(TablaMarimba6[[#This Row],[Saldo inicial(vales)]]-TablaMarimba6[[#This Row],[Importe]])</f>
      </c>
      <c r="M83" s="4">
        <f t="shared" si="8"/>
      </c>
      <c r="N83" s="4"/>
    </row>
    <row r="84" spans="1:14">
      <c r="A84" s="2"/>
      <c r="E84">
        <f>VLOOKUP(TablaMarimba6[[#This Row],[Equipo]],Catalogos!$V$4:$W$55,2,FALSE)</f>
      </c>
      <c r="F84" s="3"/>
      <c r="G84" s="6"/>
      <c r="H84" s="3">
        <f t="shared" si="6"/>
      </c>
      <c r="I84" s="4">
        <v>28.3</v>
      </c>
      <c r="J84" s="4">
        <f t="shared" si="9"/>
      </c>
      <c r="K84" s="4">
        <f t="shared" si="3"/>
      </c>
      <c r="L84" s="4">
        <f>(TablaMarimba6[[#This Row],[Saldo inicial(vales)]]-TablaMarimba6[[#This Row],[Importe]])</f>
      </c>
      <c r="M84" s="4">
        <f t="shared" si="8"/>
      </c>
      <c r="N84" s="4"/>
    </row>
    <row r="85" spans="1:14">
      <c r="A85" s="2"/>
      <c r="E85">
        <f>VLOOKUP(TablaMarimba6[[#This Row],[Equipo]],Catalogos!$V$4:$W$55,2,FALSE)</f>
      </c>
      <c r="F85" s="3"/>
      <c r="G85" s="6"/>
      <c r="H85" s="3">
        <f t="shared" si="6"/>
      </c>
      <c r="I85" s="4">
        <v>28.3</v>
      </c>
      <c r="J85" s="4">
        <f t="shared" si="9"/>
      </c>
      <c r="K85" s="4">
        <f t="shared" si="3"/>
      </c>
      <c r="L85" s="4">
        <f>(TablaMarimba6[[#This Row],[Saldo inicial(vales)]]-TablaMarimba6[[#This Row],[Importe]])</f>
      </c>
      <c r="M85" s="4">
        <f t="shared" si="8"/>
      </c>
      <c r="N85" s="4"/>
    </row>
    <row r="86" spans="1:14">
      <c r="A86" s="2"/>
      <c r="E86">
        <f>VLOOKUP(TablaMarimba6[[#This Row],[Equipo]],Catalogos!$V$4:$W$55,2,FALSE)</f>
      </c>
      <c r="F86" s="3"/>
      <c r="G86" s="6"/>
      <c r="H86" s="3">
        <f t="shared" si="6"/>
      </c>
      <c r="I86" s="4">
        <v>28.3</v>
      </c>
      <c r="J86" s="4">
        <f t="shared" si="9"/>
      </c>
      <c r="K86" s="4">
        <f t="shared" si="3"/>
      </c>
      <c r="L86" s="4">
        <f>(TablaMarimba6[[#This Row],[Saldo inicial(vales)]]-TablaMarimba6[[#This Row],[Importe]])</f>
      </c>
      <c r="M86" s="4">
        <f t="shared" si="8"/>
      </c>
      <c r="N86" s="4"/>
    </row>
    <row r="87" spans="1:14">
      <c r="A87" s="2"/>
      <c r="E87">
        <f>VLOOKUP(TablaMarimba6[[#This Row],[Equipo]],Catalogos!$V$4:$W$55,2,FALSE)</f>
      </c>
      <c r="F87" s="3"/>
      <c r="G87" s="6"/>
      <c r="H87" s="3">
        <f t="shared" si="6"/>
      </c>
      <c r="I87" s="4">
        <v>28.3</v>
      </c>
      <c r="J87" s="4">
        <f t="shared" si="9"/>
      </c>
      <c r="K87" s="4">
        <f t="shared" si="3"/>
      </c>
      <c r="L87" s="4">
        <f>(TablaMarimba6[[#This Row],[Saldo inicial(vales)]]-TablaMarimba6[[#This Row],[Importe]])</f>
      </c>
      <c r="M87" s="4">
        <f t="shared" si="8"/>
      </c>
      <c r="N87" s="4"/>
    </row>
    <row r="88" spans="1:14">
      <c r="A88" s="2"/>
      <c r="E88">
        <f>VLOOKUP(TablaMarimba6[[#This Row],[Equipo]],Catalogos!$V$4:$W$55,2,FALSE)</f>
      </c>
      <c r="F88" s="3"/>
      <c r="G88" s="6"/>
      <c r="H88" s="3">
        <f t="shared" si="6"/>
      </c>
      <c r="I88" s="4">
        <v>28.3</v>
      </c>
      <c r="J88" s="4">
        <f t="shared" si="9"/>
      </c>
      <c r="K88" s="4">
        <f t="shared" ref="K88:K151" si="10">L87+M87-N87</f>
      </c>
      <c r="L88" s="4">
        <f>(TablaMarimba6[[#This Row],[Saldo inicial(vales)]]-TablaMarimba6[[#This Row],[Importe]])</f>
      </c>
      <c r="M88" s="4">
        <f t="shared" si="8"/>
      </c>
      <c r="N88" s="4"/>
    </row>
    <row r="89" spans="1:14">
      <c r="A89" s="2"/>
      <c r="E89">
        <f>VLOOKUP(TablaMarimba6[[#This Row],[Equipo]],Catalogos!$V$4:$W$55,2,FALSE)</f>
      </c>
      <c r="F89" s="3"/>
      <c r="G89" s="6"/>
      <c r="H89" s="3">
        <f t="shared" si="6"/>
      </c>
      <c r="I89" s="4">
        <v>28.3</v>
      </c>
      <c r="J89" s="4">
        <f t="shared" si="9"/>
      </c>
      <c r="K89" s="4">
        <f t="shared" si="10"/>
      </c>
      <c r="L89" s="4">
        <f>(TablaMarimba6[[#This Row],[Saldo inicial(vales)]]-TablaMarimba6[[#This Row],[Importe]])</f>
      </c>
      <c r="M89" s="4">
        <f t="shared" si="8"/>
      </c>
      <c r="N89" s="4"/>
    </row>
    <row r="90" spans="1:14">
      <c r="A90" s="2"/>
      <c r="E90">
        <f>VLOOKUP(TablaMarimba6[[#This Row],[Equipo]],Catalogos!$V$4:$W$55,2,FALSE)</f>
      </c>
      <c r="F90" s="3"/>
      <c r="G90" s="6"/>
      <c r="H90" s="3">
        <f t="shared" si="6"/>
      </c>
      <c r="I90" s="4">
        <v>28.3</v>
      </c>
      <c r="J90" s="4">
        <f t="shared" si="9"/>
      </c>
      <c r="K90" s="4">
        <f t="shared" si="10"/>
      </c>
      <c r="L90" s="4">
        <f>(TablaMarimba6[[#This Row],[Saldo inicial(vales)]]-TablaMarimba6[[#This Row],[Importe]])</f>
      </c>
      <c r="M90" s="4">
        <f t="shared" si="8"/>
      </c>
      <c r="N90" s="4"/>
    </row>
    <row r="91" spans="1:14">
      <c r="A91" s="2"/>
      <c r="E91">
        <f>VLOOKUP(TablaMarimba6[[#This Row],[Equipo]],Catalogos!$V$4:$W$55,2,FALSE)</f>
      </c>
      <c r="F91" s="3"/>
      <c r="G91" s="6"/>
      <c r="H91" s="3">
        <f t="shared" si="6"/>
      </c>
      <c r="I91" s="4">
        <v>28.3</v>
      </c>
      <c r="J91" s="4">
        <f t="shared" si="9"/>
      </c>
      <c r="K91" s="4">
        <f t="shared" si="10"/>
      </c>
      <c r="L91" s="4">
        <f>(TablaMarimba6[[#This Row],[Saldo inicial(vales)]]-TablaMarimba6[[#This Row],[Importe]])</f>
      </c>
      <c r="M91" s="4">
        <f t="shared" si="8"/>
      </c>
      <c r="N91" s="4"/>
    </row>
    <row r="92" spans="1:14">
      <c r="A92" s="2"/>
      <c r="E92">
        <f>VLOOKUP(TablaMarimba6[[#This Row],[Equipo]],Catalogos!$V$4:$W$55,2,FALSE)</f>
      </c>
      <c r="F92" s="3"/>
      <c r="G92" s="6"/>
      <c r="H92" s="3">
        <f t="shared" si="6"/>
      </c>
      <c r="I92" s="4">
        <v>28.3</v>
      </c>
      <c r="J92" s="4">
        <f t="shared" si="9"/>
      </c>
      <c r="K92" s="4">
        <f t="shared" si="10"/>
      </c>
      <c r="L92" s="4">
        <f>(TablaMarimba6[[#This Row],[Saldo inicial(vales)]]-TablaMarimba6[[#This Row],[Importe]])</f>
      </c>
      <c r="M92" s="4">
        <f t="shared" si="8"/>
      </c>
      <c r="N92" s="4"/>
    </row>
    <row r="93" spans="1:14">
      <c r="A93" s="2"/>
      <c r="E93">
        <f>VLOOKUP(TablaMarimba6[[#This Row],[Equipo]],Catalogos!$V$4:$W$55,2,FALSE)</f>
      </c>
      <c r="F93" s="3"/>
      <c r="G93" s="6"/>
      <c r="H93" s="3">
        <f t="shared" si="6"/>
      </c>
      <c r="I93" s="4">
        <v>28.3</v>
      </c>
      <c r="J93" s="4">
        <f t="shared" si="9"/>
      </c>
      <c r="K93" s="4">
        <f t="shared" si="10"/>
      </c>
      <c r="L93" s="4">
        <f>(TablaMarimba6[[#This Row],[Saldo inicial(vales)]]-TablaMarimba6[[#This Row],[Importe]])</f>
      </c>
      <c r="M93" s="4">
        <f t="shared" si="8"/>
      </c>
      <c r="N93" s="4"/>
    </row>
    <row r="94" spans="1:14">
      <c r="A94" s="2"/>
      <c r="E94">
        <f>VLOOKUP(TablaMarimba6[[#This Row],[Equipo]],Catalogos!$V$4:$W$55,2,FALSE)</f>
      </c>
      <c r="F94" s="3"/>
      <c r="G94" s="6"/>
      <c r="H94" s="3">
        <f t="shared" si="6"/>
      </c>
      <c r="I94" s="4">
        <v>28.3</v>
      </c>
      <c r="J94" s="4">
        <f t="shared" si="9"/>
      </c>
      <c r="K94" s="4">
        <f t="shared" si="10"/>
      </c>
      <c r="L94" s="4">
        <f>(TablaMarimba6[[#This Row],[Saldo inicial(vales)]]-TablaMarimba6[[#This Row],[Importe]])</f>
      </c>
      <c r="M94" s="4">
        <f t="shared" si="8"/>
      </c>
      <c r="N94" s="4"/>
    </row>
    <row r="95" spans="1:14">
      <c r="A95" s="2"/>
      <c r="E95">
        <f>VLOOKUP(TablaMarimba6[[#This Row],[Equipo]],Catalogos!$V$4:$W$55,2,FALSE)</f>
      </c>
      <c r="F95" s="3"/>
      <c r="G95" s="6"/>
      <c r="H95" s="3">
        <f t="shared" si="6"/>
      </c>
      <c r="I95" s="4">
        <v>28.3</v>
      </c>
      <c r="J95" s="4">
        <f t="shared" si="9"/>
      </c>
      <c r="K95" s="4">
        <f t="shared" si="10"/>
      </c>
      <c r="L95" s="4">
        <f>(TablaMarimba6[[#This Row],[Saldo inicial(vales)]]-TablaMarimba6[[#This Row],[Importe]])</f>
      </c>
      <c r="M95" s="4">
        <f t="shared" si="8"/>
      </c>
      <c r="N95" s="4"/>
    </row>
    <row r="96" spans="1:14">
      <c r="A96" s="2"/>
      <c r="E96">
        <f>VLOOKUP(TablaMarimba6[[#This Row],[Equipo]],Catalogos!$V$4:$W$55,2,FALSE)</f>
      </c>
      <c r="F96" s="3"/>
      <c r="G96" s="6"/>
      <c r="H96" s="3">
        <f t="shared" si="6"/>
      </c>
      <c r="I96" s="4">
        <v>28.3</v>
      </c>
      <c r="J96" s="4">
        <f t="shared" si="9"/>
      </c>
      <c r="K96" s="4">
        <f t="shared" si="10"/>
      </c>
      <c r="L96" s="4">
        <f>(TablaMarimba6[[#This Row],[Saldo inicial(vales)]]-TablaMarimba6[[#This Row],[Importe]])</f>
      </c>
      <c r="M96" s="4">
        <f t="shared" si="8"/>
      </c>
      <c r="N96" s="4"/>
    </row>
    <row r="97" spans="1:14">
      <c r="A97" s="2"/>
      <c r="E97">
        <f>VLOOKUP(TablaMarimba6[[#This Row],[Equipo]],Catalogos!$V$4:$W$55,2,FALSE)</f>
      </c>
      <c r="F97" s="3"/>
      <c r="G97" s="6"/>
      <c r="H97" s="3">
        <f t="shared" si="6"/>
      </c>
      <c r="I97" s="4">
        <v>28.3</v>
      </c>
      <c r="J97" s="4">
        <f t="shared" si="9"/>
      </c>
      <c r="K97" s="4">
        <f t="shared" si="10"/>
      </c>
      <c r="L97" s="4">
        <f>(TablaMarimba6[[#This Row],[Saldo inicial(vales)]]-TablaMarimba6[[#This Row],[Importe]])</f>
      </c>
      <c r="M97" s="4">
        <f t="shared" si="8"/>
      </c>
      <c r="N97" s="4"/>
    </row>
    <row r="98" spans="1:14">
      <c r="A98" s="2"/>
      <c r="E98">
        <f>VLOOKUP(TablaMarimba6[[#This Row],[Equipo]],Catalogos!$V$4:$W$55,2,FALSE)</f>
      </c>
      <c r="F98" s="3"/>
      <c r="G98" s="6"/>
      <c r="H98" s="3">
        <f t="shared" si="6"/>
      </c>
      <c r="I98" s="4">
        <v>28.3</v>
      </c>
      <c r="J98" s="4">
        <f t="shared" si="9"/>
      </c>
      <c r="K98" s="4">
        <f t="shared" si="10"/>
      </c>
      <c r="L98" s="4">
        <f>(TablaMarimba6[[#This Row],[Saldo inicial(vales)]]-TablaMarimba6[[#This Row],[Importe]])</f>
      </c>
      <c r="M98" s="4">
        <f t="shared" si="8"/>
      </c>
      <c r="N98" s="4"/>
    </row>
    <row r="99" spans="1:14">
      <c r="A99" s="2"/>
      <c r="E99">
        <f>VLOOKUP(TablaMarimba6[[#This Row],[Equipo]],Catalogos!$V$4:$W$55,2,FALSE)</f>
      </c>
      <c r="F99" s="3"/>
      <c r="G99" s="6"/>
      <c r="H99" s="3">
        <f t="shared" si="6"/>
      </c>
      <c r="I99" s="4">
        <v>28.3</v>
      </c>
      <c r="J99" s="4">
        <f t="shared" si="9"/>
      </c>
      <c r="K99" s="4">
        <f t="shared" si="10"/>
      </c>
      <c r="L99" s="4">
        <f>(TablaMarimba6[[#This Row],[Saldo inicial(vales)]]-TablaMarimba6[[#This Row],[Importe]])</f>
      </c>
      <c r="M99" s="4">
        <f t="shared" si="8"/>
      </c>
      <c r="N99" s="4"/>
    </row>
    <row r="100" spans="1:14">
      <c r="A100" s="2"/>
      <c r="E100">
        <f>VLOOKUP(TablaMarimba6[[#This Row],[Equipo]],Catalogos!$V$4:$W$55,2,FALSE)</f>
      </c>
      <c r="F100" s="3"/>
      <c r="G100" s="6"/>
      <c r="H100" s="3">
        <f t="shared" si="6"/>
      </c>
      <c r="I100" s="4">
        <v>28.3</v>
      </c>
      <c r="J100" s="4">
        <f t="shared" si="9"/>
      </c>
      <c r="K100" s="4">
        <f t="shared" si="10"/>
      </c>
      <c r="L100" s="4">
        <f>(TablaMarimba6[[#This Row],[Saldo inicial(vales)]]-TablaMarimba6[[#This Row],[Importe]])</f>
      </c>
      <c r="M100" s="4">
        <f t="shared" si="8"/>
      </c>
      <c r="N100" s="4"/>
    </row>
    <row r="101" spans="1:14">
      <c r="A101" s="2"/>
      <c r="E101">
        <f>VLOOKUP(TablaMarimba6[[#This Row],[Equipo]],Catalogos!$V$4:$W$55,2,FALSE)</f>
      </c>
      <c r="F101" s="3"/>
      <c r="G101" s="6"/>
      <c r="H101" s="3">
        <f t="shared" si="6"/>
      </c>
      <c r="I101" s="4">
        <v>28.3</v>
      </c>
      <c r="J101" s="4">
        <f t="shared" si="9"/>
      </c>
      <c r="K101" s="4">
        <f t="shared" si="10"/>
      </c>
      <c r="L101" s="4">
        <f>(TablaMarimba6[[#This Row],[Saldo inicial(vales)]]-TablaMarimba6[[#This Row],[Importe]])</f>
      </c>
      <c r="M101" s="4">
        <f t="shared" si="8"/>
      </c>
      <c r="N101" s="4"/>
    </row>
    <row r="102" spans="1:14">
      <c r="A102" s="2"/>
      <c r="E102">
        <f>VLOOKUP(TablaMarimba6[[#This Row],[Equipo]],Catalogos!$V$4:$W$55,2,FALSE)</f>
      </c>
      <c r="F102" s="3"/>
      <c r="G102" s="6"/>
      <c r="H102" s="3">
        <f t="shared" si="6"/>
      </c>
      <c r="I102" s="4">
        <v>28.3</v>
      </c>
      <c r="J102" s="4">
        <f t="shared" si="9"/>
      </c>
      <c r="K102" s="4">
        <f t="shared" si="10"/>
      </c>
      <c r="L102" s="4">
        <f>(TablaMarimba6[[#This Row],[Saldo inicial(vales)]]-TablaMarimba6[[#This Row],[Importe]])</f>
      </c>
      <c r="M102" s="4">
        <f t="shared" si="8"/>
      </c>
      <c r="N102" s="4"/>
    </row>
    <row r="103" spans="1:14">
      <c r="A103" s="2"/>
      <c r="E103">
        <f>VLOOKUP(TablaMarimba6[[#This Row],[Equipo]],Catalogos!$V$4:$W$55,2,FALSE)</f>
      </c>
      <c r="F103" s="3"/>
      <c r="G103" s="6"/>
      <c r="H103" s="3">
        <f t="shared" si="6"/>
      </c>
      <c r="I103" s="4">
        <v>28.3</v>
      </c>
      <c r="J103" s="4">
        <f t="shared" si="9"/>
      </c>
      <c r="K103" s="4">
        <f t="shared" si="10"/>
      </c>
      <c r="L103" s="4">
        <f>(TablaMarimba6[[#This Row],[Saldo inicial(vales)]]-TablaMarimba6[[#This Row],[Importe]])</f>
      </c>
      <c r="M103" s="4">
        <f t="shared" si="8"/>
      </c>
      <c r="N103" s="4"/>
    </row>
    <row r="104" spans="1:14">
      <c r="A104" s="2"/>
      <c r="E104">
        <f>VLOOKUP(TablaMarimba6[[#This Row],[Equipo]],Catalogos!$V$4:$W$55,2,FALSE)</f>
      </c>
      <c r="F104" s="3"/>
      <c r="G104" s="6"/>
      <c r="H104" s="3">
        <f t="shared" si="6"/>
      </c>
      <c r="I104" s="4">
        <v>28.3</v>
      </c>
      <c r="J104" s="4">
        <f t="shared" si="9"/>
      </c>
      <c r="K104" s="4">
        <f t="shared" si="10"/>
      </c>
      <c r="L104" s="4">
        <f>(TablaMarimba6[[#This Row],[Saldo inicial(vales)]]-TablaMarimba6[[#This Row],[Importe]])</f>
      </c>
      <c r="M104" s="4">
        <f t="shared" si="8"/>
      </c>
      <c r="N104" s="4"/>
    </row>
    <row r="105" spans="1:14">
      <c r="A105" s="2"/>
      <c r="E105">
        <f>VLOOKUP(TablaMarimba6[[#This Row],[Equipo]],Catalogos!$V$4:$W$55,2,FALSE)</f>
      </c>
      <c r="F105" s="3"/>
      <c r="G105" s="6"/>
      <c r="H105" s="3">
        <f t="shared" si="6"/>
      </c>
      <c r="I105" s="4">
        <v>28.3</v>
      </c>
      <c r="J105" s="4">
        <f t="shared" si="9"/>
      </c>
      <c r="K105" s="4">
        <f t="shared" si="10"/>
      </c>
      <c r="L105" s="4">
        <f>(TablaMarimba6[[#This Row],[Saldo inicial(vales)]]-TablaMarimba6[[#This Row],[Importe]])</f>
      </c>
      <c r="M105" s="4">
        <f t="shared" si="8"/>
      </c>
      <c r="N105" s="4"/>
    </row>
    <row r="106" spans="1:14">
      <c r="A106" s="2"/>
      <c r="E106">
        <f>VLOOKUP(TablaMarimba6[[#This Row],[Equipo]],Catalogos!$V$4:$W$55,2,FALSE)</f>
      </c>
      <c r="F106" s="3"/>
      <c r="G106" s="6"/>
      <c r="H106" s="3">
        <f t="shared" si="6"/>
      </c>
      <c r="I106" s="4">
        <v>28.3</v>
      </c>
      <c r="J106" s="4">
        <f t="shared" si="9"/>
      </c>
      <c r="K106" s="4">
        <f t="shared" si="10"/>
      </c>
      <c r="L106" s="4">
        <f>(TablaMarimba6[[#This Row],[Saldo inicial(vales)]]-TablaMarimba6[[#This Row],[Importe]])</f>
      </c>
      <c r="M106" s="4">
        <f t="shared" si="8"/>
      </c>
      <c r="N106" s="4"/>
    </row>
    <row r="107" spans="1:14">
      <c r="A107" s="2"/>
      <c r="E107">
        <f>VLOOKUP(TablaMarimba6[[#This Row],[Equipo]],Catalogos!$V$4:$W$55,2,FALSE)</f>
      </c>
      <c r="F107" s="3"/>
      <c r="G107" s="6"/>
      <c r="H107" s="3">
        <f t="shared" si="6"/>
      </c>
      <c r="I107" s="4">
        <v>28.3</v>
      </c>
      <c r="J107" s="4">
        <f t="shared" si="9"/>
      </c>
      <c r="K107" s="4">
        <f t="shared" si="10"/>
      </c>
      <c r="L107" s="4">
        <f>(TablaMarimba6[[#This Row],[Saldo inicial(vales)]]-TablaMarimba6[[#This Row],[Importe]])</f>
      </c>
      <c r="M107" s="4">
        <f t="shared" si="8"/>
      </c>
      <c r="N107" s="4"/>
    </row>
    <row r="108" spans="1:14">
      <c r="A108" s="2"/>
      <c r="E108">
        <f>VLOOKUP(TablaMarimba6[[#This Row],[Equipo]],Catalogos!$V$4:$W$55,2,FALSE)</f>
      </c>
      <c r="F108" s="3"/>
      <c r="G108" s="6"/>
      <c r="H108" s="3">
        <f t="shared" si="6"/>
      </c>
      <c r="I108" s="4">
        <v>28.3</v>
      </c>
      <c r="J108" s="4">
        <f t="shared" si="9"/>
      </c>
      <c r="K108" s="4">
        <f t="shared" si="10"/>
      </c>
      <c r="L108" s="4">
        <f>(TablaMarimba6[[#This Row],[Saldo inicial(vales)]]-TablaMarimba6[[#This Row],[Importe]])</f>
      </c>
      <c r="M108" s="4">
        <f t="shared" si="8"/>
      </c>
      <c r="N108" s="4"/>
    </row>
    <row r="109" spans="1:14">
      <c r="A109" s="2"/>
      <c r="E109">
        <f>VLOOKUP(TablaMarimba6[[#This Row],[Equipo]],Catalogos!$V$4:$W$55,2,FALSE)</f>
      </c>
      <c r="F109" s="3"/>
      <c r="G109" s="6"/>
      <c r="H109" s="3">
        <f t="shared" si="6"/>
      </c>
      <c r="I109" s="4">
        <v>28.3</v>
      </c>
      <c r="J109" s="4">
        <f t="shared" si="9"/>
      </c>
      <c r="K109" s="4">
        <f t="shared" si="10"/>
      </c>
      <c r="L109" s="4">
        <f>(TablaMarimba6[[#This Row],[Saldo inicial(vales)]]-TablaMarimba6[[#This Row],[Importe]])</f>
      </c>
      <c r="M109" s="4">
        <f t="shared" si="8"/>
      </c>
      <c r="N109" s="4"/>
    </row>
    <row r="110" spans="1:14">
      <c r="A110" s="2"/>
      <c r="E110">
        <f>VLOOKUP(TablaMarimba6[[#This Row],[Equipo]],Catalogos!$V$4:$W$55,2,FALSE)</f>
      </c>
      <c r="F110" s="3"/>
      <c r="G110" s="6"/>
      <c r="H110" s="3">
        <f t="shared" si="6"/>
      </c>
      <c r="I110" s="4">
        <v>28.3</v>
      </c>
      <c r="J110" s="4">
        <f t="shared" si="9"/>
      </c>
      <c r="K110" s="4">
        <f t="shared" si="10"/>
      </c>
      <c r="L110" s="4">
        <f>(TablaMarimba6[[#This Row],[Saldo inicial(vales)]]-TablaMarimba6[[#This Row],[Importe]])</f>
      </c>
      <c r="M110" s="4">
        <f t="shared" si="8"/>
      </c>
      <c r="N110" s="4"/>
    </row>
    <row r="111" spans="1:14">
      <c r="A111" s="2"/>
      <c r="E111">
        <f>VLOOKUP(TablaMarimba6[[#This Row],[Equipo]],Catalogos!$V$4:$W$55,2,FALSE)</f>
      </c>
      <c r="F111" s="3"/>
      <c r="G111" s="6"/>
      <c r="H111" s="3">
        <f t="shared" si="6"/>
      </c>
      <c r="I111" s="4">
        <v>28.3</v>
      </c>
      <c r="J111" s="4">
        <f t="shared" si="9"/>
      </c>
      <c r="K111" s="4">
        <f t="shared" si="10"/>
      </c>
      <c r="L111" s="4">
        <f>(TablaMarimba6[[#This Row],[Saldo inicial(vales)]]-TablaMarimba6[[#This Row],[Importe]])</f>
      </c>
      <c r="M111" s="4">
        <f t="shared" si="8"/>
      </c>
      <c r="N111" s="4"/>
    </row>
    <row r="112" spans="1:14">
      <c r="A112" s="2"/>
      <c r="E112">
        <f>VLOOKUP(TablaMarimba6[[#This Row],[Equipo]],Catalogos!$V$4:$W$55,2,FALSE)</f>
      </c>
      <c r="F112" s="3"/>
      <c r="G112" s="6"/>
      <c r="H112" s="3">
        <f t="shared" si="6"/>
      </c>
      <c r="I112" s="4">
        <v>28.3</v>
      </c>
      <c r="J112" s="4">
        <f t="shared" si="9"/>
      </c>
      <c r="K112" s="4">
        <f t="shared" si="10"/>
      </c>
      <c r="L112" s="4">
        <f>(TablaMarimba6[[#This Row],[Saldo inicial(vales)]]-TablaMarimba6[[#This Row],[Importe]])</f>
      </c>
      <c r="M112" s="4">
        <f t="shared" si="8"/>
      </c>
      <c r="N112" s="4"/>
    </row>
    <row r="113" spans="1:14">
      <c r="A113" s="2"/>
      <c r="E113">
        <f>VLOOKUP(TablaMarimba6[[#This Row],[Equipo]],Catalogos!$V$4:$W$55,2,FALSE)</f>
      </c>
      <c r="F113" s="3"/>
      <c r="G113" s="6"/>
      <c r="H113" s="3">
        <f t="shared" si="6"/>
      </c>
      <c r="I113" s="4">
        <v>28.3</v>
      </c>
      <c r="J113" s="4">
        <f t="shared" si="9"/>
      </c>
      <c r="K113" s="4">
        <f t="shared" si="10"/>
      </c>
      <c r="L113" s="4">
        <f>(TablaMarimba6[[#This Row],[Saldo inicial(vales)]]-TablaMarimba6[[#This Row],[Importe]])</f>
      </c>
      <c r="M113" s="4">
        <f t="shared" si="8"/>
      </c>
      <c r="N113" s="4"/>
    </row>
    <row r="114" spans="1:14">
      <c r="A114" s="2"/>
      <c r="E114">
        <f>VLOOKUP(TablaMarimba6[[#This Row],[Equipo]],Catalogos!$V$4:$W$55,2,FALSE)</f>
      </c>
      <c r="F114" s="3"/>
      <c r="G114" s="6"/>
      <c r="H114" s="3">
        <f t="shared" si="6"/>
      </c>
      <c r="I114" s="4">
        <v>28.3</v>
      </c>
      <c r="J114" s="4">
        <f t="shared" si="9"/>
      </c>
      <c r="K114" s="4">
        <f t="shared" si="10"/>
      </c>
      <c r="L114" s="4">
        <f>(TablaMarimba6[[#This Row],[Saldo inicial(vales)]]-TablaMarimba6[[#This Row],[Importe]])</f>
      </c>
      <c r="M114" s="4">
        <f t="shared" si="8"/>
      </c>
      <c r="N114" s="4"/>
    </row>
    <row r="115" spans="1:14">
      <c r="A115" s="2"/>
      <c r="E115">
        <f>VLOOKUP(TablaMarimba6[[#This Row],[Equipo]],Catalogos!$V$4:$W$55,2,FALSE)</f>
      </c>
      <c r="F115" s="3"/>
      <c r="G115" s="6"/>
      <c r="H115" s="3">
        <f t="shared" si="6"/>
      </c>
      <c r="I115" s="4">
        <v>28.3</v>
      </c>
      <c r="J115" s="4">
        <f t="shared" si="9"/>
      </c>
      <c r="K115" s="4">
        <f t="shared" si="10"/>
      </c>
      <c r="L115" s="4">
        <f>(TablaMarimba6[[#This Row],[Saldo inicial(vales)]]-TablaMarimba6[[#This Row],[Importe]])</f>
      </c>
      <c r="M115" s="4">
        <f t="shared" si="8"/>
      </c>
      <c r="N115" s="4"/>
    </row>
    <row r="116" spans="1:14">
      <c r="A116" s="2"/>
      <c r="E116">
        <f>VLOOKUP(TablaMarimba6[[#This Row],[Equipo]],Catalogos!$V$4:$W$55,2,FALSE)</f>
      </c>
      <c r="F116" s="3"/>
      <c r="G116" s="6"/>
      <c r="H116" s="3">
        <f t="shared" si="6"/>
      </c>
      <c r="I116" s="4">
        <v>28.3</v>
      </c>
      <c r="J116" s="4">
        <f t="shared" si="9"/>
      </c>
      <c r="K116" s="4">
        <f t="shared" si="10"/>
      </c>
      <c r="L116" s="4">
        <f>(TablaMarimba6[[#This Row],[Saldo inicial(vales)]]-TablaMarimba6[[#This Row],[Importe]])</f>
      </c>
      <c r="M116" s="4">
        <f t="shared" si="8"/>
      </c>
      <c r="N116" s="4"/>
    </row>
    <row r="117" spans="1:14">
      <c r="A117" s="2"/>
      <c r="E117">
        <f>VLOOKUP(TablaMarimba6[[#This Row],[Equipo]],Catalogos!$V$4:$W$55,2,FALSE)</f>
      </c>
      <c r="F117" s="3"/>
      <c r="G117" s="6"/>
      <c r="H117" s="3">
        <f t="shared" si="6"/>
      </c>
      <c r="I117" s="4">
        <v>28.3</v>
      </c>
      <c r="J117" s="4">
        <f t="shared" si="9"/>
      </c>
      <c r="K117" s="4">
        <f t="shared" si="10"/>
      </c>
      <c r="L117" s="4">
        <f>(TablaMarimba6[[#This Row],[Saldo inicial(vales)]]-TablaMarimba6[[#This Row],[Importe]])</f>
      </c>
      <c r="M117" s="4">
        <f t="shared" si="8"/>
      </c>
      <c r="N117" s="4"/>
    </row>
    <row r="118" spans="1:14">
      <c r="A118" s="2"/>
      <c r="E118">
        <f>VLOOKUP(TablaMarimba6[[#This Row],[Equipo]],Catalogos!$V$4:$W$55,2,FALSE)</f>
      </c>
      <c r="F118" s="3"/>
      <c r="G118" s="6"/>
      <c r="H118" s="3">
        <f t="shared" si="6"/>
      </c>
      <c r="I118" s="4">
        <v>28.3</v>
      </c>
      <c r="J118" s="4">
        <f t="shared" si="9"/>
      </c>
      <c r="K118" s="4">
        <f t="shared" si="10"/>
      </c>
      <c r="L118" s="4">
        <f>(TablaMarimba6[[#This Row],[Saldo inicial(vales)]]-TablaMarimba6[[#This Row],[Importe]])</f>
      </c>
      <c r="M118" s="4">
        <f t="shared" si="8"/>
      </c>
      <c r="N118" s="4"/>
    </row>
    <row r="119" spans="1:14">
      <c r="A119" s="2"/>
      <c r="E119">
        <f>VLOOKUP(TablaMarimba6[[#This Row],[Equipo]],Catalogos!$V$4:$W$55,2,FALSE)</f>
      </c>
      <c r="F119" s="3"/>
      <c r="G119" s="6"/>
      <c r="H119" s="3">
        <f t="shared" si="6"/>
      </c>
      <c r="I119" s="4">
        <v>28.3</v>
      </c>
      <c r="J119" s="4">
        <f t="shared" si="9"/>
      </c>
      <c r="K119" s="4">
        <f t="shared" si="10"/>
      </c>
      <c r="L119" s="4">
        <f>(TablaMarimba6[[#This Row],[Saldo inicial(vales)]]-TablaMarimba6[[#This Row],[Importe]])</f>
      </c>
      <c r="M119" s="4">
        <f t="shared" si="8"/>
      </c>
      <c r="N119" s="4"/>
    </row>
    <row r="120" spans="1:14">
      <c r="A120" s="2"/>
      <c r="E120">
        <f>VLOOKUP(TablaMarimba6[[#This Row],[Equipo]],Catalogos!$V$4:$W$55,2,FALSE)</f>
      </c>
      <c r="F120" s="3"/>
      <c r="G120" s="6"/>
      <c r="H120" s="3">
        <f t="shared" si="6"/>
      </c>
      <c r="I120" s="4">
        <v>28.3</v>
      </c>
      <c r="J120" s="4">
        <f t="shared" si="9"/>
      </c>
      <c r="K120" s="4">
        <f t="shared" si="10"/>
      </c>
      <c r="L120" s="4">
        <f>(TablaMarimba6[[#This Row],[Saldo inicial(vales)]]-TablaMarimba6[[#This Row],[Importe]])</f>
      </c>
      <c r="M120" s="4">
        <f t="shared" si="8"/>
      </c>
      <c r="N120" s="4"/>
    </row>
    <row r="121" spans="1:14">
      <c r="A121" s="2"/>
      <c r="E121">
        <f>VLOOKUP(TablaMarimba6[[#This Row],[Equipo]],Catalogos!$V$4:$W$55,2,FALSE)</f>
      </c>
      <c r="F121" s="3"/>
      <c r="G121" s="6"/>
      <c r="H121" s="3">
        <f t="shared" si="6"/>
      </c>
      <c r="I121" s="4">
        <v>28.3</v>
      </c>
      <c r="J121" s="4">
        <f t="shared" si="9"/>
      </c>
      <c r="K121" s="4">
        <f t="shared" si="10"/>
      </c>
      <c r="L121" s="4">
        <f>(TablaMarimba6[[#This Row],[Saldo inicial(vales)]]-TablaMarimba6[[#This Row],[Importe]])</f>
      </c>
      <c r="M121" s="4">
        <f t="shared" si="8"/>
      </c>
      <c r="N121" s="4"/>
    </row>
    <row r="122" spans="1:14">
      <c r="A122" s="2"/>
      <c r="E122">
        <f>VLOOKUP(TablaMarimba6[[#This Row],[Equipo]],Catalogos!$V$4:$W$55,2,FALSE)</f>
      </c>
      <c r="F122" s="3"/>
      <c r="G122" s="6"/>
      <c r="H122" s="3">
        <f t="shared" si="6"/>
      </c>
      <c r="I122" s="4">
        <v>28.3</v>
      </c>
      <c r="J122" s="4">
        <f t="shared" si="9"/>
      </c>
      <c r="K122" s="4">
        <f t="shared" si="10"/>
      </c>
      <c r="L122" s="4">
        <f>(TablaMarimba6[[#This Row],[Saldo inicial(vales)]]-TablaMarimba6[[#This Row],[Importe]])</f>
      </c>
      <c r="M122" s="4">
        <f t="shared" si="8"/>
      </c>
      <c r="N122" s="4"/>
    </row>
    <row r="123" spans="1:14">
      <c r="A123" s="2"/>
      <c r="E123">
        <f>VLOOKUP(TablaMarimba6[[#This Row],[Equipo]],Catalogos!$V$4:$W$55,2,FALSE)</f>
      </c>
      <c r="F123" s="3"/>
      <c r="G123" s="6"/>
      <c r="H123" s="3">
        <f t="shared" si="6"/>
      </c>
      <c r="I123" s="4">
        <v>28.3</v>
      </c>
      <c r="J123" s="4">
        <f t="shared" si="9"/>
      </c>
      <c r="K123" s="4">
        <f t="shared" si="10"/>
      </c>
      <c r="L123" s="4">
        <f>(TablaMarimba6[[#This Row],[Saldo inicial(vales)]]-TablaMarimba6[[#This Row],[Importe]])</f>
      </c>
      <c r="M123" s="4">
        <f t="shared" si="8"/>
      </c>
      <c r="N123" s="4"/>
    </row>
    <row r="124" spans="1:14">
      <c r="A124" s="2"/>
      <c r="E124">
        <f>VLOOKUP(TablaMarimba6[[#This Row],[Equipo]],Catalogos!$V$4:$W$55,2,FALSE)</f>
      </c>
      <c r="F124" s="3"/>
      <c r="G124" s="6"/>
      <c r="H124" s="3">
        <f t="shared" si="6"/>
      </c>
      <c r="I124" s="4">
        <v>28.3</v>
      </c>
      <c r="J124" s="4">
        <f t="shared" si="9"/>
      </c>
      <c r="K124" s="4">
        <f t="shared" si="10"/>
      </c>
      <c r="L124" s="4">
        <f>(TablaMarimba6[[#This Row],[Saldo inicial(vales)]]-TablaMarimba6[[#This Row],[Importe]])</f>
      </c>
      <c r="M124" s="4">
        <f t="shared" si="8"/>
      </c>
      <c r="N124" s="4"/>
    </row>
    <row r="125" spans="1:14">
      <c r="A125" s="2"/>
      <c r="E125">
        <f>VLOOKUP(TablaMarimba6[[#This Row],[Equipo]],Catalogos!$V$4:$W$55,2,FALSE)</f>
      </c>
      <c r="F125" s="3"/>
      <c r="G125" s="6"/>
      <c r="H125" s="3">
        <f t="shared" si="6"/>
      </c>
      <c r="I125" s="4">
        <v>28.3</v>
      </c>
      <c r="J125" s="4">
        <f t="shared" si="9"/>
      </c>
      <c r="K125" s="4">
        <f t="shared" si="10"/>
      </c>
      <c r="L125" s="4">
        <f>(TablaMarimba6[[#This Row],[Saldo inicial(vales)]]-TablaMarimba6[[#This Row],[Importe]])</f>
      </c>
      <c r="M125" s="4">
        <f t="shared" si="8"/>
      </c>
      <c r="N125" s="4"/>
    </row>
    <row r="126" spans="1:14">
      <c r="A126" s="2"/>
      <c r="E126">
        <f>VLOOKUP(TablaMarimba6[[#This Row],[Equipo]],Catalogos!$V$4:$W$55,2,FALSE)</f>
      </c>
      <c r="F126" s="3"/>
      <c r="G126" s="6"/>
      <c r="H126" s="3">
        <f t="shared" si="6"/>
      </c>
      <c r="I126" s="4">
        <v>28.3</v>
      </c>
      <c r="J126" s="4">
        <f t="shared" si="9"/>
      </c>
      <c r="K126" s="4">
        <f t="shared" si="10"/>
      </c>
      <c r="L126" s="4">
        <f>(TablaMarimba6[[#This Row],[Saldo inicial(vales)]]-TablaMarimba6[[#This Row],[Importe]])</f>
      </c>
      <c r="M126" s="4">
        <f t="shared" si="8"/>
      </c>
      <c r="N126" s="4"/>
    </row>
    <row r="127" spans="1:14">
      <c r="A127" s="2"/>
      <c r="E127">
        <f>VLOOKUP(TablaMarimba6[[#This Row],[Equipo]],Catalogos!$V$4:$W$55,2,FALSE)</f>
      </c>
      <c r="F127" s="3"/>
      <c r="G127" s="6"/>
      <c r="H127" s="3">
        <f t="shared" si="6"/>
      </c>
      <c r="I127" s="4">
        <v>28.3</v>
      </c>
      <c r="J127" s="4">
        <f t="shared" si="9"/>
      </c>
      <c r="K127" s="4">
        <f t="shared" si="10"/>
      </c>
      <c r="L127" s="4">
        <f>(TablaMarimba6[[#This Row],[Saldo inicial(vales)]]-TablaMarimba6[[#This Row],[Importe]])</f>
      </c>
      <c r="M127" s="4">
        <f t="shared" si="8"/>
      </c>
      <c r="N127" s="4"/>
    </row>
    <row r="128" spans="1:14">
      <c r="A128" s="2"/>
      <c r="E128">
        <f>VLOOKUP(TablaMarimba6[[#This Row],[Equipo]],Catalogos!$V$4:$W$55,2,FALSE)</f>
      </c>
      <c r="F128" s="3"/>
      <c r="G128" s="6"/>
      <c r="H128" s="3">
        <f t="shared" si="6"/>
      </c>
      <c r="I128" s="4">
        <v>28.3</v>
      </c>
      <c r="J128" s="4">
        <f t="shared" si="9"/>
      </c>
      <c r="K128" s="4">
        <f t="shared" si="10"/>
      </c>
      <c r="L128" s="4">
        <f>(TablaMarimba6[[#This Row],[Saldo inicial(vales)]]-TablaMarimba6[[#This Row],[Importe]])</f>
      </c>
      <c r="M128" s="4">
        <f t="shared" si="8"/>
      </c>
      <c r="N128" s="4"/>
    </row>
    <row r="129" spans="1:14">
      <c r="A129" s="2"/>
      <c r="E129">
        <f>VLOOKUP(TablaMarimba6[[#This Row],[Equipo]],Catalogos!$V$4:$W$55,2,FALSE)</f>
      </c>
      <c r="F129" s="3"/>
      <c r="G129" s="6"/>
      <c r="H129" s="3">
        <f t="shared" si="6"/>
      </c>
      <c r="I129" s="4">
        <v>28.3</v>
      </c>
      <c r="J129" s="4">
        <f t="shared" si="9"/>
      </c>
      <c r="K129" s="4">
        <f t="shared" si="10"/>
      </c>
      <c r="L129" s="4">
        <f>(TablaMarimba6[[#This Row],[Saldo inicial(vales)]]-TablaMarimba6[[#This Row],[Importe]])</f>
      </c>
      <c r="M129" s="4">
        <f t="shared" si="8"/>
      </c>
      <c r="N129" s="4"/>
    </row>
    <row r="130" spans="1:14">
      <c r="A130" s="2"/>
      <c r="E130">
        <f>VLOOKUP(TablaMarimba6[[#This Row],[Equipo]],Catalogos!$V$4:$W$55,2,FALSE)</f>
      </c>
      <c r="F130" s="3"/>
      <c r="G130" s="6"/>
      <c r="H130" s="3">
        <f t="shared" ref="H130:H193" si="11">IF(ROW()=5,F130-G130,H129+F130-G130)</f>
      </c>
      <c r="I130" s="4">
        <v>28.3</v>
      </c>
      <c r="J130" s="4">
        <f t="shared" si="9"/>
      </c>
      <c r="K130" s="4">
        <f t="shared" si="10"/>
      </c>
      <c r="L130" s="4">
        <f>(TablaMarimba6[[#This Row],[Saldo inicial(vales)]]-TablaMarimba6[[#This Row],[Importe]])</f>
      </c>
      <c r="M130" s="4">
        <f t="shared" si="8"/>
      </c>
      <c r="N130" s="4"/>
    </row>
    <row r="131" spans="1:14">
      <c r="A131" s="2"/>
      <c r="E131">
        <f>VLOOKUP(TablaMarimba6[[#This Row],[Equipo]],Catalogos!$V$4:$W$55,2,FALSE)</f>
      </c>
      <c r="F131" s="3"/>
      <c r="G131" s="6"/>
      <c r="H131" s="3">
        <f t="shared" si="11"/>
      </c>
      <c r="I131" s="4">
        <v>28.3</v>
      </c>
      <c r="J131" s="4">
        <f t="shared" si="9"/>
      </c>
      <c r="K131" s="4">
        <f t="shared" si="10"/>
      </c>
      <c r="L131" s="4">
        <f>(TablaMarimba6[[#This Row],[Saldo inicial(vales)]]-TablaMarimba6[[#This Row],[Importe]])</f>
      </c>
      <c r="M131" s="4">
        <f t="shared" si="8"/>
      </c>
      <c r="N131" s="4"/>
    </row>
    <row r="132" spans="1:14">
      <c r="A132" s="2"/>
      <c r="E132">
        <f>VLOOKUP(TablaMarimba6[[#This Row],[Equipo]],Catalogos!$V$4:$W$55,2,FALSE)</f>
      </c>
      <c r="F132" s="3"/>
      <c r="G132" s="6"/>
      <c r="H132" s="3">
        <f t="shared" si="11"/>
      </c>
      <c r="I132" s="4">
        <v>28.3</v>
      </c>
      <c r="J132" s="4">
        <f t="shared" si="9"/>
      </c>
      <c r="K132" s="4">
        <f t="shared" si="10"/>
      </c>
      <c r="L132" s="4">
        <f>(TablaMarimba6[[#This Row],[Saldo inicial(vales)]]-TablaMarimba6[[#This Row],[Importe]])</f>
      </c>
      <c r="M132" s="4">
        <f t="shared" si="8"/>
      </c>
      <c r="N132" s="4"/>
    </row>
    <row r="133" spans="1:14">
      <c r="A133" s="2"/>
      <c r="E133">
        <f>VLOOKUP(TablaMarimba6[[#This Row],[Equipo]],Catalogos!$V$4:$W$55,2,FALSE)</f>
      </c>
      <c r="F133" s="3"/>
      <c r="G133" s="6"/>
      <c r="H133" s="3">
        <f t="shared" si="11"/>
      </c>
      <c r="I133" s="4">
        <v>28.3</v>
      </c>
      <c r="J133" s="4">
        <f t="shared" si="9"/>
      </c>
      <c r="K133" s="4">
        <f t="shared" si="10"/>
      </c>
      <c r="L133" s="4">
        <f>(TablaMarimba6[[#This Row],[Saldo inicial(vales)]]-TablaMarimba6[[#This Row],[Importe]])</f>
      </c>
      <c r="M133" s="4">
        <f t="shared" ref="M133:M196" si="12">IF(A133="","", WEEKNUM(A133, 2))</f>
      </c>
      <c r="N133" s="4"/>
    </row>
    <row r="134" spans="1:14">
      <c r="A134" s="2"/>
      <c r="E134">
        <f>VLOOKUP(TablaMarimba6[[#This Row],[Equipo]],Catalogos!$V$4:$W$55,2,FALSE)</f>
      </c>
      <c r="F134" s="3"/>
      <c r="G134" s="6"/>
      <c r="H134" s="3">
        <f t="shared" si="11"/>
      </c>
      <c r="I134" s="4">
        <v>28.3</v>
      </c>
      <c r="J134" s="4">
        <f t="shared" si="9"/>
      </c>
      <c r="K134" s="4">
        <f t="shared" si="10"/>
      </c>
      <c r="L134" s="4">
        <f>(TablaMarimba6[[#This Row],[Saldo inicial(vales)]]-TablaMarimba6[[#This Row],[Importe]])</f>
      </c>
      <c r="M134" s="4">
        <f t="shared" si="12"/>
      </c>
      <c r="N134" s="4"/>
    </row>
    <row r="135" spans="1:14">
      <c r="A135" s="2"/>
      <c r="E135">
        <f>VLOOKUP(TablaMarimba6[[#This Row],[Equipo]],Catalogos!$V$4:$W$55,2,FALSE)</f>
      </c>
      <c r="F135" s="3"/>
      <c r="G135" s="6"/>
      <c r="H135" s="3">
        <f t="shared" si="11"/>
      </c>
      <c r="I135" s="4">
        <v>28.3</v>
      </c>
      <c r="J135" s="4">
        <f t="shared" si="9"/>
      </c>
      <c r="K135" s="4">
        <f t="shared" si="10"/>
      </c>
      <c r="L135" s="4">
        <f>(TablaMarimba6[[#This Row],[Saldo inicial(vales)]]-TablaMarimba6[[#This Row],[Importe]])</f>
      </c>
      <c r="M135" s="4">
        <f t="shared" si="12"/>
      </c>
      <c r="N135" s="4"/>
    </row>
    <row r="136" spans="1:14">
      <c r="A136" s="2"/>
      <c r="E136">
        <f>VLOOKUP(TablaMarimba6[[#This Row],[Equipo]],Catalogos!$V$4:$W$55,2,FALSE)</f>
      </c>
      <c r="F136" s="3"/>
      <c r="G136" s="6"/>
      <c r="H136" s="3">
        <f t="shared" si="11"/>
      </c>
      <c r="I136" s="4">
        <v>28.3</v>
      </c>
      <c r="J136" s="4">
        <f t="shared" si="9"/>
      </c>
      <c r="K136" s="4">
        <f t="shared" si="10"/>
      </c>
      <c r="L136" s="4">
        <f>(TablaMarimba6[[#This Row],[Saldo inicial(vales)]]-TablaMarimba6[[#This Row],[Importe]])</f>
      </c>
      <c r="M136" s="4">
        <f t="shared" si="12"/>
      </c>
      <c r="N136" s="4"/>
    </row>
    <row r="137" spans="1:14">
      <c r="A137" s="2"/>
      <c r="E137">
        <f>VLOOKUP(TablaMarimba6[[#This Row],[Equipo]],Catalogos!$V$4:$W$55,2,FALSE)</f>
      </c>
      <c r="F137" s="3"/>
      <c r="G137" s="6"/>
      <c r="H137" s="3">
        <f t="shared" si="11"/>
      </c>
      <c r="I137" s="4">
        <v>28.3</v>
      </c>
      <c r="J137" s="4">
        <f t="shared" si="9"/>
      </c>
      <c r="K137" s="4">
        <f t="shared" si="10"/>
      </c>
      <c r="L137" s="4">
        <f>(TablaMarimba6[[#This Row],[Saldo inicial(vales)]]-TablaMarimba6[[#This Row],[Importe]])</f>
      </c>
      <c r="M137" s="4">
        <f t="shared" si="12"/>
      </c>
      <c r="N137" s="4"/>
    </row>
    <row r="138" spans="1:14">
      <c r="A138" s="2"/>
      <c r="E138">
        <f>VLOOKUP(TablaMarimba6[[#This Row],[Equipo]],Catalogos!$V$4:$W$55,2,FALSE)</f>
      </c>
      <c r="F138" s="3"/>
      <c r="G138" s="6"/>
      <c r="H138" s="3">
        <f t="shared" si="11"/>
      </c>
      <c r="I138" s="4">
        <v>28.3</v>
      </c>
      <c r="J138" s="4">
        <f t="shared" si="9"/>
      </c>
      <c r="K138" s="4">
        <f t="shared" si="10"/>
      </c>
      <c r="L138" s="4">
        <f>(TablaMarimba6[[#This Row],[Saldo inicial(vales)]]-TablaMarimba6[[#This Row],[Importe]])</f>
      </c>
      <c r="M138" s="4">
        <f t="shared" si="12"/>
      </c>
      <c r="N138" s="4"/>
    </row>
    <row r="139" spans="1:14">
      <c r="A139" s="2"/>
      <c r="E139">
        <f>VLOOKUP(TablaMarimba6[[#This Row],[Equipo]],Catalogos!$V$4:$W$55,2,FALSE)</f>
      </c>
      <c r="F139" s="3"/>
      <c r="G139" s="6"/>
      <c r="H139" s="3">
        <f t="shared" si="11"/>
      </c>
      <c r="I139" s="4">
        <v>28.3</v>
      </c>
      <c r="J139" s="4">
        <f t="shared" si="9"/>
      </c>
      <c r="K139" s="4">
        <f t="shared" si="10"/>
      </c>
      <c r="L139" s="4">
        <f>(TablaMarimba6[[#This Row],[Saldo inicial(vales)]]-TablaMarimba6[[#This Row],[Importe]])</f>
      </c>
      <c r="M139" s="4">
        <f t="shared" si="12"/>
      </c>
      <c r="N139" s="4"/>
    </row>
    <row r="140" spans="1:14">
      <c r="A140" s="2"/>
      <c r="E140">
        <f>VLOOKUP(TablaMarimba6[[#This Row],[Equipo]],Catalogos!$V$4:$W$55,2,FALSE)</f>
      </c>
      <c r="F140" s="3"/>
      <c r="G140" s="6"/>
      <c r="H140" s="3">
        <f t="shared" si="11"/>
      </c>
      <c r="I140" s="4">
        <v>28.3</v>
      </c>
      <c r="J140" s="4">
        <f t="shared" ref="J140:J203" si="13">IFERROR((F140+G140)*I140,0)</f>
      </c>
      <c r="K140" s="4">
        <f t="shared" si="10"/>
      </c>
      <c r="L140" s="4">
        <f>(TablaMarimba6[[#This Row],[Saldo inicial(vales)]]-TablaMarimba6[[#This Row],[Importe]])</f>
      </c>
      <c r="M140" s="4">
        <f t="shared" si="12"/>
      </c>
      <c r="N140" s="4"/>
    </row>
    <row r="141" spans="1:14">
      <c r="A141" s="2"/>
      <c r="E141">
        <f>VLOOKUP(TablaMarimba6[[#This Row],[Equipo]],Catalogos!$V$4:$W$55,2,FALSE)</f>
      </c>
      <c r="F141" s="3"/>
      <c r="G141" s="6"/>
      <c r="H141" s="3">
        <f t="shared" si="11"/>
      </c>
      <c r="I141" s="4">
        <v>28.3</v>
      </c>
      <c r="J141" s="4">
        <f t="shared" si="13"/>
      </c>
      <c r="K141" s="4">
        <f t="shared" si="10"/>
      </c>
      <c r="L141" s="4">
        <f>(TablaMarimba6[[#This Row],[Saldo inicial(vales)]]-TablaMarimba6[[#This Row],[Importe]])</f>
      </c>
      <c r="M141" s="4">
        <f t="shared" si="12"/>
      </c>
      <c r="N141" s="4"/>
    </row>
    <row r="142" spans="1:14">
      <c r="A142" s="2"/>
      <c r="E142">
        <f>VLOOKUP(TablaMarimba6[[#This Row],[Equipo]],Catalogos!$V$4:$W$55,2,FALSE)</f>
      </c>
      <c r="F142" s="3"/>
      <c r="G142" s="6"/>
      <c r="H142" s="3">
        <f t="shared" si="11"/>
      </c>
      <c r="I142" s="4">
        <v>28.3</v>
      </c>
      <c r="J142" s="4">
        <f t="shared" si="13"/>
      </c>
      <c r="K142" s="4">
        <f t="shared" si="10"/>
      </c>
      <c r="L142" s="4">
        <f>(TablaMarimba6[[#This Row],[Saldo inicial(vales)]]-TablaMarimba6[[#This Row],[Importe]])</f>
      </c>
      <c r="M142" s="4">
        <f t="shared" si="12"/>
      </c>
      <c r="N142" s="4"/>
    </row>
    <row r="143" spans="1:14">
      <c r="A143" s="2"/>
      <c r="E143">
        <f>VLOOKUP(TablaMarimba6[[#This Row],[Equipo]],Catalogos!$V$4:$W$55,2,FALSE)</f>
      </c>
      <c r="F143" s="3"/>
      <c r="G143" s="6"/>
      <c r="H143" s="3">
        <f t="shared" si="11"/>
      </c>
      <c r="I143" s="4">
        <v>28.3</v>
      </c>
      <c r="J143" s="4">
        <f t="shared" si="13"/>
      </c>
      <c r="K143" s="4">
        <f t="shared" si="10"/>
      </c>
      <c r="L143" s="4">
        <f>(TablaMarimba6[[#This Row],[Saldo inicial(vales)]]-TablaMarimba6[[#This Row],[Importe]])</f>
      </c>
      <c r="M143" s="4">
        <f t="shared" si="12"/>
      </c>
      <c r="N143" s="4"/>
    </row>
    <row r="144" spans="1:14">
      <c r="A144" s="2"/>
      <c r="E144">
        <f>VLOOKUP(TablaMarimba6[[#This Row],[Equipo]],Catalogos!$V$4:$W$55,2,FALSE)</f>
      </c>
      <c r="F144" s="3"/>
      <c r="G144" s="6"/>
      <c r="H144" s="3">
        <f t="shared" si="11"/>
      </c>
      <c r="I144" s="4">
        <v>28.3</v>
      </c>
      <c r="J144" s="4">
        <f t="shared" si="13"/>
      </c>
      <c r="K144" s="4">
        <f t="shared" si="10"/>
      </c>
      <c r="L144" s="4">
        <f>(TablaMarimba6[[#This Row],[Saldo inicial(vales)]]-TablaMarimba6[[#This Row],[Importe]])</f>
      </c>
      <c r="M144" s="4">
        <f t="shared" si="12"/>
      </c>
      <c r="N144" s="4"/>
    </row>
    <row r="145" spans="1:14">
      <c r="A145" s="2"/>
      <c r="E145">
        <f>VLOOKUP(TablaMarimba6[[#This Row],[Equipo]],Catalogos!$V$4:$W$55,2,FALSE)</f>
      </c>
      <c r="F145" s="3"/>
      <c r="G145" s="6"/>
      <c r="H145" s="3">
        <f t="shared" si="11"/>
      </c>
      <c r="I145" s="4">
        <v>28.3</v>
      </c>
      <c r="J145" s="4">
        <f t="shared" si="13"/>
      </c>
      <c r="K145" s="4">
        <f t="shared" si="10"/>
      </c>
      <c r="L145" s="4">
        <f>(TablaMarimba6[[#This Row],[Saldo inicial(vales)]]-TablaMarimba6[[#This Row],[Importe]])</f>
      </c>
      <c r="M145" s="4">
        <f t="shared" si="12"/>
      </c>
      <c r="N145" s="4"/>
    </row>
    <row r="146" spans="1:14">
      <c r="A146" s="2"/>
      <c r="E146">
        <f>VLOOKUP(TablaMarimba6[[#This Row],[Equipo]],Catalogos!$V$4:$W$55,2,FALSE)</f>
      </c>
      <c r="F146" s="3"/>
      <c r="G146" s="6"/>
      <c r="H146" s="3">
        <f t="shared" si="11"/>
      </c>
      <c r="I146" s="4">
        <v>28.3</v>
      </c>
      <c r="J146" s="4">
        <f t="shared" si="13"/>
      </c>
      <c r="K146" s="4">
        <f t="shared" si="10"/>
      </c>
      <c r="L146" s="4">
        <f>(TablaMarimba6[[#This Row],[Saldo inicial(vales)]]-TablaMarimba6[[#This Row],[Importe]])</f>
      </c>
      <c r="M146" s="4">
        <f t="shared" si="12"/>
      </c>
      <c r="N146" s="4"/>
    </row>
    <row r="147" spans="1:14">
      <c r="A147" s="2"/>
      <c r="E147">
        <f>VLOOKUP(TablaMarimba6[[#This Row],[Equipo]],Catalogos!$V$4:$W$55,2,FALSE)</f>
      </c>
      <c r="F147" s="3"/>
      <c r="G147" s="6"/>
      <c r="H147" s="3">
        <f t="shared" si="11"/>
      </c>
      <c r="I147" s="4">
        <v>28.3</v>
      </c>
      <c r="J147" s="4">
        <f t="shared" si="13"/>
      </c>
      <c r="K147" s="4">
        <f t="shared" si="10"/>
      </c>
      <c r="L147" s="4">
        <f>(TablaMarimba6[[#This Row],[Saldo inicial(vales)]]-TablaMarimba6[[#This Row],[Importe]])</f>
      </c>
      <c r="M147" s="4">
        <f t="shared" si="12"/>
      </c>
      <c r="N147" s="4"/>
    </row>
    <row r="148" spans="1:14">
      <c r="A148" s="2"/>
      <c r="E148">
        <f>VLOOKUP(TablaMarimba6[[#This Row],[Equipo]],Catalogos!$V$4:$W$55,2,FALSE)</f>
      </c>
      <c r="F148" s="3"/>
      <c r="G148" s="6"/>
      <c r="H148" s="3">
        <f t="shared" si="11"/>
      </c>
      <c r="I148" s="4">
        <v>28.3</v>
      </c>
      <c r="J148" s="4">
        <f t="shared" si="13"/>
      </c>
      <c r="K148" s="4">
        <f t="shared" si="10"/>
      </c>
      <c r="L148" s="4">
        <f>(TablaMarimba6[[#This Row],[Saldo inicial(vales)]]-TablaMarimba6[[#This Row],[Importe]])</f>
      </c>
      <c r="M148" s="4">
        <f t="shared" si="12"/>
      </c>
      <c r="N148" s="4"/>
    </row>
    <row r="149" spans="1:14">
      <c r="A149" s="2"/>
      <c r="E149">
        <f>VLOOKUP(TablaMarimba6[[#This Row],[Equipo]],Catalogos!$V$4:$W$55,2,FALSE)</f>
      </c>
      <c r="F149" s="3"/>
      <c r="G149" s="6"/>
      <c r="H149" s="3">
        <f t="shared" si="11"/>
      </c>
      <c r="I149" s="4">
        <v>28.3</v>
      </c>
      <c r="J149" s="4">
        <f t="shared" si="13"/>
      </c>
      <c r="K149" s="4">
        <f t="shared" si="10"/>
      </c>
      <c r="L149" s="4">
        <f>(TablaMarimba6[[#This Row],[Saldo inicial(vales)]]-TablaMarimba6[[#This Row],[Importe]])</f>
      </c>
      <c r="M149" s="4">
        <f t="shared" si="12"/>
      </c>
      <c r="N149" s="4"/>
    </row>
    <row r="150" spans="1:14">
      <c r="A150" s="2"/>
      <c r="E150">
        <f>VLOOKUP(TablaMarimba6[[#This Row],[Equipo]],Catalogos!$V$4:$W$55,2,FALSE)</f>
      </c>
      <c r="F150" s="3"/>
      <c r="G150" s="6"/>
      <c r="H150" s="3">
        <f t="shared" si="11"/>
      </c>
      <c r="I150" s="4">
        <v>28.3</v>
      </c>
      <c r="J150" s="4">
        <f t="shared" si="13"/>
      </c>
      <c r="K150" s="4">
        <f t="shared" si="10"/>
      </c>
      <c r="L150" s="4">
        <f>(TablaMarimba6[[#This Row],[Saldo inicial(vales)]]-TablaMarimba6[[#This Row],[Importe]])</f>
      </c>
      <c r="M150" s="4">
        <f t="shared" si="12"/>
      </c>
      <c r="N150" s="4"/>
    </row>
    <row r="151" spans="1:14">
      <c r="A151" s="2"/>
      <c r="E151">
        <f>VLOOKUP(TablaMarimba6[[#This Row],[Equipo]],Catalogos!$V$4:$W$55,2,FALSE)</f>
      </c>
      <c r="F151" s="3"/>
      <c r="G151" s="6"/>
      <c r="H151" s="3">
        <f t="shared" si="11"/>
      </c>
      <c r="I151" s="4">
        <v>28.3</v>
      </c>
      <c r="J151" s="4">
        <f t="shared" si="13"/>
      </c>
      <c r="K151" s="4">
        <f t="shared" si="10"/>
      </c>
      <c r="L151" s="4">
        <f>(TablaMarimba6[[#This Row],[Saldo inicial(vales)]]-TablaMarimba6[[#This Row],[Importe]])</f>
      </c>
      <c r="M151" s="4">
        <f t="shared" si="12"/>
      </c>
      <c r="N151" s="4"/>
    </row>
    <row r="152" spans="1:14">
      <c r="A152" s="2"/>
      <c r="E152">
        <f>VLOOKUP(TablaMarimba6[[#This Row],[Equipo]],Catalogos!$V$4:$W$55,2,FALSE)</f>
      </c>
      <c r="F152" s="3"/>
      <c r="G152" s="6"/>
      <c r="H152" s="3">
        <f t="shared" si="11"/>
      </c>
      <c r="I152" s="4">
        <v>28.3</v>
      </c>
      <c r="J152" s="4">
        <f t="shared" si="13"/>
      </c>
      <c r="K152" s="4">
        <f t="shared" ref="K152:K206" si="14">L151+M151-N151</f>
      </c>
      <c r="L152" s="4">
        <f>(TablaMarimba6[[#This Row],[Saldo inicial(vales)]]-TablaMarimba6[[#This Row],[Importe]])</f>
      </c>
      <c r="M152" s="4">
        <f t="shared" si="12"/>
      </c>
      <c r="N152" s="4"/>
    </row>
    <row r="153" spans="1:14">
      <c r="A153" s="2"/>
      <c r="E153">
        <f>VLOOKUP(TablaMarimba6[[#This Row],[Equipo]],Catalogos!$V$4:$W$55,2,FALSE)</f>
      </c>
      <c r="F153" s="3"/>
      <c r="G153" s="6"/>
      <c r="H153" s="3">
        <f t="shared" si="11"/>
      </c>
      <c r="I153" s="4">
        <v>28.3</v>
      </c>
      <c r="J153" s="4">
        <f t="shared" si="13"/>
      </c>
      <c r="K153" s="4">
        <f t="shared" si="14"/>
      </c>
      <c r="L153" s="4">
        <f>(TablaMarimba6[[#This Row],[Saldo inicial(vales)]]-TablaMarimba6[[#This Row],[Importe]])</f>
      </c>
      <c r="M153" s="4">
        <f t="shared" si="12"/>
      </c>
      <c r="N153" s="4"/>
    </row>
    <row r="154" spans="1:14">
      <c r="A154" s="2"/>
      <c r="E154">
        <f>VLOOKUP(TablaMarimba6[[#This Row],[Equipo]],Catalogos!$V$4:$W$55,2,FALSE)</f>
      </c>
      <c r="F154" s="3"/>
      <c r="G154" s="6"/>
      <c r="H154" s="3">
        <f t="shared" si="11"/>
      </c>
      <c r="I154" s="4">
        <v>28.3</v>
      </c>
      <c r="J154" s="4">
        <f t="shared" si="13"/>
      </c>
      <c r="K154" s="4">
        <f t="shared" si="14"/>
      </c>
      <c r="L154" s="4">
        <f>(TablaMarimba6[[#This Row],[Saldo inicial(vales)]]-TablaMarimba6[[#This Row],[Importe]])</f>
      </c>
      <c r="M154" s="4">
        <f t="shared" si="12"/>
      </c>
      <c r="N154" s="4"/>
    </row>
    <row r="155" spans="1:14">
      <c r="A155" s="2"/>
      <c r="E155">
        <f>VLOOKUP(TablaMarimba6[[#This Row],[Equipo]],Catalogos!$V$4:$W$55,2,FALSE)</f>
      </c>
      <c r="F155" s="3"/>
      <c r="G155" s="6"/>
      <c r="H155" s="3">
        <f t="shared" si="11"/>
      </c>
      <c r="I155" s="4">
        <v>28.3</v>
      </c>
      <c r="J155" s="4">
        <f t="shared" si="13"/>
      </c>
      <c r="K155" s="4">
        <f t="shared" si="14"/>
      </c>
      <c r="L155" s="4">
        <f>(TablaMarimba6[[#This Row],[Saldo inicial(vales)]]-TablaMarimba6[[#This Row],[Importe]])</f>
      </c>
      <c r="M155" s="4">
        <f t="shared" si="12"/>
      </c>
      <c r="N155" s="4"/>
    </row>
    <row r="156" spans="1:14">
      <c r="A156" s="2"/>
      <c r="E156">
        <f>VLOOKUP(TablaMarimba6[[#This Row],[Equipo]],Catalogos!$V$4:$W$55,2,FALSE)</f>
      </c>
      <c r="F156" s="3"/>
      <c r="G156" s="6"/>
      <c r="H156" s="3">
        <f t="shared" si="11"/>
      </c>
      <c r="I156" s="4">
        <v>28.3</v>
      </c>
      <c r="J156" s="4">
        <f t="shared" si="13"/>
      </c>
      <c r="K156" s="4">
        <f t="shared" si="14"/>
      </c>
      <c r="L156" s="4">
        <f>(TablaMarimba6[[#This Row],[Saldo inicial(vales)]]-TablaMarimba6[[#This Row],[Importe]])</f>
      </c>
      <c r="M156" s="4">
        <f t="shared" si="12"/>
      </c>
      <c r="N156" s="4"/>
    </row>
    <row r="157" spans="1:14">
      <c r="A157" s="2"/>
      <c r="E157">
        <f>VLOOKUP(TablaMarimba6[[#This Row],[Equipo]],Catalogos!$V$4:$W$55,2,FALSE)</f>
      </c>
      <c r="F157" s="3"/>
      <c r="G157" s="6"/>
      <c r="H157" s="3">
        <f t="shared" si="11"/>
      </c>
      <c r="I157" s="4">
        <v>28.3</v>
      </c>
      <c r="J157" s="4">
        <f t="shared" si="13"/>
      </c>
      <c r="K157" s="4">
        <f t="shared" si="14"/>
      </c>
      <c r="L157" s="4">
        <f>(TablaMarimba6[[#This Row],[Saldo inicial(vales)]]-TablaMarimba6[[#This Row],[Importe]])</f>
      </c>
      <c r="M157" s="4">
        <f t="shared" si="12"/>
      </c>
      <c r="N157" s="4"/>
    </row>
    <row r="158" spans="1:14">
      <c r="A158" s="2"/>
      <c r="E158">
        <f>VLOOKUP(TablaMarimba6[[#This Row],[Equipo]],Catalogos!$V$4:$W$55,2,FALSE)</f>
      </c>
      <c r="F158" s="3"/>
      <c r="G158" s="6"/>
      <c r="H158" s="3">
        <f t="shared" si="11"/>
      </c>
      <c r="I158" s="4">
        <v>28.3</v>
      </c>
      <c r="J158" s="4">
        <f t="shared" si="13"/>
      </c>
      <c r="K158" s="4">
        <f t="shared" si="14"/>
      </c>
      <c r="L158" s="4">
        <f>(TablaMarimba6[[#This Row],[Saldo inicial(vales)]]-TablaMarimba6[[#This Row],[Importe]])</f>
      </c>
      <c r="M158" s="4">
        <f t="shared" si="12"/>
      </c>
      <c r="N158" s="4"/>
    </row>
    <row r="159" spans="1:14">
      <c r="A159" s="2"/>
      <c r="E159">
        <f>VLOOKUP(TablaMarimba6[[#This Row],[Equipo]],Catalogos!$V$4:$W$55,2,FALSE)</f>
      </c>
      <c r="F159" s="3"/>
      <c r="G159" s="6"/>
      <c r="H159" s="3">
        <f t="shared" si="11"/>
      </c>
      <c r="I159" s="4">
        <v>28.3</v>
      </c>
      <c r="J159" s="4">
        <f t="shared" si="13"/>
      </c>
      <c r="K159" s="4">
        <f t="shared" si="14"/>
      </c>
      <c r="L159" s="4">
        <f>(TablaMarimba6[[#This Row],[Saldo inicial(vales)]]-TablaMarimba6[[#This Row],[Importe]])</f>
      </c>
      <c r="M159" s="4">
        <f t="shared" si="12"/>
      </c>
      <c r="N159" s="4"/>
    </row>
    <row r="160" spans="1:14">
      <c r="A160" s="2"/>
      <c r="E160">
        <f>VLOOKUP(TablaMarimba6[[#This Row],[Equipo]],Catalogos!$V$4:$W$55,2,FALSE)</f>
      </c>
      <c r="F160" s="3"/>
      <c r="G160" s="6"/>
      <c r="H160" s="3">
        <f t="shared" si="11"/>
      </c>
      <c r="I160" s="4">
        <v>28.3</v>
      </c>
      <c r="J160" s="4">
        <f t="shared" si="13"/>
      </c>
      <c r="K160" s="4">
        <f t="shared" si="14"/>
      </c>
      <c r="L160" s="4">
        <f>(TablaMarimba6[[#This Row],[Saldo inicial(vales)]]-TablaMarimba6[[#This Row],[Importe]])</f>
      </c>
      <c r="M160" s="4">
        <f t="shared" si="12"/>
      </c>
      <c r="N160" s="4"/>
    </row>
    <row r="161" spans="1:14">
      <c r="A161" s="2"/>
      <c r="E161">
        <f>VLOOKUP(TablaMarimba6[[#This Row],[Equipo]],Catalogos!$V$4:$W$55,2,FALSE)</f>
      </c>
      <c r="F161" s="3"/>
      <c r="G161" s="6"/>
      <c r="H161" s="3">
        <f t="shared" si="11"/>
      </c>
      <c r="I161" s="4">
        <v>28.3</v>
      </c>
      <c r="J161" s="4">
        <f t="shared" si="13"/>
      </c>
      <c r="K161" s="4">
        <f t="shared" si="14"/>
      </c>
      <c r="L161" s="4">
        <f>(TablaMarimba6[[#This Row],[Saldo inicial(vales)]]-TablaMarimba6[[#This Row],[Importe]])</f>
      </c>
      <c r="M161" s="4">
        <f t="shared" si="12"/>
      </c>
      <c r="N161" s="4"/>
    </row>
    <row r="162" spans="1:14">
      <c r="A162" s="2"/>
      <c r="E162">
        <f>VLOOKUP(TablaMarimba6[[#This Row],[Equipo]],Catalogos!$V$4:$W$55,2,FALSE)</f>
      </c>
      <c r="F162" s="3"/>
      <c r="G162" s="6"/>
      <c r="H162" s="3">
        <f t="shared" si="11"/>
      </c>
      <c r="I162" s="4">
        <v>28.3</v>
      </c>
      <c r="J162" s="4">
        <f t="shared" si="13"/>
      </c>
      <c r="K162" s="4">
        <f t="shared" si="14"/>
      </c>
      <c r="L162" s="4">
        <f>(TablaMarimba6[[#This Row],[Saldo inicial(vales)]]-TablaMarimba6[[#This Row],[Importe]])</f>
      </c>
      <c r="M162" s="4">
        <f t="shared" si="12"/>
      </c>
      <c r="N162" s="4"/>
    </row>
    <row r="163" spans="1:14">
      <c r="A163" s="2"/>
      <c r="E163">
        <f>VLOOKUP(TablaMarimba6[[#This Row],[Equipo]],Catalogos!$V$4:$W$55,2,FALSE)</f>
      </c>
      <c r="F163" s="3"/>
      <c r="G163" s="6"/>
      <c r="H163" s="3">
        <f t="shared" si="11"/>
      </c>
      <c r="I163" s="4">
        <v>28.3</v>
      </c>
      <c r="J163" s="4">
        <f t="shared" si="13"/>
      </c>
      <c r="K163" s="4">
        <f t="shared" si="14"/>
      </c>
      <c r="L163" s="4">
        <f>(TablaMarimba6[[#This Row],[Saldo inicial(vales)]]-TablaMarimba6[[#This Row],[Importe]])</f>
      </c>
      <c r="M163" s="4">
        <f t="shared" si="12"/>
      </c>
      <c r="N163" s="4"/>
    </row>
    <row r="164" spans="1:14">
      <c r="A164" s="2"/>
      <c r="E164">
        <f>VLOOKUP(TablaMarimba6[[#This Row],[Equipo]],Catalogos!$V$4:$W$55,2,FALSE)</f>
      </c>
      <c r="F164" s="3"/>
      <c r="G164" s="6"/>
      <c r="H164" s="3">
        <f t="shared" si="11"/>
      </c>
      <c r="I164" s="4">
        <v>28.3</v>
      </c>
      <c r="J164" s="4">
        <f t="shared" si="13"/>
      </c>
      <c r="K164" s="4">
        <f t="shared" si="14"/>
      </c>
      <c r="L164" s="4">
        <f>(TablaMarimba6[[#This Row],[Saldo inicial(vales)]]-TablaMarimba6[[#This Row],[Importe]])</f>
      </c>
      <c r="M164" s="4">
        <f t="shared" si="12"/>
      </c>
      <c r="N164" s="4"/>
    </row>
    <row r="165" spans="1:14">
      <c r="A165" s="2"/>
      <c r="E165">
        <f>VLOOKUP(TablaMarimba6[[#This Row],[Equipo]],Catalogos!$V$4:$W$55,2,FALSE)</f>
      </c>
      <c r="F165" s="3"/>
      <c r="G165" s="6"/>
      <c r="H165" s="3">
        <f t="shared" si="11"/>
      </c>
      <c r="I165" s="4">
        <v>28.3</v>
      </c>
      <c r="J165" s="4">
        <f t="shared" si="13"/>
      </c>
      <c r="K165" s="4">
        <f t="shared" si="14"/>
      </c>
      <c r="L165" s="4">
        <f>(TablaMarimba6[[#This Row],[Saldo inicial(vales)]]-TablaMarimba6[[#This Row],[Importe]])</f>
      </c>
      <c r="M165" s="4">
        <f t="shared" si="12"/>
      </c>
      <c r="N165" s="4"/>
    </row>
    <row r="166" spans="1:14">
      <c r="A166" s="2"/>
      <c r="E166">
        <f>VLOOKUP(TablaMarimba6[[#This Row],[Equipo]],Catalogos!$V$4:$W$55,2,FALSE)</f>
      </c>
      <c r="F166" s="3"/>
      <c r="G166" s="6"/>
      <c r="H166" s="3">
        <f t="shared" si="11"/>
      </c>
      <c r="I166" s="4">
        <v>28.3</v>
      </c>
      <c r="J166" s="4">
        <f t="shared" si="13"/>
      </c>
      <c r="K166" s="4">
        <f t="shared" si="14"/>
      </c>
      <c r="L166" s="4">
        <f>(TablaMarimba6[[#This Row],[Saldo inicial(vales)]]-TablaMarimba6[[#This Row],[Importe]])</f>
      </c>
      <c r="M166" s="4">
        <f t="shared" si="12"/>
      </c>
      <c r="N166" s="4"/>
    </row>
    <row r="167" spans="1:14">
      <c r="A167" s="2"/>
      <c r="E167">
        <f>VLOOKUP(TablaMarimba6[[#This Row],[Equipo]],Catalogos!$V$4:$W$55,2,FALSE)</f>
      </c>
      <c r="F167" s="3"/>
      <c r="G167" s="6"/>
      <c r="H167" s="3">
        <f t="shared" si="11"/>
      </c>
      <c r="I167" s="4">
        <v>28.3</v>
      </c>
      <c r="J167" s="4">
        <f t="shared" si="13"/>
      </c>
      <c r="K167" s="4">
        <f t="shared" si="14"/>
      </c>
      <c r="L167" s="4">
        <f>(TablaMarimba6[[#This Row],[Saldo inicial(vales)]]-TablaMarimba6[[#This Row],[Importe]])</f>
      </c>
      <c r="M167" s="4">
        <f t="shared" si="12"/>
      </c>
      <c r="N167" s="4"/>
    </row>
    <row r="168" spans="1:14">
      <c r="A168" s="2"/>
      <c r="E168">
        <f>VLOOKUP(TablaMarimba6[[#This Row],[Equipo]],Catalogos!$V$4:$W$55,2,FALSE)</f>
      </c>
      <c r="F168" s="3"/>
      <c r="G168" s="6"/>
      <c r="H168" s="3">
        <f t="shared" si="11"/>
      </c>
      <c r="I168" s="4">
        <v>28.3</v>
      </c>
      <c r="J168" s="4">
        <f t="shared" si="13"/>
      </c>
      <c r="K168" s="4">
        <f t="shared" si="14"/>
      </c>
      <c r="L168" s="4">
        <f>(TablaMarimba6[[#This Row],[Saldo inicial(vales)]]-TablaMarimba6[[#This Row],[Importe]])</f>
      </c>
      <c r="M168" s="4">
        <f t="shared" si="12"/>
      </c>
      <c r="N168" s="4"/>
    </row>
    <row r="169" spans="1:14">
      <c r="A169" s="2"/>
      <c r="E169">
        <f>VLOOKUP(TablaMarimba6[[#This Row],[Equipo]],Catalogos!$V$4:$W$55,2,FALSE)</f>
      </c>
      <c r="F169" s="3"/>
      <c r="G169" s="6"/>
      <c r="H169" s="3">
        <f t="shared" si="11"/>
      </c>
      <c r="I169" s="4">
        <v>28.3</v>
      </c>
      <c r="J169" s="4">
        <f t="shared" si="13"/>
      </c>
      <c r="K169" s="4">
        <f t="shared" si="14"/>
      </c>
      <c r="L169" s="4">
        <f>(TablaMarimba6[[#This Row],[Saldo inicial(vales)]]-TablaMarimba6[[#This Row],[Importe]])</f>
      </c>
      <c r="M169" s="4">
        <f t="shared" si="12"/>
      </c>
      <c r="N169" s="4"/>
    </row>
    <row r="170" spans="1:14">
      <c r="A170" s="2"/>
      <c r="E170">
        <f>VLOOKUP(TablaMarimba6[[#This Row],[Equipo]],Catalogos!$V$4:$W$55,2,FALSE)</f>
      </c>
      <c r="F170" s="3"/>
      <c r="G170" s="6"/>
      <c r="H170" s="3">
        <f t="shared" si="11"/>
      </c>
      <c r="I170" s="4">
        <v>28.3</v>
      </c>
      <c r="J170" s="4">
        <f t="shared" si="13"/>
      </c>
      <c r="K170" s="4">
        <f t="shared" si="14"/>
      </c>
      <c r="L170" s="4">
        <f>(TablaMarimba6[[#This Row],[Saldo inicial(vales)]]-TablaMarimba6[[#This Row],[Importe]])</f>
      </c>
      <c r="M170" s="4">
        <f t="shared" si="12"/>
      </c>
      <c r="N170" s="4"/>
    </row>
    <row r="171" spans="1:14">
      <c r="A171" s="2"/>
      <c r="E171">
        <f>VLOOKUP(TablaMarimba6[[#This Row],[Equipo]],Catalogos!$V$4:$W$55,2,FALSE)</f>
      </c>
      <c r="F171" s="3"/>
      <c r="G171" s="6"/>
      <c r="H171" s="3">
        <f t="shared" si="11"/>
      </c>
      <c r="I171" s="4">
        <v>28.3</v>
      </c>
      <c r="J171" s="4">
        <f t="shared" si="13"/>
      </c>
      <c r="K171" s="4">
        <f t="shared" si="14"/>
      </c>
      <c r="L171" s="4">
        <f>(TablaMarimba6[[#This Row],[Saldo inicial(vales)]]-TablaMarimba6[[#This Row],[Importe]])</f>
      </c>
      <c r="M171" s="4">
        <f t="shared" si="12"/>
      </c>
      <c r="N171" s="4"/>
    </row>
    <row r="172" spans="1:14">
      <c r="A172" s="2"/>
      <c r="E172">
        <f>VLOOKUP(TablaMarimba6[[#This Row],[Equipo]],Catalogos!$V$4:$W$55,2,FALSE)</f>
      </c>
      <c r="F172" s="3"/>
      <c r="G172" s="6"/>
      <c r="H172" s="3">
        <f t="shared" si="11"/>
      </c>
      <c r="I172" s="4">
        <v>28.3</v>
      </c>
      <c r="J172" s="4">
        <f t="shared" si="13"/>
      </c>
      <c r="K172" s="4">
        <f t="shared" si="14"/>
      </c>
      <c r="L172" s="4">
        <f>(TablaMarimba6[[#This Row],[Saldo inicial(vales)]]-TablaMarimba6[[#This Row],[Importe]])</f>
      </c>
      <c r="M172" s="4">
        <f t="shared" si="12"/>
      </c>
      <c r="N172" s="4"/>
    </row>
    <row r="173" spans="1:14">
      <c r="A173" s="2"/>
      <c r="E173">
        <f>VLOOKUP(TablaMarimba6[[#This Row],[Equipo]],Catalogos!$V$4:$W$55,2,FALSE)</f>
      </c>
      <c r="F173" s="3"/>
      <c r="G173" s="6"/>
      <c r="H173" s="3">
        <f t="shared" si="11"/>
      </c>
      <c r="I173" s="4">
        <v>28.3</v>
      </c>
      <c r="J173" s="4">
        <f t="shared" si="13"/>
      </c>
      <c r="K173" s="4">
        <f t="shared" si="14"/>
      </c>
      <c r="L173" s="4">
        <f>(TablaMarimba6[[#This Row],[Saldo inicial(vales)]]-TablaMarimba6[[#This Row],[Importe]])</f>
      </c>
      <c r="M173" s="4">
        <f t="shared" si="12"/>
      </c>
      <c r="N173" s="4"/>
    </row>
    <row r="174" spans="1:14">
      <c r="A174" s="2"/>
      <c r="E174">
        <f>VLOOKUP(TablaMarimba6[[#This Row],[Equipo]],Catalogos!$V$4:$W$55,2,FALSE)</f>
      </c>
      <c r="F174" s="3"/>
      <c r="G174" s="6"/>
      <c r="H174" s="3">
        <f t="shared" si="11"/>
      </c>
      <c r="I174" s="4">
        <v>28.3</v>
      </c>
      <c r="J174" s="4">
        <f t="shared" si="13"/>
      </c>
      <c r="K174" s="4">
        <f t="shared" si="14"/>
      </c>
      <c r="L174" s="4">
        <f>(TablaMarimba6[[#This Row],[Saldo inicial(vales)]]-TablaMarimba6[[#This Row],[Importe]])</f>
      </c>
      <c r="M174" s="4">
        <f t="shared" si="12"/>
      </c>
      <c r="N174" s="4"/>
    </row>
    <row r="175" spans="1:14">
      <c r="A175" s="2"/>
      <c r="E175">
        <f>VLOOKUP(TablaMarimba6[[#This Row],[Equipo]],Catalogos!$V$4:$W$55,2,FALSE)</f>
      </c>
      <c r="F175" s="3"/>
      <c r="G175" s="6"/>
      <c r="H175" s="3">
        <f t="shared" si="11"/>
      </c>
      <c r="I175" s="4">
        <v>28.3</v>
      </c>
      <c r="J175" s="4">
        <f t="shared" si="13"/>
      </c>
      <c r="K175" s="4">
        <f t="shared" si="14"/>
      </c>
      <c r="L175" s="4">
        <f>(TablaMarimba6[[#This Row],[Saldo inicial(vales)]]-TablaMarimba6[[#This Row],[Importe]])</f>
      </c>
      <c r="M175" s="4">
        <f t="shared" si="12"/>
      </c>
      <c r="N175" s="4"/>
    </row>
    <row r="176" spans="1:14">
      <c r="A176" s="2"/>
      <c r="E176">
        <f>VLOOKUP(TablaMarimba6[[#This Row],[Equipo]],Catalogos!$V$4:$W$55,2,FALSE)</f>
      </c>
      <c r="F176" s="3"/>
      <c r="G176" s="6"/>
      <c r="H176" s="3">
        <f t="shared" si="11"/>
      </c>
      <c r="I176" s="4">
        <v>28.3</v>
      </c>
      <c r="J176" s="4">
        <f t="shared" si="13"/>
      </c>
      <c r="K176" s="4">
        <f t="shared" si="14"/>
      </c>
      <c r="L176" s="4">
        <f>(TablaMarimba6[[#This Row],[Saldo inicial(vales)]]-TablaMarimba6[[#This Row],[Importe]])</f>
      </c>
      <c r="M176" s="4">
        <f t="shared" si="12"/>
      </c>
      <c r="N176" s="4"/>
    </row>
    <row r="177" spans="1:14">
      <c r="A177" s="2"/>
      <c r="E177">
        <f>VLOOKUP(TablaMarimba6[[#This Row],[Equipo]],Catalogos!$V$4:$W$55,2,FALSE)</f>
      </c>
      <c r="F177" s="3"/>
      <c r="G177" s="6"/>
      <c r="H177" s="3">
        <f t="shared" si="11"/>
      </c>
      <c r="I177" s="4">
        <v>28.3</v>
      </c>
      <c r="J177" s="4">
        <f t="shared" si="13"/>
      </c>
      <c r="K177" s="4">
        <f t="shared" si="14"/>
      </c>
      <c r="L177" s="4">
        <f>(TablaMarimba6[[#This Row],[Saldo inicial(vales)]]-TablaMarimba6[[#This Row],[Importe]])</f>
      </c>
      <c r="M177" s="4">
        <f t="shared" si="12"/>
      </c>
      <c r="N177" s="4"/>
    </row>
    <row r="178" spans="1:14">
      <c r="A178" s="2"/>
      <c r="E178">
        <f>VLOOKUP(TablaMarimba6[[#This Row],[Equipo]],Catalogos!$V$4:$W$55,2,FALSE)</f>
      </c>
      <c r="F178" s="3"/>
      <c r="G178" s="6"/>
      <c r="H178" s="3">
        <f t="shared" si="11"/>
      </c>
      <c r="I178" s="4">
        <v>28.3</v>
      </c>
      <c r="J178" s="4">
        <f t="shared" si="13"/>
      </c>
      <c r="K178" s="4">
        <f t="shared" si="14"/>
      </c>
      <c r="L178" s="4">
        <f>(TablaMarimba6[[#This Row],[Saldo inicial(vales)]]-TablaMarimba6[[#This Row],[Importe]])</f>
      </c>
      <c r="M178" s="4">
        <f t="shared" si="12"/>
      </c>
      <c r="N178" s="4"/>
    </row>
    <row r="179" spans="1:14">
      <c r="A179" s="2"/>
      <c r="E179">
        <f>VLOOKUP(TablaMarimba6[[#This Row],[Equipo]],Catalogos!$V$4:$W$55,2,FALSE)</f>
      </c>
      <c r="F179" s="3"/>
      <c r="G179" s="6"/>
      <c r="H179" s="3">
        <f t="shared" si="11"/>
      </c>
      <c r="I179" s="4">
        <v>28.3</v>
      </c>
      <c r="J179" s="4">
        <f t="shared" si="13"/>
      </c>
      <c r="K179" s="4">
        <f t="shared" si="14"/>
      </c>
      <c r="L179" s="4">
        <f>(TablaMarimba6[[#This Row],[Saldo inicial(vales)]]-TablaMarimba6[[#This Row],[Importe]])</f>
      </c>
      <c r="M179" s="4">
        <f t="shared" si="12"/>
      </c>
      <c r="N179" s="4"/>
    </row>
    <row r="180" spans="1:14">
      <c r="A180" s="2"/>
      <c r="E180">
        <f>VLOOKUP(TablaMarimba6[[#This Row],[Equipo]],Catalogos!$V$4:$W$55,2,FALSE)</f>
      </c>
      <c r="F180" s="3"/>
      <c r="G180" s="6"/>
      <c r="H180" s="3">
        <f t="shared" si="11"/>
      </c>
      <c r="I180" s="4">
        <v>28.3</v>
      </c>
      <c r="J180" s="4">
        <f t="shared" si="13"/>
      </c>
      <c r="K180" s="4">
        <f t="shared" si="14"/>
      </c>
      <c r="L180" s="4">
        <f>(TablaMarimba6[[#This Row],[Saldo inicial(vales)]]-TablaMarimba6[[#This Row],[Importe]])</f>
      </c>
      <c r="M180" s="4">
        <f t="shared" si="12"/>
      </c>
      <c r="N180" s="4"/>
    </row>
    <row r="181" spans="1:14">
      <c r="A181" s="2"/>
      <c r="E181">
        <f>VLOOKUP(TablaMarimba6[[#This Row],[Equipo]],Catalogos!$V$4:$W$55,2,FALSE)</f>
      </c>
      <c r="F181" s="3"/>
      <c r="G181" s="6"/>
      <c r="H181" s="3">
        <f t="shared" si="11"/>
      </c>
      <c r="I181" s="4">
        <v>28.3</v>
      </c>
      <c r="J181" s="4">
        <f t="shared" si="13"/>
      </c>
      <c r="K181" s="4">
        <f t="shared" si="14"/>
      </c>
      <c r="L181" s="4">
        <f>(TablaMarimba6[[#This Row],[Saldo inicial(vales)]]-TablaMarimba6[[#This Row],[Importe]])</f>
      </c>
      <c r="M181" s="4">
        <f t="shared" si="12"/>
      </c>
      <c r="N181" s="4"/>
    </row>
    <row r="182" spans="1:14">
      <c r="A182" s="2"/>
      <c r="E182">
        <f>VLOOKUP(TablaMarimba6[[#This Row],[Equipo]],Catalogos!$V$4:$W$55,2,FALSE)</f>
      </c>
      <c r="F182" s="3"/>
      <c r="G182" s="6"/>
      <c r="H182" s="3">
        <f t="shared" si="11"/>
      </c>
      <c r="I182" s="4">
        <v>28.3</v>
      </c>
      <c r="J182" s="4">
        <f t="shared" si="13"/>
      </c>
      <c r="K182" s="4">
        <f t="shared" si="14"/>
      </c>
      <c r="L182" s="4">
        <f>(TablaMarimba6[[#This Row],[Saldo inicial(vales)]]-TablaMarimba6[[#This Row],[Importe]])</f>
      </c>
      <c r="M182" s="4">
        <f t="shared" si="12"/>
      </c>
      <c r="N182" s="4"/>
    </row>
    <row r="183" spans="1:14">
      <c r="A183" s="2"/>
      <c r="E183">
        <f>VLOOKUP(TablaMarimba6[[#This Row],[Equipo]],Catalogos!$V$4:$W$55,2,FALSE)</f>
      </c>
      <c r="F183" s="3"/>
      <c r="G183" s="6"/>
      <c r="H183" s="3">
        <f t="shared" si="11"/>
      </c>
      <c r="I183" s="4">
        <v>28.3</v>
      </c>
      <c r="J183" s="4">
        <f t="shared" si="13"/>
      </c>
      <c r="K183" s="4">
        <f t="shared" si="14"/>
      </c>
      <c r="L183" s="4">
        <f>(TablaMarimba6[[#This Row],[Saldo inicial(vales)]]-TablaMarimba6[[#This Row],[Importe]])</f>
      </c>
      <c r="M183" s="4">
        <f t="shared" si="12"/>
      </c>
      <c r="N183" s="4"/>
    </row>
    <row r="184" spans="1:14">
      <c r="A184" s="2"/>
      <c r="E184">
        <f>VLOOKUP(TablaMarimba6[[#This Row],[Equipo]],Catalogos!$V$4:$W$55,2,FALSE)</f>
      </c>
      <c r="F184" s="3"/>
      <c r="G184" s="6"/>
      <c r="H184" s="3">
        <f t="shared" si="11"/>
      </c>
      <c r="I184" s="4">
        <v>28.3</v>
      </c>
      <c r="J184" s="4">
        <f t="shared" si="13"/>
      </c>
      <c r="K184" s="4">
        <f t="shared" si="14"/>
      </c>
      <c r="L184" s="4">
        <f>(TablaMarimba6[[#This Row],[Saldo inicial(vales)]]-TablaMarimba6[[#This Row],[Importe]])</f>
      </c>
      <c r="M184" s="4">
        <f t="shared" si="12"/>
      </c>
      <c r="N184" s="4"/>
    </row>
    <row r="185" spans="1:14">
      <c r="A185" s="2"/>
      <c r="E185">
        <f>VLOOKUP(TablaMarimba6[[#This Row],[Equipo]],Catalogos!$V$4:$W$55,2,FALSE)</f>
      </c>
      <c r="F185" s="3"/>
      <c r="G185" s="6"/>
      <c r="H185" s="3">
        <f t="shared" si="11"/>
      </c>
      <c r="I185" s="4">
        <v>28.3</v>
      </c>
      <c r="J185" s="4">
        <f t="shared" si="13"/>
      </c>
      <c r="K185" s="4">
        <f t="shared" si="14"/>
      </c>
      <c r="L185" s="4">
        <f>(TablaMarimba6[[#This Row],[Saldo inicial(vales)]]-TablaMarimba6[[#This Row],[Importe]])</f>
      </c>
      <c r="M185" s="4">
        <f t="shared" si="12"/>
      </c>
      <c r="N185" s="4"/>
    </row>
    <row r="186" spans="1:14">
      <c r="A186" s="2"/>
      <c r="E186">
        <f>VLOOKUP(TablaMarimba6[[#This Row],[Equipo]],Catalogos!$V$4:$W$55,2,FALSE)</f>
      </c>
      <c r="F186" s="3"/>
      <c r="G186" s="6"/>
      <c r="H186" s="3">
        <f t="shared" si="11"/>
      </c>
      <c r="I186" s="4">
        <v>28.3</v>
      </c>
      <c r="J186" s="4">
        <f t="shared" si="13"/>
      </c>
      <c r="K186" s="4">
        <f t="shared" si="14"/>
      </c>
      <c r="L186" s="4">
        <f>(TablaMarimba6[[#This Row],[Saldo inicial(vales)]]-TablaMarimba6[[#This Row],[Importe]])</f>
      </c>
      <c r="M186" s="4">
        <f t="shared" si="12"/>
      </c>
      <c r="N186" s="4"/>
    </row>
    <row r="187" spans="1:14">
      <c r="A187" s="2"/>
      <c r="E187">
        <f>VLOOKUP(TablaMarimba6[[#This Row],[Equipo]],Catalogos!$V$4:$W$55,2,FALSE)</f>
      </c>
      <c r="F187" s="3"/>
      <c r="G187" s="6"/>
      <c r="H187" s="3">
        <f t="shared" si="11"/>
      </c>
      <c r="I187" s="4">
        <v>28.3</v>
      </c>
      <c r="J187" s="4">
        <f t="shared" si="13"/>
      </c>
      <c r="K187" s="4">
        <f t="shared" si="14"/>
      </c>
      <c r="L187" s="4">
        <f>(TablaMarimba6[[#This Row],[Saldo inicial(vales)]]-TablaMarimba6[[#This Row],[Importe]])</f>
      </c>
      <c r="M187" s="4">
        <f t="shared" si="12"/>
      </c>
      <c r="N187" s="4"/>
    </row>
    <row r="188" spans="1:14">
      <c r="A188" s="2"/>
      <c r="E188">
        <f>VLOOKUP(TablaMarimba6[[#This Row],[Equipo]],Catalogos!$V$4:$W$55,2,FALSE)</f>
      </c>
      <c r="F188" s="3"/>
      <c r="G188" s="6"/>
      <c r="H188" s="3">
        <f t="shared" si="11"/>
      </c>
      <c r="I188" s="4">
        <v>28.3</v>
      </c>
      <c r="J188" s="4">
        <f t="shared" si="13"/>
      </c>
      <c r="K188" s="4">
        <f t="shared" si="14"/>
      </c>
      <c r="L188" s="4">
        <f>(TablaMarimba6[[#This Row],[Saldo inicial(vales)]]-TablaMarimba6[[#This Row],[Importe]])</f>
      </c>
      <c r="M188" s="4">
        <f t="shared" si="12"/>
      </c>
      <c r="N188" s="4"/>
    </row>
    <row r="189" spans="1:14">
      <c r="A189" s="2"/>
      <c r="E189">
        <f>VLOOKUP(TablaMarimba6[[#This Row],[Equipo]],Catalogos!$V$4:$W$55,2,FALSE)</f>
      </c>
      <c r="F189" s="3"/>
      <c r="G189" s="6"/>
      <c r="H189" s="3">
        <f t="shared" si="11"/>
      </c>
      <c r="I189" s="4">
        <v>28.3</v>
      </c>
      <c r="J189" s="4">
        <f t="shared" si="13"/>
      </c>
      <c r="K189" s="4">
        <f t="shared" si="14"/>
      </c>
      <c r="L189" s="4">
        <f>(TablaMarimba6[[#This Row],[Saldo inicial(vales)]]-TablaMarimba6[[#This Row],[Importe]])</f>
      </c>
      <c r="M189" s="4">
        <f t="shared" si="12"/>
      </c>
      <c r="N189" s="4"/>
    </row>
    <row r="190" spans="1:14">
      <c r="A190" s="2"/>
      <c r="E190">
        <f>VLOOKUP(TablaMarimba6[[#This Row],[Equipo]],Catalogos!$V$4:$W$55,2,FALSE)</f>
      </c>
      <c r="F190" s="3"/>
      <c r="G190" s="6"/>
      <c r="H190" s="3">
        <f t="shared" si="11"/>
      </c>
      <c r="I190" s="4">
        <v>28.3</v>
      </c>
      <c r="J190" s="4">
        <f t="shared" si="13"/>
      </c>
      <c r="K190" s="4">
        <f t="shared" si="14"/>
      </c>
      <c r="L190" s="4">
        <f>(TablaMarimba6[[#This Row],[Saldo inicial(vales)]]-TablaMarimba6[[#This Row],[Importe]])</f>
      </c>
      <c r="M190" s="4">
        <f t="shared" si="12"/>
      </c>
      <c r="N190" s="4"/>
    </row>
    <row r="191" spans="1:14">
      <c r="A191" s="2"/>
      <c r="E191">
        <f>VLOOKUP(TablaMarimba6[[#This Row],[Equipo]],Catalogos!$V$4:$W$55,2,FALSE)</f>
      </c>
      <c r="F191" s="3"/>
      <c r="G191" s="6"/>
      <c r="H191" s="3">
        <f t="shared" si="11"/>
      </c>
      <c r="I191" s="4">
        <v>28.3</v>
      </c>
      <c r="J191" s="4">
        <f t="shared" si="13"/>
      </c>
      <c r="K191" s="4">
        <f t="shared" si="14"/>
      </c>
      <c r="L191" s="4">
        <f>(TablaMarimba6[[#This Row],[Saldo inicial(vales)]]-TablaMarimba6[[#This Row],[Importe]])</f>
      </c>
      <c r="M191" s="4">
        <f t="shared" si="12"/>
      </c>
      <c r="N191" s="4"/>
    </row>
    <row r="192" spans="1:14">
      <c r="A192" s="2"/>
      <c r="E192">
        <f>VLOOKUP(TablaMarimba6[[#This Row],[Equipo]],Catalogos!$V$4:$W$55,2,FALSE)</f>
      </c>
      <c r="F192" s="3"/>
      <c r="G192" s="6"/>
      <c r="H192" s="3">
        <f t="shared" si="11"/>
      </c>
      <c r="I192" s="4">
        <v>28.3</v>
      </c>
      <c r="J192" s="4">
        <f t="shared" si="13"/>
      </c>
      <c r="K192" s="4">
        <f t="shared" si="14"/>
      </c>
      <c r="L192" s="4">
        <f>(TablaMarimba6[[#This Row],[Saldo inicial(vales)]]-TablaMarimba6[[#This Row],[Importe]])</f>
      </c>
      <c r="M192" s="4">
        <f t="shared" si="12"/>
      </c>
      <c r="N192" s="4"/>
    </row>
    <row r="193" spans="1:14">
      <c r="A193" s="2"/>
      <c r="E193">
        <f>VLOOKUP(TablaMarimba6[[#This Row],[Equipo]],Catalogos!$V$4:$W$55,2,FALSE)</f>
      </c>
      <c r="F193" s="3"/>
      <c r="G193" s="6"/>
      <c r="H193" s="3">
        <f t="shared" si="11"/>
      </c>
      <c r="I193" s="4">
        <v>28.3</v>
      </c>
      <c r="J193" s="4">
        <f t="shared" si="13"/>
      </c>
      <c r="K193" s="4">
        <f t="shared" si="14"/>
      </c>
      <c r="L193" s="4">
        <f>(TablaMarimba6[[#This Row],[Saldo inicial(vales)]]-TablaMarimba6[[#This Row],[Importe]])</f>
      </c>
      <c r="M193" s="4">
        <f t="shared" si="12"/>
      </c>
      <c r="N193" s="4"/>
    </row>
    <row r="194" spans="1:14">
      <c r="A194" s="2"/>
      <c r="E194">
        <f>VLOOKUP(TablaMarimba6[[#This Row],[Equipo]],Catalogos!$V$4:$W$55,2,FALSE)</f>
      </c>
      <c r="F194" s="3"/>
      <c r="G194" s="6"/>
      <c r="H194" s="3">
        <f t="shared" ref="H194:H206" si="15">IF(ROW()=5,F194-G194,H193+F194-G194)</f>
      </c>
      <c r="I194" s="4">
        <v>28.3</v>
      </c>
      <c r="J194" s="4">
        <f t="shared" si="13"/>
      </c>
      <c r="K194" s="4">
        <f t="shared" si="14"/>
      </c>
      <c r="L194" s="4">
        <f>(TablaMarimba6[[#This Row],[Saldo inicial(vales)]]-TablaMarimba6[[#This Row],[Importe]])</f>
      </c>
      <c r="M194" s="4">
        <f t="shared" si="12"/>
      </c>
      <c r="N194" s="4"/>
    </row>
    <row r="195" spans="1:14">
      <c r="A195" s="2"/>
      <c r="E195">
        <f>VLOOKUP(TablaMarimba6[[#This Row],[Equipo]],Catalogos!$V$4:$W$55,2,FALSE)</f>
      </c>
      <c r="F195" s="3"/>
      <c r="G195" s="6"/>
      <c r="H195" s="3">
        <f t="shared" si="15"/>
      </c>
      <c r="I195" s="4">
        <v>28.3</v>
      </c>
      <c r="J195" s="4">
        <f t="shared" si="13"/>
      </c>
      <c r="K195" s="4">
        <f t="shared" si="14"/>
      </c>
      <c r="L195" s="4">
        <f>(TablaMarimba6[[#This Row],[Saldo inicial(vales)]]-TablaMarimba6[[#This Row],[Importe]])</f>
      </c>
      <c r="M195" s="4">
        <f t="shared" si="12"/>
      </c>
      <c r="N195" s="4"/>
    </row>
    <row r="196" spans="1:14">
      <c r="A196" s="2"/>
      <c r="E196">
        <f>VLOOKUP(TablaMarimba6[[#This Row],[Equipo]],Catalogos!$V$4:$W$55,2,FALSE)</f>
      </c>
      <c r="F196" s="3"/>
      <c r="G196" s="6"/>
      <c r="H196" s="3">
        <f t="shared" si="15"/>
      </c>
      <c r="I196" s="4">
        <v>28.3</v>
      </c>
      <c r="J196" s="4">
        <f t="shared" si="13"/>
      </c>
      <c r="K196" s="4">
        <f t="shared" si="14"/>
      </c>
      <c r="L196" s="4">
        <f>(TablaMarimba6[[#This Row],[Saldo inicial(vales)]]-TablaMarimba6[[#This Row],[Importe]])</f>
      </c>
      <c r="M196" s="4">
        <f t="shared" si="12"/>
      </c>
      <c r="N196" s="4"/>
    </row>
    <row r="197" spans="1:14">
      <c r="A197" s="2"/>
      <c r="E197">
        <f>VLOOKUP(TablaMarimba6[[#This Row],[Equipo]],Catalogos!$V$4:$W$55,2,FALSE)</f>
      </c>
      <c r="F197" s="3"/>
      <c r="G197" s="6"/>
      <c r="H197" s="3">
        <f t="shared" si="15"/>
      </c>
      <c r="I197" s="4">
        <v>28.3</v>
      </c>
      <c r="J197" s="4">
        <f t="shared" si="13"/>
      </c>
      <c r="K197" s="4">
        <f t="shared" si="14"/>
      </c>
      <c r="L197" s="4">
        <f>(TablaMarimba6[[#This Row],[Saldo inicial(vales)]]-TablaMarimba6[[#This Row],[Importe]])</f>
      </c>
      <c r="M197" s="4">
        <f t="shared" ref="M197:M260" si="16">IF(A197="","", WEEKNUM(A197, 2))</f>
      </c>
      <c r="N197" s="4"/>
    </row>
    <row r="198" spans="1:14">
      <c r="A198" s="2"/>
      <c r="E198">
        <f>VLOOKUP(TablaMarimba6[[#This Row],[Equipo]],Catalogos!$V$4:$W$55,2,FALSE)</f>
      </c>
      <c r="F198" s="3"/>
      <c r="G198" s="6"/>
      <c r="H198" s="3">
        <f t="shared" si="15"/>
      </c>
      <c r="I198" s="4">
        <v>28.3</v>
      </c>
      <c r="J198" s="4">
        <f t="shared" si="13"/>
      </c>
      <c r="K198" s="4">
        <f t="shared" si="14"/>
      </c>
      <c r="L198" s="4">
        <f>(TablaMarimba6[[#This Row],[Saldo inicial(vales)]]-TablaMarimba6[[#This Row],[Importe]])</f>
      </c>
      <c r="M198" s="4">
        <f t="shared" si="16"/>
      </c>
      <c r="N198" s="4"/>
    </row>
    <row r="199" spans="1:14">
      <c r="A199" s="2"/>
      <c r="E199">
        <f>VLOOKUP(TablaMarimba6[[#This Row],[Equipo]],Catalogos!$V$4:$W$55,2,FALSE)</f>
      </c>
      <c r="F199" s="3"/>
      <c r="G199" s="6"/>
      <c r="H199" s="3">
        <f t="shared" si="15"/>
      </c>
      <c r="I199" s="4">
        <v>28.3</v>
      </c>
      <c r="J199" s="4">
        <f t="shared" si="13"/>
      </c>
      <c r="K199" s="4">
        <f t="shared" si="14"/>
      </c>
      <c r="L199" s="4">
        <f>(TablaMarimba6[[#This Row],[Saldo inicial(vales)]]-TablaMarimba6[[#This Row],[Importe]])</f>
      </c>
      <c r="M199" s="4">
        <f t="shared" si="16"/>
      </c>
      <c r="N199" s="4"/>
    </row>
    <row r="200" spans="1:14">
      <c r="A200" s="2"/>
      <c r="E200">
        <f>VLOOKUP(TablaMarimba6[[#This Row],[Equipo]],Catalogos!$V$4:$W$55,2,FALSE)</f>
      </c>
      <c r="F200" s="3"/>
      <c r="G200" s="6"/>
      <c r="H200" s="3">
        <f t="shared" si="15"/>
      </c>
      <c r="I200" s="4">
        <v>28.3</v>
      </c>
      <c r="J200" s="4">
        <f t="shared" si="13"/>
      </c>
      <c r="K200" s="4">
        <f t="shared" si="14"/>
      </c>
      <c r="L200" s="4">
        <f>(TablaMarimba6[[#This Row],[Saldo inicial(vales)]]-TablaMarimba6[[#This Row],[Importe]])</f>
      </c>
      <c r="M200" s="4">
        <f t="shared" si="16"/>
      </c>
      <c r="N200" s="4"/>
    </row>
    <row r="201" spans="1:14">
      <c r="A201" s="2"/>
      <c r="E201">
        <f>VLOOKUP(TablaMarimba6[[#This Row],[Equipo]],Catalogos!$V$4:$W$55,2,FALSE)</f>
      </c>
      <c r="F201" s="3"/>
      <c r="G201" s="6"/>
      <c r="H201" s="3">
        <f t="shared" si="15"/>
      </c>
      <c r="I201" s="4">
        <v>28.3</v>
      </c>
      <c r="J201" s="4">
        <f t="shared" si="13"/>
      </c>
      <c r="K201" s="4">
        <f t="shared" si="14"/>
      </c>
      <c r="L201" s="4">
        <f>(TablaMarimba6[[#This Row],[Saldo inicial(vales)]]-TablaMarimba6[[#This Row],[Importe]])</f>
      </c>
      <c r="M201" s="4">
        <f t="shared" si="16"/>
      </c>
      <c r="N201" s="4"/>
    </row>
    <row r="202" spans="1:14">
      <c r="A202" s="2"/>
      <c r="E202">
        <f>VLOOKUP(TablaMarimba6[[#This Row],[Equipo]],Catalogos!$V$4:$W$55,2,FALSE)</f>
      </c>
      <c r="F202" s="3"/>
      <c r="G202" s="6"/>
      <c r="H202" s="3">
        <f t="shared" si="15"/>
      </c>
      <c r="I202" s="4">
        <v>28.3</v>
      </c>
      <c r="J202" s="4">
        <f t="shared" si="13"/>
      </c>
      <c r="K202" s="4">
        <f t="shared" si="14"/>
      </c>
      <c r="L202" s="4">
        <f>(TablaMarimba6[[#This Row],[Saldo inicial(vales)]]-TablaMarimba6[[#This Row],[Importe]])</f>
      </c>
      <c r="M202" s="4">
        <f t="shared" si="16"/>
      </c>
      <c r="N202" s="4"/>
    </row>
    <row r="203" spans="1:14">
      <c r="A203" s="2"/>
      <c r="E203">
        <f>VLOOKUP(TablaMarimba6[[#This Row],[Equipo]],Catalogos!$V$4:$W$55,2,FALSE)</f>
      </c>
      <c r="F203" s="3"/>
      <c r="G203" s="6"/>
      <c r="H203" s="3">
        <f t="shared" si="15"/>
      </c>
      <c r="I203" s="4">
        <v>28.3</v>
      </c>
      <c r="J203" s="4">
        <f t="shared" si="13"/>
      </c>
      <c r="K203" s="4">
        <f t="shared" si="14"/>
      </c>
      <c r="L203" s="4">
        <f>(TablaMarimba6[[#This Row],[Saldo inicial(vales)]]-TablaMarimba6[[#This Row],[Importe]])</f>
      </c>
      <c r="M203" s="4">
        <f t="shared" si="16"/>
      </c>
      <c r="N203" s="4"/>
    </row>
    <row r="204" spans="1:14">
      <c r="A204" s="2"/>
      <c r="E204">
        <f>VLOOKUP(TablaMarimba6[[#This Row],[Equipo]],Catalogos!$V$4:$W$55,2,FALSE)</f>
      </c>
      <c r="F204" s="3"/>
      <c r="G204" s="6"/>
      <c r="H204" s="3">
        <f t="shared" si="15"/>
      </c>
      <c r="I204" s="4">
        <v>28.3</v>
      </c>
      <c r="J204" s="4">
        <f t="shared" ref="J204:J206" si="17">IFERROR((F204+G204)*I204,0)</f>
      </c>
      <c r="K204" s="4">
        <f t="shared" si="14"/>
      </c>
      <c r="L204" s="4">
        <f>(TablaMarimba6[[#This Row],[Saldo inicial(vales)]]-TablaMarimba6[[#This Row],[Importe]])</f>
      </c>
      <c r="M204" s="4">
        <f t="shared" si="16"/>
      </c>
      <c r="N204" s="4"/>
    </row>
    <row r="205" spans="1:14">
      <c r="A205" s="2"/>
      <c r="E205">
        <f>VLOOKUP(TablaMarimba6[[#This Row],[Equipo]],Catalogos!$V$4:$W$55,2,FALSE)</f>
      </c>
      <c r="F205" s="3"/>
      <c r="G205" s="6"/>
      <c r="H205" s="3">
        <f t="shared" si="15"/>
      </c>
      <c r="I205" s="4">
        <v>28.3</v>
      </c>
      <c r="J205" s="4">
        <f t="shared" si="17"/>
      </c>
      <c r="K205" s="4">
        <f t="shared" si="14"/>
      </c>
      <c r="L205" s="4">
        <f>(TablaMarimba6[[#This Row],[Saldo inicial(vales)]]-TablaMarimba6[[#This Row],[Importe]])</f>
      </c>
      <c r="M205" s="4">
        <f t="shared" si="16"/>
      </c>
      <c r="N205" s="4"/>
    </row>
    <row r="206" spans="1:14">
      <c r="A206" s="2"/>
      <c r="E206">
        <f>VLOOKUP(TablaMarimba6[[#This Row],[Equipo]],Catalogos!$V$4:$W$55,2,FALSE)</f>
      </c>
      <c r="F206" s="3"/>
      <c r="G206" s="6"/>
      <c r="H206" s="3">
        <f t="shared" si="15"/>
      </c>
      <c r="I206" s="4">
        <v>28.3</v>
      </c>
      <c r="J206" s="4">
        <f t="shared" si="17"/>
      </c>
      <c r="K206" s="4">
        <f t="shared" si="14"/>
      </c>
      <c r="L206" s="4">
        <f>(TablaMarimba6[[#This Row],[Saldo inicial(vales)]]-TablaMarimba6[[#This Row],[Importe]])</f>
      </c>
      <c r="M206" s="4">
        <f t="shared" si="16"/>
      </c>
      <c r="N206" s="4"/>
    </row>
    <row r="207" spans="1:14">
      <c r="M207">
        <f t="shared" si="16"/>
      </c>
    </row>
    <row r="208" spans="1:14">
      <c r="M208">
        <f t="shared" si="16"/>
      </c>
    </row>
    <row r="209" spans="13:13">
      <c r="M209">
        <f t="shared" si="16"/>
      </c>
    </row>
    <row r="210" spans="13:13">
      <c r="M210">
        <f t="shared" si="16"/>
      </c>
    </row>
    <row r="211" spans="13:13">
      <c r="M211">
        <f t="shared" si="16"/>
      </c>
    </row>
    <row r="212" spans="13:13">
      <c r="M212">
        <f t="shared" si="16"/>
      </c>
    </row>
    <row r="213" spans="13:13">
      <c r="M213">
        <f t="shared" si="16"/>
      </c>
    </row>
    <row r="214" spans="13:13">
      <c r="M214">
        <f t="shared" si="16"/>
      </c>
    </row>
    <row r="215" spans="13:13">
      <c r="M215">
        <f t="shared" si="16"/>
      </c>
    </row>
    <row r="216" spans="13:13">
      <c r="M216">
        <f t="shared" si="16"/>
      </c>
    </row>
    <row r="217" spans="13:13">
      <c r="M217">
        <f t="shared" si="16"/>
      </c>
    </row>
    <row r="218" spans="13:13">
      <c r="M218">
        <f t="shared" si="16"/>
      </c>
    </row>
    <row r="219" spans="13:13">
      <c r="M219">
        <f t="shared" si="16"/>
      </c>
    </row>
    <row r="220" spans="13:13">
      <c r="M220">
        <f t="shared" si="16"/>
      </c>
    </row>
    <row r="221" spans="13:13">
      <c r="M221">
        <f t="shared" si="16"/>
      </c>
    </row>
    <row r="222" spans="13:13">
      <c r="M222">
        <f t="shared" si="16"/>
      </c>
    </row>
    <row r="223" spans="13:13">
      <c r="M223">
        <f t="shared" si="16"/>
      </c>
    </row>
    <row r="224" spans="13:13">
      <c r="M224">
        <f t="shared" si="16"/>
      </c>
    </row>
    <row r="225" spans="13:13">
      <c r="M225">
        <f t="shared" si="16"/>
      </c>
    </row>
    <row r="226" spans="13:13">
      <c r="M226">
        <f t="shared" si="16"/>
      </c>
    </row>
    <row r="227" spans="13:13">
      <c r="M227">
        <f t="shared" si="16"/>
      </c>
    </row>
    <row r="228" spans="13:13">
      <c r="M228">
        <f t="shared" si="16"/>
      </c>
    </row>
    <row r="229" spans="13:13">
      <c r="M229">
        <f t="shared" si="16"/>
      </c>
    </row>
    <row r="230" spans="13:13">
      <c r="M230">
        <f t="shared" si="16"/>
      </c>
    </row>
    <row r="231" spans="13:13">
      <c r="M231">
        <f t="shared" si="16"/>
      </c>
    </row>
    <row r="232" spans="13:13">
      <c r="M232">
        <f t="shared" si="16"/>
      </c>
    </row>
    <row r="233" spans="13:13">
      <c r="M233">
        <f t="shared" si="16"/>
      </c>
    </row>
    <row r="234" spans="13:13">
      <c r="M234">
        <f t="shared" si="16"/>
      </c>
    </row>
    <row r="235" spans="13:13">
      <c r="M235">
        <f t="shared" si="16"/>
      </c>
    </row>
    <row r="236" spans="13:13">
      <c r="M236">
        <f t="shared" si="16"/>
      </c>
    </row>
    <row r="237" spans="13:13">
      <c r="M237">
        <f t="shared" si="16"/>
      </c>
    </row>
    <row r="238" spans="13:13">
      <c r="M238">
        <f t="shared" si="16"/>
      </c>
    </row>
    <row r="239" spans="13:13">
      <c r="M239">
        <f t="shared" si="16"/>
      </c>
    </row>
    <row r="240" spans="13:13">
      <c r="M240">
        <f t="shared" si="16"/>
      </c>
    </row>
    <row r="241" spans="13:13">
      <c r="M241">
        <f t="shared" si="16"/>
      </c>
    </row>
    <row r="242" spans="13:13">
      <c r="M242">
        <f t="shared" si="16"/>
      </c>
    </row>
    <row r="243" spans="13:13">
      <c r="M243">
        <f t="shared" si="16"/>
      </c>
    </row>
    <row r="244" spans="13:13">
      <c r="M244">
        <f t="shared" si="16"/>
      </c>
    </row>
    <row r="245" spans="13:13">
      <c r="M245">
        <f t="shared" si="16"/>
      </c>
    </row>
    <row r="246" spans="13:13">
      <c r="M246">
        <f t="shared" si="16"/>
      </c>
    </row>
    <row r="247" spans="13:13">
      <c r="M247">
        <f t="shared" si="16"/>
      </c>
    </row>
    <row r="248" spans="13:13">
      <c r="M248">
        <f t="shared" si="16"/>
      </c>
    </row>
    <row r="249" spans="13:13">
      <c r="M249">
        <f t="shared" si="16"/>
      </c>
    </row>
    <row r="250" spans="13:13">
      <c r="M250">
        <f t="shared" si="16"/>
      </c>
    </row>
    <row r="251" spans="13:13">
      <c r="M251">
        <f t="shared" si="16"/>
      </c>
    </row>
    <row r="252" spans="13:13">
      <c r="M252">
        <f t="shared" si="16"/>
      </c>
    </row>
    <row r="253" spans="13:13">
      <c r="M253">
        <f t="shared" si="16"/>
      </c>
    </row>
    <row r="254" spans="13:13">
      <c r="M254">
        <f t="shared" si="16"/>
      </c>
    </row>
    <row r="255" spans="13:13">
      <c r="M255">
        <f t="shared" si="16"/>
      </c>
    </row>
    <row r="256" spans="13:13">
      <c r="M256">
        <f t="shared" si="16"/>
      </c>
    </row>
    <row r="257" spans="13:13">
      <c r="M257">
        <f t="shared" si="16"/>
      </c>
    </row>
    <row r="258" spans="13:13">
      <c r="M258">
        <f t="shared" si="16"/>
      </c>
    </row>
    <row r="259" spans="13:13">
      <c r="M259">
        <f t="shared" si="16"/>
      </c>
    </row>
    <row r="260" spans="13:13">
      <c r="M260">
        <f t="shared" si="16"/>
      </c>
    </row>
    <row r="261" spans="13:13">
      <c r="M261">
        <f t="shared" ref="M261:M324" si="18">IF(A261="","", WEEKNUM(A261, 2))</f>
      </c>
    </row>
    <row r="262" spans="13:13">
      <c r="M262">
        <f t="shared" si="18"/>
      </c>
    </row>
    <row r="263" spans="13:13">
      <c r="M263">
        <f t="shared" si="18"/>
      </c>
    </row>
    <row r="264" spans="13:13">
      <c r="M264">
        <f t="shared" si="18"/>
      </c>
    </row>
    <row r="265" spans="13:13">
      <c r="M265">
        <f t="shared" si="18"/>
      </c>
    </row>
    <row r="266" spans="13:13">
      <c r="M266">
        <f t="shared" si="18"/>
      </c>
    </row>
    <row r="267" spans="13:13">
      <c r="M267">
        <f t="shared" si="18"/>
      </c>
    </row>
    <row r="268" spans="13:13">
      <c r="M268">
        <f t="shared" si="18"/>
      </c>
    </row>
    <row r="269" spans="13:13">
      <c r="M269">
        <f t="shared" si="18"/>
      </c>
    </row>
    <row r="270" spans="13:13">
      <c r="M270">
        <f t="shared" si="18"/>
      </c>
    </row>
    <row r="271" spans="13:13">
      <c r="M271">
        <f t="shared" si="18"/>
      </c>
    </row>
    <row r="272" spans="13:13">
      <c r="M272">
        <f t="shared" si="18"/>
      </c>
    </row>
    <row r="273" spans="13:13">
      <c r="M273">
        <f t="shared" si="18"/>
      </c>
    </row>
    <row r="274" spans="13:13">
      <c r="M274">
        <f t="shared" si="18"/>
      </c>
    </row>
    <row r="275" spans="13:13">
      <c r="M275">
        <f t="shared" si="18"/>
      </c>
    </row>
    <row r="276" spans="13:13">
      <c r="M276">
        <f t="shared" si="18"/>
      </c>
    </row>
    <row r="277" spans="13:13">
      <c r="M277">
        <f t="shared" si="18"/>
      </c>
    </row>
    <row r="278" spans="13:13">
      <c r="M278">
        <f t="shared" si="18"/>
      </c>
    </row>
    <row r="279" spans="13:13">
      <c r="M279">
        <f t="shared" si="18"/>
      </c>
    </row>
    <row r="280" spans="13:13">
      <c r="M280">
        <f t="shared" si="18"/>
      </c>
    </row>
    <row r="281" spans="13:13">
      <c r="M281">
        <f t="shared" si="18"/>
      </c>
    </row>
    <row r="282" spans="13:13">
      <c r="M282">
        <f t="shared" si="18"/>
      </c>
    </row>
    <row r="283" spans="13:13">
      <c r="M283">
        <f t="shared" si="18"/>
      </c>
    </row>
    <row r="284" spans="13:13">
      <c r="M284">
        <f t="shared" si="18"/>
      </c>
    </row>
    <row r="285" spans="13:13">
      <c r="M285">
        <f t="shared" si="18"/>
      </c>
    </row>
    <row r="286" spans="13:13">
      <c r="M286">
        <f t="shared" si="18"/>
      </c>
    </row>
    <row r="287" spans="13:13">
      <c r="M287">
        <f t="shared" si="18"/>
      </c>
    </row>
    <row r="288" spans="13:13">
      <c r="M288">
        <f t="shared" si="18"/>
      </c>
    </row>
    <row r="289" spans="13:13">
      <c r="M289">
        <f t="shared" si="18"/>
      </c>
    </row>
    <row r="290" spans="13:13">
      <c r="M290">
        <f t="shared" si="18"/>
      </c>
    </row>
    <row r="291" spans="13:13">
      <c r="M291">
        <f t="shared" si="18"/>
      </c>
    </row>
    <row r="292" spans="13:13">
      <c r="M292">
        <f t="shared" si="18"/>
      </c>
    </row>
    <row r="293" spans="13:13">
      <c r="M293">
        <f t="shared" si="18"/>
      </c>
    </row>
    <row r="294" spans="13:13">
      <c r="M294">
        <f t="shared" si="18"/>
      </c>
    </row>
    <row r="295" spans="13:13">
      <c r="M295">
        <f t="shared" si="18"/>
      </c>
    </row>
    <row r="296" spans="13:13">
      <c r="M296">
        <f t="shared" si="18"/>
      </c>
    </row>
    <row r="297" spans="13:13">
      <c r="M297">
        <f t="shared" si="18"/>
      </c>
    </row>
    <row r="298" spans="13:13">
      <c r="M298">
        <f t="shared" si="18"/>
      </c>
    </row>
    <row r="299" spans="13:13">
      <c r="M299">
        <f t="shared" si="18"/>
      </c>
    </row>
    <row r="300" spans="13:13">
      <c r="M300">
        <f t="shared" si="18"/>
      </c>
    </row>
    <row r="301" spans="13:13">
      <c r="M301">
        <f t="shared" si="18"/>
      </c>
    </row>
    <row r="302" spans="13:13">
      <c r="M302">
        <f t="shared" si="18"/>
      </c>
    </row>
    <row r="303" spans="13:13">
      <c r="M303">
        <f t="shared" si="18"/>
      </c>
    </row>
    <row r="304" spans="13:13">
      <c r="M304">
        <f t="shared" si="18"/>
      </c>
    </row>
    <row r="305" spans="13:13">
      <c r="M305">
        <f t="shared" si="18"/>
      </c>
    </row>
    <row r="306" spans="13:13">
      <c r="M306">
        <f t="shared" si="18"/>
      </c>
    </row>
    <row r="307" spans="13:13">
      <c r="M307">
        <f t="shared" si="18"/>
      </c>
    </row>
    <row r="308" spans="13:13">
      <c r="M308">
        <f t="shared" si="18"/>
      </c>
    </row>
    <row r="309" spans="13:13">
      <c r="M309">
        <f t="shared" si="18"/>
      </c>
    </row>
    <row r="310" spans="13:13">
      <c r="M310">
        <f t="shared" si="18"/>
      </c>
    </row>
    <row r="311" spans="13:13">
      <c r="M311">
        <f t="shared" si="18"/>
      </c>
    </row>
    <row r="312" spans="13:13">
      <c r="M312">
        <f t="shared" si="18"/>
      </c>
    </row>
    <row r="313" spans="13:13">
      <c r="M313">
        <f t="shared" si="18"/>
      </c>
    </row>
    <row r="314" spans="13:13">
      <c r="M314">
        <f t="shared" si="18"/>
      </c>
    </row>
    <row r="315" spans="13:13">
      <c r="M315">
        <f t="shared" si="18"/>
      </c>
    </row>
    <row r="316" spans="13:13">
      <c r="M316">
        <f t="shared" si="18"/>
      </c>
    </row>
    <row r="317" spans="13:13">
      <c r="M317">
        <f t="shared" si="18"/>
      </c>
    </row>
    <row r="318" spans="13:13">
      <c r="M318">
        <f t="shared" si="18"/>
      </c>
    </row>
    <row r="319" spans="13:13">
      <c r="M319">
        <f t="shared" si="18"/>
      </c>
    </row>
    <row r="320" spans="13:13">
      <c r="M320">
        <f t="shared" si="18"/>
      </c>
    </row>
    <row r="321" spans="13:13">
      <c r="M321">
        <f t="shared" si="18"/>
      </c>
    </row>
    <row r="322" spans="13:13">
      <c r="M322">
        <f t="shared" si="18"/>
      </c>
    </row>
    <row r="323" spans="13:13">
      <c r="M323">
        <f t="shared" si="18"/>
      </c>
    </row>
    <row r="324" spans="13:13">
      <c r="M324">
        <f t="shared" si="18"/>
      </c>
    </row>
    <row r="325" spans="13:13">
      <c r="M325">
        <f t="shared" ref="M325:M388" si="19">IF(A325="","", WEEKNUM(A325, 2))</f>
      </c>
    </row>
    <row r="326" spans="13:13">
      <c r="M326">
        <f t="shared" si="19"/>
      </c>
    </row>
    <row r="327" spans="13:13">
      <c r="M327">
        <f t="shared" si="19"/>
      </c>
    </row>
    <row r="328" spans="13:13">
      <c r="M328">
        <f t="shared" si="19"/>
      </c>
    </row>
    <row r="329" spans="13:13">
      <c r="M329">
        <f t="shared" si="19"/>
      </c>
    </row>
    <row r="330" spans="13:13">
      <c r="M330">
        <f t="shared" si="19"/>
      </c>
    </row>
    <row r="331" spans="13:13">
      <c r="M331">
        <f t="shared" si="19"/>
      </c>
    </row>
    <row r="332" spans="13:13">
      <c r="M332">
        <f t="shared" si="19"/>
      </c>
    </row>
    <row r="333" spans="13:13">
      <c r="M333">
        <f t="shared" si="19"/>
      </c>
    </row>
    <row r="334" spans="13:13">
      <c r="M334">
        <f t="shared" si="19"/>
      </c>
    </row>
    <row r="335" spans="13:13">
      <c r="M335">
        <f t="shared" si="19"/>
      </c>
    </row>
    <row r="336" spans="13:13">
      <c r="M336">
        <f t="shared" si="19"/>
      </c>
    </row>
    <row r="337" spans="13:13">
      <c r="M337">
        <f t="shared" si="19"/>
      </c>
    </row>
    <row r="338" spans="13:13">
      <c r="M338">
        <f t="shared" si="19"/>
      </c>
    </row>
    <row r="339" spans="13:13">
      <c r="M339">
        <f t="shared" si="19"/>
      </c>
    </row>
    <row r="340" spans="13:13">
      <c r="M340">
        <f t="shared" si="19"/>
      </c>
    </row>
    <row r="341" spans="13:13">
      <c r="M341">
        <f t="shared" si="19"/>
      </c>
    </row>
    <row r="342" spans="13:13">
      <c r="M342">
        <f t="shared" si="19"/>
      </c>
    </row>
    <row r="343" spans="13:13">
      <c r="M343">
        <f t="shared" si="19"/>
      </c>
    </row>
    <row r="344" spans="13:13">
      <c r="M344">
        <f t="shared" si="19"/>
      </c>
    </row>
    <row r="345" spans="13:13">
      <c r="M345">
        <f t="shared" si="19"/>
      </c>
    </row>
    <row r="346" spans="13:13">
      <c r="M346">
        <f t="shared" si="19"/>
      </c>
    </row>
    <row r="347" spans="13:13">
      <c r="M347">
        <f t="shared" si="19"/>
      </c>
    </row>
    <row r="348" spans="13:13">
      <c r="M348">
        <f t="shared" si="19"/>
      </c>
    </row>
    <row r="349" spans="13:13">
      <c r="M349">
        <f t="shared" si="19"/>
      </c>
    </row>
    <row r="350" spans="13:13">
      <c r="M350">
        <f t="shared" si="19"/>
      </c>
    </row>
    <row r="351" spans="13:13">
      <c r="M351">
        <f t="shared" si="19"/>
      </c>
    </row>
    <row r="352" spans="13:13">
      <c r="M352">
        <f t="shared" si="19"/>
      </c>
    </row>
    <row r="353" spans="13:13">
      <c r="M353">
        <f t="shared" si="19"/>
      </c>
    </row>
    <row r="354" spans="13:13">
      <c r="M354">
        <f t="shared" si="19"/>
      </c>
    </row>
    <row r="355" spans="13:13">
      <c r="M355">
        <f t="shared" si="19"/>
      </c>
    </row>
    <row r="356" spans="13:13">
      <c r="M356">
        <f t="shared" si="19"/>
      </c>
    </row>
    <row r="357" spans="13:13">
      <c r="M357">
        <f t="shared" si="19"/>
      </c>
    </row>
    <row r="358" spans="13:13">
      <c r="M358">
        <f t="shared" si="19"/>
      </c>
    </row>
    <row r="359" spans="13:13">
      <c r="M359">
        <f t="shared" si="19"/>
      </c>
    </row>
    <row r="360" spans="13:13">
      <c r="M360">
        <f t="shared" si="19"/>
      </c>
    </row>
    <row r="361" spans="13:13">
      <c r="M361">
        <f t="shared" si="19"/>
      </c>
    </row>
    <row r="362" spans="13:13">
      <c r="M362">
        <f t="shared" si="19"/>
      </c>
    </row>
    <row r="363" spans="13:13">
      <c r="M363">
        <f t="shared" si="19"/>
      </c>
    </row>
    <row r="364" spans="13:13">
      <c r="M364">
        <f t="shared" si="19"/>
      </c>
    </row>
    <row r="365" spans="13:13">
      <c r="M365">
        <f t="shared" si="19"/>
      </c>
    </row>
    <row r="366" spans="13:13">
      <c r="M366">
        <f t="shared" si="19"/>
      </c>
    </row>
    <row r="367" spans="13:13">
      <c r="M367">
        <f t="shared" si="19"/>
      </c>
    </row>
    <row r="368" spans="13:13">
      <c r="M368">
        <f t="shared" si="19"/>
      </c>
    </row>
    <row r="369" spans="13:13">
      <c r="M369">
        <f t="shared" si="19"/>
      </c>
    </row>
    <row r="370" spans="13:13">
      <c r="M370">
        <f t="shared" si="19"/>
      </c>
    </row>
    <row r="371" spans="13:13">
      <c r="M371">
        <f t="shared" si="19"/>
      </c>
    </row>
    <row r="372" spans="13:13">
      <c r="M372">
        <f t="shared" si="19"/>
      </c>
    </row>
    <row r="373" spans="13:13">
      <c r="M373">
        <f t="shared" si="19"/>
      </c>
    </row>
    <row r="374" spans="13:13">
      <c r="M374">
        <f t="shared" si="19"/>
      </c>
    </row>
    <row r="375" spans="13:13">
      <c r="M375">
        <f t="shared" si="19"/>
      </c>
    </row>
    <row r="376" spans="13:13">
      <c r="M376">
        <f t="shared" si="19"/>
      </c>
    </row>
    <row r="377" spans="13:13">
      <c r="M377">
        <f t="shared" si="19"/>
      </c>
    </row>
    <row r="378" spans="13:13">
      <c r="M378">
        <f t="shared" si="19"/>
      </c>
    </row>
    <row r="379" spans="13:13">
      <c r="M379">
        <f t="shared" si="19"/>
      </c>
    </row>
    <row r="380" spans="13:13">
      <c r="M380">
        <f t="shared" si="19"/>
      </c>
    </row>
    <row r="381" spans="13:13">
      <c r="M381">
        <f t="shared" si="19"/>
      </c>
    </row>
    <row r="382" spans="13:13">
      <c r="M382">
        <f t="shared" si="19"/>
      </c>
    </row>
    <row r="383" spans="13:13">
      <c r="M383">
        <f t="shared" si="19"/>
      </c>
    </row>
    <row r="384" spans="13:13">
      <c r="M384">
        <f t="shared" si="19"/>
      </c>
    </row>
    <row r="385" spans="13:13">
      <c r="M385">
        <f t="shared" si="19"/>
      </c>
    </row>
    <row r="386" spans="13:13">
      <c r="M386">
        <f t="shared" si="19"/>
      </c>
    </row>
    <row r="387" spans="13:13">
      <c r="M387">
        <f t="shared" si="19"/>
      </c>
    </row>
    <row r="388" spans="13:13">
      <c r="M388">
        <f t="shared" si="19"/>
      </c>
    </row>
    <row r="389" spans="13:13">
      <c r="M389">
        <f t="shared" ref="M389:M452" si="20">IF(A389="","", WEEKNUM(A389, 2))</f>
      </c>
    </row>
    <row r="390" spans="13:13">
      <c r="M390">
        <f t="shared" si="20"/>
      </c>
    </row>
    <row r="391" spans="13:13">
      <c r="M391">
        <f t="shared" si="20"/>
      </c>
    </row>
    <row r="392" spans="13:13">
      <c r="M392">
        <f t="shared" si="20"/>
      </c>
    </row>
    <row r="393" spans="13:13">
      <c r="M393">
        <f t="shared" si="20"/>
      </c>
    </row>
    <row r="394" spans="13:13">
      <c r="M394">
        <f t="shared" si="20"/>
      </c>
    </row>
    <row r="395" spans="13:13">
      <c r="M395">
        <f t="shared" si="20"/>
      </c>
    </row>
    <row r="396" spans="13:13">
      <c r="M396">
        <f t="shared" si="20"/>
      </c>
    </row>
    <row r="397" spans="13:13">
      <c r="M397">
        <f t="shared" si="20"/>
      </c>
    </row>
    <row r="398" spans="13:13">
      <c r="M398">
        <f t="shared" si="20"/>
      </c>
    </row>
    <row r="399" spans="13:13">
      <c r="M399">
        <f t="shared" si="20"/>
      </c>
    </row>
    <row r="400" spans="13:13">
      <c r="M400">
        <f t="shared" si="20"/>
      </c>
    </row>
    <row r="401" spans="13:13">
      <c r="M401">
        <f t="shared" si="20"/>
      </c>
    </row>
    <row r="402" spans="13:13">
      <c r="M402">
        <f t="shared" si="20"/>
      </c>
    </row>
    <row r="403" spans="13:13">
      <c r="M403">
        <f t="shared" si="20"/>
      </c>
    </row>
    <row r="404" spans="13:13">
      <c r="M404">
        <f t="shared" si="20"/>
      </c>
    </row>
    <row r="405" spans="13:13">
      <c r="M405">
        <f t="shared" si="20"/>
      </c>
    </row>
    <row r="406" spans="13:13">
      <c r="M406">
        <f t="shared" si="20"/>
      </c>
    </row>
    <row r="407" spans="13:13">
      <c r="M407">
        <f t="shared" si="20"/>
      </c>
    </row>
    <row r="408" spans="13:13">
      <c r="M408">
        <f t="shared" si="20"/>
      </c>
    </row>
    <row r="409" spans="13:13">
      <c r="M409">
        <f t="shared" si="20"/>
      </c>
    </row>
    <row r="410" spans="13:13">
      <c r="M410">
        <f t="shared" si="20"/>
      </c>
    </row>
    <row r="411" spans="13:13">
      <c r="M411">
        <f t="shared" si="20"/>
      </c>
    </row>
    <row r="412" spans="13:13">
      <c r="M412">
        <f t="shared" si="20"/>
      </c>
    </row>
    <row r="413" spans="13:13">
      <c r="M413">
        <f t="shared" si="20"/>
      </c>
    </row>
    <row r="414" spans="13:13">
      <c r="M414">
        <f t="shared" si="20"/>
      </c>
    </row>
    <row r="415" spans="13:13">
      <c r="M415">
        <f t="shared" si="20"/>
      </c>
    </row>
    <row r="416" spans="13:13">
      <c r="M416">
        <f t="shared" si="20"/>
      </c>
    </row>
    <row r="417" spans="13:13">
      <c r="M417">
        <f t="shared" si="20"/>
      </c>
    </row>
    <row r="418" spans="13:13">
      <c r="M418">
        <f t="shared" si="20"/>
      </c>
    </row>
    <row r="419" spans="13:13">
      <c r="M419">
        <f t="shared" si="20"/>
      </c>
    </row>
    <row r="420" spans="13:13">
      <c r="M420">
        <f t="shared" si="20"/>
      </c>
    </row>
    <row r="421" spans="13:13">
      <c r="M421">
        <f t="shared" si="20"/>
      </c>
    </row>
    <row r="422" spans="13:13">
      <c r="M422">
        <f t="shared" si="20"/>
      </c>
    </row>
    <row r="423" spans="13:13">
      <c r="M423">
        <f t="shared" si="20"/>
      </c>
    </row>
    <row r="424" spans="13:13">
      <c r="M424">
        <f t="shared" si="20"/>
      </c>
    </row>
    <row r="425" spans="13:13">
      <c r="M425">
        <f t="shared" si="20"/>
      </c>
    </row>
    <row r="426" spans="13:13">
      <c r="M426">
        <f t="shared" si="20"/>
      </c>
    </row>
    <row r="427" spans="13:13">
      <c r="M427">
        <f t="shared" si="20"/>
      </c>
    </row>
    <row r="428" spans="13:13">
      <c r="M428">
        <f t="shared" si="20"/>
      </c>
    </row>
    <row r="429" spans="13:13">
      <c r="M429">
        <f t="shared" si="20"/>
      </c>
    </row>
    <row r="430" spans="13:13">
      <c r="M430">
        <f t="shared" si="20"/>
      </c>
    </row>
    <row r="431" spans="13:13">
      <c r="M431">
        <f t="shared" si="20"/>
      </c>
    </row>
    <row r="432" spans="13:13">
      <c r="M432">
        <f t="shared" si="20"/>
      </c>
    </row>
    <row r="433" spans="13:13">
      <c r="M433">
        <f t="shared" si="20"/>
      </c>
    </row>
    <row r="434" spans="13:13">
      <c r="M434">
        <f t="shared" si="20"/>
      </c>
    </row>
    <row r="435" spans="13:13">
      <c r="M435">
        <f t="shared" si="20"/>
      </c>
    </row>
    <row r="436" spans="13:13">
      <c r="M436">
        <f t="shared" si="20"/>
      </c>
    </row>
    <row r="437" spans="13:13">
      <c r="M437">
        <f t="shared" si="20"/>
      </c>
    </row>
    <row r="438" spans="13:13">
      <c r="M438">
        <f t="shared" si="20"/>
      </c>
    </row>
    <row r="439" spans="13:13">
      <c r="M439">
        <f t="shared" si="20"/>
      </c>
    </row>
    <row r="440" spans="13:13">
      <c r="M440">
        <f t="shared" si="20"/>
      </c>
    </row>
    <row r="441" spans="13:13">
      <c r="M441">
        <f t="shared" si="20"/>
      </c>
    </row>
    <row r="442" spans="13:13">
      <c r="M442">
        <f t="shared" si="20"/>
      </c>
    </row>
    <row r="443" spans="13:13">
      <c r="M443">
        <f t="shared" si="20"/>
      </c>
    </row>
    <row r="444" spans="13:13">
      <c r="M444">
        <f t="shared" si="20"/>
      </c>
    </row>
    <row r="445" spans="13:13">
      <c r="M445">
        <f t="shared" si="20"/>
      </c>
    </row>
    <row r="446" spans="13:13">
      <c r="M446">
        <f t="shared" si="20"/>
      </c>
    </row>
    <row r="447" spans="13:13">
      <c r="M447">
        <f t="shared" si="20"/>
      </c>
    </row>
    <row r="448" spans="13:13">
      <c r="M448">
        <f t="shared" si="20"/>
      </c>
    </row>
    <row r="449" spans="13:13">
      <c r="M449">
        <f t="shared" si="20"/>
      </c>
    </row>
    <row r="450" spans="13:13">
      <c r="M450">
        <f t="shared" si="20"/>
      </c>
    </row>
    <row r="451" spans="13:13">
      <c r="M451">
        <f t="shared" si="20"/>
      </c>
    </row>
    <row r="452" spans="13:13">
      <c r="M452">
        <f t="shared" si="20"/>
      </c>
    </row>
    <row r="453" spans="13:13">
      <c r="M453">
        <f t="shared" ref="M453:M516" si="21">IF(A453="","", WEEKNUM(A453, 2))</f>
      </c>
    </row>
    <row r="454" spans="13:13">
      <c r="M454">
        <f t="shared" si="21"/>
      </c>
    </row>
    <row r="455" spans="13:13">
      <c r="M455">
        <f t="shared" si="21"/>
      </c>
    </row>
    <row r="456" spans="13:13">
      <c r="M456">
        <f t="shared" si="21"/>
      </c>
    </row>
    <row r="457" spans="13:13">
      <c r="M457">
        <f t="shared" si="21"/>
      </c>
    </row>
    <row r="458" spans="13:13">
      <c r="M458">
        <f t="shared" si="21"/>
      </c>
    </row>
    <row r="459" spans="13:13">
      <c r="M459">
        <f t="shared" si="21"/>
      </c>
    </row>
    <row r="460" spans="13:13">
      <c r="M460">
        <f t="shared" si="21"/>
      </c>
    </row>
    <row r="461" spans="13:13">
      <c r="M461">
        <f t="shared" si="21"/>
      </c>
    </row>
    <row r="462" spans="13:13">
      <c r="M462">
        <f t="shared" si="21"/>
      </c>
    </row>
    <row r="463" spans="13:13">
      <c r="M463">
        <f t="shared" si="21"/>
      </c>
    </row>
    <row r="464" spans="13:13">
      <c r="M464">
        <f t="shared" si="21"/>
      </c>
    </row>
    <row r="465" spans="13:13">
      <c r="M465">
        <f t="shared" si="21"/>
      </c>
    </row>
    <row r="466" spans="13:13">
      <c r="M466">
        <f t="shared" si="21"/>
      </c>
    </row>
    <row r="467" spans="13:13">
      <c r="M467">
        <f t="shared" si="21"/>
      </c>
    </row>
    <row r="468" spans="13:13">
      <c r="M468">
        <f t="shared" si="21"/>
      </c>
    </row>
    <row r="469" spans="13:13">
      <c r="M469">
        <f t="shared" si="21"/>
      </c>
    </row>
    <row r="470" spans="13:13">
      <c r="M470">
        <f t="shared" si="21"/>
      </c>
    </row>
    <row r="471" spans="13:13">
      <c r="M471">
        <f t="shared" si="21"/>
      </c>
    </row>
    <row r="472" spans="13:13">
      <c r="M472">
        <f t="shared" si="21"/>
      </c>
    </row>
    <row r="473" spans="13:13">
      <c r="M473">
        <f t="shared" si="21"/>
      </c>
    </row>
    <row r="474" spans="13:13">
      <c r="M474">
        <f t="shared" si="21"/>
      </c>
    </row>
    <row r="475" spans="13:13">
      <c r="M475">
        <f t="shared" si="21"/>
      </c>
    </row>
    <row r="476" spans="13:13">
      <c r="M476">
        <f t="shared" si="21"/>
      </c>
    </row>
    <row r="477" spans="13:13">
      <c r="M477">
        <f t="shared" si="21"/>
      </c>
    </row>
    <row r="478" spans="13:13">
      <c r="M478">
        <f t="shared" si="21"/>
      </c>
    </row>
    <row r="479" spans="13:13">
      <c r="M479">
        <f t="shared" si="21"/>
      </c>
    </row>
    <row r="480" spans="13:13">
      <c r="M480">
        <f t="shared" si="21"/>
      </c>
    </row>
    <row r="481" spans="13:13">
      <c r="M481">
        <f t="shared" si="21"/>
      </c>
    </row>
    <row r="482" spans="13:13">
      <c r="M482">
        <f t="shared" si="21"/>
      </c>
    </row>
    <row r="483" spans="13:13">
      <c r="M483">
        <f t="shared" si="21"/>
      </c>
    </row>
    <row r="484" spans="13:13">
      <c r="M484">
        <f t="shared" si="21"/>
      </c>
    </row>
    <row r="485" spans="13:13">
      <c r="M485">
        <f t="shared" si="21"/>
      </c>
    </row>
    <row r="486" spans="13:13">
      <c r="M486">
        <f t="shared" si="21"/>
      </c>
    </row>
    <row r="487" spans="13:13">
      <c r="M487">
        <f t="shared" si="21"/>
      </c>
    </row>
    <row r="488" spans="13:13">
      <c r="M488">
        <f t="shared" si="21"/>
      </c>
    </row>
    <row r="489" spans="13:13">
      <c r="M489">
        <f t="shared" si="21"/>
      </c>
    </row>
    <row r="490" spans="13:13">
      <c r="M490">
        <f t="shared" si="21"/>
      </c>
    </row>
    <row r="491" spans="13:13">
      <c r="M491">
        <f t="shared" si="21"/>
      </c>
    </row>
    <row r="492" spans="13:13">
      <c r="M492">
        <f t="shared" si="21"/>
      </c>
    </row>
    <row r="493" spans="13:13">
      <c r="M493">
        <f t="shared" si="21"/>
      </c>
    </row>
    <row r="494" spans="13:13">
      <c r="M494">
        <f t="shared" si="21"/>
      </c>
    </row>
    <row r="495" spans="13:13">
      <c r="M495">
        <f t="shared" si="21"/>
      </c>
    </row>
    <row r="496" spans="13:13">
      <c r="M496">
        <f t="shared" si="21"/>
      </c>
    </row>
    <row r="497" spans="13:13">
      <c r="M497">
        <f t="shared" si="21"/>
      </c>
    </row>
    <row r="498" spans="13:13">
      <c r="M498">
        <f t="shared" si="21"/>
      </c>
    </row>
    <row r="499" spans="13:13">
      <c r="M499">
        <f t="shared" si="21"/>
      </c>
    </row>
    <row r="500" spans="13:13">
      <c r="M500">
        <f t="shared" si="21"/>
      </c>
    </row>
    <row r="501" spans="13:13">
      <c r="M501">
        <f t="shared" si="21"/>
      </c>
    </row>
    <row r="502" spans="13:13">
      <c r="M502">
        <f t="shared" si="21"/>
      </c>
    </row>
    <row r="503" spans="13:13">
      <c r="M503">
        <f t="shared" si="21"/>
      </c>
    </row>
    <row r="504" spans="13:13">
      <c r="M504">
        <f t="shared" si="21"/>
      </c>
    </row>
    <row r="505" spans="13:13">
      <c r="M505">
        <f t="shared" si="21"/>
      </c>
    </row>
    <row r="506" spans="13:13">
      <c r="M506">
        <f t="shared" si="21"/>
      </c>
    </row>
    <row r="507" spans="13:13">
      <c r="M507">
        <f t="shared" si="21"/>
      </c>
    </row>
    <row r="508" spans="13:13">
      <c r="M508">
        <f t="shared" si="21"/>
      </c>
    </row>
    <row r="509" spans="13:13">
      <c r="M509">
        <f t="shared" si="21"/>
      </c>
    </row>
    <row r="510" spans="13:13">
      <c r="M510">
        <f t="shared" si="21"/>
      </c>
    </row>
    <row r="511" spans="13:13">
      <c r="M511">
        <f t="shared" si="21"/>
      </c>
    </row>
    <row r="512" spans="13:13">
      <c r="M512">
        <f t="shared" si="21"/>
      </c>
    </row>
    <row r="513" spans="13:13">
      <c r="M513">
        <f t="shared" si="21"/>
      </c>
    </row>
    <row r="514" spans="13:13">
      <c r="M514">
        <f t="shared" si="21"/>
      </c>
    </row>
    <row r="515" spans="13:13">
      <c r="M515">
        <f t="shared" si="21"/>
      </c>
    </row>
    <row r="516" spans="13:13">
      <c r="M516">
        <f t="shared" si="21"/>
      </c>
    </row>
    <row r="517" spans="13:13">
      <c r="M517">
        <f t="shared" ref="M517:M580" si="22">IF(A517="","", WEEKNUM(A517, 2))</f>
      </c>
    </row>
    <row r="518" spans="13:13">
      <c r="M518">
        <f t="shared" si="22"/>
      </c>
    </row>
    <row r="519" spans="13:13">
      <c r="M519">
        <f t="shared" si="22"/>
      </c>
    </row>
    <row r="520" spans="13:13">
      <c r="M520">
        <f t="shared" si="22"/>
      </c>
    </row>
    <row r="521" spans="13:13">
      <c r="M521">
        <f t="shared" si="22"/>
      </c>
    </row>
    <row r="522" spans="13:13">
      <c r="M522">
        <f t="shared" si="22"/>
      </c>
    </row>
    <row r="523" spans="13:13">
      <c r="M523">
        <f t="shared" si="22"/>
      </c>
    </row>
    <row r="524" spans="13:13">
      <c r="M524">
        <f t="shared" si="22"/>
      </c>
    </row>
    <row r="525" spans="13:13">
      <c r="M525">
        <f t="shared" si="22"/>
      </c>
    </row>
    <row r="526" spans="13:13">
      <c r="M526">
        <f t="shared" si="22"/>
      </c>
    </row>
    <row r="527" spans="13:13">
      <c r="M527">
        <f t="shared" si="22"/>
      </c>
    </row>
    <row r="528" spans="13:13">
      <c r="M528">
        <f t="shared" si="22"/>
      </c>
    </row>
    <row r="529" spans="13:13">
      <c r="M529">
        <f t="shared" si="22"/>
      </c>
    </row>
    <row r="530" spans="13:13">
      <c r="M530">
        <f t="shared" si="22"/>
      </c>
    </row>
    <row r="531" spans="13:13">
      <c r="M531">
        <f t="shared" si="22"/>
      </c>
    </row>
    <row r="532" spans="13:13">
      <c r="M532">
        <f t="shared" si="22"/>
      </c>
    </row>
    <row r="533" spans="13:13">
      <c r="M533">
        <f t="shared" si="22"/>
      </c>
    </row>
    <row r="534" spans="13:13">
      <c r="M534">
        <f t="shared" si="22"/>
      </c>
    </row>
    <row r="535" spans="13:13">
      <c r="M535">
        <f t="shared" si="22"/>
      </c>
    </row>
    <row r="536" spans="13:13">
      <c r="M536">
        <f t="shared" si="22"/>
      </c>
    </row>
    <row r="537" spans="13:13">
      <c r="M537">
        <f t="shared" si="22"/>
      </c>
    </row>
    <row r="538" spans="13:13">
      <c r="M538">
        <f t="shared" si="22"/>
      </c>
    </row>
    <row r="539" spans="13:13">
      <c r="M539">
        <f t="shared" si="22"/>
      </c>
    </row>
    <row r="540" spans="13:13">
      <c r="M540">
        <f t="shared" si="22"/>
      </c>
    </row>
    <row r="541" spans="13:13">
      <c r="M541">
        <f t="shared" si="22"/>
      </c>
    </row>
    <row r="542" spans="13:13">
      <c r="M542">
        <f t="shared" si="22"/>
      </c>
    </row>
    <row r="543" spans="13:13">
      <c r="M543">
        <f t="shared" si="22"/>
      </c>
    </row>
    <row r="544" spans="13:13">
      <c r="M544">
        <f t="shared" si="22"/>
      </c>
    </row>
    <row r="545" spans="13:13">
      <c r="M545">
        <f t="shared" si="22"/>
      </c>
    </row>
    <row r="546" spans="13:13">
      <c r="M546">
        <f t="shared" si="22"/>
      </c>
    </row>
    <row r="547" spans="13:13">
      <c r="M547">
        <f t="shared" si="22"/>
      </c>
    </row>
    <row r="548" spans="13:13">
      <c r="M548">
        <f t="shared" si="22"/>
      </c>
    </row>
    <row r="549" spans="13:13">
      <c r="M549">
        <f t="shared" si="22"/>
      </c>
    </row>
    <row r="550" spans="13:13">
      <c r="M550">
        <f t="shared" si="22"/>
      </c>
    </row>
    <row r="551" spans="13:13">
      <c r="M551">
        <f t="shared" si="22"/>
      </c>
    </row>
    <row r="552" spans="13:13">
      <c r="M552">
        <f t="shared" si="22"/>
      </c>
    </row>
    <row r="553" spans="13:13">
      <c r="M553">
        <f t="shared" si="22"/>
      </c>
    </row>
    <row r="554" spans="13:13">
      <c r="M554">
        <f t="shared" si="22"/>
      </c>
    </row>
    <row r="555" spans="13:13">
      <c r="M555">
        <f t="shared" si="22"/>
      </c>
    </row>
    <row r="556" spans="13:13">
      <c r="M556">
        <f t="shared" si="22"/>
      </c>
    </row>
    <row r="557" spans="13:13">
      <c r="M557">
        <f t="shared" si="22"/>
      </c>
    </row>
    <row r="558" spans="13:13">
      <c r="M558">
        <f t="shared" si="22"/>
      </c>
    </row>
    <row r="559" spans="13:13">
      <c r="M559">
        <f t="shared" si="22"/>
      </c>
    </row>
    <row r="560" spans="13:13">
      <c r="M560">
        <f t="shared" si="22"/>
      </c>
    </row>
    <row r="561" spans="13:13">
      <c r="M561">
        <f t="shared" si="22"/>
      </c>
    </row>
    <row r="562" spans="13:13">
      <c r="M562">
        <f t="shared" si="22"/>
      </c>
    </row>
    <row r="563" spans="13:13">
      <c r="M563">
        <f t="shared" si="22"/>
      </c>
    </row>
    <row r="564" spans="13:13">
      <c r="M564">
        <f t="shared" si="22"/>
      </c>
    </row>
    <row r="565" spans="13:13">
      <c r="M565">
        <f t="shared" si="22"/>
      </c>
    </row>
    <row r="566" spans="13:13">
      <c r="M566">
        <f t="shared" si="22"/>
      </c>
    </row>
    <row r="567" spans="13:13">
      <c r="M567">
        <f t="shared" si="22"/>
      </c>
    </row>
    <row r="568" spans="13:13">
      <c r="M568">
        <f t="shared" si="22"/>
      </c>
    </row>
    <row r="569" spans="13:13">
      <c r="M569">
        <f t="shared" si="22"/>
      </c>
    </row>
    <row r="570" spans="13:13">
      <c r="M570">
        <f t="shared" si="22"/>
      </c>
    </row>
    <row r="571" spans="13:13">
      <c r="M571">
        <f t="shared" si="22"/>
      </c>
    </row>
    <row r="572" spans="13:13">
      <c r="M572">
        <f t="shared" si="22"/>
      </c>
    </row>
    <row r="573" spans="13:13">
      <c r="M573">
        <f t="shared" si="22"/>
      </c>
    </row>
    <row r="574" spans="13:13">
      <c r="M574">
        <f t="shared" si="22"/>
      </c>
    </row>
    <row r="575" spans="13:13">
      <c r="M575">
        <f t="shared" si="22"/>
      </c>
    </row>
    <row r="576" spans="13:13">
      <c r="M576">
        <f t="shared" si="22"/>
      </c>
    </row>
    <row r="577" spans="13:13">
      <c r="M577">
        <f t="shared" si="22"/>
      </c>
    </row>
    <row r="578" spans="13:13">
      <c r="M578">
        <f t="shared" si="22"/>
      </c>
    </row>
    <row r="579" spans="13:13">
      <c r="M579">
        <f t="shared" si="22"/>
      </c>
    </row>
    <row r="580" spans="13:13">
      <c r="M580">
        <f t="shared" si="22"/>
      </c>
    </row>
    <row r="581" spans="13:13">
      <c r="M581">
        <f t="shared" ref="M581:M644" si="23">IF(A581="","", WEEKNUM(A581, 2))</f>
      </c>
    </row>
    <row r="582" spans="13:13">
      <c r="M582">
        <f t="shared" si="23"/>
      </c>
    </row>
    <row r="583" spans="13:13">
      <c r="M583">
        <f t="shared" si="23"/>
      </c>
    </row>
    <row r="584" spans="13:13">
      <c r="M584">
        <f t="shared" si="23"/>
      </c>
    </row>
    <row r="585" spans="13:13">
      <c r="M585">
        <f t="shared" si="23"/>
      </c>
    </row>
    <row r="586" spans="13:13">
      <c r="M586">
        <f t="shared" si="23"/>
      </c>
    </row>
    <row r="587" spans="13:13">
      <c r="M587">
        <f t="shared" si="23"/>
      </c>
    </row>
    <row r="588" spans="13:13">
      <c r="M588">
        <f t="shared" si="23"/>
      </c>
    </row>
    <row r="589" spans="13:13">
      <c r="M589">
        <f t="shared" si="23"/>
      </c>
    </row>
    <row r="590" spans="13:13">
      <c r="M590">
        <f t="shared" si="23"/>
      </c>
    </row>
    <row r="591" spans="13:13">
      <c r="M591">
        <f t="shared" si="23"/>
      </c>
    </row>
    <row r="592" spans="13:13">
      <c r="M592">
        <f t="shared" si="23"/>
      </c>
    </row>
    <row r="593" spans="13:13">
      <c r="M593">
        <f t="shared" si="23"/>
      </c>
    </row>
    <row r="594" spans="13:13">
      <c r="M594">
        <f t="shared" si="23"/>
      </c>
    </row>
    <row r="595" spans="13:13">
      <c r="M595">
        <f t="shared" si="23"/>
      </c>
    </row>
    <row r="596" spans="13:13">
      <c r="M596">
        <f t="shared" si="23"/>
      </c>
    </row>
    <row r="597" spans="13:13">
      <c r="M597">
        <f t="shared" si="23"/>
      </c>
    </row>
    <row r="598" spans="13:13">
      <c r="M598">
        <f t="shared" si="23"/>
      </c>
    </row>
    <row r="599" spans="13:13">
      <c r="M599">
        <f t="shared" si="23"/>
      </c>
    </row>
    <row r="600" spans="13:13">
      <c r="M600">
        <f t="shared" si="23"/>
      </c>
    </row>
    <row r="601" spans="13:13">
      <c r="M601">
        <f t="shared" si="23"/>
      </c>
    </row>
    <row r="602" spans="13:13">
      <c r="M602">
        <f t="shared" si="23"/>
      </c>
    </row>
    <row r="603" spans="13:13">
      <c r="M603">
        <f t="shared" si="23"/>
      </c>
    </row>
    <row r="604" spans="13:13">
      <c r="M604">
        <f t="shared" si="23"/>
      </c>
    </row>
    <row r="605" spans="13:13">
      <c r="M605">
        <f t="shared" si="23"/>
      </c>
    </row>
    <row r="606" spans="13:13">
      <c r="M606">
        <f t="shared" si="23"/>
      </c>
    </row>
    <row r="607" spans="13:13">
      <c r="M607">
        <f t="shared" si="23"/>
      </c>
    </row>
    <row r="608" spans="13:13">
      <c r="M608">
        <f t="shared" si="23"/>
      </c>
    </row>
    <row r="609" spans="13:13">
      <c r="M609">
        <f t="shared" si="23"/>
      </c>
    </row>
    <row r="610" spans="13:13">
      <c r="M610">
        <f t="shared" si="23"/>
      </c>
    </row>
    <row r="611" spans="13:13">
      <c r="M611">
        <f t="shared" si="23"/>
      </c>
    </row>
    <row r="612" spans="13:13">
      <c r="M612">
        <f t="shared" si="23"/>
      </c>
    </row>
    <row r="613" spans="13:13">
      <c r="M613">
        <f t="shared" si="23"/>
      </c>
    </row>
    <row r="614" spans="13:13">
      <c r="M614">
        <f t="shared" si="23"/>
      </c>
    </row>
    <row r="615" spans="13:13">
      <c r="M615">
        <f t="shared" si="23"/>
      </c>
    </row>
    <row r="616" spans="13:13">
      <c r="M616">
        <f t="shared" si="23"/>
      </c>
    </row>
    <row r="617" spans="13:13">
      <c r="M617">
        <f t="shared" si="23"/>
      </c>
    </row>
    <row r="618" spans="13:13">
      <c r="M618">
        <f t="shared" si="23"/>
      </c>
    </row>
    <row r="619" spans="13:13">
      <c r="M619">
        <f t="shared" si="23"/>
      </c>
    </row>
    <row r="620" spans="13:13">
      <c r="M620">
        <f t="shared" si="23"/>
      </c>
    </row>
    <row r="621" spans="13:13">
      <c r="M621">
        <f t="shared" si="23"/>
      </c>
    </row>
    <row r="622" spans="13:13">
      <c r="M622">
        <f t="shared" si="23"/>
      </c>
    </row>
    <row r="623" spans="13:13">
      <c r="M623">
        <f t="shared" si="23"/>
      </c>
    </row>
    <row r="624" spans="13:13">
      <c r="M624">
        <f t="shared" si="23"/>
      </c>
    </row>
    <row r="625" spans="13:13">
      <c r="M625">
        <f t="shared" si="23"/>
      </c>
    </row>
    <row r="626" spans="13:13">
      <c r="M626">
        <f t="shared" si="23"/>
      </c>
    </row>
    <row r="627" spans="13:13">
      <c r="M627">
        <f t="shared" si="23"/>
      </c>
    </row>
    <row r="628" spans="13:13">
      <c r="M628">
        <f t="shared" si="23"/>
      </c>
    </row>
    <row r="629" spans="13:13">
      <c r="M629">
        <f t="shared" si="23"/>
      </c>
    </row>
    <row r="630" spans="13:13">
      <c r="M630">
        <f t="shared" si="23"/>
      </c>
    </row>
    <row r="631" spans="13:13">
      <c r="M631">
        <f t="shared" si="23"/>
      </c>
    </row>
    <row r="632" spans="13:13">
      <c r="M632">
        <f t="shared" si="23"/>
      </c>
    </row>
    <row r="633" spans="13:13">
      <c r="M633">
        <f t="shared" si="23"/>
      </c>
    </row>
    <row r="634" spans="13:13">
      <c r="M634">
        <f t="shared" si="23"/>
      </c>
    </row>
    <row r="635" spans="13:13">
      <c r="M635">
        <f t="shared" si="23"/>
      </c>
    </row>
    <row r="636" spans="13:13">
      <c r="M636">
        <f t="shared" si="23"/>
      </c>
    </row>
    <row r="637" spans="13:13">
      <c r="M637">
        <f t="shared" si="23"/>
      </c>
    </row>
    <row r="638" spans="13:13">
      <c r="M638">
        <f t="shared" si="23"/>
      </c>
    </row>
    <row r="639" spans="13:13">
      <c r="M639">
        <f t="shared" si="23"/>
      </c>
    </row>
    <row r="640" spans="13:13">
      <c r="M640">
        <f t="shared" si="23"/>
      </c>
    </row>
    <row r="641" spans="13:13">
      <c r="M641">
        <f t="shared" si="23"/>
      </c>
    </row>
    <row r="642" spans="13:13">
      <c r="M642">
        <f t="shared" si="23"/>
      </c>
    </row>
    <row r="643" spans="13:13">
      <c r="M643">
        <f t="shared" si="23"/>
      </c>
    </row>
    <row r="644" spans="13:13">
      <c r="M644">
        <f t="shared" si="23"/>
      </c>
    </row>
    <row r="645" spans="13:13">
      <c r="M645">
        <f t="shared" ref="M645:M708" si="24">IF(A645="","", WEEKNUM(A645, 2))</f>
      </c>
    </row>
    <row r="646" spans="13:13">
      <c r="M646">
        <f t="shared" si="24"/>
      </c>
    </row>
    <row r="647" spans="13:13">
      <c r="M647">
        <f t="shared" si="24"/>
      </c>
    </row>
    <row r="648" spans="13:13">
      <c r="M648">
        <f t="shared" si="24"/>
      </c>
    </row>
    <row r="649" spans="13:13">
      <c r="M649">
        <f t="shared" si="24"/>
      </c>
    </row>
    <row r="650" spans="13:13">
      <c r="M650">
        <f t="shared" si="24"/>
      </c>
    </row>
    <row r="651" spans="13:13">
      <c r="M651">
        <f t="shared" si="24"/>
      </c>
    </row>
    <row r="652" spans="13:13">
      <c r="M652">
        <f t="shared" si="24"/>
      </c>
    </row>
    <row r="653" spans="13:13">
      <c r="M653">
        <f t="shared" si="24"/>
      </c>
    </row>
    <row r="654" spans="13:13">
      <c r="M654">
        <f t="shared" si="24"/>
      </c>
    </row>
    <row r="655" spans="13:13">
      <c r="M655">
        <f t="shared" si="24"/>
      </c>
    </row>
    <row r="656" spans="13:13">
      <c r="M656">
        <f t="shared" si="24"/>
      </c>
    </row>
    <row r="657" spans="13:13">
      <c r="M657">
        <f t="shared" si="24"/>
      </c>
    </row>
    <row r="658" spans="13:13">
      <c r="M658">
        <f t="shared" si="24"/>
      </c>
    </row>
    <row r="659" spans="13:13">
      <c r="M659">
        <f t="shared" si="24"/>
      </c>
    </row>
    <row r="660" spans="13:13">
      <c r="M660">
        <f t="shared" si="24"/>
      </c>
    </row>
    <row r="661" spans="13:13">
      <c r="M661">
        <f t="shared" si="24"/>
      </c>
    </row>
    <row r="662" spans="13:13">
      <c r="M662">
        <f t="shared" si="24"/>
      </c>
    </row>
    <row r="663" spans="13:13">
      <c r="M663">
        <f t="shared" si="24"/>
      </c>
    </row>
    <row r="664" spans="13:13">
      <c r="M664">
        <f t="shared" si="24"/>
      </c>
    </row>
    <row r="665" spans="13:13">
      <c r="M665">
        <f t="shared" si="24"/>
      </c>
    </row>
    <row r="666" spans="13:13">
      <c r="M666">
        <f t="shared" si="24"/>
      </c>
    </row>
    <row r="667" spans="13:13">
      <c r="M667">
        <f t="shared" si="24"/>
      </c>
    </row>
    <row r="668" spans="13:13">
      <c r="M668">
        <f t="shared" si="24"/>
      </c>
    </row>
    <row r="669" spans="13:13">
      <c r="M669">
        <f t="shared" si="24"/>
      </c>
    </row>
    <row r="670" spans="13:13">
      <c r="M670">
        <f t="shared" si="24"/>
      </c>
    </row>
    <row r="671" spans="13:13">
      <c r="M671">
        <f t="shared" si="24"/>
      </c>
    </row>
    <row r="672" spans="13:13">
      <c r="M672">
        <f t="shared" si="24"/>
      </c>
    </row>
    <row r="673" spans="13:13">
      <c r="M673">
        <f t="shared" si="24"/>
      </c>
    </row>
    <row r="674" spans="13:13">
      <c r="M674">
        <f t="shared" si="24"/>
      </c>
    </row>
    <row r="675" spans="13:13">
      <c r="M675">
        <f t="shared" si="24"/>
      </c>
    </row>
    <row r="676" spans="13:13">
      <c r="M676">
        <f t="shared" si="24"/>
      </c>
    </row>
    <row r="677" spans="13:13">
      <c r="M677">
        <f t="shared" si="24"/>
      </c>
    </row>
    <row r="678" spans="13:13">
      <c r="M678">
        <f t="shared" si="24"/>
      </c>
    </row>
    <row r="679" spans="13:13">
      <c r="M679">
        <f t="shared" si="24"/>
      </c>
    </row>
    <row r="680" spans="13:13">
      <c r="M680">
        <f t="shared" si="24"/>
      </c>
    </row>
    <row r="681" spans="13:13">
      <c r="M681">
        <f t="shared" si="24"/>
      </c>
    </row>
    <row r="682" spans="13:13">
      <c r="M682">
        <f t="shared" si="24"/>
      </c>
    </row>
    <row r="683" spans="13:13">
      <c r="M683">
        <f t="shared" si="24"/>
      </c>
    </row>
    <row r="684" spans="13:13">
      <c r="M684">
        <f t="shared" si="24"/>
      </c>
    </row>
    <row r="685" spans="13:13">
      <c r="M685">
        <f t="shared" si="24"/>
      </c>
    </row>
    <row r="686" spans="13:13">
      <c r="M686">
        <f t="shared" si="24"/>
      </c>
    </row>
    <row r="687" spans="13:13">
      <c r="M687">
        <f t="shared" si="24"/>
      </c>
    </row>
    <row r="688" spans="13:13">
      <c r="M688">
        <f t="shared" si="24"/>
      </c>
    </row>
    <row r="689" spans="13:13">
      <c r="M689">
        <f t="shared" si="24"/>
      </c>
    </row>
    <row r="690" spans="13:13">
      <c r="M690">
        <f t="shared" si="24"/>
      </c>
    </row>
    <row r="691" spans="13:13">
      <c r="M691">
        <f t="shared" si="24"/>
      </c>
    </row>
    <row r="692" spans="13:13">
      <c r="M692">
        <f t="shared" si="24"/>
      </c>
    </row>
    <row r="693" spans="13:13">
      <c r="M693">
        <f t="shared" si="24"/>
      </c>
    </row>
    <row r="694" spans="13:13">
      <c r="M694">
        <f t="shared" si="24"/>
      </c>
    </row>
    <row r="695" spans="13:13">
      <c r="M695">
        <f t="shared" si="24"/>
      </c>
    </row>
    <row r="696" spans="13:13">
      <c r="M696">
        <f t="shared" si="24"/>
      </c>
    </row>
    <row r="697" spans="13:13">
      <c r="M697">
        <f t="shared" si="24"/>
      </c>
    </row>
    <row r="698" spans="13:13">
      <c r="M698">
        <f t="shared" si="24"/>
      </c>
    </row>
    <row r="699" spans="13:13">
      <c r="M699">
        <f t="shared" si="24"/>
      </c>
    </row>
    <row r="700" spans="13:13">
      <c r="M700">
        <f t="shared" si="24"/>
      </c>
    </row>
    <row r="701" spans="13:13">
      <c r="M701">
        <f t="shared" si="24"/>
      </c>
    </row>
    <row r="702" spans="13:13">
      <c r="M702">
        <f t="shared" si="24"/>
      </c>
    </row>
    <row r="703" spans="13:13">
      <c r="M703">
        <f t="shared" si="24"/>
      </c>
    </row>
    <row r="704" spans="13:13">
      <c r="M704">
        <f t="shared" si="24"/>
      </c>
    </row>
    <row r="705" spans="13:13">
      <c r="M705">
        <f t="shared" si="24"/>
      </c>
    </row>
    <row r="706" spans="13:13">
      <c r="M706">
        <f t="shared" si="24"/>
      </c>
    </row>
    <row r="707" spans="13:13">
      <c r="M707">
        <f t="shared" si="24"/>
      </c>
    </row>
    <row r="708" spans="13:13">
      <c r="M708">
        <f t="shared" si="24"/>
      </c>
    </row>
    <row r="709" spans="13:13">
      <c r="M709">
        <f t="shared" ref="M709:M772" si="25">IF(A709="","", WEEKNUM(A709, 2))</f>
      </c>
    </row>
    <row r="710" spans="13:13">
      <c r="M710">
        <f t="shared" si="25"/>
      </c>
    </row>
    <row r="711" spans="13:13">
      <c r="M711">
        <f t="shared" si="25"/>
      </c>
    </row>
    <row r="712" spans="13:13">
      <c r="M712">
        <f t="shared" si="25"/>
      </c>
    </row>
    <row r="713" spans="13:13">
      <c r="M713">
        <f t="shared" si="25"/>
      </c>
    </row>
    <row r="714" spans="13:13">
      <c r="M714">
        <f t="shared" si="25"/>
      </c>
    </row>
    <row r="715" spans="13:13">
      <c r="M715">
        <f t="shared" si="25"/>
      </c>
    </row>
    <row r="716" spans="13:13">
      <c r="M716">
        <f t="shared" si="25"/>
      </c>
    </row>
    <row r="717" spans="13:13">
      <c r="M717">
        <f t="shared" si="25"/>
      </c>
    </row>
    <row r="718" spans="13:13">
      <c r="M718">
        <f t="shared" si="25"/>
      </c>
    </row>
    <row r="719" spans="13:13">
      <c r="M719">
        <f t="shared" si="25"/>
      </c>
    </row>
    <row r="720" spans="13:13">
      <c r="M720">
        <f t="shared" si="25"/>
      </c>
    </row>
    <row r="721" spans="13:13">
      <c r="M721">
        <f t="shared" si="25"/>
      </c>
    </row>
    <row r="722" spans="13:13">
      <c r="M722">
        <f t="shared" si="25"/>
      </c>
    </row>
    <row r="723" spans="13:13">
      <c r="M723">
        <f t="shared" si="25"/>
      </c>
    </row>
    <row r="724" spans="13:13">
      <c r="M724">
        <f t="shared" si="25"/>
      </c>
    </row>
    <row r="725" spans="13:13">
      <c r="M725">
        <f t="shared" si="25"/>
      </c>
    </row>
    <row r="726" spans="13:13">
      <c r="M726">
        <f t="shared" si="25"/>
      </c>
    </row>
    <row r="727" spans="13:13">
      <c r="M727">
        <f t="shared" si="25"/>
      </c>
    </row>
    <row r="728" spans="13:13">
      <c r="M728">
        <f t="shared" si="25"/>
      </c>
    </row>
    <row r="729" spans="13:13">
      <c r="M729">
        <f t="shared" si="25"/>
      </c>
    </row>
    <row r="730" spans="13:13">
      <c r="M730">
        <f t="shared" si="25"/>
      </c>
    </row>
    <row r="731" spans="13:13">
      <c r="M731">
        <f t="shared" si="25"/>
      </c>
    </row>
    <row r="732" spans="13:13">
      <c r="M732">
        <f t="shared" si="25"/>
      </c>
    </row>
    <row r="733" spans="13:13">
      <c r="M733">
        <f t="shared" si="25"/>
      </c>
    </row>
    <row r="734" spans="13:13">
      <c r="M734">
        <f t="shared" si="25"/>
      </c>
    </row>
    <row r="735" spans="13:13">
      <c r="M735">
        <f t="shared" si="25"/>
      </c>
    </row>
    <row r="736" spans="13:13">
      <c r="M736">
        <f t="shared" si="25"/>
      </c>
    </row>
    <row r="737" spans="13:13">
      <c r="M737">
        <f t="shared" si="25"/>
      </c>
    </row>
    <row r="738" spans="13:13">
      <c r="M738">
        <f t="shared" si="25"/>
      </c>
    </row>
    <row r="739" spans="13:13">
      <c r="M739">
        <f t="shared" si="25"/>
      </c>
    </row>
    <row r="740" spans="13:13">
      <c r="M740">
        <f t="shared" si="25"/>
      </c>
    </row>
    <row r="741" spans="13:13">
      <c r="M741">
        <f t="shared" si="25"/>
      </c>
    </row>
    <row r="742" spans="13:13">
      <c r="M742">
        <f t="shared" si="25"/>
      </c>
    </row>
    <row r="743" spans="13:13">
      <c r="M743">
        <f t="shared" si="25"/>
      </c>
    </row>
    <row r="744" spans="13:13">
      <c r="M744">
        <f t="shared" si="25"/>
      </c>
    </row>
    <row r="745" spans="13:13">
      <c r="M745">
        <f t="shared" si="25"/>
      </c>
    </row>
    <row r="746" spans="13:13">
      <c r="M746">
        <f t="shared" si="25"/>
      </c>
    </row>
    <row r="747" spans="13:13">
      <c r="M747">
        <f t="shared" si="25"/>
      </c>
    </row>
    <row r="748" spans="13:13">
      <c r="M748">
        <f t="shared" si="25"/>
      </c>
    </row>
    <row r="749" spans="13:13">
      <c r="M749">
        <f t="shared" si="25"/>
      </c>
    </row>
    <row r="750" spans="13:13">
      <c r="M750">
        <f t="shared" si="25"/>
      </c>
    </row>
    <row r="751" spans="13:13">
      <c r="M751">
        <f t="shared" si="25"/>
      </c>
    </row>
    <row r="752" spans="13:13">
      <c r="M752">
        <f t="shared" si="25"/>
      </c>
    </row>
    <row r="753" spans="13:13">
      <c r="M753">
        <f t="shared" si="25"/>
      </c>
    </row>
    <row r="754" spans="13:13">
      <c r="M754">
        <f t="shared" si="25"/>
      </c>
    </row>
    <row r="755" spans="13:13">
      <c r="M755">
        <f t="shared" si="25"/>
      </c>
    </row>
    <row r="756" spans="13:13">
      <c r="M756">
        <f t="shared" si="25"/>
      </c>
    </row>
    <row r="757" spans="13:13">
      <c r="M757">
        <f t="shared" si="25"/>
      </c>
    </row>
    <row r="758" spans="13:13">
      <c r="M758">
        <f t="shared" si="25"/>
      </c>
    </row>
    <row r="759" spans="13:13">
      <c r="M759">
        <f t="shared" si="25"/>
      </c>
    </row>
    <row r="760" spans="13:13">
      <c r="M760">
        <f t="shared" si="25"/>
      </c>
    </row>
    <row r="761" spans="13:13">
      <c r="M761">
        <f t="shared" si="25"/>
      </c>
    </row>
    <row r="762" spans="13:13">
      <c r="M762">
        <f t="shared" si="25"/>
      </c>
    </row>
    <row r="763" spans="13:13">
      <c r="M763">
        <f t="shared" si="25"/>
      </c>
    </row>
    <row r="764" spans="13:13">
      <c r="M764">
        <f t="shared" si="25"/>
      </c>
    </row>
    <row r="765" spans="13:13">
      <c r="M765">
        <f t="shared" si="25"/>
      </c>
    </row>
    <row r="766" spans="13:13">
      <c r="M766">
        <f t="shared" si="25"/>
      </c>
    </row>
    <row r="767" spans="13:13">
      <c r="M767">
        <f t="shared" si="25"/>
      </c>
    </row>
    <row r="768" spans="13:13">
      <c r="M768">
        <f t="shared" si="25"/>
      </c>
    </row>
    <row r="769" spans="13:13">
      <c r="M769">
        <f t="shared" si="25"/>
      </c>
    </row>
    <row r="770" spans="13:13">
      <c r="M770">
        <f t="shared" si="25"/>
      </c>
    </row>
    <row r="771" spans="13:13">
      <c r="M771">
        <f t="shared" si="25"/>
      </c>
    </row>
    <row r="772" spans="13:13">
      <c r="M772">
        <f t="shared" si="25"/>
      </c>
    </row>
    <row r="773" spans="13:13">
      <c r="M773">
        <f t="shared" ref="M773:M836" si="26">IF(A773="","", WEEKNUM(A773, 2))</f>
      </c>
    </row>
    <row r="774" spans="13:13">
      <c r="M774">
        <f t="shared" si="26"/>
      </c>
    </row>
    <row r="775" spans="13:13">
      <c r="M775">
        <f t="shared" si="26"/>
      </c>
    </row>
    <row r="776" spans="13:13">
      <c r="M776">
        <f t="shared" si="26"/>
      </c>
    </row>
    <row r="777" spans="13:13">
      <c r="M777">
        <f t="shared" si="26"/>
      </c>
    </row>
    <row r="778" spans="13:13">
      <c r="M778">
        <f t="shared" si="26"/>
      </c>
    </row>
    <row r="779" spans="13:13">
      <c r="M779">
        <f t="shared" si="26"/>
      </c>
    </row>
    <row r="780" spans="13:13">
      <c r="M780">
        <f t="shared" si="26"/>
      </c>
    </row>
    <row r="781" spans="13:13">
      <c r="M781">
        <f t="shared" si="26"/>
      </c>
    </row>
    <row r="782" spans="13:13">
      <c r="M782">
        <f t="shared" si="26"/>
      </c>
    </row>
    <row r="783" spans="13:13">
      <c r="M783">
        <f t="shared" si="26"/>
      </c>
    </row>
    <row r="784" spans="13:13">
      <c r="M784">
        <f t="shared" si="26"/>
      </c>
    </row>
    <row r="785" spans="13:13">
      <c r="M785">
        <f t="shared" si="26"/>
      </c>
    </row>
    <row r="786" spans="13:13">
      <c r="M786">
        <f t="shared" si="26"/>
      </c>
    </row>
    <row r="787" spans="13:13">
      <c r="M787">
        <f t="shared" si="26"/>
      </c>
    </row>
    <row r="788" spans="13:13">
      <c r="M788">
        <f t="shared" si="26"/>
      </c>
    </row>
    <row r="789" spans="13:13">
      <c r="M789">
        <f t="shared" si="26"/>
      </c>
    </row>
    <row r="790" spans="13:13">
      <c r="M790">
        <f t="shared" si="26"/>
      </c>
    </row>
    <row r="791" spans="13:13">
      <c r="M791">
        <f t="shared" si="26"/>
      </c>
    </row>
    <row r="792" spans="13:13">
      <c r="M792">
        <f t="shared" si="26"/>
      </c>
    </row>
    <row r="793" spans="13:13">
      <c r="M793">
        <f t="shared" si="26"/>
      </c>
    </row>
    <row r="794" spans="13:13">
      <c r="M794">
        <f t="shared" si="26"/>
      </c>
    </row>
    <row r="795" spans="13:13">
      <c r="M795">
        <f t="shared" si="26"/>
      </c>
    </row>
    <row r="796" spans="13:13">
      <c r="M796">
        <f t="shared" si="26"/>
      </c>
    </row>
    <row r="797" spans="13:13">
      <c r="M797">
        <f t="shared" si="26"/>
      </c>
    </row>
    <row r="798" spans="13:13">
      <c r="M798">
        <f t="shared" si="26"/>
      </c>
    </row>
    <row r="799" spans="13:13">
      <c r="M799">
        <f t="shared" si="26"/>
      </c>
    </row>
    <row r="800" spans="13:13">
      <c r="M800">
        <f t="shared" si="26"/>
      </c>
    </row>
    <row r="801" spans="13:13">
      <c r="M801">
        <f t="shared" si="26"/>
      </c>
    </row>
    <row r="802" spans="13:13">
      <c r="M802">
        <f t="shared" si="26"/>
      </c>
    </row>
    <row r="803" spans="13:13">
      <c r="M803">
        <f t="shared" si="26"/>
      </c>
    </row>
    <row r="804" spans="13:13">
      <c r="M804">
        <f t="shared" si="26"/>
      </c>
    </row>
    <row r="805" spans="13:13">
      <c r="M805">
        <f t="shared" si="26"/>
      </c>
    </row>
    <row r="806" spans="13:13">
      <c r="M806">
        <f t="shared" si="26"/>
      </c>
    </row>
    <row r="807" spans="13:13">
      <c r="M807">
        <f t="shared" si="26"/>
      </c>
    </row>
    <row r="808" spans="13:13">
      <c r="M808">
        <f t="shared" si="26"/>
      </c>
    </row>
    <row r="809" spans="13:13">
      <c r="M809">
        <f t="shared" si="26"/>
      </c>
    </row>
    <row r="810" spans="13:13">
      <c r="M810">
        <f t="shared" si="26"/>
      </c>
    </row>
    <row r="811" spans="13:13">
      <c r="M811">
        <f t="shared" si="26"/>
      </c>
    </row>
    <row r="812" spans="13:13">
      <c r="M812">
        <f t="shared" si="26"/>
      </c>
    </row>
    <row r="813" spans="13:13">
      <c r="M813">
        <f t="shared" si="26"/>
      </c>
    </row>
    <row r="814" spans="13:13">
      <c r="M814">
        <f t="shared" si="26"/>
      </c>
    </row>
    <row r="815" spans="13:13">
      <c r="M815">
        <f t="shared" si="26"/>
      </c>
    </row>
    <row r="816" spans="13:13">
      <c r="M816">
        <f t="shared" si="26"/>
      </c>
    </row>
    <row r="817" spans="13:13">
      <c r="M817">
        <f t="shared" si="26"/>
      </c>
    </row>
    <row r="818" spans="13:13">
      <c r="M818">
        <f t="shared" si="26"/>
      </c>
    </row>
    <row r="819" spans="13:13">
      <c r="M819">
        <f t="shared" si="26"/>
      </c>
    </row>
    <row r="820" spans="13:13">
      <c r="M820">
        <f t="shared" si="26"/>
      </c>
    </row>
    <row r="821" spans="13:13">
      <c r="M821">
        <f t="shared" si="26"/>
      </c>
    </row>
    <row r="822" spans="13:13">
      <c r="M822">
        <f t="shared" si="26"/>
      </c>
    </row>
    <row r="823" spans="13:13">
      <c r="M823">
        <f t="shared" si="26"/>
      </c>
    </row>
    <row r="824" spans="13:13">
      <c r="M824">
        <f t="shared" si="26"/>
      </c>
    </row>
    <row r="825" spans="13:13">
      <c r="M825">
        <f t="shared" si="26"/>
      </c>
    </row>
    <row r="826" spans="13:13">
      <c r="M826">
        <f t="shared" si="26"/>
      </c>
    </row>
    <row r="827" spans="13:13">
      <c r="M827">
        <f t="shared" si="26"/>
      </c>
    </row>
    <row r="828" spans="13:13">
      <c r="M828">
        <f t="shared" si="26"/>
      </c>
    </row>
    <row r="829" spans="13:13">
      <c r="M829">
        <f t="shared" si="26"/>
      </c>
    </row>
    <row r="830" spans="13:13">
      <c r="M830">
        <f t="shared" si="26"/>
      </c>
    </row>
    <row r="831" spans="13:13">
      <c r="M831">
        <f t="shared" si="26"/>
      </c>
    </row>
    <row r="832" spans="13:13">
      <c r="M832">
        <f t="shared" si="26"/>
      </c>
    </row>
    <row r="833" spans="13:13">
      <c r="M833">
        <f t="shared" si="26"/>
      </c>
    </row>
    <row r="834" spans="13:13">
      <c r="M834">
        <f t="shared" si="26"/>
      </c>
    </row>
    <row r="835" spans="13:13">
      <c r="M835">
        <f t="shared" si="26"/>
      </c>
    </row>
    <row r="836" spans="13:13">
      <c r="M836">
        <f t="shared" si="26"/>
      </c>
    </row>
    <row r="837" spans="13:13">
      <c r="M837">
        <f t="shared" ref="M837:M900" si="27">IF(A837="","", WEEKNUM(A837, 2))</f>
      </c>
    </row>
    <row r="838" spans="13:13">
      <c r="M838">
        <f t="shared" si="27"/>
      </c>
    </row>
    <row r="839" spans="13:13">
      <c r="M839">
        <f t="shared" si="27"/>
      </c>
    </row>
    <row r="840" spans="13:13">
      <c r="M840">
        <f t="shared" si="27"/>
      </c>
    </row>
    <row r="841" spans="13:13">
      <c r="M841">
        <f t="shared" si="27"/>
      </c>
    </row>
    <row r="842" spans="13:13">
      <c r="M842">
        <f t="shared" si="27"/>
      </c>
    </row>
    <row r="843" spans="13:13">
      <c r="M843">
        <f t="shared" si="27"/>
      </c>
    </row>
    <row r="844" spans="13:13">
      <c r="M844">
        <f t="shared" si="27"/>
      </c>
    </row>
    <row r="845" spans="13:13">
      <c r="M845">
        <f t="shared" si="27"/>
      </c>
    </row>
    <row r="846" spans="13:13">
      <c r="M846">
        <f t="shared" si="27"/>
      </c>
    </row>
    <row r="847" spans="13:13">
      <c r="M847">
        <f t="shared" si="27"/>
      </c>
    </row>
    <row r="848" spans="13:13">
      <c r="M848">
        <f t="shared" si="27"/>
      </c>
    </row>
    <row r="849" spans="13:13">
      <c r="M849">
        <f t="shared" si="27"/>
      </c>
    </row>
    <row r="850" spans="13:13">
      <c r="M850">
        <f t="shared" si="27"/>
      </c>
    </row>
    <row r="851" spans="13:13">
      <c r="M851">
        <f t="shared" si="27"/>
      </c>
    </row>
    <row r="852" spans="13:13">
      <c r="M852">
        <f t="shared" si="27"/>
      </c>
    </row>
    <row r="853" spans="13:13">
      <c r="M853">
        <f t="shared" si="27"/>
      </c>
    </row>
    <row r="854" spans="13:13">
      <c r="M854">
        <f t="shared" si="27"/>
      </c>
    </row>
    <row r="855" spans="13:13">
      <c r="M855">
        <f t="shared" si="27"/>
      </c>
    </row>
    <row r="856" spans="13:13">
      <c r="M856">
        <f t="shared" si="27"/>
      </c>
    </row>
    <row r="857" spans="13:13">
      <c r="M857">
        <f t="shared" si="27"/>
      </c>
    </row>
    <row r="858" spans="13:13">
      <c r="M858">
        <f t="shared" si="27"/>
      </c>
    </row>
    <row r="859" spans="13:13">
      <c r="M859">
        <f t="shared" si="27"/>
      </c>
    </row>
    <row r="860" spans="13:13">
      <c r="M860">
        <f t="shared" si="27"/>
      </c>
    </row>
    <row r="861" spans="13:13">
      <c r="M861">
        <f t="shared" si="27"/>
      </c>
    </row>
    <row r="862" spans="13:13">
      <c r="M862">
        <f t="shared" si="27"/>
      </c>
    </row>
    <row r="863" spans="13:13">
      <c r="M863">
        <f t="shared" si="27"/>
      </c>
    </row>
    <row r="864" spans="13:13">
      <c r="M864">
        <f t="shared" si="27"/>
      </c>
    </row>
    <row r="865" spans="13:13">
      <c r="M865">
        <f t="shared" si="27"/>
      </c>
    </row>
    <row r="866" spans="13:13">
      <c r="M866">
        <f t="shared" si="27"/>
      </c>
    </row>
    <row r="867" spans="13:13">
      <c r="M867">
        <f t="shared" si="27"/>
      </c>
    </row>
    <row r="868" spans="13:13">
      <c r="M868">
        <f t="shared" si="27"/>
      </c>
    </row>
    <row r="869" spans="13:13">
      <c r="M869">
        <f t="shared" si="27"/>
      </c>
    </row>
    <row r="870" spans="13:13">
      <c r="M870">
        <f t="shared" si="27"/>
      </c>
    </row>
    <row r="871" spans="13:13">
      <c r="M871">
        <f t="shared" si="27"/>
      </c>
    </row>
    <row r="872" spans="13:13">
      <c r="M872">
        <f t="shared" si="27"/>
      </c>
    </row>
    <row r="873" spans="13:13">
      <c r="M873">
        <f t="shared" si="27"/>
      </c>
    </row>
    <row r="874" spans="13:13">
      <c r="M874">
        <f t="shared" si="27"/>
      </c>
    </row>
    <row r="875" spans="13:13">
      <c r="M875">
        <f t="shared" si="27"/>
      </c>
    </row>
    <row r="876" spans="13:13">
      <c r="M876">
        <f t="shared" si="27"/>
      </c>
    </row>
    <row r="877" spans="13:13">
      <c r="M877">
        <f t="shared" si="27"/>
      </c>
    </row>
    <row r="878" spans="13:13">
      <c r="M878">
        <f t="shared" si="27"/>
      </c>
    </row>
    <row r="879" spans="13:13">
      <c r="M879">
        <f t="shared" si="27"/>
      </c>
    </row>
    <row r="880" spans="13:13">
      <c r="M880">
        <f t="shared" si="27"/>
      </c>
    </row>
    <row r="881" spans="13:13">
      <c r="M881">
        <f t="shared" si="27"/>
      </c>
    </row>
    <row r="882" spans="13:13">
      <c r="M882">
        <f t="shared" si="27"/>
      </c>
    </row>
    <row r="883" spans="13:13">
      <c r="M883">
        <f t="shared" si="27"/>
      </c>
    </row>
    <row r="884" spans="13:13">
      <c r="M884">
        <f t="shared" si="27"/>
      </c>
    </row>
    <row r="885" spans="13:13">
      <c r="M885">
        <f t="shared" si="27"/>
      </c>
    </row>
    <row r="886" spans="13:13">
      <c r="M886">
        <f t="shared" si="27"/>
      </c>
    </row>
    <row r="887" spans="13:13">
      <c r="M887">
        <f t="shared" si="27"/>
      </c>
    </row>
    <row r="888" spans="13:13">
      <c r="M888">
        <f t="shared" si="27"/>
      </c>
    </row>
    <row r="889" spans="13:13">
      <c r="M889">
        <f t="shared" si="27"/>
      </c>
    </row>
    <row r="890" spans="13:13">
      <c r="M890">
        <f t="shared" si="27"/>
      </c>
    </row>
    <row r="891" spans="13:13">
      <c r="M891">
        <f t="shared" si="27"/>
      </c>
    </row>
    <row r="892" spans="13:13">
      <c r="M892">
        <f t="shared" si="27"/>
      </c>
    </row>
    <row r="893" spans="13:13">
      <c r="M893">
        <f t="shared" si="27"/>
      </c>
    </row>
    <row r="894" spans="13:13">
      <c r="M894">
        <f t="shared" si="27"/>
      </c>
    </row>
    <row r="895" spans="13:13">
      <c r="M895">
        <f t="shared" si="27"/>
      </c>
    </row>
    <row r="896" spans="13:13">
      <c r="M896">
        <f t="shared" si="27"/>
      </c>
    </row>
    <row r="897" spans="13:13">
      <c r="M897">
        <f t="shared" si="27"/>
      </c>
    </row>
    <row r="898" spans="13:13">
      <c r="M898">
        <f t="shared" si="27"/>
      </c>
    </row>
    <row r="899" spans="13:13">
      <c r="M899">
        <f t="shared" si="27"/>
      </c>
    </row>
    <row r="900" spans="13:13">
      <c r="M900">
        <f t="shared" si="27"/>
      </c>
    </row>
    <row r="901" spans="13:13">
      <c r="M901">
        <f t="shared" ref="M901:M964" si="28">IF(A901="","", WEEKNUM(A901, 2))</f>
      </c>
    </row>
    <row r="902" spans="13:13">
      <c r="M902">
        <f t="shared" si="28"/>
      </c>
    </row>
    <row r="903" spans="13:13">
      <c r="M903">
        <f t="shared" si="28"/>
      </c>
    </row>
    <row r="904" spans="13:13">
      <c r="M904">
        <f t="shared" si="28"/>
      </c>
    </row>
    <row r="905" spans="13:13">
      <c r="M905">
        <f t="shared" si="28"/>
      </c>
    </row>
    <row r="906" spans="13:13">
      <c r="M906">
        <f t="shared" si="28"/>
      </c>
    </row>
    <row r="907" spans="13:13">
      <c r="M907">
        <f t="shared" si="28"/>
      </c>
    </row>
    <row r="908" spans="13:13">
      <c r="M908">
        <f t="shared" si="28"/>
      </c>
    </row>
    <row r="909" spans="13:13">
      <c r="M909">
        <f t="shared" si="28"/>
      </c>
    </row>
    <row r="910" spans="13:13">
      <c r="M910">
        <f t="shared" si="28"/>
      </c>
    </row>
    <row r="911" spans="13:13">
      <c r="M911">
        <f t="shared" si="28"/>
      </c>
    </row>
    <row r="912" spans="13:13">
      <c r="M912">
        <f t="shared" si="28"/>
      </c>
    </row>
    <row r="913" spans="13:13">
      <c r="M913">
        <f t="shared" si="28"/>
      </c>
    </row>
    <row r="914" spans="13:13">
      <c r="M914">
        <f t="shared" si="28"/>
      </c>
    </row>
    <row r="915" spans="13:13">
      <c r="M915">
        <f t="shared" si="28"/>
      </c>
    </row>
    <row r="916" spans="13:13">
      <c r="M916">
        <f t="shared" si="28"/>
      </c>
    </row>
    <row r="917" spans="13:13">
      <c r="M917">
        <f t="shared" si="28"/>
      </c>
    </row>
    <row r="918" spans="13:13">
      <c r="M918">
        <f t="shared" si="28"/>
      </c>
    </row>
    <row r="919" spans="13:13">
      <c r="M919">
        <f t="shared" si="28"/>
      </c>
    </row>
    <row r="920" spans="13:13">
      <c r="M920">
        <f t="shared" si="28"/>
      </c>
    </row>
    <row r="921" spans="13:13">
      <c r="M921">
        <f t="shared" si="28"/>
      </c>
    </row>
    <row r="922" spans="13:13">
      <c r="M922">
        <f t="shared" si="28"/>
      </c>
    </row>
    <row r="923" spans="13:13">
      <c r="M923">
        <f t="shared" si="28"/>
      </c>
    </row>
    <row r="924" spans="13:13">
      <c r="M924">
        <f t="shared" si="28"/>
      </c>
    </row>
    <row r="925" spans="13:13">
      <c r="M925">
        <f t="shared" si="28"/>
      </c>
    </row>
    <row r="926" spans="13:13">
      <c r="M926">
        <f t="shared" si="28"/>
      </c>
    </row>
    <row r="927" spans="13:13">
      <c r="M927">
        <f t="shared" si="28"/>
      </c>
    </row>
    <row r="928" spans="13:13">
      <c r="M928">
        <f t="shared" si="28"/>
      </c>
    </row>
    <row r="929" spans="13:13">
      <c r="M929">
        <f t="shared" si="28"/>
      </c>
    </row>
    <row r="930" spans="13:13">
      <c r="M930">
        <f t="shared" si="28"/>
      </c>
    </row>
    <row r="931" spans="13:13">
      <c r="M931">
        <f t="shared" si="28"/>
      </c>
    </row>
    <row r="932" spans="13:13">
      <c r="M932">
        <f t="shared" si="28"/>
      </c>
    </row>
    <row r="933" spans="13:13">
      <c r="M933">
        <f t="shared" si="28"/>
      </c>
    </row>
    <row r="934" spans="13:13">
      <c r="M934">
        <f t="shared" si="28"/>
      </c>
    </row>
    <row r="935" spans="13:13">
      <c r="M935">
        <f t="shared" si="28"/>
      </c>
    </row>
    <row r="936" spans="13:13">
      <c r="M936">
        <f t="shared" si="28"/>
      </c>
    </row>
    <row r="937" spans="13:13">
      <c r="M937">
        <f t="shared" si="28"/>
      </c>
    </row>
    <row r="938" spans="13:13">
      <c r="M938">
        <f t="shared" si="28"/>
      </c>
    </row>
    <row r="939" spans="13:13">
      <c r="M939">
        <f t="shared" si="28"/>
      </c>
    </row>
    <row r="940" spans="13:13">
      <c r="M940">
        <f t="shared" si="28"/>
      </c>
    </row>
    <row r="941" spans="13:13">
      <c r="M941">
        <f t="shared" si="28"/>
      </c>
    </row>
    <row r="942" spans="13:13">
      <c r="M942">
        <f t="shared" si="28"/>
      </c>
    </row>
    <row r="943" spans="13:13">
      <c r="M943">
        <f t="shared" si="28"/>
      </c>
    </row>
    <row r="944" spans="13:13">
      <c r="M944">
        <f t="shared" si="28"/>
      </c>
    </row>
    <row r="945" spans="13:13">
      <c r="M945">
        <f t="shared" si="28"/>
      </c>
    </row>
    <row r="946" spans="13:13">
      <c r="M946">
        <f t="shared" si="28"/>
      </c>
    </row>
    <row r="947" spans="13:13">
      <c r="M947">
        <f t="shared" si="28"/>
      </c>
    </row>
    <row r="948" spans="13:13">
      <c r="M948">
        <f t="shared" si="28"/>
      </c>
    </row>
    <row r="949" spans="13:13">
      <c r="M949">
        <f t="shared" si="28"/>
      </c>
    </row>
    <row r="950" spans="13:13">
      <c r="M950">
        <f t="shared" si="28"/>
      </c>
    </row>
    <row r="951" spans="13:13">
      <c r="M951">
        <f t="shared" si="28"/>
      </c>
    </row>
    <row r="952" spans="13:13">
      <c r="M952">
        <f t="shared" si="28"/>
      </c>
    </row>
    <row r="953" spans="13:13">
      <c r="M953">
        <f t="shared" si="28"/>
      </c>
    </row>
    <row r="954" spans="13:13">
      <c r="M954">
        <f t="shared" si="28"/>
      </c>
    </row>
    <row r="955" spans="13:13">
      <c r="M955">
        <f t="shared" si="28"/>
      </c>
    </row>
    <row r="956" spans="13:13">
      <c r="M956">
        <f t="shared" si="28"/>
      </c>
    </row>
    <row r="957" spans="13:13">
      <c r="M957">
        <f t="shared" si="28"/>
      </c>
    </row>
    <row r="958" spans="13:13">
      <c r="M958">
        <f t="shared" si="28"/>
      </c>
    </row>
    <row r="959" spans="13:13">
      <c r="M959">
        <f t="shared" si="28"/>
      </c>
    </row>
    <row r="960" spans="13:13">
      <c r="M960">
        <f t="shared" si="28"/>
      </c>
    </row>
    <row r="961" spans="13:13">
      <c r="M961">
        <f t="shared" si="28"/>
      </c>
    </row>
    <row r="962" spans="13:13">
      <c r="M962">
        <f t="shared" si="28"/>
      </c>
    </row>
    <row r="963" spans="13:13">
      <c r="M963">
        <f t="shared" si="28"/>
      </c>
    </row>
    <row r="964" spans="13:13">
      <c r="M964">
        <f t="shared" si="28"/>
      </c>
    </row>
    <row r="965" spans="13:13">
      <c r="M965">
        <f t="shared" ref="M965:M1028" si="29">IF(A965="","", WEEKNUM(A965, 2))</f>
      </c>
    </row>
    <row r="966" spans="13:13">
      <c r="M966">
        <f t="shared" si="29"/>
      </c>
    </row>
    <row r="967" spans="13:13">
      <c r="M967">
        <f t="shared" si="29"/>
      </c>
    </row>
    <row r="968" spans="13:13">
      <c r="M968">
        <f t="shared" si="29"/>
      </c>
    </row>
    <row r="969" spans="13:13">
      <c r="M969">
        <f t="shared" si="29"/>
      </c>
    </row>
    <row r="970" spans="13:13">
      <c r="M970">
        <f t="shared" si="29"/>
      </c>
    </row>
    <row r="971" spans="13:13">
      <c r="M971">
        <f t="shared" si="29"/>
      </c>
    </row>
    <row r="972" spans="13:13">
      <c r="M972">
        <f t="shared" si="29"/>
      </c>
    </row>
    <row r="973" spans="13:13">
      <c r="M973">
        <f t="shared" si="29"/>
      </c>
    </row>
    <row r="974" spans="13:13">
      <c r="M974">
        <f t="shared" si="29"/>
      </c>
    </row>
    <row r="975" spans="13:13">
      <c r="M975">
        <f t="shared" si="29"/>
      </c>
    </row>
    <row r="976" spans="13:13">
      <c r="M976">
        <f t="shared" si="29"/>
      </c>
    </row>
    <row r="977" spans="13:13">
      <c r="M977">
        <f t="shared" si="29"/>
      </c>
    </row>
    <row r="978" spans="13:13">
      <c r="M978">
        <f t="shared" si="29"/>
      </c>
    </row>
    <row r="979" spans="13:13">
      <c r="M979">
        <f t="shared" si="29"/>
      </c>
    </row>
    <row r="980" spans="13:13">
      <c r="M980">
        <f t="shared" si="29"/>
      </c>
    </row>
    <row r="981" spans="13:13">
      <c r="M981">
        <f t="shared" si="29"/>
      </c>
    </row>
    <row r="982" spans="13:13">
      <c r="M982">
        <f t="shared" si="29"/>
      </c>
    </row>
    <row r="983" spans="13:13">
      <c r="M983">
        <f t="shared" si="29"/>
      </c>
    </row>
    <row r="984" spans="13:13">
      <c r="M984">
        <f t="shared" si="29"/>
      </c>
    </row>
    <row r="985" spans="13:13">
      <c r="M985">
        <f t="shared" si="29"/>
      </c>
    </row>
    <row r="986" spans="13:13">
      <c r="M986">
        <f t="shared" si="29"/>
      </c>
    </row>
    <row r="987" spans="13:13">
      <c r="M987">
        <f t="shared" si="29"/>
      </c>
    </row>
    <row r="988" spans="13:13">
      <c r="M988">
        <f t="shared" si="29"/>
      </c>
    </row>
    <row r="989" spans="13:13">
      <c r="M989">
        <f t="shared" si="29"/>
      </c>
    </row>
    <row r="990" spans="13:13">
      <c r="M990">
        <f t="shared" si="29"/>
      </c>
    </row>
    <row r="991" spans="13:13">
      <c r="M991">
        <f t="shared" si="29"/>
      </c>
    </row>
    <row r="992" spans="13:13">
      <c r="M992">
        <f t="shared" si="29"/>
      </c>
    </row>
    <row r="993" spans="13:13">
      <c r="M993">
        <f t="shared" si="29"/>
      </c>
    </row>
    <row r="994" spans="13:13">
      <c r="M994">
        <f t="shared" si="29"/>
      </c>
    </row>
    <row r="995" spans="13:13">
      <c r="M995">
        <f t="shared" si="29"/>
      </c>
    </row>
    <row r="996" spans="13:13">
      <c r="M996">
        <f t="shared" si="29"/>
      </c>
    </row>
    <row r="997" spans="13:13">
      <c r="M997">
        <f t="shared" si="29"/>
      </c>
    </row>
    <row r="998" spans="13:13">
      <c r="M998">
        <f t="shared" si="29"/>
      </c>
    </row>
    <row r="999" spans="13:13">
      <c r="M999">
        <f t="shared" si="29"/>
      </c>
    </row>
    <row r="1000" spans="13:13">
      <c r="M1000">
        <f t="shared" si="29"/>
      </c>
    </row>
    <row r="1001" spans="13:13">
      <c r="M1001">
        <f t="shared" si="29"/>
      </c>
    </row>
    <row r="1002" spans="13:13">
      <c r="M1002">
        <f t="shared" si="29"/>
      </c>
    </row>
    <row r="1003" spans="13:13">
      <c r="M1003">
        <f t="shared" si="29"/>
      </c>
    </row>
    <row r="1004" spans="13:13">
      <c r="M1004">
        <f t="shared" si="29"/>
      </c>
    </row>
    <row r="1005" spans="13:13">
      <c r="M1005">
        <f t="shared" si="29"/>
      </c>
    </row>
    <row r="1006" spans="13:13">
      <c r="M1006">
        <f t="shared" si="29"/>
      </c>
    </row>
    <row r="1007" spans="13:13">
      <c r="M1007">
        <f t="shared" si="29"/>
      </c>
    </row>
    <row r="1008" spans="13:13">
      <c r="M1008">
        <f t="shared" si="29"/>
      </c>
    </row>
    <row r="1009" spans="13:13">
      <c r="M1009">
        <f t="shared" si="29"/>
      </c>
    </row>
    <row r="1010" spans="13:13">
      <c r="M1010">
        <f t="shared" si="29"/>
      </c>
    </row>
    <row r="1011" spans="13:13">
      <c r="M1011">
        <f t="shared" si="29"/>
      </c>
    </row>
    <row r="1012" spans="13:13">
      <c r="M1012">
        <f t="shared" si="29"/>
      </c>
    </row>
    <row r="1013" spans="13:13">
      <c r="M1013">
        <f t="shared" si="29"/>
      </c>
    </row>
    <row r="1014" spans="13:13">
      <c r="M1014">
        <f t="shared" si="29"/>
      </c>
    </row>
    <row r="1015" spans="13:13">
      <c r="M1015">
        <f t="shared" si="29"/>
      </c>
    </row>
    <row r="1016" spans="13:13">
      <c r="M1016">
        <f t="shared" si="29"/>
      </c>
    </row>
    <row r="1017" spans="13:13">
      <c r="M1017">
        <f t="shared" si="29"/>
      </c>
    </row>
    <row r="1018" spans="13:13">
      <c r="M1018">
        <f t="shared" si="29"/>
      </c>
    </row>
    <row r="1019" spans="13:13">
      <c r="M1019">
        <f t="shared" si="29"/>
      </c>
    </row>
    <row r="1020" spans="13:13">
      <c r="M1020">
        <f t="shared" si="29"/>
      </c>
    </row>
    <row r="1021" spans="13:13">
      <c r="M1021">
        <f t="shared" si="29"/>
      </c>
    </row>
    <row r="1022" spans="13:13">
      <c r="M1022">
        <f t="shared" si="29"/>
      </c>
    </row>
    <row r="1023" spans="13:13">
      <c r="M1023">
        <f t="shared" si="29"/>
      </c>
    </row>
    <row r="1024" spans="13:13">
      <c r="M1024">
        <f t="shared" si="29"/>
      </c>
    </row>
    <row r="1025" spans="13:13">
      <c r="M1025">
        <f t="shared" si="29"/>
      </c>
    </row>
    <row r="1026" spans="13:13">
      <c r="M1026">
        <f t="shared" si="29"/>
      </c>
    </row>
    <row r="1027" spans="13:13">
      <c r="M1027">
        <f t="shared" si="29"/>
      </c>
    </row>
    <row r="1028" spans="13:13">
      <c r="M1028">
        <f t="shared" si="29"/>
      </c>
    </row>
    <row r="1029" spans="13:13">
      <c r="M1029">
        <f t="shared" ref="M1029:M1092" si="30">IF(A1029="","", WEEKNUM(A1029, 2))</f>
      </c>
    </row>
    <row r="1030" spans="13:13">
      <c r="M1030">
        <f t="shared" si="30"/>
      </c>
    </row>
    <row r="1031" spans="13:13">
      <c r="M1031">
        <f t="shared" si="30"/>
      </c>
    </row>
    <row r="1032" spans="13:13">
      <c r="M1032">
        <f t="shared" si="30"/>
      </c>
    </row>
    <row r="1033" spans="13:13">
      <c r="M1033">
        <f t="shared" si="30"/>
      </c>
    </row>
    <row r="1034" spans="13:13">
      <c r="M1034">
        <f t="shared" si="30"/>
      </c>
    </row>
    <row r="1035" spans="13:13">
      <c r="M1035">
        <f t="shared" si="30"/>
      </c>
    </row>
    <row r="1036" spans="13:13">
      <c r="M1036">
        <f t="shared" si="30"/>
      </c>
    </row>
    <row r="1037" spans="13:13">
      <c r="M1037">
        <f t="shared" si="30"/>
      </c>
    </row>
    <row r="1038" spans="13:13">
      <c r="M1038">
        <f t="shared" si="30"/>
      </c>
    </row>
    <row r="1039" spans="13:13">
      <c r="M1039">
        <f t="shared" si="30"/>
      </c>
    </row>
    <row r="1040" spans="13:13">
      <c r="M1040">
        <f t="shared" si="30"/>
      </c>
    </row>
    <row r="1041" spans="13:13">
      <c r="M1041">
        <f t="shared" si="30"/>
      </c>
    </row>
    <row r="1042" spans="13:13">
      <c r="M1042">
        <f t="shared" si="30"/>
      </c>
    </row>
    <row r="1043" spans="13:13">
      <c r="M1043">
        <f t="shared" si="30"/>
      </c>
    </row>
    <row r="1044" spans="13:13">
      <c r="M1044">
        <f t="shared" si="30"/>
      </c>
    </row>
    <row r="1045" spans="13:13">
      <c r="M1045">
        <f t="shared" si="30"/>
      </c>
    </row>
    <row r="1046" spans="13:13">
      <c r="M1046">
        <f t="shared" si="30"/>
      </c>
    </row>
    <row r="1047" spans="13:13">
      <c r="M1047">
        <f t="shared" si="30"/>
      </c>
    </row>
    <row r="1048" spans="13:13">
      <c r="M1048">
        <f t="shared" si="30"/>
      </c>
    </row>
    <row r="1049" spans="13:13">
      <c r="M1049">
        <f t="shared" si="30"/>
      </c>
    </row>
    <row r="1050" spans="13:13">
      <c r="M1050">
        <f t="shared" si="30"/>
      </c>
    </row>
    <row r="1051" spans="13:13">
      <c r="M1051">
        <f t="shared" si="30"/>
      </c>
    </row>
    <row r="1052" spans="13:13">
      <c r="M1052">
        <f t="shared" si="30"/>
      </c>
    </row>
    <row r="1053" spans="13:13">
      <c r="M1053">
        <f t="shared" si="30"/>
      </c>
    </row>
    <row r="1054" spans="13:13">
      <c r="M1054">
        <f t="shared" si="30"/>
      </c>
    </row>
    <row r="1055" spans="13:13">
      <c r="M1055">
        <f t="shared" si="30"/>
      </c>
    </row>
    <row r="1056" spans="13:13">
      <c r="M1056">
        <f t="shared" si="30"/>
      </c>
    </row>
    <row r="1057" spans="13:13">
      <c r="M1057">
        <f t="shared" si="30"/>
      </c>
    </row>
    <row r="1058" spans="13:13">
      <c r="M1058">
        <f t="shared" si="30"/>
      </c>
    </row>
    <row r="1059" spans="13:13">
      <c r="M1059">
        <f t="shared" si="30"/>
      </c>
    </row>
    <row r="1060" spans="13:13">
      <c r="M1060">
        <f t="shared" si="30"/>
      </c>
    </row>
    <row r="1061" spans="13:13">
      <c r="M1061">
        <f t="shared" si="30"/>
      </c>
    </row>
    <row r="1062" spans="13:13">
      <c r="M1062">
        <f t="shared" si="30"/>
      </c>
    </row>
    <row r="1063" spans="13:13">
      <c r="M1063">
        <f t="shared" si="30"/>
      </c>
    </row>
    <row r="1064" spans="13:13">
      <c r="M1064">
        <f t="shared" si="30"/>
      </c>
    </row>
    <row r="1065" spans="13:13">
      <c r="M1065">
        <f t="shared" si="30"/>
      </c>
    </row>
    <row r="1066" spans="13:13">
      <c r="M1066">
        <f t="shared" si="30"/>
      </c>
    </row>
    <row r="1067" spans="13:13">
      <c r="M1067">
        <f t="shared" si="30"/>
      </c>
    </row>
    <row r="1068" spans="13:13">
      <c r="M1068">
        <f t="shared" si="30"/>
      </c>
    </row>
    <row r="1069" spans="13:13">
      <c r="M1069">
        <f t="shared" si="30"/>
      </c>
    </row>
    <row r="1070" spans="13:13">
      <c r="M1070">
        <f t="shared" si="30"/>
      </c>
    </row>
    <row r="1071" spans="13:13">
      <c r="M1071">
        <f t="shared" si="30"/>
      </c>
    </row>
    <row r="1072" spans="13:13">
      <c r="M1072">
        <f t="shared" si="30"/>
      </c>
    </row>
    <row r="1073" spans="13:13">
      <c r="M1073">
        <f t="shared" si="30"/>
      </c>
    </row>
    <row r="1074" spans="13:13">
      <c r="M1074">
        <f t="shared" si="30"/>
      </c>
    </row>
    <row r="1075" spans="13:13">
      <c r="M1075">
        <f t="shared" si="30"/>
      </c>
    </row>
    <row r="1076" spans="13:13">
      <c r="M1076">
        <f t="shared" si="30"/>
      </c>
    </row>
    <row r="1077" spans="13:13">
      <c r="M1077">
        <f t="shared" si="30"/>
      </c>
    </row>
    <row r="1078" spans="13:13">
      <c r="M1078">
        <f t="shared" si="30"/>
      </c>
    </row>
    <row r="1079" spans="13:13">
      <c r="M1079">
        <f t="shared" si="30"/>
      </c>
    </row>
    <row r="1080" spans="13:13">
      <c r="M1080">
        <f t="shared" si="30"/>
      </c>
    </row>
    <row r="1081" spans="13:13">
      <c r="M1081">
        <f t="shared" si="30"/>
      </c>
    </row>
    <row r="1082" spans="13:13">
      <c r="M1082">
        <f t="shared" si="30"/>
      </c>
    </row>
    <row r="1083" spans="13:13">
      <c r="M1083">
        <f t="shared" si="30"/>
      </c>
    </row>
    <row r="1084" spans="13:13">
      <c r="M1084">
        <f t="shared" si="30"/>
      </c>
    </row>
    <row r="1085" spans="13:13">
      <c r="M1085">
        <f t="shared" si="30"/>
      </c>
    </row>
    <row r="1086" spans="13:13">
      <c r="M1086">
        <f t="shared" si="30"/>
      </c>
    </row>
    <row r="1087" spans="13:13">
      <c r="M1087">
        <f t="shared" si="30"/>
      </c>
    </row>
    <row r="1088" spans="13:13">
      <c r="M1088">
        <f t="shared" si="30"/>
      </c>
    </row>
    <row r="1089" spans="13:13">
      <c r="M1089">
        <f t="shared" si="30"/>
      </c>
    </row>
    <row r="1090" spans="13:13">
      <c r="M1090">
        <f t="shared" si="30"/>
      </c>
    </row>
    <row r="1091" spans="13:13">
      <c r="M1091">
        <f t="shared" si="30"/>
      </c>
    </row>
    <row r="1092" spans="13:13">
      <c r="M1092">
        <f t="shared" si="30"/>
      </c>
    </row>
    <row r="1093" spans="13:13">
      <c r="M1093">
        <f t="shared" ref="M1093:M1156" si="31">IF(A1093="","", WEEKNUM(A1093, 2))</f>
      </c>
    </row>
    <row r="1094" spans="13:13">
      <c r="M1094">
        <f t="shared" si="31"/>
      </c>
    </row>
    <row r="1095" spans="13:13">
      <c r="M1095">
        <f t="shared" si="31"/>
      </c>
    </row>
    <row r="1096" spans="13:13">
      <c r="M1096">
        <f t="shared" si="31"/>
      </c>
    </row>
    <row r="1097" spans="13:13">
      <c r="M1097">
        <f t="shared" si="31"/>
      </c>
    </row>
    <row r="1098" spans="13:13">
      <c r="M1098">
        <f t="shared" si="31"/>
      </c>
    </row>
    <row r="1099" spans="13:13">
      <c r="M1099">
        <f t="shared" si="31"/>
      </c>
    </row>
    <row r="1100" spans="13:13">
      <c r="M1100">
        <f t="shared" si="31"/>
      </c>
    </row>
    <row r="1101" spans="13:13">
      <c r="M1101">
        <f t="shared" si="31"/>
      </c>
    </row>
    <row r="1102" spans="13:13">
      <c r="M1102">
        <f t="shared" si="31"/>
      </c>
    </row>
    <row r="1103" spans="13:13">
      <c r="M1103">
        <f t="shared" si="31"/>
      </c>
    </row>
    <row r="1104" spans="13:13">
      <c r="M1104">
        <f t="shared" si="31"/>
      </c>
    </row>
    <row r="1105" spans="13:13">
      <c r="M1105">
        <f t="shared" si="31"/>
      </c>
    </row>
    <row r="1106" spans="13:13">
      <c r="M1106">
        <f t="shared" si="31"/>
      </c>
    </row>
    <row r="1107" spans="13:13">
      <c r="M1107">
        <f t="shared" si="31"/>
      </c>
    </row>
    <row r="1108" spans="13:13">
      <c r="M1108">
        <f t="shared" si="31"/>
      </c>
    </row>
    <row r="1109" spans="13:13">
      <c r="M1109">
        <f t="shared" si="31"/>
      </c>
    </row>
    <row r="1110" spans="13:13">
      <c r="M1110">
        <f t="shared" si="31"/>
      </c>
    </row>
    <row r="1111" spans="13:13">
      <c r="M1111">
        <f t="shared" si="31"/>
      </c>
    </row>
    <row r="1112" spans="13:13">
      <c r="M1112">
        <f t="shared" si="31"/>
      </c>
    </row>
    <row r="1113" spans="13:13">
      <c r="M1113">
        <f t="shared" si="31"/>
      </c>
    </row>
    <row r="1114" spans="13:13">
      <c r="M1114">
        <f t="shared" si="31"/>
      </c>
    </row>
    <row r="1115" spans="13:13">
      <c r="M1115">
        <f t="shared" si="31"/>
      </c>
    </row>
    <row r="1116" spans="13:13">
      <c r="M1116">
        <f t="shared" si="31"/>
      </c>
    </row>
    <row r="1117" spans="13:13">
      <c r="M1117">
        <f t="shared" si="31"/>
      </c>
    </row>
    <row r="1118" spans="13:13">
      <c r="M1118">
        <f t="shared" si="31"/>
      </c>
    </row>
    <row r="1119" spans="13:13">
      <c r="M1119">
        <f t="shared" si="31"/>
      </c>
    </row>
    <row r="1120" spans="13:13">
      <c r="M1120">
        <f t="shared" si="31"/>
      </c>
    </row>
    <row r="1121" spans="13:13">
      <c r="M1121">
        <f t="shared" si="31"/>
      </c>
    </row>
    <row r="1122" spans="13:13">
      <c r="M1122">
        <f t="shared" si="31"/>
      </c>
    </row>
    <row r="1123" spans="13:13">
      <c r="M1123">
        <f t="shared" si="31"/>
      </c>
    </row>
    <row r="1124" spans="13:13">
      <c r="M1124">
        <f t="shared" si="31"/>
      </c>
    </row>
    <row r="1125" spans="13:13">
      <c r="M1125">
        <f t="shared" si="31"/>
      </c>
    </row>
    <row r="1126" spans="13:13">
      <c r="M1126">
        <f t="shared" si="31"/>
      </c>
    </row>
    <row r="1127" spans="13:13">
      <c r="M1127">
        <f t="shared" si="31"/>
      </c>
    </row>
    <row r="1128" spans="13:13">
      <c r="M1128">
        <f t="shared" si="31"/>
      </c>
    </row>
    <row r="1129" spans="13:13">
      <c r="M1129">
        <f t="shared" si="31"/>
      </c>
    </row>
    <row r="1130" spans="13:13">
      <c r="M1130">
        <f t="shared" si="31"/>
      </c>
    </row>
    <row r="1131" spans="13:13">
      <c r="M1131">
        <f t="shared" si="31"/>
      </c>
    </row>
    <row r="1132" spans="13:13">
      <c r="M1132">
        <f t="shared" si="31"/>
      </c>
    </row>
    <row r="1133" spans="13:13">
      <c r="M1133">
        <f t="shared" si="31"/>
      </c>
    </row>
    <row r="1134" spans="13:13">
      <c r="M1134">
        <f t="shared" si="31"/>
      </c>
    </row>
    <row r="1135" spans="13:13">
      <c r="M1135">
        <f t="shared" si="31"/>
      </c>
    </row>
    <row r="1136" spans="13:13">
      <c r="M1136">
        <f t="shared" si="31"/>
      </c>
    </row>
    <row r="1137" spans="13:13">
      <c r="M1137">
        <f t="shared" si="31"/>
      </c>
    </row>
    <row r="1138" spans="13:13">
      <c r="M1138">
        <f t="shared" si="31"/>
      </c>
    </row>
    <row r="1139" spans="13:13">
      <c r="M1139">
        <f t="shared" si="31"/>
      </c>
    </row>
    <row r="1140" spans="13:13">
      <c r="M1140">
        <f t="shared" si="31"/>
      </c>
    </row>
    <row r="1141" spans="13:13">
      <c r="M1141">
        <f t="shared" si="31"/>
      </c>
    </row>
    <row r="1142" spans="13:13">
      <c r="M1142">
        <f t="shared" si="31"/>
      </c>
    </row>
    <row r="1143" spans="13:13">
      <c r="M1143">
        <f t="shared" si="31"/>
      </c>
    </row>
    <row r="1144" spans="13:13">
      <c r="M1144">
        <f t="shared" si="31"/>
      </c>
    </row>
    <row r="1145" spans="13:13">
      <c r="M1145">
        <f t="shared" si="31"/>
      </c>
    </row>
    <row r="1146" spans="13:13">
      <c r="M1146">
        <f t="shared" si="31"/>
      </c>
    </row>
    <row r="1147" spans="13:13">
      <c r="M1147">
        <f t="shared" si="31"/>
      </c>
    </row>
    <row r="1148" spans="13:13">
      <c r="M1148">
        <f t="shared" si="31"/>
      </c>
    </row>
    <row r="1149" spans="13:13">
      <c r="M1149">
        <f t="shared" si="31"/>
      </c>
    </row>
    <row r="1150" spans="13:13">
      <c r="M1150">
        <f t="shared" si="31"/>
      </c>
    </row>
    <row r="1151" spans="13:13">
      <c r="M1151">
        <f t="shared" si="31"/>
      </c>
    </row>
    <row r="1152" spans="13:13">
      <c r="M1152">
        <f t="shared" si="31"/>
      </c>
    </row>
    <row r="1153" spans="13:13">
      <c r="M1153">
        <f t="shared" si="31"/>
      </c>
    </row>
    <row r="1154" spans="13:13">
      <c r="M1154">
        <f t="shared" si="31"/>
      </c>
    </row>
    <row r="1155" spans="13:13">
      <c r="M1155">
        <f t="shared" si="31"/>
      </c>
    </row>
    <row r="1156" spans="13:13">
      <c r="M1156">
        <f t="shared" si="31"/>
      </c>
    </row>
    <row r="1157" spans="13:13">
      <c r="M1157">
        <f t="shared" ref="M1157:M1220" si="32">IF(A1157="","", WEEKNUM(A1157, 2))</f>
      </c>
    </row>
    <row r="1158" spans="13:13">
      <c r="M1158">
        <f t="shared" si="32"/>
      </c>
    </row>
    <row r="1159" spans="13:13">
      <c r="M1159">
        <f t="shared" si="32"/>
      </c>
    </row>
    <row r="1160" spans="13:13">
      <c r="M1160">
        <f t="shared" si="32"/>
      </c>
    </row>
    <row r="1161" spans="13:13">
      <c r="M1161">
        <f t="shared" si="32"/>
      </c>
    </row>
    <row r="1162" spans="13:13">
      <c r="M1162">
        <f t="shared" si="32"/>
      </c>
    </row>
    <row r="1163" spans="13:13">
      <c r="M1163">
        <f t="shared" si="32"/>
      </c>
    </row>
    <row r="1164" spans="13:13">
      <c r="M1164">
        <f t="shared" si="32"/>
      </c>
    </row>
    <row r="1165" spans="13:13">
      <c r="M1165">
        <f t="shared" si="32"/>
      </c>
    </row>
    <row r="1166" spans="13:13">
      <c r="M1166">
        <f t="shared" si="32"/>
      </c>
    </row>
    <row r="1167" spans="13:13">
      <c r="M1167">
        <f t="shared" si="32"/>
      </c>
    </row>
    <row r="1168" spans="13:13">
      <c r="M1168">
        <f t="shared" si="32"/>
      </c>
    </row>
    <row r="1169" spans="13:13">
      <c r="M1169">
        <f t="shared" si="32"/>
      </c>
    </row>
    <row r="1170" spans="13:13">
      <c r="M1170">
        <f t="shared" si="32"/>
      </c>
    </row>
    <row r="1171" spans="13:13">
      <c r="M1171">
        <f t="shared" si="32"/>
      </c>
    </row>
    <row r="1172" spans="13:13">
      <c r="M1172">
        <f t="shared" si="32"/>
      </c>
    </row>
    <row r="1173" spans="13:13">
      <c r="M1173">
        <f t="shared" si="32"/>
      </c>
    </row>
    <row r="1174" spans="13:13">
      <c r="M1174">
        <f t="shared" si="32"/>
      </c>
    </row>
    <row r="1175" spans="13:13">
      <c r="M1175">
        <f t="shared" si="32"/>
      </c>
    </row>
    <row r="1176" spans="13:13">
      <c r="M1176">
        <f t="shared" si="32"/>
      </c>
    </row>
    <row r="1177" spans="13:13">
      <c r="M1177">
        <f t="shared" si="32"/>
      </c>
    </row>
    <row r="1178" spans="13:13">
      <c r="M1178">
        <f t="shared" si="32"/>
      </c>
    </row>
    <row r="1179" spans="13:13">
      <c r="M1179">
        <f t="shared" si="32"/>
      </c>
    </row>
    <row r="1180" spans="13:13">
      <c r="M1180">
        <f t="shared" si="32"/>
      </c>
    </row>
    <row r="1181" spans="13:13">
      <c r="M1181">
        <f t="shared" si="32"/>
      </c>
    </row>
    <row r="1182" spans="13:13">
      <c r="M1182">
        <f t="shared" si="32"/>
      </c>
    </row>
    <row r="1183" spans="13:13">
      <c r="M1183">
        <f t="shared" si="32"/>
      </c>
    </row>
    <row r="1184" spans="13:13">
      <c r="M1184">
        <f t="shared" si="32"/>
      </c>
    </row>
    <row r="1185" spans="13:13">
      <c r="M1185">
        <f t="shared" si="32"/>
      </c>
    </row>
    <row r="1186" spans="13:13">
      <c r="M1186">
        <f t="shared" si="32"/>
      </c>
    </row>
    <row r="1187" spans="13:13">
      <c r="M1187">
        <f t="shared" si="32"/>
      </c>
    </row>
    <row r="1188" spans="13:13">
      <c r="M1188">
        <f t="shared" si="32"/>
      </c>
    </row>
    <row r="1189" spans="13:13">
      <c r="M1189">
        <f t="shared" si="32"/>
      </c>
    </row>
    <row r="1190" spans="13:13">
      <c r="M1190">
        <f t="shared" si="32"/>
      </c>
    </row>
    <row r="1191" spans="13:13">
      <c r="M1191">
        <f t="shared" si="32"/>
      </c>
    </row>
    <row r="1192" spans="13:13">
      <c r="M1192">
        <f t="shared" si="32"/>
      </c>
    </row>
    <row r="1193" spans="13:13">
      <c r="M1193">
        <f t="shared" si="32"/>
      </c>
    </row>
    <row r="1194" spans="13:13">
      <c r="M1194">
        <f t="shared" si="32"/>
      </c>
    </row>
    <row r="1195" spans="13:13">
      <c r="M1195">
        <f t="shared" si="32"/>
      </c>
    </row>
    <row r="1196" spans="13:13">
      <c r="M1196">
        <f t="shared" si="32"/>
      </c>
    </row>
    <row r="1197" spans="13:13">
      <c r="M1197">
        <f t="shared" si="32"/>
      </c>
    </row>
    <row r="1198" spans="13:13">
      <c r="M1198">
        <f t="shared" si="32"/>
      </c>
    </row>
    <row r="1199" spans="13:13">
      <c r="M1199">
        <f t="shared" si="32"/>
      </c>
    </row>
    <row r="1200" spans="13:13">
      <c r="M1200">
        <f t="shared" si="32"/>
      </c>
    </row>
    <row r="1201" spans="13:13">
      <c r="M1201">
        <f t="shared" si="32"/>
      </c>
    </row>
    <row r="1202" spans="13:13">
      <c r="M1202">
        <f t="shared" si="32"/>
      </c>
    </row>
    <row r="1203" spans="13:13">
      <c r="M1203">
        <f t="shared" si="32"/>
      </c>
    </row>
    <row r="1204" spans="13:13">
      <c r="M1204">
        <f t="shared" si="32"/>
      </c>
    </row>
    <row r="1205" spans="13:13">
      <c r="M1205">
        <f t="shared" si="32"/>
      </c>
    </row>
    <row r="1206" spans="13:13">
      <c r="M1206">
        <f t="shared" si="32"/>
      </c>
    </row>
    <row r="1207" spans="13:13">
      <c r="M1207">
        <f t="shared" si="32"/>
      </c>
    </row>
    <row r="1208" spans="13:13">
      <c r="M1208">
        <f t="shared" si="32"/>
      </c>
    </row>
    <row r="1209" spans="13:13">
      <c r="M1209">
        <f t="shared" si="32"/>
      </c>
    </row>
    <row r="1210" spans="13:13">
      <c r="M1210">
        <f t="shared" si="32"/>
      </c>
    </row>
    <row r="1211" spans="13:13">
      <c r="M1211">
        <f t="shared" si="32"/>
      </c>
    </row>
    <row r="1212" spans="13:13">
      <c r="M1212">
        <f t="shared" si="32"/>
      </c>
    </row>
    <row r="1213" spans="13:13">
      <c r="M1213">
        <f t="shared" si="32"/>
      </c>
    </row>
    <row r="1214" spans="13:13">
      <c r="M1214">
        <f t="shared" si="32"/>
      </c>
    </row>
    <row r="1215" spans="13:13">
      <c r="M1215">
        <f t="shared" si="32"/>
      </c>
    </row>
    <row r="1216" spans="13:13">
      <c r="M1216">
        <f t="shared" si="32"/>
      </c>
    </row>
    <row r="1217" spans="13:13">
      <c r="M1217">
        <f t="shared" si="32"/>
      </c>
    </row>
    <row r="1218" spans="13:13">
      <c r="M1218">
        <f t="shared" si="32"/>
      </c>
    </row>
    <row r="1219" spans="13:13">
      <c r="M1219">
        <f t="shared" si="32"/>
      </c>
    </row>
    <row r="1220" spans="13:13">
      <c r="M1220">
        <f t="shared" si="32"/>
      </c>
    </row>
    <row r="1221" spans="13:13">
      <c r="M1221">
        <f t="shared" ref="M1221:M1284" si="33">IF(A1221="","", WEEKNUM(A1221, 2))</f>
      </c>
    </row>
    <row r="1222" spans="13:13">
      <c r="M1222">
        <f t="shared" si="33"/>
      </c>
    </row>
    <row r="1223" spans="13:13">
      <c r="M1223">
        <f t="shared" si="33"/>
      </c>
    </row>
    <row r="1224" spans="13:13">
      <c r="M1224">
        <f t="shared" si="33"/>
      </c>
    </row>
    <row r="1225" spans="13:13">
      <c r="M1225">
        <f t="shared" si="33"/>
      </c>
    </row>
    <row r="1226" spans="13:13">
      <c r="M1226">
        <f t="shared" si="33"/>
      </c>
    </row>
    <row r="1227" spans="13:13">
      <c r="M1227">
        <f t="shared" si="33"/>
      </c>
    </row>
    <row r="1228" spans="13:13">
      <c r="M1228">
        <f t="shared" si="33"/>
      </c>
    </row>
    <row r="1229" spans="13:13">
      <c r="M1229">
        <f t="shared" si="33"/>
      </c>
    </row>
    <row r="1230" spans="13:13">
      <c r="M1230">
        <f t="shared" si="33"/>
      </c>
    </row>
    <row r="1231" spans="13:13">
      <c r="M1231">
        <f t="shared" si="33"/>
      </c>
    </row>
    <row r="1232" spans="13:13">
      <c r="M1232">
        <f t="shared" si="33"/>
      </c>
    </row>
    <row r="1233" spans="13:13">
      <c r="M1233">
        <f t="shared" si="33"/>
      </c>
    </row>
    <row r="1234" spans="13:13">
      <c r="M1234">
        <f t="shared" si="33"/>
      </c>
    </row>
    <row r="1235" spans="13:13">
      <c r="M1235">
        <f t="shared" si="33"/>
      </c>
    </row>
    <row r="1236" spans="13:13">
      <c r="M1236">
        <f t="shared" si="33"/>
      </c>
    </row>
    <row r="1237" spans="13:13">
      <c r="M1237">
        <f t="shared" si="33"/>
      </c>
    </row>
    <row r="1238" spans="13:13">
      <c r="M1238">
        <f t="shared" si="33"/>
      </c>
    </row>
    <row r="1239" spans="13:13">
      <c r="M1239">
        <f t="shared" si="33"/>
      </c>
    </row>
    <row r="1240" spans="13:13">
      <c r="M1240">
        <f t="shared" si="33"/>
      </c>
    </row>
    <row r="1241" spans="13:13">
      <c r="M1241">
        <f t="shared" si="33"/>
      </c>
    </row>
    <row r="1242" spans="13:13">
      <c r="M1242">
        <f t="shared" si="33"/>
      </c>
    </row>
    <row r="1243" spans="13:13">
      <c r="M1243">
        <f t="shared" si="33"/>
      </c>
    </row>
    <row r="1244" spans="13:13">
      <c r="M1244">
        <f t="shared" si="33"/>
      </c>
    </row>
    <row r="1245" spans="13:13">
      <c r="M1245">
        <f t="shared" si="33"/>
      </c>
    </row>
    <row r="1246" spans="13:13">
      <c r="M1246">
        <f t="shared" si="33"/>
      </c>
    </row>
    <row r="1247" spans="13:13">
      <c r="M1247">
        <f t="shared" si="33"/>
      </c>
    </row>
    <row r="1248" spans="13:13">
      <c r="M1248">
        <f t="shared" si="33"/>
      </c>
    </row>
    <row r="1249" spans="13:13">
      <c r="M1249">
        <f t="shared" si="33"/>
      </c>
    </row>
    <row r="1250" spans="13:13">
      <c r="M1250">
        <f t="shared" si="33"/>
      </c>
    </row>
    <row r="1251" spans="13:13">
      <c r="M1251">
        <f t="shared" si="33"/>
      </c>
    </row>
    <row r="1252" spans="13:13">
      <c r="M1252">
        <f t="shared" si="33"/>
      </c>
    </row>
    <row r="1253" spans="13:13">
      <c r="M1253">
        <f t="shared" si="33"/>
      </c>
    </row>
    <row r="1254" spans="13:13">
      <c r="M1254">
        <f t="shared" si="33"/>
      </c>
    </row>
    <row r="1255" spans="13:13">
      <c r="M1255">
        <f t="shared" si="33"/>
      </c>
    </row>
    <row r="1256" spans="13:13">
      <c r="M1256">
        <f t="shared" si="33"/>
      </c>
    </row>
    <row r="1257" spans="13:13">
      <c r="M1257">
        <f t="shared" si="33"/>
      </c>
    </row>
    <row r="1258" spans="13:13">
      <c r="M1258">
        <f t="shared" si="33"/>
      </c>
    </row>
    <row r="1259" spans="13:13">
      <c r="M1259">
        <f t="shared" si="33"/>
      </c>
    </row>
    <row r="1260" spans="13:13">
      <c r="M1260">
        <f t="shared" si="33"/>
      </c>
    </row>
    <row r="1261" spans="13:13">
      <c r="M1261">
        <f t="shared" si="33"/>
      </c>
    </row>
    <row r="1262" spans="13:13">
      <c r="M1262">
        <f t="shared" si="33"/>
      </c>
    </row>
    <row r="1263" spans="13:13">
      <c r="M1263">
        <f t="shared" si="33"/>
      </c>
    </row>
    <row r="1264" spans="13:13">
      <c r="M1264">
        <f t="shared" si="33"/>
      </c>
    </row>
    <row r="1265" spans="13:13">
      <c r="M1265">
        <f t="shared" si="33"/>
      </c>
    </row>
    <row r="1266" spans="13:13">
      <c r="M1266">
        <f t="shared" si="33"/>
      </c>
    </row>
    <row r="1267" spans="13:13">
      <c r="M1267">
        <f t="shared" si="33"/>
      </c>
    </row>
    <row r="1268" spans="13:13">
      <c r="M1268">
        <f t="shared" si="33"/>
      </c>
    </row>
    <row r="1269" spans="13:13">
      <c r="M1269">
        <f t="shared" si="33"/>
      </c>
    </row>
    <row r="1270" spans="13:13">
      <c r="M1270">
        <f t="shared" si="33"/>
      </c>
    </row>
    <row r="1271" spans="13:13">
      <c r="M1271">
        <f t="shared" si="33"/>
      </c>
    </row>
    <row r="1272" spans="13:13">
      <c r="M1272">
        <f t="shared" si="33"/>
      </c>
    </row>
    <row r="1273" spans="13:13">
      <c r="M1273">
        <f t="shared" si="33"/>
      </c>
    </row>
    <row r="1274" spans="13:13">
      <c r="M1274">
        <f t="shared" si="33"/>
      </c>
    </row>
    <row r="1275" spans="13:13">
      <c r="M1275">
        <f t="shared" si="33"/>
      </c>
    </row>
    <row r="1276" spans="13:13">
      <c r="M1276">
        <f t="shared" si="33"/>
      </c>
    </row>
    <row r="1277" spans="13:13">
      <c r="M1277">
        <f t="shared" si="33"/>
      </c>
    </row>
    <row r="1278" spans="13:13">
      <c r="M1278">
        <f t="shared" si="33"/>
      </c>
    </row>
    <row r="1279" spans="13:13">
      <c r="M1279">
        <f t="shared" si="33"/>
      </c>
    </row>
    <row r="1280" spans="13:13">
      <c r="M1280">
        <f t="shared" si="33"/>
      </c>
    </row>
    <row r="1281" spans="13:13">
      <c r="M1281">
        <f t="shared" si="33"/>
      </c>
    </row>
    <row r="1282" spans="13:13">
      <c r="M1282">
        <f t="shared" si="33"/>
      </c>
    </row>
    <row r="1283" spans="13:13">
      <c r="M1283">
        <f t="shared" si="33"/>
      </c>
    </row>
    <row r="1284" spans="13:13">
      <c r="M1284">
        <f t="shared" si="33"/>
      </c>
    </row>
    <row r="1285" spans="13:13">
      <c r="M1285">
        <f t="shared" ref="M1285:M1348" si="34">IF(A1285="","", WEEKNUM(A1285, 2))</f>
      </c>
    </row>
    <row r="1286" spans="13:13">
      <c r="M1286">
        <f t="shared" si="34"/>
      </c>
    </row>
    <row r="1287" spans="13:13">
      <c r="M1287">
        <f t="shared" si="34"/>
      </c>
    </row>
    <row r="1288" spans="13:13">
      <c r="M1288">
        <f t="shared" si="34"/>
      </c>
    </row>
    <row r="1289" spans="13:13">
      <c r="M1289">
        <f t="shared" si="34"/>
      </c>
    </row>
    <row r="1290" spans="13:13">
      <c r="M1290">
        <f t="shared" si="34"/>
      </c>
    </row>
    <row r="1291" spans="13:13">
      <c r="M1291">
        <f t="shared" si="34"/>
      </c>
    </row>
    <row r="1292" spans="13:13">
      <c r="M1292">
        <f t="shared" si="34"/>
      </c>
    </row>
    <row r="1293" spans="13:13">
      <c r="M1293">
        <f t="shared" si="34"/>
      </c>
    </row>
    <row r="1294" spans="13:13">
      <c r="M1294">
        <f t="shared" si="34"/>
      </c>
    </row>
    <row r="1295" spans="13:13">
      <c r="M1295">
        <f t="shared" si="34"/>
      </c>
    </row>
    <row r="1296" spans="13:13">
      <c r="M1296">
        <f t="shared" si="34"/>
      </c>
    </row>
    <row r="1297" spans="13:13">
      <c r="M1297">
        <f t="shared" si="34"/>
      </c>
    </row>
    <row r="1298" spans="13:13">
      <c r="M1298">
        <f t="shared" si="34"/>
      </c>
    </row>
    <row r="1299" spans="13:13">
      <c r="M1299">
        <f t="shared" si="34"/>
      </c>
    </row>
    <row r="1300" spans="13:13">
      <c r="M1300">
        <f t="shared" si="34"/>
      </c>
    </row>
    <row r="1301" spans="13:13">
      <c r="M1301">
        <f t="shared" si="34"/>
      </c>
    </row>
    <row r="1302" spans="13:13">
      <c r="M1302">
        <f t="shared" si="34"/>
      </c>
    </row>
    <row r="1303" spans="13:13">
      <c r="M1303">
        <f t="shared" si="34"/>
      </c>
    </row>
    <row r="1304" spans="13:13">
      <c r="M1304">
        <f t="shared" si="34"/>
      </c>
    </row>
    <row r="1305" spans="13:13">
      <c r="M1305">
        <f t="shared" si="34"/>
      </c>
    </row>
    <row r="1306" spans="13:13">
      <c r="M1306">
        <f t="shared" si="34"/>
      </c>
    </row>
    <row r="1307" spans="13:13">
      <c r="M1307">
        <f t="shared" si="34"/>
      </c>
    </row>
    <row r="1308" spans="13:13">
      <c r="M1308">
        <f t="shared" si="34"/>
      </c>
    </row>
    <row r="1309" spans="13:13">
      <c r="M1309">
        <f t="shared" si="34"/>
      </c>
    </row>
    <row r="1310" spans="13:13">
      <c r="M1310">
        <f t="shared" si="34"/>
      </c>
    </row>
    <row r="1311" spans="13:13">
      <c r="M1311">
        <f t="shared" si="34"/>
      </c>
    </row>
    <row r="1312" spans="13:13">
      <c r="M1312">
        <f t="shared" si="34"/>
      </c>
    </row>
    <row r="1313" spans="13:13">
      <c r="M1313">
        <f t="shared" si="34"/>
      </c>
    </row>
    <row r="1314" spans="13:13">
      <c r="M1314">
        <f t="shared" si="34"/>
      </c>
    </row>
    <row r="1315" spans="13:13">
      <c r="M1315">
        <f t="shared" si="34"/>
      </c>
    </row>
    <row r="1316" spans="13:13">
      <c r="M1316">
        <f t="shared" si="34"/>
      </c>
    </row>
    <row r="1317" spans="13:13">
      <c r="M1317">
        <f t="shared" si="34"/>
      </c>
    </row>
    <row r="1318" spans="13:13">
      <c r="M1318">
        <f t="shared" si="34"/>
      </c>
    </row>
    <row r="1319" spans="13:13">
      <c r="M1319">
        <f t="shared" si="34"/>
      </c>
    </row>
    <row r="1320" spans="13:13">
      <c r="M1320">
        <f t="shared" si="34"/>
      </c>
    </row>
    <row r="1321" spans="13:13">
      <c r="M1321">
        <f t="shared" si="34"/>
      </c>
    </row>
    <row r="1322" spans="13:13">
      <c r="M1322">
        <f t="shared" si="34"/>
      </c>
    </row>
    <row r="1323" spans="13:13">
      <c r="M1323">
        <f t="shared" si="34"/>
      </c>
    </row>
    <row r="1324" spans="13:13">
      <c r="M1324">
        <f t="shared" si="34"/>
      </c>
    </row>
    <row r="1325" spans="13:13">
      <c r="M1325">
        <f t="shared" si="34"/>
      </c>
    </row>
    <row r="1326" spans="13:13">
      <c r="M1326">
        <f t="shared" si="34"/>
      </c>
    </row>
    <row r="1327" spans="13:13">
      <c r="M1327">
        <f t="shared" si="34"/>
      </c>
    </row>
    <row r="1328" spans="13:13">
      <c r="M1328">
        <f t="shared" si="34"/>
      </c>
    </row>
    <row r="1329" spans="13:13">
      <c r="M1329">
        <f t="shared" si="34"/>
      </c>
    </row>
    <row r="1330" spans="13:13">
      <c r="M1330">
        <f t="shared" si="34"/>
      </c>
    </row>
    <row r="1331" spans="13:13">
      <c r="M1331">
        <f t="shared" si="34"/>
      </c>
    </row>
    <row r="1332" spans="13:13">
      <c r="M1332">
        <f t="shared" si="34"/>
      </c>
    </row>
    <row r="1333" spans="13:13">
      <c r="M1333">
        <f t="shared" si="34"/>
      </c>
    </row>
    <row r="1334" spans="13:13">
      <c r="M1334">
        <f t="shared" si="34"/>
      </c>
    </row>
    <row r="1335" spans="13:13">
      <c r="M1335">
        <f t="shared" si="34"/>
      </c>
    </row>
    <row r="1336" spans="13:13">
      <c r="M1336">
        <f t="shared" si="34"/>
      </c>
    </row>
    <row r="1337" spans="13:13">
      <c r="M1337">
        <f t="shared" si="34"/>
      </c>
    </row>
    <row r="1338" spans="13:13">
      <c r="M1338">
        <f t="shared" si="34"/>
      </c>
    </row>
    <row r="1339" spans="13:13">
      <c r="M1339">
        <f t="shared" si="34"/>
      </c>
    </row>
    <row r="1340" spans="13:13">
      <c r="M1340">
        <f t="shared" si="34"/>
      </c>
    </row>
    <row r="1341" spans="13:13">
      <c r="M1341">
        <f t="shared" si="34"/>
      </c>
    </row>
    <row r="1342" spans="13:13">
      <c r="M1342">
        <f t="shared" si="34"/>
      </c>
    </row>
    <row r="1343" spans="13:13">
      <c r="M1343">
        <f t="shared" si="34"/>
      </c>
    </row>
    <row r="1344" spans="13:13">
      <c r="M1344">
        <f t="shared" si="34"/>
      </c>
    </row>
    <row r="1345" spans="13:13">
      <c r="M1345">
        <f t="shared" si="34"/>
      </c>
    </row>
    <row r="1346" spans="13:13">
      <c r="M1346">
        <f t="shared" si="34"/>
      </c>
    </row>
    <row r="1347" spans="13:13">
      <c r="M1347">
        <f t="shared" si="34"/>
      </c>
    </row>
    <row r="1348" spans="13:13">
      <c r="M1348">
        <f t="shared" si="34"/>
      </c>
    </row>
    <row r="1349" spans="13:13">
      <c r="M1349">
        <f t="shared" ref="M1349:M1412" si="35">IF(A1349="","", WEEKNUM(A1349, 2))</f>
      </c>
    </row>
    <row r="1350" spans="13:13">
      <c r="M1350">
        <f t="shared" si="35"/>
      </c>
    </row>
    <row r="1351" spans="13:13">
      <c r="M1351">
        <f t="shared" si="35"/>
      </c>
    </row>
    <row r="1352" spans="13:13">
      <c r="M1352">
        <f t="shared" si="35"/>
      </c>
    </row>
    <row r="1353" spans="13:13">
      <c r="M1353">
        <f t="shared" si="35"/>
      </c>
    </row>
    <row r="1354" spans="13:13">
      <c r="M1354">
        <f t="shared" si="35"/>
      </c>
    </row>
    <row r="1355" spans="13:13">
      <c r="M1355">
        <f t="shared" si="35"/>
      </c>
    </row>
    <row r="1356" spans="13:13">
      <c r="M1356">
        <f t="shared" si="35"/>
      </c>
    </row>
    <row r="1357" spans="13:13">
      <c r="M1357">
        <f t="shared" si="35"/>
      </c>
    </row>
    <row r="1358" spans="13:13">
      <c r="M1358">
        <f t="shared" si="35"/>
      </c>
    </row>
    <row r="1359" spans="13:13">
      <c r="M1359">
        <f t="shared" si="35"/>
      </c>
    </row>
    <row r="1360" spans="13:13">
      <c r="M1360">
        <f t="shared" si="35"/>
      </c>
    </row>
    <row r="1361" spans="13:13">
      <c r="M1361">
        <f t="shared" si="35"/>
      </c>
    </row>
    <row r="1362" spans="13:13">
      <c r="M1362">
        <f t="shared" si="35"/>
      </c>
    </row>
    <row r="1363" spans="13:13">
      <c r="M1363">
        <f t="shared" si="35"/>
      </c>
    </row>
    <row r="1364" spans="13:13">
      <c r="M1364">
        <f t="shared" si="35"/>
      </c>
    </row>
    <row r="1365" spans="13:13">
      <c r="M1365">
        <f t="shared" si="35"/>
      </c>
    </row>
    <row r="1366" spans="13:13">
      <c r="M1366">
        <f t="shared" si="35"/>
      </c>
    </row>
    <row r="1367" spans="13:13">
      <c r="M1367">
        <f t="shared" si="35"/>
      </c>
    </row>
    <row r="1368" spans="13:13">
      <c r="M1368">
        <f t="shared" si="35"/>
      </c>
    </row>
    <row r="1369" spans="13:13">
      <c r="M1369">
        <f t="shared" si="35"/>
      </c>
    </row>
    <row r="1370" spans="13:13">
      <c r="M1370">
        <f t="shared" si="35"/>
      </c>
    </row>
    <row r="1371" spans="13:13">
      <c r="M1371">
        <f t="shared" si="35"/>
      </c>
    </row>
    <row r="1372" spans="13:13">
      <c r="M1372">
        <f t="shared" si="35"/>
      </c>
    </row>
    <row r="1373" spans="13:13">
      <c r="M1373">
        <f t="shared" si="35"/>
      </c>
    </row>
    <row r="1374" spans="13:13">
      <c r="M1374">
        <f t="shared" si="35"/>
      </c>
    </row>
    <row r="1375" spans="13:13">
      <c r="M1375">
        <f t="shared" si="35"/>
      </c>
    </row>
    <row r="1376" spans="13:13">
      <c r="M1376">
        <f t="shared" si="35"/>
      </c>
    </row>
    <row r="1377" spans="13:13">
      <c r="M1377">
        <f t="shared" si="35"/>
      </c>
    </row>
    <row r="1378" spans="13:13">
      <c r="M1378">
        <f t="shared" si="35"/>
      </c>
    </row>
    <row r="1379" spans="13:13">
      <c r="M1379">
        <f t="shared" si="35"/>
      </c>
    </row>
    <row r="1380" spans="13:13">
      <c r="M1380">
        <f t="shared" si="35"/>
      </c>
    </row>
    <row r="1381" spans="13:13">
      <c r="M1381">
        <f t="shared" si="35"/>
      </c>
    </row>
    <row r="1382" spans="13:13">
      <c r="M1382">
        <f t="shared" si="35"/>
      </c>
    </row>
    <row r="1383" spans="13:13">
      <c r="M1383">
        <f t="shared" si="35"/>
      </c>
    </row>
    <row r="1384" spans="13:13">
      <c r="M1384">
        <f t="shared" si="35"/>
      </c>
    </row>
    <row r="1385" spans="13:13">
      <c r="M1385">
        <f t="shared" si="35"/>
      </c>
    </row>
    <row r="1386" spans="13:13">
      <c r="M1386">
        <f t="shared" si="35"/>
      </c>
    </row>
    <row r="1387" spans="13:13">
      <c r="M1387">
        <f t="shared" si="35"/>
      </c>
    </row>
    <row r="1388" spans="13:13">
      <c r="M1388">
        <f t="shared" si="35"/>
      </c>
    </row>
    <row r="1389" spans="13:13">
      <c r="M1389">
        <f t="shared" si="35"/>
      </c>
    </row>
    <row r="1390" spans="13:13">
      <c r="M1390">
        <f t="shared" si="35"/>
      </c>
    </row>
    <row r="1391" spans="13:13">
      <c r="M1391">
        <f t="shared" si="35"/>
      </c>
    </row>
    <row r="1392" spans="13:13">
      <c r="M1392">
        <f t="shared" si="35"/>
      </c>
    </row>
    <row r="1393" spans="13:13">
      <c r="M1393">
        <f t="shared" si="35"/>
      </c>
    </row>
    <row r="1394" spans="13:13">
      <c r="M1394">
        <f t="shared" si="35"/>
      </c>
    </row>
    <row r="1395" spans="13:13">
      <c r="M1395">
        <f t="shared" si="35"/>
      </c>
    </row>
    <row r="1396" spans="13:13">
      <c r="M1396">
        <f t="shared" si="35"/>
      </c>
    </row>
    <row r="1397" spans="13:13">
      <c r="M1397">
        <f t="shared" si="35"/>
      </c>
    </row>
    <row r="1398" spans="13:13">
      <c r="M1398">
        <f t="shared" si="35"/>
      </c>
    </row>
    <row r="1399" spans="13:13">
      <c r="M1399">
        <f t="shared" si="35"/>
      </c>
    </row>
    <row r="1400" spans="13:13">
      <c r="M1400">
        <f t="shared" si="35"/>
      </c>
    </row>
    <row r="1401" spans="13:13">
      <c r="M1401">
        <f t="shared" si="35"/>
      </c>
    </row>
    <row r="1402" spans="13:13">
      <c r="M1402">
        <f t="shared" si="35"/>
      </c>
    </row>
    <row r="1403" spans="13:13">
      <c r="M1403">
        <f t="shared" si="35"/>
      </c>
    </row>
    <row r="1404" spans="13:13">
      <c r="M1404">
        <f t="shared" si="35"/>
      </c>
    </row>
    <row r="1405" spans="13:13">
      <c r="M1405">
        <f t="shared" si="35"/>
      </c>
    </row>
    <row r="1406" spans="13:13">
      <c r="M1406">
        <f t="shared" si="35"/>
      </c>
    </row>
    <row r="1407" spans="13:13">
      <c r="M1407">
        <f t="shared" si="35"/>
      </c>
    </row>
    <row r="1408" spans="13:13">
      <c r="M1408">
        <f t="shared" si="35"/>
      </c>
    </row>
    <row r="1409" spans="13:13">
      <c r="M1409">
        <f t="shared" si="35"/>
      </c>
    </row>
    <row r="1410" spans="13:13">
      <c r="M1410">
        <f t="shared" si="35"/>
      </c>
    </row>
    <row r="1411" spans="13:13">
      <c r="M1411">
        <f t="shared" si="35"/>
      </c>
    </row>
    <row r="1412" spans="13:13">
      <c r="M1412">
        <f t="shared" si="35"/>
      </c>
    </row>
    <row r="1413" spans="13:13">
      <c r="M1413">
        <f t="shared" ref="M1413:M1476" si="36">IF(A1413="","", WEEKNUM(A1413, 2))</f>
      </c>
    </row>
    <row r="1414" spans="13:13">
      <c r="M1414">
        <f t="shared" si="36"/>
      </c>
    </row>
    <row r="1415" spans="13:13">
      <c r="M1415">
        <f t="shared" si="36"/>
      </c>
    </row>
    <row r="1416" spans="13:13">
      <c r="M1416">
        <f t="shared" si="36"/>
      </c>
    </row>
    <row r="1417" spans="13:13">
      <c r="M1417">
        <f t="shared" si="36"/>
      </c>
    </row>
    <row r="1418" spans="13:13">
      <c r="M1418">
        <f t="shared" si="36"/>
      </c>
    </row>
    <row r="1419" spans="13:13">
      <c r="M1419">
        <f t="shared" si="36"/>
      </c>
    </row>
    <row r="1420" spans="13:13">
      <c r="M1420">
        <f t="shared" si="36"/>
      </c>
    </row>
    <row r="1421" spans="13:13">
      <c r="M1421">
        <f t="shared" si="36"/>
      </c>
    </row>
    <row r="1422" spans="13:13">
      <c r="M1422">
        <f t="shared" si="36"/>
      </c>
    </row>
    <row r="1423" spans="13:13">
      <c r="M1423">
        <f t="shared" si="36"/>
      </c>
    </row>
    <row r="1424" spans="13:13">
      <c r="M1424">
        <f t="shared" si="36"/>
      </c>
    </row>
    <row r="1425" spans="13:13">
      <c r="M1425">
        <f t="shared" si="36"/>
      </c>
    </row>
    <row r="1426" spans="13:13">
      <c r="M1426">
        <f t="shared" si="36"/>
      </c>
    </row>
    <row r="1427" spans="13:13">
      <c r="M1427">
        <f t="shared" si="36"/>
      </c>
    </row>
    <row r="1428" spans="13:13">
      <c r="M1428">
        <f t="shared" si="36"/>
      </c>
    </row>
    <row r="1429" spans="13:13">
      <c r="M1429">
        <f t="shared" si="36"/>
      </c>
    </row>
    <row r="1430" spans="13:13">
      <c r="M1430">
        <f t="shared" si="36"/>
      </c>
    </row>
    <row r="1431" spans="13:13">
      <c r="M1431">
        <f t="shared" si="36"/>
      </c>
    </row>
    <row r="1432" spans="13:13">
      <c r="M1432">
        <f t="shared" si="36"/>
      </c>
    </row>
    <row r="1433" spans="13:13">
      <c r="M1433">
        <f t="shared" si="36"/>
      </c>
    </row>
    <row r="1434" spans="13:13">
      <c r="M1434">
        <f t="shared" si="36"/>
      </c>
    </row>
    <row r="1435" spans="13:13">
      <c r="M1435">
        <f t="shared" si="36"/>
      </c>
    </row>
    <row r="1436" spans="13:13">
      <c r="M1436">
        <f t="shared" si="36"/>
      </c>
    </row>
    <row r="1437" spans="13:13">
      <c r="M1437">
        <f t="shared" si="36"/>
      </c>
    </row>
    <row r="1438" spans="13:13">
      <c r="M1438">
        <f t="shared" si="36"/>
      </c>
    </row>
    <row r="1439" spans="13:13">
      <c r="M1439">
        <f t="shared" si="36"/>
      </c>
    </row>
    <row r="1440" spans="13:13">
      <c r="M1440">
        <f t="shared" si="36"/>
      </c>
    </row>
    <row r="1441" spans="13:13">
      <c r="M1441">
        <f t="shared" si="36"/>
      </c>
    </row>
    <row r="1442" spans="13:13">
      <c r="M1442">
        <f t="shared" si="36"/>
      </c>
    </row>
    <row r="1443" spans="13:13">
      <c r="M1443">
        <f t="shared" si="36"/>
      </c>
    </row>
    <row r="1444" spans="13:13">
      <c r="M1444">
        <f t="shared" si="36"/>
      </c>
    </row>
    <row r="1445" spans="13:13">
      <c r="M1445">
        <f t="shared" si="36"/>
      </c>
    </row>
    <row r="1446" spans="13:13">
      <c r="M1446">
        <f t="shared" si="36"/>
      </c>
    </row>
    <row r="1447" spans="13:13">
      <c r="M1447">
        <f t="shared" si="36"/>
      </c>
    </row>
    <row r="1448" spans="13:13">
      <c r="M1448">
        <f t="shared" si="36"/>
      </c>
    </row>
    <row r="1449" spans="13:13">
      <c r="M1449">
        <f t="shared" si="36"/>
      </c>
    </row>
    <row r="1450" spans="13:13">
      <c r="M1450">
        <f t="shared" si="36"/>
      </c>
    </row>
    <row r="1451" spans="13:13">
      <c r="M1451">
        <f t="shared" si="36"/>
      </c>
    </row>
    <row r="1452" spans="13:13">
      <c r="M1452">
        <f t="shared" si="36"/>
      </c>
    </row>
    <row r="1453" spans="13:13">
      <c r="M1453">
        <f t="shared" si="36"/>
      </c>
    </row>
    <row r="1454" spans="13:13">
      <c r="M1454">
        <f t="shared" si="36"/>
      </c>
    </row>
    <row r="1455" spans="13:13">
      <c r="M1455">
        <f t="shared" si="36"/>
      </c>
    </row>
    <row r="1456" spans="13:13">
      <c r="M1456">
        <f t="shared" si="36"/>
      </c>
    </row>
    <row r="1457" spans="13:13">
      <c r="M1457">
        <f t="shared" si="36"/>
      </c>
    </row>
    <row r="1458" spans="13:13">
      <c r="M1458">
        <f t="shared" si="36"/>
      </c>
    </row>
    <row r="1459" spans="13:13">
      <c r="M1459">
        <f t="shared" si="36"/>
      </c>
    </row>
    <row r="1460" spans="13:13">
      <c r="M1460">
        <f t="shared" si="36"/>
      </c>
    </row>
    <row r="1461" spans="13:13">
      <c r="M1461">
        <f t="shared" si="36"/>
      </c>
    </row>
    <row r="1462" spans="13:13">
      <c r="M1462">
        <f t="shared" si="36"/>
      </c>
    </row>
    <row r="1463" spans="13:13">
      <c r="M1463">
        <f t="shared" si="36"/>
      </c>
    </row>
    <row r="1464" spans="13:13">
      <c r="M1464">
        <f t="shared" si="36"/>
      </c>
    </row>
    <row r="1465" spans="13:13">
      <c r="M1465">
        <f t="shared" si="36"/>
      </c>
    </row>
    <row r="1466" spans="13:13">
      <c r="M1466">
        <f t="shared" si="36"/>
      </c>
    </row>
    <row r="1467" spans="13:13">
      <c r="M1467">
        <f t="shared" si="36"/>
      </c>
    </row>
    <row r="1468" spans="13:13">
      <c r="M1468">
        <f t="shared" si="36"/>
      </c>
    </row>
    <row r="1469" spans="13:13">
      <c r="M1469">
        <f t="shared" si="36"/>
      </c>
    </row>
    <row r="1470" spans="13:13">
      <c r="M1470">
        <f t="shared" si="36"/>
      </c>
    </row>
    <row r="1471" spans="13:13">
      <c r="M1471">
        <f t="shared" si="36"/>
      </c>
    </row>
    <row r="1472" spans="13:13">
      <c r="M1472">
        <f t="shared" si="36"/>
      </c>
    </row>
    <row r="1473" spans="13:13">
      <c r="M1473">
        <f t="shared" si="36"/>
      </c>
    </row>
    <row r="1474" spans="13:13">
      <c r="M1474">
        <f t="shared" si="36"/>
      </c>
    </row>
    <row r="1475" spans="13:13">
      <c r="M1475">
        <f t="shared" si="36"/>
      </c>
    </row>
    <row r="1476" spans="13:13">
      <c r="M1476">
        <f t="shared" si="36"/>
      </c>
    </row>
    <row r="1477" spans="13:13">
      <c r="M1477">
        <f t="shared" ref="M1477:M1540" si="37">IF(A1477="","", WEEKNUM(A1477, 2))</f>
      </c>
    </row>
    <row r="1478" spans="13:13">
      <c r="M1478">
        <f t="shared" si="37"/>
      </c>
    </row>
    <row r="1479" spans="13:13">
      <c r="M1479">
        <f t="shared" si="37"/>
      </c>
    </row>
    <row r="1480" spans="13:13">
      <c r="M1480">
        <f t="shared" si="37"/>
      </c>
    </row>
    <row r="1481" spans="13:13">
      <c r="M1481">
        <f t="shared" si="37"/>
      </c>
    </row>
    <row r="1482" spans="13:13">
      <c r="M1482">
        <f t="shared" si="37"/>
      </c>
    </row>
    <row r="1483" spans="13:13">
      <c r="M1483">
        <f t="shared" si="37"/>
      </c>
    </row>
    <row r="1484" spans="13:13">
      <c r="M1484">
        <f t="shared" si="37"/>
      </c>
    </row>
    <row r="1485" spans="13:13">
      <c r="M1485">
        <f t="shared" si="37"/>
      </c>
    </row>
    <row r="1486" spans="13:13">
      <c r="M1486">
        <f t="shared" si="37"/>
      </c>
    </row>
    <row r="1487" spans="13:13">
      <c r="M1487">
        <f t="shared" si="37"/>
      </c>
    </row>
    <row r="1488" spans="13:13">
      <c r="M1488">
        <f t="shared" si="37"/>
      </c>
    </row>
    <row r="1489" spans="13:13">
      <c r="M1489">
        <f t="shared" si="37"/>
      </c>
    </row>
    <row r="1490" spans="13:13">
      <c r="M1490">
        <f t="shared" si="37"/>
      </c>
    </row>
    <row r="1491" spans="13:13">
      <c r="M1491">
        <f t="shared" si="37"/>
      </c>
    </row>
    <row r="1492" spans="13:13">
      <c r="M1492">
        <f t="shared" si="37"/>
      </c>
    </row>
    <row r="1493" spans="13:13">
      <c r="M1493">
        <f t="shared" si="37"/>
      </c>
    </row>
    <row r="1494" spans="13:13">
      <c r="M1494">
        <f t="shared" si="37"/>
      </c>
    </row>
    <row r="1495" spans="13:13">
      <c r="M1495">
        <f t="shared" si="37"/>
      </c>
    </row>
    <row r="1496" spans="13:13">
      <c r="M1496">
        <f t="shared" si="37"/>
      </c>
    </row>
    <row r="1497" spans="13:13">
      <c r="M1497">
        <f t="shared" si="37"/>
      </c>
    </row>
    <row r="1498" spans="13:13">
      <c r="M1498">
        <f t="shared" si="37"/>
      </c>
    </row>
    <row r="1499" spans="13:13">
      <c r="M1499">
        <f t="shared" si="37"/>
      </c>
    </row>
    <row r="1500" spans="13:13">
      <c r="M1500">
        <f t="shared" si="37"/>
      </c>
    </row>
    <row r="1501" spans="13:13">
      <c r="M1501">
        <f t="shared" si="37"/>
      </c>
    </row>
    <row r="1502" spans="13:13">
      <c r="M1502">
        <f t="shared" si="37"/>
      </c>
    </row>
    <row r="1503" spans="13:13">
      <c r="M1503">
        <f t="shared" si="37"/>
      </c>
    </row>
    <row r="1504" spans="13:13">
      <c r="M1504">
        <f t="shared" si="37"/>
      </c>
    </row>
    <row r="1505" spans="13:13">
      <c r="M1505">
        <f t="shared" si="37"/>
      </c>
    </row>
    <row r="1506" spans="13:13">
      <c r="M1506">
        <f t="shared" si="37"/>
      </c>
    </row>
    <row r="1507" spans="13:13">
      <c r="M1507">
        <f t="shared" si="37"/>
      </c>
    </row>
    <row r="1508" spans="13:13">
      <c r="M1508">
        <f t="shared" si="37"/>
      </c>
    </row>
    <row r="1509" spans="13:13">
      <c r="M1509">
        <f t="shared" si="37"/>
      </c>
    </row>
    <row r="1510" spans="13:13">
      <c r="M1510">
        <f t="shared" si="37"/>
      </c>
    </row>
    <row r="1511" spans="13:13">
      <c r="M1511">
        <f t="shared" si="37"/>
      </c>
    </row>
    <row r="1512" spans="13:13">
      <c r="M1512">
        <f t="shared" si="37"/>
      </c>
    </row>
    <row r="1513" spans="13:13">
      <c r="M1513">
        <f t="shared" si="37"/>
      </c>
    </row>
    <row r="1514" spans="13:13">
      <c r="M1514">
        <f t="shared" si="37"/>
      </c>
    </row>
    <row r="1515" spans="13:13">
      <c r="M1515">
        <f t="shared" si="37"/>
      </c>
    </row>
    <row r="1516" spans="13:13">
      <c r="M1516">
        <f t="shared" si="37"/>
      </c>
    </row>
    <row r="1517" spans="13:13">
      <c r="M1517">
        <f t="shared" si="37"/>
      </c>
    </row>
    <row r="1518" spans="13:13">
      <c r="M1518">
        <f t="shared" si="37"/>
      </c>
    </row>
    <row r="1519" spans="13:13">
      <c r="M1519">
        <f t="shared" si="37"/>
      </c>
    </row>
    <row r="1520" spans="13:13">
      <c r="M1520">
        <f t="shared" si="37"/>
      </c>
    </row>
    <row r="1521" spans="13:13">
      <c r="M1521">
        <f t="shared" si="37"/>
      </c>
    </row>
    <row r="1522" spans="13:13">
      <c r="M1522">
        <f t="shared" si="37"/>
      </c>
    </row>
    <row r="1523" spans="13:13">
      <c r="M1523">
        <f t="shared" si="37"/>
      </c>
    </row>
    <row r="1524" spans="13:13">
      <c r="M1524">
        <f t="shared" si="37"/>
      </c>
    </row>
    <row r="1525" spans="13:13">
      <c r="M1525">
        <f t="shared" si="37"/>
      </c>
    </row>
    <row r="1526" spans="13:13">
      <c r="M1526">
        <f t="shared" si="37"/>
      </c>
    </row>
    <row r="1527" spans="13:13">
      <c r="M1527">
        <f t="shared" si="37"/>
      </c>
    </row>
    <row r="1528" spans="13:13">
      <c r="M1528">
        <f t="shared" si="37"/>
      </c>
    </row>
    <row r="1529" spans="13:13">
      <c r="M1529">
        <f t="shared" si="37"/>
      </c>
    </row>
    <row r="1530" spans="13:13">
      <c r="M1530">
        <f t="shared" si="37"/>
      </c>
    </row>
    <row r="1531" spans="13:13">
      <c r="M1531">
        <f t="shared" si="37"/>
      </c>
    </row>
    <row r="1532" spans="13:13">
      <c r="M1532">
        <f t="shared" si="37"/>
      </c>
    </row>
    <row r="1533" spans="13:13">
      <c r="M1533">
        <f t="shared" si="37"/>
      </c>
    </row>
    <row r="1534" spans="13:13">
      <c r="M1534">
        <f t="shared" si="37"/>
      </c>
    </row>
    <row r="1535" spans="13:13">
      <c r="M1535">
        <f t="shared" si="37"/>
      </c>
    </row>
    <row r="1536" spans="13:13">
      <c r="M1536">
        <f t="shared" si="37"/>
      </c>
    </row>
    <row r="1537" spans="13:13">
      <c r="M1537">
        <f t="shared" si="37"/>
      </c>
    </row>
    <row r="1538" spans="13:13">
      <c r="M1538">
        <f t="shared" si="37"/>
      </c>
    </row>
    <row r="1539" spans="13:13">
      <c r="M1539">
        <f t="shared" si="37"/>
      </c>
    </row>
    <row r="1540" spans="13:13">
      <c r="M1540">
        <f t="shared" si="37"/>
      </c>
    </row>
    <row r="1541" spans="13:13">
      <c r="M1541">
        <f t="shared" ref="M1541:M1604" si="38">IF(A1541="","", WEEKNUM(A1541, 2))</f>
      </c>
    </row>
    <row r="1542" spans="13:13">
      <c r="M1542">
        <f t="shared" si="38"/>
      </c>
    </row>
    <row r="1543" spans="13:13">
      <c r="M1543">
        <f t="shared" si="38"/>
      </c>
    </row>
    <row r="1544" spans="13:13">
      <c r="M1544">
        <f t="shared" si="38"/>
      </c>
    </row>
    <row r="1545" spans="13:13">
      <c r="M1545">
        <f t="shared" si="38"/>
      </c>
    </row>
    <row r="1546" spans="13:13">
      <c r="M1546">
        <f t="shared" si="38"/>
      </c>
    </row>
    <row r="1547" spans="13:13">
      <c r="M1547">
        <f t="shared" si="38"/>
      </c>
    </row>
    <row r="1548" spans="13:13">
      <c r="M1548">
        <f t="shared" si="38"/>
      </c>
    </row>
    <row r="1549" spans="13:13">
      <c r="M1549">
        <f t="shared" si="38"/>
      </c>
    </row>
    <row r="1550" spans="13:13">
      <c r="M1550">
        <f t="shared" si="38"/>
      </c>
    </row>
    <row r="1551" spans="13:13">
      <c r="M1551">
        <f t="shared" si="38"/>
      </c>
    </row>
    <row r="1552" spans="13:13">
      <c r="M1552">
        <f t="shared" si="38"/>
      </c>
    </row>
    <row r="1553" spans="13:13">
      <c r="M1553">
        <f t="shared" si="38"/>
      </c>
    </row>
    <row r="1554" spans="13:13">
      <c r="M1554">
        <f t="shared" si="38"/>
      </c>
    </row>
    <row r="1555" spans="13:13">
      <c r="M1555">
        <f t="shared" si="38"/>
      </c>
    </row>
    <row r="1556" spans="13:13">
      <c r="M1556">
        <f t="shared" si="38"/>
      </c>
    </row>
    <row r="1557" spans="13:13">
      <c r="M1557">
        <f t="shared" si="38"/>
      </c>
    </row>
    <row r="1558" spans="13:13">
      <c r="M1558">
        <f t="shared" si="38"/>
      </c>
    </row>
    <row r="1559" spans="13:13">
      <c r="M1559">
        <f t="shared" si="38"/>
      </c>
    </row>
    <row r="1560" spans="13:13">
      <c r="M1560">
        <f t="shared" si="38"/>
      </c>
    </row>
    <row r="1561" spans="13:13">
      <c r="M1561">
        <f t="shared" si="38"/>
      </c>
    </row>
    <row r="1562" spans="13:13">
      <c r="M1562">
        <f t="shared" si="38"/>
      </c>
    </row>
    <row r="1563" spans="13:13">
      <c r="M1563">
        <f t="shared" si="38"/>
      </c>
    </row>
    <row r="1564" spans="13:13">
      <c r="M1564">
        <f t="shared" si="38"/>
      </c>
    </row>
    <row r="1565" spans="13:13">
      <c r="M1565">
        <f t="shared" si="38"/>
      </c>
    </row>
    <row r="1566" spans="13:13">
      <c r="M1566">
        <f t="shared" si="38"/>
      </c>
    </row>
    <row r="1567" spans="13:13">
      <c r="M1567">
        <f t="shared" si="38"/>
      </c>
    </row>
    <row r="1568" spans="13:13">
      <c r="M1568">
        <f t="shared" si="38"/>
      </c>
    </row>
    <row r="1569" spans="13:13">
      <c r="M1569">
        <f t="shared" si="38"/>
      </c>
    </row>
    <row r="1570" spans="13:13">
      <c r="M1570">
        <f t="shared" si="38"/>
      </c>
    </row>
    <row r="1571" spans="13:13">
      <c r="M1571">
        <f t="shared" si="38"/>
      </c>
    </row>
    <row r="1572" spans="13:13">
      <c r="M1572">
        <f t="shared" si="38"/>
      </c>
    </row>
    <row r="1573" spans="13:13">
      <c r="M1573">
        <f t="shared" si="38"/>
      </c>
    </row>
    <row r="1574" spans="13:13">
      <c r="M1574">
        <f t="shared" si="38"/>
      </c>
    </row>
    <row r="1575" spans="13:13">
      <c r="M1575">
        <f t="shared" si="38"/>
      </c>
    </row>
    <row r="1576" spans="13:13">
      <c r="M1576">
        <f t="shared" si="38"/>
      </c>
    </row>
    <row r="1577" spans="13:13">
      <c r="M1577">
        <f t="shared" si="38"/>
      </c>
    </row>
    <row r="1578" spans="13:13">
      <c r="M1578">
        <f t="shared" si="38"/>
      </c>
    </row>
    <row r="1579" spans="13:13">
      <c r="M1579">
        <f t="shared" si="38"/>
      </c>
    </row>
    <row r="1580" spans="13:13">
      <c r="M1580">
        <f t="shared" si="38"/>
      </c>
    </row>
    <row r="1581" spans="13:13">
      <c r="M1581">
        <f t="shared" si="38"/>
      </c>
    </row>
    <row r="1582" spans="13:13">
      <c r="M1582">
        <f t="shared" si="38"/>
      </c>
    </row>
    <row r="1583" spans="13:13">
      <c r="M1583">
        <f t="shared" si="38"/>
      </c>
    </row>
    <row r="1584" spans="13:13">
      <c r="M1584">
        <f t="shared" si="38"/>
      </c>
    </row>
    <row r="1585" spans="13:13">
      <c r="M1585">
        <f t="shared" si="38"/>
      </c>
    </row>
    <row r="1586" spans="13:13">
      <c r="M1586">
        <f t="shared" si="38"/>
      </c>
    </row>
    <row r="1587" spans="13:13">
      <c r="M1587">
        <f t="shared" si="38"/>
      </c>
    </row>
    <row r="1588" spans="13:13">
      <c r="M1588">
        <f t="shared" si="38"/>
      </c>
    </row>
    <row r="1589" spans="13:13">
      <c r="M1589">
        <f t="shared" si="38"/>
      </c>
    </row>
    <row r="1590" spans="13:13">
      <c r="M1590">
        <f t="shared" si="38"/>
      </c>
    </row>
    <row r="1591" spans="13:13">
      <c r="M1591">
        <f t="shared" si="38"/>
      </c>
    </row>
    <row r="1592" spans="13:13">
      <c r="M1592">
        <f t="shared" si="38"/>
      </c>
    </row>
    <row r="1593" spans="13:13">
      <c r="M1593">
        <f t="shared" si="38"/>
      </c>
    </row>
    <row r="1594" spans="13:13">
      <c r="M1594">
        <f t="shared" si="38"/>
      </c>
    </row>
    <row r="1595" spans="13:13">
      <c r="M1595">
        <f t="shared" si="38"/>
      </c>
    </row>
    <row r="1596" spans="13:13">
      <c r="M1596">
        <f t="shared" si="38"/>
      </c>
    </row>
    <row r="1597" spans="13:13">
      <c r="M1597">
        <f t="shared" si="38"/>
      </c>
    </row>
    <row r="1598" spans="13:13">
      <c r="M1598">
        <f t="shared" si="38"/>
      </c>
    </row>
    <row r="1599" spans="13:13">
      <c r="M1599">
        <f t="shared" si="38"/>
      </c>
    </row>
    <row r="1600" spans="13:13">
      <c r="M1600">
        <f t="shared" si="38"/>
      </c>
    </row>
    <row r="1601" spans="13:13">
      <c r="M1601">
        <f t="shared" si="38"/>
      </c>
    </row>
    <row r="1602" spans="13:13">
      <c r="M1602">
        <f t="shared" si="38"/>
      </c>
    </row>
    <row r="1603" spans="13:13">
      <c r="M1603">
        <f t="shared" si="38"/>
      </c>
    </row>
    <row r="1604" spans="13:13">
      <c r="M1604">
        <f t="shared" si="38"/>
      </c>
    </row>
    <row r="1605" spans="13:13">
      <c r="M1605">
        <f t="shared" ref="M1605:M1668" si="39">IF(A1605="","", WEEKNUM(A1605, 2))</f>
      </c>
    </row>
    <row r="1606" spans="13:13">
      <c r="M1606">
        <f t="shared" si="39"/>
      </c>
    </row>
    <row r="1607" spans="13:13">
      <c r="M1607">
        <f t="shared" si="39"/>
      </c>
    </row>
    <row r="1608" spans="13:13">
      <c r="M1608">
        <f t="shared" si="39"/>
      </c>
    </row>
    <row r="1609" spans="13:13">
      <c r="M1609">
        <f t="shared" si="39"/>
      </c>
    </row>
    <row r="1610" spans="13:13">
      <c r="M1610">
        <f t="shared" si="39"/>
      </c>
    </row>
    <row r="1611" spans="13:13">
      <c r="M1611">
        <f t="shared" si="39"/>
      </c>
    </row>
    <row r="1612" spans="13:13">
      <c r="M1612">
        <f t="shared" si="39"/>
      </c>
    </row>
    <row r="1613" spans="13:13">
      <c r="M1613">
        <f t="shared" si="39"/>
      </c>
    </row>
    <row r="1614" spans="13:13">
      <c r="M1614">
        <f t="shared" si="39"/>
      </c>
    </row>
    <row r="1615" spans="13:13">
      <c r="M1615">
        <f t="shared" si="39"/>
      </c>
    </row>
    <row r="1616" spans="13:13">
      <c r="M1616">
        <f t="shared" si="39"/>
      </c>
    </row>
    <row r="1617" spans="13:13">
      <c r="M1617">
        <f t="shared" si="39"/>
      </c>
    </row>
    <row r="1618" spans="13:13">
      <c r="M1618">
        <f t="shared" si="39"/>
      </c>
    </row>
    <row r="1619" spans="13:13">
      <c r="M1619">
        <f t="shared" si="39"/>
      </c>
    </row>
    <row r="1620" spans="13:13">
      <c r="M1620">
        <f t="shared" si="39"/>
      </c>
    </row>
    <row r="1621" spans="13:13">
      <c r="M1621">
        <f t="shared" si="39"/>
      </c>
    </row>
    <row r="1622" spans="13:13">
      <c r="M1622">
        <f t="shared" si="39"/>
      </c>
    </row>
    <row r="1623" spans="13:13">
      <c r="M1623">
        <f t="shared" si="39"/>
      </c>
    </row>
    <row r="1624" spans="13:13">
      <c r="M1624">
        <f t="shared" si="39"/>
      </c>
    </row>
    <row r="1625" spans="13:13">
      <c r="M1625">
        <f t="shared" si="39"/>
      </c>
    </row>
    <row r="1626" spans="13:13">
      <c r="M1626">
        <f t="shared" si="39"/>
      </c>
    </row>
    <row r="1627" spans="13:13">
      <c r="M1627">
        <f t="shared" si="39"/>
      </c>
    </row>
    <row r="1628" spans="13:13">
      <c r="M1628">
        <f t="shared" si="39"/>
      </c>
    </row>
    <row r="1629" spans="13:13">
      <c r="M1629">
        <f t="shared" si="39"/>
      </c>
    </row>
    <row r="1630" spans="13:13">
      <c r="M1630">
        <f t="shared" si="39"/>
      </c>
    </row>
    <row r="1631" spans="13:13">
      <c r="M1631">
        <f t="shared" si="39"/>
      </c>
    </row>
    <row r="1632" spans="13:13">
      <c r="M1632">
        <f t="shared" si="39"/>
      </c>
    </row>
    <row r="1633" spans="13:13">
      <c r="M1633">
        <f t="shared" si="39"/>
      </c>
    </row>
    <row r="1634" spans="13:13">
      <c r="M1634">
        <f t="shared" si="39"/>
      </c>
    </row>
    <row r="1635" spans="13:13">
      <c r="M1635">
        <f t="shared" si="39"/>
      </c>
    </row>
    <row r="1636" spans="13:13">
      <c r="M1636">
        <f t="shared" si="39"/>
      </c>
    </row>
    <row r="1637" spans="13:13">
      <c r="M1637">
        <f t="shared" si="39"/>
      </c>
    </row>
    <row r="1638" spans="13:13">
      <c r="M1638">
        <f t="shared" si="39"/>
      </c>
    </row>
    <row r="1639" spans="13:13">
      <c r="M1639">
        <f t="shared" si="39"/>
      </c>
    </row>
    <row r="1640" spans="13:13">
      <c r="M1640">
        <f t="shared" si="39"/>
      </c>
    </row>
    <row r="1641" spans="13:13">
      <c r="M1641">
        <f t="shared" si="39"/>
      </c>
    </row>
    <row r="1642" spans="13:13">
      <c r="M1642">
        <f t="shared" si="39"/>
      </c>
    </row>
    <row r="1643" spans="13:13">
      <c r="M1643">
        <f t="shared" si="39"/>
      </c>
    </row>
    <row r="1644" spans="13:13">
      <c r="M1644">
        <f t="shared" si="39"/>
      </c>
    </row>
    <row r="1645" spans="13:13">
      <c r="M1645">
        <f t="shared" si="39"/>
      </c>
    </row>
    <row r="1646" spans="13:13">
      <c r="M1646">
        <f t="shared" si="39"/>
      </c>
    </row>
    <row r="1647" spans="13:13">
      <c r="M1647">
        <f t="shared" si="39"/>
      </c>
    </row>
    <row r="1648" spans="13:13">
      <c r="M1648">
        <f t="shared" si="39"/>
      </c>
    </row>
    <row r="1649" spans="13:13">
      <c r="M1649">
        <f t="shared" si="39"/>
      </c>
    </row>
    <row r="1650" spans="13:13">
      <c r="M1650">
        <f t="shared" si="39"/>
      </c>
    </row>
    <row r="1651" spans="13:13">
      <c r="M1651">
        <f t="shared" si="39"/>
      </c>
    </row>
    <row r="1652" spans="13:13">
      <c r="M1652">
        <f t="shared" si="39"/>
      </c>
    </row>
    <row r="1653" spans="13:13">
      <c r="M1653">
        <f t="shared" si="39"/>
      </c>
    </row>
    <row r="1654" spans="13:13">
      <c r="M1654">
        <f t="shared" si="39"/>
      </c>
    </row>
    <row r="1655" spans="13:13">
      <c r="M1655">
        <f t="shared" si="39"/>
      </c>
    </row>
    <row r="1656" spans="13:13">
      <c r="M1656">
        <f t="shared" si="39"/>
      </c>
    </row>
    <row r="1657" spans="13:13">
      <c r="M1657">
        <f t="shared" si="39"/>
      </c>
    </row>
    <row r="1658" spans="13:13">
      <c r="M1658">
        <f t="shared" si="39"/>
      </c>
    </row>
    <row r="1659" spans="13:13">
      <c r="M1659">
        <f t="shared" si="39"/>
      </c>
    </row>
    <row r="1660" spans="13:13">
      <c r="M1660">
        <f t="shared" si="39"/>
      </c>
    </row>
    <row r="1661" spans="13:13">
      <c r="M1661">
        <f t="shared" si="39"/>
      </c>
    </row>
    <row r="1662" spans="13:13">
      <c r="M1662">
        <f t="shared" si="39"/>
      </c>
    </row>
    <row r="1663" spans="13:13">
      <c r="M1663">
        <f t="shared" si="39"/>
      </c>
    </row>
    <row r="1664" spans="13:13">
      <c r="M1664">
        <f t="shared" si="39"/>
      </c>
    </row>
    <row r="1665" spans="13:13">
      <c r="M1665">
        <f t="shared" si="39"/>
      </c>
    </row>
    <row r="1666" spans="13:13">
      <c r="M1666">
        <f t="shared" si="39"/>
      </c>
    </row>
    <row r="1667" spans="13:13">
      <c r="M1667">
        <f t="shared" si="39"/>
      </c>
    </row>
    <row r="1668" spans="13:13">
      <c r="M1668">
        <f t="shared" si="39"/>
      </c>
    </row>
    <row r="1669" spans="13:13">
      <c r="M1669">
        <f t="shared" ref="M1669:M1732" si="40">IF(A1669="","", WEEKNUM(A1669, 2))</f>
      </c>
    </row>
    <row r="1670" spans="13:13">
      <c r="M1670">
        <f t="shared" si="40"/>
      </c>
    </row>
    <row r="1671" spans="13:13">
      <c r="M1671">
        <f t="shared" si="40"/>
      </c>
    </row>
    <row r="1672" spans="13:13">
      <c r="M1672">
        <f t="shared" si="40"/>
      </c>
    </row>
    <row r="1673" spans="13:13">
      <c r="M1673">
        <f t="shared" si="40"/>
      </c>
    </row>
    <row r="1674" spans="13:13">
      <c r="M1674">
        <f t="shared" si="40"/>
      </c>
    </row>
    <row r="1675" spans="13:13">
      <c r="M1675">
        <f t="shared" si="40"/>
      </c>
    </row>
    <row r="1676" spans="13:13">
      <c r="M1676">
        <f t="shared" si="40"/>
      </c>
    </row>
    <row r="1677" spans="13:13">
      <c r="M1677">
        <f t="shared" si="40"/>
      </c>
    </row>
    <row r="1678" spans="13:13">
      <c r="M1678">
        <f t="shared" si="40"/>
      </c>
    </row>
    <row r="1679" spans="13:13">
      <c r="M1679">
        <f t="shared" si="40"/>
      </c>
    </row>
    <row r="1680" spans="13:13">
      <c r="M1680">
        <f t="shared" si="40"/>
      </c>
    </row>
    <row r="1681" spans="13:13">
      <c r="M1681">
        <f t="shared" si="40"/>
      </c>
    </row>
    <row r="1682" spans="13:13">
      <c r="M1682">
        <f t="shared" si="40"/>
      </c>
    </row>
    <row r="1683" spans="13:13">
      <c r="M1683">
        <f t="shared" si="40"/>
      </c>
    </row>
    <row r="1684" spans="13:13">
      <c r="M1684">
        <f t="shared" si="40"/>
      </c>
    </row>
    <row r="1685" spans="13:13">
      <c r="M1685">
        <f t="shared" si="40"/>
      </c>
    </row>
    <row r="1686" spans="13:13">
      <c r="M1686">
        <f t="shared" si="40"/>
      </c>
    </row>
    <row r="1687" spans="13:13">
      <c r="M1687">
        <f t="shared" si="40"/>
      </c>
    </row>
    <row r="1688" spans="13:13">
      <c r="M1688">
        <f t="shared" si="40"/>
      </c>
    </row>
    <row r="1689" spans="13:13">
      <c r="M1689">
        <f t="shared" si="40"/>
      </c>
    </row>
    <row r="1690" spans="13:13">
      <c r="M1690">
        <f t="shared" si="40"/>
      </c>
    </row>
    <row r="1691" spans="13:13">
      <c r="M1691">
        <f t="shared" si="40"/>
      </c>
    </row>
    <row r="1692" spans="13:13">
      <c r="M1692">
        <f t="shared" si="40"/>
      </c>
    </row>
    <row r="1693" spans="13:13">
      <c r="M1693">
        <f t="shared" si="40"/>
      </c>
    </row>
    <row r="1694" spans="13:13">
      <c r="M1694">
        <f t="shared" si="40"/>
      </c>
    </row>
    <row r="1695" spans="13:13">
      <c r="M1695">
        <f t="shared" si="40"/>
      </c>
    </row>
    <row r="1696" spans="13:13">
      <c r="M1696">
        <f t="shared" si="40"/>
      </c>
    </row>
    <row r="1697" spans="13:13">
      <c r="M1697">
        <f t="shared" si="40"/>
      </c>
    </row>
    <row r="1698" spans="13:13">
      <c r="M1698">
        <f t="shared" si="40"/>
      </c>
    </row>
    <row r="1699" spans="13:13">
      <c r="M1699">
        <f t="shared" si="40"/>
      </c>
    </row>
    <row r="1700" spans="13:13">
      <c r="M1700">
        <f t="shared" si="40"/>
      </c>
    </row>
    <row r="1701" spans="13:13">
      <c r="M1701">
        <f t="shared" si="40"/>
      </c>
    </row>
    <row r="1702" spans="13:13">
      <c r="M1702">
        <f t="shared" si="40"/>
      </c>
    </row>
    <row r="1703" spans="13:13">
      <c r="M1703">
        <f t="shared" si="40"/>
      </c>
    </row>
    <row r="1704" spans="13:13">
      <c r="M1704">
        <f t="shared" si="40"/>
      </c>
    </row>
    <row r="1705" spans="13:13">
      <c r="M1705">
        <f t="shared" si="40"/>
      </c>
    </row>
    <row r="1706" spans="13:13">
      <c r="M1706">
        <f t="shared" si="40"/>
      </c>
    </row>
    <row r="1707" spans="13:13">
      <c r="M1707">
        <f t="shared" si="40"/>
      </c>
    </row>
    <row r="1708" spans="13:13">
      <c r="M1708">
        <f t="shared" si="40"/>
      </c>
    </row>
    <row r="1709" spans="13:13">
      <c r="M1709">
        <f t="shared" si="40"/>
      </c>
    </row>
    <row r="1710" spans="13:13">
      <c r="M1710">
        <f t="shared" si="40"/>
      </c>
    </row>
    <row r="1711" spans="13:13">
      <c r="M1711">
        <f t="shared" si="40"/>
      </c>
    </row>
    <row r="1712" spans="13:13">
      <c r="M1712">
        <f t="shared" si="40"/>
      </c>
    </row>
    <row r="1713" spans="13:13">
      <c r="M1713">
        <f t="shared" si="40"/>
      </c>
    </row>
    <row r="1714" spans="13:13">
      <c r="M1714">
        <f t="shared" si="40"/>
      </c>
    </row>
    <row r="1715" spans="13:13">
      <c r="M1715">
        <f t="shared" si="40"/>
      </c>
    </row>
    <row r="1716" spans="13:13">
      <c r="M1716">
        <f t="shared" si="40"/>
      </c>
    </row>
    <row r="1717" spans="13:13">
      <c r="M1717">
        <f t="shared" si="40"/>
      </c>
    </row>
    <row r="1718" spans="13:13">
      <c r="M1718">
        <f t="shared" si="40"/>
      </c>
    </row>
    <row r="1719" spans="13:13">
      <c r="M1719">
        <f t="shared" si="40"/>
      </c>
    </row>
    <row r="1720" spans="13:13">
      <c r="M1720">
        <f t="shared" si="40"/>
      </c>
    </row>
    <row r="1721" spans="13:13">
      <c r="M1721">
        <f t="shared" si="40"/>
      </c>
    </row>
    <row r="1722" spans="13:13">
      <c r="M1722">
        <f t="shared" si="40"/>
      </c>
    </row>
    <row r="1723" spans="13:13">
      <c r="M1723">
        <f t="shared" si="40"/>
      </c>
    </row>
    <row r="1724" spans="13:13">
      <c r="M1724">
        <f t="shared" si="40"/>
      </c>
    </row>
    <row r="1725" spans="13:13">
      <c r="M1725">
        <f t="shared" si="40"/>
      </c>
    </row>
    <row r="1726" spans="13:13">
      <c r="M1726">
        <f t="shared" si="40"/>
      </c>
    </row>
    <row r="1727" spans="13:13">
      <c r="M1727">
        <f t="shared" si="40"/>
      </c>
    </row>
    <row r="1728" spans="13:13">
      <c r="M1728">
        <f t="shared" si="40"/>
      </c>
    </row>
    <row r="1729" spans="13:13">
      <c r="M1729">
        <f t="shared" si="40"/>
      </c>
    </row>
    <row r="1730" spans="13:13">
      <c r="M1730">
        <f t="shared" si="40"/>
      </c>
    </row>
    <row r="1731" spans="13:13">
      <c r="M1731">
        <f t="shared" si="40"/>
      </c>
    </row>
    <row r="1732" spans="13:13">
      <c r="M1732">
        <f t="shared" si="40"/>
      </c>
    </row>
    <row r="1733" spans="13:13">
      <c r="M1733">
        <f t="shared" ref="M1733:M1796" si="41">IF(A1733="","", WEEKNUM(A1733, 2))</f>
      </c>
    </row>
    <row r="1734" spans="13:13">
      <c r="M1734">
        <f t="shared" si="41"/>
      </c>
    </row>
    <row r="1735" spans="13:13">
      <c r="M1735">
        <f t="shared" si="41"/>
      </c>
    </row>
    <row r="1736" spans="13:13">
      <c r="M1736">
        <f t="shared" si="41"/>
      </c>
    </row>
    <row r="1737" spans="13:13">
      <c r="M1737">
        <f t="shared" si="41"/>
      </c>
    </row>
    <row r="1738" spans="13:13">
      <c r="M1738">
        <f t="shared" si="41"/>
      </c>
    </row>
    <row r="1739" spans="13:13">
      <c r="M1739">
        <f t="shared" si="41"/>
      </c>
    </row>
    <row r="1740" spans="13:13">
      <c r="M1740">
        <f t="shared" si="41"/>
      </c>
    </row>
    <row r="1741" spans="13:13">
      <c r="M1741">
        <f t="shared" si="41"/>
      </c>
    </row>
    <row r="1742" spans="13:13">
      <c r="M1742">
        <f t="shared" si="41"/>
      </c>
    </row>
    <row r="1743" spans="13:13">
      <c r="M1743">
        <f t="shared" si="41"/>
      </c>
    </row>
    <row r="1744" spans="13:13">
      <c r="M1744">
        <f t="shared" si="41"/>
      </c>
    </row>
    <row r="1745" spans="13:13">
      <c r="M1745">
        <f t="shared" si="41"/>
      </c>
    </row>
    <row r="1746" spans="13:13">
      <c r="M1746">
        <f t="shared" si="41"/>
      </c>
    </row>
    <row r="1747" spans="13:13">
      <c r="M1747">
        <f t="shared" si="41"/>
      </c>
    </row>
    <row r="1748" spans="13:13">
      <c r="M1748">
        <f t="shared" si="41"/>
      </c>
    </row>
    <row r="1749" spans="13:13">
      <c r="M1749">
        <f t="shared" si="41"/>
      </c>
    </row>
    <row r="1750" spans="13:13">
      <c r="M1750">
        <f t="shared" si="41"/>
      </c>
    </row>
    <row r="1751" spans="13:13">
      <c r="M1751">
        <f t="shared" si="41"/>
      </c>
    </row>
    <row r="1752" spans="13:13">
      <c r="M1752">
        <f t="shared" si="41"/>
      </c>
    </row>
    <row r="1753" spans="13:13">
      <c r="M1753">
        <f t="shared" si="41"/>
      </c>
    </row>
    <row r="1754" spans="13:13">
      <c r="M1754">
        <f t="shared" si="41"/>
      </c>
    </row>
    <row r="1755" spans="13:13">
      <c r="M1755">
        <f t="shared" si="41"/>
      </c>
    </row>
    <row r="1756" spans="13:13">
      <c r="M1756">
        <f t="shared" si="41"/>
      </c>
    </row>
    <row r="1757" spans="13:13">
      <c r="M1757">
        <f t="shared" si="41"/>
      </c>
    </row>
    <row r="1758" spans="13:13">
      <c r="M1758">
        <f t="shared" si="41"/>
      </c>
    </row>
    <row r="1759" spans="13:13">
      <c r="M1759">
        <f t="shared" si="41"/>
      </c>
    </row>
    <row r="1760" spans="13:13">
      <c r="M1760">
        <f t="shared" si="41"/>
      </c>
    </row>
    <row r="1761" spans="13:13">
      <c r="M1761">
        <f t="shared" si="41"/>
      </c>
    </row>
    <row r="1762" spans="13:13">
      <c r="M1762">
        <f t="shared" si="41"/>
      </c>
    </row>
    <row r="1763" spans="13:13">
      <c r="M1763">
        <f t="shared" si="41"/>
      </c>
    </row>
    <row r="1764" spans="13:13">
      <c r="M1764">
        <f t="shared" si="41"/>
      </c>
    </row>
    <row r="1765" spans="13:13">
      <c r="M1765">
        <f t="shared" si="41"/>
      </c>
    </row>
    <row r="1766" spans="13:13">
      <c r="M1766">
        <f t="shared" si="41"/>
      </c>
    </row>
    <row r="1767" spans="13:13">
      <c r="M1767">
        <f t="shared" si="41"/>
      </c>
    </row>
    <row r="1768" spans="13:13">
      <c r="M1768">
        <f t="shared" si="41"/>
      </c>
    </row>
    <row r="1769" spans="13:13">
      <c r="M1769">
        <f t="shared" si="41"/>
      </c>
    </row>
    <row r="1770" spans="13:13">
      <c r="M1770">
        <f t="shared" si="41"/>
      </c>
    </row>
    <row r="1771" spans="13:13">
      <c r="M1771">
        <f t="shared" si="41"/>
      </c>
    </row>
    <row r="1772" spans="13:13">
      <c r="M1772">
        <f t="shared" si="41"/>
      </c>
    </row>
    <row r="1773" spans="13:13">
      <c r="M1773">
        <f t="shared" si="41"/>
      </c>
    </row>
    <row r="1774" spans="13:13">
      <c r="M1774">
        <f t="shared" si="41"/>
      </c>
    </row>
    <row r="1775" spans="13:13">
      <c r="M1775">
        <f t="shared" si="41"/>
      </c>
    </row>
    <row r="1776" spans="13:13">
      <c r="M1776">
        <f t="shared" si="41"/>
      </c>
    </row>
    <row r="1777" spans="13:13">
      <c r="M1777">
        <f t="shared" si="41"/>
      </c>
    </row>
    <row r="1778" spans="13:13">
      <c r="M1778">
        <f t="shared" si="41"/>
      </c>
    </row>
    <row r="1779" spans="13:13">
      <c r="M1779">
        <f t="shared" si="41"/>
      </c>
    </row>
    <row r="1780" spans="13:13">
      <c r="M1780">
        <f t="shared" si="41"/>
      </c>
    </row>
    <row r="1781" spans="13:13">
      <c r="M1781">
        <f t="shared" si="41"/>
      </c>
    </row>
    <row r="1782" spans="13:13">
      <c r="M1782">
        <f t="shared" si="41"/>
      </c>
    </row>
    <row r="1783" spans="13:13">
      <c r="M1783">
        <f t="shared" si="41"/>
      </c>
    </row>
    <row r="1784" spans="13:13">
      <c r="M1784">
        <f t="shared" si="41"/>
      </c>
    </row>
    <row r="1785" spans="13:13">
      <c r="M1785">
        <f t="shared" si="41"/>
      </c>
    </row>
    <row r="1786" spans="13:13">
      <c r="M1786">
        <f t="shared" si="41"/>
      </c>
    </row>
    <row r="1787" spans="13:13">
      <c r="M1787">
        <f t="shared" si="41"/>
      </c>
    </row>
    <row r="1788" spans="13:13">
      <c r="M1788">
        <f t="shared" si="41"/>
      </c>
    </row>
    <row r="1789" spans="13:13">
      <c r="M1789">
        <f t="shared" si="41"/>
      </c>
    </row>
    <row r="1790" spans="13:13">
      <c r="M1790">
        <f t="shared" si="41"/>
      </c>
    </row>
    <row r="1791" spans="13:13">
      <c r="M1791">
        <f t="shared" si="41"/>
      </c>
    </row>
    <row r="1792" spans="13:13">
      <c r="M1792">
        <f t="shared" si="41"/>
      </c>
    </row>
    <row r="1793" spans="13:13">
      <c r="M1793">
        <f t="shared" si="41"/>
      </c>
    </row>
    <row r="1794" spans="13:13">
      <c r="M1794">
        <f t="shared" si="41"/>
      </c>
    </row>
    <row r="1795" spans="13:13">
      <c r="M1795">
        <f t="shared" si="41"/>
      </c>
    </row>
    <row r="1796" spans="13:13">
      <c r="M1796">
        <f t="shared" si="41"/>
      </c>
    </row>
    <row r="1797" spans="13:13">
      <c r="M1797">
        <f t="shared" ref="M1797:M1860" si="42">IF(A1797="","", WEEKNUM(A1797, 2))</f>
      </c>
    </row>
    <row r="1798" spans="13:13">
      <c r="M1798">
        <f t="shared" si="42"/>
      </c>
    </row>
    <row r="1799" spans="13:13">
      <c r="M1799">
        <f t="shared" si="42"/>
      </c>
    </row>
    <row r="1800" spans="13:13">
      <c r="M1800">
        <f t="shared" si="42"/>
      </c>
    </row>
    <row r="1801" spans="13:13">
      <c r="M1801">
        <f t="shared" si="42"/>
      </c>
    </row>
    <row r="1802" spans="13:13">
      <c r="M1802">
        <f t="shared" si="42"/>
      </c>
    </row>
    <row r="1803" spans="13:13">
      <c r="M1803">
        <f t="shared" si="42"/>
      </c>
    </row>
    <row r="1804" spans="13:13">
      <c r="M1804">
        <f t="shared" si="42"/>
      </c>
    </row>
    <row r="1805" spans="13:13">
      <c r="M1805">
        <f t="shared" si="42"/>
      </c>
    </row>
    <row r="1806" spans="13:13">
      <c r="M1806">
        <f t="shared" si="42"/>
      </c>
    </row>
    <row r="1807" spans="13:13">
      <c r="M1807">
        <f t="shared" si="42"/>
      </c>
    </row>
    <row r="1808" spans="13:13">
      <c r="M1808">
        <f t="shared" si="42"/>
      </c>
    </row>
    <row r="1809" spans="13:13">
      <c r="M1809">
        <f t="shared" si="42"/>
      </c>
    </row>
    <row r="1810" spans="13:13">
      <c r="M1810">
        <f t="shared" si="42"/>
      </c>
    </row>
    <row r="1811" spans="13:13">
      <c r="M1811">
        <f t="shared" si="42"/>
      </c>
    </row>
    <row r="1812" spans="13:13">
      <c r="M1812">
        <f t="shared" si="42"/>
      </c>
    </row>
    <row r="1813" spans="13:13">
      <c r="M1813">
        <f t="shared" si="42"/>
      </c>
    </row>
    <row r="1814" spans="13:13">
      <c r="M1814">
        <f t="shared" si="42"/>
      </c>
    </row>
    <row r="1815" spans="13:13">
      <c r="M1815">
        <f t="shared" si="42"/>
      </c>
    </row>
    <row r="1816" spans="13:13">
      <c r="M1816">
        <f t="shared" si="42"/>
      </c>
    </row>
    <row r="1817" spans="13:13">
      <c r="M1817">
        <f t="shared" si="42"/>
      </c>
    </row>
    <row r="1818" spans="13:13">
      <c r="M1818">
        <f t="shared" si="42"/>
      </c>
    </row>
    <row r="1819" spans="13:13">
      <c r="M1819">
        <f t="shared" si="42"/>
      </c>
    </row>
    <row r="1820" spans="13:13">
      <c r="M1820">
        <f t="shared" si="42"/>
      </c>
    </row>
    <row r="1821" spans="13:13">
      <c r="M1821">
        <f t="shared" si="42"/>
      </c>
    </row>
    <row r="1822" spans="13:13">
      <c r="M1822">
        <f t="shared" si="42"/>
      </c>
    </row>
    <row r="1823" spans="13:13">
      <c r="M1823">
        <f t="shared" si="42"/>
      </c>
    </row>
    <row r="1824" spans="13:13">
      <c r="M1824">
        <f t="shared" si="42"/>
      </c>
    </row>
    <row r="1825" spans="13:13">
      <c r="M1825">
        <f t="shared" si="42"/>
      </c>
    </row>
    <row r="1826" spans="13:13">
      <c r="M1826">
        <f t="shared" si="42"/>
      </c>
    </row>
    <row r="1827" spans="13:13">
      <c r="M1827">
        <f t="shared" si="42"/>
      </c>
    </row>
    <row r="1828" spans="13:13">
      <c r="M1828">
        <f t="shared" si="42"/>
      </c>
    </row>
    <row r="1829" spans="13:13">
      <c r="M1829">
        <f t="shared" si="42"/>
      </c>
    </row>
    <row r="1830" spans="13:13">
      <c r="M1830">
        <f t="shared" si="42"/>
      </c>
    </row>
    <row r="1831" spans="13:13">
      <c r="M1831">
        <f t="shared" si="42"/>
      </c>
    </row>
    <row r="1832" spans="13:13">
      <c r="M1832">
        <f t="shared" si="42"/>
      </c>
    </row>
    <row r="1833" spans="13:13">
      <c r="M1833">
        <f t="shared" si="42"/>
      </c>
    </row>
    <row r="1834" spans="13:13">
      <c r="M1834">
        <f t="shared" si="42"/>
      </c>
    </row>
    <row r="1835" spans="13:13">
      <c r="M1835">
        <f t="shared" si="42"/>
      </c>
    </row>
    <row r="1836" spans="13:13">
      <c r="M1836">
        <f t="shared" si="42"/>
      </c>
    </row>
    <row r="1837" spans="13:13">
      <c r="M1837">
        <f t="shared" si="42"/>
      </c>
    </row>
    <row r="1838" spans="13:13">
      <c r="M1838">
        <f t="shared" si="42"/>
      </c>
    </row>
    <row r="1839" spans="13:13">
      <c r="M1839">
        <f t="shared" si="42"/>
      </c>
    </row>
    <row r="1840" spans="13:13">
      <c r="M1840">
        <f t="shared" si="42"/>
      </c>
    </row>
    <row r="1841" spans="13:13">
      <c r="M1841">
        <f t="shared" si="42"/>
      </c>
    </row>
    <row r="1842" spans="13:13">
      <c r="M1842">
        <f t="shared" si="42"/>
      </c>
    </row>
    <row r="1843" spans="13:13">
      <c r="M1843">
        <f t="shared" si="42"/>
      </c>
    </row>
    <row r="1844" spans="13:13">
      <c r="M1844">
        <f t="shared" si="42"/>
      </c>
    </row>
    <row r="1845" spans="13:13">
      <c r="M1845">
        <f t="shared" si="42"/>
      </c>
    </row>
    <row r="1846" spans="13:13">
      <c r="M1846">
        <f t="shared" si="42"/>
      </c>
    </row>
    <row r="1847" spans="13:13">
      <c r="M1847">
        <f t="shared" si="42"/>
      </c>
    </row>
    <row r="1848" spans="13:13">
      <c r="M1848">
        <f t="shared" si="42"/>
      </c>
    </row>
    <row r="1849" spans="13:13">
      <c r="M1849">
        <f t="shared" si="42"/>
      </c>
    </row>
    <row r="1850" spans="13:13">
      <c r="M1850">
        <f t="shared" si="42"/>
      </c>
    </row>
    <row r="1851" spans="13:13">
      <c r="M1851">
        <f t="shared" si="42"/>
      </c>
    </row>
    <row r="1852" spans="13:13">
      <c r="M1852">
        <f t="shared" si="42"/>
      </c>
    </row>
    <row r="1853" spans="13:13">
      <c r="M1853">
        <f t="shared" si="42"/>
      </c>
    </row>
    <row r="1854" spans="13:13">
      <c r="M1854">
        <f t="shared" si="42"/>
      </c>
    </row>
    <row r="1855" spans="13:13">
      <c r="M1855">
        <f t="shared" si="42"/>
      </c>
    </row>
    <row r="1856" spans="13:13">
      <c r="M1856">
        <f t="shared" si="42"/>
      </c>
    </row>
    <row r="1857" spans="13:13">
      <c r="M1857">
        <f t="shared" si="42"/>
      </c>
    </row>
    <row r="1858" spans="13:13">
      <c r="M1858">
        <f t="shared" si="42"/>
      </c>
    </row>
    <row r="1859" spans="13:13">
      <c r="M1859">
        <f t="shared" si="42"/>
      </c>
    </row>
    <row r="1860" spans="13:13">
      <c r="M1860">
        <f t="shared" si="42"/>
      </c>
    </row>
    <row r="1861" spans="13:13">
      <c r="M1861">
        <f t="shared" ref="M1861:M1924" si="43">IF(A1861="","", WEEKNUM(A1861, 2))</f>
      </c>
    </row>
    <row r="1862" spans="13:13">
      <c r="M1862">
        <f t="shared" si="43"/>
      </c>
    </row>
    <row r="1863" spans="13:13">
      <c r="M1863">
        <f t="shared" si="43"/>
      </c>
    </row>
    <row r="1864" spans="13:13">
      <c r="M1864">
        <f t="shared" si="43"/>
      </c>
    </row>
    <row r="1865" spans="13:13">
      <c r="M1865">
        <f t="shared" si="43"/>
      </c>
    </row>
    <row r="1866" spans="13:13">
      <c r="M1866">
        <f t="shared" si="43"/>
      </c>
    </row>
    <row r="1867" spans="13:13">
      <c r="M1867">
        <f t="shared" si="43"/>
      </c>
    </row>
    <row r="1868" spans="13:13">
      <c r="M1868">
        <f t="shared" si="43"/>
      </c>
    </row>
    <row r="1869" spans="13:13">
      <c r="M1869">
        <f t="shared" si="43"/>
      </c>
    </row>
    <row r="1870" spans="13:13">
      <c r="M1870">
        <f t="shared" si="43"/>
      </c>
    </row>
    <row r="1871" spans="13:13">
      <c r="M1871">
        <f t="shared" si="43"/>
      </c>
    </row>
    <row r="1872" spans="13:13">
      <c r="M1872">
        <f t="shared" si="43"/>
      </c>
    </row>
    <row r="1873" spans="13:13">
      <c r="M1873">
        <f t="shared" si="43"/>
      </c>
    </row>
    <row r="1874" spans="13:13">
      <c r="M1874">
        <f t="shared" si="43"/>
      </c>
    </row>
    <row r="1875" spans="13:13">
      <c r="M1875">
        <f t="shared" si="43"/>
      </c>
    </row>
    <row r="1876" spans="13:13">
      <c r="M1876">
        <f t="shared" si="43"/>
      </c>
    </row>
    <row r="1877" spans="13:13">
      <c r="M1877">
        <f t="shared" si="43"/>
      </c>
    </row>
    <row r="1878" spans="13:13">
      <c r="M1878">
        <f t="shared" si="43"/>
      </c>
    </row>
    <row r="1879" spans="13:13">
      <c r="M1879">
        <f t="shared" si="43"/>
      </c>
    </row>
    <row r="1880" spans="13:13">
      <c r="M1880">
        <f t="shared" si="43"/>
      </c>
    </row>
    <row r="1881" spans="13:13">
      <c r="M1881">
        <f t="shared" si="43"/>
      </c>
    </row>
    <row r="1882" spans="13:13">
      <c r="M1882">
        <f t="shared" si="43"/>
      </c>
    </row>
    <row r="1883" spans="13:13">
      <c r="M1883">
        <f t="shared" si="43"/>
      </c>
    </row>
    <row r="1884" spans="13:13">
      <c r="M1884">
        <f t="shared" si="43"/>
      </c>
    </row>
    <row r="1885" spans="13:13">
      <c r="M1885">
        <f t="shared" si="43"/>
      </c>
    </row>
    <row r="1886" spans="13:13">
      <c r="M1886">
        <f t="shared" si="43"/>
      </c>
    </row>
    <row r="1887" spans="13:13">
      <c r="M1887">
        <f t="shared" si="43"/>
      </c>
    </row>
    <row r="1888" spans="13:13">
      <c r="M1888">
        <f t="shared" si="43"/>
      </c>
    </row>
    <row r="1889" spans="13:13">
      <c r="M1889">
        <f t="shared" si="43"/>
      </c>
    </row>
    <row r="1890" spans="13:13">
      <c r="M1890">
        <f t="shared" si="43"/>
      </c>
    </row>
    <row r="1891" spans="13:13">
      <c r="M1891">
        <f t="shared" si="43"/>
      </c>
    </row>
    <row r="1892" spans="13:13">
      <c r="M1892">
        <f t="shared" si="43"/>
      </c>
    </row>
    <row r="1893" spans="13:13">
      <c r="M1893">
        <f t="shared" si="43"/>
      </c>
    </row>
    <row r="1894" spans="13:13">
      <c r="M1894">
        <f t="shared" si="43"/>
      </c>
    </row>
    <row r="1895" spans="13:13">
      <c r="M1895">
        <f t="shared" si="43"/>
      </c>
    </row>
    <row r="1896" spans="13:13">
      <c r="M1896">
        <f t="shared" si="43"/>
      </c>
    </row>
    <row r="1897" spans="13:13">
      <c r="M1897">
        <f t="shared" si="43"/>
      </c>
    </row>
    <row r="1898" spans="13:13">
      <c r="M1898">
        <f t="shared" si="43"/>
      </c>
    </row>
    <row r="1899" spans="13:13">
      <c r="M1899">
        <f t="shared" si="43"/>
      </c>
    </row>
    <row r="1900" spans="13:13">
      <c r="M1900">
        <f t="shared" si="43"/>
      </c>
    </row>
    <row r="1901" spans="13:13">
      <c r="M1901">
        <f t="shared" si="43"/>
      </c>
    </row>
    <row r="1902" spans="13:13">
      <c r="M1902">
        <f t="shared" si="43"/>
      </c>
    </row>
    <row r="1903" spans="13:13">
      <c r="M1903">
        <f t="shared" si="43"/>
      </c>
    </row>
    <row r="1904" spans="13:13">
      <c r="M1904">
        <f t="shared" si="43"/>
      </c>
    </row>
    <row r="1905" spans="13:13">
      <c r="M1905">
        <f t="shared" si="43"/>
      </c>
    </row>
    <row r="1906" spans="13:13">
      <c r="M1906">
        <f t="shared" si="43"/>
      </c>
    </row>
    <row r="1907" spans="13:13">
      <c r="M1907">
        <f t="shared" si="43"/>
      </c>
    </row>
    <row r="1908" spans="13:13">
      <c r="M1908">
        <f t="shared" si="43"/>
      </c>
    </row>
    <row r="1909" spans="13:13">
      <c r="M1909">
        <f t="shared" si="43"/>
      </c>
    </row>
    <row r="1910" spans="13:13">
      <c r="M1910">
        <f t="shared" si="43"/>
      </c>
    </row>
    <row r="1911" spans="13:13">
      <c r="M1911">
        <f t="shared" si="43"/>
      </c>
    </row>
    <row r="1912" spans="13:13">
      <c r="M1912">
        <f t="shared" si="43"/>
      </c>
    </row>
    <row r="1913" spans="13:13">
      <c r="M1913">
        <f t="shared" si="43"/>
      </c>
    </row>
    <row r="1914" spans="13:13">
      <c r="M1914">
        <f t="shared" si="43"/>
      </c>
    </row>
    <row r="1915" spans="13:13">
      <c r="M1915">
        <f t="shared" si="43"/>
      </c>
    </row>
    <row r="1916" spans="13:13">
      <c r="M1916">
        <f t="shared" si="43"/>
      </c>
    </row>
    <row r="1917" spans="13:13">
      <c r="M1917">
        <f t="shared" si="43"/>
      </c>
    </row>
    <row r="1918" spans="13:13">
      <c r="M1918">
        <f t="shared" si="43"/>
      </c>
    </row>
    <row r="1919" spans="13:13">
      <c r="M1919">
        <f t="shared" si="43"/>
      </c>
    </row>
    <row r="1920" spans="13:13">
      <c r="M1920">
        <f t="shared" si="43"/>
      </c>
    </row>
    <row r="1921" spans="13:13">
      <c r="M1921">
        <f t="shared" si="43"/>
      </c>
    </row>
    <row r="1922" spans="13:13">
      <c r="M1922">
        <f t="shared" si="43"/>
      </c>
    </row>
    <row r="1923" spans="13:13">
      <c r="M1923">
        <f t="shared" si="43"/>
      </c>
    </row>
    <row r="1924" spans="13:13">
      <c r="M1924">
        <f t="shared" si="43"/>
      </c>
    </row>
    <row r="1925" spans="13:13">
      <c r="M1925">
        <f t="shared" ref="M1925:M1988" si="44">IF(A1925="","", WEEKNUM(A1925, 2))</f>
      </c>
    </row>
    <row r="1926" spans="13:13">
      <c r="M1926">
        <f t="shared" si="44"/>
      </c>
    </row>
    <row r="1927" spans="13:13">
      <c r="M1927">
        <f t="shared" si="44"/>
      </c>
    </row>
    <row r="1928" spans="13:13">
      <c r="M1928">
        <f t="shared" si="44"/>
      </c>
    </row>
    <row r="1929" spans="13:13">
      <c r="M1929">
        <f t="shared" si="44"/>
      </c>
    </row>
    <row r="1930" spans="13:13">
      <c r="M1930">
        <f t="shared" si="44"/>
      </c>
    </row>
    <row r="1931" spans="13:13">
      <c r="M1931">
        <f t="shared" si="44"/>
      </c>
    </row>
    <row r="1932" spans="13:13">
      <c r="M1932">
        <f t="shared" si="44"/>
      </c>
    </row>
    <row r="1933" spans="13:13">
      <c r="M1933">
        <f t="shared" si="44"/>
      </c>
    </row>
    <row r="1934" spans="13:13">
      <c r="M1934">
        <f t="shared" si="44"/>
      </c>
    </row>
    <row r="1935" spans="13:13">
      <c r="M1935">
        <f t="shared" si="44"/>
      </c>
    </row>
    <row r="1936" spans="13:13">
      <c r="M1936">
        <f t="shared" si="44"/>
      </c>
    </row>
    <row r="1937" spans="13:13">
      <c r="M1937">
        <f t="shared" si="44"/>
      </c>
    </row>
    <row r="1938" spans="13:13">
      <c r="M1938">
        <f t="shared" si="44"/>
      </c>
    </row>
    <row r="1939" spans="13:13">
      <c r="M1939">
        <f t="shared" si="44"/>
      </c>
    </row>
    <row r="1940" spans="13:13">
      <c r="M1940">
        <f t="shared" si="44"/>
      </c>
    </row>
    <row r="1941" spans="13:13">
      <c r="M1941">
        <f t="shared" si="44"/>
      </c>
    </row>
    <row r="1942" spans="13:13">
      <c r="M1942">
        <f t="shared" si="44"/>
      </c>
    </row>
    <row r="1943" spans="13:13">
      <c r="M1943">
        <f t="shared" si="44"/>
      </c>
    </row>
    <row r="1944" spans="13:13">
      <c r="M1944">
        <f t="shared" si="44"/>
      </c>
    </row>
    <row r="1945" spans="13:13">
      <c r="M1945">
        <f t="shared" si="44"/>
      </c>
    </row>
    <row r="1946" spans="13:13">
      <c r="M1946">
        <f t="shared" si="44"/>
      </c>
    </row>
    <row r="1947" spans="13:13">
      <c r="M1947">
        <f t="shared" si="44"/>
      </c>
    </row>
    <row r="1948" spans="13:13">
      <c r="M1948">
        <f t="shared" si="44"/>
      </c>
    </row>
    <row r="1949" spans="13:13">
      <c r="M1949">
        <f t="shared" si="44"/>
      </c>
    </row>
    <row r="1950" spans="13:13">
      <c r="M1950">
        <f t="shared" si="44"/>
      </c>
    </row>
    <row r="1951" spans="13:13">
      <c r="M1951">
        <f t="shared" si="44"/>
      </c>
    </row>
    <row r="1952" spans="13:13">
      <c r="M1952">
        <f t="shared" si="44"/>
      </c>
    </row>
    <row r="1953" spans="13:13">
      <c r="M1953">
        <f t="shared" si="44"/>
      </c>
    </row>
    <row r="1954" spans="13:13">
      <c r="M1954">
        <f t="shared" si="44"/>
      </c>
    </row>
    <row r="1955" spans="13:13">
      <c r="M1955">
        <f t="shared" si="44"/>
      </c>
    </row>
    <row r="1956" spans="13:13">
      <c r="M1956">
        <f t="shared" si="44"/>
      </c>
    </row>
    <row r="1957" spans="13:13">
      <c r="M1957">
        <f t="shared" si="44"/>
      </c>
    </row>
    <row r="1958" spans="13:13">
      <c r="M1958">
        <f t="shared" si="44"/>
      </c>
    </row>
    <row r="1959" spans="13:13">
      <c r="M1959">
        <f t="shared" si="44"/>
      </c>
    </row>
    <row r="1960" spans="13:13">
      <c r="M1960">
        <f t="shared" si="44"/>
      </c>
    </row>
    <row r="1961" spans="13:13">
      <c r="M1961">
        <f t="shared" si="44"/>
      </c>
    </row>
    <row r="1962" spans="13:13">
      <c r="M1962">
        <f t="shared" si="44"/>
      </c>
    </row>
    <row r="1963" spans="13:13">
      <c r="M1963">
        <f t="shared" si="44"/>
      </c>
    </row>
    <row r="1964" spans="13:13">
      <c r="M1964">
        <f t="shared" si="44"/>
      </c>
    </row>
    <row r="1965" spans="13:13">
      <c r="M1965">
        <f t="shared" si="44"/>
      </c>
    </row>
    <row r="1966" spans="13:13">
      <c r="M1966">
        <f t="shared" si="44"/>
      </c>
    </row>
    <row r="1967" spans="13:13">
      <c r="M1967">
        <f t="shared" si="44"/>
      </c>
    </row>
    <row r="1968" spans="13:13">
      <c r="M1968">
        <f t="shared" si="44"/>
      </c>
    </row>
    <row r="1969" spans="13:13">
      <c r="M1969">
        <f t="shared" si="44"/>
      </c>
    </row>
    <row r="1970" spans="13:13">
      <c r="M1970">
        <f t="shared" si="44"/>
      </c>
    </row>
    <row r="1971" spans="13:13">
      <c r="M1971">
        <f t="shared" si="44"/>
      </c>
    </row>
    <row r="1972" spans="13:13">
      <c r="M1972">
        <f t="shared" si="44"/>
      </c>
    </row>
    <row r="1973" spans="13:13">
      <c r="M1973">
        <f t="shared" si="44"/>
      </c>
    </row>
    <row r="1974" spans="13:13">
      <c r="M1974">
        <f t="shared" si="44"/>
      </c>
    </row>
    <row r="1975" spans="13:13">
      <c r="M1975">
        <f t="shared" si="44"/>
      </c>
    </row>
    <row r="1976" spans="13:13">
      <c r="M1976">
        <f t="shared" si="44"/>
      </c>
    </row>
    <row r="1977" spans="13:13">
      <c r="M1977">
        <f t="shared" si="44"/>
      </c>
    </row>
    <row r="1978" spans="13:13">
      <c r="M1978">
        <f t="shared" si="44"/>
      </c>
    </row>
    <row r="1979" spans="13:13">
      <c r="M1979">
        <f t="shared" si="44"/>
      </c>
    </row>
    <row r="1980" spans="13:13">
      <c r="M1980">
        <f t="shared" si="44"/>
      </c>
    </row>
    <row r="1981" spans="13:13">
      <c r="M1981">
        <f t="shared" si="44"/>
      </c>
    </row>
    <row r="1982" spans="13:13">
      <c r="M1982">
        <f t="shared" si="44"/>
      </c>
    </row>
    <row r="1983" spans="13:13">
      <c r="M1983">
        <f t="shared" si="44"/>
      </c>
    </row>
    <row r="1984" spans="13:13">
      <c r="M1984">
        <f t="shared" si="44"/>
      </c>
    </row>
    <row r="1985" spans="13:13">
      <c r="M1985">
        <f t="shared" si="44"/>
      </c>
    </row>
    <row r="1986" spans="13:13">
      <c r="M1986">
        <f t="shared" si="44"/>
      </c>
    </row>
    <row r="1987" spans="13:13">
      <c r="M1987">
        <f t="shared" si="44"/>
      </c>
    </row>
    <row r="1988" spans="13:13">
      <c r="M1988">
        <f t="shared" si="44"/>
      </c>
    </row>
    <row r="1989" spans="13:13">
      <c r="M1989">
        <f t="shared" ref="M1989:M2000" si="45">IF(A1989="","", WEEKNUM(A1989, 2))</f>
      </c>
    </row>
    <row r="1990" spans="13:13">
      <c r="M1990">
        <f t="shared" si="45"/>
      </c>
    </row>
    <row r="1991" spans="13:13">
      <c r="M1991">
        <f t="shared" si="45"/>
      </c>
    </row>
    <row r="1992" spans="13:13">
      <c r="M1992">
        <f t="shared" si="45"/>
      </c>
    </row>
    <row r="1993" spans="13:13">
      <c r="M1993">
        <f t="shared" si="45"/>
      </c>
    </row>
    <row r="1994" spans="13:13">
      <c r="M1994">
        <f t="shared" si="45"/>
      </c>
    </row>
    <row r="1995" spans="13:13">
      <c r="M1995">
        <f t="shared" si="45"/>
      </c>
    </row>
    <row r="1996" spans="13:13">
      <c r="M1996">
        <f t="shared" si="45"/>
      </c>
    </row>
    <row r="1997" spans="13:13">
      <c r="M1997">
        <f t="shared" si="45"/>
      </c>
    </row>
    <row r="1998" spans="13:13">
      <c r="M1998">
        <f t="shared" si="45"/>
      </c>
    </row>
    <row r="1999" spans="13:13">
      <c r="M1999">
        <f t="shared" si="45"/>
      </c>
    </row>
    <row r="2000" spans="13:13">
      <c r="M2000">
        <f t="shared" si="45"/>
      </c>
    </row>
  </sheetData>
  <mergeCells count="1">
    <mergeCell ref="A1:P1"/>
  </mergeCells>
  <phoneticPr fontId="4" type="noConversion"/>
  <dataValidations count="1">
    <dataValidation sqref="E5:E206" xr:uid="{597FAB9B-4AE1-4589-AFC7-A047EBDF2DEF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conómico no válido" error="undefined" promptTitle="undefined" prompt="undefined" xr:uid="{00000000-0002-0000-0400-000002000000}">
          <x14:formula1>
            <xm:f>Catalogos!$J$4:$J$46</xm:f>
          </x14:formula1>
          <xm:sqref>E5:E1000</xm:sqref>
        </x14:dataValidation>
        <x14:dataValidation type="list" xr:uid="{248232D5-147E-4FF7-B345-8C08FF393CE6}">
          <x14:formula1>
            <xm:f>Catalogos!$F$4:$F$19</xm:f>
          </x14:formula1>
          <xm:sqref>B35:B1048576 B5:B33</xm:sqref>
        </x14:dataValidation>
        <x14:dataValidation type="list" xr:uid="{F753C10F-5F1B-4FF7-A00D-136B1E9554D9}">
          <x14:formula1>
            <xm:f>Catalogos!$B$4:$B$14</xm:f>
          </x14:formula1>
          <xm:sqref>C35:C1048576 C5:C33</xm:sqref>
        </x14:dataValidation>
        <x14:dataValidation type="list" allowBlank="1" showInputMessage="1" showErrorMessage="1" xr:uid="{7BD9E114-76CB-4DD6-AA73-BED3812F7D73}">
          <x14:formula1>
            <xm:f>Catalogos!$V$4:$V$67</xm:f>
          </x14:formula1>
          <xm:sqref>D5:D1048576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C5F0-B77C-424C-9FE0-D47F0EA2BAD3}">
  <sheetPr/>
  <sheetViews>
    <sheetView topLeftCell="A285" workbookViewId="0">
      <selection activeCell="B315" sqref="B315"/>
    </sheetView>
  </sheetViews>
  <sheetFormatPr baseColWidth="10" defaultColWidth="8.796875" defaultRowHeight="13.8"/>
  <cols>
    <col min="1" max="1" width="13" style="2" customWidth="1"/>
    <col min="2" max="2" width="20" customWidth="1"/>
    <col min="3" max="3" width="17" style="2" customWidth="1"/>
    <col min="4" max="4" width="22" customWidth="1"/>
    <col min="5" max="5" width="14" customWidth="1"/>
    <col min="6" max="6" width="14" style="6" customWidth="1"/>
    <col min="7" max="7" width="12" customWidth="1"/>
    <col min="8" max="8" width="14" customWidth="1"/>
    <col min="9" max="9" width="25" customWidth="1"/>
    <col min="10" max="10" width="16" customWidth="1"/>
    <col min="11" max="11" width="30" hidden="1" customWidth="1"/>
  </cols>
  <sheetData>
    <row r="1" spans="1:11" ht="22.35" customHeight="1">
      <c r="A1" t="s" s="25171">
        <v>64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</row>
    <row r="2" spans="1:11">
      <c r="A2" t="s">
        <v>31</v>
      </c>
      <c r="C2" t="s">
        <v>6</v>
      </c>
      <c r="E2" t="s">
        <v>7</v>
      </c>
      <c r="F2"/>
      <c r="G2" t="s">
        <v>32</v>
      </c>
      <c r="I2" t="s">
        <v>24</v>
      </c>
    </row>
    <row r="3" spans="1:11">
      <c r="A3"/>
      <c r="C3"/>
      <c r="F3"/>
    </row>
    <row r="4" spans="1:11" ht="27.6">
      <c r="A4" t="s" s="1">
        <v>75</v>
      </c>
      <c r="B4" t="s" s="1">
        <v>0</v>
      </c>
      <c r="C4" t="s" s="1">
        <v>74</v>
      </c>
      <c r="D4" t="s" s="1">
        <v>27</v>
      </c>
      <c r="E4" t="s" s="1">
        <v>28</v>
      </c>
      <c r="F4" t="s" s="17654">
        <v>67</v>
      </c>
      <c r="G4" t="s" s="1">
        <v>17</v>
      </c>
      <c r="H4" t="s" s="1">
        <v>18</v>
      </c>
      <c r="I4" t="s" s="1">
        <v>106</v>
      </c>
      <c r="J4" t="s" s="1">
        <v>36</v>
      </c>
      <c r="K4" t="s" s="1">
        <v>408</v>
      </c>
    </row>
    <row r="5" spans="1:11">
      <c r="A5" s="2">
        <v>46180</v>
      </c>
      <c r="B5" t="s">
        <v>1</v>
      </c>
      <c r="C5" s="2">
        <v>46181</v>
      </c>
      <c r="D5" t="s">
        <v>65</v>
      </c>
      <c r="E5">
        <f>VLOOKUP(TablaObra5[[#This Row],[Equipo]],Catalogos!$I$4:$J$64,2,FALSE)</f>
      </c>
      <c r="F5" s="6">
        <v>200</v>
      </c>
      <c r="G5" s="4">
        <v>27</v>
      </c>
      <c r="H5" s="4">
        <f t="shared" ref="H5:H70" si="0">IFERROR(F5*G5,0)</f>
      </c>
      <c r="I5">
        <f>VLOOKUP(TablaObra5[[#This Row],[Obra]],Catalogos!$B$3:$C$10,2,FALSE)</f>
      </c>
      <c r="K5">
        <v>24</v>
      </c>
    </row>
    <row r="6" spans="1:11">
      <c r="A6" s="2">
        <v>46180</v>
      </c>
      <c r="B6" t="s">
        <v>1</v>
      </c>
      <c r="C6" s="2">
        <v>46181</v>
      </c>
      <c r="D6" t="s">
        <v>69</v>
      </c>
      <c r="E6">
        <f>VLOOKUP(TablaObra5[[#This Row],[Equipo]],Catalogos!$I$4:$J$64,2,FALSE)</f>
      </c>
      <c r="F6" s="6">
        <v>300</v>
      </c>
      <c r="G6" s="4">
        <v>27</v>
      </c>
      <c r="H6" s="4">
        <f t="shared" si="0"/>
      </c>
      <c r="I6">
        <f>VLOOKUP(TablaObra5[[#This Row],[Obra]],Catalogos!$B$3:$C$10,2,FALSE)</f>
      </c>
      <c r="K6">
        <v>24</v>
      </c>
    </row>
    <row r="7" spans="1:11">
      <c r="A7" s="2">
        <v>46180</v>
      </c>
      <c r="B7" t="s">
        <v>1</v>
      </c>
      <c r="C7" s="2">
        <v>46181</v>
      </c>
      <c r="D7" t="s">
        <v>56</v>
      </c>
      <c r="E7">
        <f>VLOOKUP(TablaObra5[[#This Row],[Equipo]],Catalogos!$I$4:$J$64,2,FALSE)</f>
      </c>
      <c r="F7" s="6">
        <v>30</v>
      </c>
      <c r="G7" s="4">
        <v>27</v>
      </c>
      <c r="H7" s="4">
        <f t="shared" si="0"/>
      </c>
      <c r="I7">
        <f>VLOOKUP(TablaObra5[[#This Row],[Obra]],Catalogos!$B$3:$C$10,2,FALSE)</f>
      </c>
      <c r="K7">
        <v>24</v>
      </c>
    </row>
    <row r="8" spans="1:11">
      <c r="A8" s="2">
        <v>46180</v>
      </c>
      <c r="B8" t="s">
        <v>1</v>
      </c>
      <c r="C8" s="2">
        <v>46181</v>
      </c>
      <c r="D8" t="s">
        <v>70</v>
      </c>
      <c r="E8">
        <f>VLOOKUP(TablaObra5[[#This Row],[Equipo]],Catalogos!$I$4:$J$64,2,FALSE)</f>
      </c>
      <c r="F8" s="6">
        <v>20</v>
      </c>
      <c r="G8" s="4">
        <v>27</v>
      </c>
      <c r="H8" s="4">
        <f t="shared" si="0"/>
      </c>
      <c r="I8">
        <f>VLOOKUP(TablaObra5[[#This Row],[Obra]],Catalogos!$B$3:$C$10,2,FALSE)</f>
      </c>
      <c r="K8">
        <v>24</v>
      </c>
    </row>
    <row r="9" spans="1:11">
      <c r="A9" s="2">
        <v>46180</v>
      </c>
      <c r="B9" t="s">
        <v>1</v>
      </c>
      <c r="C9" s="2">
        <v>46181</v>
      </c>
      <c r="D9" t="s">
        <v>85</v>
      </c>
      <c r="E9">
        <f>VLOOKUP(TablaObra5[[#This Row],[Equipo]],Catalogos!$I$4:$J$64,2,FALSE)</f>
      </c>
      <c r="F9" s="6">
        <v>30</v>
      </c>
      <c r="G9" s="4">
        <v>27</v>
      </c>
      <c r="H9" s="4">
        <f t="shared" si="0"/>
      </c>
      <c r="I9">
        <f>VLOOKUP(TablaObra5[[#This Row],[Obra]],Catalogos!$B$3:$C$10,2,FALSE)</f>
      </c>
      <c r="K9">
        <v>24</v>
      </c>
    </row>
    <row r="10" spans="1:11">
      <c r="A10" s="2">
        <v>46180</v>
      </c>
      <c r="B10" t="s">
        <v>1</v>
      </c>
      <c r="C10" s="2">
        <v>46181</v>
      </c>
      <c r="D10" t="s">
        <v>48</v>
      </c>
      <c r="E10">
        <f>VLOOKUP(TablaObra5[[#This Row],[Equipo]],Catalogos!$I$4:$J$64,2,FALSE)</f>
      </c>
      <c r="F10" s="6">
        <v>30</v>
      </c>
      <c r="G10" s="4">
        <v>27</v>
      </c>
      <c r="H10" s="4">
        <f t="shared" si="0"/>
      </c>
      <c r="I10">
        <f>VLOOKUP(TablaObra5[[#This Row],[Obra]],Catalogos!$B$3:$C$10,2,FALSE)</f>
      </c>
      <c r="K10">
        <v>24</v>
      </c>
    </row>
    <row r="11" spans="1:11">
      <c r="A11" s="2">
        <v>46180</v>
      </c>
      <c r="B11" t="s">
        <v>1</v>
      </c>
      <c r="C11" s="2">
        <v>46181</v>
      </c>
      <c r="D11" t="s">
        <v>102</v>
      </c>
      <c r="E11">
        <f>VLOOKUP(TablaObra5[[#This Row],[Equipo]],Catalogos!$I$4:$J$64,2,FALSE)</f>
      </c>
      <c r="F11" s="6">
        <v>30</v>
      </c>
      <c r="G11" s="4">
        <v>27</v>
      </c>
      <c r="H11" s="4">
        <f t="shared" si="0"/>
      </c>
      <c r="I11">
        <f>VLOOKUP(TablaObra5[[#This Row],[Obra]],Catalogos!$B$3:$C$10,2,FALSE)</f>
      </c>
      <c r="K11">
        <v>24</v>
      </c>
    </row>
    <row r="12" spans="1:11">
      <c r="A12" s="2">
        <v>46180</v>
      </c>
      <c r="B12" t="s">
        <v>2</v>
      </c>
      <c r="C12" s="2">
        <v>46181</v>
      </c>
      <c r="D12" t="s">
        <v>56</v>
      </c>
      <c r="E12">
        <f>VLOOKUP(TablaObra5[[#This Row],[Equipo]],Catalogos!$I$4:$J$64,2,FALSE)</f>
      </c>
      <c r="F12" s="6">
        <v>50</v>
      </c>
      <c r="G12" s="4">
        <v>27</v>
      </c>
      <c r="H12" s="4">
        <f t="shared" si="0"/>
      </c>
      <c r="I12">
        <f>VLOOKUP(TablaObra5[[#This Row],[Obra]],Catalogos!$B$3:$C$10,2,FALSE)</f>
      </c>
      <c r="K12">
        <v>24</v>
      </c>
    </row>
    <row r="13" spans="1:11">
      <c r="A13" s="2">
        <v>46180</v>
      </c>
      <c r="B13" t="s">
        <v>2</v>
      </c>
      <c r="C13" s="2">
        <v>46181</v>
      </c>
      <c r="D13" t="s">
        <v>85</v>
      </c>
      <c r="E13">
        <f>VLOOKUP(TablaObra5[[#This Row],[Equipo]],Catalogos!$I$4:$J$64,2,FALSE)</f>
      </c>
      <c r="F13" s="6">
        <v>50</v>
      </c>
      <c r="G13" s="4">
        <v>27</v>
      </c>
      <c r="H13" s="4">
        <f t="shared" si="0"/>
      </c>
      <c r="I13">
        <f>VLOOKUP(TablaObra5[[#This Row],[Obra]],Catalogos!$B$3:$C$10,2,FALSE)</f>
      </c>
      <c r="K13">
        <v>24</v>
      </c>
    </row>
    <row r="14" spans="1:11">
      <c r="A14" s="2">
        <v>46180</v>
      </c>
      <c r="B14" t="s">
        <v>2</v>
      </c>
      <c r="C14" s="2">
        <v>46181</v>
      </c>
      <c r="D14" t="s">
        <v>60</v>
      </c>
      <c r="E14">
        <f>VLOOKUP(TablaObra5[[#This Row],[Equipo]],Catalogos!$I$4:$J$64,2,FALSE)</f>
      </c>
      <c r="F14" s="6">
        <v>60</v>
      </c>
      <c r="G14" s="4">
        <v>27</v>
      </c>
      <c r="H14" s="4">
        <f t="shared" si="0"/>
      </c>
      <c r="I14">
        <f>VLOOKUP(TablaObra5[[#This Row],[Obra]],Catalogos!$B$3:$C$10,2,FALSE)</f>
      </c>
      <c r="K14">
        <v>24</v>
      </c>
    </row>
    <row r="15" spans="1:11">
      <c r="A15" s="2">
        <v>46181</v>
      </c>
      <c r="B15" t="s">
        <v>111</v>
      </c>
      <c r="D15" t="s">
        <v>56</v>
      </c>
      <c r="E15">
        <f>VLOOKUP(TablaObra5[[#This Row],[Equipo]],Catalogos!$I$4:$J$64,2,FALSE)</f>
      </c>
      <c r="F15" s="6">
        <v>100</v>
      </c>
      <c r="G15" s="4">
        <v>27</v>
      </c>
      <c r="H15" s="4">
        <f>IFERROR(F15*G15,0)</f>
      </c>
      <c r="I15">
        <f>VLOOKUP(TablaObra5[[#This Row],[Obra]],Catalogos!$B$3:$C$10,2,FALSE)</f>
      </c>
      <c r="K15">
        <v>24</v>
      </c>
    </row>
    <row r="16" spans="1:11">
      <c r="A16" s="2">
        <v>46181</v>
      </c>
      <c r="B16" t="s">
        <v>3</v>
      </c>
      <c r="C16" s="2">
        <v>46181</v>
      </c>
      <c r="D16" t="s">
        <v>76</v>
      </c>
      <c r="E16">
        <f>VLOOKUP(TablaObra5[[#This Row],[Equipo]],Catalogos!$I$4:$J$64,2,FALSE)</f>
      </c>
      <c r="F16" s="6">
        <v>250</v>
      </c>
      <c r="G16" s="4">
        <v>27</v>
      </c>
      <c r="H16" s="4">
        <f t="shared" si="0"/>
      </c>
      <c r="I16">
        <f>VLOOKUP(TablaObra5[[#This Row],[Obra]],Catalogos!$B$3:$C$10,2,FALSE)</f>
      </c>
      <c r="K16">
        <v>24</v>
      </c>
    </row>
    <row r="17" spans="1:11">
      <c r="A17" s="2">
        <v>46181</v>
      </c>
      <c r="B17" t="s">
        <v>3</v>
      </c>
      <c r="C17" s="2">
        <v>46181</v>
      </c>
      <c r="D17" t="s">
        <v>78</v>
      </c>
      <c r="E17">
        <f>VLOOKUP(TablaObra5[[#This Row],[Equipo]],Catalogos!$I$4:$J$64,2,FALSE)</f>
      </c>
      <c r="F17" s="6">
        <v>150</v>
      </c>
      <c r="G17" s="4">
        <v>27</v>
      </c>
      <c r="H17" s="4">
        <f t="shared" si="0"/>
      </c>
      <c r="I17">
        <f>VLOOKUP(TablaObra5[[#This Row],[Obra]],Catalogos!$B$3:$C$10,2,FALSE)</f>
      </c>
      <c r="K17">
        <v>24</v>
      </c>
    </row>
    <row r="18" spans="1:11">
      <c r="A18" s="2">
        <v>46181</v>
      </c>
      <c r="B18" t="s">
        <v>3</v>
      </c>
      <c r="C18" s="2">
        <v>46181</v>
      </c>
      <c r="D18" t="s">
        <v>79</v>
      </c>
      <c r="E18">
        <f>VLOOKUP(TablaObra5[[#This Row],[Equipo]],Catalogos!$I$4:$J$64,2,FALSE)</f>
      </c>
      <c r="F18" s="6">
        <v>40</v>
      </c>
      <c r="G18" s="4">
        <v>27</v>
      </c>
      <c r="H18" s="4">
        <f t="shared" si="0"/>
      </c>
      <c r="I18">
        <f>VLOOKUP(TablaObra5[[#This Row],[Obra]],Catalogos!$B$3:$C$10,2,FALSE)</f>
      </c>
      <c r="K18">
        <v>24</v>
      </c>
    </row>
    <row r="19" spans="1:11">
      <c r="A19" s="2">
        <v>46181</v>
      </c>
      <c r="B19" t="s">
        <v>3</v>
      </c>
      <c r="C19" s="2">
        <v>46181</v>
      </c>
      <c r="D19" t="s">
        <v>81</v>
      </c>
      <c r="E19">
        <f>VLOOKUP(TablaObra5[[#This Row],[Equipo]],Catalogos!$I$4:$J$64,2,FALSE)</f>
      </c>
      <c r="F19" s="6">
        <v>60</v>
      </c>
      <c r="G19" s="4">
        <v>27</v>
      </c>
      <c r="H19" s="4">
        <f t="shared" si="0"/>
      </c>
      <c r="I19">
        <f>VLOOKUP(TablaObra5[[#This Row],[Obra]],Catalogos!$B$3:$C$10,2,FALSE)</f>
      </c>
      <c r="K19">
        <v>24</v>
      </c>
    </row>
    <row r="20" spans="1:11">
      <c r="A20" s="2">
        <v>46181</v>
      </c>
      <c r="B20" t="s">
        <v>3</v>
      </c>
      <c r="C20" s="2">
        <v>46181</v>
      </c>
      <c r="D20" t="s">
        <v>83</v>
      </c>
      <c r="E20">
        <f>VLOOKUP(TablaObra5[[#This Row],[Equipo]],Catalogos!$I$4:$J$64,2,FALSE)</f>
      </c>
      <c r="F20" s="6">
        <v>100</v>
      </c>
      <c r="G20" s="4">
        <v>27</v>
      </c>
      <c r="H20" s="4">
        <f t="shared" si="0"/>
      </c>
      <c r="I20">
        <f>VLOOKUP(TablaObra5[[#This Row],[Obra]],Catalogos!$B$3:$C$10,2,FALSE)</f>
      </c>
      <c r="K20">
        <v>24</v>
      </c>
    </row>
    <row r="21" spans="1:11">
      <c r="A21" s="2">
        <v>46181</v>
      </c>
      <c r="B21" t="s">
        <v>3</v>
      </c>
      <c r="C21" s="2">
        <v>46181</v>
      </c>
      <c r="D21" t="s">
        <v>86</v>
      </c>
      <c r="E21">
        <f>VLOOKUP(TablaObra5[[#This Row],[Equipo]],Catalogos!$I$4:$J$64,2,FALSE)</f>
      </c>
      <c r="F21" s="6">
        <v>100</v>
      </c>
      <c r="G21" s="4">
        <v>27</v>
      </c>
      <c r="H21" s="4">
        <f t="shared" si="0"/>
      </c>
      <c r="I21">
        <f>VLOOKUP(TablaObra5[[#This Row],[Obra]],Catalogos!$B$3:$C$10,2,FALSE)</f>
      </c>
      <c r="K21">
        <v>24</v>
      </c>
    </row>
    <row r="22" spans="1:11">
      <c r="A22" s="2">
        <v>46181</v>
      </c>
      <c r="B22" t="s">
        <v>3</v>
      </c>
      <c r="C22" s="2">
        <v>46181</v>
      </c>
      <c r="D22" t="s">
        <v>102</v>
      </c>
      <c r="E22">
        <f>VLOOKUP(TablaObra5[[#This Row],[Equipo]],Catalogos!$I$4:$J$64,2,FALSE)</f>
      </c>
      <c r="F22" s="6">
        <v>20</v>
      </c>
      <c r="G22" s="4">
        <v>27</v>
      </c>
      <c r="H22" s="4">
        <f t="shared" si="0"/>
      </c>
      <c r="I22">
        <f>VLOOKUP(TablaObra5[[#This Row],[Obra]],Catalogos!$B$3:$C$10,2,FALSE)</f>
      </c>
      <c r="K22">
        <v>24</v>
      </c>
    </row>
    <row r="23" spans="1:11">
      <c r="A23" s="2">
        <v>46181</v>
      </c>
      <c r="B23" t="s">
        <v>3</v>
      </c>
      <c r="C23" s="2">
        <v>46181</v>
      </c>
      <c r="D23" t="s">
        <v>88</v>
      </c>
      <c r="E23">
        <f>VLOOKUP(TablaObra5[[#This Row],[Equipo]],Catalogos!$I$4:$J$64,2,FALSE)</f>
      </c>
      <c r="F23" s="6">
        <v>50</v>
      </c>
      <c r="G23" s="4">
        <v>27</v>
      </c>
      <c r="H23" s="4">
        <f t="shared" si="0"/>
      </c>
      <c r="I23">
        <f>VLOOKUP(TablaObra5[[#This Row],[Obra]],Catalogos!$B$3:$C$10,2,FALSE)</f>
      </c>
      <c r="K23">
        <v>24</v>
      </c>
    </row>
    <row r="24" spans="1:11">
      <c r="A24" s="2">
        <v>46181</v>
      </c>
      <c r="B24" t="s">
        <v>3</v>
      </c>
      <c r="C24" s="2">
        <v>46181</v>
      </c>
      <c r="D24" t="s">
        <v>90</v>
      </c>
      <c r="E24">
        <f>VLOOKUP(TablaObra5[[#This Row],[Equipo]],Catalogos!$I$4:$J$64,2,FALSE)</f>
      </c>
      <c r="F24" s="6">
        <v>50</v>
      </c>
      <c r="G24" s="4">
        <v>27</v>
      </c>
      <c r="H24" s="4">
        <f t="shared" si="0"/>
      </c>
      <c r="I24">
        <f>VLOOKUP(TablaObra5[[#This Row],[Obra]],Catalogos!$B$3:$C$10,2,FALSE)</f>
      </c>
      <c r="K24">
        <v>24</v>
      </c>
    </row>
    <row r="25" spans="1:11">
      <c r="A25" s="2">
        <v>46181</v>
      </c>
      <c r="B25" t="s">
        <v>3</v>
      </c>
      <c r="C25" s="2">
        <v>46181</v>
      </c>
      <c r="D25" t="s">
        <v>92</v>
      </c>
      <c r="E25">
        <f>VLOOKUP(TablaObra5[[#This Row],[Equipo]],Catalogos!$I$4:$J$64,2,FALSE)</f>
      </c>
      <c r="F25" s="6">
        <v>50</v>
      </c>
      <c r="G25" s="4">
        <v>27</v>
      </c>
      <c r="H25" s="4">
        <f t="shared" si="0"/>
      </c>
      <c r="I25">
        <f>VLOOKUP(TablaObra5[[#This Row],[Obra]],Catalogos!$B$3:$C$10,2,FALSE)</f>
      </c>
      <c r="K25">
        <v>24</v>
      </c>
    </row>
    <row r="26" spans="1:11">
      <c r="A26" s="2">
        <v>46181</v>
      </c>
      <c r="B26" t="s">
        <v>3</v>
      </c>
      <c r="C26" s="2">
        <v>46181</v>
      </c>
      <c r="D26" t="s">
        <v>94</v>
      </c>
      <c r="E26">
        <f>VLOOKUP(TablaObra5[[#This Row],[Equipo]],Catalogos!$I$4:$J$64,2,FALSE)</f>
      </c>
      <c r="F26" s="6">
        <v>20</v>
      </c>
      <c r="G26" s="4">
        <v>27</v>
      </c>
      <c r="H26" s="4">
        <f t="shared" si="0"/>
      </c>
      <c r="I26">
        <f>VLOOKUP(TablaObra5[[#This Row],[Obra]],Catalogos!$B$3:$C$10,2,FALSE)</f>
      </c>
      <c r="K26">
        <v>24</v>
      </c>
    </row>
    <row r="27" spans="1:11">
      <c r="A27" s="2">
        <v>46181</v>
      </c>
      <c r="B27" t="s">
        <v>3</v>
      </c>
      <c r="C27" s="2">
        <v>46181</v>
      </c>
      <c r="D27" t="s">
        <v>96</v>
      </c>
      <c r="E27">
        <f>VLOOKUP(TablaObra5[[#This Row],[Equipo]],Catalogos!$I$4:$J$64,2,FALSE)</f>
      </c>
      <c r="F27" s="6">
        <v>50</v>
      </c>
      <c r="G27" s="4">
        <v>27</v>
      </c>
      <c r="H27" s="4">
        <f t="shared" si="0"/>
      </c>
      <c r="I27">
        <f>VLOOKUP(TablaObra5[[#This Row],[Obra]],Catalogos!$B$3:$C$10,2,FALSE)</f>
      </c>
      <c r="K27">
        <v>24</v>
      </c>
    </row>
    <row r="28" spans="1:11">
      <c r="A28" s="2">
        <v>46181</v>
      </c>
      <c r="B28" t="s">
        <v>3</v>
      </c>
      <c r="C28" s="2">
        <v>46181</v>
      </c>
      <c r="D28" t="s">
        <v>98</v>
      </c>
      <c r="E28">
        <f>VLOOKUP(TablaObra5[[#This Row],[Equipo]],Catalogos!$I$4:$J$64,2,FALSE)</f>
      </c>
      <c r="F28" s="6">
        <v>40</v>
      </c>
      <c r="G28" s="4">
        <v>27</v>
      </c>
      <c r="H28" s="4">
        <f t="shared" si="0"/>
      </c>
      <c r="I28">
        <f>VLOOKUP(TablaObra5[[#This Row],[Obra]],Catalogos!$B$3:$C$10,2,FALSE)</f>
      </c>
      <c r="K28">
        <v>24</v>
      </c>
    </row>
    <row r="29" spans="1:11">
      <c r="A29" s="2">
        <v>46181</v>
      </c>
      <c r="B29" t="s">
        <v>3</v>
      </c>
      <c r="C29" s="2">
        <v>46181</v>
      </c>
      <c r="D29" t="s">
        <v>100</v>
      </c>
      <c r="E29">
        <f>VLOOKUP(TablaObra5[[#This Row],[Equipo]],Catalogos!$I$4:$J$64,2,FALSE)</f>
      </c>
      <c r="F29" s="6">
        <v>10</v>
      </c>
      <c r="G29" s="4">
        <v>27</v>
      </c>
      <c r="H29" s="4">
        <f t="shared" si="0"/>
      </c>
      <c r="I29">
        <f>VLOOKUP(TablaObra5[[#This Row],[Obra]],Catalogos!$B$3:$C$10,2,FALSE)</f>
      </c>
      <c r="K29">
        <v>24</v>
      </c>
    </row>
    <row r="30" spans="1:11">
      <c r="A30" s="2">
        <v>46182</v>
      </c>
      <c r="B30" t="s">
        <v>3</v>
      </c>
      <c r="C30" s="2">
        <v>46182</v>
      </c>
      <c r="D30" t="s">
        <v>76</v>
      </c>
      <c r="E30">
        <f>VLOOKUP(TablaObra5[[#This Row],[Equipo]],Catalogos!$I$4:$J$64,2,FALSE)</f>
      </c>
      <c r="F30" s="6">
        <v>250</v>
      </c>
      <c r="G30" s="4">
        <v>27</v>
      </c>
      <c r="H30" s="4">
        <f t="shared" si="0"/>
      </c>
      <c r="I30">
        <f>VLOOKUP(TablaObra5[[#This Row],[Obra]],Catalogos!$B$3:$C$10,2,FALSE)</f>
      </c>
      <c r="K30">
        <v>24</v>
      </c>
    </row>
    <row r="31" spans="1:11">
      <c r="A31" s="2">
        <v>46182</v>
      </c>
      <c r="B31" t="s">
        <v>3</v>
      </c>
      <c r="C31" s="2">
        <v>46182</v>
      </c>
      <c r="D31" t="s">
        <v>79</v>
      </c>
      <c r="E31">
        <f>VLOOKUP(TablaObra5[[#This Row],[Equipo]],Catalogos!$I$4:$J$64,2,FALSE)</f>
      </c>
      <c r="F31" s="6">
        <v>40</v>
      </c>
      <c r="G31" s="4">
        <v>27</v>
      </c>
      <c r="H31" s="4">
        <f t="shared" si="0"/>
      </c>
      <c r="I31">
        <f>VLOOKUP(TablaObra5[[#This Row],[Obra]],Catalogos!$B$3:$C$10,2,FALSE)</f>
      </c>
      <c r="K31">
        <v>24</v>
      </c>
    </row>
    <row r="32" spans="1:11">
      <c r="A32" s="2">
        <v>46182</v>
      </c>
      <c r="B32" t="s">
        <v>3</v>
      </c>
      <c r="C32" s="2">
        <v>46182</v>
      </c>
      <c r="D32" t="s">
        <v>81</v>
      </c>
      <c r="E32">
        <f>VLOOKUP(TablaObra5[[#This Row],[Equipo]],Catalogos!$I$4:$J$64,2,FALSE)</f>
      </c>
      <c r="F32" s="6">
        <v>60</v>
      </c>
      <c r="G32" s="4">
        <v>27</v>
      </c>
      <c r="H32" s="4">
        <f t="shared" si="0"/>
      </c>
      <c r="I32">
        <f>VLOOKUP(TablaObra5[[#This Row],[Obra]],Catalogos!$B$3:$C$10,2,FALSE)</f>
      </c>
      <c r="K32">
        <v>24</v>
      </c>
    </row>
    <row r="33" spans="1:11">
      <c r="A33" s="2">
        <v>46182</v>
      </c>
      <c r="B33" t="s">
        <v>3</v>
      </c>
      <c r="C33" s="2">
        <v>46182</v>
      </c>
      <c r="D33" t="s">
        <v>83</v>
      </c>
      <c r="E33">
        <f>VLOOKUP(TablaObra5[[#This Row],[Equipo]],Catalogos!$I$4:$J$64,2,FALSE)</f>
      </c>
      <c r="F33" s="6">
        <v>100</v>
      </c>
      <c r="G33" s="4">
        <v>27</v>
      </c>
      <c r="H33" s="4">
        <f t="shared" si="0"/>
      </c>
      <c r="I33">
        <f>VLOOKUP(TablaObra5[[#This Row],[Obra]],Catalogos!$B$3:$C$10,2,FALSE)</f>
      </c>
      <c r="K33">
        <v>24</v>
      </c>
    </row>
    <row r="34" spans="1:11">
      <c r="A34" s="2">
        <v>46182</v>
      </c>
      <c r="B34" t="s">
        <v>3</v>
      </c>
      <c r="C34" s="2">
        <v>46182</v>
      </c>
      <c r="D34" t="s">
        <v>86</v>
      </c>
      <c r="E34">
        <f>VLOOKUP(TablaObra5[[#This Row],[Equipo]],Catalogos!$I$4:$J$64,2,FALSE)</f>
      </c>
      <c r="F34" s="6">
        <v>100</v>
      </c>
      <c r="G34" s="4">
        <v>27</v>
      </c>
      <c r="H34" s="4">
        <f t="shared" si="0"/>
      </c>
      <c r="I34">
        <f>VLOOKUP(TablaObra5[[#This Row],[Obra]],Catalogos!$B$3:$C$10,2,FALSE)</f>
      </c>
      <c r="K34">
        <v>24</v>
      </c>
    </row>
    <row r="35" spans="1:11">
      <c r="A35" s="2">
        <v>46182</v>
      </c>
      <c r="B35" t="s">
        <v>3</v>
      </c>
      <c r="C35" s="2">
        <v>46182</v>
      </c>
      <c r="D35" t="s">
        <v>102</v>
      </c>
      <c r="E35">
        <f>VLOOKUP(TablaObra5[[#This Row],[Equipo]],Catalogos!$I$4:$J$64,2,FALSE)</f>
      </c>
      <c r="F35" s="6">
        <v>20</v>
      </c>
      <c r="G35" s="4">
        <v>27</v>
      </c>
      <c r="H35" s="4">
        <f t="shared" si="0"/>
      </c>
      <c r="I35">
        <f>VLOOKUP(TablaObra5[[#This Row],[Obra]],Catalogos!$B$3:$C$10,2,FALSE)</f>
      </c>
      <c r="K35">
        <v>24</v>
      </c>
    </row>
    <row r="36" spans="1:11">
      <c r="A36" s="2">
        <v>46182</v>
      </c>
      <c r="B36" t="s">
        <v>3</v>
      </c>
      <c r="C36" s="2">
        <v>46182</v>
      </c>
      <c r="D36" t="s">
        <v>88</v>
      </c>
      <c r="E36">
        <f>VLOOKUP(TablaObra5[[#This Row],[Equipo]],Catalogos!$I$4:$J$64,2,FALSE)</f>
      </c>
      <c r="F36" s="6">
        <v>50</v>
      </c>
      <c r="G36" s="4">
        <v>27</v>
      </c>
      <c r="H36" s="4">
        <f t="shared" si="0"/>
      </c>
      <c r="I36">
        <f>VLOOKUP(TablaObra5[[#This Row],[Obra]],Catalogos!$B$3:$C$10,2,FALSE)</f>
      </c>
      <c r="K36">
        <v>24</v>
      </c>
    </row>
    <row r="37" spans="1:11">
      <c r="A37" s="2">
        <v>46182</v>
      </c>
      <c r="B37" t="s">
        <v>3</v>
      </c>
      <c r="C37" s="2">
        <v>46182</v>
      </c>
      <c r="D37" t="s">
        <v>90</v>
      </c>
      <c r="E37">
        <f>VLOOKUP(TablaObra5[[#This Row],[Equipo]],Catalogos!$I$4:$J$64,2,FALSE)</f>
      </c>
      <c r="F37" s="6">
        <v>50</v>
      </c>
      <c r="G37" s="4">
        <v>27</v>
      </c>
      <c r="H37" s="4">
        <f t="shared" si="0"/>
      </c>
      <c r="I37">
        <f>VLOOKUP(TablaObra5[[#This Row],[Obra]],Catalogos!$B$3:$C$10,2,FALSE)</f>
      </c>
      <c r="K37">
        <v>24</v>
      </c>
    </row>
    <row r="38" spans="1:11">
      <c r="A38" s="2">
        <v>46182</v>
      </c>
      <c r="B38" t="s">
        <v>3</v>
      </c>
      <c r="C38" s="2">
        <v>46182</v>
      </c>
      <c r="D38" t="s">
        <v>92</v>
      </c>
      <c r="E38">
        <f>VLOOKUP(TablaObra5[[#This Row],[Equipo]],Catalogos!$I$4:$J$64,2,FALSE)</f>
      </c>
      <c r="F38" s="6">
        <v>50</v>
      </c>
      <c r="G38" s="4">
        <v>27</v>
      </c>
      <c r="H38" s="4">
        <f t="shared" si="0"/>
      </c>
      <c r="I38">
        <f>VLOOKUP(TablaObra5[[#This Row],[Obra]],Catalogos!$B$3:$C$10,2,FALSE)</f>
      </c>
      <c r="K38">
        <v>24</v>
      </c>
    </row>
    <row r="39" spans="1:11">
      <c r="A39" s="2">
        <v>46182</v>
      </c>
      <c r="B39" t="s">
        <v>3</v>
      </c>
      <c r="C39" s="2">
        <v>46182</v>
      </c>
      <c r="D39" t="s">
        <v>96</v>
      </c>
      <c r="E39">
        <f>VLOOKUP(TablaObra5[[#This Row],[Equipo]],Catalogos!$I$4:$J$64,2,FALSE)</f>
      </c>
      <c r="F39" s="6">
        <v>40</v>
      </c>
      <c r="G39" s="4">
        <v>27</v>
      </c>
      <c r="H39" s="4">
        <f t="shared" si="0"/>
      </c>
      <c r="I39">
        <f>VLOOKUP(TablaObra5[[#This Row],[Obra]],Catalogos!$B$3:$C$10,2,FALSE)</f>
      </c>
      <c r="K39">
        <v>24</v>
      </c>
    </row>
    <row r="40" spans="1:11">
      <c r="A40" s="2">
        <v>46182</v>
      </c>
      <c r="B40" t="s">
        <v>3</v>
      </c>
      <c r="C40" s="2">
        <v>46182</v>
      </c>
      <c r="D40" t="s">
        <v>98</v>
      </c>
      <c r="E40">
        <f>VLOOKUP(TablaObra5[[#This Row],[Equipo]],Catalogos!$I$4:$J$64,2,FALSE)</f>
      </c>
      <c r="F40" s="6">
        <v>30</v>
      </c>
      <c r="G40" s="4">
        <v>27</v>
      </c>
      <c r="H40" s="4">
        <f t="shared" si="0"/>
      </c>
      <c r="I40">
        <f>VLOOKUP(TablaObra5[[#This Row],[Obra]],Catalogos!$B$3:$C$10,2,FALSE)</f>
      </c>
      <c r="K40">
        <v>24</v>
      </c>
    </row>
    <row r="41" spans="1:11">
      <c r="A41" s="2">
        <v>46182</v>
      </c>
      <c r="B41" t="s">
        <v>2</v>
      </c>
      <c r="C41" s="2">
        <v>46182</v>
      </c>
      <c r="D41" t="s">
        <v>56</v>
      </c>
      <c r="E41">
        <f>VLOOKUP(TablaObra5[[#This Row],[Equipo]],Catalogos!$I$4:$J$64,2,FALSE)</f>
      </c>
      <c r="F41" s="6">
        <v>50</v>
      </c>
      <c r="G41" s="4">
        <v>27</v>
      </c>
      <c r="H41" s="4">
        <f t="shared" si="0"/>
      </c>
      <c r="I41">
        <f>VLOOKUP(TablaObra5[[#This Row],[Obra]],Catalogos!$B$3:$C$10,2,FALSE)</f>
      </c>
      <c r="K41">
        <v>24</v>
      </c>
    </row>
    <row r="42" spans="1:11">
      <c r="A42" s="2">
        <v>46182</v>
      </c>
      <c r="B42" t="s">
        <v>2</v>
      </c>
      <c r="C42" s="2">
        <v>46182</v>
      </c>
      <c r="D42" t="s">
        <v>85</v>
      </c>
      <c r="E42">
        <f>VLOOKUP(TablaObra5[[#This Row],[Equipo]],Catalogos!$I$4:$J$64,2,FALSE)</f>
      </c>
      <c r="F42" s="6">
        <v>50</v>
      </c>
      <c r="G42" s="4">
        <v>27</v>
      </c>
      <c r="H42" s="4">
        <f t="shared" si="0"/>
      </c>
      <c r="I42">
        <f>VLOOKUP(TablaObra5[[#This Row],[Obra]],Catalogos!$B$3:$C$10,2,FALSE)</f>
      </c>
      <c r="K42">
        <v>24</v>
      </c>
    </row>
    <row r="43" spans="1:11">
      <c r="A43" s="2">
        <v>46182</v>
      </c>
      <c r="B43" t="s">
        <v>2</v>
      </c>
      <c r="C43" s="2">
        <v>46182</v>
      </c>
      <c r="D43" t="s">
        <v>60</v>
      </c>
      <c r="E43">
        <f>VLOOKUP(TablaObra5[[#This Row],[Equipo]],Catalogos!$I$4:$J$64,2,FALSE)</f>
      </c>
      <c r="F43" s="6">
        <v>60</v>
      </c>
      <c r="G43" s="4">
        <v>27</v>
      </c>
      <c r="H43" s="4">
        <f t="shared" si="0"/>
      </c>
      <c r="I43">
        <f>VLOOKUP(TablaObra5[[#This Row],[Obra]],Catalogos!$B$3:$C$10,2,FALSE)</f>
      </c>
      <c r="K43">
        <v>24</v>
      </c>
    </row>
    <row r="44" spans="1:11">
      <c r="A44" s="2">
        <v>46182</v>
      </c>
      <c r="B44" t="s">
        <v>2</v>
      </c>
      <c r="C44" s="2">
        <v>46182</v>
      </c>
      <c r="D44" t="s">
        <v>104</v>
      </c>
      <c r="E44">
        <f>VLOOKUP(TablaObra5[[#This Row],[Equipo]],Catalogos!$I$4:$J$64,2,FALSE)</f>
      </c>
      <c r="F44" s="6">
        <v>50</v>
      </c>
      <c r="G44" s="4">
        <v>27</v>
      </c>
      <c r="H44" s="4">
        <f t="shared" si="0"/>
      </c>
      <c r="I44">
        <f>VLOOKUP(TablaObra5[[#This Row],[Obra]],Catalogos!$B$3:$C$10,2,FALSE)</f>
      </c>
      <c r="K44">
        <v>24</v>
      </c>
    </row>
    <row r="45" spans="1:11">
      <c r="A45" s="2">
        <v>46182</v>
      </c>
      <c r="B45" t="s">
        <v>111</v>
      </c>
      <c r="D45" t="s">
        <v>56</v>
      </c>
      <c r="E45">
        <f>VLOOKUP(TablaObra5[[#This Row],[Equipo]],Catalogos!$I$4:$J$64,2,FALSE)</f>
      </c>
      <c r="F45" s="6">
        <v>100</v>
      </c>
      <c r="G45" s="4">
        <v>27</v>
      </c>
      <c r="H45" s="4">
        <f>IFERROR(F45*G45,0)</f>
      </c>
      <c r="I45">
        <f>VLOOKUP(TablaObra5[[#This Row],[Obra]],Catalogos!$B$3:$C$10,2,FALSE)</f>
      </c>
      <c r="K45">
        <v>24</v>
      </c>
    </row>
    <row r="46" spans="1:11">
      <c r="A46" s="2">
        <v>46183</v>
      </c>
      <c r="B46" t="s">
        <v>1</v>
      </c>
      <c r="C46" s="2">
        <v>46183</v>
      </c>
      <c r="D46" t="s">
        <v>69</v>
      </c>
      <c r="E46">
        <f>VLOOKUP(TablaObra5[[#This Row],[Equipo]],Catalogos!$I$4:$J$64,2,FALSE)</f>
      </c>
      <c r="F46" s="6">
        <v>250</v>
      </c>
      <c r="G46" s="4">
        <v>27</v>
      </c>
      <c r="H46" s="4">
        <f t="shared" si="0"/>
      </c>
      <c r="I46">
        <f>VLOOKUP(TablaObra5[[#This Row],[Obra]],Catalogos!$B$3:$C$10,2,FALSE)</f>
      </c>
      <c r="K46">
        <v>24</v>
      </c>
    </row>
    <row r="47" spans="1:11">
      <c r="A47" s="2">
        <v>46183</v>
      </c>
      <c r="B47" t="s">
        <v>1</v>
      </c>
      <c r="C47" s="2">
        <v>46183</v>
      </c>
      <c r="D47" t="s">
        <v>56</v>
      </c>
      <c r="E47">
        <f>VLOOKUP(TablaObra5[[#This Row],[Equipo]],Catalogos!$I$4:$J$64,2,FALSE)</f>
      </c>
      <c r="F47" s="6">
        <v>30</v>
      </c>
      <c r="G47" s="4">
        <v>27</v>
      </c>
      <c r="H47" s="4">
        <f t="shared" si="0"/>
      </c>
      <c r="I47">
        <f>VLOOKUP(TablaObra5[[#This Row],[Obra]],Catalogos!$B$3:$C$10,2,FALSE)</f>
      </c>
      <c r="K47">
        <v>24</v>
      </c>
    </row>
    <row r="48" spans="1:11">
      <c r="A48" s="2">
        <v>46183</v>
      </c>
      <c r="B48" t="s">
        <v>1</v>
      </c>
      <c r="C48" s="2">
        <v>46183</v>
      </c>
      <c r="D48" t="s">
        <v>70</v>
      </c>
      <c r="E48">
        <f>VLOOKUP(TablaObra5[[#This Row],[Equipo]],Catalogos!$I$4:$J$64,2,FALSE)</f>
      </c>
      <c r="F48" s="6">
        <v>20</v>
      </c>
      <c r="G48" s="4">
        <v>27</v>
      </c>
      <c r="H48" s="4">
        <f t="shared" si="0"/>
      </c>
      <c r="I48">
        <f>VLOOKUP(TablaObra5[[#This Row],[Obra]],Catalogos!$B$3:$C$10,2,FALSE)</f>
      </c>
      <c r="K48">
        <v>24</v>
      </c>
    </row>
    <row r="49" spans="1:11">
      <c r="A49" s="2">
        <v>46183</v>
      </c>
      <c r="B49" t="s">
        <v>1</v>
      </c>
      <c r="C49" s="2">
        <v>46183</v>
      </c>
      <c r="D49" t="s">
        <v>96</v>
      </c>
      <c r="E49">
        <f>VLOOKUP(TablaObra5[[#This Row],[Equipo]],Catalogos!$I$4:$J$64,2,FALSE)</f>
      </c>
      <c r="F49" s="6">
        <v>20</v>
      </c>
      <c r="G49" s="4">
        <v>27</v>
      </c>
      <c r="H49" s="4">
        <f t="shared" si="0"/>
      </c>
      <c r="I49">
        <f>VLOOKUP(TablaObra5[[#This Row],[Obra]],Catalogos!$B$3:$C$10,2,FALSE)</f>
      </c>
      <c r="K49">
        <v>24</v>
      </c>
    </row>
    <row r="50" spans="1:11">
      <c r="A50" s="2">
        <v>46184</v>
      </c>
      <c r="B50" t="s">
        <v>2</v>
      </c>
      <c r="C50" s="2">
        <v>46184</v>
      </c>
      <c r="D50" t="s">
        <v>60</v>
      </c>
      <c r="E50">
        <f>VLOOKUP(TablaObra5[[#This Row],[Equipo]],Catalogos!$I$4:$J$64,2,FALSE)</f>
      </c>
      <c r="F50" s="6">
        <v>80</v>
      </c>
      <c r="G50" s="4">
        <v>27</v>
      </c>
      <c r="H50" s="4">
        <f t="shared" si="0"/>
      </c>
      <c r="I50">
        <f>VLOOKUP(TablaObra5[[#This Row],[Obra]],Catalogos!$B$3:$C$10,2,FALSE)</f>
      </c>
      <c r="K50">
        <v>24</v>
      </c>
    </row>
    <row r="51" spans="1:11">
      <c r="A51" s="2">
        <v>46184</v>
      </c>
      <c r="B51" t="s">
        <v>2</v>
      </c>
      <c r="C51" s="2">
        <v>46184</v>
      </c>
      <c r="D51" t="s">
        <v>94</v>
      </c>
      <c r="E51">
        <f>VLOOKUP(TablaObra5[[#This Row],[Equipo]],Catalogos!$I$4:$J$64,2,FALSE)</f>
      </c>
      <c r="F51" s="6">
        <v>80</v>
      </c>
      <c r="G51" s="4">
        <v>27</v>
      </c>
      <c r="H51" s="4">
        <f t="shared" si="0"/>
      </c>
      <c r="I51">
        <f>VLOOKUP(TablaObra5[[#This Row],[Obra]],Catalogos!$B$3:$C$10,2,FALSE)</f>
      </c>
      <c r="K51">
        <v>24</v>
      </c>
    </row>
    <row r="52" spans="1:11">
      <c r="A52" s="2">
        <v>46184</v>
      </c>
      <c r="B52" t="s">
        <v>2</v>
      </c>
      <c r="C52" s="2">
        <v>46184</v>
      </c>
      <c r="D52" t="s">
        <v>56</v>
      </c>
      <c r="E52">
        <f>VLOOKUP(TablaObra5[[#This Row],[Equipo]],Catalogos!$I$4:$J$64,2,FALSE)</f>
      </c>
      <c r="F52" s="6">
        <v>70</v>
      </c>
      <c r="G52" s="4">
        <v>27</v>
      </c>
      <c r="H52" s="4">
        <f t="shared" si="0"/>
      </c>
      <c r="I52">
        <f>VLOOKUP(TablaObra5[[#This Row],[Obra]],Catalogos!$B$3:$C$10,2,FALSE)</f>
      </c>
      <c r="K52">
        <v>24</v>
      </c>
    </row>
    <row r="53" spans="1:11">
      <c r="A53" s="2">
        <v>46184</v>
      </c>
      <c r="B53" t="s">
        <v>2</v>
      </c>
      <c r="C53" s="2">
        <v>46184</v>
      </c>
      <c r="D53" t="s">
        <v>104</v>
      </c>
      <c r="E53">
        <f>VLOOKUP(TablaObra5[[#This Row],[Equipo]],Catalogos!$I$4:$J$64,2,FALSE)</f>
      </c>
      <c r="F53" s="6">
        <v>40</v>
      </c>
      <c r="G53" s="4">
        <v>27</v>
      </c>
      <c r="H53" s="4">
        <f t="shared" si="0"/>
      </c>
      <c r="I53">
        <f>VLOOKUP(TablaObra5[[#This Row],[Obra]],Catalogos!$B$3:$C$10,2,FALSE)</f>
      </c>
      <c r="K53">
        <v>24</v>
      </c>
    </row>
    <row r="54" spans="1:11">
      <c r="A54" s="2">
        <v>46184</v>
      </c>
      <c r="B54" t="s">
        <v>2</v>
      </c>
      <c r="C54" s="2">
        <v>46184</v>
      </c>
      <c r="D54" t="s">
        <v>65</v>
      </c>
      <c r="E54">
        <f>VLOOKUP(TablaObra5[[#This Row],[Equipo]],Catalogos!$I$4:$J$64,2,FALSE)</f>
      </c>
      <c r="F54" s="6">
        <v>150</v>
      </c>
      <c r="G54" s="4">
        <v>27</v>
      </c>
      <c r="H54" s="4">
        <f t="shared" si="0"/>
      </c>
      <c r="I54">
        <f>VLOOKUP(TablaObra5[[#This Row],[Obra]],Catalogos!$B$3:$C$10,2,FALSE)</f>
      </c>
      <c r="K54">
        <v>24</v>
      </c>
    </row>
    <row r="55" spans="1:11">
      <c r="A55" s="2">
        <v>46184</v>
      </c>
      <c r="B55" t="s">
        <v>2</v>
      </c>
      <c r="C55" s="2">
        <v>46184</v>
      </c>
      <c r="D55" t="s">
        <v>102</v>
      </c>
      <c r="E55">
        <f>VLOOKUP(TablaObra5[[#This Row],[Equipo]],Catalogos!$I$4:$J$64,2,FALSE)</f>
      </c>
      <c r="F55" s="6">
        <v>30</v>
      </c>
      <c r="G55" s="4">
        <v>27</v>
      </c>
      <c r="H55" s="4">
        <f t="shared" si="0"/>
      </c>
      <c r="I55">
        <f>VLOOKUP(TablaObra5[[#This Row],[Obra]],Catalogos!$B$3:$C$10,2,FALSE)</f>
      </c>
      <c r="K55">
        <v>24</v>
      </c>
    </row>
    <row r="56" spans="1:11">
      <c r="A56" s="2">
        <v>46184</v>
      </c>
      <c r="B56" t="s">
        <v>2</v>
      </c>
      <c r="C56" s="2">
        <v>46184</v>
      </c>
      <c r="D56" t="s">
        <v>100</v>
      </c>
      <c r="E56">
        <f>VLOOKUP(TablaObra5[[#This Row],[Equipo]],Catalogos!$I$4:$J$64,2,FALSE)</f>
      </c>
      <c r="F56" s="6">
        <v>10</v>
      </c>
      <c r="G56" s="4">
        <v>27</v>
      </c>
      <c r="H56" s="4">
        <f t="shared" si="0"/>
      </c>
      <c r="I56">
        <f>VLOOKUP(TablaObra5[[#This Row],[Obra]],Catalogos!$B$3:$C$10,2,FALSE)</f>
      </c>
      <c r="K56">
        <v>24</v>
      </c>
    </row>
    <row r="57" spans="1:11">
      <c r="A57" s="2">
        <v>46184</v>
      </c>
      <c r="B57" t="s">
        <v>111</v>
      </c>
      <c r="D57" t="s">
        <v>56</v>
      </c>
      <c r="E57">
        <f>VLOOKUP(TablaObra5[[#This Row],[Equipo]],Catalogos!$I$4:$J$64,2,FALSE)</f>
      </c>
      <c r="F57" s="6">
        <v>50</v>
      </c>
      <c r="G57" s="4">
        <v>27</v>
      </c>
      <c r="H57" s="4">
        <f t="shared" si="0"/>
      </c>
      <c r="I57">
        <f>VLOOKUP(TablaObra5[[#This Row],[Obra]],Catalogos!$B$3:$C$10,2,FALSE)</f>
      </c>
      <c r="K57">
        <v>24</v>
      </c>
    </row>
    <row r="58" spans="1:11">
      <c r="A58" s="2">
        <v>46184</v>
      </c>
      <c r="B58" t="s">
        <v>111</v>
      </c>
      <c r="C58"/>
      <c r="D58" t="s">
        <v>57</v>
      </c>
      <c r="E58">
        <f>VLOOKUP(TablaObra5[[#This Row],[Equipo]],Catalogos!$I$4:$J$64,2,FALSE)</f>
      </c>
      <c r="F58" s="6">
        <v>10</v>
      </c>
      <c r="G58" s="4">
        <v>27</v>
      </c>
      <c r="H58" s="4">
        <f t="shared" si="0"/>
      </c>
      <c r="I58">
        <f>VLOOKUP(TablaObra5[[#This Row],[Obra]],Catalogos!$B$3:$C$10,2,FALSE)</f>
      </c>
      <c r="K58">
        <v>24</v>
      </c>
    </row>
    <row r="59" spans="1:11">
      <c r="A59" s="2">
        <v>46184</v>
      </c>
      <c r="B59" t="s">
        <v>111</v>
      </c>
      <c r="C59"/>
      <c r="D59" t="s">
        <v>102</v>
      </c>
      <c r="E59">
        <f>VLOOKUP(TablaObra5[[#This Row],[Equipo]],Catalogos!$I$4:$J$64,2,FALSE)</f>
      </c>
      <c r="F59" s="6">
        <v>10</v>
      </c>
      <c r="G59" s="4">
        <v>27</v>
      </c>
      <c r="H59" s="4">
        <f t="shared" si="0"/>
      </c>
      <c r="I59">
        <f>VLOOKUP(TablaObra5[[#This Row],[Obra]],Catalogos!$B$3:$C$10,2,FALSE)</f>
      </c>
      <c r="K59">
        <v>24</v>
      </c>
    </row>
    <row r="60" spans="1:11">
      <c r="A60" s="2">
        <v>46185</v>
      </c>
      <c r="B60" t="s">
        <v>1</v>
      </c>
      <c r="C60" s="2">
        <v>46185</v>
      </c>
      <c r="D60" t="s">
        <v>69</v>
      </c>
      <c r="E60">
        <f>VLOOKUP(TablaObra5[[#This Row],[Equipo]],Catalogos!$I$4:$J$64,2,FALSE)</f>
      </c>
      <c r="F60" s="6">
        <v>250</v>
      </c>
      <c r="G60" s="4">
        <v>27</v>
      </c>
      <c r="H60" s="4">
        <f t="shared" si="0"/>
      </c>
      <c r="I60">
        <f>VLOOKUP(TablaObra5[[#This Row],[Obra]],Catalogos!$B$3:$C$10,2,FALSE)</f>
      </c>
      <c r="K60">
        <v>24</v>
      </c>
    </row>
    <row r="61" spans="1:11">
      <c r="A61" s="2">
        <v>46185</v>
      </c>
      <c r="B61" t="s">
        <v>1</v>
      </c>
      <c r="C61" s="2">
        <v>46185</v>
      </c>
      <c r="D61" t="s">
        <v>65</v>
      </c>
      <c r="E61">
        <f>VLOOKUP(TablaObra5[[#This Row],[Equipo]],Catalogos!$I$4:$J$64,2,FALSE)</f>
      </c>
      <c r="F61" s="6">
        <v>150</v>
      </c>
      <c r="G61" s="4">
        <v>27</v>
      </c>
      <c r="H61" s="4">
        <f t="shared" si="0"/>
      </c>
      <c r="I61">
        <f>VLOOKUP(TablaObra5[[#This Row],[Obra]],Catalogos!$B$3:$C$10,2,FALSE)</f>
      </c>
      <c r="K61">
        <v>24</v>
      </c>
    </row>
    <row r="62" spans="1:11">
      <c r="A62" s="2">
        <v>46185</v>
      </c>
      <c r="B62" t="s">
        <v>1</v>
      </c>
      <c r="C62" s="2">
        <v>46185</v>
      </c>
      <c r="D62" t="s">
        <v>48</v>
      </c>
      <c r="E62">
        <f>VLOOKUP(TablaObra5[[#This Row],[Equipo]],Catalogos!$I$4:$J$64,2,FALSE)</f>
      </c>
      <c r="F62" s="6">
        <v>40</v>
      </c>
      <c r="G62" s="4">
        <v>27</v>
      </c>
      <c r="H62" s="4">
        <f t="shared" si="0"/>
      </c>
      <c r="I62">
        <f>VLOOKUP(TablaObra5[[#This Row],[Obra]],Catalogos!$B$3:$C$10,2,FALSE)</f>
      </c>
      <c r="K62">
        <v>24</v>
      </c>
    </row>
    <row r="63" spans="1:11">
      <c r="A63" s="2">
        <v>46185</v>
      </c>
      <c r="B63" t="s">
        <v>1</v>
      </c>
      <c r="C63" s="2">
        <v>46185</v>
      </c>
      <c r="D63" t="s">
        <v>85</v>
      </c>
      <c r="E63">
        <f>VLOOKUP(TablaObra5[[#This Row],[Equipo]],Catalogos!$I$4:$J$64,2,FALSE)</f>
      </c>
      <c r="F63" s="6">
        <v>30</v>
      </c>
      <c r="G63" s="4">
        <v>27</v>
      </c>
      <c r="H63" s="4">
        <f t="shared" si="0"/>
      </c>
      <c r="I63">
        <f>VLOOKUP(TablaObra5[[#This Row],[Obra]],Catalogos!$B$3:$C$10,2,FALSE)</f>
      </c>
      <c r="K63">
        <v>24</v>
      </c>
    </row>
    <row r="64" spans="1:11">
      <c r="A64" s="2">
        <v>46185</v>
      </c>
      <c r="B64" t="s">
        <v>1</v>
      </c>
      <c r="C64" s="2">
        <v>46185</v>
      </c>
      <c r="D64" t="s">
        <v>56</v>
      </c>
      <c r="E64">
        <f>VLOOKUP(TablaObra5[[#This Row],[Equipo]],Catalogos!$I$4:$J$64,2,FALSE)</f>
      </c>
      <c r="F64" s="6">
        <v>30</v>
      </c>
      <c r="G64" s="4">
        <v>27</v>
      </c>
      <c r="H64" s="4">
        <f t="shared" si="0"/>
      </c>
      <c r="I64">
        <f>VLOOKUP(TablaObra5[[#This Row],[Obra]],Catalogos!$B$3:$C$10,2,FALSE)</f>
      </c>
      <c r="K64">
        <v>24</v>
      </c>
    </row>
    <row r="65" spans="1:11">
      <c r="A65" s="2">
        <v>46185</v>
      </c>
      <c r="B65" t="s">
        <v>1</v>
      </c>
      <c r="C65" s="2">
        <v>46185</v>
      </c>
      <c r="D65" t="s">
        <v>70</v>
      </c>
      <c r="E65">
        <f>VLOOKUP(TablaObra5[[#This Row],[Equipo]],Catalogos!$I$4:$J$64,2,FALSE)</f>
      </c>
      <c r="F65" s="6">
        <v>20</v>
      </c>
      <c r="G65" s="4">
        <v>27</v>
      </c>
      <c r="H65" s="4">
        <f t="shared" si="0"/>
      </c>
      <c r="I65">
        <f>VLOOKUP(TablaObra5[[#This Row],[Obra]],Catalogos!$B$3:$C$10,2,FALSE)</f>
      </c>
      <c r="K65">
        <v>24</v>
      </c>
    </row>
    <row r="66" spans="1:11">
      <c r="A66" s="2">
        <v>46185</v>
      </c>
      <c r="B66" t="s">
        <v>1</v>
      </c>
      <c r="C66" s="2">
        <v>46185</v>
      </c>
      <c r="D66" t="s">
        <v>96</v>
      </c>
      <c r="E66">
        <f>VLOOKUP(TablaObra5[[#This Row],[Equipo]],Catalogos!$I$4:$J$64,2,FALSE)</f>
      </c>
      <c r="F66" s="6">
        <v>20</v>
      </c>
      <c r="G66" s="4">
        <v>27</v>
      </c>
      <c r="H66" s="4">
        <f t="shared" si="0"/>
      </c>
      <c r="I66">
        <f>VLOOKUP(TablaObra5[[#This Row],[Obra]],Catalogos!$B$3:$C$10,2,FALSE)</f>
      </c>
      <c r="K66">
        <v>24</v>
      </c>
    </row>
    <row r="67" spans="1:11">
      <c r="A67" s="2">
        <v>46185</v>
      </c>
      <c r="B67" t="s">
        <v>3</v>
      </c>
      <c r="C67" s="2">
        <v>46185</v>
      </c>
      <c r="D67" t="s">
        <v>76</v>
      </c>
      <c r="E67">
        <f>VLOOKUP(TablaObra5[[#This Row],[Equipo]],Catalogos!$I$4:$J$64,2,FALSE)</f>
      </c>
      <c r="F67" s="6">
        <v>250</v>
      </c>
      <c r="G67" s="4">
        <v>27</v>
      </c>
      <c r="H67" s="4">
        <f t="shared" si="0"/>
      </c>
      <c r="I67">
        <f>VLOOKUP(TablaObra5[[#This Row],[Obra]],Catalogos!$B$3:$C$10,2,FALSE)</f>
      </c>
      <c r="K67">
        <v>24</v>
      </c>
    </row>
    <row r="68" spans="1:11">
      <c r="A68" s="2">
        <v>46185</v>
      </c>
      <c r="B68" t="s">
        <v>3</v>
      </c>
      <c r="C68" s="2">
        <v>46185</v>
      </c>
      <c r="D68" t="s">
        <v>79</v>
      </c>
      <c r="E68">
        <f>VLOOKUP(TablaObra5[[#This Row],[Equipo]],Catalogos!$I$4:$J$64,2,FALSE)</f>
      </c>
      <c r="F68" s="6">
        <v>40</v>
      </c>
      <c r="G68" s="4">
        <v>27</v>
      </c>
      <c r="H68" s="4">
        <f t="shared" si="0"/>
      </c>
      <c r="I68">
        <f>VLOOKUP(TablaObra5[[#This Row],[Obra]],Catalogos!$B$3:$C$10,2,FALSE)</f>
      </c>
      <c r="K68">
        <v>24</v>
      </c>
    </row>
    <row r="69" spans="1:11">
      <c r="A69" s="2">
        <v>46185</v>
      </c>
      <c r="B69" t="s">
        <v>3</v>
      </c>
      <c r="C69" s="2">
        <v>46185</v>
      </c>
      <c r="D69" t="s">
        <v>81</v>
      </c>
      <c r="E69">
        <f>VLOOKUP(TablaObra5[[#This Row],[Equipo]],Catalogos!$I$4:$J$64,2,FALSE)</f>
      </c>
      <c r="F69" s="6">
        <v>60</v>
      </c>
      <c r="G69" s="4">
        <v>27</v>
      </c>
      <c r="H69" s="4">
        <f t="shared" si="0"/>
      </c>
      <c r="I69">
        <f>VLOOKUP(TablaObra5[[#This Row],[Obra]],Catalogos!$B$3:$C$10,2,FALSE)</f>
      </c>
      <c r="K69">
        <v>24</v>
      </c>
    </row>
    <row r="70" spans="1:11">
      <c r="A70" s="2">
        <v>46185</v>
      </c>
      <c r="B70" t="s">
        <v>3</v>
      </c>
      <c r="C70" s="2">
        <v>46185</v>
      </c>
      <c r="D70" t="s">
        <v>86</v>
      </c>
      <c r="E70">
        <f>VLOOKUP(TablaObra5[[#This Row],[Equipo]],Catalogos!$I$4:$J$64,2,FALSE)</f>
      </c>
      <c r="F70" s="6">
        <v>100</v>
      </c>
      <c r="G70" s="4">
        <v>27</v>
      </c>
      <c r="H70" s="4">
        <f t="shared" si="0"/>
      </c>
      <c r="I70">
        <f>VLOOKUP(TablaObra5[[#This Row],[Obra]],Catalogos!$B$3:$C$10,2,FALSE)</f>
      </c>
      <c r="K70">
        <v>24</v>
      </c>
    </row>
    <row r="71" spans="1:11">
      <c r="A71" s="2">
        <v>46185</v>
      </c>
      <c r="B71" t="s">
        <v>3</v>
      </c>
      <c r="C71" s="2">
        <v>46185</v>
      </c>
      <c r="D71" t="s">
        <v>102</v>
      </c>
      <c r="E71">
        <f>VLOOKUP(TablaObra5[[#This Row],[Equipo]],Catalogos!$I$4:$J$64,2,FALSE)</f>
      </c>
      <c r="F71" s="6">
        <v>20</v>
      </c>
      <c r="G71" s="4">
        <v>27</v>
      </c>
      <c r="H71" s="4">
        <f t="shared" ref="H71:H134" si="1">IFERROR(F71*G71,0)</f>
      </c>
      <c r="I71">
        <f>VLOOKUP(TablaObra5[[#This Row],[Obra]],Catalogos!$B$3:$C$10,2,FALSE)</f>
      </c>
      <c r="K71">
        <v>24</v>
      </c>
    </row>
    <row r="72" spans="1:11">
      <c r="A72" s="2">
        <v>46185</v>
      </c>
      <c r="B72" t="s">
        <v>3</v>
      </c>
      <c r="C72" s="2">
        <v>46185</v>
      </c>
      <c r="D72" t="s">
        <v>88</v>
      </c>
      <c r="E72">
        <f>VLOOKUP(TablaObra5[[#This Row],[Equipo]],Catalogos!$I$4:$J$64,2,FALSE)</f>
      </c>
      <c r="F72" s="6">
        <v>50</v>
      </c>
      <c r="G72" s="4">
        <v>27</v>
      </c>
      <c r="H72" s="4">
        <f t="shared" si="1"/>
      </c>
      <c r="I72">
        <f>VLOOKUP(TablaObra5[[#This Row],[Obra]],Catalogos!$B$3:$C$10,2,FALSE)</f>
      </c>
      <c r="K72">
        <v>24</v>
      </c>
    </row>
    <row r="73" spans="1:11">
      <c r="A73" s="2">
        <v>46185</v>
      </c>
      <c r="B73" t="s">
        <v>3</v>
      </c>
      <c r="C73" s="2">
        <v>46185</v>
      </c>
      <c r="D73" t="s">
        <v>90</v>
      </c>
      <c r="E73">
        <f>VLOOKUP(TablaObra5[[#This Row],[Equipo]],Catalogos!$I$4:$J$64,2,FALSE)</f>
      </c>
      <c r="F73" s="6">
        <v>50</v>
      </c>
      <c r="G73" s="4">
        <v>27</v>
      </c>
      <c r="H73" s="4">
        <f t="shared" si="1"/>
      </c>
      <c r="I73">
        <f>VLOOKUP(TablaObra5[[#This Row],[Obra]],Catalogos!$B$3:$C$10,2,FALSE)</f>
      </c>
      <c r="K73">
        <v>24</v>
      </c>
    </row>
    <row r="74" spans="1:11">
      <c r="A74" s="2">
        <v>46185</v>
      </c>
      <c r="B74" t="s">
        <v>3</v>
      </c>
      <c r="C74" s="2">
        <v>46185</v>
      </c>
      <c r="D74" t="s">
        <v>92</v>
      </c>
      <c r="E74">
        <f>VLOOKUP(TablaObra5[[#This Row],[Equipo]],Catalogos!$I$4:$J$64,2,FALSE)</f>
      </c>
      <c r="F74" s="6">
        <v>50</v>
      </c>
      <c r="G74" s="4">
        <v>27</v>
      </c>
      <c r="H74" s="4">
        <f t="shared" si="1"/>
      </c>
      <c r="I74">
        <f>VLOOKUP(TablaObra5[[#This Row],[Obra]],Catalogos!$B$3:$C$10,2,FALSE)</f>
      </c>
      <c r="K74">
        <v>24</v>
      </c>
    </row>
    <row r="75" spans="1:11">
      <c r="A75" s="2">
        <v>46187</v>
      </c>
      <c r="B75" t="s">
        <v>1</v>
      </c>
      <c r="C75" s="2">
        <v>46188</v>
      </c>
      <c r="D75" t="s">
        <v>76</v>
      </c>
      <c r="E75">
        <f>VLOOKUP(TablaObra5[[#This Row],[Equipo]],Catalogos!$I$4:$J$64,2,FALSE)</f>
      </c>
      <c r="F75" s="6">
        <v>250</v>
      </c>
      <c r="G75" s="4">
        <v>27</v>
      </c>
      <c r="H75" s="4">
        <f t="shared" si="1"/>
      </c>
      <c r="I75">
        <f>VLOOKUP(TablaObra5[[#This Row],[Obra]],Catalogos!$B$3:$C$10,2,FALSE)</f>
      </c>
      <c r="K75">
        <v>25</v>
      </c>
    </row>
    <row r="76" spans="1:11">
      <c r="A76" s="2">
        <v>46187</v>
      </c>
      <c r="B76" t="s">
        <v>1</v>
      </c>
      <c r="C76" s="2">
        <v>46188</v>
      </c>
      <c r="D76" t="s">
        <v>86</v>
      </c>
      <c r="E76">
        <f>VLOOKUP(TablaObra5[[#This Row],[Equipo]],Catalogos!$I$4:$J$64,2,FALSE)</f>
      </c>
      <c r="F76" s="6">
        <v>100</v>
      </c>
      <c r="G76" s="4">
        <v>27</v>
      </c>
      <c r="H76" s="4">
        <f t="shared" si="1"/>
      </c>
      <c r="I76">
        <f>VLOOKUP(TablaObra5[[#This Row],[Obra]],Catalogos!$B$3:$C$10,2,FALSE)</f>
      </c>
      <c r="K76">
        <v>25</v>
      </c>
    </row>
    <row r="77" spans="1:11">
      <c r="A77" s="2">
        <v>46187</v>
      </c>
      <c r="B77" t="s">
        <v>1</v>
      </c>
      <c r="C77" s="2">
        <v>46188</v>
      </c>
      <c r="D77" t="s">
        <v>88</v>
      </c>
      <c r="E77">
        <f>VLOOKUP(TablaObra5[[#This Row],[Equipo]],Catalogos!$I$4:$J$64,2,FALSE)</f>
      </c>
      <c r="F77" s="6">
        <v>50</v>
      </c>
      <c r="G77" s="4">
        <v>27</v>
      </c>
      <c r="H77" s="4">
        <f t="shared" si="1"/>
      </c>
      <c r="I77">
        <f>VLOOKUP(TablaObra5[[#This Row],[Obra]],Catalogos!$B$3:$C$10,2,FALSE)</f>
      </c>
      <c r="K77">
        <v>25</v>
      </c>
    </row>
    <row r="78" spans="1:11">
      <c r="A78" s="2">
        <v>46187</v>
      </c>
      <c r="B78" t="s">
        <v>1</v>
      </c>
      <c r="C78" s="2">
        <v>46188</v>
      </c>
      <c r="D78" t="s">
        <v>102</v>
      </c>
      <c r="E78">
        <f>VLOOKUP(TablaObra5[[#This Row],[Equipo]],Catalogos!$I$4:$J$64,2,FALSE)</f>
      </c>
      <c r="F78" s="6">
        <v>20</v>
      </c>
      <c r="G78" s="4">
        <v>27</v>
      </c>
      <c r="H78" s="4">
        <f t="shared" si="1"/>
      </c>
      <c r="I78">
        <f>VLOOKUP(TablaObra5[[#This Row],[Obra]],Catalogos!$B$3:$C$10,2,FALSE)</f>
      </c>
      <c r="K78">
        <v>25</v>
      </c>
    </row>
    <row r="79" spans="1:11">
      <c r="A79" s="2">
        <v>46187</v>
      </c>
      <c r="B79" t="s">
        <v>1</v>
      </c>
      <c r="C79" s="2">
        <v>46188</v>
      </c>
      <c r="D79" t="s">
        <v>90</v>
      </c>
      <c r="E79">
        <f>VLOOKUP(TablaObra5[[#This Row],[Equipo]],Catalogos!$I$4:$J$64,2,FALSE)</f>
      </c>
      <c r="F79" s="6">
        <v>50</v>
      </c>
      <c r="G79" s="4">
        <v>27</v>
      </c>
      <c r="H79" s="4">
        <f t="shared" si="1"/>
      </c>
      <c r="I79">
        <f>VLOOKUP(TablaObra5[[#This Row],[Obra]],Catalogos!$B$3:$C$10,2,FALSE)</f>
      </c>
      <c r="K79">
        <v>25</v>
      </c>
    </row>
    <row r="80" spans="1:11">
      <c r="A80" s="2">
        <v>46187</v>
      </c>
      <c r="B80" t="s">
        <v>1</v>
      </c>
      <c r="C80" s="2">
        <v>46188</v>
      </c>
      <c r="D80" t="s">
        <v>79</v>
      </c>
      <c r="E80">
        <f>VLOOKUP(TablaObra5[[#This Row],[Equipo]],Catalogos!$I$4:$J$64,2,FALSE)</f>
      </c>
      <c r="F80" s="6">
        <v>40</v>
      </c>
      <c r="G80" s="4">
        <v>27</v>
      </c>
      <c r="H80" s="4">
        <f t="shared" si="1"/>
      </c>
      <c r="I80">
        <f>VLOOKUP(TablaObra5[[#This Row],[Obra]],Catalogos!$B$3:$C$10,2,FALSE)</f>
      </c>
      <c r="K80">
        <v>25</v>
      </c>
    </row>
    <row r="81" spans="1:11">
      <c r="A81" s="2">
        <v>46187</v>
      </c>
      <c r="B81" t="s">
        <v>1</v>
      </c>
      <c r="C81" s="2">
        <v>46188</v>
      </c>
      <c r="D81" t="s">
        <v>56</v>
      </c>
      <c r="E81">
        <f>VLOOKUP(TablaObra5[[#This Row],[Equipo]],Catalogos!$I$4:$J$64,2,FALSE)</f>
      </c>
      <c r="F81" s="6">
        <v>60</v>
      </c>
      <c r="G81" s="4">
        <v>27</v>
      </c>
      <c r="H81" s="4">
        <f t="shared" si="1"/>
      </c>
      <c r="I81">
        <f>VLOOKUP(TablaObra5[[#This Row],[Obra]],Catalogos!$B$3:$C$10,2,FALSE)</f>
      </c>
      <c r="K81">
        <v>25</v>
      </c>
    </row>
    <row r="82" spans="1:11">
      <c r="A82" s="2">
        <v>46187</v>
      </c>
      <c r="B82" t="s">
        <v>1</v>
      </c>
      <c r="C82" s="2">
        <v>46188</v>
      </c>
      <c r="D82" t="s">
        <v>92</v>
      </c>
      <c r="E82">
        <f>VLOOKUP(TablaObra5[[#This Row],[Equipo]],Catalogos!$I$4:$J$64,2,FALSE)</f>
      </c>
      <c r="F82" s="6">
        <v>50</v>
      </c>
      <c r="G82" s="4">
        <v>27</v>
      </c>
      <c r="H82" s="4">
        <f t="shared" si="1"/>
      </c>
      <c r="I82">
        <f>VLOOKUP(TablaObra5[[#This Row],[Obra]],Catalogos!$B$3:$C$10,2,FALSE)</f>
      </c>
      <c r="K82">
        <v>25</v>
      </c>
    </row>
    <row r="83" spans="1:11">
      <c r="A83" s="2">
        <v>46187</v>
      </c>
      <c r="B83" t="s">
        <v>2</v>
      </c>
      <c r="C83" s="2">
        <v>46188</v>
      </c>
      <c r="D83" t="s">
        <v>65</v>
      </c>
      <c r="E83">
        <f>VLOOKUP(TablaObra5[[#This Row],[Equipo]],Catalogos!$I$4:$J$64,2,FALSE)</f>
      </c>
      <c r="F83" s="6">
        <v>90</v>
      </c>
      <c r="G83" s="4">
        <v>27</v>
      </c>
      <c r="H83" s="4">
        <f t="shared" si="1"/>
      </c>
      <c r="I83">
        <f>VLOOKUP(TablaObra5[[#This Row],[Obra]],Catalogos!$B$3:$C$10,2,FALSE)</f>
      </c>
      <c r="K83">
        <v>25</v>
      </c>
    </row>
    <row r="84" spans="1:11">
      <c r="A84" s="2">
        <v>46187</v>
      </c>
      <c r="B84" t="s">
        <v>2</v>
      </c>
      <c r="C84" s="2">
        <v>46188</v>
      </c>
      <c r="D84" t="s">
        <v>85</v>
      </c>
      <c r="E84">
        <f>VLOOKUP(TablaObra5[[#This Row],[Equipo]],Catalogos!$I$4:$J$64,2,FALSE)</f>
      </c>
      <c r="F84" s="6">
        <v>40</v>
      </c>
      <c r="G84" s="4">
        <v>27</v>
      </c>
      <c r="H84" s="4">
        <f t="shared" si="1"/>
      </c>
      <c r="I84">
        <f>VLOOKUP(TablaObra5[[#This Row],[Obra]],Catalogos!$B$3:$C$10,2,FALSE)</f>
      </c>
      <c r="K84">
        <v>25</v>
      </c>
    </row>
    <row r="85" spans="1:11">
      <c r="A85" s="2">
        <v>46187</v>
      </c>
      <c r="B85" t="s">
        <v>2</v>
      </c>
      <c r="C85" s="2">
        <v>46188</v>
      </c>
      <c r="D85" t="s">
        <v>70</v>
      </c>
      <c r="E85">
        <f>VLOOKUP(TablaObra5[[#This Row],[Equipo]],Catalogos!$I$4:$J$64,2,FALSE)</f>
      </c>
      <c r="F85" s="6">
        <v>40</v>
      </c>
      <c r="G85" s="4">
        <v>27</v>
      </c>
      <c r="H85" s="4">
        <f t="shared" si="1"/>
      </c>
      <c r="I85">
        <f>VLOOKUP(TablaObra5[[#This Row],[Obra]],Catalogos!$B$3:$C$10,2,FALSE)</f>
      </c>
      <c r="K85">
        <v>25</v>
      </c>
    </row>
    <row r="86" spans="1:11">
      <c r="A86" s="2">
        <v>46188</v>
      </c>
      <c r="B86" t="s">
        <v>111</v>
      </c>
      <c r="D86" t="s">
        <v>56</v>
      </c>
      <c r="E86">
        <f>VLOOKUP(TablaObra5[[#This Row],[Equipo]],Catalogos!$I$4:$J$64,2,FALSE)</f>
      </c>
      <c r="F86" s="6">
        <v>70</v>
      </c>
      <c r="G86" s="4">
        <v>27</v>
      </c>
      <c r="H86" s="4">
        <f t="shared" si="1"/>
      </c>
      <c r="I86">
        <f>VLOOKUP(TablaObra5[[#This Row],[Obra]],Catalogos!$B$3:$C$10,2,FALSE)</f>
      </c>
      <c r="K86">
        <v>25</v>
      </c>
    </row>
    <row r="87" spans="1:11">
      <c r="A87" s="2">
        <v>46188</v>
      </c>
      <c r="B87" t="s">
        <v>111</v>
      </c>
      <c r="C87"/>
      <c r="D87" t="s">
        <v>69</v>
      </c>
      <c r="E87">
        <f>VLOOKUP(TablaObra5[[#This Row],[Equipo]],Catalogos!$I$4:$J$64,2,FALSE)</f>
      </c>
      <c r="F87" s="6">
        <v>200</v>
      </c>
      <c r="G87" s="4">
        <v>27</v>
      </c>
      <c r="H87" s="4">
        <f t="shared" si="1"/>
      </c>
      <c r="I87">
        <f>VLOOKUP(TablaObra5[[#This Row],[Obra]],Catalogos!$B$3:$C$10,2,FALSE)</f>
      </c>
      <c r="K87">
        <v>25</v>
      </c>
    </row>
    <row r="88" spans="1:11">
      <c r="A88" s="2">
        <v>46188</v>
      </c>
      <c r="B88" t="s">
        <v>111</v>
      </c>
      <c r="C88"/>
      <c r="D88" t="s">
        <v>104</v>
      </c>
      <c r="E88">
        <f>VLOOKUP(TablaObra5[[#This Row],[Equipo]],Catalogos!$I$4:$J$64,2,FALSE)</f>
      </c>
      <c r="F88" s="6">
        <v>40</v>
      </c>
      <c r="G88" s="4">
        <v>27</v>
      </c>
      <c r="H88" s="4">
        <f t="shared" si="1"/>
      </c>
      <c r="I88">
        <f>VLOOKUP(TablaObra5[[#This Row],[Obra]],Catalogos!$B$3:$C$10,2,FALSE)</f>
      </c>
      <c r="K88">
        <v>25</v>
      </c>
    </row>
    <row r="89" spans="1:11">
      <c r="A89" s="2">
        <v>46188</v>
      </c>
      <c r="B89" t="s">
        <v>2</v>
      </c>
      <c r="C89" s="2">
        <v>46189</v>
      </c>
      <c r="D89" t="s">
        <v>102</v>
      </c>
      <c r="E89">
        <f>VLOOKUP(TablaObra5[[#This Row],[Equipo]],Catalogos!$I$4:$J$64,2,FALSE)</f>
      </c>
      <c r="F89" s="6">
        <v>25</v>
      </c>
      <c r="G89" s="4">
        <v>27</v>
      </c>
      <c r="H89" s="4">
        <f t="shared" si="1"/>
      </c>
      <c r="I89">
        <f>VLOOKUP(TablaObra5[[#This Row],[Obra]],Catalogos!$B$3:$C$10,2,FALSE)</f>
      </c>
      <c r="K89">
        <v>25</v>
      </c>
    </row>
    <row r="90" spans="1:11">
      <c r="A90" s="2">
        <v>46188</v>
      </c>
      <c r="B90" t="s">
        <v>2</v>
      </c>
      <c r="C90" s="2">
        <v>46189</v>
      </c>
      <c r="D90" t="s">
        <v>60</v>
      </c>
      <c r="E90">
        <f>VLOOKUP(TablaObra5[[#This Row],[Equipo]],Catalogos!$I$4:$J$64,2,FALSE)</f>
      </c>
      <c r="F90" s="6">
        <v>60</v>
      </c>
      <c r="G90" s="4">
        <v>27</v>
      </c>
      <c r="H90" s="4">
        <f t="shared" si="1"/>
      </c>
      <c r="I90">
        <f>VLOOKUP(TablaObra5[[#This Row],[Obra]],Catalogos!$B$3:$C$10,2,FALSE)</f>
      </c>
      <c r="K90">
        <v>25</v>
      </c>
    </row>
    <row r="91" spans="1:11">
      <c r="A91" s="2">
        <v>46188</v>
      </c>
      <c r="B91" t="s">
        <v>2</v>
      </c>
      <c r="C91" s="2">
        <v>46189</v>
      </c>
      <c r="D91" t="s">
        <v>88</v>
      </c>
      <c r="E91">
        <f>VLOOKUP(TablaObra5[[#This Row],[Equipo]],Catalogos!$I$4:$J$64,2,FALSE)</f>
      </c>
      <c r="F91" s="6">
        <v>50</v>
      </c>
      <c r="G91" s="4">
        <v>27</v>
      </c>
      <c r="H91" s="4">
        <f t="shared" si="1"/>
      </c>
      <c r="I91">
        <f>VLOOKUP(TablaObra5[[#This Row],[Obra]],Catalogos!$B$3:$C$10,2,FALSE)</f>
      </c>
      <c r="K91">
        <v>25</v>
      </c>
    </row>
    <row r="92" spans="1:11">
      <c r="A92" s="2">
        <v>46188</v>
      </c>
      <c r="B92" t="s">
        <v>2</v>
      </c>
      <c r="C92" s="2">
        <v>46189</v>
      </c>
      <c r="D92" t="s">
        <v>69</v>
      </c>
      <c r="E92">
        <f>VLOOKUP(TablaObra5[[#This Row],[Equipo]],Catalogos!$I$4:$J$64,2,FALSE)</f>
      </c>
      <c r="F92" s="6">
        <v>250</v>
      </c>
      <c r="G92" s="4">
        <v>27</v>
      </c>
      <c r="H92" s="4">
        <f t="shared" si="1"/>
      </c>
      <c r="I92">
        <f>VLOOKUP(TablaObra5[[#This Row],[Obra]],Catalogos!$B$3:$C$10,2,FALSE)</f>
      </c>
      <c r="K92">
        <v>25</v>
      </c>
    </row>
    <row r="93" spans="1:11">
      <c r="A93" s="2">
        <v>46188</v>
      </c>
      <c r="B93" t="s">
        <v>2</v>
      </c>
      <c r="C93" s="2">
        <v>46189</v>
      </c>
      <c r="D93" t="s">
        <v>70</v>
      </c>
      <c r="E93">
        <f>VLOOKUP(TablaObra5[[#This Row],[Equipo]],Catalogos!$I$4:$J$64,2,FALSE)</f>
      </c>
      <c r="F93" s="6">
        <v>70</v>
      </c>
      <c r="G93" s="4">
        <v>27</v>
      </c>
      <c r="H93" s="4">
        <f t="shared" si="1"/>
      </c>
      <c r="I93">
        <f>VLOOKUP(TablaObra5[[#This Row],[Obra]],Catalogos!$B$3:$C$10,2,FALSE)</f>
      </c>
      <c r="K93">
        <v>25</v>
      </c>
    </row>
    <row r="94" spans="1:11">
      <c r="A94" s="2">
        <v>46188</v>
      </c>
      <c r="B94" t="s">
        <v>2</v>
      </c>
      <c r="C94" s="2">
        <v>46189</v>
      </c>
      <c r="D94" t="s">
        <v>56</v>
      </c>
      <c r="E94">
        <f>VLOOKUP(TablaObra5[[#This Row],[Equipo]],Catalogos!$I$4:$J$64,2,FALSE)</f>
      </c>
      <c r="F94" s="6">
        <v>50</v>
      </c>
      <c r="G94" s="4">
        <v>27</v>
      </c>
      <c r="H94" s="4">
        <f t="shared" si="1"/>
      </c>
      <c r="I94">
        <f>VLOOKUP(TablaObra5[[#This Row],[Obra]],Catalogos!$B$3:$C$10,2,FALSE)</f>
      </c>
      <c r="K94">
        <v>25</v>
      </c>
    </row>
    <row r="95" spans="1:11">
      <c r="A95" s="2">
        <v>46188</v>
      </c>
      <c r="B95" t="s">
        <v>1</v>
      </c>
      <c r="C95" s="2">
        <v>46189</v>
      </c>
      <c r="D95" t="s">
        <v>76</v>
      </c>
      <c r="E95">
        <f>VLOOKUP(TablaObra5[[#This Row],[Equipo]],Catalogos!$I$4:$J$64,2,FALSE)</f>
      </c>
      <c r="F95" s="6">
        <v>250</v>
      </c>
      <c r="G95" s="4">
        <v>27</v>
      </c>
      <c r="H95" s="4">
        <f t="shared" si="1"/>
      </c>
      <c r="I95">
        <f>VLOOKUP(TablaObra5[[#This Row],[Obra]],Catalogos!$B$3:$C$10,2,FALSE)</f>
      </c>
      <c r="K95">
        <v>25</v>
      </c>
    </row>
    <row r="96" spans="1:11">
      <c r="A96" s="2">
        <v>46188</v>
      </c>
      <c r="B96" t="s">
        <v>1</v>
      </c>
      <c r="C96" s="2">
        <v>46189</v>
      </c>
      <c r="D96" t="s">
        <v>86</v>
      </c>
      <c r="E96">
        <f>VLOOKUP(TablaObra5[[#This Row],[Equipo]],Catalogos!$I$4:$J$64,2,FALSE)</f>
      </c>
      <c r="F96" s="6">
        <v>200</v>
      </c>
      <c r="G96" s="4">
        <v>27</v>
      </c>
      <c r="H96" s="4">
        <f t="shared" si="1"/>
      </c>
      <c r="I96">
        <f>VLOOKUP(TablaObra5[[#This Row],[Obra]],Catalogos!$B$3:$C$10,2,FALSE)</f>
      </c>
      <c r="K96">
        <v>25</v>
      </c>
    </row>
    <row r="97" spans="1:11">
      <c r="A97" s="2">
        <v>46188</v>
      </c>
      <c r="B97" t="s">
        <v>1</v>
      </c>
      <c r="C97" s="2">
        <v>46189</v>
      </c>
      <c r="D97" t="s">
        <v>102</v>
      </c>
      <c r="E97">
        <f>VLOOKUP(TablaObra5[[#This Row],[Equipo]],Catalogos!$I$4:$J$64,2,FALSE)</f>
      </c>
      <c r="F97" s="6">
        <v>20</v>
      </c>
      <c r="G97" s="4">
        <v>27</v>
      </c>
      <c r="H97" s="4">
        <f t="shared" si="1"/>
      </c>
      <c r="I97">
        <f>VLOOKUP(TablaObra5[[#This Row],[Obra]],Catalogos!$B$3:$C$10,2,FALSE)</f>
      </c>
      <c r="K97">
        <v>25</v>
      </c>
    </row>
    <row r="98" spans="1:11">
      <c r="A98" s="2">
        <v>46188</v>
      </c>
      <c r="B98" t="s">
        <v>1</v>
      </c>
      <c r="C98" s="2">
        <v>46189</v>
      </c>
      <c r="D98" t="s">
        <v>88</v>
      </c>
      <c r="E98">
        <f>VLOOKUP(TablaObra5[[#This Row],[Equipo]],Catalogos!$I$4:$J$64,2,FALSE)</f>
      </c>
      <c r="F98" s="6">
        <v>50</v>
      </c>
      <c r="G98" s="4">
        <v>27</v>
      </c>
      <c r="H98" s="4">
        <f t="shared" si="1"/>
      </c>
      <c r="I98">
        <f>VLOOKUP(TablaObra5[[#This Row],[Obra]],Catalogos!$B$3:$C$10,2,FALSE)</f>
      </c>
      <c r="K98">
        <v>25</v>
      </c>
    </row>
    <row r="99" spans="1:11">
      <c r="A99" s="2">
        <v>46188</v>
      </c>
      <c r="B99" t="s">
        <v>1</v>
      </c>
      <c r="C99" s="2">
        <v>46189</v>
      </c>
      <c r="D99" t="s">
        <v>85</v>
      </c>
      <c r="E99">
        <f>VLOOKUP(TablaObra5[[#This Row],[Equipo]],Catalogos!$I$4:$J$64,2,FALSE)</f>
      </c>
      <c r="F99" s="6">
        <v>50</v>
      </c>
      <c r="G99" s="4">
        <v>27</v>
      </c>
      <c r="H99" s="4">
        <f t="shared" si="1"/>
      </c>
      <c r="I99">
        <f>VLOOKUP(TablaObra5[[#This Row],[Obra]],Catalogos!$B$3:$C$10,2,FALSE)</f>
      </c>
      <c r="K99">
        <v>25</v>
      </c>
    </row>
    <row r="100" spans="1:11">
      <c r="A100" s="2">
        <v>46188</v>
      </c>
      <c r="B100" t="s">
        <v>1</v>
      </c>
      <c r="C100" s="2">
        <v>46189</v>
      </c>
      <c r="D100" t="s">
        <v>79</v>
      </c>
      <c r="E100">
        <f>VLOOKUP(TablaObra5[[#This Row],[Equipo]],Catalogos!$I$4:$J$64,2,FALSE)</f>
      </c>
      <c r="F100" s="6">
        <v>40</v>
      </c>
      <c r="G100" s="4">
        <v>27</v>
      </c>
      <c r="H100" s="4">
        <f t="shared" si="1"/>
      </c>
      <c r="I100">
        <f>VLOOKUP(TablaObra5[[#This Row],[Obra]],Catalogos!$B$3:$C$10,2,FALSE)</f>
      </c>
      <c r="K100">
        <v>25</v>
      </c>
    </row>
    <row r="101" spans="1:11">
      <c r="A101" s="2">
        <v>46188</v>
      </c>
      <c r="B101" t="s">
        <v>1</v>
      </c>
      <c r="C101" s="2">
        <v>46189</v>
      </c>
      <c r="D101" t="s">
        <v>56</v>
      </c>
      <c r="E101">
        <f>VLOOKUP(TablaObra5[[#This Row],[Equipo]],Catalogos!$I$4:$J$64,2,FALSE)</f>
      </c>
      <c r="F101" s="6">
        <v>50</v>
      </c>
      <c r="G101" s="4">
        <v>27</v>
      </c>
      <c r="H101" s="4">
        <f t="shared" si="1"/>
      </c>
      <c r="I101">
        <f>VLOOKUP(TablaObra5[[#This Row],[Obra]],Catalogos!$B$3:$C$10,2,FALSE)</f>
      </c>
      <c r="K101">
        <v>25</v>
      </c>
    </row>
    <row r="102" spans="1:11">
      <c r="A102" s="2">
        <v>46188</v>
      </c>
      <c r="B102" t="s">
        <v>1</v>
      </c>
      <c r="C102" s="2">
        <v>46189</v>
      </c>
      <c r="D102" t="s">
        <v>92</v>
      </c>
      <c r="E102">
        <f>VLOOKUP(TablaObra5[[#This Row],[Equipo]],Catalogos!$I$4:$J$64,2,FALSE)</f>
      </c>
      <c r="F102" s="6">
        <v>50</v>
      </c>
      <c r="G102" s="4">
        <v>27</v>
      </c>
      <c r="H102" s="4">
        <f t="shared" si="1"/>
      </c>
      <c r="I102">
        <f>VLOOKUP(TablaObra5[[#This Row],[Obra]],Catalogos!$B$3:$C$10,2,FALSE)</f>
      </c>
      <c r="K102">
        <v>25</v>
      </c>
    </row>
    <row r="103" spans="1:11">
      <c r="A103" s="2">
        <v>46189</v>
      </c>
      <c r="B103" t="s">
        <v>2</v>
      </c>
      <c r="C103" s="2">
        <v>46190</v>
      </c>
      <c r="D103" t="s">
        <v>62</v>
      </c>
      <c r="E103">
        <f>VLOOKUP(TablaObra5[[#This Row],[Equipo]],Catalogos!$I$4:$J$64,2,FALSE)</f>
      </c>
      <c r="F103" s="6">
        <v>50</v>
      </c>
      <c r="G103" s="4">
        <v>27</v>
      </c>
      <c r="H103" s="4">
        <f t="shared" si="1"/>
      </c>
      <c r="I103">
        <f>VLOOKUP(TablaObra5[[#This Row],[Obra]],Catalogos!$B$3:$C$10,2,FALSE)</f>
      </c>
      <c r="K103">
        <v>25</v>
      </c>
    </row>
    <row r="104" spans="1:11">
      <c r="A104" s="2">
        <v>46189</v>
      </c>
      <c r="B104" t="s">
        <v>2</v>
      </c>
      <c r="C104" s="2">
        <v>46190</v>
      </c>
      <c r="D104" t="s">
        <v>85</v>
      </c>
      <c r="E104">
        <f>VLOOKUP(TablaObra5[[#This Row],[Equipo]],Catalogos!$I$4:$J$64,2,FALSE)</f>
      </c>
      <c r="F104" s="6">
        <v>30</v>
      </c>
      <c r="G104" s="4">
        <v>27</v>
      </c>
      <c r="H104" s="4">
        <f t="shared" si="1"/>
      </c>
      <c r="I104">
        <f>VLOOKUP(TablaObra5[[#This Row],[Obra]],Catalogos!$B$3:$C$10,2,FALSE)</f>
      </c>
      <c r="K104">
        <v>25</v>
      </c>
    </row>
    <row r="105" spans="1:11">
      <c r="A105" s="2">
        <v>46189</v>
      </c>
      <c r="B105" t="s">
        <v>2</v>
      </c>
      <c r="C105" s="2">
        <v>46190</v>
      </c>
      <c r="D105" t="s">
        <v>104</v>
      </c>
      <c r="E105">
        <f>VLOOKUP(TablaObra5[[#This Row],[Equipo]],Catalogos!$I$4:$J$64,2,FALSE)</f>
      </c>
      <c r="F105" s="6">
        <v>50</v>
      </c>
      <c r="G105" s="4">
        <v>27</v>
      </c>
      <c r="H105" s="4">
        <f t="shared" si="1"/>
      </c>
      <c r="I105">
        <f>VLOOKUP(TablaObra5[[#This Row],[Obra]],Catalogos!$B$3:$C$10,2,FALSE)</f>
      </c>
      <c r="K105">
        <v>25</v>
      </c>
    </row>
    <row r="106" spans="1:11">
      <c r="A106" s="2">
        <v>46189</v>
      </c>
      <c r="B106" t="s">
        <v>2</v>
      </c>
      <c r="C106" s="2">
        <v>46190</v>
      </c>
      <c r="D106" t="s">
        <v>65</v>
      </c>
      <c r="E106">
        <f>VLOOKUP(TablaObra5[[#This Row],[Equipo]],Catalogos!$I$4:$J$64,2,FALSE)</f>
      </c>
      <c r="F106" s="6">
        <v>130</v>
      </c>
      <c r="G106" s="4">
        <v>27</v>
      </c>
      <c r="H106" s="4">
        <f t="shared" si="1"/>
      </c>
      <c r="I106">
        <f>VLOOKUP(TablaObra5[[#This Row],[Obra]],Catalogos!$B$3:$C$10,2,FALSE)</f>
      </c>
      <c r="K106">
        <v>25</v>
      </c>
    </row>
    <row r="107" spans="1:11">
      <c r="A107" s="2">
        <v>46189</v>
      </c>
      <c r="B107" t="s">
        <v>2</v>
      </c>
      <c r="C107" s="2">
        <v>46190</v>
      </c>
      <c r="D107" t="s">
        <v>102</v>
      </c>
      <c r="E107">
        <f>VLOOKUP(TablaObra5[[#This Row],[Equipo]],Catalogos!$I$4:$J$64,2,FALSE)</f>
      </c>
      <c r="F107" s="6">
        <v>20</v>
      </c>
      <c r="G107" s="4">
        <v>27</v>
      </c>
      <c r="H107" s="4">
        <f t="shared" si="1"/>
      </c>
      <c r="I107">
        <f>VLOOKUP(TablaObra5[[#This Row],[Obra]],Catalogos!$B$3:$C$10,2,FALSE)</f>
      </c>
      <c r="K107">
        <v>25</v>
      </c>
    </row>
    <row r="108" spans="1:11">
      <c r="A108" s="2">
        <v>46189</v>
      </c>
      <c r="B108" t="s">
        <v>2</v>
      </c>
      <c r="C108" s="2">
        <v>46190</v>
      </c>
      <c r="D108" t="s">
        <v>100</v>
      </c>
      <c r="E108">
        <f>VLOOKUP(TablaObra5[[#This Row],[Equipo]],Catalogos!$I$4:$J$64,2,FALSE)</f>
      </c>
      <c r="F108" s="6">
        <v>160</v>
      </c>
      <c r="G108" s="4">
        <v>27</v>
      </c>
      <c r="H108" s="4">
        <f t="shared" si="1"/>
      </c>
      <c r="I108">
        <f>VLOOKUP(TablaObra5[[#This Row],[Obra]],Catalogos!$B$3:$C$10,2,FALSE)</f>
      </c>
      <c r="K108">
        <v>25</v>
      </c>
    </row>
    <row r="109" spans="1:11">
      <c r="A109" s="2">
        <v>46189</v>
      </c>
      <c r="B109" t="s">
        <v>2</v>
      </c>
      <c r="C109" s="2">
        <v>46190</v>
      </c>
      <c r="D109" t="s">
        <v>60</v>
      </c>
      <c r="E109">
        <f>VLOOKUP(TablaObra5[[#This Row],[Equipo]],Catalogos!$I$4:$J$64,2,FALSE)</f>
      </c>
      <c r="F109" s="6">
        <v>70</v>
      </c>
      <c r="G109" s="4">
        <v>27</v>
      </c>
      <c r="H109" s="4">
        <f t="shared" si="1"/>
      </c>
      <c r="I109">
        <f>VLOOKUP(TablaObra5[[#This Row],[Obra]],Catalogos!$B$3:$C$10,2,FALSE)</f>
      </c>
      <c r="K109">
        <v>25</v>
      </c>
    </row>
    <row r="110" spans="1:11">
      <c r="A110" s="2">
        <v>46189</v>
      </c>
      <c r="B110" t="s">
        <v>2</v>
      </c>
      <c r="C110" s="2">
        <v>46190</v>
      </c>
      <c r="D110" t="s">
        <v>69</v>
      </c>
      <c r="E110">
        <f>VLOOKUP(TablaObra5[[#This Row],[Equipo]],Catalogos!$I$4:$J$64,2,FALSE)</f>
      </c>
      <c r="F110" s="6">
        <v>250</v>
      </c>
      <c r="G110" s="4">
        <v>27</v>
      </c>
      <c r="H110" s="4">
        <f t="shared" si="1"/>
      </c>
      <c r="I110">
        <f>VLOOKUP(TablaObra5[[#This Row],[Obra]],Catalogos!$B$3:$C$10,2,FALSE)</f>
      </c>
      <c r="K110">
        <v>25</v>
      </c>
    </row>
    <row r="111" spans="1:11">
      <c r="A111" s="2">
        <v>46189</v>
      </c>
      <c r="B111" t="s">
        <v>2</v>
      </c>
      <c r="C111" s="2">
        <v>46190</v>
      </c>
      <c r="D111" t="s">
        <v>62</v>
      </c>
      <c r="E111">
        <f>VLOOKUP(TablaObra5[[#This Row],[Equipo]],Catalogos!$I$4:$J$64,2,FALSE)</f>
      </c>
      <c r="F111" s="6">
        <v>150</v>
      </c>
      <c r="G111" s="4">
        <v>27</v>
      </c>
      <c r="H111" s="4">
        <f t="shared" si="1"/>
      </c>
      <c r="I111">
        <f>VLOOKUP(TablaObra5[[#This Row],[Obra]],Catalogos!$B$3:$C$10,2,FALSE)</f>
      </c>
      <c r="K111">
        <v>25</v>
      </c>
    </row>
    <row r="112" spans="1:11">
      <c r="A112" s="2">
        <v>46190</v>
      </c>
      <c r="B112" t="s">
        <v>1</v>
      </c>
      <c r="C112" s="2">
        <v>46190</v>
      </c>
      <c r="D112" t="s">
        <v>76</v>
      </c>
      <c r="E112">
        <f>VLOOKUP(TablaObra5[[#This Row],[Equipo]],Catalogos!$I$4:$J$64,2,FALSE)</f>
      </c>
      <c r="F112" s="6">
        <v>250</v>
      </c>
      <c r="G112" s="4">
        <v>27</v>
      </c>
      <c r="H112" s="4">
        <f t="shared" si="1"/>
      </c>
      <c r="I112">
        <f>VLOOKUP(TablaObra5[[#This Row],[Obra]],Catalogos!$B$3:$C$10,2,FALSE)</f>
      </c>
      <c r="K112">
        <v>25</v>
      </c>
    </row>
    <row r="113" spans="1:11">
      <c r="A113" s="2">
        <v>46190</v>
      </c>
      <c r="B113" t="s">
        <v>1</v>
      </c>
      <c r="C113" s="2">
        <v>46190</v>
      </c>
      <c r="D113" t="s">
        <v>86</v>
      </c>
      <c r="E113">
        <f>VLOOKUP(TablaObra5[[#This Row],[Equipo]],Catalogos!$I$4:$J$64,2,FALSE)</f>
      </c>
      <c r="F113" s="6">
        <v>100</v>
      </c>
      <c r="G113" s="4">
        <v>27</v>
      </c>
      <c r="H113" s="4">
        <f t="shared" si="1"/>
      </c>
      <c r="I113">
        <f>VLOOKUP(TablaObra5[[#This Row],[Obra]],Catalogos!$B$3:$C$10,2,FALSE)</f>
      </c>
      <c r="K113">
        <v>25</v>
      </c>
    </row>
    <row r="114" spans="1:11">
      <c r="A114" s="2">
        <v>46190</v>
      </c>
      <c r="B114" t="s">
        <v>1</v>
      </c>
      <c r="C114" s="2">
        <v>46190</v>
      </c>
      <c r="D114" t="s">
        <v>102</v>
      </c>
      <c r="E114">
        <f>VLOOKUP(TablaObra5[[#This Row],[Equipo]],Catalogos!$I$4:$J$64,2,FALSE)</f>
      </c>
      <c r="F114" s="6">
        <v>20</v>
      </c>
      <c r="G114" s="4">
        <v>27</v>
      </c>
      <c r="H114" s="4">
        <f t="shared" si="1"/>
      </c>
      <c r="I114">
        <f>VLOOKUP(TablaObra5[[#This Row],[Obra]],Catalogos!$B$3:$C$10,2,FALSE)</f>
      </c>
      <c r="K114">
        <v>25</v>
      </c>
    </row>
    <row r="115" spans="1:11">
      <c r="A115" s="2">
        <v>46190</v>
      </c>
      <c r="B115" t="s">
        <v>1</v>
      </c>
      <c r="C115" s="2">
        <v>46190</v>
      </c>
      <c r="D115" t="s">
        <v>88</v>
      </c>
      <c r="E115">
        <f>VLOOKUP(TablaObra5[[#This Row],[Equipo]],Catalogos!$I$4:$J$64,2,FALSE)</f>
      </c>
      <c r="F115" s="6">
        <v>50</v>
      </c>
      <c r="G115" s="4">
        <v>27</v>
      </c>
      <c r="H115" s="4">
        <f t="shared" si="1"/>
      </c>
      <c r="I115">
        <f>VLOOKUP(TablaObra5[[#This Row],[Obra]],Catalogos!$B$3:$C$10,2,FALSE)</f>
      </c>
      <c r="K115">
        <v>25</v>
      </c>
    </row>
    <row r="116" spans="1:11">
      <c r="A116" s="2">
        <v>46190</v>
      </c>
      <c r="B116" t="s">
        <v>1</v>
      </c>
      <c r="C116" s="2">
        <v>46190</v>
      </c>
      <c r="D116" t="s">
        <v>85</v>
      </c>
      <c r="E116">
        <f>VLOOKUP(TablaObra5[[#This Row],[Equipo]],Catalogos!$I$4:$J$64,2,FALSE)</f>
      </c>
      <c r="F116" s="6">
        <v>50</v>
      </c>
      <c r="G116" s="4">
        <v>27</v>
      </c>
      <c r="H116" s="4">
        <f t="shared" si="1"/>
      </c>
      <c r="I116">
        <f>VLOOKUP(TablaObra5[[#This Row],[Obra]],Catalogos!$B$3:$C$10,2,FALSE)</f>
      </c>
      <c r="K116">
        <v>25</v>
      </c>
    </row>
    <row r="117" spans="1:11">
      <c r="A117" s="2">
        <v>46190</v>
      </c>
      <c r="B117" t="s">
        <v>1</v>
      </c>
      <c r="C117" s="2">
        <v>46190</v>
      </c>
      <c r="D117" t="s">
        <v>79</v>
      </c>
      <c r="E117">
        <f>VLOOKUP(TablaObra5[[#This Row],[Equipo]],Catalogos!$I$4:$J$64,2,FALSE)</f>
      </c>
      <c r="F117" s="6">
        <v>30</v>
      </c>
      <c r="G117" s="4">
        <v>27</v>
      </c>
      <c r="H117" s="4">
        <f t="shared" si="1"/>
      </c>
      <c r="I117">
        <f>VLOOKUP(TablaObra5[[#This Row],[Obra]],Catalogos!$B$3:$C$10,2,FALSE)</f>
      </c>
      <c r="K117">
        <v>25</v>
      </c>
    </row>
    <row r="118" spans="1:11">
      <c r="A118" s="2">
        <v>46190</v>
      </c>
      <c r="B118" t="s">
        <v>1</v>
      </c>
      <c r="C118" s="2">
        <v>46190</v>
      </c>
      <c r="D118" t="s">
        <v>56</v>
      </c>
      <c r="E118">
        <f>VLOOKUP(TablaObra5[[#This Row],[Equipo]],Catalogos!$I$4:$J$64,2,FALSE)</f>
      </c>
      <c r="F118" s="6">
        <v>80</v>
      </c>
      <c r="G118" s="4">
        <v>27</v>
      </c>
      <c r="H118" s="4">
        <f t="shared" si="1"/>
      </c>
      <c r="I118">
        <f>VLOOKUP(TablaObra5[[#This Row],[Obra]],Catalogos!$B$3:$C$10,2,FALSE)</f>
      </c>
      <c r="K118">
        <v>25</v>
      </c>
    </row>
    <row r="119" spans="1:11">
      <c r="A119" s="2">
        <v>46190</v>
      </c>
      <c r="B119" t="s">
        <v>1</v>
      </c>
      <c r="C119" s="2">
        <v>46190</v>
      </c>
      <c r="D119" t="s">
        <v>92</v>
      </c>
      <c r="E119">
        <f>VLOOKUP(TablaObra5[[#This Row],[Equipo]],Catalogos!$I$4:$J$64,2,FALSE)</f>
      </c>
      <c r="F119" s="6">
        <v>50</v>
      </c>
      <c r="G119" s="4">
        <v>27</v>
      </c>
      <c r="H119" s="4">
        <f t="shared" si="1"/>
      </c>
      <c r="I119">
        <f>VLOOKUP(TablaObra5[[#This Row],[Obra]],Catalogos!$B$3:$C$10,2,FALSE)</f>
      </c>
      <c r="K119">
        <v>25</v>
      </c>
    </row>
    <row r="120" spans="1:11">
      <c r="A120" s="2">
        <v>46190</v>
      </c>
      <c r="B120" t="s">
        <v>111</v>
      </c>
      <c r="C120" s="2">
        <v>46190</v>
      </c>
      <c r="D120" t="s">
        <v>56</v>
      </c>
      <c r="E120">
        <f>VLOOKUP(TablaObra5[[#This Row],[Equipo]],Catalogos!$I$4:$J$64,2,FALSE)</f>
      </c>
      <c r="F120" s="6">
        <v>70</v>
      </c>
      <c r="G120" s="4">
        <v>27</v>
      </c>
      <c r="H120" s="4">
        <f t="shared" si="1"/>
      </c>
      <c r="I120">
        <f>VLOOKUP(TablaObra5[[#This Row],[Obra]],Catalogos!$B$3:$C$10,2,FALSE)</f>
      </c>
      <c r="K120">
        <v>25</v>
      </c>
    </row>
    <row r="121" spans="1:11">
      <c r="A121" s="2">
        <v>46190</v>
      </c>
      <c r="B121" t="s">
        <v>111</v>
      </c>
      <c r="C121" s="2">
        <v>46190</v>
      </c>
      <c r="D121" t="s">
        <v>56</v>
      </c>
      <c r="E121">
        <f>VLOOKUP(TablaObra5[[#This Row],[Equipo]],Catalogos!$I$4:$J$64,2,FALSE)</f>
      </c>
      <c r="F121" s="6">
        <v>70</v>
      </c>
      <c r="G121" s="4">
        <v>27</v>
      </c>
      <c r="H121" s="4">
        <f t="shared" si="1"/>
      </c>
      <c r="I121">
        <f>VLOOKUP(TablaObra5[[#This Row],[Obra]],Catalogos!$B$3:$C$10,2,FALSE)</f>
      </c>
      <c r="K121">
        <v>25</v>
      </c>
    </row>
    <row r="122" spans="1:11">
      <c r="A122" s="2">
        <v>46190</v>
      </c>
      <c r="B122" t="s">
        <v>111</v>
      </c>
      <c r="C122" s="2">
        <v>46190</v>
      </c>
      <c r="D122" t="s">
        <v>69</v>
      </c>
      <c r="E122">
        <f>VLOOKUP(TablaObra5[[#This Row],[Equipo]],Catalogos!$I$4:$J$64,2,FALSE)</f>
      </c>
      <c r="F122" s="6">
        <v>200</v>
      </c>
      <c r="G122" s="4">
        <v>27</v>
      </c>
      <c r="H122" s="4">
        <f t="shared" si="1"/>
      </c>
      <c r="I122">
        <f>VLOOKUP(TablaObra5[[#This Row],[Obra]],Catalogos!$B$3:$C$10,2,FALSE)</f>
      </c>
      <c r="K122">
        <v>25</v>
      </c>
    </row>
    <row r="123" spans="1:11">
      <c r="A123" s="2">
        <v>46190</v>
      </c>
      <c r="B123" t="s">
        <v>111</v>
      </c>
      <c r="C123" s="2">
        <v>46190</v>
      </c>
      <c r="D123" t="s">
        <v>104</v>
      </c>
      <c r="E123">
        <f>VLOOKUP(TablaObra5[[#This Row],[Equipo]],Catalogos!$I$4:$J$64,2,FALSE)</f>
      </c>
      <c r="F123" s="6">
        <v>20</v>
      </c>
      <c r="G123" s="4">
        <v>27</v>
      </c>
      <c r="H123" s="4">
        <f t="shared" si="1"/>
      </c>
      <c r="I123">
        <f>VLOOKUP(TablaObra5[[#This Row],[Obra]],Catalogos!$B$3:$C$10,2,FALSE)</f>
      </c>
      <c r="K123">
        <v>25</v>
      </c>
    </row>
    <row r="124" spans="1:11">
      <c r="A124" s="2">
        <v>46190</v>
      </c>
      <c r="B124" t="s">
        <v>1</v>
      </c>
      <c r="C124" s="2">
        <v>46191</v>
      </c>
      <c r="D124" t="s">
        <v>76</v>
      </c>
      <c r="E124">
        <f>VLOOKUP(TablaObra5[[#This Row],[Equipo]],Catalogos!$I$4:$J$64,2,FALSE)</f>
      </c>
      <c r="F124" s="6">
        <v>250</v>
      </c>
      <c r="G124" s="4">
        <v>27</v>
      </c>
      <c r="H124" s="4">
        <f t="shared" si="1"/>
      </c>
      <c r="I124">
        <f>VLOOKUP(TablaObra5[[#This Row],[Obra]],Catalogos!$B$3:$C$10,2,FALSE)</f>
      </c>
      <c r="K124">
        <v>25</v>
      </c>
    </row>
    <row r="125" spans="1:11">
      <c r="A125" s="2">
        <v>46190</v>
      </c>
      <c r="B125" t="s">
        <v>1</v>
      </c>
      <c r="C125" s="2">
        <v>46191</v>
      </c>
      <c r="D125" t="s">
        <v>86</v>
      </c>
      <c r="E125">
        <f>VLOOKUP(TablaObra5[[#This Row],[Equipo]],Catalogos!$I$4:$J$64,2,FALSE)</f>
      </c>
      <c r="F125" s="6">
        <v>100</v>
      </c>
      <c r="G125" s="4">
        <v>27</v>
      </c>
      <c r="H125" s="4">
        <f t="shared" si="1"/>
      </c>
      <c r="I125">
        <f>VLOOKUP(TablaObra5[[#This Row],[Obra]],Catalogos!$B$3:$C$10,2,FALSE)</f>
      </c>
      <c r="K125">
        <v>25</v>
      </c>
    </row>
    <row r="126" spans="1:11">
      <c r="A126" s="2">
        <v>46190</v>
      </c>
      <c r="B126" t="s">
        <v>1</v>
      </c>
      <c r="C126" s="2">
        <v>46191</v>
      </c>
      <c r="D126" t="s">
        <v>102</v>
      </c>
      <c r="E126">
        <f>VLOOKUP(TablaObra5[[#This Row],[Equipo]],Catalogos!$I$4:$J$64,2,FALSE)</f>
      </c>
      <c r="F126" s="6">
        <v>20</v>
      </c>
      <c r="G126" s="4">
        <v>27</v>
      </c>
      <c r="H126" s="4">
        <f t="shared" si="1"/>
      </c>
      <c r="I126">
        <f>VLOOKUP(TablaObra5[[#This Row],[Obra]],Catalogos!$B$3:$C$10,2,FALSE)</f>
      </c>
      <c r="K126">
        <v>25</v>
      </c>
    </row>
    <row r="127" spans="1:11">
      <c r="A127" s="2">
        <v>46190</v>
      </c>
      <c r="B127" t="s">
        <v>1</v>
      </c>
      <c r="C127" s="2">
        <v>46191</v>
      </c>
      <c r="D127" t="s">
        <v>88</v>
      </c>
      <c r="E127">
        <f>VLOOKUP(TablaObra5[[#This Row],[Equipo]],Catalogos!$I$4:$J$64,2,FALSE)</f>
      </c>
      <c r="F127" s="6">
        <v>40</v>
      </c>
      <c r="G127" s="4">
        <v>27</v>
      </c>
      <c r="H127" s="4">
        <f t="shared" si="1"/>
      </c>
      <c r="I127">
        <f>VLOOKUP(TablaObra5[[#This Row],[Obra]],Catalogos!$B$3:$C$10,2,FALSE)</f>
      </c>
      <c r="K127">
        <v>25</v>
      </c>
    </row>
    <row r="128" spans="1:11">
      <c r="A128" s="2">
        <v>46190</v>
      </c>
      <c r="B128" t="s">
        <v>1</v>
      </c>
      <c r="C128" s="2">
        <v>46191</v>
      </c>
      <c r="D128" t="s">
        <v>85</v>
      </c>
      <c r="E128">
        <f>VLOOKUP(TablaObra5[[#This Row],[Equipo]],Catalogos!$I$4:$J$64,2,FALSE)</f>
      </c>
      <c r="F128" s="6">
        <v>40</v>
      </c>
      <c r="G128" s="4">
        <v>27</v>
      </c>
      <c r="H128" s="4">
        <f t="shared" si="1"/>
      </c>
      <c r="I128">
        <f>VLOOKUP(TablaObra5[[#This Row],[Obra]],Catalogos!$B$3:$C$10,2,FALSE)</f>
      </c>
      <c r="K128">
        <v>25</v>
      </c>
    </row>
    <row r="129" spans="1:11">
      <c r="A129" s="2">
        <v>46190</v>
      </c>
      <c r="B129" t="s">
        <v>1</v>
      </c>
      <c r="C129" s="2">
        <v>46191</v>
      </c>
      <c r="D129" t="s">
        <v>79</v>
      </c>
      <c r="E129">
        <f>VLOOKUP(TablaObra5[[#This Row],[Equipo]],Catalogos!$I$4:$J$64,2,FALSE)</f>
      </c>
      <c r="F129" s="6">
        <v>30</v>
      </c>
      <c r="G129" s="4">
        <v>27</v>
      </c>
      <c r="H129" s="4">
        <f t="shared" si="1"/>
      </c>
      <c r="I129">
        <f>VLOOKUP(TablaObra5[[#This Row],[Obra]],Catalogos!$B$3:$C$10,2,FALSE)</f>
      </c>
      <c r="K129">
        <v>25</v>
      </c>
    </row>
    <row r="130" spans="1:11">
      <c r="A130" s="2">
        <v>46190</v>
      </c>
      <c r="B130" t="s">
        <v>1</v>
      </c>
      <c r="C130" s="2">
        <v>46191</v>
      </c>
      <c r="D130" t="s">
        <v>56</v>
      </c>
      <c r="E130">
        <f>VLOOKUP(TablaObra5[[#This Row],[Equipo]],Catalogos!$I$4:$J$64,2,FALSE)</f>
      </c>
      <c r="F130" s="6">
        <v>70</v>
      </c>
      <c r="G130" s="4">
        <v>27</v>
      </c>
      <c r="H130" s="4">
        <f t="shared" si="1"/>
      </c>
      <c r="I130">
        <f>VLOOKUP(TablaObra5[[#This Row],[Obra]],Catalogos!$B$3:$C$10,2,FALSE)</f>
      </c>
      <c r="K130">
        <v>25</v>
      </c>
    </row>
    <row r="131" spans="1:11">
      <c r="A131" s="2">
        <v>46190</v>
      </c>
      <c r="B131" t="s">
        <v>1</v>
      </c>
      <c r="C131" s="2">
        <v>46191</v>
      </c>
      <c r="D131" t="s">
        <v>92</v>
      </c>
      <c r="E131">
        <f>VLOOKUP(TablaObra5[[#This Row],[Equipo]],Catalogos!$I$4:$J$64,2,FALSE)</f>
      </c>
      <c r="F131" s="6">
        <v>40</v>
      </c>
      <c r="G131" s="4">
        <v>27</v>
      </c>
      <c r="H131" s="4">
        <f t="shared" si="1"/>
      </c>
      <c r="I131">
        <f>VLOOKUP(TablaObra5[[#This Row],[Obra]],Catalogos!$B$3:$C$10,2,FALSE)</f>
      </c>
      <c r="K131">
        <v>25</v>
      </c>
    </row>
    <row r="132" spans="1:11">
      <c r="A132" s="2">
        <v>46190</v>
      </c>
      <c r="B132" t="s">
        <v>2</v>
      </c>
      <c r="C132" s="2">
        <v>46191</v>
      </c>
      <c r="D132" t="s">
        <v>94</v>
      </c>
      <c r="E132">
        <f>VLOOKUP(TablaObra5[[#This Row],[Equipo]],Catalogos!$I$4:$J$64,2,FALSE)</f>
      </c>
      <c r="F132" s="6">
        <v>80</v>
      </c>
      <c r="G132" s="4">
        <v>27</v>
      </c>
      <c r="H132" s="4">
        <f t="shared" si="1"/>
      </c>
      <c r="I132">
        <f>VLOOKUP(TablaObra5[[#This Row],[Obra]],Catalogos!$B$3:$C$10,2,FALSE)</f>
      </c>
      <c r="K132">
        <v>25</v>
      </c>
    </row>
    <row r="133" spans="1:11">
      <c r="A133" s="2">
        <v>46191</v>
      </c>
      <c r="B133" t="s">
        <v>124</v>
      </c>
      <c r="C133" s="2">
        <v>38887</v>
      </c>
      <c r="D133" t="s">
        <v>96</v>
      </c>
      <c r="E133">
        <f>VLOOKUP(TablaObra5[[#This Row],[Equipo]],Catalogos!$I$4:$J$64,2,FALSE)</f>
      </c>
      <c r="F133" s="6">
        <v>100</v>
      </c>
      <c r="G133" s="4">
        <v>27</v>
      </c>
      <c r="H133" s="4">
        <f t="shared" si="1"/>
      </c>
      <c r="I133">
        <f>VLOOKUP(TablaObra5[[#This Row],[Obra]],Catalogos!$B$3:$C$10,2,FALSE)</f>
      </c>
      <c r="K133">
        <v>26</v>
      </c>
    </row>
    <row r="134" spans="1:11">
      <c r="A134" s="2">
        <v>46191</v>
      </c>
      <c r="B134" t="s">
        <v>124</v>
      </c>
      <c r="C134" s="2">
        <v>38887</v>
      </c>
      <c r="D134" t="s">
        <v>160</v>
      </c>
      <c r="E134">
        <f>VLOOKUP(TablaObra5[[#This Row],[Equipo]],Catalogos!$I$4:$J$64,2,FALSE)</f>
      </c>
      <c r="F134" s="6">
        <v>200</v>
      </c>
      <c r="G134" s="4">
        <v>27</v>
      </c>
      <c r="H134" s="4">
        <f t="shared" si="1"/>
      </c>
      <c r="I134">
        <f>VLOOKUP(TablaObra5[[#This Row],[Obra]],Catalogos!$B$3:$C$10,2,FALSE)</f>
      </c>
      <c r="K134">
        <v>26</v>
      </c>
    </row>
    <row r="135" spans="1:11">
      <c r="A135" s="2">
        <v>46191</v>
      </c>
      <c r="B135" t="s">
        <v>124</v>
      </c>
      <c r="C135" s="2">
        <v>38887</v>
      </c>
      <c r="D135" t="s">
        <v>117</v>
      </c>
      <c r="E135">
        <f>VLOOKUP(TablaObra5[[#This Row],[Equipo]],Catalogos!$I$4:$J$64,2,FALSE)</f>
      </c>
      <c r="F135" s="6">
        <v>100</v>
      </c>
      <c r="G135" s="4">
        <v>27</v>
      </c>
      <c r="H135" s="4">
        <f t="shared" ref="H135:H198" si="2">IFERROR(F135*G135,0)</f>
      </c>
      <c r="I135">
        <f>VLOOKUP(TablaObra5[[#This Row],[Obra]],Catalogos!$B$3:$C$10,2,FALSE)</f>
      </c>
      <c r="K135">
        <v>26</v>
      </c>
    </row>
    <row r="136" spans="1:11">
      <c r="A136" s="2">
        <v>46191</v>
      </c>
      <c r="B136" t="s">
        <v>124</v>
      </c>
      <c r="C136" s="2">
        <v>38887</v>
      </c>
      <c r="D136" t="s">
        <v>162</v>
      </c>
      <c r="E136">
        <f>VLOOKUP(TablaObra5[[#This Row],[Equipo]],Catalogos!$I$4:$J$64,2,FALSE)</f>
      </c>
      <c r="F136" s="6">
        <v>100</v>
      </c>
      <c r="G136" s="4">
        <v>27</v>
      </c>
      <c r="H136" s="4">
        <f t="shared" si="2"/>
      </c>
      <c r="I136">
        <f>VLOOKUP(TablaObra5[[#This Row],[Obra]],Catalogos!$B$3:$C$10,2,FALSE)</f>
      </c>
      <c r="K136">
        <v>26</v>
      </c>
    </row>
    <row r="137" spans="1:11">
      <c r="A137" s="2">
        <v>46191</v>
      </c>
      <c r="B137" t="s">
        <v>2</v>
      </c>
      <c r="C137" s="2">
        <v>38887</v>
      </c>
      <c r="D137" t="s">
        <v>56</v>
      </c>
      <c r="E137">
        <f>VLOOKUP(TablaObra5[[#This Row],[Equipo]],Catalogos!$I$4:$J$64,2,FALSE)</f>
      </c>
      <c r="F137" s="6">
        <v>80</v>
      </c>
      <c r="G137" s="4">
        <v>27</v>
      </c>
      <c r="H137" s="4">
        <f t="shared" si="2"/>
      </c>
      <c r="I137">
        <f>VLOOKUP(TablaObra5[[#This Row],[Obra]],Catalogos!$B$3:$C$10,2,FALSE)</f>
      </c>
      <c r="K137">
        <v>26</v>
      </c>
    </row>
    <row r="138" spans="1:11">
      <c r="A138" s="2">
        <v>46191</v>
      </c>
      <c r="B138" t="s">
        <v>2</v>
      </c>
      <c r="C138" s="2">
        <v>38887</v>
      </c>
      <c r="D138" t="s">
        <v>88</v>
      </c>
      <c r="E138">
        <f>VLOOKUP(TablaObra5[[#This Row],[Equipo]],Catalogos!$I$4:$J$64,2,FALSE)</f>
      </c>
      <c r="F138" s="6">
        <v>50</v>
      </c>
      <c r="G138" s="4">
        <v>27</v>
      </c>
      <c r="H138" s="4">
        <f t="shared" si="2"/>
      </c>
      <c r="I138">
        <f>VLOOKUP(TablaObra5[[#This Row],[Obra]],Catalogos!$B$3:$C$10,2,FALSE)</f>
      </c>
      <c r="K138">
        <v>26</v>
      </c>
    </row>
    <row r="139" spans="1:11">
      <c r="A139" s="2">
        <v>46191</v>
      </c>
      <c r="B139" t="s">
        <v>2</v>
      </c>
      <c r="C139" s="2">
        <v>38887</v>
      </c>
      <c r="D139" t="s">
        <v>90</v>
      </c>
      <c r="E139">
        <f>VLOOKUP(TablaObra5[[#This Row],[Equipo]],Catalogos!$I$4:$J$64,2,FALSE)</f>
      </c>
      <c r="F139" s="6">
        <v>30</v>
      </c>
      <c r="G139" s="4">
        <v>27</v>
      </c>
      <c r="H139" s="4">
        <f t="shared" si="2"/>
      </c>
      <c r="I139">
        <f>VLOOKUP(TablaObra5[[#This Row],[Obra]],Catalogos!$B$3:$C$10,2,FALSE)</f>
      </c>
      <c r="K139">
        <v>26</v>
      </c>
    </row>
    <row r="140" spans="1:11">
      <c r="A140" s="2">
        <v>46191</v>
      </c>
      <c r="B140" t="s">
        <v>2</v>
      </c>
      <c r="C140" s="2">
        <v>38887</v>
      </c>
      <c r="D140" t="s">
        <v>70</v>
      </c>
      <c r="E140">
        <f>VLOOKUP(TablaObra5[[#This Row],[Equipo]],Catalogos!$I$4:$J$64,2,FALSE)</f>
      </c>
      <c r="F140" s="6">
        <v>50</v>
      </c>
      <c r="G140" s="4">
        <v>27</v>
      </c>
      <c r="H140" s="4">
        <f t="shared" si="2"/>
      </c>
      <c r="I140">
        <f>VLOOKUP(TablaObra5[[#This Row],[Obra]],Catalogos!$B$3:$C$10,2,FALSE)</f>
      </c>
      <c r="K140">
        <v>26</v>
      </c>
    </row>
    <row r="141" spans="1:11">
      <c r="A141" s="2">
        <v>46191</v>
      </c>
      <c r="B141" t="s">
        <v>2</v>
      </c>
      <c r="C141" s="2">
        <v>38887</v>
      </c>
      <c r="D141" t="s">
        <v>62</v>
      </c>
      <c r="E141">
        <f>VLOOKUP(TablaObra5[[#This Row],[Equipo]],Catalogos!$I$4:$J$64,2,FALSE)</f>
      </c>
      <c r="F141" s="6">
        <v>50</v>
      </c>
      <c r="G141" s="4">
        <v>27</v>
      </c>
      <c r="H141" s="4">
        <f t="shared" si="2"/>
      </c>
      <c r="I141">
        <f>VLOOKUP(TablaObra5[[#This Row],[Obra]],Catalogos!$B$3:$C$10,2,FALSE)</f>
      </c>
      <c r="K141">
        <v>26</v>
      </c>
    </row>
    <row r="142" spans="1:11">
      <c r="A142" s="2">
        <v>46191</v>
      </c>
      <c r="B142" t="s">
        <v>2</v>
      </c>
      <c r="C142" s="2">
        <v>38887</v>
      </c>
      <c r="D142" t="s">
        <v>69</v>
      </c>
      <c r="E142">
        <f>VLOOKUP(TablaObra5[[#This Row],[Equipo]],Catalogos!$I$4:$J$64,2,FALSE)</f>
      </c>
      <c r="F142" s="6">
        <v>200</v>
      </c>
      <c r="G142" s="4">
        <v>27</v>
      </c>
      <c r="H142" s="4">
        <f t="shared" si="2"/>
      </c>
      <c r="I142">
        <f>VLOOKUP(TablaObra5[[#This Row],[Obra]],Catalogos!$B$3:$C$10,2,FALSE)</f>
      </c>
      <c r="K142">
        <v>26</v>
      </c>
    </row>
    <row r="143" spans="1:11">
      <c r="A143" s="2">
        <v>46191</v>
      </c>
      <c r="B143" t="s">
        <v>2</v>
      </c>
      <c r="C143" s="2">
        <v>38887</v>
      </c>
      <c r="D143" t="s">
        <v>65</v>
      </c>
      <c r="E143">
        <f>VLOOKUP(TablaObra5[[#This Row],[Equipo]],Catalogos!$I$4:$J$64,2,FALSE)</f>
      </c>
      <c r="F143" s="6">
        <v>130</v>
      </c>
      <c r="G143" s="4">
        <v>27</v>
      </c>
      <c r="H143" s="4">
        <f t="shared" si="2"/>
      </c>
      <c r="I143">
        <f>VLOOKUP(TablaObra5[[#This Row],[Obra]],Catalogos!$B$3:$C$10,2,FALSE)</f>
      </c>
      <c r="K143">
        <v>26</v>
      </c>
    </row>
    <row r="144" spans="1:11">
      <c r="A144" s="2">
        <v>46191</v>
      </c>
      <c r="B144" t="s">
        <v>2</v>
      </c>
      <c r="C144" s="2">
        <v>38887</v>
      </c>
      <c r="D144" t="s">
        <v>102</v>
      </c>
      <c r="E144">
        <f>VLOOKUP(TablaObra5[[#This Row],[Equipo]],Catalogos!$I$4:$J$64,2,FALSE)</f>
      </c>
      <c r="F144" s="6">
        <v>20</v>
      </c>
      <c r="G144" s="4">
        <v>27</v>
      </c>
      <c r="H144" s="4">
        <f t="shared" si="2"/>
      </c>
      <c r="I144">
        <f>VLOOKUP(TablaObra5[[#This Row],[Obra]],Catalogos!$B$3:$C$10,2,FALSE)</f>
      </c>
      <c r="K144">
        <v>26</v>
      </c>
    </row>
    <row r="145" spans="1:11">
      <c r="A145" s="2">
        <v>46191</v>
      </c>
      <c r="B145" t="s">
        <v>2</v>
      </c>
      <c r="C145" s="2">
        <v>38887</v>
      </c>
      <c r="D145" t="s">
        <v>100</v>
      </c>
      <c r="E145">
        <f>VLOOKUP(TablaObra5[[#This Row],[Equipo]],Catalogos!$I$4:$J$64,2,FALSE)</f>
      </c>
      <c r="F145" s="6">
        <v>10</v>
      </c>
      <c r="G145" s="4">
        <v>27</v>
      </c>
      <c r="H145" s="4">
        <f t="shared" si="2"/>
      </c>
      <c r="I145">
        <f>VLOOKUP(TablaObra5[[#This Row],[Obra]],Catalogos!$B$3:$C$10,2,FALSE)</f>
      </c>
      <c r="K145">
        <v>26</v>
      </c>
    </row>
    <row r="146" spans="1:11">
      <c r="A146" s="2">
        <v>46191</v>
      </c>
      <c r="B146" t="s">
        <v>2</v>
      </c>
      <c r="C146" s="2">
        <v>38887</v>
      </c>
      <c r="D146" t="s">
        <v>60</v>
      </c>
      <c r="E146">
        <f>VLOOKUP(TablaObra5[[#This Row],[Equipo]],Catalogos!$I$4:$J$64,2,FALSE)</f>
      </c>
      <c r="F146" s="6">
        <v>80</v>
      </c>
      <c r="G146" s="4">
        <v>27</v>
      </c>
      <c r="H146" s="4">
        <f t="shared" si="2"/>
      </c>
      <c r="I146">
        <f>VLOOKUP(TablaObra5[[#This Row],[Obra]],Catalogos!$B$3:$C$10,2,FALSE)</f>
      </c>
      <c r="K146">
        <v>26</v>
      </c>
    </row>
    <row r="147" spans="1:11">
      <c r="A147" s="2">
        <v>46192</v>
      </c>
      <c r="B147" t="s">
        <v>1</v>
      </c>
      <c r="C147" s="2">
        <v>46192</v>
      </c>
      <c r="D147" t="s">
        <v>86</v>
      </c>
      <c r="E147">
        <f>VLOOKUP(TablaObra5[[#This Row],[Equipo]],Catalogos!$I$4:$J$64,2,FALSE)</f>
      </c>
      <c r="F147" s="6">
        <v>100</v>
      </c>
      <c r="G147" s="4">
        <v>27</v>
      </c>
      <c r="H147" s="4">
        <f t="shared" si="2"/>
      </c>
      <c r="I147">
        <f>VLOOKUP(TablaObra5[[#This Row],[Obra]],Catalogos!$B$3:$C$10,2,FALSE)</f>
      </c>
      <c r="K147">
        <v>25</v>
      </c>
    </row>
    <row r="148" spans="1:11">
      <c r="A148" s="2">
        <v>46192</v>
      </c>
      <c r="B148" t="s">
        <v>1</v>
      </c>
      <c r="C148" s="2">
        <v>46192</v>
      </c>
      <c r="D148" t="s">
        <v>102</v>
      </c>
      <c r="E148">
        <f>VLOOKUP(TablaObra5[[#This Row],[Equipo]],Catalogos!$I$4:$J$64,2,FALSE)</f>
      </c>
      <c r="F148" s="6">
        <v>20</v>
      </c>
      <c r="G148" s="4">
        <v>27</v>
      </c>
      <c r="H148" s="4">
        <f t="shared" si="2"/>
      </c>
      <c r="I148">
        <f>VLOOKUP(TablaObra5[[#This Row],[Obra]],Catalogos!$B$3:$C$10,2,FALSE)</f>
      </c>
      <c r="K148">
        <v>25</v>
      </c>
    </row>
    <row r="149" spans="1:11">
      <c r="A149" s="2">
        <v>46192</v>
      </c>
      <c r="B149" t="s">
        <v>1</v>
      </c>
      <c r="C149" s="2">
        <v>46192</v>
      </c>
      <c r="D149" t="s">
        <v>163</v>
      </c>
      <c r="E149">
        <f>VLOOKUP(TablaObra5[[#This Row],[Equipo]],Catalogos!$I$4:$J$64,2,FALSE)</f>
      </c>
      <c r="F149" s="6">
        <v>60</v>
      </c>
      <c r="G149" s="4">
        <v>27</v>
      </c>
      <c r="H149" s="4">
        <f t="shared" si="2"/>
      </c>
      <c r="I149">
        <f>VLOOKUP(TablaObra5[[#This Row],[Obra]],Catalogos!$B$3:$C$10,2,FALSE)</f>
      </c>
      <c r="K149">
        <v>25</v>
      </c>
    </row>
    <row r="150" spans="1:11">
      <c r="A150" s="2">
        <v>46192</v>
      </c>
      <c r="B150" t="s">
        <v>1</v>
      </c>
      <c r="C150" s="2">
        <v>46192</v>
      </c>
      <c r="D150" t="s">
        <v>85</v>
      </c>
      <c r="E150">
        <f>VLOOKUP(TablaObra5[[#This Row],[Equipo]],Catalogos!$I$4:$J$64,2,FALSE)</f>
      </c>
      <c r="F150" s="6">
        <v>80</v>
      </c>
      <c r="G150" s="4">
        <v>27</v>
      </c>
      <c r="H150" s="4">
        <f t="shared" si="2"/>
      </c>
      <c r="I150">
        <f>VLOOKUP(TablaObra5[[#This Row],[Obra]],Catalogos!$B$3:$C$10,2,FALSE)</f>
      </c>
      <c r="K150">
        <v>25</v>
      </c>
    </row>
    <row r="151" spans="1:11">
      <c r="A151" s="2">
        <v>46192</v>
      </c>
      <c r="B151" t="s">
        <v>1</v>
      </c>
      <c r="C151" s="2">
        <v>46192</v>
      </c>
      <c r="D151" t="s">
        <v>79</v>
      </c>
      <c r="E151">
        <f>VLOOKUP(TablaObra5[[#This Row],[Equipo]],Catalogos!$I$4:$J$64,2,FALSE)</f>
      </c>
      <c r="F151" s="6">
        <v>40</v>
      </c>
      <c r="G151" s="4">
        <v>27</v>
      </c>
      <c r="H151" s="4">
        <f t="shared" si="2"/>
      </c>
      <c r="I151">
        <f>VLOOKUP(TablaObra5[[#This Row],[Obra]],Catalogos!$B$3:$C$10,2,FALSE)</f>
      </c>
      <c r="K151">
        <v>25</v>
      </c>
    </row>
    <row r="152" spans="1:11">
      <c r="A152" s="2">
        <v>46192</v>
      </c>
      <c r="B152" t="s">
        <v>1</v>
      </c>
      <c r="C152" s="2">
        <v>46192</v>
      </c>
      <c r="D152" t="s">
        <v>56</v>
      </c>
      <c r="E152">
        <f>VLOOKUP(TablaObra5[[#This Row],[Equipo]],Catalogos!$I$4:$J$64,2,FALSE)</f>
      </c>
      <c r="F152" s="6">
        <v>80</v>
      </c>
      <c r="G152" s="4">
        <v>27</v>
      </c>
      <c r="H152" s="4">
        <f t="shared" si="2"/>
      </c>
      <c r="I152">
        <f>VLOOKUP(TablaObra5[[#This Row],[Obra]],Catalogos!$B$3:$C$10,2,FALSE)</f>
      </c>
      <c r="K152">
        <v>25</v>
      </c>
    </row>
    <row r="153" spans="1:11">
      <c r="A153" s="2">
        <v>46192</v>
      </c>
      <c r="B153" t="s">
        <v>1</v>
      </c>
      <c r="C153" s="2">
        <v>46192</v>
      </c>
      <c r="D153" t="s">
        <v>60</v>
      </c>
      <c r="E153">
        <f>VLOOKUP(TablaObra5[[#This Row],[Equipo]],Catalogos!$I$4:$J$64,2,FALSE)</f>
      </c>
      <c r="F153" s="6">
        <v>50</v>
      </c>
      <c r="G153" s="4">
        <v>27</v>
      </c>
      <c r="H153" s="4">
        <f t="shared" si="2"/>
      </c>
      <c r="I153">
        <f>VLOOKUP(TablaObra5[[#This Row],[Obra]],Catalogos!$B$3:$C$10,2,FALSE)</f>
      </c>
      <c r="K153">
        <v>25</v>
      </c>
    </row>
    <row r="154" spans="1:11">
      <c r="A154" s="2">
        <v>46192</v>
      </c>
      <c r="B154" t="s">
        <v>111</v>
      </c>
      <c r="C154"/>
      <c r="D154" t="s">
        <v>56</v>
      </c>
      <c r="E154">
        <f>VLOOKUP(TablaObra5[[#This Row],[Equipo]],Catalogos!$I$4:$J$64,2,FALSE)</f>
      </c>
      <c r="F154" s="6">
        <v>60</v>
      </c>
      <c r="G154" s="4">
        <v>27</v>
      </c>
      <c r="H154" s="4">
        <f t="shared" si="2"/>
      </c>
      <c r="I154">
        <f>VLOOKUP(TablaObra5[[#This Row],[Obra]],Catalogos!$B$3:$C$10,2,FALSE)</f>
      </c>
      <c r="K154">
        <v>25</v>
      </c>
    </row>
    <row r="155" spans="1:11">
      <c r="A155" s="2">
        <v>46192</v>
      </c>
      <c r="B155" t="s">
        <v>111</v>
      </c>
      <c r="C155"/>
      <c r="D155" t="s">
        <v>56</v>
      </c>
      <c r="E155">
        <f>VLOOKUP(TablaObra5[[#This Row],[Equipo]],Catalogos!$I$4:$J$64,2,FALSE)</f>
      </c>
      <c r="F155" s="6">
        <v>50</v>
      </c>
      <c r="G155" s="4">
        <v>27</v>
      </c>
      <c r="H155" s="4">
        <f t="shared" si="2"/>
      </c>
      <c r="I155">
        <f>VLOOKUP(TablaObra5[[#This Row],[Obra]],Catalogos!$B$3:$C$10,2,FALSE)</f>
      </c>
      <c r="K155">
        <v>25</v>
      </c>
    </row>
    <row r="156" spans="1:11">
      <c r="A156" s="2">
        <v>46194</v>
      </c>
      <c r="B156" t="s">
        <v>2</v>
      </c>
      <c r="C156" s="2">
        <v>46195</v>
      </c>
      <c r="D156" t="s">
        <v>215</v>
      </c>
      <c r="E156">
        <f>VLOOKUP(TablaObra5[[#This Row],[Equipo]],Catalogos!$I$4:$J$64,2,FALSE)</f>
      </c>
      <c r="F156" s="6">
        <v>240</v>
      </c>
      <c r="G156" s="4">
        <v>27</v>
      </c>
      <c r="H156" s="4">
        <f t="shared" si="2"/>
      </c>
      <c r="I156">
        <f>VLOOKUP(TablaObra5[[#This Row],[Obra]],Catalogos!$B$3:$C$10,2,FALSE)</f>
      </c>
      <c r="K156">
        <v>26</v>
      </c>
    </row>
    <row r="157" spans="1:11">
      <c r="A157" s="2">
        <v>46194</v>
      </c>
      <c r="B157" t="s">
        <v>2</v>
      </c>
      <c r="C157" s="2">
        <v>46195</v>
      </c>
      <c r="D157" t="s">
        <v>217</v>
      </c>
      <c r="E157">
        <f>VLOOKUP(TablaObra5[[#This Row],[Equipo]],Catalogos!$I$4:$J$64,2,FALSE)</f>
      </c>
      <c r="F157" s="6">
        <v>20</v>
      </c>
      <c r="G157" s="4">
        <v>27</v>
      </c>
      <c r="H157" s="4">
        <f t="shared" si="2"/>
      </c>
      <c r="I157">
        <f>VLOOKUP(TablaObra5[[#This Row],[Obra]],Catalogos!$B$3:$C$10,2,FALSE)</f>
      </c>
      <c r="K157">
        <v>26</v>
      </c>
    </row>
    <row r="158" spans="1:11">
      <c r="A158" s="2">
        <v>46194</v>
      </c>
      <c r="B158" t="s">
        <v>2</v>
      </c>
      <c r="C158" s="2">
        <v>46195</v>
      </c>
      <c r="D158" t="s">
        <v>210</v>
      </c>
      <c r="E158">
        <f>VLOOKUP(TablaObra5[[#This Row],[Equipo]],Catalogos!$I$4:$J$64,2,FALSE)</f>
      </c>
      <c r="F158" s="6">
        <v>30</v>
      </c>
      <c r="G158" s="4">
        <v>27</v>
      </c>
      <c r="H158" s="4">
        <f t="shared" si="2"/>
      </c>
      <c r="I158">
        <f>VLOOKUP(TablaObra5[[#This Row],[Obra]],Catalogos!$B$3:$C$10,2,FALSE)</f>
      </c>
      <c r="K158">
        <v>26</v>
      </c>
    </row>
    <row r="159" spans="1:11">
      <c r="A159" s="2">
        <v>46194</v>
      </c>
      <c r="B159" t="s">
        <v>2</v>
      </c>
      <c r="C159" s="2">
        <v>46195</v>
      </c>
      <c r="D159" t="s">
        <v>211</v>
      </c>
      <c r="E159">
        <f>VLOOKUP(TablaObra5[[#This Row],[Equipo]],Catalogos!$I$4:$J$64,2,FALSE)</f>
      </c>
      <c r="F159" s="6">
        <v>80</v>
      </c>
      <c r="G159" s="4">
        <v>27</v>
      </c>
      <c r="H159" s="4">
        <f t="shared" si="2"/>
      </c>
      <c r="I159">
        <f>VLOOKUP(TablaObra5[[#This Row],[Obra]],Catalogos!$B$3:$C$10,2,FALSE)</f>
      </c>
      <c r="K159">
        <v>26</v>
      </c>
    </row>
    <row r="160" spans="1:11">
      <c r="A160" s="2">
        <v>46194</v>
      </c>
      <c r="B160" t="s">
        <v>2</v>
      </c>
      <c r="C160" s="2">
        <v>46195</v>
      </c>
      <c r="D160" t="s">
        <v>236</v>
      </c>
      <c r="E160">
        <f>VLOOKUP(TablaObra5[[#This Row],[Equipo]],Catalogos!$I$4:$J$64,2,FALSE)</f>
      </c>
      <c r="F160" s="6">
        <v>40</v>
      </c>
      <c r="G160" s="4">
        <v>27</v>
      </c>
      <c r="H160" s="4">
        <f t="shared" si="2"/>
      </c>
      <c r="I160">
        <f>VLOOKUP(TablaObra5[[#This Row],[Obra]],Catalogos!$B$3:$C$10,2,FALSE)</f>
      </c>
      <c r="K160">
        <v>26</v>
      </c>
    </row>
    <row r="161" spans="1:11">
      <c r="A161" s="2">
        <v>46194</v>
      </c>
      <c r="B161" t="s">
        <v>2</v>
      </c>
      <c r="C161" s="2">
        <v>46195</v>
      </c>
      <c r="D161" t="s">
        <v>223</v>
      </c>
      <c r="E161">
        <f>VLOOKUP(TablaObra5[[#This Row],[Equipo]],Catalogos!$I$4:$J$64,2,FALSE)</f>
      </c>
      <c r="F161" s="6">
        <v>24</v>
      </c>
      <c r="G161" s="4">
        <v>27</v>
      </c>
      <c r="H161" s="4">
        <f t="shared" si="2"/>
      </c>
      <c r="I161">
        <f>VLOOKUP(TablaObra5[[#This Row],[Obra]],Catalogos!$B$3:$C$10,2,FALSE)</f>
      </c>
      <c r="K161">
        <v>26</v>
      </c>
    </row>
    <row r="162" spans="1:11">
      <c r="A162" s="2">
        <v>46194</v>
      </c>
      <c r="B162" t="s">
        <v>2</v>
      </c>
      <c r="C162" s="2">
        <v>46195</v>
      </c>
      <c r="D162" t="s">
        <v>231</v>
      </c>
      <c r="E162">
        <f>VLOOKUP(TablaObra5[[#This Row],[Equipo]],Catalogos!$I$4:$J$64,2,FALSE)</f>
      </c>
      <c r="F162" s="6">
        <v>60</v>
      </c>
      <c r="G162" s="4">
        <v>27</v>
      </c>
      <c r="H162" s="4">
        <f t="shared" si="2"/>
      </c>
      <c r="I162">
        <f>VLOOKUP(TablaObra5[[#This Row],[Obra]],Catalogos!$B$3:$C$10,2,FALSE)</f>
      </c>
      <c r="K162">
        <v>26</v>
      </c>
    </row>
    <row r="163" spans="1:11">
      <c r="A163" s="2">
        <v>46194</v>
      </c>
      <c r="B163" t="s">
        <v>2</v>
      </c>
      <c r="C163" s="2">
        <v>46195</v>
      </c>
      <c r="D163" t="s">
        <v>225</v>
      </c>
      <c r="E163">
        <f>VLOOKUP(TablaObra5[[#This Row],[Equipo]],Catalogos!$I$4:$J$64,2,FALSE)</f>
      </c>
      <c r="F163" s="6">
        <v>24</v>
      </c>
      <c r="G163" s="4">
        <v>27</v>
      </c>
      <c r="H163" s="4">
        <f t="shared" si="2"/>
      </c>
      <c r="I163">
        <f>VLOOKUP(TablaObra5[[#This Row],[Obra]],Catalogos!$B$3:$C$10,2,FALSE)</f>
      </c>
      <c r="K163">
        <v>26</v>
      </c>
    </row>
    <row r="164" spans="1:11">
      <c r="A164" s="2">
        <v>46194</v>
      </c>
      <c r="B164" t="s">
        <v>2</v>
      </c>
      <c r="C164" s="2">
        <v>46195</v>
      </c>
      <c r="D164" t="s">
        <v>234</v>
      </c>
      <c r="E164">
        <f>VLOOKUP(TablaObra5[[#This Row],[Equipo]],Catalogos!$I$4:$J$64,2,FALSE)</f>
      </c>
      <c r="F164" s="6">
        <v>60</v>
      </c>
      <c r="G164" s="4">
        <v>27</v>
      </c>
      <c r="H164" s="4">
        <f t="shared" si="2"/>
      </c>
      <c r="I164">
        <f>VLOOKUP(TablaObra5[[#This Row],[Obra]],Catalogos!$B$3:$C$10,2,FALSE)</f>
      </c>
      <c r="K164">
        <v>26</v>
      </c>
    </row>
    <row r="165" spans="1:11">
      <c r="A165" s="2">
        <v>46194</v>
      </c>
      <c r="B165" t="s">
        <v>2</v>
      </c>
      <c r="C165" s="2">
        <v>46196</v>
      </c>
      <c r="D165" t="s">
        <v>215</v>
      </c>
      <c r="E165">
        <f>VLOOKUP(TablaObra5[[#This Row],[Equipo]],Catalogos!$I$4:$J$64,2,FALSE)</f>
      </c>
      <c r="F165" s="6">
        <v>240</v>
      </c>
      <c r="G165" s="4">
        <v>27</v>
      </c>
      <c r="H165" s="4">
        <f t="shared" si="2"/>
      </c>
      <c r="I165">
        <f>VLOOKUP(TablaObra5[[#This Row],[Obra]],Catalogos!$B$3:$C$10,2,FALSE)</f>
      </c>
      <c r="K165">
        <v>26</v>
      </c>
    </row>
    <row r="166" spans="1:11">
      <c r="A166" s="2">
        <v>46194</v>
      </c>
      <c r="B166" t="s">
        <v>2</v>
      </c>
      <c r="C166" s="2">
        <v>46196</v>
      </c>
      <c r="D166" t="s">
        <v>217</v>
      </c>
      <c r="E166">
        <f>VLOOKUP(TablaObra5[[#This Row],[Equipo]],Catalogos!$I$4:$J$64,2,FALSE)</f>
      </c>
      <c r="F166" s="6">
        <v>20</v>
      </c>
      <c r="G166" s="4">
        <v>27</v>
      </c>
      <c r="H166" s="4">
        <f t="shared" si="2"/>
      </c>
      <c r="I166">
        <f>VLOOKUP(TablaObra5[[#This Row],[Obra]],Catalogos!$B$3:$C$10,2,FALSE)</f>
      </c>
      <c r="K166">
        <v>26</v>
      </c>
    </row>
    <row r="167" spans="1:11">
      <c r="A167" s="2">
        <v>46194</v>
      </c>
      <c r="B167" t="s">
        <v>2</v>
      </c>
      <c r="C167" s="2">
        <v>46196</v>
      </c>
      <c r="D167" t="s">
        <v>210</v>
      </c>
      <c r="E167">
        <f>VLOOKUP(TablaObra5[[#This Row],[Equipo]],Catalogos!$I$4:$J$64,2,FALSE)</f>
      </c>
      <c r="F167" s="6">
        <v>30</v>
      </c>
      <c r="G167" s="4">
        <v>27</v>
      </c>
      <c r="H167" s="4">
        <f t="shared" si="2"/>
      </c>
      <c r="I167">
        <f>VLOOKUP(TablaObra5[[#This Row],[Obra]],Catalogos!$B$3:$C$10,2,FALSE)</f>
      </c>
      <c r="K167">
        <v>26</v>
      </c>
    </row>
    <row r="168" spans="1:11">
      <c r="A168" s="2">
        <v>46194</v>
      </c>
      <c r="B168" t="s">
        <v>2</v>
      </c>
      <c r="C168" s="2">
        <v>46196</v>
      </c>
      <c r="D168" t="s">
        <v>211</v>
      </c>
      <c r="E168">
        <f>VLOOKUP(TablaObra5[[#This Row],[Equipo]],Catalogos!$I$4:$J$64,2,FALSE)</f>
      </c>
      <c r="F168" s="6">
        <v>80</v>
      </c>
      <c r="G168" s="4">
        <v>27</v>
      </c>
      <c r="H168" s="4">
        <f t="shared" si="2"/>
      </c>
      <c r="I168">
        <f>VLOOKUP(TablaObra5[[#This Row],[Obra]],Catalogos!$B$3:$C$10,2,FALSE)</f>
      </c>
      <c r="K168">
        <v>26</v>
      </c>
    </row>
    <row r="169" spans="1:11">
      <c r="A169" s="2">
        <v>46194</v>
      </c>
      <c r="B169" t="s">
        <v>2</v>
      </c>
      <c r="C169" s="2">
        <v>46196</v>
      </c>
      <c r="D169" t="s">
        <v>236</v>
      </c>
      <c r="E169">
        <f>VLOOKUP(TablaObra5[[#This Row],[Equipo]],Catalogos!$I$4:$J$64,2,FALSE)</f>
      </c>
      <c r="F169" s="6">
        <v>40</v>
      </c>
      <c r="G169" s="4">
        <v>27</v>
      </c>
      <c r="H169" s="4">
        <f t="shared" si="2"/>
      </c>
      <c r="I169">
        <f>VLOOKUP(TablaObra5[[#This Row],[Obra]],Catalogos!$B$3:$C$10,2,FALSE)</f>
      </c>
      <c r="K169">
        <v>26</v>
      </c>
    </row>
    <row r="170" spans="1:11">
      <c r="A170" s="2">
        <v>46194</v>
      </c>
      <c r="B170" t="s">
        <v>2</v>
      </c>
      <c r="C170" s="2">
        <v>46196</v>
      </c>
      <c r="D170" t="s">
        <v>223</v>
      </c>
      <c r="E170">
        <f>VLOOKUP(TablaObra5[[#This Row],[Equipo]],Catalogos!$I$4:$J$64,2,FALSE)</f>
      </c>
      <c r="F170" s="6">
        <v>24</v>
      </c>
      <c r="G170" s="4">
        <v>27</v>
      </c>
      <c r="H170" s="4">
        <f t="shared" si="2"/>
      </c>
      <c r="I170">
        <f>VLOOKUP(TablaObra5[[#This Row],[Obra]],Catalogos!$B$3:$C$10,2,FALSE)</f>
      </c>
      <c r="K170">
        <v>26</v>
      </c>
    </row>
    <row r="171" spans="1:11">
      <c r="A171" s="2">
        <v>46194</v>
      </c>
      <c r="B171" t="s">
        <v>2</v>
      </c>
      <c r="C171" s="2">
        <v>46196</v>
      </c>
      <c r="D171" t="s">
        <v>231</v>
      </c>
      <c r="E171">
        <f>VLOOKUP(TablaObra5[[#This Row],[Equipo]],Catalogos!$I$4:$J$64,2,FALSE)</f>
      </c>
      <c r="F171" s="6">
        <v>60</v>
      </c>
      <c r="G171" s="4">
        <v>27</v>
      </c>
      <c r="H171" s="4">
        <f t="shared" si="2"/>
      </c>
      <c r="I171">
        <f>VLOOKUP(TablaObra5[[#This Row],[Obra]],Catalogos!$B$3:$C$10,2,FALSE)</f>
      </c>
      <c r="K171">
        <v>26</v>
      </c>
    </row>
    <row r="172" spans="1:11">
      <c r="A172" s="2">
        <v>46194</v>
      </c>
      <c r="B172" t="s">
        <v>2</v>
      </c>
      <c r="C172" s="2">
        <v>46196</v>
      </c>
      <c r="D172" t="s">
        <v>225</v>
      </c>
      <c r="E172">
        <f>VLOOKUP(TablaObra5[[#This Row],[Equipo]],Catalogos!$I$4:$J$64,2,FALSE)</f>
      </c>
      <c r="F172" s="6">
        <v>24</v>
      </c>
      <c r="G172" s="4">
        <v>27</v>
      </c>
      <c r="H172" s="4">
        <f t="shared" si="2"/>
      </c>
      <c r="I172">
        <f>VLOOKUP(TablaObra5[[#This Row],[Obra]],Catalogos!$B$3:$C$10,2,FALSE)</f>
      </c>
      <c r="K172">
        <v>26</v>
      </c>
    </row>
    <row r="173" spans="1:11">
      <c r="A173" s="2">
        <v>46194</v>
      </c>
      <c r="B173" t="s">
        <v>2</v>
      </c>
      <c r="C173" s="2">
        <v>46196</v>
      </c>
      <c r="D173" t="s">
        <v>234</v>
      </c>
      <c r="E173">
        <f>VLOOKUP(TablaObra5[[#This Row],[Equipo]],Catalogos!$I$4:$J$64,2,FALSE)</f>
      </c>
      <c r="F173" s="6">
        <v>60</v>
      </c>
      <c r="G173" s="4">
        <v>27</v>
      </c>
      <c r="H173" s="4">
        <f t="shared" si="2"/>
      </c>
      <c r="I173">
        <f>VLOOKUP(TablaObra5[[#This Row],[Obra]],Catalogos!$B$3:$C$10,2,FALSE)</f>
      </c>
      <c r="K173">
        <v>26</v>
      </c>
    </row>
    <row r="174" spans="1:11">
      <c r="A174" s="2">
        <v>46194</v>
      </c>
      <c r="B174" t="s">
        <v>2</v>
      </c>
      <c r="C174" s="2">
        <v>46197</v>
      </c>
      <c r="D174" t="s">
        <v>215</v>
      </c>
      <c r="E174">
        <f>VLOOKUP(TablaObra5[[#This Row],[Equipo]],Catalogos!$I$4:$J$64,2,FALSE)</f>
      </c>
      <c r="F174" s="6">
        <v>240</v>
      </c>
      <c r="G174" s="4">
        <v>27</v>
      </c>
      <c r="H174" s="4">
        <f t="shared" si="2"/>
      </c>
      <c r="I174">
        <f>VLOOKUP(TablaObra5[[#This Row],[Obra]],Catalogos!$B$3:$C$10,2,FALSE)</f>
      </c>
      <c r="K174">
        <v>26</v>
      </c>
    </row>
    <row r="175" spans="1:11">
      <c r="A175" s="2">
        <v>46194</v>
      </c>
      <c r="B175" t="s">
        <v>2</v>
      </c>
      <c r="C175" s="2">
        <v>46197</v>
      </c>
      <c r="D175" t="s">
        <v>217</v>
      </c>
      <c r="E175">
        <f>VLOOKUP(TablaObra5[[#This Row],[Equipo]],Catalogos!$I$4:$J$64,2,FALSE)</f>
      </c>
      <c r="F175" s="6">
        <v>20</v>
      </c>
      <c r="G175" s="4">
        <v>27</v>
      </c>
      <c r="H175" s="4">
        <f t="shared" si="2"/>
      </c>
      <c r="I175">
        <f>VLOOKUP(TablaObra5[[#This Row],[Obra]],Catalogos!$B$3:$C$10,2,FALSE)</f>
      </c>
      <c r="K175">
        <v>26</v>
      </c>
    </row>
    <row r="176" spans="1:11">
      <c r="A176" s="2">
        <v>46194</v>
      </c>
      <c r="B176" t="s">
        <v>2</v>
      </c>
      <c r="C176" s="2">
        <v>46197</v>
      </c>
      <c r="D176" t="s">
        <v>210</v>
      </c>
      <c r="E176">
        <f>VLOOKUP(TablaObra5[[#This Row],[Equipo]],Catalogos!$I$4:$J$64,2,FALSE)</f>
      </c>
      <c r="F176" s="6">
        <v>30</v>
      </c>
      <c r="G176" s="4">
        <v>27</v>
      </c>
      <c r="H176" s="4">
        <f t="shared" si="2"/>
      </c>
      <c r="I176">
        <f>VLOOKUP(TablaObra5[[#This Row],[Obra]],Catalogos!$B$3:$C$10,2,FALSE)</f>
      </c>
      <c r="K176">
        <v>26</v>
      </c>
    </row>
    <row r="177" spans="1:11">
      <c r="A177" s="2">
        <v>46194</v>
      </c>
      <c r="B177" t="s">
        <v>2</v>
      </c>
      <c r="C177" s="2">
        <v>46197</v>
      </c>
      <c r="D177" t="s">
        <v>211</v>
      </c>
      <c r="E177">
        <f>VLOOKUP(TablaObra5[[#This Row],[Equipo]],Catalogos!$I$4:$J$64,2,FALSE)</f>
      </c>
      <c r="F177" s="6">
        <v>80</v>
      </c>
      <c r="G177" s="4">
        <v>27</v>
      </c>
      <c r="H177" s="4">
        <f t="shared" si="2"/>
      </c>
      <c r="I177">
        <f>VLOOKUP(TablaObra5[[#This Row],[Obra]],Catalogos!$B$3:$C$10,2,FALSE)</f>
      </c>
      <c r="K177">
        <v>26</v>
      </c>
    </row>
    <row r="178" spans="1:11">
      <c r="A178" s="2">
        <v>46194</v>
      </c>
      <c r="B178" t="s">
        <v>2</v>
      </c>
      <c r="C178" s="2">
        <v>46197</v>
      </c>
      <c r="D178" t="s">
        <v>236</v>
      </c>
      <c r="E178">
        <f>VLOOKUP(TablaObra5[[#This Row],[Equipo]],Catalogos!$I$4:$J$64,2,FALSE)</f>
      </c>
      <c r="F178" s="6">
        <v>40</v>
      </c>
      <c r="G178" s="4">
        <v>27</v>
      </c>
      <c r="H178" s="4">
        <f t="shared" si="2"/>
      </c>
      <c r="I178">
        <f>VLOOKUP(TablaObra5[[#This Row],[Obra]],Catalogos!$B$3:$C$10,2,FALSE)</f>
      </c>
      <c r="K178">
        <v>26</v>
      </c>
    </row>
    <row r="179" spans="1:11">
      <c r="A179" s="2">
        <v>46194</v>
      </c>
      <c r="B179" t="s">
        <v>2</v>
      </c>
      <c r="C179" s="2">
        <v>46197</v>
      </c>
      <c r="D179" t="s">
        <v>223</v>
      </c>
      <c r="E179">
        <f>VLOOKUP(TablaObra5[[#This Row],[Equipo]],Catalogos!$I$4:$J$64,2,FALSE)</f>
      </c>
      <c r="F179" s="6">
        <v>24</v>
      </c>
      <c r="G179" s="4">
        <v>27</v>
      </c>
      <c r="H179" s="4">
        <f t="shared" si="2"/>
      </c>
      <c r="I179">
        <f>VLOOKUP(TablaObra5[[#This Row],[Obra]],Catalogos!$B$3:$C$10,2,FALSE)</f>
      </c>
      <c r="K179">
        <v>26</v>
      </c>
    </row>
    <row r="180" spans="1:11">
      <c r="A180" s="2">
        <v>46194</v>
      </c>
      <c r="B180" t="s">
        <v>2</v>
      </c>
      <c r="C180" s="2">
        <v>46197</v>
      </c>
      <c r="D180" t="s">
        <v>231</v>
      </c>
      <c r="E180">
        <f>VLOOKUP(TablaObra5[[#This Row],[Equipo]],Catalogos!$I$4:$J$64,2,FALSE)</f>
      </c>
      <c r="F180" s="6">
        <v>60</v>
      </c>
      <c r="G180" s="4">
        <v>27</v>
      </c>
      <c r="H180" s="4">
        <f t="shared" si="2"/>
      </c>
      <c r="I180">
        <f>VLOOKUP(TablaObra5[[#This Row],[Obra]],Catalogos!$B$3:$C$10,2,FALSE)</f>
      </c>
      <c r="K180">
        <v>26</v>
      </c>
    </row>
    <row r="181" spans="1:11">
      <c r="A181" s="2">
        <v>46194</v>
      </c>
      <c r="B181" t="s">
        <v>2</v>
      </c>
      <c r="C181" s="2">
        <v>46197</v>
      </c>
      <c r="D181" t="s">
        <v>225</v>
      </c>
      <c r="E181">
        <f>VLOOKUP(TablaObra5[[#This Row],[Equipo]],Catalogos!$I$4:$J$64,2,FALSE)</f>
      </c>
      <c r="F181" s="6">
        <v>24</v>
      </c>
      <c r="G181" s="4">
        <v>27</v>
      </c>
      <c r="H181" s="4">
        <f t="shared" si="2"/>
      </c>
      <c r="I181">
        <f>VLOOKUP(TablaObra5[[#This Row],[Obra]],Catalogos!$B$3:$C$10,2,FALSE)</f>
      </c>
      <c r="K181">
        <v>26</v>
      </c>
    </row>
    <row r="182" spans="1:11">
      <c r="A182" s="2">
        <v>46194</v>
      </c>
      <c r="B182" t="s">
        <v>2</v>
      </c>
      <c r="C182" s="2">
        <v>46197</v>
      </c>
      <c r="D182" t="s">
        <v>234</v>
      </c>
      <c r="E182">
        <f>VLOOKUP(TablaObra5[[#This Row],[Equipo]],Catalogos!$I$4:$J$64,2,FALSE)</f>
      </c>
      <c r="F182" s="6">
        <v>60</v>
      </c>
      <c r="G182" s="4">
        <v>27</v>
      </c>
      <c r="H182" s="4">
        <f t="shared" si="2"/>
      </c>
      <c r="I182">
        <f>VLOOKUP(TablaObra5[[#This Row],[Obra]],Catalogos!$B$3:$C$10,2,FALSE)</f>
      </c>
      <c r="K182">
        <v>26</v>
      </c>
    </row>
    <row r="183" spans="1:11">
      <c r="A183" s="2">
        <v>46194</v>
      </c>
      <c r="B183" t="s">
        <v>2</v>
      </c>
      <c r="C183" s="2">
        <v>46198</v>
      </c>
      <c r="D183" t="s">
        <v>215</v>
      </c>
      <c r="E183">
        <f>VLOOKUP(TablaObra5[[#This Row],[Equipo]],Catalogos!$I$4:$J$64,2,FALSE)</f>
      </c>
      <c r="F183" s="6">
        <v>240</v>
      </c>
      <c r="G183" s="4">
        <v>27</v>
      </c>
      <c r="H183" s="4">
        <f t="shared" si="2"/>
      </c>
      <c r="I183">
        <f>VLOOKUP(TablaObra5[[#This Row],[Obra]],Catalogos!$B$3:$C$10,2,FALSE)</f>
      </c>
      <c r="K183">
        <v>26</v>
      </c>
    </row>
    <row r="184" spans="1:11">
      <c r="A184" s="2">
        <v>46194</v>
      </c>
      <c r="B184" t="s">
        <v>2</v>
      </c>
      <c r="C184" s="2">
        <v>46198</v>
      </c>
      <c r="D184" t="s">
        <v>217</v>
      </c>
      <c r="E184">
        <f>VLOOKUP(TablaObra5[[#This Row],[Equipo]],Catalogos!$I$4:$J$64,2,FALSE)</f>
      </c>
      <c r="F184" s="6">
        <v>20</v>
      </c>
      <c r="G184" s="4">
        <v>27</v>
      </c>
      <c r="H184" s="4">
        <f t="shared" si="2"/>
      </c>
      <c r="I184">
        <f>VLOOKUP(TablaObra5[[#This Row],[Obra]],Catalogos!$B$3:$C$10,2,FALSE)</f>
      </c>
      <c r="K184">
        <v>26</v>
      </c>
    </row>
    <row r="185" spans="1:11">
      <c r="A185" s="2">
        <v>46194</v>
      </c>
      <c r="B185" t="s">
        <v>2</v>
      </c>
      <c r="C185" s="2">
        <v>46198</v>
      </c>
      <c r="D185" t="s">
        <v>210</v>
      </c>
      <c r="E185">
        <f>VLOOKUP(TablaObra5[[#This Row],[Equipo]],Catalogos!$I$4:$J$64,2,FALSE)</f>
      </c>
      <c r="F185" s="6">
        <v>30</v>
      </c>
      <c r="G185" s="4">
        <v>27</v>
      </c>
      <c r="H185" s="4">
        <f t="shared" si="2"/>
      </c>
      <c r="I185">
        <f>VLOOKUP(TablaObra5[[#This Row],[Obra]],Catalogos!$B$3:$C$10,2,FALSE)</f>
      </c>
      <c r="K185">
        <v>26</v>
      </c>
    </row>
    <row r="186" spans="1:11">
      <c r="A186" s="2">
        <v>46194</v>
      </c>
      <c r="B186" t="s">
        <v>2</v>
      </c>
      <c r="C186" s="2">
        <v>46198</v>
      </c>
      <c r="D186" t="s">
        <v>211</v>
      </c>
      <c r="E186">
        <f>VLOOKUP(TablaObra5[[#This Row],[Equipo]],Catalogos!$I$4:$J$64,2,FALSE)</f>
      </c>
      <c r="F186" s="6">
        <v>80</v>
      </c>
      <c r="G186" s="4">
        <v>27</v>
      </c>
      <c r="H186" s="4">
        <f t="shared" si="2"/>
      </c>
      <c r="I186">
        <f>VLOOKUP(TablaObra5[[#This Row],[Obra]],Catalogos!$B$3:$C$10,2,FALSE)</f>
      </c>
      <c r="K186">
        <v>26</v>
      </c>
    </row>
    <row r="187" spans="1:11">
      <c r="A187" s="2">
        <v>46194</v>
      </c>
      <c r="B187" t="s">
        <v>2</v>
      </c>
      <c r="C187" s="2">
        <v>46198</v>
      </c>
      <c r="D187" t="s">
        <v>236</v>
      </c>
      <c r="E187">
        <f>VLOOKUP(TablaObra5[[#This Row],[Equipo]],Catalogos!$I$4:$J$64,2,FALSE)</f>
      </c>
      <c r="F187" s="6">
        <v>40</v>
      </c>
      <c r="G187" s="4">
        <v>27</v>
      </c>
      <c r="H187" s="4">
        <f t="shared" si="2"/>
      </c>
      <c r="I187">
        <f>VLOOKUP(TablaObra5[[#This Row],[Obra]],Catalogos!$B$3:$C$10,2,FALSE)</f>
      </c>
      <c r="K187">
        <v>26</v>
      </c>
    </row>
    <row r="188" spans="1:11">
      <c r="A188" s="2">
        <v>46194</v>
      </c>
      <c r="B188" t="s">
        <v>2</v>
      </c>
      <c r="C188" s="2">
        <v>46198</v>
      </c>
      <c r="D188" t="s">
        <v>223</v>
      </c>
      <c r="E188">
        <f>VLOOKUP(TablaObra5[[#This Row],[Equipo]],Catalogos!$I$4:$J$64,2,FALSE)</f>
      </c>
      <c r="F188" s="6">
        <v>24</v>
      </c>
      <c r="G188" s="4">
        <v>27</v>
      </c>
      <c r="H188" s="4">
        <f t="shared" si="2"/>
      </c>
      <c r="I188">
        <f>VLOOKUP(TablaObra5[[#This Row],[Obra]],Catalogos!$B$3:$C$10,2,FALSE)</f>
      </c>
      <c r="K188">
        <v>26</v>
      </c>
    </row>
    <row r="189" spans="1:11">
      <c r="A189" s="2">
        <v>46194</v>
      </c>
      <c r="B189" t="s">
        <v>2</v>
      </c>
      <c r="C189" s="2">
        <v>46198</v>
      </c>
      <c r="D189" t="s">
        <v>231</v>
      </c>
      <c r="E189">
        <f>VLOOKUP(TablaObra5[[#This Row],[Equipo]],Catalogos!$I$4:$J$64,2,FALSE)</f>
      </c>
      <c r="F189" s="6">
        <v>60</v>
      </c>
      <c r="G189" s="4">
        <v>27</v>
      </c>
      <c r="H189" s="4">
        <f t="shared" si="2"/>
      </c>
      <c r="I189">
        <f>VLOOKUP(TablaObra5[[#This Row],[Obra]],Catalogos!$B$3:$C$10,2,FALSE)</f>
      </c>
      <c r="K189">
        <v>26</v>
      </c>
    </row>
    <row r="190" spans="1:11">
      <c r="A190" s="2">
        <v>46194</v>
      </c>
      <c r="B190" t="s">
        <v>2</v>
      </c>
      <c r="C190" s="2">
        <v>46198</v>
      </c>
      <c r="D190" t="s">
        <v>225</v>
      </c>
      <c r="E190">
        <f>VLOOKUP(TablaObra5[[#This Row],[Equipo]],Catalogos!$I$4:$J$64,2,FALSE)</f>
      </c>
      <c r="F190" s="6">
        <v>24</v>
      </c>
      <c r="G190" s="4">
        <v>27</v>
      </c>
      <c r="H190" s="4">
        <f t="shared" si="2"/>
      </c>
      <c r="I190">
        <f>VLOOKUP(TablaObra5[[#This Row],[Obra]],Catalogos!$B$3:$C$10,2,FALSE)</f>
      </c>
      <c r="K190">
        <v>26</v>
      </c>
    </row>
    <row r="191" spans="1:11">
      <c r="A191" s="2">
        <v>46194</v>
      </c>
      <c r="B191" t="s">
        <v>2</v>
      </c>
      <c r="C191" s="2">
        <v>46198</v>
      </c>
      <c r="D191" t="s">
        <v>234</v>
      </c>
      <c r="E191">
        <f>VLOOKUP(TablaObra5[[#This Row],[Equipo]],Catalogos!$I$4:$J$64,2,FALSE)</f>
      </c>
      <c r="F191" s="6">
        <v>60</v>
      </c>
      <c r="G191" s="4">
        <v>27</v>
      </c>
      <c r="H191" s="4">
        <f t="shared" si="2"/>
      </c>
      <c r="I191">
        <f>VLOOKUP(TablaObra5[[#This Row],[Obra]],Catalogos!$B$3:$C$10,2,FALSE)</f>
      </c>
      <c r="K191">
        <v>26</v>
      </c>
    </row>
    <row r="192" spans="1:11">
      <c r="A192" s="2">
        <v>46194</v>
      </c>
      <c r="B192" t="s">
        <v>2</v>
      </c>
      <c r="C192" s="2">
        <v>46199</v>
      </c>
      <c r="D192" t="s">
        <v>215</v>
      </c>
      <c r="E192">
        <f>VLOOKUP(TablaObra5[[#This Row],[Equipo]],Catalogos!$I$4:$J$64,2,FALSE)</f>
      </c>
      <c r="F192" s="6">
        <v>240</v>
      </c>
      <c r="G192" s="4">
        <v>27</v>
      </c>
      <c r="H192" s="4">
        <f t="shared" si="2"/>
      </c>
      <c r="I192">
        <f>VLOOKUP(TablaObra5[[#This Row],[Obra]],Catalogos!$B$3:$C$10,2,FALSE)</f>
      </c>
      <c r="K192">
        <v>26</v>
      </c>
    </row>
    <row r="193" spans="1:11">
      <c r="A193" s="2">
        <v>46194</v>
      </c>
      <c r="B193" t="s">
        <v>2</v>
      </c>
      <c r="C193" s="2">
        <v>46199</v>
      </c>
      <c r="D193" t="s">
        <v>217</v>
      </c>
      <c r="E193">
        <f>VLOOKUP(TablaObra5[[#This Row],[Equipo]],Catalogos!$I$4:$J$64,2,FALSE)</f>
      </c>
      <c r="F193" s="6">
        <v>20</v>
      </c>
      <c r="G193" s="4">
        <v>27</v>
      </c>
      <c r="H193" s="4">
        <f t="shared" si="2"/>
      </c>
      <c r="I193">
        <f>VLOOKUP(TablaObra5[[#This Row],[Obra]],Catalogos!$B$3:$C$10,2,FALSE)</f>
      </c>
      <c r="K193">
        <v>26</v>
      </c>
    </row>
    <row r="194" spans="1:11">
      <c r="A194" s="2">
        <v>46194</v>
      </c>
      <c r="B194" t="s">
        <v>2</v>
      </c>
      <c r="C194" s="2">
        <v>46199</v>
      </c>
      <c r="D194" t="s">
        <v>210</v>
      </c>
      <c r="E194">
        <f>VLOOKUP(TablaObra5[[#This Row],[Equipo]],Catalogos!$I$4:$J$64,2,FALSE)</f>
      </c>
      <c r="F194" s="6">
        <v>30</v>
      </c>
      <c r="G194" s="4">
        <v>27</v>
      </c>
      <c r="H194" s="4">
        <f t="shared" si="2"/>
      </c>
      <c r="I194">
        <f>VLOOKUP(TablaObra5[[#This Row],[Obra]],Catalogos!$B$3:$C$10,2,FALSE)</f>
      </c>
      <c r="K194">
        <v>26</v>
      </c>
    </row>
    <row r="195" spans="1:11">
      <c r="A195" s="2">
        <v>46194</v>
      </c>
      <c r="B195" t="s">
        <v>2</v>
      </c>
      <c r="C195" s="2">
        <v>46199</v>
      </c>
      <c r="D195" t="s">
        <v>211</v>
      </c>
      <c r="E195">
        <f>VLOOKUP(TablaObra5[[#This Row],[Equipo]],Catalogos!$I$4:$J$64,2,FALSE)</f>
      </c>
      <c r="F195" s="6">
        <v>80</v>
      </c>
      <c r="G195" s="4">
        <v>27</v>
      </c>
      <c r="H195" s="4">
        <f t="shared" si="2"/>
      </c>
      <c r="I195">
        <f>VLOOKUP(TablaObra5[[#This Row],[Obra]],Catalogos!$B$3:$C$10,2,FALSE)</f>
      </c>
      <c r="K195">
        <v>26</v>
      </c>
    </row>
    <row r="196" spans="1:11">
      <c r="A196" s="2">
        <v>46194</v>
      </c>
      <c r="B196" t="s">
        <v>2</v>
      </c>
      <c r="C196" s="2">
        <v>46199</v>
      </c>
      <c r="D196" t="s">
        <v>236</v>
      </c>
      <c r="E196">
        <f>VLOOKUP(TablaObra5[[#This Row],[Equipo]],Catalogos!$I$4:$J$64,2,FALSE)</f>
      </c>
      <c r="F196" s="6">
        <v>40</v>
      </c>
      <c r="G196" s="4">
        <v>27</v>
      </c>
      <c r="H196" s="4">
        <f t="shared" si="2"/>
      </c>
      <c r="I196">
        <f>VLOOKUP(TablaObra5[[#This Row],[Obra]],Catalogos!$B$3:$C$10,2,FALSE)</f>
      </c>
      <c r="K196">
        <v>26</v>
      </c>
    </row>
    <row r="197" spans="1:11">
      <c r="A197" s="2">
        <v>46194</v>
      </c>
      <c r="B197" t="s">
        <v>2</v>
      </c>
      <c r="C197" s="2">
        <v>46199</v>
      </c>
      <c r="D197" t="s">
        <v>223</v>
      </c>
      <c r="E197">
        <f>VLOOKUP(TablaObra5[[#This Row],[Equipo]],Catalogos!$I$4:$J$64,2,FALSE)</f>
      </c>
      <c r="F197" s="6">
        <v>24</v>
      </c>
      <c r="G197" s="4">
        <v>27</v>
      </c>
      <c r="H197" s="4">
        <f t="shared" si="2"/>
      </c>
      <c r="I197">
        <f>VLOOKUP(TablaObra5[[#This Row],[Obra]],Catalogos!$B$3:$C$10,2,FALSE)</f>
      </c>
      <c r="K197">
        <v>26</v>
      </c>
    </row>
    <row r="198" spans="1:11">
      <c r="A198" s="2">
        <v>46194</v>
      </c>
      <c r="B198" t="s">
        <v>2</v>
      </c>
      <c r="C198" s="2">
        <v>46199</v>
      </c>
      <c r="D198" t="s">
        <v>231</v>
      </c>
      <c r="E198">
        <f>VLOOKUP(TablaObra5[[#This Row],[Equipo]],Catalogos!$I$4:$J$64,2,FALSE)</f>
      </c>
      <c r="F198" s="6">
        <v>60</v>
      </c>
      <c r="G198" s="4">
        <v>27</v>
      </c>
      <c r="H198" s="4">
        <f t="shared" si="2"/>
      </c>
      <c r="I198">
        <f>VLOOKUP(TablaObra5[[#This Row],[Obra]],Catalogos!$B$3:$C$10,2,FALSE)</f>
      </c>
      <c r="K198">
        <v>26</v>
      </c>
    </row>
    <row r="199" spans="1:11">
      <c r="A199" s="2">
        <v>46194</v>
      </c>
      <c r="B199" t="s">
        <v>2</v>
      </c>
      <c r="C199" s="2">
        <v>46199</v>
      </c>
      <c r="D199" t="s">
        <v>225</v>
      </c>
      <c r="E199">
        <f>VLOOKUP(TablaObra5[[#This Row],[Equipo]],Catalogos!$I$4:$J$64,2,FALSE)</f>
      </c>
      <c r="F199" s="6">
        <v>24</v>
      </c>
      <c r="G199" s="4">
        <v>27</v>
      </c>
      <c r="H199" s="4">
        <f t="shared" ref="H199:H262" si="3">IFERROR(F199*G199,0)</f>
      </c>
      <c r="I199">
        <f>VLOOKUP(TablaObra5[[#This Row],[Obra]],Catalogos!$B$3:$C$10,2,FALSE)</f>
      </c>
      <c r="K199">
        <v>26</v>
      </c>
    </row>
    <row r="200" spans="1:11">
      <c r="A200" s="2">
        <v>46194</v>
      </c>
      <c r="B200" t="s">
        <v>2</v>
      </c>
      <c r="C200" s="2">
        <v>46199</v>
      </c>
      <c r="D200" t="s">
        <v>234</v>
      </c>
      <c r="E200">
        <f>VLOOKUP(TablaObra5[[#This Row],[Equipo]],Catalogos!$I$4:$J$64,2,FALSE)</f>
      </c>
      <c r="F200" s="6">
        <v>60</v>
      </c>
      <c r="G200" s="4">
        <v>27</v>
      </c>
      <c r="H200" s="4">
        <f t="shared" si="3"/>
      </c>
      <c r="I200">
        <f>VLOOKUP(TablaObra5[[#This Row],[Obra]],Catalogos!$B$3:$C$10,2,FALSE)</f>
      </c>
      <c r="K200">
        <v>26</v>
      </c>
    </row>
    <row r="201" spans="1:11">
      <c r="A201" s="2">
        <v>46194</v>
      </c>
      <c r="B201" t="s">
        <v>124</v>
      </c>
      <c r="C201" s="2">
        <v>46195</v>
      </c>
      <c r="D201" t="s">
        <v>240</v>
      </c>
      <c r="E201">
        <f>VLOOKUP(TablaObra5[[#This Row],[Equipo]],Catalogos!$I$4:$J$64,2,FALSE)</f>
      </c>
      <c r="F201" s="6">
        <v>300</v>
      </c>
      <c r="G201" s="4">
        <v>27</v>
      </c>
      <c r="H201" s="4">
        <f t="shared" si="3"/>
      </c>
      <c r="I201">
        <f>VLOOKUP(TablaObra5[[#This Row],[Obra]],Catalogos!$B$3:$C$10,2,FALSE)</f>
      </c>
      <c r="K201">
        <v>26</v>
      </c>
    </row>
    <row r="202" spans="1:11">
      <c r="A202" s="2">
        <v>46194</v>
      </c>
      <c r="B202" t="s">
        <v>124</v>
      </c>
      <c r="C202" s="2">
        <v>46195</v>
      </c>
      <c r="D202" t="s">
        <v>209</v>
      </c>
      <c r="E202">
        <f>VLOOKUP(TablaObra5[[#This Row],[Equipo]],Catalogos!$I$4:$J$64,2,FALSE)</f>
      </c>
      <c r="F202" s="6">
        <v>100</v>
      </c>
      <c r="G202" s="4">
        <v>27</v>
      </c>
      <c r="H202" s="4">
        <f t="shared" si="3"/>
      </c>
      <c r="I202">
        <f>VLOOKUP(TablaObra5[[#This Row],[Obra]],Catalogos!$B$3:$C$10,2,FALSE)</f>
      </c>
      <c r="K202">
        <v>26</v>
      </c>
    </row>
    <row r="203" spans="1:11">
      <c r="A203" s="2">
        <v>46194</v>
      </c>
      <c r="B203" t="s">
        <v>124</v>
      </c>
      <c r="C203" s="2">
        <v>46195</v>
      </c>
      <c r="D203" t="s">
        <v>248</v>
      </c>
      <c r="E203">
        <f>VLOOKUP(TablaObra5[[#This Row],[Equipo]],Catalogos!$I$4:$J$64,2,FALSE)</f>
      </c>
      <c r="F203" s="6">
        <v>100</v>
      </c>
      <c r="G203" s="4">
        <v>27</v>
      </c>
      <c r="H203" s="4">
        <f t="shared" si="3"/>
      </c>
      <c r="I203">
        <f>VLOOKUP(TablaObra5[[#This Row],[Obra]],Catalogos!$B$3:$C$10,2,FALSE)</f>
      </c>
      <c r="K203">
        <v>26</v>
      </c>
    </row>
    <row r="204" spans="1:11">
      <c r="A204" s="2">
        <v>46194</v>
      </c>
      <c r="B204" t="s">
        <v>124</v>
      </c>
      <c r="C204" s="2">
        <v>46195</v>
      </c>
      <c r="D204" t="s">
        <v>241</v>
      </c>
      <c r="E204">
        <f>VLOOKUP(TablaObra5[[#This Row],[Equipo]],Catalogos!$I$4:$J$64,2,FALSE)</f>
      </c>
      <c r="F204" s="6">
        <v>100</v>
      </c>
      <c r="G204" s="4">
        <v>27</v>
      </c>
      <c r="H204" s="4">
        <f t="shared" si="3"/>
      </c>
      <c r="I204">
        <f>VLOOKUP(TablaObra5[[#This Row],[Obra]],Catalogos!$B$3:$C$10,2,FALSE)</f>
      </c>
      <c r="K204">
        <v>26</v>
      </c>
    </row>
    <row r="205" spans="1:11">
      <c r="A205" s="2">
        <v>46194</v>
      </c>
      <c r="B205" t="s">
        <v>124</v>
      </c>
      <c r="C205" s="2">
        <v>46196</v>
      </c>
      <c r="D205" t="s">
        <v>240</v>
      </c>
      <c r="E205">
        <f>VLOOKUP(TablaObra5[[#This Row],[Equipo]],Catalogos!$I$4:$J$64,2,FALSE)</f>
      </c>
      <c r="F205" s="6">
        <v>300</v>
      </c>
      <c r="G205" s="4">
        <v>27</v>
      </c>
      <c r="H205" s="4">
        <f t="shared" ref="H205:H208" si="4">IFERROR(F205*G205,0)</f>
      </c>
      <c r="I205">
        <f>VLOOKUP(TablaObra5[[#This Row],[Obra]],Catalogos!$B$3:$C$10,2,FALSE)</f>
      </c>
      <c r="K205">
        <v>26</v>
      </c>
    </row>
    <row r="206" spans="1:11">
      <c r="A206" s="2">
        <v>46194</v>
      </c>
      <c r="B206" t="s">
        <v>124</v>
      </c>
      <c r="C206" s="2">
        <v>46196</v>
      </c>
      <c r="D206" t="s">
        <v>209</v>
      </c>
      <c r="E206">
        <f>VLOOKUP(TablaObra5[[#This Row],[Equipo]],Catalogos!$I$4:$J$64,2,FALSE)</f>
      </c>
      <c r="F206" s="6">
        <v>100</v>
      </c>
      <c r="G206" s="4">
        <v>27</v>
      </c>
      <c r="H206" s="4">
        <f t="shared" si="4"/>
      </c>
      <c r="I206">
        <f>VLOOKUP(TablaObra5[[#This Row],[Obra]],Catalogos!$B$3:$C$10,2,FALSE)</f>
      </c>
      <c r="K206">
        <v>26</v>
      </c>
    </row>
    <row r="207" spans="1:11">
      <c r="A207" s="2">
        <v>46194</v>
      </c>
      <c r="B207" t="s">
        <v>124</v>
      </c>
      <c r="C207" s="2">
        <v>46197</v>
      </c>
      <c r="D207" t="s">
        <v>240</v>
      </c>
      <c r="E207">
        <f>VLOOKUP(TablaObra5[[#This Row],[Equipo]],Catalogos!$I$4:$J$64,2,FALSE)</f>
      </c>
      <c r="F207" s="6">
        <v>300</v>
      </c>
      <c r="G207" s="4">
        <v>27</v>
      </c>
      <c r="H207" s="4">
        <f t="shared" si="4"/>
      </c>
      <c r="I207">
        <f>VLOOKUP(TablaObra5[[#This Row],[Obra]],Catalogos!$B$3:$C$10,2,FALSE)</f>
      </c>
      <c r="K207">
        <v>26</v>
      </c>
    </row>
    <row r="208" spans="1:11">
      <c r="A208" s="2">
        <v>46194</v>
      </c>
      <c r="B208" t="s">
        <v>124</v>
      </c>
      <c r="C208" s="2">
        <v>46197</v>
      </c>
      <c r="D208" t="s">
        <v>209</v>
      </c>
      <c r="E208">
        <f>VLOOKUP(TablaObra5[[#This Row],[Equipo]],Catalogos!$I$4:$J$64,2,FALSE)</f>
      </c>
      <c r="F208" s="6">
        <v>100</v>
      </c>
      <c r="G208" s="4">
        <v>27</v>
      </c>
      <c r="H208" s="4">
        <f t="shared" si="4"/>
      </c>
      <c r="I208">
        <f>VLOOKUP(TablaObra5[[#This Row],[Obra]],Catalogos!$B$3:$C$10,2,FALSE)</f>
      </c>
      <c r="K208">
        <v>26</v>
      </c>
    </row>
    <row r="209" spans="1:11">
      <c r="A209" s="2">
        <v>46194</v>
      </c>
      <c r="B209" t="s">
        <v>124</v>
      </c>
      <c r="C209" s="2">
        <v>46197</v>
      </c>
      <c r="D209" t="s">
        <v>241</v>
      </c>
      <c r="E209">
        <f>VLOOKUP(TablaObra5[[#This Row],[Equipo]],Catalogos!$I$4:$J$64,2,FALSE)</f>
      </c>
      <c r="F209" s="6">
        <v>100</v>
      </c>
      <c r="G209" s="4">
        <v>27</v>
      </c>
      <c r="H209" s="4">
        <f t="shared" si="3"/>
      </c>
      <c r="I209">
        <f>VLOOKUP(TablaObra5[[#This Row],[Obra]],Catalogos!$B$3:$C$10,2,FALSE)</f>
      </c>
      <c r="K209">
        <v>26</v>
      </c>
    </row>
    <row r="210" spans="1:11">
      <c r="A210" s="2">
        <v>46194</v>
      </c>
      <c r="B210" t="s">
        <v>124</v>
      </c>
      <c r="C210" s="2">
        <v>46198</v>
      </c>
      <c r="D210" t="s">
        <v>240</v>
      </c>
      <c r="E210">
        <f>VLOOKUP(TablaObra5[[#This Row],[Equipo]],Catalogos!$I$4:$J$64,2,FALSE)</f>
      </c>
      <c r="F210" s="6">
        <v>300</v>
      </c>
      <c r="G210" s="4">
        <v>27</v>
      </c>
      <c r="H210" s="4">
        <f t="shared" si="3"/>
      </c>
      <c r="I210">
        <f>VLOOKUP(TablaObra5[[#This Row],[Obra]],Catalogos!$B$3:$C$10,2,FALSE)</f>
      </c>
      <c r="K210">
        <v>26</v>
      </c>
    </row>
    <row r="211" spans="1:11">
      <c r="A211" s="2">
        <v>46194</v>
      </c>
      <c r="B211" t="s">
        <v>124</v>
      </c>
      <c r="C211" s="2">
        <v>46198</v>
      </c>
      <c r="D211" t="s">
        <v>209</v>
      </c>
      <c r="E211">
        <f>VLOOKUP(TablaObra5[[#This Row],[Equipo]],Catalogos!$I$4:$J$64,2,FALSE)</f>
      </c>
      <c r="F211" s="6">
        <v>100</v>
      </c>
      <c r="G211" s="4">
        <v>27</v>
      </c>
      <c r="H211" s="4">
        <f t="shared" si="3"/>
      </c>
      <c r="I211">
        <f>VLOOKUP(TablaObra5[[#This Row],[Obra]],Catalogos!$B$3:$C$10,2,FALSE)</f>
      </c>
      <c r="K211">
        <v>26</v>
      </c>
    </row>
    <row r="212" spans="1:11">
      <c r="A212" s="2">
        <v>46194</v>
      </c>
      <c r="B212" t="s">
        <v>124</v>
      </c>
      <c r="C212" s="2">
        <v>46198</v>
      </c>
      <c r="D212" t="s">
        <v>248</v>
      </c>
      <c r="E212">
        <f>VLOOKUP(TablaObra5[[#This Row],[Equipo]],Catalogos!$I$4:$J$64,2,FALSE)</f>
      </c>
      <c r="F212" s="6">
        <v>100</v>
      </c>
      <c r="G212" s="4">
        <v>27</v>
      </c>
      <c r="H212" s="4">
        <f t="shared" si="3"/>
      </c>
      <c r="I212">
        <f>VLOOKUP(TablaObra5[[#This Row],[Obra]],Catalogos!$B$3:$C$10,2,FALSE)</f>
      </c>
      <c r="K212">
        <v>26</v>
      </c>
    </row>
    <row r="213" spans="1:11">
      <c r="A213" s="2">
        <v>46194</v>
      </c>
      <c r="B213" t="s">
        <v>124</v>
      </c>
      <c r="C213" s="2">
        <v>46199</v>
      </c>
      <c r="D213" t="s">
        <v>240</v>
      </c>
      <c r="E213">
        <f>VLOOKUP(TablaObra5[[#This Row],[Equipo]],Catalogos!$I$4:$J$64,2,FALSE)</f>
      </c>
      <c r="F213" s="6">
        <v>300</v>
      </c>
      <c r="G213" s="4">
        <v>27</v>
      </c>
      <c r="H213" s="4">
        <f t="shared" si="3"/>
      </c>
      <c r="I213">
        <f>VLOOKUP(TablaObra5[[#This Row],[Obra]],Catalogos!$B$3:$C$10,2,FALSE)</f>
      </c>
      <c r="K213">
        <v>26</v>
      </c>
    </row>
    <row r="214" spans="1:11">
      <c r="A214" s="2">
        <v>46194</v>
      </c>
      <c r="B214" t="s">
        <v>124</v>
      </c>
      <c r="C214" s="2">
        <v>46199</v>
      </c>
      <c r="D214" t="s">
        <v>209</v>
      </c>
      <c r="E214">
        <f>VLOOKUP(TablaObra5[[#This Row],[Equipo]],Catalogos!$I$4:$J$64,2,FALSE)</f>
      </c>
      <c r="F214" s="6">
        <v>100</v>
      </c>
      <c r="G214" s="4">
        <v>27</v>
      </c>
      <c r="H214" s="4">
        <f t="shared" si="3"/>
      </c>
      <c r="I214">
        <f>VLOOKUP(TablaObra5[[#This Row],[Obra]],Catalogos!$B$3:$C$10,2,FALSE)</f>
      </c>
      <c r="K214">
        <v>26</v>
      </c>
    </row>
    <row r="215" spans="1:11">
      <c r="A215" s="2">
        <v>46194</v>
      </c>
      <c r="B215" t="s">
        <v>124</v>
      </c>
      <c r="C215" s="2">
        <v>46199</v>
      </c>
      <c r="D215" t="s">
        <v>241</v>
      </c>
      <c r="E215">
        <f>VLOOKUP(TablaObra5[[#This Row],[Equipo]],Catalogos!$I$4:$J$64,2,FALSE)</f>
      </c>
      <c r="F215" s="6">
        <v>100</v>
      </c>
      <c r="G215" s="4">
        <v>27</v>
      </c>
      <c r="H215" s="4">
        <f t="shared" si="3"/>
      </c>
      <c r="I215">
        <f>VLOOKUP(TablaObra5[[#This Row],[Obra]],Catalogos!$B$3:$C$10,2,FALSE)</f>
      </c>
      <c r="K215">
        <v>26</v>
      </c>
    </row>
    <row r="216" spans="1:11">
      <c r="A216" s="2">
        <v>46194</v>
      </c>
      <c r="B216" t="s">
        <v>124</v>
      </c>
      <c r="C216" s="2">
        <v>46200</v>
      </c>
      <c r="D216" t="s">
        <v>209</v>
      </c>
      <c r="E216">
        <f>VLOOKUP(TablaObra5[[#This Row],[Equipo]],Catalogos!$I$4:$J$64,2,FALSE)</f>
      </c>
      <c r="F216" s="6">
        <v>100</v>
      </c>
      <c r="G216" s="4">
        <v>27</v>
      </c>
      <c r="H216" s="4">
        <f t="shared" si="3"/>
      </c>
      <c r="I216">
        <f>VLOOKUP(TablaObra5[[#This Row],[Obra]],Catalogos!$B$3:$C$10,2,FALSE)</f>
      </c>
      <c r="K216">
        <v>26</v>
      </c>
    </row>
    <row r="217" spans="1:11">
      <c r="A217" s="2">
        <v>46194</v>
      </c>
      <c r="B217" t="s">
        <v>1</v>
      </c>
      <c r="C217" s="2">
        <v>46195</v>
      </c>
      <c r="D217" t="s">
        <v>215</v>
      </c>
      <c r="E217">
        <f>VLOOKUP(TablaObra5[[#This Row],[Equipo]],Catalogos!$I$4:$J$64,2,FALSE)</f>
      </c>
      <c r="F217" s="6">
        <v>250</v>
      </c>
      <c r="G217" s="4">
        <v>27</v>
      </c>
      <c r="H217" s="4">
        <f t="shared" si="3"/>
      </c>
      <c r="I217">
        <f>VLOOKUP(TablaObra5[[#This Row],[Obra]],Catalogos!$B$3:$C$10,2,FALSE)</f>
      </c>
      <c r="K217">
        <v>26</v>
      </c>
    </row>
    <row r="218" spans="1:11">
      <c r="A218" s="2">
        <v>46194</v>
      </c>
      <c r="B218" t="s">
        <v>1</v>
      </c>
      <c r="C218" s="2">
        <v>46195</v>
      </c>
      <c r="D218" t="s">
        <v>211</v>
      </c>
      <c r="E218">
        <f>VLOOKUP(TablaObra5[[#This Row],[Equipo]],Catalogos!$I$4:$J$64,2,FALSE)</f>
      </c>
      <c r="F218" s="6">
        <v>120</v>
      </c>
      <c r="G218" s="4">
        <v>27</v>
      </c>
      <c r="H218" s="4">
        <f t="shared" si="3"/>
      </c>
      <c r="I218">
        <f>VLOOKUP(TablaObra5[[#This Row],[Obra]],Catalogos!$B$3:$C$10,2,FALSE)</f>
      </c>
      <c r="K218">
        <v>26</v>
      </c>
    </row>
    <row r="219" spans="1:11">
      <c r="A219" s="2">
        <v>46194</v>
      </c>
      <c r="B219" t="s">
        <v>1</v>
      </c>
      <c r="C219" s="2">
        <v>46195</v>
      </c>
      <c r="D219" t="s">
        <v>221</v>
      </c>
      <c r="E219">
        <f>VLOOKUP(TablaObra5[[#This Row],[Equipo]],Catalogos!$I$4:$J$64,2,FALSE)</f>
      </c>
      <c r="F219" s="6">
        <v>50</v>
      </c>
      <c r="G219" s="4">
        <v>27</v>
      </c>
      <c r="H219" s="4">
        <f t="shared" si="3"/>
      </c>
      <c r="I219">
        <f>VLOOKUP(TablaObra5[[#This Row],[Obra]],Catalogos!$B$3:$C$10,2,FALSE)</f>
      </c>
      <c r="K219">
        <v>26</v>
      </c>
    </row>
    <row r="220" spans="1:11">
      <c r="A220" s="2">
        <v>46194</v>
      </c>
      <c r="B220" t="s">
        <v>1</v>
      </c>
      <c r="C220" s="2">
        <v>46195</v>
      </c>
      <c r="D220" t="s">
        <v>221</v>
      </c>
      <c r="E220">
        <f>VLOOKUP(TablaObra5[[#This Row],[Equipo]],Catalogos!$I$4:$J$64,2,FALSE)</f>
      </c>
      <c r="F220" s="6">
        <v>50</v>
      </c>
      <c r="G220" s="4">
        <v>27</v>
      </c>
      <c r="H220" s="4">
        <f t="shared" si="3"/>
      </c>
      <c r="I220">
        <f>VLOOKUP(TablaObra5[[#This Row],[Obra]],Catalogos!$B$3:$C$10,2,FALSE)</f>
      </c>
      <c r="K220">
        <v>26</v>
      </c>
    </row>
    <row r="221" spans="1:11">
      <c r="A221" s="2">
        <v>46194</v>
      </c>
      <c r="B221" t="s">
        <v>1</v>
      </c>
      <c r="C221" s="2">
        <v>46195</v>
      </c>
      <c r="D221" t="s">
        <v>224</v>
      </c>
      <c r="E221">
        <f>VLOOKUP(TablaObra5[[#This Row],[Equipo]],Catalogos!$I$4:$J$64,2,FALSE)</f>
      </c>
      <c r="F221" s="6">
        <v>50</v>
      </c>
      <c r="G221" s="4">
        <v>27</v>
      </c>
      <c r="H221" s="4">
        <f t="shared" si="3"/>
      </c>
      <c r="I221">
        <f>VLOOKUP(TablaObra5[[#This Row],[Obra]],Catalogos!$B$3:$C$10,2,FALSE)</f>
      </c>
      <c r="K221">
        <v>26</v>
      </c>
    </row>
    <row r="222" spans="1:11">
      <c r="A222" s="2">
        <v>46194</v>
      </c>
      <c r="B222" t="s">
        <v>1</v>
      </c>
      <c r="C222" s="2">
        <v>46195</v>
      </c>
      <c r="D222" t="s">
        <v>227</v>
      </c>
      <c r="E222">
        <f>VLOOKUP(TablaObra5[[#This Row],[Equipo]],Catalogos!$I$4:$J$64,2,FALSE)</f>
      </c>
      <c r="F222" s="6">
        <v>30</v>
      </c>
      <c r="G222" s="4">
        <v>27</v>
      </c>
      <c r="H222" s="4">
        <f t="shared" si="3"/>
      </c>
      <c r="I222">
        <f>VLOOKUP(TablaObra5[[#This Row],[Obra]],Catalogos!$B$3:$C$10,2,FALSE)</f>
      </c>
      <c r="K222">
        <v>26</v>
      </c>
    </row>
    <row r="223" spans="1:11">
      <c r="A223" s="2">
        <v>46194</v>
      </c>
      <c r="B223" t="s">
        <v>1</v>
      </c>
      <c r="C223" s="2">
        <v>46195</v>
      </c>
      <c r="D223" t="s">
        <v>210</v>
      </c>
      <c r="E223">
        <f>VLOOKUP(TablaObra5[[#This Row],[Equipo]],Catalogos!$I$4:$J$64,2,FALSE)</f>
      </c>
      <c r="F223" s="6">
        <v>60</v>
      </c>
      <c r="G223" s="4">
        <v>27</v>
      </c>
      <c r="H223" s="4">
        <f t="shared" si="3"/>
      </c>
      <c r="I223">
        <f>VLOOKUP(TablaObra5[[#This Row],[Obra]],Catalogos!$B$3:$C$10,2,FALSE)</f>
      </c>
      <c r="K223">
        <v>26</v>
      </c>
    </row>
    <row r="224" spans="1:11">
      <c r="A224" s="2">
        <v>46194</v>
      </c>
      <c r="B224" t="s">
        <v>1</v>
      </c>
      <c r="C224" s="2">
        <v>46195</v>
      </c>
      <c r="D224" t="s">
        <v>234</v>
      </c>
      <c r="E224">
        <f>VLOOKUP(TablaObra5[[#This Row],[Equipo]],Catalogos!$I$4:$J$64,2,FALSE)</f>
      </c>
      <c r="F224" s="6">
        <v>50</v>
      </c>
      <c r="G224" s="4">
        <v>27</v>
      </c>
      <c r="H224" s="4">
        <f t="shared" si="3"/>
      </c>
      <c r="I224">
        <f>VLOOKUP(TablaObra5[[#This Row],[Obra]],Catalogos!$B$3:$C$10,2,FALSE)</f>
      </c>
      <c r="K224">
        <v>26</v>
      </c>
    </row>
    <row r="225" spans="1:11">
      <c r="A225" s="2">
        <v>46194</v>
      </c>
      <c r="B225" t="s">
        <v>1</v>
      </c>
      <c r="C225" s="2">
        <v>46196</v>
      </c>
      <c r="D225" t="s">
        <v>211</v>
      </c>
      <c r="E225">
        <f>VLOOKUP(TablaObra5[[#This Row],[Equipo]],Catalogos!$I$4:$J$64,2,FALSE)</f>
      </c>
      <c r="F225" s="6">
        <v>120</v>
      </c>
      <c r="G225" s="4">
        <v>27</v>
      </c>
      <c r="H225" s="4">
        <f t="shared" si="3"/>
      </c>
      <c r="I225">
        <f>VLOOKUP(TablaObra5[[#This Row],[Obra]],Catalogos!$B$3:$C$10,2,FALSE)</f>
      </c>
      <c r="K225">
        <v>26</v>
      </c>
    </row>
    <row r="226" spans="1:11">
      <c r="A226" s="2">
        <v>46194</v>
      </c>
      <c r="B226" t="s">
        <v>1</v>
      </c>
      <c r="C226" s="2">
        <v>46196</v>
      </c>
      <c r="D226" t="s">
        <v>221</v>
      </c>
      <c r="E226">
        <f>VLOOKUP(TablaObra5[[#This Row],[Equipo]],Catalogos!$I$4:$J$64,2,FALSE)</f>
      </c>
      <c r="F226" s="6">
        <v>40</v>
      </c>
      <c r="G226" s="4">
        <v>27</v>
      </c>
      <c r="H226" s="4">
        <f t="shared" si="3"/>
      </c>
      <c r="I226">
        <f>VLOOKUP(TablaObra5[[#This Row],[Obra]],Catalogos!$B$3:$C$10,2,FALSE)</f>
      </c>
      <c r="K226">
        <v>26</v>
      </c>
    </row>
    <row r="227" spans="1:11">
      <c r="A227" s="2">
        <v>46194</v>
      </c>
      <c r="B227" t="s">
        <v>1</v>
      </c>
      <c r="C227" s="2">
        <v>46196</v>
      </c>
      <c r="D227" t="s">
        <v>221</v>
      </c>
      <c r="E227">
        <f>VLOOKUP(TablaObra5[[#This Row],[Equipo]],Catalogos!$I$4:$J$64,2,FALSE)</f>
      </c>
      <c r="F227" s="6">
        <v>40</v>
      </c>
      <c r="G227" s="4">
        <v>27</v>
      </c>
      <c r="H227" s="4">
        <f t="shared" si="3"/>
      </c>
      <c r="I227">
        <f>VLOOKUP(TablaObra5[[#This Row],[Obra]],Catalogos!$B$3:$C$10,2,FALSE)</f>
      </c>
      <c r="K227">
        <v>26</v>
      </c>
    </row>
    <row r="228" spans="1:11">
      <c r="A228" s="2">
        <v>46194</v>
      </c>
      <c r="B228" t="s">
        <v>1</v>
      </c>
      <c r="C228" s="2">
        <v>46196</v>
      </c>
      <c r="D228" t="s">
        <v>224</v>
      </c>
      <c r="E228">
        <f>VLOOKUP(TablaObra5[[#This Row],[Equipo]],Catalogos!$I$4:$J$64,2,FALSE)</f>
      </c>
      <c r="F228" s="6">
        <v>50</v>
      </c>
      <c r="G228" s="4">
        <v>27</v>
      </c>
      <c r="H228" s="4">
        <f t="shared" si="3"/>
      </c>
      <c r="I228">
        <f>VLOOKUP(TablaObra5[[#This Row],[Obra]],Catalogos!$B$3:$C$10,2,FALSE)</f>
      </c>
      <c r="K228">
        <v>26</v>
      </c>
    </row>
    <row r="229" spans="1:11">
      <c r="A229" s="2">
        <v>46194</v>
      </c>
      <c r="B229" t="s">
        <v>1</v>
      </c>
      <c r="C229" s="2">
        <v>46196</v>
      </c>
      <c r="D229" t="s">
        <v>227</v>
      </c>
      <c r="E229">
        <f>VLOOKUP(TablaObra5[[#This Row],[Equipo]],Catalogos!$I$4:$J$64,2,FALSE)</f>
      </c>
      <c r="F229" s="6">
        <v>30</v>
      </c>
      <c r="G229" s="4">
        <v>27</v>
      </c>
      <c r="H229" s="4">
        <f t="shared" si="3"/>
      </c>
      <c r="I229">
        <f>VLOOKUP(TablaObra5[[#This Row],[Obra]],Catalogos!$B$3:$C$10,2,FALSE)</f>
      </c>
      <c r="K229">
        <v>26</v>
      </c>
    </row>
    <row r="230" spans="1:11">
      <c r="A230" s="2">
        <v>46194</v>
      </c>
      <c r="B230" t="s">
        <v>1</v>
      </c>
      <c r="C230" s="2">
        <v>46196</v>
      </c>
      <c r="D230" t="s">
        <v>210</v>
      </c>
      <c r="E230">
        <f>VLOOKUP(TablaObra5[[#This Row],[Equipo]],Catalogos!$I$4:$J$64,2,FALSE)</f>
      </c>
      <c r="F230" s="6">
        <v>50</v>
      </c>
      <c r="G230" s="4">
        <v>27</v>
      </c>
      <c r="H230" s="4">
        <f t="shared" si="3"/>
      </c>
      <c r="I230">
        <f>VLOOKUP(TablaObra5[[#This Row],[Obra]],Catalogos!$B$3:$C$10,2,FALSE)</f>
      </c>
      <c r="K230">
        <v>26</v>
      </c>
    </row>
    <row r="231" spans="1:11">
      <c r="A231" s="2">
        <v>46194</v>
      </c>
      <c r="B231" t="s">
        <v>1</v>
      </c>
      <c r="C231" s="2">
        <v>46196</v>
      </c>
      <c r="D231" t="s">
        <v>234</v>
      </c>
      <c r="E231">
        <f>VLOOKUP(TablaObra5[[#This Row],[Equipo]],Catalogos!$I$4:$J$64,2,FALSE)</f>
      </c>
      <c r="F231" s="6">
        <v>50</v>
      </c>
      <c r="G231" s="4">
        <v>27</v>
      </c>
      <c r="H231" s="4">
        <f t="shared" si="3"/>
      </c>
      <c r="I231">
        <f>VLOOKUP(TablaObra5[[#This Row],[Obra]],Catalogos!$B$3:$C$10,2,FALSE)</f>
      </c>
      <c r="K231">
        <v>26</v>
      </c>
    </row>
    <row r="232" spans="1:11">
      <c r="A232" s="2">
        <v>46194</v>
      </c>
      <c r="B232" t="s">
        <v>1</v>
      </c>
      <c r="C232" s="2">
        <v>46197</v>
      </c>
      <c r="D232" t="s">
        <v>215</v>
      </c>
      <c r="E232">
        <f>VLOOKUP(TablaObra5[[#This Row],[Equipo]],Catalogos!$I$4:$J$64,2,FALSE)</f>
      </c>
      <c r="F232" s="6">
        <v>250</v>
      </c>
      <c r="G232" s="4">
        <v>27</v>
      </c>
      <c r="H232" s="4">
        <f t="shared" si="3"/>
      </c>
      <c r="I232">
        <f>VLOOKUP(TablaObra5[[#This Row],[Obra]],Catalogos!$B$3:$C$10,2,FALSE)</f>
      </c>
      <c r="K232">
        <v>26</v>
      </c>
    </row>
    <row r="233" spans="1:11">
      <c r="A233" s="2">
        <v>46194</v>
      </c>
      <c r="B233" t="s">
        <v>1</v>
      </c>
      <c r="C233" s="2">
        <v>46197</v>
      </c>
      <c r="D233" t="s">
        <v>211</v>
      </c>
      <c r="E233">
        <f>VLOOKUP(TablaObra5[[#This Row],[Equipo]],Catalogos!$I$4:$J$64,2,FALSE)</f>
      </c>
      <c r="F233" s="6">
        <v>120</v>
      </c>
      <c r="G233" s="4">
        <v>27</v>
      </c>
      <c r="H233" s="4">
        <f t="shared" si="3"/>
      </c>
      <c r="I233">
        <f>VLOOKUP(TablaObra5[[#This Row],[Obra]],Catalogos!$B$3:$C$10,2,FALSE)</f>
      </c>
      <c r="K233">
        <v>26</v>
      </c>
    </row>
    <row r="234" spans="1:11">
      <c r="A234" s="2">
        <v>46194</v>
      </c>
      <c r="B234" t="s">
        <v>1</v>
      </c>
      <c r="C234" s="2">
        <v>46197</v>
      </c>
      <c r="D234" t="s">
        <v>221</v>
      </c>
      <c r="E234">
        <f>VLOOKUP(TablaObra5[[#This Row],[Equipo]],Catalogos!$I$4:$J$64,2,FALSE)</f>
      </c>
      <c r="F234" s="6">
        <v>40</v>
      </c>
      <c r="G234" s="4">
        <v>27</v>
      </c>
      <c r="H234" s="4">
        <f t="shared" si="3"/>
      </c>
      <c r="I234">
        <f>VLOOKUP(TablaObra5[[#This Row],[Obra]],Catalogos!$B$3:$C$10,2,FALSE)</f>
      </c>
      <c r="K234">
        <v>26</v>
      </c>
    </row>
    <row r="235" spans="1:11">
      <c r="A235" s="2">
        <v>46194</v>
      </c>
      <c r="B235" t="s">
        <v>1</v>
      </c>
      <c r="C235" s="2">
        <v>46197</v>
      </c>
      <c r="D235" t="s">
        <v>221</v>
      </c>
      <c r="E235">
        <f>VLOOKUP(TablaObra5[[#This Row],[Equipo]],Catalogos!$I$4:$J$64,2,FALSE)</f>
      </c>
      <c r="F235" s="6">
        <v>40</v>
      </c>
      <c r="G235" s="4">
        <v>27</v>
      </c>
      <c r="H235" s="4">
        <f t="shared" si="3"/>
      </c>
      <c r="I235">
        <f>VLOOKUP(TablaObra5[[#This Row],[Obra]],Catalogos!$B$3:$C$10,2,FALSE)</f>
      </c>
      <c r="K235">
        <v>26</v>
      </c>
    </row>
    <row r="236" spans="1:11">
      <c r="A236" s="2">
        <v>46194</v>
      </c>
      <c r="B236" t="s">
        <v>1</v>
      </c>
      <c r="C236" s="2">
        <v>46197</v>
      </c>
      <c r="D236" t="s">
        <v>224</v>
      </c>
      <c r="E236">
        <f>VLOOKUP(TablaObra5[[#This Row],[Equipo]],Catalogos!$I$4:$J$64,2,FALSE)</f>
      </c>
      <c r="F236" s="6">
        <v>50</v>
      </c>
      <c r="G236" s="4">
        <v>27</v>
      </c>
      <c r="H236" s="4">
        <f t="shared" si="3"/>
      </c>
      <c r="I236">
        <f>VLOOKUP(TablaObra5[[#This Row],[Obra]],Catalogos!$B$3:$C$10,2,FALSE)</f>
      </c>
      <c r="K236">
        <v>26</v>
      </c>
    </row>
    <row r="237" spans="1:11">
      <c r="A237" s="2">
        <v>46194</v>
      </c>
      <c r="B237" t="s">
        <v>1</v>
      </c>
      <c r="C237" s="2">
        <v>46197</v>
      </c>
      <c r="D237" t="s">
        <v>227</v>
      </c>
      <c r="E237">
        <f>VLOOKUP(TablaObra5[[#This Row],[Equipo]],Catalogos!$I$4:$J$64,2,FALSE)</f>
      </c>
      <c r="F237" s="6">
        <v>20</v>
      </c>
      <c r="G237" s="4">
        <v>27</v>
      </c>
      <c r="H237" s="4">
        <f t="shared" si="3"/>
      </c>
      <c r="I237">
        <f>VLOOKUP(TablaObra5[[#This Row],[Obra]],Catalogos!$B$3:$C$10,2,FALSE)</f>
      </c>
      <c r="K237">
        <v>26</v>
      </c>
    </row>
    <row r="238" spans="1:11">
      <c r="A238" s="2">
        <v>46194</v>
      </c>
      <c r="B238" t="s">
        <v>1</v>
      </c>
      <c r="C238" s="2">
        <v>46197</v>
      </c>
      <c r="D238" t="s">
        <v>210</v>
      </c>
      <c r="E238">
        <f>VLOOKUP(TablaObra5[[#This Row],[Equipo]],Catalogos!$I$4:$J$64,2,FALSE)</f>
      </c>
      <c r="F238" s="6">
        <v>50</v>
      </c>
      <c r="G238" s="4">
        <v>27</v>
      </c>
      <c r="H238" s="4">
        <f t="shared" si="3"/>
      </c>
      <c r="I238">
        <f>VLOOKUP(TablaObra5[[#This Row],[Obra]],Catalogos!$B$3:$C$10,2,FALSE)</f>
      </c>
      <c r="K238">
        <v>26</v>
      </c>
    </row>
    <row r="239" spans="1:11">
      <c r="A239" s="2">
        <v>46194</v>
      </c>
      <c r="B239" t="s">
        <v>1</v>
      </c>
      <c r="C239" s="2">
        <v>46197</v>
      </c>
      <c r="D239" t="s">
        <v>234</v>
      </c>
      <c r="E239">
        <f>VLOOKUP(TablaObra5[[#This Row],[Equipo]],Catalogos!$I$4:$J$64,2,FALSE)</f>
      </c>
      <c r="F239" s="6">
        <v>50</v>
      </c>
      <c r="G239" s="4">
        <v>27</v>
      </c>
      <c r="H239" s="4">
        <f t="shared" si="3"/>
      </c>
      <c r="I239">
        <f>VLOOKUP(TablaObra5[[#This Row],[Obra]],Catalogos!$B$3:$C$10,2,FALSE)</f>
      </c>
      <c r="K239">
        <v>26</v>
      </c>
    </row>
    <row r="240" spans="1:11">
      <c r="A240" s="2">
        <v>46194</v>
      </c>
      <c r="B240" t="s">
        <v>1</v>
      </c>
      <c r="C240" s="2">
        <v>46198</v>
      </c>
      <c r="D240" t="s">
        <v>215</v>
      </c>
      <c r="E240">
        <f>VLOOKUP(TablaObra5[[#This Row],[Equipo]],Catalogos!$I$4:$J$64,2,FALSE)</f>
      </c>
      <c r="F240" s="6">
        <v>250</v>
      </c>
      <c r="G240" s="4">
        <v>27</v>
      </c>
      <c r="H240" s="4">
        <f t="shared" si="3"/>
      </c>
      <c r="I240">
        <f>VLOOKUP(TablaObra5[[#This Row],[Obra]],Catalogos!$B$3:$C$10,2,FALSE)</f>
      </c>
      <c r="K240">
        <v>26</v>
      </c>
    </row>
    <row r="241" spans="1:11">
      <c r="A241" s="2">
        <v>46194</v>
      </c>
      <c r="B241" t="s">
        <v>1</v>
      </c>
      <c r="C241" s="2">
        <v>46198</v>
      </c>
      <c r="D241" t="s">
        <v>211</v>
      </c>
      <c r="E241">
        <f>VLOOKUP(TablaObra5[[#This Row],[Equipo]],Catalogos!$I$4:$J$64,2,FALSE)</f>
      </c>
      <c r="F241" s="6">
        <v>120</v>
      </c>
      <c r="G241" s="4">
        <v>27</v>
      </c>
      <c r="H241" s="4">
        <f t="shared" si="3"/>
      </c>
      <c r="I241">
        <f>VLOOKUP(TablaObra5[[#This Row],[Obra]],Catalogos!$B$3:$C$10,2,FALSE)</f>
      </c>
      <c r="K241">
        <v>26</v>
      </c>
    </row>
    <row r="242" spans="1:11">
      <c r="A242" s="2">
        <v>46194</v>
      </c>
      <c r="B242" t="s">
        <v>1</v>
      </c>
      <c r="C242" s="2">
        <v>46198</v>
      </c>
      <c r="D242" t="s">
        <v>221</v>
      </c>
      <c r="E242">
        <f>VLOOKUP(TablaObra5[[#This Row],[Equipo]],Catalogos!$I$4:$J$64,2,FALSE)</f>
      </c>
      <c r="F242" s="6">
        <v>40</v>
      </c>
      <c r="G242" s="4">
        <v>27</v>
      </c>
      <c r="H242" s="4">
        <f t="shared" si="3"/>
      </c>
      <c r="I242">
        <f>VLOOKUP(TablaObra5[[#This Row],[Obra]],Catalogos!$B$3:$C$10,2,FALSE)</f>
      </c>
      <c r="K242">
        <v>26</v>
      </c>
    </row>
    <row r="243" spans="1:11">
      <c r="A243" s="2">
        <v>46194</v>
      </c>
      <c r="B243" t="s">
        <v>1</v>
      </c>
      <c r="C243" s="2">
        <v>46198</v>
      </c>
      <c r="D243" t="s">
        <v>221</v>
      </c>
      <c r="E243">
        <f>VLOOKUP(TablaObra5[[#This Row],[Equipo]],Catalogos!$I$4:$J$64,2,FALSE)</f>
      </c>
      <c r="F243" s="6">
        <v>40</v>
      </c>
      <c r="G243" s="4">
        <v>27</v>
      </c>
      <c r="H243" s="4">
        <f t="shared" si="3"/>
      </c>
      <c r="I243">
        <f>VLOOKUP(TablaObra5[[#This Row],[Obra]],Catalogos!$B$3:$C$10,2,FALSE)</f>
      </c>
      <c r="K243">
        <v>26</v>
      </c>
    </row>
    <row r="244" spans="1:11">
      <c r="A244" s="2">
        <v>46194</v>
      </c>
      <c r="B244" t="s">
        <v>1</v>
      </c>
      <c r="C244" s="2">
        <v>46198</v>
      </c>
      <c r="D244" t="s">
        <v>224</v>
      </c>
      <c r="E244">
        <f>VLOOKUP(TablaObra5[[#This Row],[Equipo]],Catalogos!$I$4:$J$64,2,FALSE)</f>
      </c>
      <c r="F244" s="6">
        <v>50</v>
      </c>
      <c r="G244" s="4">
        <v>27</v>
      </c>
      <c r="H244" s="4">
        <f t="shared" si="3"/>
      </c>
      <c r="I244">
        <f>VLOOKUP(TablaObra5[[#This Row],[Obra]],Catalogos!$B$3:$C$10,2,FALSE)</f>
      </c>
      <c r="K244">
        <v>26</v>
      </c>
    </row>
    <row r="245" spans="1:11">
      <c r="A245" s="2">
        <v>46194</v>
      </c>
      <c r="B245" t="s">
        <v>1</v>
      </c>
      <c r="C245" s="2">
        <v>46198</v>
      </c>
      <c r="D245" t="s">
        <v>227</v>
      </c>
      <c r="E245">
        <f>VLOOKUP(TablaObra5[[#This Row],[Equipo]],Catalogos!$I$4:$J$64,2,FALSE)</f>
      </c>
      <c r="F245" s="6">
        <v>20</v>
      </c>
      <c r="G245" s="4">
        <v>27</v>
      </c>
      <c r="H245" s="4">
        <f t="shared" si="3"/>
      </c>
      <c r="I245">
        <f>VLOOKUP(TablaObra5[[#This Row],[Obra]],Catalogos!$B$3:$C$10,2,FALSE)</f>
      </c>
      <c r="K245">
        <v>26</v>
      </c>
    </row>
    <row r="246" spans="1:11">
      <c r="A246" s="2">
        <v>46194</v>
      </c>
      <c r="B246" t="s">
        <v>1</v>
      </c>
      <c r="C246" s="2">
        <v>46198</v>
      </c>
      <c r="D246" t="s">
        <v>210</v>
      </c>
      <c r="E246">
        <f>VLOOKUP(TablaObra5[[#This Row],[Equipo]],Catalogos!$I$4:$J$64,2,FALSE)</f>
      </c>
      <c r="F246" s="6">
        <v>50</v>
      </c>
      <c r="G246" s="4">
        <v>27</v>
      </c>
      <c r="H246" s="4">
        <f t="shared" si="3"/>
      </c>
      <c r="I246">
        <f>VLOOKUP(TablaObra5[[#This Row],[Obra]],Catalogos!$B$3:$C$10,2,FALSE)</f>
      </c>
      <c r="K246">
        <v>26</v>
      </c>
    </row>
    <row r="247" spans="1:11">
      <c r="A247" s="2">
        <v>46194</v>
      </c>
      <c r="B247" t="s">
        <v>1</v>
      </c>
      <c r="C247" s="2">
        <v>46198</v>
      </c>
      <c r="D247" t="s">
        <v>234</v>
      </c>
      <c r="E247">
        <f>VLOOKUP(TablaObra5[[#This Row],[Equipo]],Catalogos!$I$4:$J$64,2,FALSE)</f>
      </c>
      <c r="F247" s="6">
        <v>50</v>
      </c>
      <c r="G247" s="4">
        <v>27</v>
      </c>
      <c r="H247" s="4">
        <f t="shared" si="3"/>
      </c>
      <c r="I247">
        <f>VLOOKUP(TablaObra5[[#This Row],[Obra]],Catalogos!$B$3:$C$10,2,FALSE)</f>
      </c>
      <c r="K247">
        <v>26</v>
      </c>
    </row>
    <row r="248" spans="1:11">
      <c r="A248" s="2">
        <v>46194</v>
      </c>
      <c r="B248" t="s">
        <v>1</v>
      </c>
      <c r="C248" s="2">
        <v>46199</v>
      </c>
      <c r="D248" t="s">
        <v>215</v>
      </c>
      <c r="E248">
        <f>VLOOKUP(TablaObra5[[#This Row],[Equipo]],Catalogos!$I$4:$J$64,2,FALSE)</f>
      </c>
      <c r="F248" s="6">
        <v>250</v>
      </c>
      <c r="G248" s="4">
        <v>27</v>
      </c>
      <c r="H248" s="4">
        <f t="shared" si="3"/>
      </c>
      <c r="I248">
        <f>VLOOKUP(TablaObra5[[#This Row],[Obra]],Catalogos!$B$3:$C$10,2,FALSE)</f>
      </c>
      <c r="K248">
        <v>26</v>
      </c>
    </row>
    <row r="249" spans="1:11">
      <c r="A249" s="2">
        <v>46194</v>
      </c>
      <c r="B249" t="s">
        <v>1</v>
      </c>
      <c r="C249" s="2">
        <v>46199</v>
      </c>
      <c r="D249" t="s">
        <v>211</v>
      </c>
      <c r="E249">
        <f>VLOOKUP(TablaObra5[[#This Row],[Equipo]],Catalogos!$I$4:$J$64,2,FALSE)</f>
      </c>
      <c r="F249" s="6">
        <v>120</v>
      </c>
      <c r="G249" s="4">
        <v>27</v>
      </c>
      <c r="H249" s="4">
        <f t="shared" si="3"/>
      </c>
      <c r="I249">
        <f>VLOOKUP(TablaObra5[[#This Row],[Obra]],Catalogos!$B$3:$C$10,2,FALSE)</f>
      </c>
      <c r="K249">
        <v>26</v>
      </c>
    </row>
    <row r="250" spans="1:11">
      <c r="A250" s="2">
        <v>46194</v>
      </c>
      <c r="B250" t="s">
        <v>1</v>
      </c>
      <c r="C250" s="2">
        <v>46199</v>
      </c>
      <c r="D250" t="s">
        <v>221</v>
      </c>
      <c r="E250">
        <f>VLOOKUP(TablaObra5[[#This Row],[Equipo]],Catalogos!$I$4:$J$64,2,FALSE)</f>
      </c>
      <c r="F250" s="6">
        <v>40</v>
      </c>
      <c r="G250" s="4">
        <v>27</v>
      </c>
      <c r="H250" s="4">
        <f t="shared" si="3"/>
      </c>
      <c r="I250">
        <f>VLOOKUP(TablaObra5[[#This Row],[Obra]],Catalogos!$B$3:$C$10,2,FALSE)</f>
      </c>
      <c r="K250">
        <v>26</v>
      </c>
    </row>
    <row r="251" spans="1:11">
      <c r="A251" s="2">
        <v>46194</v>
      </c>
      <c r="B251" t="s">
        <v>1</v>
      </c>
      <c r="C251" s="2">
        <v>46199</v>
      </c>
      <c r="D251" t="s">
        <v>221</v>
      </c>
      <c r="E251">
        <f>VLOOKUP(TablaObra5[[#This Row],[Equipo]],Catalogos!$I$4:$J$64,2,FALSE)</f>
      </c>
      <c r="F251" s="6">
        <v>40</v>
      </c>
      <c r="G251" s="4">
        <v>27</v>
      </c>
      <c r="H251" s="4">
        <f t="shared" si="3"/>
      </c>
      <c r="I251">
        <f>VLOOKUP(TablaObra5[[#This Row],[Obra]],Catalogos!$B$3:$C$10,2,FALSE)</f>
      </c>
      <c r="K251">
        <v>26</v>
      </c>
    </row>
    <row r="252" spans="1:11">
      <c r="A252" s="2">
        <v>46194</v>
      </c>
      <c r="B252" t="s">
        <v>1</v>
      </c>
      <c r="C252" s="2">
        <v>46199</v>
      </c>
      <c r="D252" t="s">
        <v>224</v>
      </c>
      <c r="E252">
        <f>VLOOKUP(TablaObra5[[#This Row],[Equipo]],Catalogos!$I$4:$J$64,2,FALSE)</f>
      </c>
      <c r="F252" s="6">
        <v>50</v>
      </c>
      <c r="G252" s="4">
        <v>27</v>
      </c>
      <c r="H252" s="4">
        <f t="shared" si="3"/>
      </c>
      <c r="I252">
        <f>VLOOKUP(TablaObra5[[#This Row],[Obra]],Catalogos!$B$3:$C$10,2,FALSE)</f>
      </c>
      <c r="K252">
        <v>26</v>
      </c>
    </row>
    <row r="253" spans="1:11">
      <c r="A253" s="2">
        <v>46194</v>
      </c>
      <c r="B253" t="s">
        <v>1</v>
      </c>
      <c r="C253" s="2">
        <v>46199</v>
      </c>
      <c r="D253" t="s">
        <v>227</v>
      </c>
      <c r="E253">
        <f>VLOOKUP(TablaObra5[[#This Row],[Equipo]],Catalogos!$I$4:$J$64,2,FALSE)</f>
      </c>
      <c r="F253" s="6">
        <v>20</v>
      </c>
      <c r="G253" s="4">
        <v>27</v>
      </c>
      <c r="H253" s="4">
        <f t="shared" si="3"/>
      </c>
      <c r="I253">
        <f>VLOOKUP(TablaObra5[[#This Row],[Obra]],Catalogos!$B$3:$C$10,2,FALSE)</f>
      </c>
      <c r="K253">
        <v>26</v>
      </c>
    </row>
    <row r="254" spans="1:11">
      <c r="A254" s="2">
        <v>46194</v>
      </c>
      <c r="B254" t="s">
        <v>1</v>
      </c>
      <c r="C254" s="2">
        <v>46199</v>
      </c>
      <c r="D254" t="s">
        <v>210</v>
      </c>
      <c r="E254">
        <f>VLOOKUP(TablaObra5[[#This Row],[Equipo]],Catalogos!$I$4:$J$64,2,FALSE)</f>
      </c>
      <c r="F254" s="6">
        <v>50</v>
      </c>
      <c r="G254" s="4">
        <v>27</v>
      </c>
      <c r="H254" s="4">
        <f t="shared" si="3"/>
      </c>
      <c r="I254">
        <f>VLOOKUP(TablaObra5[[#This Row],[Obra]],Catalogos!$B$3:$C$10,2,FALSE)</f>
      </c>
      <c r="K254">
        <v>26</v>
      </c>
    </row>
    <row r="255" spans="1:11">
      <c r="A255" s="2">
        <v>46194</v>
      </c>
      <c r="B255" t="s">
        <v>1</v>
      </c>
      <c r="C255" s="2">
        <v>46199</v>
      </c>
      <c r="D255" t="s">
        <v>234</v>
      </c>
      <c r="E255">
        <f>VLOOKUP(TablaObra5[[#This Row],[Equipo]],Catalogos!$I$4:$J$64,2,FALSE)</f>
      </c>
      <c r="F255" s="6">
        <v>50</v>
      </c>
      <c r="G255" s="4">
        <v>27</v>
      </c>
      <c r="H255" s="4">
        <f t="shared" si="3"/>
      </c>
      <c r="I255">
        <f>VLOOKUP(TablaObra5[[#This Row],[Obra]],Catalogos!$B$3:$C$10,2,FALSE)</f>
      </c>
      <c r="K255">
        <v>26</v>
      </c>
    </row>
    <row r="256" spans="1:11">
      <c r="A256" s="2">
        <v>46194</v>
      </c>
      <c r="B256" t="s">
        <v>111</v>
      </c>
      <c r="C256" s="2">
        <v>46195</v>
      </c>
      <c r="D256" t="s">
        <v>209</v>
      </c>
      <c r="E256">
        <f>VLOOKUP(TablaObra5[[#This Row],[Equipo]],Catalogos!$I$4:$J$64,2,FALSE)</f>
      </c>
      <c r="F256" s="6">
        <v>50</v>
      </c>
      <c r="G256" s="4">
        <v>27</v>
      </c>
      <c r="H256" s="4">
        <f t="shared" si="3"/>
      </c>
      <c r="I256">
        <f>VLOOKUP(TablaObra5[[#This Row],[Obra]],Catalogos!$B$3:$C$10,2,FALSE)</f>
      </c>
      <c r="K256">
        <v>26</v>
      </c>
    </row>
    <row r="257" spans="1:11">
      <c r="A257" s="2">
        <v>46194</v>
      </c>
      <c r="B257" t="s">
        <v>111</v>
      </c>
      <c r="C257" s="2">
        <v>46195</v>
      </c>
      <c r="D257" t="s">
        <v>209</v>
      </c>
      <c r="E257">
        <f>VLOOKUP(TablaObra5[[#This Row],[Equipo]],Catalogos!$I$4:$J$64,2,FALSE)</f>
      </c>
      <c r="F257" s="6">
        <v>50</v>
      </c>
      <c r="G257" s="4">
        <v>27</v>
      </c>
      <c r="H257" s="4">
        <f t="shared" si="3"/>
      </c>
      <c r="I257">
        <f>VLOOKUP(TablaObra5[[#This Row],[Obra]],Catalogos!$B$3:$C$10,2,FALSE)</f>
      </c>
      <c r="K257">
        <v>26</v>
      </c>
    </row>
    <row r="258" spans="1:11">
      <c r="A258" s="2">
        <v>46194</v>
      </c>
      <c r="B258" t="s">
        <v>111</v>
      </c>
      <c r="C258" s="2">
        <v>46195</v>
      </c>
      <c r="D258" t="s">
        <v>250</v>
      </c>
      <c r="E258">
        <f>VLOOKUP(TablaObra5[[#This Row],[Equipo]],Catalogos!$I$4:$J$64,2,FALSE)</f>
      </c>
      <c r="F258" s="6">
        <v>10</v>
      </c>
      <c r="G258" s="4">
        <v>27</v>
      </c>
      <c r="H258" s="4">
        <f t="shared" si="3"/>
      </c>
      <c r="I258">
        <f>VLOOKUP(TablaObra5[[#This Row],[Obra]],Catalogos!$B$3:$C$10,2,FALSE)</f>
      </c>
      <c r="K258">
        <v>26</v>
      </c>
    </row>
    <row r="259" spans="1:11">
      <c r="A259" s="2">
        <v>46194</v>
      </c>
      <c r="B259" t="s">
        <v>111</v>
      </c>
      <c r="C259" s="2">
        <v>46195</v>
      </c>
      <c r="D259" t="s">
        <v>246</v>
      </c>
      <c r="E259">
        <f>VLOOKUP(TablaObra5[[#This Row],[Equipo]],Catalogos!$I$4:$J$64,2,FALSE)</f>
      </c>
      <c r="F259" s="6">
        <v>8</v>
      </c>
      <c r="G259" s="4">
        <v>27</v>
      </c>
      <c r="H259" s="4">
        <f t="shared" si="3"/>
      </c>
      <c r="I259">
        <f>VLOOKUP(TablaObra5[[#This Row],[Obra]],Catalogos!$B$3:$C$10,2,FALSE)</f>
      </c>
      <c r="K259">
        <v>26</v>
      </c>
    </row>
    <row r="260" spans="1:11">
      <c r="A260" s="2">
        <v>46194</v>
      </c>
      <c r="B260" t="s">
        <v>111</v>
      </c>
      <c r="C260" s="2">
        <v>46196</v>
      </c>
      <c r="D260" t="s">
        <v>209</v>
      </c>
      <c r="E260">
        <f>VLOOKUP(TablaObra5[[#This Row],[Equipo]],Catalogos!$I$4:$J$64,2,FALSE)</f>
      </c>
      <c r="F260" s="6">
        <v>50</v>
      </c>
      <c r="G260" s="4">
        <v>27</v>
      </c>
      <c r="H260" s="4">
        <f t="shared" si="3"/>
      </c>
      <c r="I260">
        <f>VLOOKUP(TablaObra5[[#This Row],[Obra]],Catalogos!$B$3:$C$10,2,FALSE)</f>
      </c>
      <c r="K260">
        <v>26</v>
      </c>
    </row>
    <row r="261" spans="1:11">
      <c r="A261" s="2">
        <v>46194</v>
      </c>
      <c r="B261" t="s">
        <v>111</v>
      </c>
      <c r="C261" s="2">
        <v>46196</v>
      </c>
      <c r="D261" t="s">
        <v>209</v>
      </c>
      <c r="E261">
        <f>VLOOKUP(TablaObra5[[#This Row],[Equipo]],Catalogos!$I$4:$J$64,2,FALSE)</f>
      </c>
      <c r="F261" s="6">
        <v>40</v>
      </c>
      <c r="G261" s="4">
        <v>27</v>
      </c>
      <c r="H261" s="4">
        <f t="shared" si="3"/>
      </c>
      <c r="I261">
        <f>VLOOKUP(TablaObra5[[#This Row],[Obra]],Catalogos!$B$3:$C$10,2,FALSE)</f>
      </c>
      <c r="K261">
        <v>26</v>
      </c>
    </row>
    <row r="262" spans="1:11">
      <c r="A262" s="2">
        <v>46194</v>
      </c>
      <c r="B262" t="s">
        <v>111</v>
      </c>
      <c r="C262" s="2">
        <v>46196</v>
      </c>
      <c r="D262" t="s">
        <v>250</v>
      </c>
      <c r="E262">
        <f>VLOOKUP(TablaObra5[[#This Row],[Equipo]],Catalogos!$I$4:$J$64,2,FALSE)</f>
      </c>
      <c r="F262" s="6">
        <v>10</v>
      </c>
      <c r="G262" s="4">
        <v>27</v>
      </c>
      <c r="H262" s="4">
        <f t="shared" si="3"/>
      </c>
      <c r="I262">
        <f>VLOOKUP(TablaObra5[[#This Row],[Obra]],Catalogos!$B$3:$C$10,2,FALSE)</f>
      </c>
      <c r="K262">
        <v>26</v>
      </c>
    </row>
    <row r="263" spans="1:11">
      <c r="A263" s="2">
        <v>46194</v>
      </c>
      <c r="B263" t="s">
        <v>111</v>
      </c>
      <c r="C263" s="2">
        <v>46196</v>
      </c>
      <c r="D263" t="s">
        <v>246</v>
      </c>
      <c r="E263">
        <f>VLOOKUP(TablaObra5[[#This Row],[Equipo]],Catalogos!$I$4:$J$64,2,FALSE)</f>
      </c>
      <c r="F263" s="6">
        <v>5</v>
      </c>
      <c r="G263" s="4">
        <v>27</v>
      </c>
      <c r="H263" s="4">
        <f t="shared" ref="H263:H283" si="5">IFERROR(F263*G263,0)</f>
      </c>
      <c r="I263">
        <f>VLOOKUP(TablaObra5[[#This Row],[Obra]],Catalogos!$B$3:$C$10,2,FALSE)</f>
      </c>
      <c r="K263">
        <v>26</v>
      </c>
    </row>
    <row r="264" spans="1:11">
      <c r="A264" s="2">
        <v>46194</v>
      </c>
      <c r="B264" t="s">
        <v>111</v>
      </c>
      <c r="C264" s="2">
        <v>46197</v>
      </c>
      <c r="D264" t="s">
        <v>209</v>
      </c>
      <c r="E264">
        <f>VLOOKUP(TablaObra5[[#This Row],[Equipo]],Catalogos!$I$4:$J$64,2,FALSE)</f>
      </c>
      <c r="F264" s="6">
        <v>50</v>
      </c>
      <c r="G264" s="4">
        <v>27</v>
      </c>
      <c r="H264" s="4">
        <f t="shared" si="5"/>
      </c>
      <c r="I264">
        <f>VLOOKUP(TablaObra5[[#This Row],[Obra]],Catalogos!$B$3:$C$10,2,FALSE)</f>
      </c>
      <c r="K264">
        <v>26</v>
      </c>
    </row>
    <row r="265" spans="1:11">
      <c r="A265" s="2">
        <v>46194</v>
      </c>
      <c r="B265" t="s">
        <v>111</v>
      </c>
      <c r="C265" s="2">
        <v>46197</v>
      </c>
      <c r="D265" t="s">
        <v>209</v>
      </c>
      <c r="E265">
        <f>VLOOKUP(TablaObra5[[#This Row],[Equipo]],Catalogos!$I$4:$J$64,2,FALSE)</f>
      </c>
      <c r="F265" s="6">
        <v>40</v>
      </c>
      <c r="G265" s="4">
        <v>27</v>
      </c>
      <c r="H265" s="4">
        <f t="shared" si="5"/>
      </c>
      <c r="I265">
        <f>VLOOKUP(TablaObra5[[#This Row],[Obra]],Catalogos!$B$3:$C$10,2,FALSE)</f>
      </c>
      <c r="K265">
        <v>26</v>
      </c>
    </row>
    <row r="266" spans="1:11">
      <c r="A266" s="2">
        <v>46194</v>
      </c>
      <c r="B266" t="s">
        <v>111</v>
      </c>
      <c r="C266" s="2">
        <v>46197</v>
      </c>
      <c r="D266" t="s">
        <v>250</v>
      </c>
      <c r="E266">
        <f>VLOOKUP(TablaObra5[[#This Row],[Equipo]],Catalogos!$I$4:$J$64,2,FALSE)</f>
      </c>
      <c r="F266" s="6">
        <v>10</v>
      </c>
      <c r="G266" s="4">
        <v>27</v>
      </c>
      <c r="H266" s="4">
        <f t="shared" si="5"/>
      </c>
      <c r="I266">
        <f>VLOOKUP(TablaObra5[[#This Row],[Obra]],Catalogos!$B$3:$C$10,2,FALSE)</f>
      </c>
      <c r="K266">
        <v>26</v>
      </c>
    </row>
    <row r="267" spans="1:11">
      <c r="A267" s="2">
        <v>46194</v>
      </c>
      <c r="B267" t="s">
        <v>111</v>
      </c>
      <c r="C267" s="2">
        <v>46197</v>
      </c>
      <c r="D267" t="s">
        <v>246</v>
      </c>
      <c r="E267">
        <f>VLOOKUP(TablaObra5[[#This Row],[Equipo]],Catalogos!$I$4:$J$64,2,FALSE)</f>
      </c>
      <c r="F267" s="6">
        <v>8</v>
      </c>
      <c r="G267" s="4">
        <v>27</v>
      </c>
      <c r="H267" s="4">
        <f t="shared" si="5"/>
      </c>
      <c r="I267">
        <f>VLOOKUP(TablaObra5[[#This Row],[Obra]],Catalogos!$B$3:$C$10,2,FALSE)</f>
      </c>
      <c r="K267">
        <v>26</v>
      </c>
    </row>
    <row r="268" spans="1:11">
      <c r="A268" s="2">
        <v>46194</v>
      </c>
      <c r="B268" t="s">
        <v>111</v>
      </c>
      <c r="C268" s="2">
        <v>46198</v>
      </c>
      <c r="D268" t="s">
        <v>209</v>
      </c>
      <c r="E268">
        <f>VLOOKUP(TablaObra5[[#This Row],[Equipo]],Catalogos!$I$4:$J$64,2,FALSE)</f>
      </c>
      <c r="F268" s="6">
        <v>60</v>
      </c>
      <c r="G268" s="4">
        <v>27</v>
      </c>
      <c r="H268" s="4">
        <f t="shared" si="5"/>
      </c>
      <c r="I268">
        <f>VLOOKUP(TablaObra5[[#This Row],[Obra]],Catalogos!$B$3:$C$10,2,FALSE)</f>
      </c>
      <c r="K268">
        <v>26</v>
      </c>
    </row>
    <row r="269" spans="1:11">
      <c r="A269" s="2">
        <v>46194</v>
      </c>
      <c r="B269" t="s">
        <v>111</v>
      </c>
      <c r="C269" s="2">
        <v>46198</v>
      </c>
      <c r="D269" t="s">
        <v>209</v>
      </c>
      <c r="E269">
        <f>VLOOKUP(TablaObra5[[#This Row],[Equipo]],Catalogos!$I$4:$J$64,2,FALSE)</f>
      </c>
      <c r="F269" s="6">
        <v>60</v>
      </c>
      <c r="G269" s="4">
        <v>27</v>
      </c>
      <c r="H269" s="4">
        <f t="shared" si="5"/>
      </c>
      <c r="I269">
        <f>VLOOKUP(TablaObra5[[#This Row],[Obra]],Catalogos!$B$3:$C$10,2,FALSE)</f>
      </c>
      <c r="K269">
        <v>26</v>
      </c>
    </row>
    <row r="270" spans="1:11">
      <c r="A270" s="2">
        <v>46194</v>
      </c>
      <c r="B270" t="s">
        <v>111</v>
      </c>
      <c r="C270" s="2">
        <v>46198</v>
      </c>
      <c r="D270" t="s">
        <v>246</v>
      </c>
      <c r="E270">
        <f>VLOOKUP(TablaObra5[[#This Row],[Equipo]],Catalogos!$I$4:$J$64,2,FALSE)</f>
      </c>
      <c r="F270" s="6">
        <v>5</v>
      </c>
      <c r="G270" s="4">
        <v>27</v>
      </c>
      <c r="H270" s="4">
        <f t="shared" si="5"/>
      </c>
      <c r="I270">
        <f>VLOOKUP(TablaObra5[[#This Row],[Obra]],Catalogos!$B$3:$C$10,2,FALSE)</f>
      </c>
      <c r="K270">
        <v>26</v>
      </c>
    </row>
    <row r="271" spans="1:11">
      <c r="A271" s="2">
        <v>46194</v>
      </c>
      <c r="B271" t="s">
        <v>111</v>
      </c>
      <c r="C271" s="2">
        <v>46199</v>
      </c>
      <c r="D271" t="s">
        <v>209</v>
      </c>
      <c r="E271">
        <f>VLOOKUP(TablaObra5[[#This Row],[Equipo]],Catalogos!$I$4:$J$64,2,FALSE)</f>
      </c>
      <c r="F271" s="6">
        <v>50</v>
      </c>
      <c r="G271" s="4">
        <v>27</v>
      </c>
      <c r="H271" s="4">
        <f t="shared" si="5"/>
      </c>
      <c r="I271">
        <f>VLOOKUP(TablaObra5[[#This Row],[Obra]],Catalogos!$B$3:$C$10,2,FALSE)</f>
      </c>
      <c r="K271">
        <v>26</v>
      </c>
    </row>
    <row r="272" spans="1:11">
      <c r="A272" s="2">
        <v>46194</v>
      </c>
      <c r="B272" t="s">
        <v>111</v>
      </c>
      <c r="C272" s="2">
        <v>46199</v>
      </c>
      <c r="D272" t="s">
        <v>209</v>
      </c>
      <c r="E272">
        <f>VLOOKUP(TablaObra5[[#This Row],[Equipo]],Catalogos!$I$4:$J$64,2,FALSE)</f>
      </c>
      <c r="F272" s="6">
        <v>50</v>
      </c>
      <c r="G272" s="4">
        <v>27</v>
      </c>
      <c r="H272" s="4">
        <f t="shared" si="5"/>
      </c>
      <c r="I272">
        <f>VLOOKUP(TablaObra5[[#This Row],[Obra]],Catalogos!$B$3:$C$10,2,FALSE)</f>
      </c>
      <c r="K272">
        <v>26</v>
      </c>
    </row>
    <row r="273" spans="1:11">
      <c r="A273" s="2">
        <v>46194</v>
      </c>
      <c r="B273" t="s">
        <v>111</v>
      </c>
      <c r="C273" s="2">
        <v>46199</v>
      </c>
      <c r="D273" t="s">
        <v>250</v>
      </c>
      <c r="E273">
        <f>VLOOKUP(TablaObra5[[#This Row],[Equipo]],Catalogos!$I$4:$J$64,2,FALSE)</f>
      </c>
      <c r="F273" s="6">
        <v>10</v>
      </c>
      <c r="G273" s="4">
        <v>27</v>
      </c>
      <c r="H273" s="4">
        <f t="shared" si="5"/>
      </c>
      <c r="I273">
        <f>VLOOKUP(TablaObra5[[#This Row],[Obra]],Catalogos!$B$3:$C$10,2,FALSE)</f>
      </c>
      <c r="K273">
        <v>26</v>
      </c>
    </row>
    <row r="274" spans="1:11">
      <c r="A274" s="2">
        <v>46194</v>
      </c>
      <c r="B274" t="s">
        <v>111</v>
      </c>
      <c r="C274" s="2">
        <v>46199</v>
      </c>
      <c r="D274" t="s">
        <v>246</v>
      </c>
      <c r="E274">
        <f>VLOOKUP(TablaObra5[[#This Row],[Equipo]],Catalogos!$I$4:$J$64,2,FALSE)</f>
      </c>
      <c r="F274" s="6">
        <v>8</v>
      </c>
      <c r="G274" s="4">
        <v>27</v>
      </c>
      <c r="H274" s="4">
        <f t="shared" si="5"/>
      </c>
      <c r="I274">
        <f>VLOOKUP(TablaObra5[[#This Row],[Obra]],Catalogos!$B$3:$C$10,2,FALSE)</f>
      </c>
      <c r="K274">
        <v>26</v>
      </c>
    </row>
    <row r="275" spans="1:11">
      <c r="A275" s="2">
        <v>46194</v>
      </c>
      <c r="B275" t="s">
        <v>115</v>
      </c>
      <c r="C275" s="2">
        <v>46196</v>
      </c>
      <c r="D275" t="s">
        <v>245</v>
      </c>
      <c r="E275">
        <f>VLOOKUP(TablaObra5[[#This Row],[Equipo]],Catalogos!$I$4:$J$64,2,FALSE)</f>
      </c>
      <c r="F275" s="6">
        <v>300</v>
      </c>
      <c r="G275" s="4">
        <v>27</v>
      </c>
      <c r="H275" s="4">
        <f t="shared" si="5"/>
      </c>
      <c r="I275">
        <f>VLOOKUP(TablaObra5[[#This Row],[Obra]],Catalogos!$B$3:$C$10,2,FALSE)</f>
      </c>
      <c r="K275">
        <v>26</v>
      </c>
    </row>
    <row r="276" spans="1:11">
      <c r="A276" s="2">
        <v>46194</v>
      </c>
      <c r="B276" t="s">
        <v>115</v>
      </c>
      <c r="C276" s="2">
        <v>46197</v>
      </c>
      <c r="D276" t="s">
        <v>347</v>
      </c>
      <c r="E276">
        <f>VLOOKUP(TablaObra5[[#This Row],[Equipo]],Catalogos!$I$4:$J$64,2,FALSE)</f>
      </c>
      <c r="F276" s="6">
        <v>600</v>
      </c>
      <c r="G276" s="4">
        <v>27</v>
      </c>
      <c r="H276" s="4">
        <f t="shared" si="5"/>
      </c>
      <c r="I276">
        <f>VLOOKUP(TablaObra5[[#This Row],[Obra]],Catalogos!$B$3:$C$10,2,FALSE)</f>
      </c>
      <c r="K276">
        <v>26</v>
      </c>
    </row>
    <row r="277" spans="1:11">
      <c r="A277" s="2">
        <v>46194</v>
      </c>
      <c r="B277" t="s">
        <v>115</v>
      </c>
      <c r="C277" s="2">
        <v>46197</v>
      </c>
      <c r="D277" t="s">
        <v>349</v>
      </c>
      <c r="E277">
        <f>VLOOKUP(TablaObra5[[#This Row],[Equipo]],Catalogos!$I$4:$J$64,2,FALSE)</f>
      </c>
      <c r="F277" s="6">
        <v>400</v>
      </c>
      <c r="G277" s="4">
        <v>27</v>
      </c>
      <c r="H277" s="4">
        <f t="shared" si="5"/>
      </c>
      <c r="I277">
        <f>VLOOKUP(TablaObra5[[#This Row],[Obra]],Catalogos!$B$3:$C$10,2,FALSE)</f>
      </c>
      <c r="K277">
        <v>26</v>
      </c>
    </row>
    <row r="278" spans="1:11">
      <c r="A278" s="2">
        <v>46194</v>
      </c>
      <c r="B278" t="s">
        <v>115</v>
      </c>
      <c r="C278" s="2">
        <v>46198</v>
      </c>
      <c r="D278" t="s">
        <v>245</v>
      </c>
      <c r="E278">
        <f>VLOOKUP(TablaObra5[[#This Row],[Equipo]],Catalogos!$I$4:$J$64,2,FALSE)</f>
      </c>
      <c r="F278" s="6">
        <v>300</v>
      </c>
      <c r="G278" s="4">
        <v>27</v>
      </c>
      <c r="H278" s="4">
        <f t="shared" si="5"/>
      </c>
      <c r="I278">
        <f>VLOOKUP(TablaObra5[[#This Row],[Obra]],Catalogos!$B$3:$C$10,2,FALSE)</f>
      </c>
      <c r="K278">
        <v>26</v>
      </c>
    </row>
    <row r="279" spans="1:11">
      <c r="A279" s="2">
        <v>46194</v>
      </c>
      <c r="B279" t="s">
        <v>2</v>
      </c>
      <c r="C279" s="2">
        <v>46195</v>
      </c>
      <c r="D279" t="s">
        <v>235</v>
      </c>
      <c r="E279">
        <f>VLOOKUP(TablaObra5[[#This Row],[Equipo]],Catalogos!$I$4:$J$64,2,FALSE)</f>
      </c>
      <c r="F279" s="6">
        <v>30</v>
      </c>
      <c r="G279" s="4">
        <v>27</v>
      </c>
      <c r="H279" s="4">
        <f t="shared" si="5"/>
      </c>
      <c r="I279">
        <f>VLOOKUP(TablaObra5[[#This Row],[Obra]],Catalogos!$B$3:$C$10,2,FALSE)</f>
      </c>
      <c r="K279">
        <v>26</v>
      </c>
    </row>
    <row r="280" spans="1:11">
      <c r="A280" s="2">
        <v>46194</v>
      </c>
      <c r="B280" t="s">
        <v>2</v>
      </c>
      <c r="C280" s="2">
        <v>46196</v>
      </c>
      <c r="D280" t="s">
        <v>235</v>
      </c>
      <c r="E280">
        <f>VLOOKUP(TablaObra5[[#This Row],[Equipo]],Catalogos!$I$4:$J$64,2,FALSE)</f>
      </c>
      <c r="F280" s="6">
        <v>30</v>
      </c>
      <c r="G280" s="4">
        <v>27</v>
      </c>
      <c r="H280" s="4">
        <f t="shared" si="5"/>
      </c>
      <c r="I280">
        <f>VLOOKUP(TablaObra5[[#This Row],[Obra]],Catalogos!$B$3:$C$10,2,FALSE)</f>
      </c>
      <c r="K280">
        <v>26</v>
      </c>
    </row>
    <row r="281" spans="1:11">
      <c r="A281" s="2">
        <v>46194</v>
      </c>
      <c r="B281" t="s">
        <v>2</v>
      </c>
      <c r="C281" s="2">
        <v>46197</v>
      </c>
      <c r="D281" t="s">
        <v>235</v>
      </c>
      <c r="E281">
        <f>VLOOKUP(TablaObra5[[#This Row],[Equipo]],Catalogos!$I$4:$J$64,2,FALSE)</f>
      </c>
      <c r="F281" s="6">
        <v>30</v>
      </c>
      <c r="G281" s="4">
        <v>27</v>
      </c>
      <c r="H281" s="4">
        <f t="shared" si="5"/>
      </c>
      <c r="I281">
        <f>VLOOKUP(TablaObra5[[#This Row],[Obra]],Catalogos!$B$3:$C$10,2,FALSE)</f>
      </c>
      <c r="K281">
        <v>26</v>
      </c>
    </row>
    <row r="282" spans="1:11">
      <c r="A282" s="2">
        <v>46194</v>
      </c>
      <c r="B282" t="s">
        <v>2</v>
      </c>
      <c r="C282" s="2">
        <v>46198</v>
      </c>
      <c r="D282" t="s">
        <v>235</v>
      </c>
      <c r="E282">
        <f>VLOOKUP(TablaObra5[[#This Row],[Equipo]],Catalogos!$I$4:$J$64,2,FALSE)</f>
      </c>
      <c r="F282" s="6">
        <v>30</v>
      </c>
      <c r="G282" s="4">
        <v>27</v>
      </c>
      <c r="H282" s="4">
        <f t="shared" si="5"/>
      </c>
      <c r="I282">
        <f>VLOOKUP(TablaObra5[[#This Row],[Obra]],Catalogos!$B$3:$C$10,2,FALSE)</f>
      </c>
      <c r="K282">
        <v>26</v>
      </c>
    </row>
    <row r="283" spans="1:11">
      <c r="A283" s="2">
        <v>46194</v>
      </c>
      <c r="B283" t="s">
        <v>2</v>
      </c>
      <c r="C283" s="2">
        <v>46199</v>
      </c>
      <c r="D283" t="s">
        <v>235</v>
      </c>
      <c r="E283">
        <f>VLOOKUP(TablaObra5[[#This Row],[Equipo]],Catalogos!$I$4:$J$64,2,FALSE)</f>
      </c>
      <c r="F283" s="6">
        <v>30</v>
      </c>
      <c r="G283" s="4">
        <v>27</v>
      </c>
      <c r="H283" s="4">
        <f t="shared" si="5"/>
      </c>
      <c r="I283">
        <f>VLOOKUP(TablaObra5[[#This Row],[Obra]],Catalogos!$B$3:$C$10,2,FALSE)</f>
      </c>
      <c r="K283">
        <v>26</v>
      </c>
    </row>
    <row r="284" spans="1:11">
      <c r="A284" s="2">
        <v>46202</v>
      </c>
      <c r="B284" t="s">
        <v>654</v>
      </c>
      <c r="C284" s="2">
        <v>46202</v>
      </c>
      <c r="D284" t="s">
        <v>817</v>
      </c>
      <c r="E284">
        <f>VLOOKUP(D284,Catalogos!$I$4:$J$64,2,FALSE)</f>
      </c>
      <c r="F284" s="6">
        <v>300</v>
      </c>
      <c r="G284" s="4">
        <v>23.95</v>
      </c>
      <c r="H284" s="4">
        <f t="shared" ref="H284:H315" si="6">F284*G284</f>
      </c>
      <c r="K284">
        <v>27</v>
      </c>
    </row>
    <row r="285" spans="1:11">
      <c r="A285" s="2">
        <v>46202</v>
      </c>
      <c r="B285" t="s">
        <v>654</v>
      </c>
      <c r="C285" s="2">
        <v>46202</v>
      </c>
      <c r="D285" t="s">
        <v>818</v>
      </c>
      <c r="E285">
        <f>VLOOKUP(D285,Catalogos!$I$4:$J$64,2,FALSE)</f>
      </c>
      <c r="F285" s="6">
        <v>100</v>
      </c>
      <c r="G285" s="4">
        <v>23.95</v>
      </c>
      <c r="H285" s="4">
        <f t="shared" si="6"/>
      </c>
      <c r="I285" t="s">
        <v>814</v>
      </c>
      <c r="K285">
        <v>27</v>
      </c>
    </row>
    <row r="286" spans="1:11">
      <c r="A286" s="2">
        <v>46202</v>
      </c>
      <c r="B286" t="s">
        <v>654</v>
      </c>
      <c r="C286" s="2">
        <v>46202</v>
      </c>
      <c r="D286" t="s">
        <v>819</v>
      </c>
      <c r="E286">
        <f>VLOOKUP(D286,Catalogos!$I$4:$J$64,2,FALSE)</f>
      </c>
      <c r="F286" s="6">
        <v>100</v>
      </c>
      <c r="G286" s="4">
        <v>23.95</v>
      </c>
      <c r="H286" s="4">
        <f t="shared" si="6"/>
      </c>
      <c r="I286" t="s">
        <v>814</v>
      </c>
      <c r="K286">
        <v>27</v>
      </c>
    </row>
    <row r="287" spans="1:11">
      <c r="A287" s="2">
        <v>46202</v>
      </c>
      <c r="B287" t="s">
        <v>654</v>
      </c>
      <c r="C287" s="2">
        <v>46202</v>
      </c>
      <c r="D287" t="s">
        <v>820</v>
      </c>
      <c r="E287">
        <f>VLOOKUP(D287,Catalogos!$I$4:$J$64,2,FALSE)</f>
      </c>
      <c r="F287" s="6">
        <v>100</v>
      </c>
      <c r="G287" s="4">
        <v>23.95</v>
      </c>
      <c r="H287" s="4">
        <f t="shared" si="6"/>
      </c>
      <c r="I287" t="s">
        <v>814</v>
      </c>
      <c r="K287">
        <v>27</v>
      </c>
    </row>
    <row r="288" spans="1:11">
      <c r="A288" s="2">
        <v>46202</v>
      </c>
      <c r="B288" t="s">
        <v>654</v>
      </c>
      <c r="C288" s="2">
        <v>46203</v>
      </c>
      <c r="D288" t="s">
        <v>817</v>
      </c>
      <c r="E288">
        <f>VLOOKUP(D288,Catalogos!$I$4:$J$64,2,FALSE)</f>
      </c>
      <c r="F288" s="6">
        <v>300</v>
      </c>
      <c r="G288" s="4">
        <v>23.95</v>
      </c>
      <c r="H288" s="4">
        <f t="shared" si="6"/>
      </c>
      <c r="I288" t="s">
        <v>814</v>
      </c>
      <c r="K288">
        <v>27</v>
      </c>
    </row>
    <row r="289" spans="1:11">
      <c r="A289" s="2">
        <v>46202</v>
      </c>
      <c r="B289" t="s">
        <v>654</v>
      </c>
      <c r="C289" s="2">
        <v>46203</v>
      </c>
      <c r="D289" t="s">
        <v>821</v>
      </c>
      <c r="E289">
        <f>VLOOKUP(D289,Catalogos!$I$4:$J$64,2,FALSE)</f>
      </c>
      <c r="F289" s="6">
        <v>50</v>
      </c>
      <c r="G289" s="4">
        <v>23.95</v>
      </c>
      <c r="H289" s="4">
        <f t="shared" si="6"/>
      </c>
      <c r="I289" t="s">
        <v>814</v>
      </c>
      <c r="K289">
        <v>27</v>
      </c>
    </row>
    <row r="290" spans="1:11">
      <c r="A290" s="2">
        <v>46202</v>
      </c>
      <c r="B290" t="s">
        <v>654</v>
      </c>
      <c r="C290" s="2">
        <v>46203</v>
      </c>
      <c r="D290" t="s">
        <v>819</v>
      </c>
      <c r="E290">
        <f>VLOOKUP(D290,Catalogos!$I$4:$J$64,2,FALSE)</f>
      </c>
      <c r="F290" s="6">
        <v>100</v>
      </c>
      <c r="G290" s="4">
        <v>23.95</v>
      </c>
      <c r="H290" s="4">
        <f t="shared" si="6"/>
      </c>
      <c r="I290" t="s">
        <v>814</v>
      </c>
      <c r="K290">
        <v>27</v>
      </c>
    </row>
    <row r="291" spans="1:11">
      <c r="A291" s="2">
        <v>46202</v>
      </c>
      <c r="B291" t="s">
        <v>654</v>
      </c>
      <c r="C291" s="2">
        <v>46203</v>
      </c>
      <c r="D291" t="s">
        <v>820</v>
      </c>
      <c r="E291">
        <f>VLOOKUP(D291,Catalogos!$I$4:$J$64,2,FALSE)</f>
      </c>
      <c r="F291" s="6">
        <v>100</v>
      </c>
      <c r="G291" s="4">
        <v>23.95</v>
      </c>
      <c r="H291" s="4">
        <f t="shared" si="6"/>
      </c>
      <c r="I291" t="s">
        <v>814</v>
      </c>
      <c r="K291">
        <v>27</v>
      </c>
    </row>
    <row r="292" spans="1:11">
      <c r="A292" s="2">
        <v>46202</v>
      </c>
      <c r="B292" t="s">
        <v>654</v>
      </c>
      <c r="C292" s="2">
        <v>46204</v>
      </c>
      <c r="D292" t="s">
        <v>817</v>
      </c>
      <c r="E292">
        <f>VLOOKUP(D292,Catalogos!$I$4:$J$64,2,FALSE)</f>
      </c>
      <c r="F292" s="6">
        <v>300</v>
      </c>
      <c r="G292" s="4">
        <v>23.95</v>
      </c>
      <c r="H292" s="4">
        <f t="shared" si="6"/>
      </c>
      <c r="I292" t="s">
        <v>814</v>
      </c>
      <c r="K292">
        <v>27</v>
      </c>
    </row>
    <row r="293" spans="1:11">
      <c r="A293" s="2">
        <v>46202</v>
      </c>
      <c r="B293" t="s">
        <v>654</v>
      </c>
      <c r="C293" s="2">
        <v>46204</v>
      </c>
      <c r="D293" t="s">
        <v>819</v>
      </c>
      <c r="E293">
        <f>VLOOKUP(D293,Catalogos!$I$4:$J$64,2,FALSE)</f>
      </c>
      <c r="F293" s="6">
        <v>100</v>
      </c>
      <c r="G293" s="4">
        <v>23.95</v>
      </c>
      <c r="H293" s="4">
        <f t="shared" si="6"/>
      </c>
      <c r="I293" t="s">
        <v>814</v>
      </c>
      <c r="J293" t="s">
        <v>815</v>
      </c>
      <c r="K293">
        <v>27</v>
      </c>
    </row>
    <row r="294" spans="1:11">
      <c r="A294" s="2">
        <v>46202</v>
      </c>
      <c r="B294" t="s">
        <v>654</v>
      </c>
      <c r="C294" s="2">
        <v>46204</v>
      </c>
      <c r="D294" t="s">
        <v>820</v>
      </c>
      <c r="E294">
        <f>VLOOKUP(D294,Catalogos!$I$4:$J$64,2,FALSE)</f>
      </c>
      <c r="F294" s="6">
        <v>100</v>
      </c>
      <c r="G294" s="4">
        <v>23.95</v>
      </c>
      <c r="H294" s="4">
        <f t="shared" si="6"/>
      </c>
      <c r="I294" t="s">
        <v>814</v>
      </c>
      <c r="K294">
        <v>27</v>
      </c>
    </row>
    <row r="295" spans="1:11">
      <c r="A295" s="2">
        <v>46202</v>
      </c>
      <c r="B295" t="s">
        <v>654</v>
      </c>
      <c r="C295" s="2">
        <v>46205</v>
      </c>
      <c r="D295" t="s">
        <v>817</v>
      </c>
      <c r="E295">
        <f>VLOOKUP(D295,Catalogos!$I$4:$J$64,2,FALSE)</f>
      </c>
      <c r="F295" s="6">
        <v>300</v>
      </c>
      <c r="G295" s="4">
        <v>23.95</v>
      </c>
      <c r="H295" s="4">
        <f t="shared" si="6"/>
      </c>
      <c r="I295" t="s">
        <v>814</v>
      </c>
      <c r="K295">
        <v>27</v>
      </c>
    </row>
    <row r="296" spans="1:11">
      <c r="A296" s="2">
        <v>46202</v>
      </c>
      <c r="B296" t="s">
        <v>654</v>
      </c>
      <c r="C296" s="2">
        <v>46205</v>
      </c>
      <c r="D296" t="s">
        <v>821</v>
      </c>
      <c r="E296">
        <f>VLOOKUP(D296,Catalogos!$I$4:$J$64,2,FALSE)</f>
      </c>
      <c r="F296" s="6">
        <v>50</v>
      </c>
      <c r="G296" s="4">
        <v>23.95</v>
      </c>
      <c r="H296" s="4">
        <f t="shared" si="6"/>
      </c>
      <c r="I296" t="s">
        <v>814</v>
      </c>
      <c r="K296">
        <v>27</v>
      </c>
    </row>
    <row r="297" spans="1:11">
      <c r="A297" s="2">
        <v>46202</v>
      </c>
      <c r="B297" t="s">
        <v>654</v>
      </c>
      <c r="C297" s="2">
        <v>46205</v>
      </c>
      <c r="D297" t="s">
        <v>818</v>
      </c>
      <c r="E297">
        <f>VLOOKUP(D297,Catalogos!$I$4:$J$64,2,FALSE)</f>
      </c>
      <c r="F297" s="6">
        <v>100</v>
      </c>
      <c r="G297" s="4">
        <v>23.95</v>
      </c>
      <c r="H297" s="4">
        <f t="shared" si="6"/>
      </c>
      <c r="I297" t="s">
        <v>814</v>
      </c>
      <c r="K297">
        <v>27</v>
      </c>
    </row>
    <row r="298" spans="1:11">
      <c r="A298" s="2">
        <v>46202</v>
      </c>
      <c r="B298" t="s">
        <v>654</v>
      </c>
      <c r="C298" s="2">
        <v>46205</v>
      </c>
      <c r="D298" t="s">
        <v>819</v>
      </c>
      <c r="E298">
        <f>VLOOKUP(D298,Catalogos!$I$4:$J$64,2,FALSE)</f>
      </c>
      <c r="F298" s="6">
        <v>100</v>
      </c>
      <c r="G298" s="4">
        <v>23.95</v>
      </c>
      <c r="H298" s="4">
        <f t="shared" si="6"/>
      </c>
      <c r="I298" t="s">
        <v>814</v>
      </c>
      <c r="K298">
        <v>27</v>
      </c>
    </row>
    <row r="299" spans="1:11">
      <c r="A299" s="2">
        <v>46202</v>
      </c>
      <c r="B299" t="s">
        <v>654</v>
      </c>
      <c r="C299" s="2">
        <v>46205</v>
      </c>
      <c r="D299" t="s">
        <v>820</v>
      </c>
      <c r="E299">
        <f>VLOOKUP(D299,Catalogos!$I$4:$J$64,2,FALSE)</f>
      </c>
      <c r="F299" s="6">
        <v>100</v>
      </c>
      <c r="G299" s="4">
        <v>23.95</v>
      </c>
      <c r="H299" s="4">
        <f t="shared" si="6"/>
      </c>
      <c r="I299" t="s">
        <v>814</v>
      </c>
      <c r="K299">
        <v>27</v>
      </c>
    </row>
    <row r="300" spans="1:11">
      <c r="A300" s="2">
        <v>46202</v>
      </c>
      <c r="B300" t="s">
        <v>654</v>
      </c>
      <c r="C300" s="2">
        <v>46206</v>
      </c>
      <c r="D300" t="s">
        <v>817</v>
      </c>
      <c r="E300">
        <f>VLOOKUP(D300,Catalogos!$I$4:$J$64,2,FALSE)</f>
      </c>
      <c r="F300" s="6">
        <v>300</v>
      </c>
      <c r="G300" s="4">
        <v>23.95</v>
      </c>
      <c r="H300" s="4">
        <f t="shared" si="6"/>
      </c>
      <c r="I300" t="s">
        <v>814</v>
      </c>
      <c r="K300">
        <v>27</v>
      </c>
    </row>
    <row r="301" spans="1:11">
      <c r="A301" s="2">
        <v>46202</v>
      </c>
      <c r="B301" t="s">
        <v>654</v>
      </c>
      <c r="C301" s="2">
        <v>46206</v>
      </c>
      <c r="D301" t="s">
        <v>819</v>
      </c>
      <c r="E301">
        <f>VLOOKUP(D301,Catalogos!$I$4:$J$64,2,FALSE)</f>
      </c>
      <c r="F301" s="6">
        <v>100</v>
      </c>
      <c r="G301" s="4">
        <v>23.95</v>
      </c>
      <c r="H301" s="4">
        <f t="shared" si="6"/>
      </c>
      <c r="I301" t="s">
        <v>814</v>
      </c>
      <c r="K301">
        <v>27</v>
      </c>
    </row>
    <row r="302" spans="1:11">
      <c r="A302" s="2">
        <v>46202</v>
      </c>
      <c r="B302" t="s">
        <v>654</v>
      </c>
      <c r="C302" s="2">
        <v>46206</v>
      </c>
      <c r="D302" t="s">
        <v>820</v>
      </c>
      <c r="E302">
        <f>VLOOKUP(D302,Catalogos!$I$4:$J$64,2,FALSE)</f>
      </c>
      <c r="F302" s="6">
        <v>100</v>
      </c>
      <c r="G302" s="4">
        <v>23.95</v>
      </c>
      <c r="H302" s="4">
        <f t="shared" si="6"/>
      </c>
      <c r="I302" t="s">
        <v>814</v>
      </c>
      <c r="K302">
        <v>27</v>
      </c>
    </row>
    <row r="303" spans="1:11">
      <c r="A303" s="2">
        <v>46202</v>
      </c>
      <c r="B303" t="s">
        <v>654</v>
      </c>
      <c r="C303" s="2">
        <v>46207</v>
      </c>
      <c r="D303" t="s">
        <v>817</v>
      </c>
      <c r="E303">
        <f>VLOOKUP(D303,Catalogos!$I$4:$J$64,2,FALSE)</f>
      </c>
      <c r="F303" s="6">
        <v>100</v>
      </c>
      <c r="G303" s="4">
        <v>23.95</v>
      </c>
      <c r="H303" s="4">
        <f t="shared" si="6"/>
      </c>
      <c r="I303" t="s">
        <v>814</v>
      </c>
      <c r="K303">
        <v>27</v>
      </c>
    </row>
    <row r="304" spans="1:11">
      <c r="A304" s="2">
        <v>46202</v>
      </c>
      <c r="B304" t="s">
        <v>654</v>
      </c>
      <c r="C304" s="2">
        <v>46207</v>
      </c>
      <c r="D304" t="s">
        <v>821</v>
      </c>
      <c r="E304">
        <f>VLOOKUP(D304,Catalogos!$I$4:$J$64,2,FALSE)</f>
      </c>
      <c r="F304" s="6">
        <v>50</v>
      </c>
      <c r="G304" s="4">
        <v>23.95</v>
      </c>
      <c r="H304" s="4">
        <f t="shared" si="6"/>
      </c>
      <c r="I304" t="s">
        <v>814</v>
      </c>
      <c r="K304">
        <v>27</v>
      </c>
    </row>
    <row r="305" spans="1:11">
      <c r="A305" s="2">
        <v>46202</v>
      </c>
      <c r="B305" t="s">
        <v>654</v>
      </c>
      <c r="C305" s="2">
        <v>46207</v>
      </c>
      <c r="D305" t="s">
        <v>819</v>
      </c>
      <c r="E305">
        <f>VLOOKUP(D305,Catalogos!$I$4:$J$64,2,FALSE)</f>
      </c>
      <c r="F305" s="6">
        <v>100</v>
      </c>
      <c r="G305" s="4">
        <v>23.95</v>
      </c>
      <c r="H305" s="4">
        <f t="shared" si="6"/>
      </c>
      <c r="I305" t="s">
        <v>814</v>
      </c>
      <c r="K305">
        <v>27</v>
      </c>
    </row>
    <row r="306" spans="1:11">
      <c r="A306" s="2">
        <v>46202</v>
      </c>
      <c r="B306" t="s">
        <v>654</v>
      </c>
      <c r="C306" s="2">
        <v>46207</v>
      </c>
      <c r="D306" t="s">
        <v>820</v>
      </c>
      <c r="E306">
        <f>VLOOKUP(D306,Catalogos!$I$4:$J$64,2,FALSE)</f>
      </c>
      <c r="F306" s="6">
        <v>100</v>
      </c>
      <c r="G306" s="4">
        <v>23.95</v>
      </c>
      <c r="H306" s="4">
        <f t="shared" si="6"/>
      </c>
      <c r="I306" t="s">
        <v>814</v>
      </c>
      <c r="K306">
        <v>27</v>
      </c>
    </row>
    <row r="307" spans="1:11">
      <c r="A307" s="2">
        <v>46202</v>
      </c>
      <c r="B307" t="s">
        <v>654</v>
      </c>
      <c r="C307" s="2">
        <v>46208</v>
      </c>
      <c r="D307" t="s">
        <v>817</v>
      </c>
      <c r="E307">
        <f>VLOOKUP(D307,Catalogos!$I$4:$J$64,2,FALSE)</f>
      </c>
      <c r="F307" s="6">
        <v>100</v>
      </c>
      <c r="G307">
        <v>23.95</v>
      </c>
      <c r="H307">
        <f t="shared" si="6"/>
      </c>
      <c r="I307" t="s">
        <v>814</v>
      </c>
      <c r="J307" t="s">
        <v>815</v>
      </c>
      <c r="K307">
        <v>27</v>
      </c>
    </row>
    <row r="308" spans="1:11">
      <c r="A308" s="2">
        <v>46202</v>
      </c>
      <c r="B308" t="s">
        <v>654</v>
      </c>
      <c r="C308" s="2">
        <v>46208</v>
      </c>
      <c r="D308" t="s">
        <v>819</v>
      </c>
      <c r="E308">
        <f>VLOOKUP(D308,Catalogos!$I$4:$J$64,2,FALSE)</f>
      </c>
      <c r="F308" s="6">
        <v>100</v>
      </c>
      <c r="G308">
        <v>23.95</v>
      </c>
      <c r="H308">
        <f t="shared" si="6"/>
      </c>
      <c r="I308" t="s">
        <v>814</v>
      </c>
      <c r="K308">
        <v>27</v>
      </c>
    </row>
    <row r="309" spans="1:11">
      <c r="A309" s="2">
        <v>46202</v>
      </c>
      <c r="B309" t="s">
        <v>1</v>
      </c>
      <c r="C309" s="2">
        <v>46202</v>
      </c>
      <c r="D309" t="s">
        <v>215</v>
      </c>
      <c r="E309">
        <f>VLOOKUP(D309,Catalogos!$I$4:$J$64,2,FALSE)</f>
      </c>
      <c r="F309" s="6">
        <v>250</v>
      </c>
      <c r="G309">
        <v>23.95</v>
      </c>
      <c r="H309">
        <f t="shared" si="6"/>
      </c>
      <c r="I309" t="s">
        <v>822</v>
      </c>
      <c r="K309">
        <v>27</v>
      </c>
    </row>
    <row r="310" spans="1:11">
      <c r="A310" s="2">
        <v>46202</v>
      </c>
      <c r="B310" t="s">
        <v>1</v>
      </c>
      <c r="C310" s="2">
        <v>46203</v>
      </c>
      <c r="D310" t="s">
        <v>215</v>
      </c>
      <c r="E310">
        <f>VLOOKUP(D310,Catalogos!$I$4:$J$64,2,FALSE)</f>
      </c>
      <c r="F310" s="6">
        <v>200</v>
      </c>
      <c r="G310">
        <v>23.95</v>
      </c>
      <c r="H310">
        <f t="shared" si="6"/>
      </c>
      <c r="I310" t="s">
        <v>822</v>
      </c>
      <c r="K310">
        <v>27</v>
      </c>
    </row>
    <row r="311" spans="1:11">
      <c r="A311" s="2">
        <v>46202</v>
      </c>
      <c r="B311" t="s">
        <v>1</v>
      </c>
      <c r="C311" s="2">
        <v>46204</v>
      </c>
      <c r="D311" t="s">
        <v>215</v>
      </c>
      <c r="E311">
        <f>VLOOKUP(D311,Catalogos!$I$4:$J$64,2,FALSE)</f>
      </c>
      <c r="F311" s="6">
        <v>250</v>
      </c>
      <c r="G311">
        <v>23.95</v>
      </c>
      <c r="H311">
        <f t="shared" si="6"/>
      </c>
      <c r="I311" t="s">
        <v>822</v>
      </c>
      <c r="K311">
        <v>27</v>
      </c>
    </row>
    <row r="312" spans="1:11">
      <c r="A312" s="2">
        <v>46202</v>
      </c>
      <c r="B312" t="s">
        <v>1</v>
      </c>
      <c r="C312" s="2">
        <v>46205</v>
      </c>
      <c r="D312" t="s">
        <v>215</v>
      </c>
      <c r="E312">
        <f>VLOOKUP(D312,Catalogos!$I$4:$J$64,2,FALSE)</f>
      </c>
      <c r="F312" s="6">
        <v>200</v>
      </c>
      <c r="G312">
        <v>23.95</v>
      </c>
      <c r="H312">
        <f t="shared" si="6"/>
      </c>
      <c r="I312" t="s">
        <v>822</v>
      </c>
      <c r="K312">
        <v>27</v>
      </c>
    </row>
    <row r="313" spans="1:11">
      <c r="A313" s="2">
        <v>46202</v>
      </c>
      <c r="B313" t="s">
        <v>1</v>
      </c>
      <c r="C313" s="2">
        <v>46206</v>
      </c>
      <c r="D313" t="s">
        <v>215</v>
      </c>
      <c r="E313">
        <f>VLOOKUP(D313,Catalogos!$I$4:$J$64,2,FALSE)</f>
      </c>
      <c r="F313" s="6">
        <v>250</v>
      </c>
      <c r="G313">
        <v>23.95</v>
      </c>
      <c r="H313">
        <f t="shared" si="6"/>
      </c>
      <c r="I313" t="s">
        <v>822</v>
      </c>
      <c r="K313">
        <v>27</v>
      </c>
    </row>
    <row r="314" spans="1:11">
      <c r="A314" s="2">
        <v>46202</v>
      </c>
      <c r="B314" t="s">
        <v>1</v>
      </c>
      <c r="C314" s="2">
        <v>46207</v>
      </c>
      <c r="D314" t="s">
        <v>215</v>
      </c>
      <c r="E314">
        <f>VLOOKUP(D314,Catalogos!$I$4:$J$64,2,FALSE)</f>
      </c>
      <c r="F314" s="6">
        <v>150</v>
      </c>
      <c r="G314">
        <v>23.95</v>
      </c>
      <c r="H314">
        <f t="shared" si="6"/>
      </c>
      <c r="I314" t="s">
        <v>822</v>
      </c>
      <c r="K314">
        <v>27</v>
      </c>
    </row>
    <row r="315" spans="1:11">
      <c r="A315" s="2">
        <v>46202</v>
      </c>
      <c r="B315" t="s">
        <v>1</v>
      </c>
      <c r="C315" s="2">
        <v>46202</v>
      </c>
      <c r="D315" t="s">
        <v>211</v>
      </c>
      <c r="E315">
        <f>VLOOKUP(D315,Catalogos!$I$4:$J$64,2,FALSE)</f>
      </c>
      <c r="F315" s="6">
        <v>120</v>
      </c>
      <c r="G315">
        <v>23.95</v>
      </c>
      <c r="H315">
        <f t="shared" si="6"/>
      </c>
      <c r="I315" t="s">
        <v>822</v>
      </c>
      <c r="J315" t="s">
        <v>823</v>
      </c>
      <c r="K315">
        <v>27</v>
      </c>
    </row>
    <row r="316" spans="1:11">
      <c r="A316" s="2">
        <v>46202</v>
      </c>
      <c r="B316" t="s">
        <v>1</v>
      </c>
      <c r="C316" s="2">
        <v>46203</v>
      </c>
      <c r="D316" t="s">
        <v>211</v>
      </c>
      <c r="E316">
        <f>VLOOKUP(D316,Catalogos!$I$4:$J$64,2,FALSE)</f>
      </c>
      <c r="F316" s="6">
        <v>120</v>
      </c>
      <c r="G316">
        <v>23.95</v>
      </c>
      <c r="H316">
        <f t="shared" ref="H316:H347" si="7">F316*G316</f>
      </c>
      <c r="I316" t="s">
        <v>822</v>
      </c>
      <c r="J316" t="s">
        <v>823</v>
      </c>
      <c r="K316">
        <v>27</v>
      </c>
    </row>
    <row r="317" spans="1:11">
      <c r="A317" s="2">
        <v>46202</v>
      </c>
      <c r="B317" t="s">
        <v>1</v>
      </c>
      <c r="C317" s="2">
        <v>46204</v>
      </c>
      <c r="D317" t="s">
        <v>211</v>
      </c>
      <c r="E317">
        <f>VLOOKUP(D317,Catalogos!$I$4:$J$64,2,FALSE)</f>
      </c>
      <c r="F317" s="6">
        <v>120</v>
      </c>
      <c r="G317">
        <v>23.95</v>
      </c>
      <c r="H317">
        <f t="shared" si="7"/>
      </c>
      <c r="I317" t="s">
        <v>822</v>
      </c>
      <c r="J317" t="s">
        <v>823</v>
      </c>
      <c r="K317">
        <v>27</v>
      </c>
    </row>
    <row r="318" spans="1:11">
      <c r="A318" s="2">
        <v>46202</v>
      </c>
      <c r="B318" t="s">
        <v>1</v>
      </c>
      <c r="C318" s="2">
        <v>46205</v>
      </c>
      <c r="D318" t="s">
        <v>211</v>
      </c>
      <c r="E318">
        <f>VLOOKUP(D318,Catalogos!$I$4:$J$64,2,FALSE)</f>
      </c>
      <c r="F318" s="6">
        <v>120</v>
      </c>
      <c r="G318">
        <v>23.95</v>
      </c>
      <c r="H318">
        <f t="shared" si="7"/>
      </c>
      <c r="I318" t="s">
        <v>822</v>
      </c>
      <c r="J318" t="s">
        <v>823</v>
      </c>
      <c r="K318">
        <v>27</v>
      </c>
    </row>
    <row r="319" spans="1:11">
      <c r="A319" s="2">
        <v>46202</v>
      </c>
      <c r="B319" t="s">
        <v>1</v>
      </c>
      <c r="C319" s="2">
        <v>46206</v>
      </c>
      <c r="D319" t="s">
        <v>211</v>
      </c>
      <c r="E319">
        <f>VLOOKUP(D319,Catalogos!$I$4:$J$64,2,FALSE)</f>
      </c>
      <c r="F319" s="6">
        <v>100</v>
      </c>
      <c r="G319">
        <v>23.95</v>
      </c>
      <c r="H319">
        <f t="shared" si="7"/>
      </c>
      <c r="I319" t="s">
        <v>822</v>
      </c>
      <c r="J319" t="s">
        <v>823</v>
      </c>
      <c r="K319">
        <v>27</v>
      </c>
    </row>
    <row r="320" spans="1:11">
      <c r="A320" s="2">
        <v>46202</v>
      </c>
      <c r="B320" t="s">
        <v>1</v>
      </c>
      <c r="C320" s="2">
        <v>46207</v>
      </c>
      <c r="D320" t="s">
        <v>211</v>
      </c>
      <c r="E320">
        <f>VLOOKUP(D320,Catalogos!$I$4:$J$64,2,FALSE)</f>
      </c>
      <c r="F320" s="6">
        <v>80</v>
      </c>
      <c r="G320">
        <v>23.95</v>
      </c>
      <c r="H320">
        <f t="shared" si="7"/>
      </c>
      <c r="I320" t="s">
        <v>822</v>
      </c>
      <c r="J320" t="s">
        <v>823</v>
      </c>
      <c r="K320">
        <v>27</v>
      </c>
    </row>
    <row r="321" spans="1:11">
      <c r="A321" s="2">
        <v>46202</v>
      </c>
      <c r="B321" t="s">
        <v>1</v>
      </c>
      <c r="C321" s="2">
        <v>46202</v>
      </c>
      <c r="D321" t="s">
        <v>219</v>
      </c>
      <c r="E321">
        <f>VLOOKUP(D321,Catalogos!$I$4:$J$64,2,FALSE)</f>
      </c>
      <c r="F321" s="6">
        <v>50</v>
      </c>
      <c r="G321">
        <v>23.95</v>
      </c>
      <c r="H321">
        <f t="shared" si="7"/>
      </c>
      <c r="I321" t="s">
        <v>822</v>
      </c>
      <c r="K321">
        <v>27</v>
      </c>
    </row>
    <row r="322" spans="1:11">
      <c r="A322" s="2">
        <v>46202</v>
      </c>
      <c r="B322" t="s">
        <v>1</v>
      </c>
      <c r="C322" s="2">
        <v>46203</v>
      </c>
      <c r="D322" t="s">
        <v>219</v>
      </c>
      <c r="E322">
        <f>VLOOKUP(D322,Catalogos!$I$4:$J$64,2,FALSE)</f>
      </c>
      <c r="F322" s="6">
        <v>40</v>
      </c>
      <c r="G322">
        <v>23.95</v>
      </c>
      <c r="H322">
        <f t="shared" si="7"/>
      </c>
      <c r="I322" t="s">
        <v>822</v>
      </c>
      <c r="K322">
        <v>27</v>
      </c>
    </row>
    <row r="323" spans="1:11">
      <c r="A323" s="2">
        <v>46202</v>
      </c>
      <c r="B323" t="s">
        <v>1</v>
      </c>
      <c r="C323" s="2">
        <v>46204</v>
      </c>
      <c r="D323" t="s">
        <v>219</v>
      </c>
      <c r="E323">
        <f>VLOOKUP(D323,Catalogos!$I$4:$J$64,2,FALSE)</f>
      </c>
      <c r="F323" s="6">
        <v>40</v>
      </c>
      <c r="G323">
        <v>23.95</v>
      </c>
      <c r="H323">
        <f t="shared" si="7"/>
      </c>
      <c r="I323" t="s">
        <v>822</v>
      </c>
      <c r="K323">
        <v>27</v>
      </c>
    </row>
    <row r="324" spans="1:11">
      <c r="A324" s="2">
        <v>46202</v>
      </c>
      <c r="B324" t="s">
        <v>1</v>
      </c>
      <c r="C324" s="2">
        <v>46205</v>
      </c>
      <c r="D324" t="s">
        <v>219</v>
      </c>
      <c r="E324">
        <f>VLOOKUP(D324,Catalogos!$I$4:$J$64,2,FALSE)</f>
      </c>
      <c r="F324" s="6">
        <v>40</v>
      </c>
      <c r="G324">
        <v>23.95</v>
      </c>
      <c r="H324">
        <f t="shared" si="7"/>
      </c>
      <c r="I324" t="s">
        <v>822</v>
      </c>
      <c r="K324">
        <v>27</v>
      </c>
    </row>
    <row r="325" spans="1:11">
      <c r="A325" s="2">
        <v>46202</v>
      </c>
      <c r="B325" t="s">
        <v>1</v>
      </c>
      <c r="C325" s="2">
        <v>46206</v>
      </c>
      <c r="D325" t="s">
        <v>219</v>
      </c>
      <c r="E325">
        <f>VLOOKUP(D325,Catalogos!$I$4:$J$64,2,FALSE)</f>
      </c>
      <c r="F325" s="6">
        <v>30</v>
      </c>
      <c r="G325">
        <v>23.95</v>
      </c>
      <c r="H325">
        <f t="shared" si="7"/>
      </c>
      <c r="I325" t="s">
        <v>822</v>
      </c>
      <c r="K325">
        <v>27</v>
      </c>
    </row>
    <row r="326" spans="1:11">
      <c r="A326" s="2">
        <v>46202</v>
      </c>
      <c r="B326" t="s">
        <v>1</v>
      </c>
      <c r="C326" s="2">
        <v>46207</v>
      </c>
      <c r="D326" t="s">
        <v>219</v>
      </c>
      <c r="E326">
        <f>VLOOKUP(D326,Catalogos!$I$4:$J$64,2,FALSE)</f>
      </c>
      <c r="F326" s="6">
        <v>30</v>
      </c>
      <c r="G326">
        <v>23.95</v>
      </c>
      <c r="H326">
        <f t="shared" si="7"/>
      </c>
      <c r="I326" t="s">
        <v>822</v>
      </c>
      <c r="K326">
        <v>27</v>
      </c>
    </row>
    <row r="327" spans="1:11">
      <c r="A327" s="2">
        <v>46202</v>
      </c>
      <c r="B327" t="s">
        <v>1</v>
      </c>
      <c r="C327" s="2">
        <v>46202</v>
      </c>
      <c r="D327" t="s">
        <v>219</v>
      </c>
      <c r="E327">
        <f>VLOOKUP(D327,Catalogos!$I$4:$J$64,2,FALSE)</f>
      </c>
      <c r="F327" s="6">
        <v>50</v>
      </c>
      <c r="G327">
        <v>23.95</v>
      </c>
      <c r="H327">
        <f t="shared" si="7"/>
      </c>
      <c r="I327" t="s">
        <v>822</v>
      </c>
      <c r="K327">
        <v>27</v>
      </c>
    </row>
    <row r="328" spans="1:11">
      <c r="A328" s="2">
        <v>46202</v>
      </c>
      <c r="B328" t="s">
        <v>1</v>
      </c>
      <c r="C328" s="2">
        <v>46203</v>
      </c>
      <c r="D328" t="s">
        <v>219</v>
      </c>
      <c r="E328">
        <f>VLOOKUP(D328,Catalogos!$I$4:$J$64,2,FALSE)</f>
      </c>
      <c r="F328" s="6">
        <v>40</v>
      </c>
      <c r="G328">
        <v>23.95</v>
      </c>
      <c r="H328">
        <f t="shared" si="7"/>
      </c>
      <c r="I328" t="s">
        <v>822</v>
      </c>
      <c r="K328">
        <v>27</v>
      </c>
    </row>
    <row r="329" spans="1:11">
      <c r="A329" s="2">
        <v>46202</v>
      </c>
      <c r="B329" t="s">
        <v>1</v>
      </c>
      <c r="C329" s="2">
        <v>46204</v>
      </c>
      <c r="D329" t="s">
        <v>219</v>
      </c>
      <c r="E329">
        <f>VLOOKUP(D329,Catalogos!$I$4:$J$64,2,FALSE)</f>
      </c>
      <c r="F329" s="6">
        <v>40</v>
      </c>
      <c r="G329">
        <v>23.95</v>
      </c>
      <c r="H329">
        <f t="shared" si="7"/>
      </c>
      <c r="I329" t="s">
        <v>822</v>
      </c>
      <c r="K329">
        <v>27</v>
      </c>
    </row>
    <row r="330" spans="1:11">
      <c r="A330" s="2">
        <v>46202</v>
      </c>
      <c r="B330" t="s">
        <v>1</v>
      </c>
      <c r="C330" s="2">
        <v>46205</v>
      </c>
      <c r="D330" t="s">
        <v>219</v>
      </c>
      <c r="E330">
        <f>VLOOKUP(D330,Catalogos!$I$4:$J$64,2,FALSE)</f>
      </c>
      <c r="F330" s="6">
        <v>40</v>
      </c>
      <c r="G330">
        <v>23.95</v>
      </c>
      <c r="H330">
        <f t="shared" si="7"/>
      </c>
      <c r="I330" t="s">
        <v>822</v>
      </c>
      <c r="K330">
        <v>27</v>
      </c>
    </row>
    <row r="331" spans="1:11">
      <c r="A331" s="2">
        <v>46202</v>
      </c>
      <c r="B331" t="s">
        <v>1</v>
      </c>
      <c r="C331" s="2">
        <v>46206</v>
      </c>
      <c r="D331" t="s">
        <v>219</v>
      </c>
      <c r="E331">
        <f>VLOOKUP(D331,Catalogos!$I$4:$J$64,2,FALSE)</f>
      </c>
      <c r="F331" s="6">
        <v>30</v>
      </c>
      <c r="G331">
        <v>23.95</v>
      </c>
      <c r="H331">
        <f t="shared" si="7"/>
      </c>
      <c r="I331" t="s">
        <v>822</v>
      </c>
      <c r="K331">
        <v>27</v>
      </c>
    </row>
    <row r="332" spans="1:11">
      <c r="A332" s="2">
        <v>46202</v>
      </c>
      <c r="B332" t="s">
        <v>1</v>
      </c>
      <c r="C332" s="2">
        <v>46207</v>
      </c>
      <c r="D332" t="s">
        <v>219</v>
      </c>
      <c r="E332">
        <f>VLOOKUP(D332,Catalogos!$I$4:$J$64,2,FALSE)</f>
      </c>
      <c r="F332" s="6">
        <v>30</v>
      </c>
      <c r="G332">
        <v>23.95</v>
      </c>
      <c r="H332">
        <f t="shared" si="7"/>
      </c>
      <c r="I332" t="s">
        <v>822</v>
      </c>
      <c r="K332">
        <v>27</v>
      </c>
    </row>
    <row r="333" spans="1:11">
      <c r="A333" s="2">
        <v>46202</v>
      </c>
      <c r="B333" t="s">
        <v>1</v>
      </c>
      <c r="C333" s="2">
        <v>46202</v>
      </c>
      <c r="D333" t="s">
        <v>223</v>
      </c>
      <c r="E333">
        <f>VLOOKUP(D333,Catalogos!$I$4:$J$64,2,FALSE)</f>
      </c>
      <c r="F333" s="6">
        <v>50</v>
      </c>
      <c r="G333">
        <v>23.95</v>
      </c>
      <c r="H333">
        <f t="shared" si="7"/>
      </c>
      <c r="I333" t="s">
        <v>822</v>
      </c>
      <c r="K333">
        <v>27</v>
      </c>
    </row>
    <row r="334" spans="1:11">
      <c r="A334" s="2">
        <v>46202</v>
      </c>
      <c r="B334" t="s">
        <v>1</v>
      </c>
      <c r="C334" s="2">
        <v>46203</v>
      </c>
      <c r="D334" t="s">
        <v>223</v>
      </c>
      <c r="E334">
        <f>VLOOKUP(D334,Catalogos!$I$4:$J$64,2,FALSE)</f>
      </c>
      <c r="F334" s="6">
        <v>40</v>
      </c>
      <c r="G334">
        <v>23.95</v>
      </c>
      <c r="H334">
        <f t="shared" si="7"/>
      </c>
      <c r="I334" t="s">
        <v>822</v>
      </c>
      <c r="K334">
        <v>27</v>
      </c>
    </row>
    <row r="335" spans="1:11">
      <c r="A335" s="2">
        <v>46202</v>
      </c>
      <c r="B335" t="s">
        <v>1</v>
      </c>
      <c r="C335" s="2">
        <v>46204</v>
      </c>
      <c r="D335" t="s">
        <v>223</v>
      </c>
      <c r="E335">
        <f>VLOOKUP(D335,Catalogos!$I$4:$J$64,2,FALSE)</f>
      </c>
      <c r="F335" s="6">
        <v>40</v>
      </c>
      <c r="G335">
        <v>23.95</v>
      </c>
      <c r="H335">
        <f t="shared" si="7"/>
      </c>
      <c r="I335" t="s">
        <v>822</v>
      </c>
      <c r="K335">
        <v>27</v>
      </c>
    </row>
    <row r="336" spans="1:11">
      <c r="A336" s="2">
        <v>46202</v>
      </c>
      <c r="B336" t="s">
        <v>1</v>
      </c>
      <c r="C336" s="2">
        <v>46205</v>
      </c>
      <c r="D336" t="s">
        <v>223</v>
      </c>
      <c r="E336">
        <f>VLOOKUP(D336,Catalogos!$I$4:$J$64,2,FALSE)</f>
      </c>
      <c r="F336" s="6">
        <v>30</v>
      </c>
      <c r="G336">
        <v>23.95</v>
      </c>
      <c r="H336">
        <f t="shared" si="7"/>
      </c>
      <c r="I336" t="s">
        <v>822</v>
      </c>
      <c r="K336">
        <v>27</v>
      </c>
    </row>
    <row r="337" spans="1:11">
      <c r="A337" s="2">
        <v>46202</v>
      </c>
      <c r="B337" t="s">
        <v>1</v>
      </c>
      <c r="C337" s="2">
        <v>46206</v>
      </c>
      <c r="D337" t="s">
        <v>223</v>
      </c>
      <c r="E337">
        <f>VLOOKUP(D337,Catalogos!$I$4:$J$64,2,FALSE)</f>
      </c>
      <c r="F337" s="6">
        <v>30</v>
      </c>
      <c r="G337">
        <v>23.95</v>
      </c>
      <c r="H337">
        <f t="shared" si="7"/>
      </c>
      <c r="I337" t="s">
        <v>822</v>
      </c>
      <c r="K337">
        <v>27</v>
      </c>
    </row>
    <row r="338" spans="1:11">
      <c r="A338" s="2">
        <v>46202</v>
      </c>
      <c r="B338" t="s">
        <v>1</v>
      </c>
      <c r="C338" s="2">
        <v>46207</v>
      </c>
      <c r="D338" t="s">
        <v>223</v>
      </c>
      <c r="E338">
        <f>VLOOKUP(D338,Catalogos!$I$4:$J$64,2,FALSE)</f>
      </c>
      <c r="F338" s="6">
        <v>30</v>
      </c>
      <c r="G338">
        <v>23.95</v>
      </c>
      <c r="H338">
        <f t="shared" si="7"/>
      </c>
      <c r="I338" t="s">
        <v>822</v>
      </c>
      <c r="K338">
        <v>27</v>
      </c>
    </row>
    <row r="339" spans="1:11">
      <c r="A339" s="2">
        <v>46202</v>
      </c>
      <c r="B339" t="s">
        <v>1</v>
      </c>
      <c r="C339" s="2">
        <v>46202</v>
      </c>
      <c r="D339" t="s">
        <v>224</v>
      </c>
      <c r="E339">
        <f>VLOOKUP(D339,Catalogos!$I$4:$J$64,2,FALSE)</f>
      </c>
      <c r="F339" s="6">
        <v>50</v>
      </c>
      <c r="G339">
        <v>23.95</v>
      </c>
      <c r="H339">
        <f t="shared" si="7"/>
      </c>
      <c r="I339" t="s">
        <v>822</v>
      </c>
      <c r="K339">
        <v>27</v>
      </c>
    </row>
    <row r="340" spans="1:11">
      <c r="A340" s="2">
        <v>46202</v>
      </c>
      <c r="B340" t="s">
        <v>1</v>
      </c>
      <c r="C340" s="2">
        <v>46203</v>
      </c>
      <c r="D340" t="s">
        <v>224</v>
      </c>
      <c r="E340">
        <f>VLOOKUP(D340,Catalogos!$I$4:$J$64,2,FALSE)</f>
      </c>
      <c r="F340" s="6">
        <v>40</v>
      </c>
      <c r="G340">
        <v>23.95</v>
      </c>
      <c r="H340">
        <f t="shared" si="7"/>
      </c>
      <c r="I340" t="s">
        <v>822</v>
      </c>
      <c r="K340">
        <v>27</v>
      </c>
    </row>
    <row r="341" spans="1:11">
      <c r="A341" s="2">
        <v>46202</v>
      </c>
      <c r="B341" t="s">
        <v>1</v>
      </c>
      <c r="C341" s="2">
        <v>46204</v>
      </c>
      <c r="D341" t="s">
        <v>224</v>
      </c>
      <c r="E341">
        <f>VLOOKUP(D341,Catalogos!$I$4:$J$64,2,FALSE)</f>
      </c>
      <c r="F341" s="6">
        <v>40</v>
      </c>
      <c r="G341">
        <v>23.95</v>
      </c>
      <c r="H341">
        <f t="shared" si="7"/>
      </c>
      <c r="I341" t="s">
        <v>822</v>
      </c>
      <c r="K341">
        <v>27</v>
      </c>
    </row>
    <row r="342" spans="1:11">
      <c r="A342" s="2">
        <v>46202</v>
      </c>
      <c r="B342" t="s">
        <v>1</v>
      </c>
      <c r="C342" s="2">
        <v>46205</v>
      </c>
      <c r="D342" t="s">
        <v>224</v>
      </c>
      <c r="E342">
        <f>VLOOKUP(D342,Catalogos!$I$4:$J$64,2,FALSE)</f>
      </c>
      <c r="F342" s="6">
        <v>30</v>
      </c>
      <c r="G342">
        <v>23.95</v>
      </c>
      <c r="H342">
        <f t="shared" si="7"/>
      </c>
      <c r="I342" t="s">
        <v>822</v>
      </c>
      <c r="K342">
        <v>27</v>
      </c>
    </row>
    <row r="343" spans="1:11">
      <c r="A343" s="2">
        <v>46202</v>
      </c>
      <c r="B343" t="s">
        <v>1</v>
      </c>
      <c r="C343" s="2">
        <v>46206</v>
      </c>
      <c r="D343" t="s">
        <v>224</v>
      </c>
      <c r="E343">
        <f>VLOOKUP(D343,Catalogos!$I$4:$J$64,2,FALSE)</f>
      </c>
      <c r="F343" s="6">
        <v>30</v>
      </c>
      <c r="G343">
        <v>23.95</v>
      </c>
      <c r="H343">
        <f t="shared" si="7"/>
      </c>
      <c r="I343" t="s">
        <v>822</v>
      </c>
      <c r="K343">
        <v>27</v>
      </c>
    </row>
    <row r="344" spans="1:11">
      <c r="A344" s="2">
        <v>46202</v>
      </c>
      <c r="B344" t="s">
        <v>1</v>
      </c>
      <c r="C344" s="2">
        <v>46207</v>
      </c>
      <c r="D344" t="s">
        <v>224</v>
      </c>
      <c r="E344">
        <f>VLOOKUP(D344,Catalogos!$I$4:$J$64,2,FALSE)</f>
      </c>
      <c r="F344" s="6">
        <v>30</v>
      </c>
      <c r="G344">
        <v>23.95</v>
      </c>
      <c r="H344">
        <f t="shared" si="7"/>
      </c>
      <c r="I344" t="s">
        <v>822</v>
      </c>
      <c r="K344">
        <v>27</v>
      </c>
    </row>
    <row r="345" spans="1:11">
      <c r="A345" s="2">
        <v>46202</v>
      </c>
      <c r="B345" t="s">
        <v>1</v>
      </c>
      <c r="C345" s="2">
        <v>46202</v>
      </c>
      <c r="D345" t="s">
        <v>216</v>
      </c>
      <c r="E345">
        <f>VLOOKUP(D345,Catalogos!$I$4:$J$64,2,FALSE)</f>
      </c>
      <c r="F345" s="6">
        <v>30</v>
      </c>
      <c r="G345">
        <v>23.95</v>
      </c>
      <c r="H345">
        <f t="shared" si="7"/>
      </c>
      <c r="I345" t="s">
        <v>822</v>
      </c>
      <c r="K345">
        <v>27</v>
      </c>
    </row>
    <row r="346" spans="1:11">
      <c r="A346" s="2">
        <v>46202</v>
      </c>
      <c r="B346" t="s">
        <v>1</v>
      </c>
      <c r="C346" s="2">
        <v>46203</v>
      </c>
      <c r="D346" t="s">
        <v>216</v>
      </c>
      <c r="E346">
        <f>VLOOKUP(D346,Catalogos!$I$4:$J$64,2,FALSE)</f>
      </c>
      <c r="F346" s="6">
        <v>30</v>
      </c>
      <c r="G346">
        <v>23.95</v>
      </c>
      <c r="H346">
        <f t="shared" si="7"/>
      </c>
      <c r="I346" t="s">
        <v>822</v>
      </c>
      <c r="K346">
        <v>27</v>
      </c>
    </row>
    <row r="347" spans="1:11">
      <c r="A347" s="2">
        <v>46202</v>
      </c>
      <c r="B347" t="s">
        <v>1</v>
      </c>
      <c r="C347" s="2">
        <v>46204</v>
      </c>
      <c r="D347" t="s">
        <v>216</v>
      </c>
      <c r="E347">
        <f>VLOOKUP(D347,Catalogos!$I$4:$J$64,2,FALSE)</f>
      </c>
      <c r="F347" s="6">
        <v>30</v>
      </c>
      <c r="G347">
        <v>23.95</v>
      </c>
      <c r="H347">
        <f t="shared" si="7"/>
      </c>
      <c r="I347" t="s">
        <v>822</v>
      </c>
      <c r="K347">
        <v>27</v>
      </c>
    </row>
    <row r="348" spans="1:11">
      <c r="A348" s="2">
        <v>46202</v>
      </c>
      <c r="B348" t="s">
        <v>1</v>
      </c>
      <c r="C348" s="2">
        <v>46205</v>
      </c>
      <c r="D348" t="s">
        <v>216</v>
      </c>
      <c r="E348">
        <f>VLOOKUP(D348,Catalogos!$I$4:$J$64,2,FALSE)</f>
      </c>
      <c r="F348" s="6">
        <v>20</v>
      </c>
      <c r="G348">
        <v>23.95</v>
      </c>
      <c r="H348">
        <f t="shared" ref="H348:H379" si="8">F348*G348</f>
      </c>
      <c r="I348" t="s">
        <v>822</v>
      </c>
      <c r="K348">
        <v>27</v>
      </c>
    </row>
    <row r="349" spans="1:11">
      <c r="A349" s="2">
        <v>46202</v>
      </c>
      <c r="B349" t="s">
        <v>1</v>
      </c>
      <c r="C349" s="2">
        <v>46206</v>
      </c>
      <c r="D349" t="s">
        <v>216</v>
      </c>
      <c r="E349">
        <f>VLOOKUP(D349,Catalogos!$I$4:$J$64,2,FALSE)</f>
      </c>
      <c r="F349" s="6">
        <v>20</v>
      </c>
      <c r="G349">
        <v>23.95</v>
      </c>
      <c r="H349">
        <f t="shared" si="8"/>
      </c>
      <c r="I349" t="s">
        <v>822</v>
      </c>
      <c r="K349">
        <v>27</v>
      </c>
    </row>
    <row r="350" spans="1:11">
      <c r="A350" s="2">
        <v>46202</v>
      </c>
      <c r="B350" t="s">
        <v>1</v>
      </c>
      <c r="C350" s="2">
        <v>46207</v>
      </c>
      <c r="D350" t="s">
        <v>216</v>
      </c>
      <c r="E350">
        <f>VLOOKUP(D350,Catalogos!$I$4:$J$64,2,FALSE)</f>
      </c>
      <c r="F350" s="6">
        <v>20</v>
      </c>
      <c r="G350">
        <v>23.95</v>
      </c>
      <c r="H350">
        <f t="shared" si="8"/>
      </c>
      <c r="I350" t="s">
        <v>822</v>
      </c>
      <c r="K350">
        <v>27</v>
      </c>
    </row>
    <row r="351" spans="1:11">
      <c r="A351" s="2">
        <v>46202</v>
      </c>
      <c r="B351" t="s">
        <v>1</v>
      </c>
      <c r="C351" s="2">
        <v>46202</v>
      </c>
      <c r="D351" t="s">
        <v>210</v>
      </c>
      <c r="E351">
        <f>VLOOKUP(D351,Catalogos!$I$4:$J$64,2,FALSE)</f>
      </c>
      <c r="F351" s="6">
        <v>60</v>
      </c>
      <c r="G351">
        <v>23.95</v>
      </c>
      <c r="H351">
        <f t="shared" si="8"/>
      </c>
      <c r="I351" t="s">
        <v>822</v>
      </c>
      <c r="K351">
        <v>27</v>
      </c>
    </row>
    <row r="352" spans="1:11">
      <c r="A352" s="2">
        <v>46202</v>
      </c>
      <c r="B352" t="s">
        <v>1</v>
      </c>
      <c r="C352" s="2">
        <v>46203</v>
      </c>
      <c r="D352" t="s">
        <v>210</v>
      </c>
      <c r="E352">
        <f>VLOOKUP(D352,Catalogos!$I$4:$J$64,2,FALSE)</f>
      </c>
      <c r="F352" s="6">
        <v>50</v>
      </c>
      <c r="G352">
        <v>23.95</v>
      </c>
      <c r="H352">
        <f t="shared" si="8"/>
      </c>
      <c r="I352" t="s">
        <v>822</v>
      </c>
      <c r="K352">
        <v>27</v>
      </c>
    </row>
    <row r="353" spans="1:11">
      <c r="A353" s="2">
        <v>46202</v>
      </c>
      <c r="B353" t="s">
        <v>1</v>
      </c>
      <c r="C353" s="2">
        <v>46204</v>
      </c>
      <c r="D353" t="s">
        <v>210</v>
      </c>
      <c r="E353">
        <f>VLOOKUP(D353,Catalogos!$I$4:$J$64,2,FALSE)</f>
      </c>
      <c r="F353" s="6">
        <v>50</v>
      </c>
      <c r="G353">
        <v>23.95</v>
      </c>
      <c r="H353">
        <f t="shared" si="8"/>
      </c>
      <c r="I353" t="s">
        <v>822</v>
      </c>
      <c r="K353">
        <v>27</v>
      </c>
    </row>
    <row r="354" spans="1:11">
      <c r="A354" s="2">
        <v>46202</v>
      </c>
      <c r="B354" t="s">
        <v>1</v>
      </c>
      <c r="C354" s="2">
        <v>46205</v>
      </c>
      <c r="D354" t="s">
        <v>210</v>
      </c>
      <c r="E354">
        <f>VLOOKUP(D354,Catalogos!$I$4:$J$64,2,FALSE)</f>
      </c>
      <c r="F354" s="6">
        <v>50</v>
      </c>
      <c r="G354">
        <v>23.95</v>
      </c>
      <c r="H354">
        <f t="shared" si="8"/>
      </c>
      <c r="I354" t="s">
        <v>822</v>
      </c>
      <c r="K354">
        <v>27</v>
      </c>
    </row>
    <row r="355" spans="1:11">
      <c r="A355" s="2">
        <v>46202</v>
      </c>
      <c r="B355" t="s">
        <v>1</v>
      </c>
      <c r="C355" s="2">
        <v>46206</v>
      </c>
      <c r="D355" t="s">
        <v>210</v>
      </c>
      <c r="E355">
        <f>VLOOKUP(D355,Catalogos!$I$4:$J$64,2,FALSE)</f>
      </c>
      <c r="F355" s="6">
        <v>50</v>
      </c>
      <c r="G355">
        <v>23.95</v>
      </c>
      <c r="H355">
        <f t="shared" si="8"/>
      </c>
      <c r="I355" t="s">
        <v>822</v>
      </c>
      <c r="K355">
        <v>27</v>
      </c>
    </row>
    <row r="356" spans="1:11">
      <c r="A356" s="2">
        <v>46202</v>
      </c>
      <c r="B356" t="s">
        <v>1</v>
      </c>
      <c r="C356" s="2">
        <v>46207</v>
      </c>
      <c r="D356" t="s">
        <v>210</v>
      </c>
      <c r="E356">
        <f>VLOOKUP(D356,Catalogos!$I$4:$J$64,2,FALSE)</f>
      </c>
      <c r="F356" s="6">
        <v>40</v>
      </c>
      <c r="G356">
        <v>23.95</v>
      </c>
      <c r="H356">
        <f t="shared" si="8"/>
      </c>
      <c r="I356" t="s">
        <v>822</v>
      </c>
      <c r="K356">
        <v>27</v>
      </c>
    </row>
    <row r="357" spans="1:11">
      <c r="A357" s="2">
        <v>46202</v>
      </c>
      <c r="B357" t="s">
        <v>1</v>
      </c>
      <c r="C357" s="2">
        <v>46202</v>
      </c>
      <c r="D357" t="s">
        <v>234</v>
      </c>
      <c r="E357">
        <f>VLOOKUP(D357,Catalogos!$I$4:$J$64,2,FALSE)</f>
      </c>
      <c r="F357" s="6">
        <v>50</v>
      </c>
      <c r="G357">
        <v>23.95</v>
      </c>
      <c r="H357">
        <f t="shared" si="8"/>
      </c>
      <c r="I357" t="s">
        <v>822</v>
      </c>
      <c r="K357">
        <v>27</v>
      </c>
    </row>
    <row r="358" spans="1:11">
      <c r="A358" s="2">
        <v>46202</v>
      </c>
      <c r="B358" t="s">
        <v>1</v>
      </c>
      <c r="C358" s="2">
        <v>46203</v>
      </c>
      <c r="D358" t="s">
        <v>234</v>
      </c>
      <c r="E358">
        <f>VLOOKUP(D358,Catalogos!$I$4:$J$64,2,FALSE)</f>
      </c>
      <c r="F358" s="6">
        <v>50</v>
      </c>
      <c r="G358">
        <v>23.95</v>
      </c>
      <c r="H358">
        <f t="shared" si="8"/>
      </c>
      <c r="I358" t="s">
        <v>822</v>
      </c>
      <c r="K358">
        <v>27</v>
      </c>
    </row>
    <row r="359" spans="1:11">
      <c r="A359" s="2">
        <v>46202</v>
      </c>
      <c r="B359" t="s">
        <v>1</v>
      </c>
      <c r="C359" s="2">
        <v>46204</v>
      </c>
      <c r="D359" t="s">
        <v>234</v>
      </c>
      <c r="E359">
        <f>VLOOKUP(D359,Catalogos!$I$4:$J$64,2,FALSE)</f>
      </c>
      <c r="F359" s="6">
        <v>50</v>
      </c>
      <c r="G359">
        <v>23.95</v>
      </c>
      <c r="H359">
        <f t="shared" si="8"/>
      </c>
      <c r="I359" t="s">
        <v>822</v>
      </c>
      <c r="K359">
        <v>27</v>
      </c>
    </row>
    <row r="360" spans="1:11">
      <c r="A360" s="2">
        <v>46202</v>
      </c>
      <c r="B360" t="s">
        <v>1</v>
      </c>
      <c r="C360" s="2">
        <v>46205</v>
      </c>
      <c r="D360" t="s">
        <v>234</v>
      </c>
      <c r="E360">
        <f>VLOOKUP(D360,Catalogos!$I$4:$J$64,2,FALSE)</f>
      </c>
      <c r="F360" s="6">
        <v>50</v>
      </c>
      <c r="G360">
        <v>23.95</v>
      </c>
      <c r="H360">
        <f t="shared" si="8"/>
      </c>
      <c r="I360" t="s">
        <v>822</v>
      </c>
      <c r="K360">
        <v>27</v>
      </c>
    </row>
    <row r="361" spans="1:11">
      <c r="A361" s="2">
        <v>46202</v>
      </c>
      <c r="B361" t="s">
        <v>1</v>
      </c>
      <c r="C361" s="2">
        <v>46206</v>
      </c>
      <c r="D361" t="s">
        <v>234</v>
      </c>
      <c r="E361">
        <f>VLOOKUP(D361,Catalogos!$I$4:$J$64,2,FALSE)</f>
      </c>
      <c r="F361" s="6">
        <v>50</v>
      </c>
      <c r="G361">
        <v>23.95</v>
      </c>
      <c r="H361">
        <f t="shared" si="8"/>
      </c>
      <c r="I361" t="s">
        <v>822</v>
      </c>
      <c r="K361">
        <v>27</v>
      </c>
    </row>
    <row r="362" spans="1:11">
      <c r="A362" s="2">
        <v>46202</v>
      </c>
      <c r="B362" t="s">
        <v>111</v>
      </c>
      <c r="C362" s="2">
        <v>46202</v>
      </c>
      <c r="D362" t="s">
        <v>209</v>
      </c>
      <c r="E362">
        <f>VLOOKUP(D362,Catalogos!$I$4:$J$64,2,FALSE)</f>
      </c>
      <c r="F362" s="6">
        <v>100</v>
      </c>
      <c r="G362">
        <v>23.95</v>
      </c>
      <c r="H362">
        <f t="shared" si="8"/>
      </c>
      <c r="I362" t="s">
        <v>814</v>
      </c>
      <c r="K362">
        <v>27</v>
      </c>
    </row>
    <row r="363" spans="1:11">
      <c r="A363" s="2">
        <v>46202</v>
      </c>
      <c r="B363" t="s">
        <v>111</v>
      </c>
      <c r="C363" s="2">
        <v>46203</v>
      </c>
      <c r="D363" t="s">
        <v>209</v>
      </c>
      <c r="E363">
        <f>VLOOKUP(D363,Catalogos!$I$4:$J$64,2,FALSE)</f>
      </c>
      <c r="F363" s="6">
        <v>30</v>
      </c>
      <c r="G363">
        <v>23.95</v>
      </c>
      <c r="H363">
        <f t="shared" si="8"/>
      </c>
      <c r="I363" t="s">
        <v>814</v>
      </c>
      <c r="K363">
        <v>27</v>
      </c>
    </row>
    <row r="364" spans="1:11">
      <c r="A364" s="2">
        <v>46202</v>
      </c>
      <c r="B364" t="s">
        <v>111</v>
      </c>
      <c r="C364" s="2">
        <v>46204</v>
      </c>
      <c r="D364" t="s">
        <v>209</v>
      </c>
      <c r="E364">
        <f>VLOOKUP(D364,Catalogos!$I$4:$J$64,2,FALSE)</f>
      </c>
      <c r="F364" s="6">
        <v>30</v>
      </c>
      <c r="G364">
        <v>23.95</v>
      </c>
      <c r="H364">
        <f t="shared" si="8"/>
      </c>
      <c r="I364" t="s">
        <v>814</v>
      </c>
      <c r="K364">
        <v>27</v>
      </c>
    </row>
    <row r="365" spans="1:11">
      <c r="A365" s="2">
        <v>46202</v>
      </c>
      <c r="B365" t="s">
        <v>111</v>
      </c>
      <c r="C365" s="2">
        <v>46205</v>
      </c>
      <c r="D365" t="s">
        <v>209</v>
      </c>
      <c r="E365">
        <f>VLOOKUP(D365,Catalogos!$I$4:$J$64,2,FALSE)</f>
      </c>
      <c r="F365" s="6">
        <v>60</v>
      </c>
      <c r="G365">
        <v>23.95</v>
      </c>
      <c r="H365">
        <f t="shared" si="8"/>
      </c>
      <c r="I365" t="s">
        <v>814</v>
      </c>
      <c r="K365">
        <v>27</v>
      </c>
    </row>
    <row r="366" spans="1:11">
      <c r="A366" s="2">
        <v>46202</v>
      </c>
      <c r="B366" t="s">
        <v>111</v>
      </c>
      <c r="C366" s="2">
        <v>46206</v>
      </c>
      <c r="D366" t="s">
        <v>209</v>
      </c>
      <c r="E366">
        <f>VLOOKUP(D366,Catalogos!$I$4:$J$64,2,FALSE)</f>
      </c>
      <c r="F366" s="6">
        <v>50</v>
      </c>
      <c r="G366">
        <v>23.95</v>
      </c>
      <c r="H366">
        <f t="shared" si="8"/>
      </c>
      <c r="I366" t="s">
        <v>814</v>
      </c>
      <c r="K366">
        <v>27</v>
      </c>
    </row>
    <row r="367" spans="1:11">
      <c r="A367" s="2">
        <v>46202</v>
      </c>
      <c r="B367" t="s">
        <v>111</v>
      </c>
      <c r="C367" s="2">
        <v>46203</v>
      </c>
      <c r="D367" t="s">
        <v>209</v>
      </c>
      <c r="E367">
        <f>VLOOKUP(D367,Catalogos!$I$4:$J$64,2,FALSE)</f>
      </c>
      <c r="F367" s="6">
        <v>50</v>
      </c>
      <c r="G367">
        <v>23.95</v>
      </c>
      <c r="H367">
        <f t="shared" si="8"/>
      </c>
      <c r="I367" t="s">
        <v>814</v>
      </c>
      <c r="K367">
        <v>27</v>
      </c>
    </row>
    <row r="368" spans="1:11">
      <c r="A368" s="2">
        <v>46202</v>
      </c>
      <c r="B368" t="s">
        <v>111</v>
      </c>
      <c r="C368" s="2">
        <v>46204</v>
      </c>
      <c r="D368" t="s">
        <v>209</v>
      </c>
      <c r="E368">
        <f>VLOOKUP(D368,Catalogos!$I$4:$J$64,2,FALSE)</f>
      </c>
      <c r="F368" s="6">
        <v>50</v>
      </c>
      <c r="G368">
        <v>23.95</v>
      </c>
      <c r="H368">
        <f t="shared" si="8"/>
      </c>
      <c r="I368" t="s">
        <v>814</v>
      </c>
      <c r="K368">
        <v>27</v>
      </c>
    </row>
    <row r="369" spans="1:11">
      <c r="A369" s="2">
        <v>46202</v>
      </c>
      <c r="B369" t="s">
        <v>111</v>
      </c>
      <c r="C369" s="2">
        <v>46205</v>
      </c>
      <c r="D369" t="s">
        <v>209</v>
      </c>
      <c r="E369">
        <f>VLOOKUP(D369,Catalogos!$I$4:$J$64,2,FALSE)</f>
      </c>
      <c r="F369" s="6">
        <v>60</v>
      </c>
      <c r="G369">
        <v>23.95</v>
      </c>
      <c r="H369">
        <f t="shared" si="8"/>
      </c>
      <c r="I369" t="s">
        <v>814</v>
      </c>
      <c r="K369">
        <v>27</v>
      </c>
    </row>
    <row r="370" spans="1:11">
      <c r="A370" s="2">
        <v>46202</v>
      </c>
      <c r="B370" t="s">
        <v>111</v>
      </c>
      <c r="C370" s="2">
        <v>46206</v>
      </c>
      <c r="D370" t="s">
        <v>209</v>
      </c>
      <c r="E370">
        <f>VLOOKUP(D370,Catalogos!$I$4:$J$64,2,FALSE)</f>
      </c>
      <c r="F370" s="6">
        <v>50</v>
      </c>
      <c r="G370">
        <v>23.95</v>
      </c>
      <c r="H370">
        <f t="shared" si="8"/>
      </c>
      <c r="I370" t="s">
        <v>814</v>
      </c>
      <c r="K370">
        <v>27</v>
      </c>
    </row>
    <row r="371" spans="1:11">
      <c r="A371" s="2">
        <v>46202</v>
      </c>
      <c r="B371" t="s">
        <v>111</v>
      </c>
      <c r="C371" s="2">
        <v>46207</v>
      </c>
      <c r="D371" t="s">
        <v>209</v>
      </c>
      <c r="E371">
        <f>VLOOKUP(D371,Catalogos!$I$4:$J$64,2,FALSE)</f>
      </c>
      <c r="F371" s="6">
        <v>100</v>
      </c>
      <c r="G371">
        <v>23.95</v>
      </c>
      <c r="H371">
        <f t="shared" si="8"/>
      </c>
      <c r="I371" t="s">
        <v>814</v>
      </c>
      <c r="J371" t="s">
        <v>815</v>
      </c>
      <c r="K371">
        <v>27</v>
      </c>
    </row>
    <row r="372" spans="1:11">
      <c r="A372" s="2">
        <v>46202</v>
      </c>
      <c r="B372" t="s">
        <v>111</v>
      </c>
      <c r="C372" s="2">
        <v>46203</v>
      </c>
      <c r="D372" t="s">
        <v>250</v>
      </c>
      <c r="E372">
        <f>VLOOKUP(D372,Catalogos!$I$4:$J$64,2,FALSE)</f>
      </c>
      <c r="F372" s="6">
        <v>10</v>
      </c>
      <c r="G372">
        <v>23.95</v>
      </c>
      <c r="H372">
        <f t="shared" si="8"/>
      </c>
      <c r="I372" t="s">
        <v>814</v>
      </c>
      <c r="K372">
        <v>27</v>
      </c>
    </row>
    <row r="373" spans="1:11">
      <c r="A373" s="2">
        <v>46202</v>
      </c>
      <c r="B373" t="s">
        <v>111</v>
      </c>
      <c r="C373" s="2">
        <v>46204</v>
      </c>
      <c r="D373" t="s">
        <v>250</v>
      </c>
      <c r="E373">
        <f>VLOOKUP(D373,Catalogos!$I$4:$J$64,2,FALSE)</f>
      </c>
      <c r="F373" s="6">
        <v>10</v>
      </c>
      <c r="G373">
        <v>23.95</v>
      </c>
      <c r="H373">
        <f t="shared" si="8"/>
      </c>
      <c r="I373" t="s">
        <v>814</v>
      </c>
      <c r="K373">
        <v>27</v>
      </c>
    </row>
    <row r="374" spans="1:11">
      <c r="A374" s="2">
        <v>46202</v>
      </c>
      <c r="B374" t="s">
        <v>111</v>
      </c>
      <c r="C374" s="2">
        <v>46205</v>
      </c>
      <c r="D374" t="s">
        <v>250</v>
      </c>
      <c r="E374">
        <f>VLOOKUP(D374,Catalogos!$I$4:$J$64,2,FALSE)</f>
      </c>
      <c r="F374" s="6">
        <v>5</v>
      </c>
      <c r="G374">
        <v>23.95</v>
      </c>
      <c r="H374">
        <f t="shared" si="8"/>
      </c>
      <c r="I374" t="s">
        <v>814</v>
      </c>
      <c r="K374">
        <v>27</v>
      </c>
    </row>
    <row r="375" spans="1:11">
      <c r="A375" s="2">
        <v>46202</v>
      </c>
      <c r="B375" t="s">
        <v>111</v>
      </c>
      <c r="C375" s="2">
        <v>46206</v>
      </c>
      <c r="D375" t="s">
        <v>250</v>
      </c>
      <c r="E375">
        <f>VLOOKUP(D375,Catalogos!$I$4:$J$64,2,FALSE)</f>
      </c>
      <c r="F375" s="6">
        <v>10</v>
      </c>
      <c r="G375">
        <v>23.95</v>
      </c>
      <c r="H375">
        <f t="shared" si="8"/>
      </c>
      <c r="I375" t="s">
        <v>814</v>
      </c>
      <c r="K375">
        <v>27</v>
      </c>
    </row>
    <row r="376" spans="1:11">
      <c r="A376" s="2">
        <v>46202</v>
      </c>
      <c r="B376" t="s">
        <v>111</v>
      </c>
      <c r="C376" s="2">
        <v>46202</v>
      </c>
      <c r="D376" t="s">
        <v>237</v>
      </c>
      <c r="E376">
        <f>VLOOKUP(D376,Catalogos!$I$4:$J$64,2,FALSE)</f>
      </c>
      <c r="F376" s="6">
        <v>5</v>
      </c>
      <c r="G376">
        <v>23.95</v>
      </c>
      <c r="H376">
        <f t="shared" si="8"/>
      </c>
      <c r="I376" t="s">
        <v>814</v>
      </c>
      <c r="K376">
        <v>27</v>
      </c>
    </row>
    <row r="377" spans="1:11">
      <c r="A377" s="2">
        <v>46202</v>
      </c>
      <c r="B377" t="s">
        <v>111</v>
      </c>
      <c r="C377" s="2">
        <v>46203</v>
      </c>
      <c r="D377" t="s">
        <v>237</v>
      </c>
      <c r="E377">
        <f>VLOOKUP(D377,Catalogos!$I$4:$J$64,2,FALSE)</f>
      </c>
      <c r="F377" s="6">
        <v>5</v>
      </c>
      <c r="G377">
        <v>23.95</v>
      </c>
      <c r="H377">
        <f t="shared" si="8"/>
      </c>
      <c r="I377" t="s">
        <v>814</v>
      </c>
      <c r="K377">
        <v>27</v>
      </c>
    </row>
    <row r="378" spans="1:11">
      <c r="A378" s="2">
        <v>46202</v>
      </c>
      <c r="B378" t="s">
        <v>111</v>
      </c>
      <c r="C378" s="2">
        <v>46204</v>
      </c>
      <c r="D378" t="s">
        <v>237</v>
      </c>
      <c r="E378">
        <f>VLOOKUP(D378,Catalogos!$I$4:$J$64,2,FALSE)</f>
      </c>
      <c r="F378" s="6">
        <v>5</v>
      </c>
      <c r="G378">
        <v>23.95</v>
      </c>
      <c r="H378">
        <f t="shared" si="8"/>
      </c>
      <c r="I378" t="s">
        <v>814</v>
      </c>
      <c r="K378">
        <v>27</v>
      </c>
    </row>
    <row r="379" spans="1:11">
      <c r="A379" s="2">
        <v>46202</v>
      </c>
      <c r="B379" t="s">
        <v>111</v>
      </c>
      <c r="C379" s="2">
        <v>46205</v>
      </c>
      <c r="D379" t="s">
        <v>237</v>
      </c>
      <c r="E379">
        <f>VLOOKUP(D379,Catalogos!$I$4:$J$64,2,FALSE)</f>
      </c>
      <c r="F379" s="6">
        <v>5</v>
      </c>
      <c r="G379">
        <v>23.95</v>
      </c>
      <c r="H379">
        <f t="shared" si="8"/>
      </c>
      <c r="I379" t="s">
        <v>814</v>
      </c>
      <c r="K379">
        <v>27</v>
      </c>
    </row>
    <row r="380" spans="1:11">
      <c r="A380" s="2">
        <v>46202</v>
      </c>
      <c r="B380" t="s">
        <v>111</v>
      </c>
      <c r="C380" s="2">
        <v>46206</v>
      </c>
      <c r="D380" t="s">
        <v>237</v>
      </c>
      <c r="E380">
        <f>VLOOKUP(D380,Catalogos!$I$4:$J$64,2,FALSE)</f>
      </c>
      <c r="F380" s="6">
        <v>5</v>
      </c>
      <c r="G380">
        <v>23.95</v>
      </c>
      <c r="H380">
        <f t="shared" ref="H380:H387" si="9">F380*G380</f>
      </c>
      <c r="I380" t="s">
        <v>814</v>
      </c>
      <c r="K380">
        <v>27</v>
      </c>
    </row>
    <row r="381" spans="1:11">
      <c r="A381" s="2">
        <v>46202</v>
      </c>
      <c r="B381" t="s">
        <v>111</v>
      </c>
      <c r="C381" s="2">
        <v>46203</v>
      </c>
      <c r="D381" t="s">
        <v>816</v>
      </c>
      <c r="E381">
        <f>VLOOKUP(D381,Catalogos!$I$4:$J$64,2,FALSE)</f>
      </c>
      <c r="F381" s="6">
        <v>100</v>
      </c>
      <c r="G381">
        <v>23.95</v>
      </c>
      <c r="H381">
        <f t="shared" si="9"/>
      </c>
      <c r="I381" t="s">
        <v>814</v>
      </c>
      <c r="K381">
        <v>27</v>
      </c>
    </row>
    <row r="382" spans="1:11">
      <c r="A382" s="2">
        <v>46202</v>
      </c>
      <c r="B382" t="s">
        <v>111</v>
      </c>
      <c r="C382" s="2">
        <v>46204</v>
      </c>
      <c r="D382" t="s">
        <v>816</v>
      </c>
      <c r="E382">
        <f>VLOOKUP(D382,Catalogos!$I$4:$J$64,2,FALSE)</f>
      </c>
      <c r="F382" s="6">
        <v>70</v>
      </c>
      <c r="G382">
        <v>23.95</v>
      </c>
      <c r="H382">
        <f t="shared" si="9"/>
      </c>
      <c r="I382" t="s">
        <v>814</v>
      </c>
      <c r="K382">
        <v>27</v>
      </c>
    </row>
    <row r="383" spans="1:11">
      <c r="A383" s="2">
        <v>46202</v>
      </c>
      <c r="B383" t="s">
        <v>111</v>
      </c>
      <c r="C383" s="2">
        <v>46205</v>
      </c>
      <c r="D383" t="s">
        <v>816</v>
      </c>
      <c r="E383">
        <f>VLOOKUP(D383,Catalogos!$I$4:$J$64,2,FALSE)</f>
      </c>
      <c r="F383" s="6">
        <v>100</v>
      </c>
      <c r="G383">
        <v>23.95</v>
      </c>
      <c r="H383">
        <f t="shared" si="9"/>
      </c>
      <c r="I383" t="s">
        <v>814</v>
      </c>
      <c r="K383">
        <v>27</v>
      </c>
    </row>
    <row r="384" spans="1:11">
      <c r="A384" s="2">
        <v>46202</v>
      </c>
      <c r="B384" t="s">
        <v>111</v>
      </c>
      <c r="C384" s="2">
        <v>46206</v>
      </c>
      <c r="D384" t="s">
        <v>816</v>
      </c>
      <c r="E384">
        <f>VLOOKUP(D384,Catalogos!$I$4:$J$64,2,FALSE)</f>
      </c>
      <c r="F384" s="6">
        <v>100</v>
      </c>
      <c r="G384">
        <v>23.95</v>
      </c>
      <c r="H384">
        <f t="shared" si="9"/>
      </c>
      <c r="I384" t="s">
        <v>814</v>
      </c>
      <c r="K384">
        <v>27</v>
      </c>
    </row>
    <row r="385" spans="1:11">
      <c r="A385" s="2">
        <v>46202</v>
      </c>
      <c r="B385" t="s">
        <v>111</v>
      </c>
      <c r="C385" s="2">
        <v>46207</v>
      </c>
      <c r="D385" t="s">
        <v>816</v>
      </c>
      <c r="E385">
        <f>VLOOKUP(D385,Catalogos!$I$4:$J$64,2,FALSE)</f>
      </c>
      <c r="F385" s="6">
        <v>100</v>
      </c>
      <c r="G385">
        <v>23.95</v>
      </c>
      <c r="H385">
        <f t="shared" si="9"/>
      </c>
      <c r="I385" t="s">
        <v>814</v>
      </c>
      <c r="J385" t="s">
        <v>815</v>
      </c>
      <c r="K385">
        <v>27</v>
      </c>
    </row>
    <row r="386" spans="1:11">
      <c r="A386" s="2">
        <v>46202</v>
      </c>
      <c r="B386" t="s">
        <v>111</v>
      </c>
      <c r="C386" s="2">
        <v>46204</v>
      </c>
      <c r="D386" t="s">
        <v>222</v>
      </c>
      <c r="E386">
        <f>VLOOKUP(D386,Catalogos!$I$4:$J$64,2,FALSE)</f>
      </c>
      <c r="F386" s="6">
        <v>70</v>
      </c>
      <c r="G386">
        <v>23.95</v>
      </c>
      <c r="H386">
        <f t="shared" si="9"/>
      </c>
      <c r="I386" t="s">
        <v>814</v>
      </c>
      <c r="K386">
        <v>27</v>
      </c>
    </row>
    <row r="387" spans="1:11">
      <c r="A387" s="2">
        <v>46202</v>
      </c>
      <c r="B387" t="s">
        <v>111</v>
      </c>
      <c r="C387" s="2">
        <v>46206</v>
      </c>
      <c r="D387" t="s">
        <v>222</v>
      </c>
      <c r="E387">
        <f>VLOOKUP(D387,Catalogos!$I$4:$J$64,2,FALSE)</f>
      </c>
      <c r="F387" s="6">
        <v>70</v>
      </c>
      <c r="G387">
        <v>23.95</v>
      </c>
      <c r="H387">
        <f t="shared" si="9"/>
      </c>
      <c r="I387" t="s">
        <v>814</v>
      </c>
      <c r="K387">
        <v>27</v>
      </c>
    </row>
    <row r="389" spans="1:11">
      <c r="K389">
        <f t="shared" ref="K389:K452" si="10">IF(A389="","", WEEKNUM(A389, 2))</f>
      </c>
    </row>
    <row r="390" spans="1:11">
      <c r="K390">
        <f t="shared" si="10"/>
      </c>
    </row>
    <row r="391" spans="1:11">
      <c r="K391">
        <f t="shared" si="10"/>
      </c>
    </row>
    <row r="392" spans="1:11">
      <c r="K392">
        <f t="shared" si="10"/>
      </c>
    </row>
    <row r="393" spans="1:11">
      <c r="K393">
        <f t="shared" si="10"/>
      </c>
    </row>
    <row r="394" spans="1:11">
      <c r="K394">
        <f t="shared" si="10"/>
      </c>
    </row>
    <row r="395" spans="1:11">
      <c r="K395">
        <f t="shared" si="10"/>
      </c>
    </row>
    <row r="396" spans="1:11">
      <c r="K396">
        <f t="shared" si="10"/>
      </c>
    </row>
    <row r="397" spans="1:11">
      <c r="K397">
        <f t="shared" si="10"/>
      </c>
    </row>
    <row r="398" spans="1:11">
      <c r="K398">
        <f t="shared" si="10"/>
      </c>
    </row>
    <row r="399" spans="1:11">
      <c r="K399">
        <f t="shared" si="10"/>
      </c>
    </row>
    <row r="400" spans="1:11">
      <c r="K400">
        <f t="shared" si="10"/>
      </c>
    </row>
    <row r="401" spans="11:11">
      <c r="K401">
        <f t="shared" si="10"/>
      </c>
    </row>
    <row r="402" spans="11:11">
      <c r="K402">
        <f t="shared" si="10"/>
      </c>
    </row>
    <row r="403" spans="11:11">
      <c r="K403">
        <f t="shared" si="10"/>
      </c>
    </row>
    <row r="404" spans="11:11">
      <c r="K404">
        <f t="shared" si="10"/>
      </c>
    </row>
    <row r="405" spans="11:11">
      <c r="K405">
        <f t="shared" si="10"/>
      </c>
    </row>
    <row r="406" spans="11:11">
      <c r="K406">
        <f t="shared" si="10"/>
      </c>
    </row>
    <row r="407" spans="11:11">
      <c r="K407">
        <f t="shared" si="10"/>
      </c>
    </row>
    <row r="408" spans="11:11">
      <c r="K408">
        <f t="shared" si="10"/>
      </c>
    </row>
    <row r="409" spans="11:11">
      <c r="K409">
        <f t="shared" si="10"/>
      </c>
    </row>
    <row r="410" spans="11:11">
      <c r="K410">
        <f t="shared" si="10"/>
      </c>
    </row>
    <row r="411" spans="11:11">
      <c r="K411">
        <f t="shared" si="10"/>
      </c>
    </row>
    <row r="412" spans="11:11">
      <c r="K412">
        <f t="shared" si="10"/>
      </c>
    </row>
    <row r="413" spans="11:11">
      <c r="K413">
        <f t="shared" si="10"/>
      </c>
    </row>
    <row r="414" spans="11:11">
      <c r="K414">
        <f t="shared" si="10"/>
      </c>
    </row>
    <row r="415" spans="11:11">
      <c r="K415">
        <f t="shared" si="10"/>
      </c>
    </row>
    <row r="416" spans="11:11">
      <c r="K416">
        <f t="shared" si="10"/>
      </c>
    </row>
    <row r="417" spans="11:11">
      <c r="K417">
        <f t="shared" si="10"/>
      </c>
    </row>
    <row r="418" spans="11:11">
      <c r="K418">
        <f t="shared" si="10"/>
      </c>
    </row>
    <row r="419" spans="11:11">
      <c r="K419">
        <f t="shared" si="10"/>
      </c>
    </row>
    <row r="420" spans="11:11">
      <c r="K420">
        <f t="shared" si="10"/>
      </c>
    </row>
    <row r="421" spans="11:11">
      <c r="K421">
        <f t="shared" si="10"/>
      </c>
    </row>
    <row r="422" spans="11:11">
      <c r="K422">
        <f t="shared" si="10"/>
      </c>
    </row>
    <row r="423" spans="11:11">
      <c r="K423">
        <f t="shared" si="10"/>
      </c>
    </row>
    <row r="424" spans="11:11">
      <c r="K424">
        <f t="shared" si="10"/>
      </c>
    </row>
    <row r="425" spans="11:11">
      <c r="K425">
        <f t="shared" si="10"/>
      </c>
    </row>
    <row r="426" spans="11:11">
      <c r="K426">
        <f t="shared" si="10"/>
      </c>
    </row>
    <row r="427" spans="11:11">
      <c r="K427">
        <f t="shared" si="10"/>
      </c>
    </row>
    <row r="428" spans="11:11">
      <c r="K428">
        <f t="shared" si="10"/>
      </c>
    </row>
    <row r="429" spans="11:11">
      <c r="K429">
        <f t="shared" si="10"/>
      </c>
    </row>
    <row r="430" spans="11:11">
      <c r="K430">
        <f t="shared" si="10"/>
      </c>
    </row>
    <row r="431" spans="11:11">
      <c r="K431">
        <f t="shared" si="10"/>
      </c>
    </row>
    <row r="432" spans="11:11">
      <c r="K432">
        <f t="shared" si="10"/>
      </c>
    </row>
    <row r="433" spans="11:11">
      <c r="K433">
        <f t="shared" si="10"/>
      </c>
    </row>
    <row r="434" spans="11:11">
      <c r="K434">
        <f t="shared" si="10"/>
      </c>
    </row>
    <row r="435" spans="11:11">
      <c r="K435">
        <f t="shared" si="10"/>
      </c>
    </row>
    <row r="436" spans="11:11">
      <c r="K436">
        <f t="shared" si="10"/>
      </c>
    </row>
    <row r="437" spans="11:11">
      <c r="K437">
        <f t="shared" si="10"/>
      </c>
    </row>
    <row r="438" spans="11:11">
      <c r="K438">
        <f t="shared" si="10"/>
      </c>
    </row>
    <row r="439" spans="11:11">
      <c r="K439">
        <f t="shared" si="10"/>
      </c>
    </row>
    <row r="440" spans="11:11">
      <c r="K440">
        <f t="shared" si="10"/>
      </c>
    </row>
    <row r="441" spans="11:11">
      <c r="K441">
        <f t="shared" si="10"/>
      </c>
    </row>
    <row r="442" spans="11:11">
      <c r="K442">
        <f t="shared" si="10"/>
      </c>
    </row>
    <row r="443" spans="11:11">
      <c r="K443">
        <f t="shared" si="10"/>
      </c>
    </row>
    <row r="444" spans="11:11">
      <c r="K444">
        <f t="shared" si="10"/>
      </c>
    </row>
    <row r="445" spans="11:11">
      <c r="K445">
        <f t="shared" si="10"/>
      </c>
    </row>
    <row r="446" spans="11:11">
      <c r="K446">
        <f t="shared" si="10"/>
      </c>
    </row>
    <row r="447" spans="11:11">
      <c r="K447">
        <f t="shared" si="10"/>
      </c>
    </row>
    <row r="448" spans="11:11">
      <c r="K448">
        <f t="shared" si="10"/>
      </c>
    </row>
    <row r="449" spans="11:11">
      <c r="K449">
        <f t="shared" si="10"/>
      </c>
    </row>
    <row r="450" spans="11:11">
      <c r="K450">
        <f t="shared" si="10"/>
      </c>
    </row>
    <row r="451" spans="11:11">
      <c r="K451">
        <f t="shared" si="10"/>
      </c>
    </row>
    <row r="452" spans="11:11">
      <c r="K452">
        <f t="shared" si="10"/>
      </c>
    </row>
    <row r="453" spans="11:11">
      <c r="K453">
        <f t="shared" ref="K453:K516" si="11">IF(A453="","", WEEKNUM(A453, 2))</f>
      </c>
    </row>
    <row r="454" spans="11:11">
      <c r="K454">
        <f t="shared" si="11"/>
      </c>
    </row>
    <row r="455" spans="11:11">
      <c r="K455">
        <f t="shared" si="11"/>
      </c>
    </row>
    <row r="456" spans="11:11">
      <c r="K456">
        <f t="shared" si="11"/>
      </c>
    </row>
    <row r="457" spans="11:11">
      <c r="K457">
        <f t="shared" si="11"/>
      </c>
    </row>
    <row r="458" spans="11:11">
      <c r="K458">
        <f t="shared" si="11"/>
      </c>
    </row>
    <row r="459" spans="11:11">
      <c r="K459">
        <f t="shared" si="11"/>
      </c>
    </row>
    <row r="460" spans="11:11">
      <c r="K460">
        <f t="shared" si="11"/>
      </c>
    </row>
    <row r="461" spans="11:11">
      <c r="K461">
        <f t="shared" si="11"/>
      </c>
    </row>
    <row r="462" spans="11:11">
      <c r="K462">
        <f t="shared" si="11"/>
      </c>
    </row>
    <row r="463" spans="11:11">
      <c r="K463">
        <f t="shared" si="11"/>
      </c>
    </row>
    <row r="464" spans="11:11">
      <c r="K464">
        <f t="shared" si="11"/>
      </c>
    </row>
    <row r="465" spans="11:11">
      <c r="K465">
        <f t="shared" si="11"/>
      </c>
    </row>
    <row r="466" spans="11:11">
      <c r="K466">
        <f t="shared" si="11"/>
      </c>
    </row>
    <row r="467" spans="11:11">
      <c r="K467">
        <f t="shared" si="11"/>
      </c>
    </row>
    <row r="468" spans="11:11">
      <c r="K468">
        <f t="shared" si="11"/>
      </c>
    </row>
    <row r="469" spans="11:11">
      <c r="K469">
        <f t="shared" si="11"/>
      </c>
    </row>
    <row r="470" spans="11:11">
      <c r="K470">
        <f t="shared" si="11"/>
      </c>
    </row>
    <row r="471" spans="11:11">
      <c r="K471">
        <f t="shared" si="11"/>
      </c>
    </row>
    <row r="472" spans="11:11">
      <c r="K472">
        <f t="shared" si="11"/>
      </c>
    </row>
    <row r="473" spans="11:11">
      <c r="K473">
        <f t="shared" si="11"/>
      </c>
    </row>
    <row r="474" spans="11:11">
      <c r="K474">
        <f t="shared" si="11"/>
      </c>
    </row>
    <row r="475" spans="11:11">
      <c r="K475">
        <f t="shared" si="11"/>
      </c>
    </row>
    <row r="476" spans="11:11">
      <c r="K476">
        <f t="shared" si="11"/>
      </c>
    </row>
    <row r="477" spans="11:11">
      <c r="K477">
        <f t="shared" si="11"/>
      </c>
    </row>
    <row r="478" spans="11:11">
      <c r="K478">
        <f t="shared" si="11"/>
      </c>
    </row>
    <row r="479" spans="11:11">
      <c r="K479">
        <f t="shared" si="11"/>
      </c>
    </row>
    <row r="480" spans="11:11">
      <c r="K480">
        <f t="shared" si="11"/>
      </c>
    </row>
    <row r="481" spans="11:11">
      <c r="K481">
        <f t="shared" si="11"/>
      </c>
    </row>
    <row r="482" spans="11:11">
      <c r="K482">
        <f t="shared" si="11"/>
      </c>
    </row>
    <row r="483" spans="11:11">
      <c r="K483">
        <f t="shared" si="11"/>
      </c>
    </row>
    <row r="484" spans="11:11">
      <c r="K484">
        <f t="shared" si="11"/>
      </c>
    </row>
    <row r="485" spans="11:11">
      <c r="K485">
        <f t="shared" si="11"/>
      </c>
    </row>
    <row r="486" spans="11:11">
      <c r="K486">
        <f t="shared" si="11"/>
      </c>
    </row>
    <row r="487" spans="11:11">
      <c r="K487">
        <f t="shared" si="11"/>
      </c>
    </row>
    <row r="488" spans="11:11">
      <c r="K488">
        <f t="shared" si="11"/>
      </c>
    </row>
    <row r="489" spans="11:11">
      <c r="K489">
        <f t="shared" si="11"/>
      </c>
    </row>
    <row r="490" spans="11:11">
      <c r="K490">
        <f t="shared" si="11"/>
      </c>
    </row>
    <row r="491" spans="11:11">
      <c r="K491">
        <f t="shared" si="11"/>
      </c>
    </row>
    <row r="492" spans="11:11">
      <c r="K492">
        <f t="shared" si="11"/>
      </c>
    </row>
    <row r="493" spans="11:11">
      <c r="K493">
        <f t="shared" si="11"/>
      </c>
    </row>
    <row r="494" spans="11:11">
      <c r="K494">
        <f t="shared" si="11"/>
      </c>
    </row>
    <row r="495" spans="11:11">
      <c r="K495">
        <f t="shared" si="11"/>
      </c>
    </row>
    <row r="496" spans="11:11">
      <c r="K496">
        <f t="shared" si="11"/>
      </c>
    </row>
    <row r="497" spans="11:11">
      <c r="K497">
        <f t="shared" si="11"/>
      </c>
    </row>
    <row r="498" spans="11:11">
      <c r="K498">
        <f t="shared" si="11"/>
      </c>
    </row>
    <row r="499" spans="11:11">
      <c r="K499">
        <f t="shared" si="11"/>
      </c>
    </row>
    <row r="500" spans="11:11">
      <c r="K500">
        <f t="shared" si="11"/>
      </c>
    </row>
    <row r="501" spans="11:11">
      <c r="K501">
        <f t="shared" si="11"/>
      </c>
    </row>
    <row r="502" spans="11:11">
      <c r="K502">
        <f t="shared" si="11"/>
      </c>
    </row>
    <row r="503" spans="11:11">
      <c r="K503">
        <f t="shared" si="11"/>
      </c>
    </row>
    <row r="504" spans="11:11">
      <c r="K504">
        <f t="shared" si="11"/>
      </c>
    </row>
    <row r="505" spans="11:11">
      <c r="K505">
        <f t="shared" si="11"/>
      </c>
    </row>
    <row r="506" spans="11:11">
      <c r="K506">
        <f t="shared" si="11"/>
      </c>
    </row>
    <row r="507" spans="11:11">
      <c r="K507">
        <f t="shared" si="11"/>
      </c>
    </row>
    <row r="508" spans="11:11">
      <c r="K508">
        <f t="shared" si="11"/>
      </c>
    </row>
    <row r="509" spans="11:11">
      <c r="K509">
        <f t="shared" si="11"/>
      </c>
    </row>
    <row r="510" spans="11:11">
      <c r="K510">
        <f t="shared" si="11"/>
      </c>
    </row>
    <row r="511" spans="11:11">
      <c r="K511">
        <f t="shared" si="11"/>
      </c>
    </row>
    <row r="512" spans="11:11">
      <c r="K512">
        <f t="shared" si="11"/>
      </c>
    </row>
    <row r="513" spans="11:11">
      <c r="K513">
        <f t="shared" si="11"/>
      </c>
    </row>
    <row r="514" spans="11:11">
      <c r="K514">
        <f t="shared" si="11"/>
      </c>
    </row>
    <row r="515" spans="11:11">
      <c r="K515">
        <f t="shared" si="11"/>
      </c>
    </row>
    <row r="516" spans="11:11">
      <c r="K516">
        <f t="shared" si="11"/>
      </c>
    </row>
    <row r="517" spans="11:11">
      <c r="K517">
        <f t="shared" ref="K517:K580" si="12">IF(A517="","", WEEKNUM(A517, 2))</f>
      </c>
    </row>
    <row r="518" spans="11:11">
      <c r="K518">
        <f t="shared" si="12"/>
      </c>
    </row>
    <row r="519" spans="11:11">
      <c r="K519">
        <f t="shared" si="12"/>
      </c>
    </row>
    <row r="520" spans="11:11">
      <c r="K520">
        <f t="shared" si="12"/>
      </c>
    </row>
    <row r="521" spans="11:11">
      <c r="K521">
        <f t="shared" si="12"/>
      </c>
    </row>
    <row r="522" spans="11:11">
      <c r="K522">
        <f t="shared" si="12"/>
      </c>
    </row>
    <row r="523" spans="11:11">
      <c r="K523">
        <f t="shared" si="12"/>
      </c>
    </row>
    <row r="524" spans="11:11">
      <c r="K524">
        <f t="shared" si="12"/>
      </c>
    </row>
    <row r="525" spans="11:11">
      <c r="K525">
        <f t="shared" si="12"/>
      </c>
    </row>
    <row r="526" spans="11:11">
      <c r="K526">
        <f t="shared" si="12"/>
      </c>
    </row>
    <row r="527" spans="11:11">
      <c r="K527">
        <f t="shared" si="12"/>
      </c>
    </row>
    <row r="528" spans="11:11">
      <c r="K528">
        <f t="shared" si="12"/>
      </c>
    </row>
    <row r="529" spans="11:11">
      <c r="K529">
        <f t="shared" si="12"/>
      </c>
    </row>
    <row r="530" spans="11:11">
      <c r="K530">
        <f t="shared" si="12"/>
      </c>
    </row>
    <row r="531" spans="11:11">
      <c r="K531">
        <f t="shared" si="12"/>
      </c>
    </row>
    <row r="532" spans="11:11">
      <c r="K532">
        <f t="shared" si="12"/>
      </c>
    </row>
    <row r="533" spans="11:11">
      <c r="K533">
        <f t="shared" si="12"/>
      </c>
    </row>
    <row r="534" spans="11:11">
      <c r="K534">
        <f t="shared" si="12"/>
      </c>
    </row>
    <row r="535" spans="11:11">
      <c r="K535">
        <f t="shared" si="12"/>
      </c>
    </row>
    <row r="536" spans="11:11">
      <c r="K536">
        <f t="shared" si="12"/>
      </c>
    </row>
    <row r="537" spans="11:11">
      <c r="K537">
        <f t="shared" si="12"/>
      </c>
    </row>
    <row r="538" spans="11:11">
      <c r="K538">
        <f t="shared" si="12"/>
      </c>
    </row>
    <row r="539" spans="11:11">
      <c r="K539">
        <f t="shared" si="12"/>
      </c>
    </row>
    <row r="540" spans="11:11">
      <c r="K540">
        <f t="shared" si="12"/>
      </c>
    </row>
    <row r="541" spans="11:11">
      <c r="K541">
        <f t="shared" si="12"/>
      </c>
    </row>
    <row r="542" spans="11:11">
      <c r="K542">
        <f t="shared" si="12"/>
      </c>
    </row>
    <row r="543" spans="11:11">
      <c r="K543">
        <f t="shared" si="12"/>
      </c>
    </row>
    <row r="544" spans="11:11">
      <c r="K544">
        <f t="shared" si="12"/>
      </c>
    </row>
    <row r="545" spans="11:11">
      <c r="K545">
        <f t="shared" si="12"/>
      </c>
    </row>
    <row r="546" spans="11:11">
      <c r="K546">
        <f t="shared" si="12"/>
      </c>
    </row>
    <row r="547" spans="11:11">
      <c r="K547">
        <f t="shared" si="12"/>
      </c>
    </row>
    <row r="548" spans="11:11">
      <c r="K548">
        <f t="shared" si="12"/>
      </c>
    </row>
    <row r="549" spans="11:11">
      <c r="K549">
        <f t="shared" si="12"/>
      </c>
    </row>
    <row r="550" spans="11:11">
      <c r="K550">
        <f t="shared" si="12"/>
      </c>
    </row>
    <row r="551" spans="11:11">
      <c r="K551">
        <f t="shared" si="12"/>
      </c>
    </row>
    <row r="552" spans="11:11">
      <c r="K552">
        <f t="shared" si="12"/>
      </c>
    </row>
    <row r="553" spans="11:11">
      <c r="K553">
        <f t="shared" si="12"/>
      </c>
    </row>
    <row r="554" spans="11:11">
      <c r="K554">
        <f t="shared" si="12"/>
      </c>
    </row>
    <row r="555" spans="11:11">
      <c r="K555">
        <f t="shared" si="12"/>
      </c>
    </row>
    <row r="556" spans="11:11">
      <c r="K556">
        <f t="shared" si="12"/>
      </c>
    </row>
    <row r="557" spans="11:11">
      <c r="K557">
        <f t="shared" si="12"/>
      </c>
    </row>
    <row r="558" spans="11:11">
      <c r="K558">
        <f t="shared" si="12"/>
      </c>
    </row>
    <row r="559" spans="11:11">
      <c r="K559">
        <f t="shared" si="12"/>
      </c>
    </row>
    <row r="560" spans="11:11">
      <c r="K560">
        <f t="shared" si="12"/>
      </c>
    </row>
    <row r="561" spans="11:11">
      <c r="K561">
        <f t="shared" si="12"/>
      </c>
    </row>
    <row r="562" spans="11:11">
      <c r="K562">
        <f t="shared" si="12"/>
      </c>
    </row>
    <row r="563" spans="11:11">
      <c r="K563">
        <f t="shared" si="12"/>
      </c>
    </row>
    <row r="564" spans="11:11">
      <c r="K564">
        <f t="shared" si="12"/>
      </c>
    </row>
    <row r="565" spans="11:11">
      <c r="K565">
        <f t="shared" si="12"/>
      </c>
    </row>
    <row r="566" spans="11:11">
      <c r="K566">
        <f t="shared" si="12"/>
      </c>
    </row>
    <row r="567" spans="11:11">
      <c r="K567">
        <f t="shared" si="12"/>
      </c>
    </row>
    <row r="568" spans="11:11">
      <c r="K568">
        <f t="shared" si="12"/>
      </c>
    </row>
    <row r="569" spans="11:11">
      <c r="K569">
        <f t="shared" si="12"/>
      </c>
    </row>
    <row r="570" spans="11:11">
      <c r="K570">
        <f t="shared" si="12"/>
      </c>
    </row>
    <row r="571" spans="11:11">
      <c r="K571">
        <f t="shared" si="12"/>
      </c>
    </row>
    <row r="572" spans="11:11">
      <c r="K572">
        <f t="shared" si="12"/>
      </c>
    </row>
    <row r="573" spans="11:11">
      <c r="K573">
        <f t="shared" si="12"/>
      </c>
    </row>
    <row r="574" spans="11:11">
      <c r="K574">
        <f t="shared" si="12"/>
      </c>
    </row>
    <row r="575" spans="11:11">
      <c r="K575">
        <f t="shared" si="12"/>
      </c>
    </row>
    <row r="576" spans="11:11">
      <c r="K576">
        <f t="shared" si="12"/>
      </c>
    </row>
    <row r="577" spans="11:11">
      <c r="K577">
        <f t="shared" si="12"/>
      </c>
    </row>
    <row r="578" spans="11:11">
      <c r="K578">
        <f t="shared" si="12"/>
      </c>
    </row>
    <row r="579" spans="11:11">
      <c r="K579">
        <f t="shared" si="12"/>
      </c>
    </row>
    <row r="580" spans="11:11">
      <c r="K580">
        <f t="shared" si="12"/>
      </c>
    </row>
    <row r="581" spans="11:11">
      <c r="K581">
        <f t="shared" ref="K581:K644" si="13">IF(A581="","", WEEKNUM(A581, 2))</f>
      </c>
    </row>
    <row r="582" spans="11:11">
      <c r="K582">
        <f t="shared" si="13"/>
      </c>
    </row>
    <row r="583" spans="11:11">
      <c r="K583">
        <f t="shared" si="13"/>
      </c>
    </row>
    <row r="584" spans="11:11">
      <c r="K584">
        <f t="shared" si="13"/>
      </c>
    </row>
    <row r="585" spans="11:11">
      <c r="K585">
        <f t="shared" si="13"/>
      </c>
    </row>
    <row r="586" spans="11:11">
      <c r="K586">
        <f t="shared" si="13"/>
      </c>
    </row>
    <row r="587" spans="11:11">
      <c r="K587">
        <f t="shared" si="13"/>
      </c>
    </row>
    <row r="588" spans="11:11">
      <c r="K588">
        <f t="shared" si="13"/>
      </c>
    </row>
    <row r="589" spans="11:11">
      <c r="K589">
        <f t="shared" si="13"/>
      </c>
    </row>
    <row r="590" spans="11:11">
      <c r="K590">
        <f t="shared" si="13"/>
      </c>
    </row>
    <row r="591" spans="11:11">
      <c r="K591">
        <f t="shared" si="13"/>
      </c>
    </row>
    <row r="592" spans="11:11">
      <c r="K592">
        <f t="shared" si="13"/>
      </c>
    </row>
    <row r="593" spans="11:11">
      <c r="K593">
        <f t="shared" si="13"/>
      </c>
    </row>
    <row r="594" spans="11:11">
      <c r="K594">
        <f t="shared" si="13"/>
      </c>
    </row>
    <row r="595" spans="11:11">
      <c r="K595">
        <f t="shared" si="13"/>
      </c>
    </row>
    <row r="596" spans="11:11">
      <c r="K596">
        <f t="shared" si="13"/>
      </c>
    </row>
    <row r="597" spans="11:11">
      <c r="K597">
        <f t="shared" si="13"/>
      </c>
    </row>
    <row r="598" spans="11:11">
      <c r="K598">
        <f t="shared" si="13"/>
      </c>
    </row>
    <row r="599" spans="11:11">
      <c r="K599">
        <f t="shared" si="13"/>
      </c>
    </row>
    <row r="600" spans="11:11">
      <c r="K600">
        <f t="shared" si="13"/>
      </c>
    </row>
    <row r="601" spans="11:11">
      <c r="K601">
        <f t="shared" si="13"/>
      </c>
    </row>
    <row r="602" spans="11:11">
      <c r="K602">
        <f t="shared" si="13"/>
      </c>
    </row>
    <row r="603" spans="11:11">
      <c r="K603">
        <f t="shared" si="13"/>
      </c>
    </row>
    <row r="604" spans="11:11">
      <c r="K604">
        <f t="shared" si="13"/>
      </c>
    </row>
    <row r="605" spans="11:11">
      <c r="K605">
        <f t="shared" si="13"/>
      </c>
    </row>
    <row r="606" spans="11:11">
      <c r="K606">
        <f t="shared" si="13"/>
      </c>
    </row>
    <row r="607" spans="11:11">
      <c r="K607">
        <f t="shared" si="13"/>
      </c>
    </row>
    <row r="608" spans="11:11">
      <c r="K608">
        <f t="shared" si="13"/>
      </c>
    </row>
    <row r="609" spans="11:11">
      <c r="K609">
        <f t="shared" si="13"/>
      </c>
    </row>
    <row r="610" spans="11:11">
      <c r="K610">
        <f t="shared" si="13"/>
      </c>
    </row>
    <row r="611" spans="11:11">
      <c r="K611">
        <f t="shared" si="13"/>
      </c>
    </row>
    <row r="612" spans="11:11">
      <c r="K612">
        <f t="shared" si="13"/>
      </c>
    </row>
    <row r="613" spans="11:11">
      <c r="K613">
        <f t="shared" si="13"/>
      </c>
    </row>
    <row r="614" spans="11:11">
      <c r="K614">
        <f t="shared" si="13"/>
      </c>
    </row>
    <row r="615" spans="11:11">
      <c r="K615">
        <f t="shared" si="13"/>
      </c>
    </row>
    <row r="616" spans="11:11">
      <c r="K616">
        <f t="shared" si="13"/>
      </c>
    </row>
    <row r="617" spans="11:11">
      <c r="K617">
        <f t="shared" si="13"/>
      </c>
    </row>
    <row r="618" spans="11:11">
      <c r="K618">
        <f t="shared" si="13"/>
      </c>
    </row>
    <row r="619" spans="11:11">
      <c r="K619">
        <f t="shared" si="13"/>
      </c>
    </row>
    <row r="620" spans="11:11">
      <c r="K620">
        <f t="shared" si="13"/>
      </c>
    </row>
    <row r="621" spans="11:11">
      <c r="K621">
        <f t="shared" si="13"/>
      </c>
    </row>
    <row r="622" spans="11:11">
      <c r="K622">
        <f t="shared" si="13"/>
      </c>
    </row>
    <row r="623" spans="11:11">
      <c r="K623">
        <f t="shared" si="13"/>
      </c>
    </row>
    <row r="624" spans="11:11">
      <c r="K624">
        <f t="shared" si="13"/>
      </c>
    </row>
    <row r="625" spans="11:11">
      <c r="K625">
        <f t="shared" si="13"/>
      </c>
    </row>
    <row r="626" spans="11:11">
      <c r="K626">
        <f t="shared" si="13"/>
      </c>
    </row>
    <row r="627" spans="11:11">
      <c r="K627">
        <f t="shared" si="13"/>
      </c>
    </row>
    <row r="628" spans="11:11">
      <c r="K628">
        <f t="shared" si="13"/>
      </c>
    </row>
    <row r="629" spans="11:11">
      <c r="K629">
        <f t="shared" si="13"/>
      </c>
    </row>
    <row r="630" spans="11:11">
      <c r="K630">
        <f t="shared" si="13"/>
      </c>
    </row>
    <row r="631" spans="11:11">
      <c r="K631">
        <f t="shared" si="13"/>
      </c>
    </row>
    <row r="632" spans="11:11">
      <c r="K632">
        <f t="shared" si="13"/>
      </c>
    </row>
    <row r="633" spans="11:11">
      <c r="K633">
        <f t="shared" si="13"/>
      </c>
    </row>
    <row r="634" spans="11:11">
      <c r="K634">
        <f t="shared" si="13"/>
      </c>
    </row>
    <row r="635" spans="11:11">
      <c r="K635">
        <f t="shared" si="13"/>
      </c>
    </row>
    <row r="636" spans="11:11">
      <c r="K636">
        <f t="shared" si="13"/>
      </c>
    </row>
    <row r="637" spans="11:11">
      <c r="K637">
        <f t="shared" si="13"/>
      </c>
    </row>
    <row r="638" spans="11:11">
      <c r="K638">
        <f t="shared" si="13"/>
      </c>
    </row>
    <row r="639" spans="11:11">
      <c r="K639">
        <f t="shared" si="13"/>
      </c>
    </row>
    <row r="640" spans="11:11">
      <c r="K640">
        <f t="shared" si="13"/>
      </c>
    </row>
    <row r="641" spans="11:11">
      <c r="K641">
        <f t="shared" si="13"/>
      </c>
    </row>
    <row r="642" spans="11:11">
      <c r="K642">
        <f t="shared" si="13"/>
      </c>
    </row>
    <row r="643" spans="11:11">
      <c r="K643">
        <f t="shared" si="13"/>
      </c>
    </row>
    <row r="644" spans="11:11">
      <c r="K644">
        <f t="shared" si="13"/>
      </c>
    </row>
    <row r="645" spans="11:11">
      <c r="K645">
        <f t="shared" ref="K645:K708" si="14">IF(A645="","", WEEKNUM(A645, 2))</f>
      </c>
    </row>
    <row r="646" spans="11:11">
      <c r="K646">
        <f t="shared" si="14"/>
      </c>
    </row>
    <row r="647" spans="11:11">
      <c r="K647">
        <f t="shared" si="14"/>
      </c>
    </row>
    <row r="648" spans="11:11">
      <c r="K648">
        <f t="shared" si="14"/>
      </c>
    </row>
    <row r="649" spans="11:11">
      <c r="K649">
        <f t="shared" si="14"/>
      </c>
    </row>
    <row r="650" spans="11:11">
      <c r="K650">
        <f t="shared" si="14"/>
      </c>
    </row>
    <row r="651" spans="11:11">
      <c r="K651">
        <f t="shared" si="14"/>
      </c>
    </row>
    <row r="652" spans="11:11">
      <c r="K652">
        <f t="shared" si="14"/>
      </c>
    </row>
    <row r="653" spans="11:11">
      <c r="K653">
        <f t="shared" si="14"/>
      </c>
    </row>
    <row r="654" spans="11:11">
      <c r="K654">
        <f t="shared" si="14"/>
      </c>
    </row>
    <row r="655" spans="11:11">
      <c r="K655">
        <f t="shared" si="14"/>
      </c>
    </row>
    <row r="656" spans="11:11">
      <c r="K656">
        <f t="shared" si="14"/>
      </c>
    </row>
    <row r="657" spans="11:11">
      <c r="K657">
        <f t="shared" si="14"/>
      </c>
    </row>
    <row r="658" spans="11:11">
      <c r="K658">
        <f t="shared" si="14"/>
      </c>
    </row>
    <row r="659" spans="11:11">
      <c r="K659">
        <f t="shared" si="14"/>
      </c>
    </row>
    <row r="660" spans="11:11">
      <c r="K660">
        <f t="shared" si="14"/>
      </c>
    </row>
    <row r="661" spans="11:11">
      <c r="K661">
        <f t="shared" si="14"/>
      </c>
    </row>
    <row r="662" spans="11:11">
      <c r="K662">
        <f t="shared" si="14"/>
      </c>
    </row>
    <row r="663" spans="11:11">
      <c r="K663">
        <f t="shared" si="14"/>
      </c>
    </row>
    <row r="664" spans="11:11">
      <c r="K664">
        <f t="shared" si="14"/>
      </c>
    </row>
    <row r="665" spans="11:11">
      <c r="K665">
        <f t="shared" si="14"/>
      </c>
    </row>
    <row r="666" spans="11:11">
      <c r="K666">
        <f t="shared" si="14"/>
      </c>
    </row>
    <row r="667" spans="11:11">
      <c r="K667">
        <f t="shared" si="14"/>
      </c>
    </row>
    <row r="668" spans="11:11">
      <c r="K668">
        <f t="shared" si="14"/>
      </c>
    </row>
    <row r="669" spans="11:11">
      <c r="K669">
        <f t="shared" si="14"/>
      </c>
    </row>
    <row r="670" spans="11:11">
      <c r="K670">
        <f t="shared" si="14"/>
      </c>
    </row>
    <row r="671" spans="11:11">
      <c r="K671">
        <f t="shared" si="14"/>
      </c>
    </row>
    <row r="672" spans="11:11">
      <c r="K672">
        <f t="shared" si="14"/>
      </c>
    </row>
    <row r="673" spans="11:11">
      <c r="K673">
        <f t="shared" si="14"/>
      </c>
    </row>
    <row r="674" spans="11:11">
      <c r="K674">
        <f t="shared" si="14"/>
      </c>
    </row>
    <row r="675" spans="11:11">
      <c r="K675">
        <f t="shared" si="14"/>
      </c>
    </row>
    <row r="676" spans="11:11">
      <c r="K676">
        <f t="shared" si="14"/>
      </c>
    </row>
    <row r="677" spans="11:11">
      <c r="K677">
        <f t="shared" si="14"/>
      </c>
    </row>
    <row r="678" spans="11:11">
      <c r="K678">
        <f t="shared" si="14"/>
      </c>
    </row>
    <row r="679" spans="11:11">
      <c r="K679">
        <f t="shared" si="14"/>
      </c>
    </row>
    <row r="680" spans="11:11">
      <c r="K680">
        <f t="shared" si="14"/>
      </c>
    </row>
    <row r="681" spans="11:11">
      <c r="K681">
        <f t="shared" si="14"/>
      </c>
    </row>
    <row r="682" spans="11:11">
      <c r="K682">
        <f t="shared" si="14"/>
      </c>
    </row>
    <row r="683" spans="11:11">
      <c r="K683">
        <f t="shared" si="14"/>
      </c>
    </row>
    <row r="684" spans="11:11">
      <c r="K684">
        <f t="shared" si="14"/>
      </c>
    </row>
    <row r="685" spans="11:11">
      <c r="K685">
        <f t="shared" si="14"/>
      </c>
    </row>
    <row r="686" spans="11:11">
      <c r="K686">
        <f t="shared" si="14"/>
      </c>
    </row>
    <row r="687" spans="11:11">
      <c r="K687">
        <f t="shared" si="14"/>
      </c>
    </row>
    <row r="688" spans="11:11">
      <c r="K688">
        <f t="shared" si="14"/>
      </c>
    </row>
    <row r="689" spans="11:11">
      <c r="K689">
        <f t="shared" si="14"/>
      </c>
    </row>
    <row r="690" spans="11:11">
      <c r="K690">
        <f t="shared" si="14"/>
      </c>
    </row>
    <row r="691" spans="11:11">
      <c r="K691">
        <f t="shared" si="14"/>
      </c>
    </row>
    <row r="692" spans="11:11">
      <c r="K692">
        <f t="shared" si="14"/>
      </c>
    </row>
    <row r="693" spans="11:11">
      <c r="K693">
        <f t="shared" si="14"/>
      </c>
    </row>
    <row r="694" spans="11:11">
      <c r="K694">
        <f t="shared" si="14"/>
      </c>
    </row>
    <row r="695" spans="11:11">
      <c r="K695">
        <f t="shared" si="14"/>
      </c>
    </row>
    <row r="696" spans="11:11">
      <c r="K696">
        <f t="shared" si="14"/>
      </c>
    </row>
    <row r="697" spans="11:11">
      <c r="K697">
        <f t="shared" si="14"/>
      </c>
    </row>
    <row r="698" spans="11:11">
      <c r="K698">
        <f t="shared" si="14"/>
      </c>
    </row>
    <row r="699" spans="11:11">
      <c r="K699">
        <f t="shared" si="14"/>
      </c>
    </row>
    <row r="700" spans="11:11">
      <c r="K700">
        <f t="shared" si="14"/>
      </c>
    </row>
    <row r="701" spans="11:11">
      <c r="K701">
        <f t="shared" si="14"/>
      </c>
    </row>
    <row r="702" spans="11:11">
      <c r="K702">
        <f t="shared" si="14"/>
      </c>
    </row>
    <row r="703" spans="11:11">
      <c r="K703">
        <f t="shared" si="14"/>
      </c>
    </row>
    <row r="704" spans="11:11">
      <c r="K704">
        <f t="shared" si="14"/>
      </c>
    </row>
    <row r="705" spans="11:11">
      <c r="K705">
        <f t="shared" si="14"/>
      </c>
    </row>
    <row r="706" spans="11:11">
      <c r="K706">
        <f t="shared" si="14"/>
      </c>
    </row>
    <row r="707" spans="11:11">
      <c r="K707">
        <f t="shared" si="14"/>
      </c>
    </row>
    <row r="708" spans="11:11">
      <c r="K708">
        <f t="shared" si="14"/>
      </c>
    </row>
    <row r="709" spans="11:11">
      <c r="K709">
        <f t="shared" ref="K709:K772" si="15">IF(A709="","", WEEKNUM(A709, 2))</f>
      </c>
    </row>
    <row r="710" spans="11:11">
      <c r="K710">
        <f t="shared" si="15"/>
      </c>
    </row>
    <row r="711" spans="11:11">
      <c r="K711">
        <f t="shared" si="15"/>
      </c>
    </row>
    <row r="712" spans="11:11">
      <c r="K712">
        <f t="shared" si="15"/>
      </c>
    </row>
    <row r="713" spans="11:11">
      <c r="K713">
        <f t="shared" si="15"/>
      </c>
    </row>
    <row r="714" spans="11:11">
      <c r="K714">
        <f t="shared" si="15"/>
      </c>
    </row>
    <row r="715" spans="11:11">
      <c r="K715">
        <f t="shared" si="15"/>
      </c>
    </row>
    <row r="716" spans="11:11">
      <c r="K716">
        <f t="shared" si="15"/>
      </c>
    </row>
    <row r="717" spans="11:11">
      <c r="K717">
        <f t="shared" si="15"/>
      </c>
    </row>
    <row r="718" spans="11:11">
      <c r="K718">
        <f t="shared" si="15"/>
      </c>
    </row>
    <row r="719" spans="11:11">
      <c r="K719">
        <f t="shared" si="15"/>
      </c>
    </row>
    <row r="720" spans="11:11">
      <c r="K720">
        <f t="shared" si="15"/>
      </c>
    </row>
    <row r="721" spans="11:11">
      <c r="K721">
        <f t="shared" si="15"/>
      </c>
    </row>
    <row r="722" spans="11:11">
      <c r="K722">
        <f t="shared" si="15"/>
      </c>
    </row>
    <row r="723" spans="11:11">
      <c r="K723">
        <f t="shared" si="15"/>
      </c>
    </row>
    <row r="724" spans="11:11">
      <c r="K724">
        <f t="shared" si="15"/>
      </c>
    </row>
    <row r="725" spans="11:11">
      <c r="K725">
        <f t="shared" si="15"/>
      </c>
    </row>
    <row r="726" spans="11:11">
      <c r="K726">
        <f t="shared" si="15"/>
      </c>
    </row>
    <row r="727" spans="11:11">
      <c r="K727">
        <f t="shared" si="15"/>
      </c>
    </row>
    <row r="728" spans="11:11">
      <c r="K728">
        <f t="shared" si="15"/>
      </c>
    </row>
    <row r="729" spans="11:11">
      <c r="K729">
        <f t="shared" si="15"/>
      </c>
    </row>
    <row r="730" spans="11:11">
      <c r="K730">
        <f t="shared" si="15"/>
      </c>
    </row>
    <row r="731" spans="11:11">
      <c r="K731">
        <f t="shared" si="15"/>
      </c>
    </row>
    <row r="732" spans="11:11">
      <c r="K732">
        <f t="shared" si="15"/>
      </c>
    </row>
    <row r="733" spans="11:11">
      <c r="K733">
        <f t="shared" si="15"/>
      </c>
    </row>
    <row r="734" spans="11:11">
      <c r="K734">
        <f t="shared" si="15"/>
      </c>
    </row>
    <row r="735" spans="11:11">
      <c r="K735">
        <f t="shared" si="15"/>
      </c>
    </row>
    <row r="736" spans="11:11">
      <c r="K736">
        <f t="shared" si="15"/>
      </c>
    </row>
    <row r="737" spans="11:11">
      <c r="K737">
        <f t="shared" si="15"/>
      </c>
    </row>
    <row r="738" spans="11:11">
      <c r="K738">
        <f t="shared" si="15"/>
      </c>
    </row>
    <row r="739" spans="11:11">
      <c r="K739">
        <f t="shared" si="15"/>
      </c>
    </row>
    <row r="740" spans="11:11">
      <c r="K740">
        <f t="shared" si="15"/>
      </c>
    </row>
    <row r="741" spans="11:11">
      <c r="K741">
        <f t="shared" si="15"/>
      </c>
    </row>
    <row r="742" spans="11:11">
      <c r="K742">
        <f t="shared" si="15"/>
      </c>
    </row>
    <row r="743" spans="11:11">
      <c r="K743">
        <f t="shared" si="15"/>
      </c>
    </row>
    <row r="744" spans="11:11">
      <c r="K744">
        <f t="shared" si="15"/>
      </c>
    </row>
    <row r="745" spans="11:11">
      <c r="K745">
        <f t="shared" si="15"/>
      </c>
    </row>
    <row r="746" spans="11:11">
      <c r="K746">
        <f t="shared" si="15"/>
      </c>
    </row>
    <row r="747" spans="11:11">
      <c r="K747">
        <f t="shared" si="15"/>
      </c>
    </row>
    <row r="748" spans="11:11">
      <c r="K748">
        <f t="shared" si="15"/>
      </c>
    </row>
    <row r="749" spans="11:11">
      <c r="K749">
        <f t="shared" si="15"/>
      </c>
    </row>
    <row r="750" spans="11:11">
      <c r="K750">
        <f t="shared" si="15"/>
      </c>
    </row>
    <row r="751" spans="11:11">
      <c r="K751">
        <f t="shared" si="15"/>
      </c>
    </row>
    <row r="752" spans="11:11">
      <c r="K752">
        <f t="shared" si="15"/>
      </c>
    </row>
    <row r="753" spans="11:11">
      <c r="K753">
        <f t="shared" si="15"/>
      </c>
    </row>
    <row r="754" spans="11:11">
      <c r="K754">
        <f t="shared" si="15"/>
      </c>
    </row>
    <row r="755" spans="11:11">
      <c r="K755">
        <f t="shared" si="15"/>
      </c>
    </row>
    <row r="756" spans="11:11">
      <c r="K756">
        <f t="shared" si="15"/>
      </c>
    </row>
    <row r="757" spans="11:11">
      <c r="K757">
        <f t="shared" si="15"/>
      </c>
    </row>
    <row r="758" spans="11:11">
      <c r="K758">
        <f t="shared" si="15"/>
      </c>
    </row>
    <row r="759" spans="11:11">
      <c r="K759">
        <f t="shared" si="15"/>
      </c>
    </row>
    <row r="760" spans="11:11">
      <c r="K760">
        <f t="shared" si="15"/>
      </c>
    </row>
    <row r="761" spans="11:11">
      <c r="K761">
        <f t="shared" si="15"/>
      </c>
    </row>
    <row r="762" spans="11:11">
      <c r="K762">
        <f t="shared" si="15"/>
      </c>
    </row>
    <row r="763" spans="11:11">
      <c r="K763">
        <f t="shared" si="15"/>
      </c>
    </row>
    <row r="764" spans="11:11">
      <c r="K764">
        <f t="shared" si="15"/>
      </c>
    </row>
    <row r="765" spans="11:11">
      <c r="K765">
        <f t="shared" si="15"/>
      </c>
    </row>
    <row r="766" spans="11:11">
      <c r="K766">
        <f t="shared" si="15"/>
      </c>
    </row>
    <row r="767" spans="11:11">
      <c r="K767">
        <f t="shared" si="15"/>
      </c>
    </row>
    <row r="768" spans="11:11">
      <c r="K768">
        <f t="shared" si="15"/>
      </c>
    </row>
    <row r="769" spans="11:11">
      <c r="K769">
        <f t="shared" si="15"/>
      </c>
    </row>
    <row r="770" spans="11:11">
      <c r="K770">
        <f t="shared" si="15"/>
      </c>
    </row>
    <row r="771" spans="11:11">
      <c r="K771">
        <f t="shared" si="15"/>
      </c>
    </row>
    <row r="772" spans="11:11">
      <c r="K772">
        <f t="shared" si="15"/>
      </c>
    </row>
    <row r="773" spans="11:11">
      <c r="K773">
        <f t="shared" ref="K773:K836" si="16">IF(A773="","", WEEKNUM(A773, 2))</f>
      </c>
    </row>
    <row r="774" spans="11:11">
      <c r="K774">
        <f t="shared" si="16"/>
      </c>
    </row>
    <row r="775" spans="11:11">
      <c r="K775">
        <f t="shared" si="16"/>
      </c>
    </row>
    <row r="776" spans="11:11">
      <c r="K776">
        <f t="shared" si="16"/>
      </c>
    </row>
    <row r="777" spans="11:11">
      <c r="K777">
        <f t="shared" si="16"/>
      </c>
    </row>
    <row r="778" spans="11:11">
      <c r="K778">
        <f t="shared" si="16"/>
      </c>
    </row>
    <row r="779" spans="11:11">
      <c r="K779">
        <f t="shared" si="16"/>
      </c>
    </row>
    <row r="780" spans="11:11">
      <c r="K780">
        <f t="shared" si="16"/>
      </c>
    </row>
    <row r="781" spans="11:11">
      <c r="K781">
        <f t="shared" si="16"/>
      </c>
    </row>
    <row r="782" spans="11:11">
      <c r="K782">
        <f t="shared" si="16"/>
      </c>
    </row>
    <row r="783" spans="11:11">
      <c r="K783">
        <f t="shared" si="16"/>
      </c>
    </row>
    <row r="784" spans="11:11">
      <c r="K784">
        <f t="shared" si="16"/>
      </c>
    </row>
    <row r="785" spans="11:11">
      <c r="K785">
        <f t="shared" si="16"/>
      </c>
    </row>
    <row r="786" spans="11:11">
      <c r="K786">
        <f t="shared" si="16"/>
      </c>
    </row>
    <row r="787" spans="11:11">
      <c r="K787">
        <f t="shared" si="16"/>
      </c>
    </row>
    <row r="788" spans="11:11">
      <c r="K788">
        <f t="shared" si="16"/>
      </c>
    </row>
    <row r="789" spans="11:11">
      <c r="K789">
        <f t="shared" si="16"/>
      </c>
    </row>
    <row r="790" spans="11:11">
      <c r="K790">
        <f t="shared" si="16"/>
      </c>
    </row>
    <row r="791" spans="11:11">
      <c r="K791">
        <f t="shared" si="16"/>
      </c>
    </row>
    <row r="792" spans="11:11">
      <c r="K792">
        <f t="shared" si="16"/>
      </c>
    </row>
    <row r="793" spans="11:11">
      <c r="K793">
        <f t="shared" si="16"/>
      </c>
    </row>
    <row r="794" spans="11:11">
      <c r="K794">
        <f t="shared" si="16"/>
      </c>
    </row>
    <row r="795" spans="11:11">
      <c r="K795">
        <f t="shared" si="16"/>
      </c>
    </row>
    <row r="796" spans="11:11">
      <c r="K796">
        <f t="shared" si="16"/>
      </c>
    </row>
    <row r="797" spans="11:11">
      <c r="K797">
        <f t="shared" si="16"/>
      </c>
    </row>
    <row r="798" spans="11:11">
      <c r="K798">
        <f t="shared" si="16"/>
      </c>
    </row>
    <row r="799" spans="11:11">
      <c r="K799">
        <f t="shared" si="16"/>
      </c>
    </row>
    <row r="800" spans="11:11">
      <c r="K800">
        <f t="shared" si="16"/>
      </c>
    </row>
    <row r="801" spans="11:11">
      <c r="K801">
        <f t="shared" si="16"/>
      </c>
    </row>
    <row r="802" spans="11:11">
      <c r="K802">
        <f t="shared" si="16"/>
      </c>
    </row>
    <row r="803" spans="11:11">
      <c r="K803">
        <f t="shared" si="16"/>
      </c>
    </row>
    <row r="804" spans="11:11">
      <c r="K804">
        <f t="shared" si="16"/>
      </c>
    </row>
    <row r="805" spans="11:11">
      <c r="K805">
        <f t="shared" si="16"/>
      </c>
    </row>
    <row r="806" spans="11:11">
      <c r="K806">
        <f t="shared" si="16"/>
      </c>
    </row>
    <row r="807" spans="11:11">
      <c r="K807">
        <f t="shared" si="16"/>
      </c>
    </row>
    <row r="808" spans="11:11">
      <c r="K808">
        <f t="shared" si="16"/>
      </c>
    </row>
    <row r="809" spans="11:11">
      <c r="K809">
        <f t="shared" si="16"/>
      </c>
    </row>
    <row r="810" spans="11:11">
      <c r="K810">
        <f t="shared" si="16"/>
      </c>
    </row>
    <row r="811" spans="11:11">
      <c r="K811">
        <f t="shared" si="16"/>
      </c>
    </row>
    <row r="812" spans="11:11">
      <c r="K812">
        <f t="shared" si="16"/>
      </c>
    </row>
    <row r="813" spans="11:11">
      <c r="K813">
        <f t="shared" si="16"/>
      </c>
    </row>
    <row r="814" spans="11:11">
      <c r="K814">
        <f t="shared" si="16"/>
      </c>
    </row>
    <row r="815" spans="11:11">
      <c r="K815">
        <f t="shared" si="16"/>
      </c>
    </row>
    <row r="816" spans="11:11">
      <c r="K816">
        <f t="shared" si="16"/>
      </c>
    </row>
    <row r="817" spans="11:11">
      <c r="K817">
        <f t="shared" si="16"/>
      </c>
    </row>
    <row r="818" spans="11:11">
      <c r="K818">
        <f t="shared" si="16"/>
      </c>
    </row>
    <row r="819" spans="11:11">
      <c r="K819">
        <f t="shared" si="16"/>
      </c>
    </row>
    <row r="820" spans="11:11">
      <c r="K820">
        <f t="shared" si="16"/>
      </c>
    </row>
    <row r="821" spans="11:11">
      <c r="K821">
        <f t="shared" si="16"/>
      </c>
    </row>
    <row r="822" spans="11:11">
      <c r="K822">
        <f t="shared" si="16"/>
      </c>
    </row>
    <row r="823" spans="11:11">
      <c r="K823">
        <f t="shared" si="16"/>
      </c>
    </row>
    <row r="824" spans="11:11">
      <c r="K824">
        <f t="shared" si="16"/>
      </c>
    </row>
    <row r="825" spans="11:11">
      <c r="K825">
        <f t="shared" si="16"/>
      </c>
    </row>
    <row r="826" spans="11:11">
      <c r="K826">
        <f t="shared" si="16"/>
      </c>
    </row>
    <row r="827" spans="11:11">
      <c r="K827">
        <f t="shared" si="16"/>
      </c>
    </row>
    <row r="828" spans="11:11">
      <c r="K828">
        <f t="shared" si="16"/>
      </c>
    </row>
    <row r="829" spans="11:11">
      <c r="K829">
        <f t="shared" si="16"/>
      </c>
    </row>
    <row r="830" spans="11:11">
      <c r="K830">
        <f t="shared" si="16"/>
      </c>
    </row>
    <row r="831" spans="11:11">
      <c r="K831">
        <f t="shared" si="16"/>
      </c>
    </row>
    <row r="832" spans="11:11">
      <c r="K832">
        <f t="shared" si="16"/>
      </c>
    </row>
    <row r="833" spans="11:11">
      <c r="K833">
        <f t="shared" si="16"/>
      </c>
    </row>
    <row r="834" spans="11:11">
      <c r="K834">
        <f t="shared" si="16"/>
      </c>
    </row>
    <row r="835" spans="11:11">
      <c r="K835">
        <f t="shared" si="16"/>
      </c>
    </row>
    <row r="836" spans="11:11">
      <c r="K836">
        <f t="shared" si="16"/>
      </c>
    </row>
    <row r="837" spans="11:11">
      <c r="K837">
        <f t="shared" ref="K837:K900" si="17">IF(A837="","", WEEKNUM(A837, 2))</f>
      </c>
    </row>
    <row r="838" spans="11:11">
      <c r="K838">
        <f t="shared" si="17"/>
      </c>
    </row>
    <row r="839" spans="11:11">
      <c r="K839">
        <f t="shared" si="17"/>
      </c>
    </row>
    <row r="840" spans="11:11">
      <c r="K840">
        <f t="shared" si="17"/>
      </c>
    </row>
    <row r="841" spans="11:11">
      <c r="K841">
        <f t="shared" si="17"/>
      </c>
    </row>
    <row r="842" spans="11:11">
      <c r="K842">
        <f t="shared" si="17"/>
      </c>
    </row>
    <row r="843" spans="11:11">
      <c r="K843">
        <f t="shared" si="17"/>
      </c>
    </row>
    <row r="844" spans="11:11">
      <c r="K844">
        <f t="shared" si="17"/>
      </c>
    </row>
    <row r="845" spans="11:11">
      <c r="K845">
        <f t="shared" si="17"/>
      </c>
    </row>
    <row r="846" spans="11:11">
      <c r="K846">
        <f t="shared" si="17"/>
      </c>
    </row>
    <row r="847" spans="11:11">
      <c r="K847">
        <f t="shared" si="17"/>
      </c>
    </row>
    <row r="848" spans="11:11">
      <c r="K848">
        <f t="shared" si="17"/>
      </c>
    </row>
    <row r="849" spans="11:11">
      <c r="K849">
        <f t="shared" si="17"/>
      </c>
    </row>
    <row r="850" spans="11:11">
      <c r="K850">
        <f t="shared" si="17"/>
      </c>
    </row>
    <row r="851" spans="11:11">
      <c r="K851">
        <f t="shared" si="17"/>
      </c>
    </row>
    <row r="852" spans="11:11">
      <c r="K852">
        <f t="shared" si="17"/>
      </c>
    </row>
    <row r="853" spans="11:11">
      <c r="K853">
        <f t="shared" si="17"/>
      </c>
    </row>
    <row r="854" spans="11:11">
      <c r="K854">
        <f t="shared" si="17"/>
      </c>
    </row>
    <row r="855" spans="11:11">
      <c r="K855">
        <f t="shared" si="17"/>
      </c>
    </row>
    <row r="856" spans="11:11">
      <c r="K856">
        <f t="shared" si="17"/>
      </c>
    </row>
    <row r="857" spans="11:11">
      <c r="K857">
        <f t="shared" si="17"/>
      </c>
    </row>
    <row r="858" spans="11:11">
      <c r="K858">
        <f t="shared" si="17"/>
      </c>
    </row>
    <row r="859" spans="11:11">
      <c r="K859">
        <f t="shared" si="17"/>
      </c>
    </row>
    <row r="860" spans="11:11">
      <c r="K860">
        <f t="shared" si="17"/>
      </c>
    </row>
    <row r="861" spans="11:11">
      <c r="K861">
        <f t="shared" si="17"/>
      </c>
    </row>
    <row r="862" spans="11:11">
      <c r="K862">
        <f t="shared" si="17"/>
      </c>
    </row>
    <row r="863" spans="11:11">
      <c r="K863">
        <f t="shared" si="17"/>
      </c>
    </row>
    <row r="864" spans="11:11">
      <c r="K864">
        <f t="shared" si="17"/>
      </c>
    </row>
    <row r="865" spans="11:11">
      <c r="K865">
        <f t="shared" si="17"/>
      </c>
    </row>
    <row r="866" spans="11:11">
      <c r="K866">
        <f t="shared" si="17"/>
      </c>
    </row>
    <row r="867" spans="11:11">
      <c r="K867">
        <f t="shared" si="17"/>
      </c>
    </row>
    <row r="868" spans="11:11">
      <c r="K868">
        <f t="shared" si="17"/>
      </c>
    </row>
    <row r="869" spans="11:11">
      <c r="K869">
        <f t="shared" si="17"/>
      </c>
    </row>
    <row r="870" spans="11:11">
      <c r="K870">
        <f t="shared" si="17"/>
      </c>
    </row>
    <row r="871" spans="11:11">
      <c r="K871">
        <f t="shared" si="17"/>
      </c>
    </row>
    <row r="872" spans="11:11">
      <c r="K872">
        <f t="shared" si="17"/>
      </c>
    </row>
    <row r="873" spans="11:11">
      <c r="K873">
        <f t="shared" si="17"/>
      </c>
    </row>
    <row r="874" spans="11:11">
      <c r="K874">
        <f t="shared" si="17"/>
      </c>
    </row>
    <row r="875" spans="11:11">
      <c r="K875">
        <f t="shared" si="17"/>
      </c>
    </row>
    <row r="876" spans="11:11">
      <c r="K876">
        <f t="shared" si="17"/>
      </c>
    </row>
    <row r="877" spans="11:11">
      <c r="K877">
        <f t="shared" si="17"/>
      </c>
    </row>
    <row r="878" spans="11:11">
      <c r="K878">
        <f t="shared" si="17"/>
      </c>
    </row>
    <row r="879" spans="11:11">
      <c r="K879">
        <f t="shared" si="17"/>
      </c>
    </row>
    <row r="880" spans="11:11">
      <c r="K880">
        <f t="shared" si="17"/>
      </c>
    </row>
    <row r="881" spans="11:11">
      <c r="K881">
        <f t="shared" si="17"/>
      </c>
    </row>
    <row r="882" spans="11:11">
      <c r="K882">
        <f t="shared" si="17"/>
      </c>
    </row>
    <row r="883" spans="11:11">
      <c r="K883">
        <f t="shared" si="17"/>
      </c>
    </row>
    <row r="884" spans="11:11">
      <c r="K884">
        <f t="shared" si="17"/>
      </c>
    </row>
    <row r="885" spans="11:11">
      <c r="K885">
        <f t="shared" si="17"/>
      </c>
    </row>
    <row r="886" spans="11:11">
      <c r="K886">
        <f t="shared" si="17"/>
      </c>
    </row>
    <row r="887" spans="11:11">
      <c r="K887">
        <f t="shared" si="17"/>
      </c>
    </row>
    <row r="888" spans="11:11">
      <c r="K888">
        <f t="shared" si="17"/>
      </c>
    </row>
    <row r="889" spans="11:11">
      <c r="K889">
        <f t="shared" si="17"/>
      </c>
    </row>
    <row r="890" spans="11:11">
      <c r="K890">
        <f t="shared" si="17"/>
      </c>
    </row>
    <row r="891" spans="11:11">
      <c r="K891">
        <f t="shared" si="17"/>
      </c>
    </row>
    <row r="892" spans="11:11">
      <c r="K892">
        <f t="shared" si="17"/>
      </c>
    </row>
    <row r="893" spans="11:11">
      <c r="K893">
        <f t="shared" si="17"/>
      </c>
    </row>
    <row r="894" spans="11:11">
      <c r="K894">
        <f t="shared" si="17"/>
      </c>
    </row>
    <row r="895" spans="11:11">
      <c r="K895">
        <f t="shared" si="17"/>
      </c>
    </row>
    <row r="896" spans="11:11">
      <c r="K896">
        <f t="shared" si="17"/>
      </c>
    </row>
    <row r="897" spans="11:11">
      <c r="K897">
        <f t="shared" si="17"/>
      </c>
    </row>
    <row r="898" spans="11:11">
      <c r="K898">
        <f t="shared" si="17"/>
      </c>
    </row>
    <row r="899" spans="11:11">
      <c r="K899">
        <f t="shared" si="17"/>
      </c>
    </row>
    <row r="900" spans="11:11">
      <c r="K900">
        <f t="shared" si="17"/>
      </c>
    </row>
    <row r="901" spans="11:11">
      <c r="K901">
        <f t="shared" ref="K901:K964" si="18">IF(A901="","", WEEKNUM(A901, 2))</f>
      </c>
    </row>
    <row r="902" spans="11:11">
      <c r="K902">
        <f t="shared" si="18"/>
      </c>
    </row>
    <row r="903" spans="11:11">
      <c r="K903">
        <f t="shared" si="18"/>
      </c>
    </row>
    <row r="904" spans="11:11">
      <c r="K904">
        <f t="shared" si="18"/>
      </c>
    </row>
    <row r="905" spans="11:11">
      <c r="K905">
        <f t="shared" si="18"/>
      </c>
    </row>
    <row r="906" spans="11:11">
      <c r="K906">
        <f t="shared" si="18"/>
      </c>
    </row>
    <row r="907" spans="11:11">
      <c r="K907">
        <f t="shared" si="18"/>
      </c>
    </row>
    <row r="908" spans="11:11">
      <c r="K908">
        <f t="shared" si="18"/>
      </c>
    </row>
    <row r="909" spans="11:11">
      <c r="K909">
        <f t="shared" si="18"/>
      </c>
    </row>
    <row r="910" spans="11:11">
      <c r="K910">
        <f t="shared" si="18"/>
      </c>
    </row>
    <row r="911" spans="11:11">
      <c r="K911">
        <f t="shared" si="18"/>
      </c>
    </row>
    <row r="912" spans="11:11">
      <c r="K912">
        <f t="shared" si="18"/>
      </c>
    </row>
    <row r="913" spans="11:11">
      <c r="K913">
        <f t="shared" si="18"/>
      </c>
    </row>
    <row r="914" spans="11:11">
      <c r="K914">
        <f t="shared" si="18"/>
      </c>
    </row>
    <row r="915" spans="11:11">
      <c r="K915">
        <f t="shared" si="18"/>
      </c>
    </row>
    <row r="916" spans="11:11">
      <c r="K916">
        <f t="shared" si="18"/>
      </c>
    </row>
    <row r="917" spans="11:11">
      <c r="K917">
        <f t="shared" si="18"/>
      </c>
    </row>
    <row r="918" spans="11:11">
      <c r="K918">
        <f t="shared" si="18"/>
      </c>
    </row>
    <row r="919" spans="11:11">
      <c r="K919">
        <f t="shared" si="18"/>
      </c>
    </row>
    <row r="920" spans="11:11">
      <c r="K920">
        <f t="shared" si="18"/>
      </c>
    </row>
    <row r="921" spans="11:11">
      <c r="K921">
        <f t="shared" si="18"/>
      </c>
    </row>
    <row r="922" spans="11:11">
      <c r="K922">
        <f t="shared" si="18"/>
      </c>
    </row>
    <row r="923" spans="11:11">
      <c r="K923">
        <f t="shared" si="18"/>
      </c>
    </row>
    <row r="924" spans="11:11">
      <c r="K924">
        <f t="shared" si="18"/>
      </c>
    </row>
    <row r="925" spans="11:11">
      <c r="K925">
        <f t="shared" si="18"/>
      </c>
    </row>
    <row r="926" spans="11:11">
      <c r="K926">
        <f t="shared" si="18"/>
      </c>
    </row>
    <row r="927" spans="11:11">
      <c r="K927">
        <f t="shared" si="18"/>
      </c>
    </row>
    <row r="928" spans="11:11">
      <c r="K928">
        <f t="shared" si="18"/>
      </c>
    </row>
    <row r="929" spans="11:11">
      <c r="K929">
        <f t="shared" si="18"/>
      </c>
    </row>
    <row r="930" spans="11:11">
      <c r="K930">
        <f t="shared" si="18"/>
      </c>
    </row>
    <row r="931" spans="11:11">
      <c r="K931">
        <f t="shared" si="18"/>
      </c>
    </row>
    <row r="932" spans="11:11">
      <c r="K932">
        <f t="shared" si="18"/>
      </c>
    </row>
    <row r="933" spans="11:11">
      <c r="K933">
        <f t="shared" si="18"/>
      </c>
    </row>
    <row r="934" spans="11:11">
      <c r="K934">
        <f t="shared" si="18"/>
      </c>
    </row>
    <row r="935" spans="11:11">
      <c r="K935">
        <f t="shared" si="18"/>
      </c>
    </row>
    <row r="936" spans="11:11">
      <c r="K936">
        <f t="shared" si="18"/>
      </c>
    </row>
    <row r="937" spans="11:11">
      <c r="K937">
        <f t="shared" si="18"/>
      </c>
    </row>
    <row r="938" spans="11:11">
      <c r="K938">
        <f t="shared" si="18"/>
      </c>
    </row>
    <row r="939" spans="11:11">
      <c r="K939">
        <f t="shared" si="18"/>
      </c>
    </row>
    <row r="940" spans="11:11">
      <c r="K940">
        <f t="shared" si="18"/>
      </c>
    </row>
    <row r="941" spans="11:11">
      <c r="K941">
        <f t="shared" si="18"/>
      </c>
    </row>
    <row r="942" spans="11:11">
      <c r="K942">
        <f t="shared" si="18"/>
      </c>
    </row>
    <row r="943" spans="11:11">
      <c r="K943">
        <f t="shared" si="18"/>
      </c>
    </row>
    <row r="944" spans="11:11">
      <c r="K944">
        <f t="shared" si="18"/>
      </c>
    </row>
    <row r="945" spans="11:11">
      <c r="K945">
        <f t="shared" si="18"/>
      </c>
    </row>
    <row r="946" spans="11:11">
      <c r="K946">
        <f t="shared" si="18"/>
      </c>
    </row>
    <row r="947" spans="11:11">
      <c r="K947">
        <f t="shared" si="18"/>
      </c>
    </row>
    <row r="948" spans="11:11">
      <c r="K948">
        <f t="shared" si="18"/>
      </c>
    </row>
    <row r="949" spans="11:11">
      <c r="K949">
        <f t="shared" si="18"/>
      </c>
    </row>
    <row r="950" spans="11:11">
      <c r="K950">
        <f t="shared" si="18"/>
      </c>
    </row>
    <row r="951" spans="11:11">
      <c r="K951">
        <f t="shared" si="18"/>
      </c>
    </row>
    <row r="952" spans="11:11">
      <c r="K952">
        <f t="shared" si="18"/>
      </c>
    </row>
    <row r="953" spans="11:11">
      <c r="K953">
        <f t="shared" si="18"/>
      </c>
    </row>
    <row r="954" spans="11:11">
      <c r="K954">
        <f t="shared" si="18"/>
      </c>
    </row>
    <row r="955" spans="11:11">
      <c r="K955">
        <f t="shared" si="18"/>
      </c>
    </row>
    <row r="956" spans="11:11">
      <c r="K956">
        <f t="shared" si="18"/>
      </c>
    </row>
    <row r="957" spans="11:11">
      <c r="K957">
        <f t="shared" si="18"/>
      </c>
    </row>
    <row r="958" spans="11:11">
      <c r="K958">
        <f t="shared" si="18"/>
      </c>
    </row>
    <row r="959" spans="11:11">
      <c r="K959">
        <f t="shared" si="18"/>
      </c>
    </row>
    <row r="960" spans="11:11">
      <c r="K960">
        <f t="shared" si="18"/>
      </c>
    </row>
    <row r="961" spans="11:11">
      <c r="K961">
        <f t="shared" si="18"/>
      </c>
    </row>
    <row r="962" spans="11:11">
      <c r="K962">
        <f t="shared" si="18"/>
      </c>
    </row>
    <row r="963" spans="11:11">
      <c r="K963">
        <f t="shared" si="18"/>
      </c>
    </row>
    <row r="964" spans="11:11">
      <c r="K964">
        <f t="shared" si="18"/>
      </c>
    </row>
    <row r="965" spans="11:11">
      <c r="K965">
        <f t="shared" ref="K965:K1028" si="19">IF(A965="","", WEEKNUM(A965, 2))</f>
      </c>
    </row>
    <row r="966" spans="11:11">
      <c r="K966">
        <f t="shared" si="19"/>
      </c>
    </row>
    <row r="967" spans="11:11">
      <c r="K967">
        <f t="shared" si="19"/>
      </c>
    </row>
    <row r="968" spans="11:11">
      <c r="K968">
        <f t="shared" si="19"/>
      </c>
    </row>
    <row r="969" spans="11:11">
      <c r="K969">
        <f t="shared" si="19"/>
      </c>
    </row>
    <row r="970" spans="11:11">
      <c r="K970">
        <f t="shared" si="19"/>
      </c>
    </row>
    <row r="971" spans="11:11">
      <c r="K971">
        <f t="shared" si="19"/>
      </c>
    </row>
    <row r="972" spans="11:11">
      <c r="K972">
        <f t="shared" si="19"/>
      </c>
    </row>
    <row r="973" spans="11:11">
      <c r="K973">
        <f t="shared" si="19"/>
      </c>
    </row>
    <row r="974" spans="11:11">
      <c r="K974">
        <f t="shared" si="19"/>
      </c>
    </row>
    <row r="975" spans="11:11">
      <c r="K975">
        <f t="shared" si="19"/>
      </c>
    </row>
    <row r="976" spans="11:11">
      <c r="K976">
        <f t="shared" si="19"/>
      </c>
    </row>
    <row r="977" spans="11:11">
      <c r="K977">
        <f t="shared" si="19"/>
      </c>
    </row>
    <row r="978" spans="11:11">
      <c r="K978">
        <f t="shared" si="19"/>
      </c>
    </row>
    <row r="979" spans="11:11">
      <c r="K979">
        <f t="shared" si="19"/>
      </c>
    </row>
    <row r="980" spans="11:11">
      <c r="K980">
        <f t="shared" si="19"/>
      </c>
    </row>
    <row r="981" spans="11:11">
      <c r="K981">
        <f t="shared" si="19"/>
      </c>
    </row>
    <row r="982" spans="11:11">
      <c r="K982">
        <f t="shared" si="19"/>
      </c>
    </row>
    <row r="983" spans="11:11">
      <c r="K983">
        <f t="shared" si="19"/>
      </c>
    </row>
    <row r="984" spans="11:11">
      <c r="K984">
        <f t="shared" si="19"/>
      </c>
    </row>
    <row r="985" spans="11:11">
      <c r="K985">
        <f t="shared" si="19"/>
      </c>
    </row>
    <row r="986" spans="11:11">
      <c r="K986">
        <f t="shared" si="19"/>
      </c>
    </row>
    <row r="987" spans="11:11">
      <c r="K987">
        <f t="shared" si="19"/>
      </c>
    </row>
    <row r="988" spans="11:11">
      <c r="K988">
        <f t="shared" si="19"/>
      </c>
    </row>
    <row r="989" spans="11:11">
      <c r="K989">
        <f t="shared" si="19"/>
      </c>
    </row>
    <row r="990" spans="11:11">
      <c r="K990">
        <f t="shared" si="19"/>
      </c>
    </row>
    <row r="991" spans="11:11">
      <c r="K991">
        <f t="shared" si="19"/>
      </c>
    </row>
    <row r="992" spans="11:11">
      <c r="K992">
        <f t="shared" si="19"/>
      </c>
    </row>
    <row r="993" spans="11:11">
      <c r="K993">
        <f t="shared" si="19"/>
      </c>
    </row>
    <row r="994" spans="11:11">
      <c r="K994">
        <f t="shared" si="19"/>
      </c>
    </row>
    <row r="995" spans="11:11">
      <c r="K995">
        <f t="shared" si="19"/>
      </c>
    </row>
    <row r="996" spans="11:11">
      <c r="K996">
        <f t="shared" si="19"/>
      </c>
    </row>
    <row r="997" spans="11:11">
      <c r="K997">
        <f t="shared" si="19"/>
      </c>
    </row>
    <row r="998" spans="11:11">
      <c r="K998">
        <f t="shared" si="19"/>
      </c>
    </row>
    <row r="999" spans="11:11">
      <c r="K999">
        <f t="shared" si="19"/>
      </c>
    </row>
    <row r="1000" spans="11:11">
      <c r="K1000">
        <f t="shared" si="19"/>
      </c>
    </row>
    <row r="1001" spans="11:11">
      <c r="K1001">
        <f t="shared" si="19"/>
      </c>
    </row>
    <row r="1002" spans="11:11">
      <c r="K1002">
        <f t="shared" si="19"/>
      </c>
    </row>
    <row r="1003" spans="11:11">
      <c r="K1003">
        <f t="shared" si="19"/>
      </c>
    </row>
    <row r="1004" spans="11:11">
      <c r="K1004">
        <f t="shared" si="19"/>
      </c>
    </row>
    <row r="1005" spans="11:11">
      <c r="K1005">
        <f t="shared" si="19"/>
      </c>
    </row>
    <row r="1006" spans="11:11">
      <c r="K1006">
        <f t="shared" si="19"/>
      </c>
    </row>
    <row r="1007" spans="11:11">
      <c r="K1007">
        <f t="shared" si="19"/>
      </c>
    </row>
    <row r="1008" spans="11:11">
      <c r="K1008">
        <f t="shared" si="19"/>
      </c>
    </row>
    <row r="1009" spans="11:11">
      <c r="K1009">
        <f t="shared" si="19"/>
      </c>
    </row>
    <row r="1010" spans="11:11">
      <c r="K1010">
        <f t="shared" si="19"/>
      </c>
    </row>
    <row r="1011" spans="11:11">
      <c r="K1011">
        <f t="shared" si="19"/>
      </c>
    </row>
    <row r="1012" spans="11:11">
      <c r="K1012">
        <f t="shared" si="19"/>
      </c>
    </row>
    <row r="1013" spans="11:11">
      <c r="K1013">
        <f t="shared" si="19"/>
      </c>
    </row>
    <row r="1014" spans="11:11">
      <c r="K1014">
        <f t="shared" si="19"/>
      </c>
    </row>
    <row r="1015" spans="11:11">
      <c r="K1015">
        <f t="shared" si="19"/>
      </c>
    </row>
    <row r="1016" spans="11:11">
      <c r="K1016">
        <f t="shared" si="19"/>
      </c>
    </row>
    <row r="1017" spans="11:11">
      <c r="K1017">
        <f t="shared" si="19"/>
      </c>
    </row>
    <row r="1018" spans="11:11">
      <c r="K1018">
        <f t="shared" si="19"/>
      </c>
    </row>
    <row r="1019" spans="11:11">
      <c r="K1019">
        <f t="shared" si="19"/>
      </c>
    </row>
    <row r="1020" spans="11:11">
      <c r="K1020">
        <f t="shared" si="19"/>
      </c>
    </row>
    <row r="1021" spans="11:11">
      <c r="K1021">
        <f t="shared" si="19"/>
      </c>
    </row>
    <row r="1022" spans="11:11">
      <c r="K1022">
        <f t="shared" si="19"/>
      </c>
    </row>
    <row r="1023" spans="11:11">
      <c r="K1023">
        <f t="shared" si="19"/>
      </c>
    </row>
    <row r="1024" spans="11:11">
      <c r="K1024">
        <f t="shared" si="19"/>
      </c>
    </row>
    <row r="1025" spans="11:11">
      <c r="K1025">
        <f t="shared" si="19"/>
      </c>
    </row>
    <row r="1026" spans="11:11">
      <c r="K1026">
        <f t="shared" si="19"/>
      </c>
    </row>
    <row r="1027" spans="11:11">
      <c r="K1027">
        <f t="shared" si="19"/>
      </c>
    </row>
    <row r="1028" spans="11:11">
      <c r="K1028">
        <f t="shared" si="19"/>
      </c>
    </row>
    <row r="1029" spans="11:11">
      <c r="K1029">
        <f t="shared" ref="K1029:K1092" si="20">IF(A1029="","", WEEKNUM(A1029, 2))</f>
      </c>
    </row>
    <row r="1030" spans="11:11">
      <c r="K1030">
        <f t="shared" si="20"/>
      </c>
    </row>
    <row r="1031" spans="11:11">
      <c r="K1031">
        <f t="shared" si="20"/>
      </c>
    </row>
    <row r="1032" spans="11:11">
      <c r="K1032">
        <f t="shared" si="20"/>
      </c>
    </row>
    <row r="1033" spans="11:11">
      <c r="K1033">
        <f t="shared" si="20"/>
      </c>
    </row>
    <row r="1034" spans="11:11">
      <c r="K1034">
        <f t="shared" si="20"/>
      </c>
    </row>
    <row r="1035" spans="11:11">
      <c r="K1035">
        <f t="shared" si="20"/>
      </c>
    </row>
    <row r="1036" spans="11:11">
      <c r="K1036">
        <f t="shared" si="20"/>
      </c>
    </row>
    <row r="1037" spans="11:11">
      <c r="K1037">
        <f t="shared" si="20"/>
      </c>
    </row>
    <row r="1038" spans="11:11">
      <c r="K1038">
        <f t="shared" si="20"/>
      </c>
    </row>
    <row r="1039" spans="11:11">
      <c r="K1039">
        <f t="shared" si="20"/>
      </c>
    </row>
    <row r="1040" spans="11:11">
      <c r="K1040">
        <f t="shared" si="20"/>
      </c>
    </row>
    <row r="1041" spans="11:11">
      <c r="K1041">
        <f t="shared" si="20"/>
      </c>
    </row>
    <row r="1042" spans="11:11">
      <c r="K1042">
        <f t="shared" si="20"/>
      </c>
    </row>
    <row r="1043" spans="11:11">
      <c r="K1043">
        <f t="shared" si="20"/>
      </c>
    </row>
    <row r="1044" spans="11:11">
      <c r="K1044">
        <f t="shared" si="20"/>
      </c>
    </row>
    <row r="1045" spans="11:11">
      <c r="K1045">
        <f t="shared" si="20"/>
      </c>
    </row>
    <row r="1046" spans="11:11">
      <c r="K1046">
        <f t="shared" si="20"/>
      </c>
    </row>
    <row r="1047" spans="11:11">
      <c r="K1047">
        <f t="shared" si="20"/>
      </c>
    </row>
    <row r="1048" spans="11:11">
      <c r="K1048">
        <f t="shared" si="20"/>
      </c>
    </row>
    <row r="1049" spans="11:11">
      <c r="K1049">
        <f t="shared" si="20"/>
      </c>
    </row>
    <row r="1050" spans="11:11">
      <c r="K1050">
        <f t="shared" si="20"/>
      </c>
    </row>
    <row r="1051" spans="11:11">
      <c r="K1051">
        <f t="shared" si="20"/>
      </c>
    </row>
    <row r="1052" spans="11:11">
      <c r="K1052">
        <f t="shared" si="20"/>
      </c>
    </row>
    <row r="1053" spans="11:11">
      <c r="K1053">
        <f t="shared" si="20"/>
      </c>
    </row>
    <row r="1054" spans="11:11">
      <c r="K1054">
        <f t="shared" si="20"/>
      </c>
    </row>
    <row r="1055" spans="11:11">
      <c r="K1055">
        <f t="shared" si="20"/>
      </c>
    </row>
    <row r="1056" spans="11:11">
      <c r="K1056">
        <f t="shared" si="20"/>
      </c>
    </row>
    <row r="1057" spans="11:11">
      <c r="K1057">
        <f t="shared" si="20"/>
      </c>
    </row>
    <row r="1058" spans="11:11">
      <c r="K1058">
        <f t="shared" si="20"/>
      </c>
    </row>
    <row r="1059" spans="11:11">
      <c r="K1059">
        <f t="shared" si="20"/>
      </c>
    </row>
    <row r="1060" spans="11:11">
      <c r="K1060">
        <f t="shared" si="20"/>
      </c>
    </row>
    <row r="1061" spans="11:11">
      <c r="K1061">
        <f t="shared" si="20"/>
      </c>
    </row>
    <row r="1062" spans="11:11">
      <c r="K1062">
        <f t="shared" si="20"/>
      </c>
    </row>
    <row r="1063" spans="11:11">
      <c r="K1063">
        <f t="shared" si="20"/>
      </c>
    </row>
    <row r="1064" spans="11:11">
      <c r="K1064">
        <f t="shared" si="20"/>
      </c>
    </row>
    <row r="1065" spans="11:11">
      <c r="K1065">
        <f t="shared" si="20"/>
      </c>
    </row>
    <row r="1066" spans="11:11">
      <c r="K1066">
        <f t="shared" si="20"/>
      </c>
    </row>
    <row r="1067" spans="11:11">
      <c r="K1067">
        <f t="shared" si="20"/>
      </c>
    </row>
    <row r="1068" spans="11:11">
      <c r="K1068">
        <f t="shared" si="20"/>
      </c>
    </row>
    <row r="1069" spans="11:11">
      <c r="K1069">
        <f t="shared" si="20"/>
      </c>
    </row>
    <row r="1070" spans="11:11">
      <c r="K1070">
        <f t="shared" si="20"/>
      </c>
    </row>
    <row r="1071" spans="11:11">
      <c r="K1071">
        <f t="shared" si="20"/>
      </c>
    </row>
    <row r="1072" spans="11:11">
      <c r="K1072">
        <f t="shared" si="20"/>
      </c>
    </row>
    <row r="1073" spans="11:11">
      <c r="K1073">
        <f t="shared" si="20"/>
      </c>
    </row>
    <row r="1074" spans="11:11">
      <c r="K1074">
        <f t="shared" si="20"/>
      </c>
    </row>
    <row r="1075" spans="11:11">
      <c r="K1075">
        <f t="shared" si="20"/>
      </c>
    </row>
    <row r="1076" spans="11:11">
      <c r="K1076">
        <f t="shared" si="20"/>
      </c>
    </row>
    <row r="1077" spans="11:11">
      <c r="K1077">
        <f t="shared" si="20"/>
      </c>
    </row>
    <row r="1078" spans="11:11">
      <c r="K1078">
        <f t="shared" si="20"/>
      </c>
    </row>
    <row r="1079" spans="11:11">
      <c r="K1079">
        <f t="shared" si="20"/>
      </c>
    </row>
    <row r="1080" spans="11:11">
      <c r="K1080">
        <f t="shared" si="20"/>
      </c>
    </row>
    <row r="1081" spans="11:11">
      <c r="K1081">
        <f t="shared" si="20"/>
      </c>
    </row>
    <row r="1082" spans="11:11">
      <c r="K1082">
        <f t="shared" si="20"/>
      </c>
    </row>
    <row r="1083" spans="11:11">
      <c r="K1083">
        <f t="shared" si="20"/>
      </c>
    </row>
    <row r="1084" spans="11:11">
      <c r="K1084">
        <f t="shared" si="20"/>
      </c>
    </row>
    <row r="1085" spans="11:11">
      <c r="K1085">
        <f t="shared" si="20"/>
      </c>
    </row>
    <row r="1086" spans="11:11">
      <c r="K1086">
        <f t="shared" si="20"/>
      </c>
    </row>
    <row r="1087" spans="11:11">
      <c r="K1087">
        <f t="shared" si="20"/>
      </c>
    </row>
    <row r="1088" spans="11:11">
      <c r="K1088">
        <f t="shared" si="20"/>
      </c>
    </row>
    <row r="1089" spans="11:11">
      <c r="K1089">
        <f t="shared" si="20"/>
      </c>
    </row>
    <row r="1090" spans="11:11">
      <c r="K1090">
        <f t="shared" si="20"/>
      </c>
    </row>
    <row r="1091" spans="11:11">
      <c r="K1091">
        <f t="shared" si="20"/>
      </c>
    </row>
    <row r="1092" spans="11:11">
      <c r="K1092">
        <f t="shared" si="20"/>
      </c>
    </row>
    <row r="1093" spans="11:11">
      <c r="K1093">
        <f t="shared" ref="K1093:K1156" si="21">IF(A1093="","", WEEKNUM(A1093, 2))</f>
      </c>
    </row>
    <row r="1094" spans="11:11">
      <c r="K1094">
        <f t="shared" si="21"/>
      </c>
    </row>
    <row r="1095" spans="11:11">
      <c r="K1095">
        <f t="shared" si="21"/>
      </c>
    </row>
    <row r="1096" spans="11:11">
      <c r="K1096">
        <f t="shared" si="21"/>
      </c>
    </row>
    <row r="1097" spans="11:11">
      <c r="K1097">
        <f t="shared" si="21"/>
      </c>
    </row>
    <row r="1098" spans="11:11">
      <c r="K1098">
        <f t="shared" si="21"/>
      </c>
    </row>
    <row r="1099" spans="11:11">
      <c r="K1099">
        <f t="shared" si="21"/>
      </c>
    </row>
    <row r="1100" spans="11:11">
      <c r="K1100">
        <f t="shared" si="21"/>
      </c>
    </row>
    <row r="1101" spans="11:11">
      <c r="K1101">
        <f t="shared" si="21"/>
      </c>
    </row>
    <row r="1102" spans="11:11">
      <c r="K1102">
        <f t="shared" si="21"/>
      </c>
    </row>
    <row r="1103" spans="11:11">
      <c r="K1103">
        <f t="shared" si="21"/>
      </c>
    </row>
    <row r="1104" spans="11:11">
      <c r="K1104">
        <f t="shared" si="21"/>
      </c>
    </row>
    <row r="1105" spans="11:11">
      <c r="K1105">
        <f t="shared" si="21"/>
      </c>
    </row>
    <row r="1106" spans="11:11">
      <c r="K1106">
        <f t="shared" si="21"/>
      </c>
    </row>
    <row r="1107" spans="11:11">
      <c r="K1107">
        <f t="shared" si="21"/>
      </c>
    </row>
    <row r="1108" spans="11:11">
      <c r="K1108">
        <f t="shared" si="21"/>
      </c>
    </row>
    <row r="1109" spans="11:11">
      <c r="K1109">
        <f t="shared" si="21"/>
      </c>
    </row>
    <row r="1110" spans="11:11">
      <c r="K1110">
        <f t="shared" si="21"/>
      </c>
    </row>
    <row r="1111" spans="11:11">
      <c r="K1111">
        <f t="shared" si="21"/>
      </c>
    </row>
    <row r="1112" spans="11:11">
      <c r="K1112">
        <f t="shared" si="21"/>
      </c>
    </row>
    <row r="1113" spans="11:11">
      <c r="K1113">
        <f t="shared" si="21"/>
      </c>
    </row>
    <row r="1114" spans="11:11">
      <c r="K1114">
        <f t="shared" si="21"/>
      </c>
    </row>
    <row r="1115" spans="11:11">
      <c r="K1115">
        <f t="shared" si="21"/>
      </c>
    </row>
    <row r="1116" spans="11:11">
      <c r="K1116">
        <f t="shared" si="21"/>
      </c>
    </row>
    <row r="1117" spans="11:11">
      <c r="K1117">
        <f t="shared" si="21"/>
      </c>
    </row>
    <row r="1118" spans="11:11">
      <c r="K1118">
        <f t="shared" si="21"/>
      </c>
    </row>
    <row r="1119" spans="11:11">
      <c r="K1119">
        <f t="shared" si="21"/>
      </c>
    </row>
    <row r="1120" spans="11:11">
      <c r="K1120">
        <f t="shared" si="21"/>
      </c>
    </row>
    <row r="1121" spans="11:11">
      <c r="K1121">
        <f t="shared" si="21"/>
      </c>
    </row>
    <row r="1122" spans="11:11">
      <c r="K1122">
        <f t="shared" si="21"/>
      </c>
    </row>
    <row r="1123" spans="11:11">
      <c r="K1123">
        <f t="shared" si="21"/>
      </c>
    </row>
    <row r="1124" spans="11:11">
      <c r="K1124">
        <f t="shared" si="21"/>
      </c>
    </row>
    <row r="1125" spans="11:11">
      <c r="K1125">
        <f t="shared" si="21"/>
      </c>
    </row>
    <row r="1126" spans="11:11">
      <c r="K1126">
        <f t="shared" si="21"/>
      </c>
    </row>
    <row r="1127" spans="11:11">
      <c r="K1127">
        <f t="shared" si="21"/>
      </c>
    </row>
    <row r="1128" spans="11:11">
      <c r="K1128">
        <f t="shared" si="21"/>
      </c>
    </row>
    <row r="1129" spans="11:11">
      <c r="K1129">
        <f t="shared" si="21"/>
      </c>
    </row>
    <row r="1130" spans="11:11">
      <c r="K1130">
        <f t="shared" si="21"/>
      </c>
    </row>
    <row r="1131" spans="11:11">
      <c r="K1131">
        <f t="shared" si="21"/>
      </c>
    </row>
    <row r="1132" spans="11:11">
      <c r="K1132">
        <f t="shared" si="21"/>
      </c>
    </row>
    <row r="1133" spans="11:11">
      <c r="K1133">
        <f t="shared" si="21"/>
      </c>
    </row>
    <row r="1134" spans="11:11">
      <c r="K1134">
        <f t="shared" si="21"/>
      </c>
    </row>
    <row r="1135" spans="11:11">
      <c r="K1135">
        <f t="shared" si="21"/>
      </c>
    </row>
    <row r="1136" spans="11:11">
      <c r="K1136">
        <f t="shared" si="21"/>
      </c>
    </row>
    <row r="1137" spans="11:11">
      <c r="K1137">
        <f t="shared" si="21"/>
      </c>
    </row>
    <row r="1138" spans="11:11">
      <c r="K1138">
        <f t="shared" si="21"/>
      </c>
    </row>
    <row r="1139" spans="11:11">
      <c r="K1139">
        <f t="shared" si="21"/>
      </c>
    </row>
    <row r="1140" spans="11:11">
      <c r="K1140">
        <f t="shared" si="21"/>
      </c>
    </row>
    <row r="1141" spans="11:11">
      <c r="K1141">
        <f t="shared" si="21"/>
      </c>
    </row>
    <row r="1142" spans="11:11">
      <c r="K1142">
        <f t="shared" si="21"/>
      </c>
    </row>
    <row r="1143" spans="11:11">
      <c r="K1143">
        <f t="shared" si="21"/>
      </c>
    </row>
    <row r="1144" spans="11:11">
      <c r="K1144">
        <f t="shared" si="21"/>
      </c>
    </row>
    <row r="1145" spans="11:11">
      <c r="K1145">
        <f t="shared" si="21"/>
      </c>
    </row>
    <row r="1146" spans="11:11">
      <c r="K1146">
        <f t="shared" si="21"/>
      </c>
    </row>
    <row r="1147" spans="11:11">
      <c r="K1147">
        <f t="shared" si="21"/>
      </c>
    </row>
    <row r="1148" spans="11:11">
      <c r="K1148">
        <f t="shared" si="21"/>
      </c>
    </row>
    <row r="1149" spans="11:11">
      <c r="K1149">
        <f t="shared" si="21"/>
      </c>
    </row>
    <row r="1150" spans="11:11">
      <c r="K1150">
        <f t="shared" si="21"/>
      </c>
    </row>
    <row r="1151" spans="11:11">
      <c r="K1151">
        <f t="shared" si="21"/>
      </c>
    </row>
    <row r="1152" spans="11:11">
      <c r="K1152">
        <f t="shared" si="21"/>
      </c>
    </row>
    <row r="1153" spans="11:11">
      <c r="K1153">
        <f t="shared" si="21"/>
      </c>
    </row>
    <row r="1154" spans="11:11">
      <c r="K1154">
        <f t="shared" si="21"/>
      </c>
    </row>
    <row r="1155" spans="11:11">
      <c r="K1155">
        <f t="shared" si="21"/>
      </c>
    </row>
    <row r="1156" spans="11:11">
      <c r="K1156">
        <f t="shared" si="21"/>
      </c>
    </row>
    <row r="1157" spans="11:11">
      <c r="K1157">
        <f t="shared" ref="K1157:K1220" si="22">IF(A1157="","", WEEKNUM(A1157, 2))</f>
      </c>
    </row>
    <row r="1158" spans="11:11">
      <c r="K1158">
        <f t="shared" si="22"/>
      </c>
    </row>
    <row r="1159" spans="11:11">
      <c r="K1159">
        <f t="shared" si="22"/>
      </c>
    </row>
    <row r="1160" spans="11:11">
      <c r="K1160">
        <f t="shared" si="22"/>
      </c>
    </row>
    <row r="1161" spans="11:11">
      <c r="K1161">
        <f t="shared" si="22"/>
      </c>
    </row>
    <row r="1162" spans="11:11">
      <c r="K1162">
        <f t="shared" si="22"/>
      </c>
    </row>
    <row r="1163" spans="11:11">
      <c r="K1163">
        <f t="shared" si="22"/>
      </c>
    </row>
    <row r="1164" spans="11:11">
      <c r="K1164">
        <f t="shared" si="22"/>
      </c>
    </row>
    <row r="1165" spans="11:11">
      <c r="K1165">
        <f t="shared" si="22"/>
      </c>
    </row>
    <row r="1166" spans="11:11">
      <c r="K1166">
        <f t="shared" si="22"/>
      </c>
    </row>
    <row r="1167" spans="11:11">
      <c r="K1167">
        <f t="shared" si="22"/>
      </c>
    </row>
    <row r="1168" spans="11:11">
      <c r="K1168">
        <f t="shared" si="22"/>
      </c>
    </row>
    <row r="1169" spans="11:11">
      <c r="K1169">
        <f t="shared" si="22"/>
      </c>
    </row>
    <row r="1170" spans="11:11">
      <c r="K1170">
        <f t="shared" si="22"/>
      </c>
    </row>
    <row r="1171" spans="11:11">
      <c r="K1171">
        <f t="shared" si="22"/>
      </c>
    </row>
    <row r="1172" spans="11:11">
      <c r="K1172">
        <f t="shared" si="22"/>
      </c>
    </row>
    <row r="1173" spans="11:11">
      <c r="K1173">
        <f t="shared" si="22"/>
      </c>
    </row>
    <row r="1174" spans="11:11">
      <c r="K1174">
        <f t="shared" si="22"/>
      </c>
    </row>
    <row r="1175" spans="11:11">
      <c r="K1175">
        <f t="shared" si="22"/>
      </c>
    </row>
    <row r="1176" spans="11:11">
      <c r="K1176">
        <f t="shared" si="22"/>
      </c>
    </row>
    <row r="1177" spans="11:11">
      <c r="K1177">
        <f t="shared" si="22"/>
      </c>
    </row>
    <row r="1178" spans="11:11">
      <c r="K1178">
        <f t="shared" si="22"/>
      </c>
    </row>
    <row r="1179" spans="11:11">
      <c r="K1179">
        <f t="shared" si="22"/>
      </c>
    </row>
    <row r="1180" spans="11:11">
      <c r="K1180">
        <f t="shared" si="22"/>
      </c>
    </row>
    <row r="1181" spans="11:11">
      <c r="K1181">
        <f t="shared" si="22"/>
      </c>
    </row>
    <row r="1182" spans="11:11">
      <c r="K1182">
        <f t="shared" si="22"/>
      </c>
    </row>
    <row r="1183" spans="11:11">
      <c r="K1183">
        <f t="shared" si="22"/>
      </c>
    </row>
    <row r="1184" spans="11:11">
      <c r="K1184">
        <f t="shared" si="22"/>
      </c>
    </row>
    <row r="1185" spans="11:11">
      <c r="K1185">
        <f t="shared" si="22"/>
      </c>
    </row>
    <row r="1186" spans="11:11">
      <c r="K1186">
        <f t="shared" si="22"/>
      </c>
    </row>
    <row r="1187" spans="11:11">
      <c r="K1187">
        <f t="shared" si="22"/>
      </c>
    </row>
    <row r="1188" spans="11:11">
      <c r="K1188">
        <f t="shared" si="22"/>
      </c>
    </row>
    <row r="1189" spans="11:11">
      <c r="K1189">
        <f t="shared" si="22"/>
      </c>
    </row>
    <row r="1190" spans="11:11">
      <c r="K1190">
        <f t="shared" si="22"/>
      </c>
    </row>
    <row r="1191" spans="11:11">
      <c r="K1191">
        <f t="shared" si="22"/>
      </c>
    </row>
    <row r="1192" spans="11:11">
      <c r="K1192">
        <f t="shared" si="22"/>
      </c>
    </row>
    <row r="1193" spans="11:11">
      <c r="K1193">
        <f t="shared" si="22"/>
      </c>
    </row>
    <row r="1194" spans="11:11">
      <c r="K1194">
        <f t="shared" si="22"/>
      </c>
    </row>
    <row r="1195" spans="11:11">
      <c r="K1195">
        <f t="shared" si="22"/>
      </c>
    </row>
    <row r="1196" spans="11:11">
      <c r="K1196">
        <f t="shared" si="22"/>
      </c>
    </row>
    <row r="1197" spans="11:11">
      <c r="K1197">
        <f t="shared" si="22"/>
      </c>
    </row>
    <row r="1198" spans="11:11">
      <c r="K1198">
        <f t="shared" si="22"/>
      </c>
    </row>
    <row r="1199" spans="11:11">
      <c r="K1199">
        <f t="shared" si="22"/>
      </c>
    </row>
    <row r="1200" spans="11:11">
      <c r="K1200">
        <f t="shared" si="22"/>
      </c>
    </row>
    <row r="1201" spans="11:11">
      <c r="K1201">
        <f t="shared" si="22"/>
      </c>
    </row>
    <row r="1202" spans="11:11">
      <c r="K1202">
        <f t="shared" si="22"/>
      </c>
    </row>
    <row r="1203" spans="11:11">
      <c r="K1203">
        <f t="shared" si="22"/>
      </c>
    </row>
    <row r="1204" spans="11:11">
      <c r="K1204">
        <f t="shared" si="22"/>
      </c>
    </row>
    <row r="1205" spans="11:11">
      <c r="K1205">
        <f t="shared" si="22"/>
      </c>
    </row>
    <row r="1206" spans="11:11">
      <c r="K1206">
        <f t="shared" si="22"/>
      </c>
    </row>
    <row r="1207" spans="11:11">
      <c r="K1207">
        <f t="shared" si="22"/>
      </c>
    </row>
    <row r="1208" spans="11:11">
      <c r="K1208">
        <f t="shared" si="22"/>
      </c>
    </row>
    <row r="1209" spans="11:11">
      <c r="K1209">
        <f t="shared" si="22"/>
      </c>
    </row>
    <row r="1210" spans="11:11">
      <c r="K1210">
        <f t="shared" si="22"/>
      </c>
    </row>
    <row r="1211" spans="11:11">
      <c r="K1211">
        <f t="shared" si="22"/>
      </c>
    </row>
    <row r="1212" spans="11:11">
      <c r="K1212">
        <f t="shared" si="22"/>
      </c>
    </row>
    <row r="1213" spans="11:11">
      <c r="K1213">
        <f t="shared" si="22"/>
      </c>
    </row>
    <row r="1214" spans="11:11">
      <c r="K1214">
        <f t="shared" si="22"/>
      </c>
    </row>
    <row r="1215" spans="11:11">
      <c r="K1215">
        <f t="shared" si="22"/>
      </c>
    </row>
    <row r="1216" spans="11:11">
      <c r="K1216">
        <f t="shared" si="22"/>
      </c>
    </row>
    <row r="1217" spans="11:11">
      <c r="K1217">
        <f t="shared" si="22"/>
      </c>
    </row>
    <row r="1218" spans="11:11">
      <c r="K1218">
        <f t="shared" si="22"/>
      </c>
    </row>
    <row r="1219" spans="11:11">
      <c r="K1219">
        <f t="shared" si="22"/>
      </c>
    </row>
    <row r="1220" spans="11:11">
      <c r="K1220">
        <f t="shared" si="22"/>
      </c>
    </row>
    <row r="1221" spans="11:11">
      <c r="K1221">
        <f t="shared" ref="K1221:K1284" si="23">IF(A1221="","", WEEKNUM(A1221, 2))</f>
      </c>
    </row>
    <row r="1222" spans="11:11">
      <c r="K1222">
        <f t="shared" si="23"/>
      </c>
    </row>
    <row r="1223" spans="11:11">
      <c r="K1223">
        <f t="shared" si="23"/>
      </c>
    </row>
    <row r="1224" spans="11:11">
      <c r="K1224">
        <f t="shared" si="23"/>
      </c>
    </row>
    <row r="1225" spans="11:11">
      <c r="K1225">
        <f t="shared" si="23"/>
      </c>
    </row>
    <row r="1226" spans="11:11">
      <c r="K1226">
        <f t="shared" si="23"/>
      </c>
    </row>
    <row r="1227" spans="11:11">
      <c r="K1227">
        <f t="shared" si="23"/>
      </c>
    </row>
    <row r="1228" spans="11:11">
      <c r="K1228">
        <f t="shared" si="23"/>
      </c>
    </row>
    <row r="1229" spans="11:11">
      <c r="K1229">
        <f t="shared" si="23"/>
      </c>
    </row>
    <row r="1230" spans="11:11">
      <c r="K1230">
        <f t="shared" si="23"/>
      </c>
    </row>
    <row r="1231" spans="11:11">
      <c r="K1231">
        <f t="shared" si="23"/>
      </c>
    </row>
    <row r="1232" spans="11:11">
      <c r="K1232">
        <f t="shared" si="23"/>
      </c>
    </row>
    <row r="1233" spans="11:11">
      <c r="K1233">
        <f t="shared" si="23"/>
      </c>
    </row>
    <row r="1234" spans="11:11">
      <c r="K1234">
        <f t="shared" si="23"/>
      </c>
    </row>
    <row r="1235" spans="11:11">
      <c r="K1235">
        <f t="shared" si="23"/>
      </c>
    </row>
    <row r="1236" spans="11:11">
      <c r="K1236">
        <f t="shared" si="23"/>
      </c>
    </row>
    <row r="1237" spans="11:11">
      <c r="K1237">
        <f t="shared" si="23"/>
      </c>
    </row>
    <row r="1238" spans="11:11">
      <c r="K1238">
        <f t="shared" si="23"/>
      </c>
    </row>
    <row r="1239" spans="11:11">
      <c r="K1239">
        <f t="shared" si="23"/>
      </c>
    </row>
    <row r="1240" spans="11:11">
      <c r="K1240">
        <f t="shared" si="23"/>
      </c>
    </row>
    <row r="1241" spans="11:11">
      <c r="K1241">
        <f t="shared" si="23"/>
      </c>
    </row>
    <row r="1242" spans="11:11">
      <c r="K1242">
        <f t="shared" si="23"/>
      </c>
    </row>
    <row r="1243" spans="11:11">
      <c r="K1243">
        <f t="shared" si="23"/>
      </c>
    </row>
    <row r="1244" spans="11:11">
      <c r="K1244">
        <f t="shared" si="23"/>
      </c>
    </row>
    <row r="1245" spans="11:11">
      <c r="K1245">
        <f t="shared" si="23"/>
      </c>
    </row>
    <row r="1246" spans="11:11">
      <c r="K1246">
        <f t="shared" si="23"/>
      </c>
    </row>
    <row r="1247" spans="11:11">
      <c r="K1247">
        <f t="shared" si="23"/>
      </c>
    </row>
    <row r="1248" spans="11:11">
      <c r="K1248">
        <f t="shared" si="23"/>
      </c>
    </row>
    <row r="1249" spans="11:11">
      <c r="K1249">
        <f t="shared" si="23"/>
      </c>
    </row>
    <row r="1250" spans="11:11">
      <c r="K1250">
        <f t="shared" si="23"/>
      </c>
    </row>
    <row r="1251" spans="11:11">
      <c r="K1251">
        <f t="shared" si="23"/>
      </c>
    </row>
    <row r="1252" spans="11:11">
      <c r="K1252">
        <f t="shared" si="23"/>
      </c>
    </row>
    <row r="1253" spans="11:11">
      <c r="K1253">
        <f t="shared" si="23"/>
      </c>
    </row>
    <row r="1254" spans="11:11">
      <c r="K1254">
        <f t="shared" si="23"/>
      </c>
    </row>
    <row r="1255" spans="11:11">
      <c r="K1255">
        <f t="shared" si="23"/>
      </c>
    </row>
    <row r="1256" spans="11:11">
      <c r="K1256">
        <f t="shared" si="23"/>
      </c>
    </row>
    <row r="1257" spans="11:11">
      <c r="K1257">
        <f t="shared" si="23"/>
      </c>
    </row>
    <row r="1258" spans="11:11">
      <c r="K1258">
        <f t="shared" si="23"/>
      </c>
    </row>
    <row r="1259" spans="11:11">
      <c r="K1259">
        <f t="shared" si="23"/>
      </c>
    </row>
    <row r="1260" spans="11:11">
      <c r="K1260">
        <f t="shared" si="23"/>
      </c>
    </row>
    <row r="1261" spans="11:11">
      <c r="K1261">
        <f t="shared" si="23"/>
      </c>
    </row>
    <row r="1262" spans="11:11">
      <c r="K1262">
        <f t="shared" si="23"/>
      </c>
    </row>
    <row r="1263" spans="11:11">
      <c r="K1263">
        <f t="shared" si="23"/>
      </c>
    </row>
    <row r="1264" spans="11:11">
      <c r="K1264">
        <f t="shared" si="23"/>
      </c>
    </row>
    <row r="1265" spans="11:11">
      <c r="K1265">
        <f t="shared" si="23"/>
      </c>
    </row>
    <row r="1266" spans="11:11">
      <c r="K1266">
        <f t="shared" si="23"/>
      </c>
    </row>
    <row r="1267" spans="11:11">
      <c r="K1267">
        <f t="shared" si="23"/>
      </c>
    </row>
    <row r="1268" spans="11:11">
      <c r="K1268">
        <f t="shared" si="23"/>
      </c>
    </row>
    <row r="1269" spans="11:11">
      <c r="K1269">
        <f t="shared" si="23"/>
      </c>
    </row>
    <row r="1270" spans="11:11">
      <c r="K1270">
        <f t="shared" si="23"/>
      </c>
    </row>
    <row r="1271" spans="11:11">
      <c r="K1271">
        <f t="shared" si="23"/>
      </c>
    </row>
    <row r="1272" spans="11:11">
      <c r="K1272">
        <f t="shared" si="23"/>
      </c>
    </row>
    <row r="1273" spans="11:11">
      <c r="K1273">
        <f t="shared" si="23"/>
      </c>
    </row>
    <row r="1274" spans="11:11">
      <c r="K1274">
        <f t="shared" si="23"/>
      </c>
    </row>
    <row r="1275" spans="11:11">
      <c r="K1275">
        <f t="shared" si="23"/>
      </c>
    </row>
    <row r="1276" spans="11:11">
      <c r="K1276">
        <f t="shared" si="23"/>
      </c>
    </row>
    <row r="1277" spans="11:11">
      <c r="K1277">
        <f t="shared" si="23"/>
      </c>
    </row>
    <row r="1278" spans="11:11">
      <c r="K1278">
        <f t="shared" si="23"/>
      </c>
    </row>
    <row r="1279" spans="11:11">
      <c r="K1279">
        <f t="shared" si="23"/>
      </c>
    </row>
    <row r="1280" spans="11:11">
      <c r="K1280">
        <f t="shared" si="23"/>
      </c>
    </row>
    <row r="1281" spans="11:11">
      <c r="K1281">
        <f t="shared" si="23"/>
      </c>
    </row>
    <row r="1282" spans="11:11">
      <c r="K1282">
        <f t="shared" si="23"/>
      </c>
    </row>
    <row r="1283" spans="11:11">
      <c r="K1283">
        <f t="shared" si="23"/>
      </c>
    </row>
    <row r="1284" spans="11:11">
      <c r="K1284">
        <f t="shared" si="23"/>
      </c>
    </row>
    <row r="1285" spans="11:11">
      <c r="K1285">
        <f t="shared" ref="K1285:K1348" si="24">IF(A1285="","", WEEKNUM(A1285, 2))</f>
      </c>
    </row>
    <row r="1286" spans="11:11">
      <c r="K1286">
        <f t="shared" si="24"/>
      </c>
    </row>
    <row r="1287" spans="11:11">
      <c r="K1287">
        <f t="shared" si="24"/>
      </c>
    </row>
    <row r="1288" spans="11:11">
      <c r="K1288">
        <f t="shared" si="24"/>
      </c>
    </row>
    <row r="1289" spans="11:11">
      <c r="K1289">
        <f t="shared" si="24"/>
      </c>
    </row>
    <row r="1290" spans="11:11">
      <c r="K1290">
        <f t="shared" si="24"/>
      </c>
    </row>
    <row r="1291" spans="11:11">
      <c r="K1291">
        <f t="shared" si="24"/>
      </c>
    </row>
    <row r="1292" spans="11:11">
      <c r="K1292">
        <f t="shared" si="24"/>
      </c>
    </row>
    <row r="1293" spans="11:11">
      <c r="K1293">
        <f t="shared" si="24"/>
      </c>
    </row>
    <row r="1294" spans="11:11">
      <c r="K1294">
        <f t="shared" si="24"/>
      </c>
    </row>
    <row r="1295" spans="11:11">
      <c r="K1295">
        <f t="shared" si="24"/>
      </c>
    </row>
    <row r="1296" spans="11:11">
      <c r="K1296">
        <f t="shared" si="24"/>
      </c>
    </row>
    <row r="1297" spans="11:11">
      <c r="K1297">
        <f t="shared" si="24"/>
      </c>
    </row>
    <row r="1298" spans="11:11">
      <c r="K1298">
        <f t="shared" si="24"/>
      </c>
    </row>
    <row r="1299" spans="11:11">
      <c r="K1299">
        <f t="shared" si="24"/>
      </c>
    </row>
    <row r="1300" spans="11:11">
      <c r="K1300">
        <f t="shared" si="24"/>
      </c>
    </row>
    <row r="1301" spans="11:11">
      <c r="K1301">
        <f t="shared" si="24"/>
      </c>
    </row>
    <row r="1302" spans="11:11">
      <c r="K1302">
        <f t="shared" si="24"/>
      </c>
    </row>
    <row r="1303" spans="11:11">
      <c r="K1303">
        <f t="shared" si="24"/>
      </c>
    </row>
    <row r="1304" spans="11:11">
      <c r="K1304">
        <f t="shared" si="24"/>
      </c>
    </row>
    <row r="1305" spans="11:11">
      <c r="K1305">
        <f t="shared" si="24"/>
      </c>
    </row>
    <row r="1306" spans="11:11">
      <c r="K1306">
        <f t="shared" si="24"/>
      </c>
    </row>
    <row r="1307" spans="11:11">
      <c r="K1307">
        <f t="shared" si="24"/>
      </c>
    </row>
    <row r="1308" spans="11:11">
      <c r="K1308">
        <f t="shared" si="24"/>
      </c>
    </row>
    <row r="1309" spans="11:11">
      <c r="K1309">
        <f t="shared" si="24"/>
      </c>
    </row>
    <row r="1310" spans="11:11">
      <c r="K1310">
        <f t="shared" si="24"/>
      </c>
    </row>
    <row r="1311" spans="11:11">
      <c r="K1311">
        <f t="shared" si="24"/>
      </c>
    </row>
    <row r="1312" spans="11:11">
      <c r="K1312">
        <f t="shared" si="24"/>
      </c>
    </row>
    <row r="1313" spans="11:11">
      <c r="K1313">
        <f t="shared" si="24"/>
      </c>
    </row>
    <row r="1314" spans="11:11">
      <c r="K1314">
        <f t="shared" si="24"/>
      </c>
    </row>
    <row r="1315" spans="11:11">
      <c r="K1315">
        <f t="shared" si="24"/>
      </c>
    </row>
    <row r="1316" spans="11:11">
      <c r="K1316">
        <f t="shared" si="24"/>
      </c>
    </row>
    <row r="1317" spans="11:11">
      <c r="K1317">
        <f t="shared" si="24"/>
      </c>
    </row>
    <row r="1318" spans="11:11">
      <c r="K1318">
        <f t="shared" si="24"/>
      </c>
    </row>
    <row r="1319" spans="11:11">
      <c r="K1319">
        <f t="shared" si="24"/>
      </c>
    </row>
    <row r="1320" spans="11:11">
      <c r="K1320">
        <f t="shared" si="24"/>
      </c>
    </row>
    <row r="1321" spans="11:11">
      <c r="K1321">
        <f t="shared" si="24"/>
      </c>
    </row>
    <row r="1322" spans="11:11">
      <c r="K1322">
        <f t="shared" si="24"/>
      </c>
    </row>
    <row r="1323" spans="11:11">
      <c r="K1323">
        <f t="shared" si="24"/>
      </c>
    </row>
    <row r="1324" spans="11:11">
      <c r="K1324">
        <f t="shared" si="24"/>
      </c>
    </row>
    <row r="1325" spans="11:11">
      <c r="K1325">
        <f t="shared" si="24"/>
      </c>
    </row>
    <row r="1326" spans="11:11">
      <c r="K1326">
        <f t="shared" si="24"/>
      </c>
    </row>
    <row r="1327" spans="11:11">
      <c r="K1327">
        <f t="shared" si="24"/>
      </c>
    </row>
    <row r="1328" spans="11:11">
      <c r="K1328">
        <f t="shared" si="24"/>
      </c>
    </row>
    <row r="1329" spans="11:11">
      <c r="K1329">
        <f t="shared" si="24"/>
      </c>
    </row>
    <row r="1330" spans="11:11">
      <c r="K1330">
        <f t="shared" si="24"/>
      </c>
    </row>
    <row r="1331" spans="11:11">
      <c r="K1331">
        <f t="shared" si="24"/>
      </c>
    </row>
    <row r="1332" spans="11:11">
      <c r="K1332">
        <f t="shared" si="24"/>
      </c>
    </row>
    <row r="1333" spans="11:11">
      <c r="K1333">
        <f t="shared" si="24"/>
      </c>
    </row>
    <row r="1334" spans="11:11">
      <c r="K1334">
        <f t="shared" si="24"/>
      </c>
    </row>
    <row r="1335" spans="11:11">
      <c r="K1335">
        <f t="shared" si="24"/>
      </c>
    </row>
    <row r="1336" spans="11:11">
      <c r="K1336">
        <f t="shared" si="24"/>
      </c>
    </row>
    <row r="1337" spans="11:11">
      <c r="K1337">
        <f t="shared" si="24"/>
      </c>
    </row>
    <row r="1338" spans="11:11">
      <c r="K1338">
        <f t="shared" si="24"/>
      </c>
    </row>
    <row r="1339" spans="11:11">
      <c r="K1339">
        <f t="shared" si="24"/>
      </c>
    </row>
    <row r="1340" spans="11:11">
      <c r="K1340">
        <f t="shared" si="24"/>
      </c>
    </row>
    <row r="1341" spans="11:11">
      <c r="K1341">
        <f t="shared" si="24"/>
      </c>
    </row>
    <row r="1342" spans="11:11">
      <c r="K1342">
        <f t="shared" si="24"/>
      </c>
    </row>
    <row r="1343" spans="11:11">
      <c r="K1343">
        <f t="shared" si="24"/>
      </c>
    </row>
    <row r="1344" spans="11:11">
      <c r="K1344">
        <f t="shared" si="24"/>
      </c>
    </row>
    <row r="1345" spans="11:11">
      <c r="K1345">
        <f t="shared" si="24"/>
      </c>
    </row>
    <row r="1346" spans="11:11">
      <c r="K1346">
        <f t="shared" si="24"/>
      </c>
    </row>
    <row r="1347" spans="11:11">
      <c r="K1347">
        <f t="shared" si="24"/>
      </c>
    </row>
    <row r="1348" spans="11:11">
      <c r="K1348">
        <f t="shared" si="24"/>
      </c>
    </row>
    <row r="1349" spans="11:11">
      <c r="K1349">
        <f t="shared" ref="K1349:K1412" si="25">IF(A1349="","", WEEKNUM(A1349, 2))</f>
      </c>
    </row>
    <row r="1350" spans="11:11">
      <c r="K1350">
        <f t="shared" si="25"/>
      </c>
    </row>
    <row r="1351" spans="11:11">
      <c r="K1351">
        <f t="shared" si="25"/>
      </c>
    </row>
    <row r="1352" spans="11:11">
      <c r="K1352">
        <f t="shared" si="25"/>
      </c>
    </row>
    <row r="1353" spans="11:11">
      <c r="K1353">
        <f t="shared" si="25"/>
      </c>
    </row>
    <row r="1354" spans="11:11">
      <c r="K1354">
        <f t="shared" si="25"/>
      </c>
    </row>
    <row r="1355" spans="11:11">
      <c r="K1355">
        <f t="shared" si="25"/>
      </c>
    </row>
    <row r="1356" spans="11:11">
      <c r="K1356">
        <f t="shared" si="25"/>
      </c>
    </row>
    <row r="1357" spans="11:11">
      <c r="K1357">
        <f t="shared" si="25"/>
      </c>
    </row>
    <row r="1358" spans="11:11">
      <c r="K1358">
        <f t="shared" si="25"/>
      </c>
    </row>
    <row r="1359" spans="11:11">
      <c r="K1359">
        <f t="shared" si="25"/>
      </c>
    </row>
    <row r="1360" spans="11:11">
      <c r="K1360">
        <f t="shared" si="25"/>
      </c>
    </row>
    <row r="1361" spans="11:11">
      <c r="K1361">
        <f t="shared" si="25"/>
      </c>
    </row>
    <row r="1362" spans="11:11">
      <c r="K1362">
        <f t="shared" si="25"/>
      </c>
    </row>
    <row r="1363" spans="11:11">
      <c r="K1363">
        <f t="shared" si="25"/>
      </c>
    </row>
    <row r="1364" spans="11:11">
      <c r="K1364">
        <f t="shared" si="25"/>
      </c>
    </row>
    <row r="1365" spans="11:11">
      <c r="K1365">
        <f t="shared" si="25"/>
      </c>
    </row>
    <row r="1366" spans="11:11">
      <c r="K1366">
        <f t="shared" si="25"/>
      </c>
    </row>
    <row r="1367" spans="11:11">
      <c r="K1367">
        <f t="shared" si="25"/>
      </c>
    </row>
    <row r="1368" spans="11:11">
      <c r="K1368">
        <f t="shared" si="25"/>
      </c>
    </row>
    <row r="1369" spans="11:11">
      <c r="K1369">
        <f t="shared" si="25"/>
      </c>
    </row>
    <row r="1370" spans="11:11">
      <c r="K1370">
        <f t="shared" si="25"/>
      </c>
    </row>
    <row r="1371" spans="11:11">
      <c r="K1371">
        <f t="shared" si="25"/>
      </c>
    </row>
    <row r="1372" spans="11:11">
      <c r="K1372">
        <f t="shared" si="25"/>
      </c>
    </row>
    <row r="1373" spans="11:11">
      <c r="K1373">
        <f t="shared" si="25"/>
      </c>
    </row>
    <row r="1374" spans="11:11">
      <c r="K1374">
        <f t="shared" si="25"/>
      </c>
    </row>
    <row r="1375" spans="11:11">
      <c r="K1375">
        <f t="shared" si="25"/>
      </c>
    </row>
    <row r="1376" spans="11:11">
      <c r="K1376">
        <f t="shared" si="25"/>
      </c>
    </row>
    <row r="1377" spans="11:11">
      <c r="K1377">
        <f t="shared" si="25"/>
      </c>
    </row>
    <row r="1378" spans="11:11">
      <c r="K1378">
        <f t="shared" si="25"/>
      </c>
    </row>
    <row r="1379" spans="11:11">
      <c r="K1379">
        <f t="shared" si="25"/>
      </c>
    </row>
    <row r="1380" spans="11:11">
      <c r="K1380">
        <f t="shared" si="25"/>
      </c>
    </row>
    <row r="1381" spans="11:11">
      <c r="K1381">
        <f t="shared" si="25"/>
      </c>
    </row>
    <row r="1382" spans="11:11">
      <c r="K1382">
        <f t="shared" si="25"/>
      </c>
    </row>
    <row r="1383" spans="11:11">
      <c r="K1383">
        <f t="shared" si="25"/>
      </c>
    </row>
    <row r="1384" spans="11:11">
      <c r="K1384">
        <f t="shared" si="25"/>
      </c>
    </row>
    <row r="1385" spans="11:11">
      <c r="K1385">
        <f t="shared" si="25"/>
      </c>
    </row>
    <row r="1386" spans="11:11">
      <c r="K1386">
        <f t="shared" si="25"/>
      </c>
    </row>
    <row r="1387" spans="11:11">
      <c r="K1387">
        <f t="shared" si="25"/>
      </c>
    </row>
    <row r="1388" spans="11:11">
      <c r="K1388">
        <f t="shared" si="25"/>
      </c>
    </row>
    <row r="1389" spans="11:11">
      <c r="K1389">
        <f t="shared" si="25"/>
      </c>
    </row>
    <row r="1390" spans="11:11">
      <c r="K1390">
        <f t="shared" si="25"/>
      </c>
    </row>
    <row r="1391" spans="11:11">
      <c r="K1391">
        <f t="shared" si="25"/>
      </c>
    </row>
    <row r="1392" spans="11:11">
      <c r="K1392">
        <f t="shared" si="25"/>
      </c>
    </row>
    <row r="1393" spans="11:11">
      <c r="K1393">
        <f t="shared" si="25"/>
      </c>
    </row>
    <row r="1394" spans="11:11">
      <c r="K1394">
        <f t="shared" si="25"/>
      </c>
    </row>
    <row r="1395" spans="11:11">
      <c r="K1395">
        <f t="shared" si="25"/>
      </c>
    </row>
    <row r="1396" spans="11:11">
      <c r="K1396">
        <f t="shared" si="25"/>
      </c>
    </row>
    <row r="1397" spans="11:11">
      <c r="K1397">
        <f t="shared" si="25"/>
      </c>
    </row>
    <row r="1398" spans="11:11">
      <c r="K1398">
        <f t="shared" si="25"/>
      </c>
    </row>
    <row r="1399" spans="11:11">
      <c r="K1399">
        <f t="shared" si="25"/>
      </c>
    </row>
    <row r="1400" spans="11:11">
      <c r="K1400">
        <f t="shared" si="25"/>
      </c>
    </row>
    <row r="1401" spans="11:11">
      <c r="K1401">
        <f t="shared" si="25"/>
      </c>
    </row>
    <row r="1402" spans="11:11">
      <c r="K1402">
        <f t="shared" si="25"/>
      </c>
    </row>
    <row r="1403" spans="11:11">
      <c r="K1403">
        <f t="shared" si="25"/>
      </c>
    </row>
    <row r="1404" spans="11:11">
      <c r="K1404">
        <f t="shared" si="25"/>
      </c>
    </row>
    <row r="1405" spans="11:11">
      <c r="K1405">
        <f t="shared" si="25"/>
      </c>
    </row>
    <row r="1406" spans="11:11">
      <c r="K1406">
        <f t="shared" si="25"/>
      </c>
    </row>
    <row r="1407" spans="11:11">
      <c r="K1407">
        <f t="shared" si="25"/>
      </c>
    </row>
    <row r="1408" spans="11:11">
      <c r="K1408">
        <f t="shared" si="25"/>
      </c>
    </row>
    <row r="1409" spans="11:11">
      <c r="K1409">
        <f t="shared" si="25"/>
      </c>
    </row>
    <row r="1410" spans="11:11">
      <c r="K1410">
        <f t="shared" si="25"/>
      </c>
    </row>
    <row r="1411" spans="11:11">
      <c r="K1411">
        <f t="shared" si="25"/>
      </c>
    </row>
    <row r="1412" spans="11:11">
      <c r="K1412">
        <f t="shared" si="25"/>
      </c>
    </row>
    <row r="1413" spans="11:11">
      <c r="K1413">
        <f t="shared" ref="K1413:K1476" si="26">IF(A1413="","", WEEKNUM(A1413, 2))</f>
      </c>
    </row>
    <row r="1414" spans="11:11">
      <c r="K1414">
        <f t="shared" si="26"/>
      </c>
    </row>
    <row r="1415" spans="11:11">
      <c r="K1415">
        <f t="shared" si="26"/>
      </c>
    </row>
    <row r="1416" spans="11:11">
      <c r="K1416">
        <f t="shared" si="26"/>
      </c>
    </row>
    <row r="1417" spans="11:11">
      <c r="K1417">
        <f t="shared" si="26"/>
      </c>
    </row>
    <row r="1418" spans="11:11">
      <c r="K1418">
        <f t="shared" si="26"/>
      </c>
    </row>
    <row r="1419" spans="11:11">
      <c r="K1419">
        <f t="shared" si="26"/>
      </c>
    </row>
    <row r="1420" spans="11:11">
      <c r="K1420">
        <f t="shared" si="26"/>
      </c>
    </row>
    <row r="1421" spans="11:11">
      <c r="K1421">
        <f t="shared" si="26"/>
      </c>
    </row>
    <row r="1422" spans="11:11">
      <c r="K1422">
        <f t="shared" si="26"/>
      </c>
    </row>
    <row r="1423" spans="11:11">
      <c r="K1423">
        <f t="shared" si="26"/>
      </c>
    </row>
    <row r="1424" spans="11:11">
      <c r="K1424">
        <f t="shared" si="26"/>
      </c>
    </row>
    <row r="1425" spans="11:11">
      <c r="K1425">
        <f t="shared" si="26"/>
      </c>
    </row>
    <row r="1426" spans="11:11">
      <c r="K1426">
        <f t="shared" si="26"/>
      </c>
    </row>
    <row r="1427" spans="11:11">
      <c r="K1427">
        <f t="shared" si="26"/>
      </c>
    </row>
    <row r="1428" spans="11:11">
      <c r="K1428">
        <f t="shared" si="26"/>
      </c>
    </row>
    <row r="1429" spans="11:11">
      <c r="K1429">
        <f t="shared" si="26"/>
      </c>
    </row>
    <row r="1430" spans="11:11">
      <c r="K1430">
        <f t="shared" si="26"/>
      </c>
    </row>
    <row r="1431" spans="11:11">
      <c r="K1431">
        <f t="shared" si="26"/>
      </c>
    </row>
    <row r="1432" spans="11:11">
      <c r="K1432">
        <f t="shared" si="26"/>
      </c>
    </row>
    <row r="1433" spans="11:11">
      <c r="K1433">
        <f t="shared" si="26"/>
      </c>
    </row>
    <row r="1434" spans="11:11">
      <c r="K1434">
        <f t="shared" si="26"/>
      </c>
    </row>
    <row r="1435" spans="11:11">
      <c r="K1435">
        <f t="shared" si="26"/>
      </c>
    </row>
    <row r="1436" spans="11:11">
      <c r="K1436">
        <f t="shared" si="26"/>
      </c>
    </row>
    <row r="1437" spans="11:11">
      <c r="K1437">
        <f t="shared" si="26"/>
      </c>
    </row>
    <row r="1438" spans="11:11">
      <c r="K1438">
        <f t="shared" si="26"/>
      </c>
    </row>
    <row r="1439" spans="11:11">
      <c r="K1439">
        <f t="shared" si="26"/>
      </c>
    </row>
    <row r="1440" spans="11:11">
      <c r="K1440">
        <f t="shared" si="26"/>
      </c>
    </row>
    <row r="1441" spans="11:11">
      <c r="K1441">
        <f t="shared" si="26"/>
      </c>
    </row>
    <row r="1442" spans="11:11">
      <c r="K1442">
        <f t="shared" si="26"/>
      </c>
    </row>
    <row r="1443" spans="11:11">
      <c r="K1443">
        <f t="shared" si="26"/>
      </c>
    </row>
    <row r="1444" spans="11:11">
      <c r="K1444">
        <f t="shared" si="26"/>
      </c>
    </row>
    <row r="1445" spans="11:11">
      <c r="K1445">
        <f t="shared" si="26"/>
      </c>
    </row>
    <row r="1446" spans="11:11">
      <c r="K1446">
        <f t="shared" si="26"/>
      </c>
    </row>
    <row r="1447" spans="11:11">
      <c r="K1447">
        <f t="shared" si="26"/>
      </c>
    </row>
    <row r="1448" spans="11:11">
      <c r="K1448">
        <f t="shared" si="26"/>
      </c>
    </row>
    <row r="1449" spans="11:11">
      <c r="K1449">
        <f t="shared" si="26"/>
      </c>
    </row>
    <row r="1450" spans="11:11">
      <c r="K1450">
        <f t="shared" si="26"/>
      </c>
    </row>
    <row r="1451" spans="11:11">
      <c r="K1451">
        <f t="shared" si="26"/>
      </c>
    </row>
    <row r="1452" spans="11:11">
      <c r="K1452">
        <f t="shared" si="26"/>
      </c>
    </row>
    <row r="1453" spans="11:11">
      <c r="K1453">
        <f t="shared" si="26"/>
      </c>
    </row>
    <row r="1454" spans="11:11">
      <c r="K1454">
        <f t="shared" si="26"/>
      </c>
    </row>
    <row r="1455" spans="11:11">
      <c r="K1455">
        <f t="shared" si="26"/>
      </c>
    </row>
    <row r="1456" spans="11:11">
      <c r="K1456">
        <f t="shared" si="26"/>
      </c>
    </row>
    <row r="1457" spans="11:11">
      <c r="K1457">
        <f t="shared" si="26"/>
      </c>
    </row>
    <row r="1458" spans="11:11">
      <c r="K1458">
        <f t="shared" si="26"/>
      </c>
    </row>
    <row r="1459" spans="11:11">
      <c r="K1459">
        <f t="shared" si="26"/>
      </c>
    </row>
    <row r="1460" spans="11:11">
      <c r="K1460">
        <f t="shared" si="26"/>
      </c>
    </row>
    <row r="1461" spans="11:11">
      <c r="K1461">
        <f t="shared" si="26"/>
      </c>
    </row>
    <row r="1462" spans="11:11">
      <c r="K1462">
        <f t="shared" si="26"/>
      </c>
    </row>
    <row r="1463" spans="11:11">
      <c r="K1463">
        <f t="shared" si="26"/>
      </c>
    </row>
    <row r="1464" spans="11:11">
      <c r="K1464">
        <f t="shared" si="26"/>
      </c>
    </row>
    <row r="1465" spans="11:11">
      <c r="K1465">
        <f t="shared" si="26"/>
      </c>
    </row>
    <row r="1466" spans="11:11">
      <c r="K1466">
        <f t="shared" si="26"/>
      </c>
    </row>
    <row r="1467" spans="11:11">
      <c r="K1467">
        <f t="shared" si="26"/>
      </c>
    </row>
    <row r="1468" spans="11:11">
      <c r="K1468">
        <f t="shared" si="26"/>
      </c>
    </row>
    <row r="1469" spans="11:11">
      <c r="K1469">
        <f t="shared" si="26"/>
      </c>
    </row>
    <row r="1470" spans="11:11">
      <c r="K1470">
        <f t="shared" si="26"/>
      </c>
    </row>
    <row r="1471" spans="11:11">
      <c r="K1471">
        <f t="shared" si="26"/>
      </c>
    </row>
    <row r="1472" spans="11:11">
      <c r="K1472">
        <f t="shared" si="26"/>
      </c>
    </row>
    <row r="1473" spans="11:11">
      <c r="K1473">
        <f t="shared" si="26"/>
      </c>
    </row>
    <row r="1474" spans="11:11">
      <c r="K1474">
        <f t="shared" si="26"/>
      </c>
    </row>
    <row r="1475" spans="11:11">
      <c r="K1475">
        <f t="shared" si="26"/>
      </c>
    </row>
    <row r="1476" spans="11:11">
      <c r="K1476">
        <f t="shared" si="26"/>
      </c>
    </row>
    <row r="1477" spans="11:11">
      <c r="K1477">
        <f t="shared" ref="K1477:K1540" si="27">IF(A1477="","", WEEKNUM(A1477, 2))</f>
      </c>
    </row>
    <row r="1478" spans="11:11">
      <c r="K1478">
        <f t="shared" si="27"/>
      </c>
    </row>
    <row r="1479" spans="11:11">
      <c r="K1479">
        <f t="shared" si="27"/>
      </c>
    </row>
    <row r="1480" spans="11:11">
      <c r="K1480">
        <f t="shared" si="27"/>
      </c>
    </row>
    <row r="1481" spans="11:11">
      <c r="K1481">
        <f t="shared" si="27"/>
      </c>
    </row>
    <row r="1482" spans="11:11">
      <c r="K1482">
        <f t="shared" si="27"/>
      </c>
    </row>
    <row r="1483" spans="11:11">
      <c r="K1483">
        <f t="shared" si="27"/>
      </c>
    </row>
    <row r="1484" spans="11:11">
      <c r="K1484">
        <f t="shared" si="27"/>
      </c>
    </row>
    <row r="1485" spans="11:11">
      <c r="K1485">
        <f t="shared" si="27"/>
      </c>
    </row>
    <row r="1486" spans="11:11">
      <c r="K1486">
        <f t="shared" si="27"/>
      </c>
    </row>
    <row r="1487" spans="11:11">
      <c r="K1487">
        <f t="shared" si="27"/>
      </c>
    </row>
    <row r="1488" spans="11:11">
      <c r="K1488">
        <f t="shared" si="27"/>
      </c>
    </row>
    <row r="1489" spans="11:11">
      <c r="K1489">
        <f t="shared" si="27"/>
      </c>
    </row>
    <row r="1490" spans="11:11">
      <c r="K1490">
        <f t="shared" si="27"/>
      </c>
    </row>
    <row r="1491" spans="11:11">
      <c r="K1491">
        <f t="shared" si="27"/>
      </c>
    </row>
    <row r="1492" spans="11:11">
      <c r="K1492">
        <f t="shared" si="27"/>
      </c>
    </row>
    <row r="1493" spans="11:11">
      <c r="K1493">
        <f t="shared" si="27"/>
      </c>
    </row>
    <row r="1494" spans="11:11">
      <c r="K1494">
        <f t="shared" si="27"/>
      </c>
    </row>
    <row r="1495" spans="11:11">
      <c r="K1495">
        <f t="shared" si="27"/>
      </c>
    </row>
    <row r="1496" spans="11:11">
      <c r="K1496">
        <f t="shared" si="27"/>
      </c>
    </row>
    <row r="1497" spans="11:11">
      <c r="K1497">
        <f t="shared" si="27"/>
      </c>
    </row>
    <row r="1498" spans="11:11">
      <c r="K1498">
        <f t="shared" si="27"/>
      </c>
    </row>
    <row r="1499" spans="11:11">
      <c r="K1499">
        <f t="shared" si="27"/>
      </c>
    </row>
    <row r="1500" spans="11:11">
      <c r="K1500">
        <f t="shared" si="27"/>
      </c>
    </row>
    <row r="1501" spans="11:11">
      <c r="K1501">
        <f t="shared" si="27"/>
      </c>
    </row>
    <row r="1502" spans="11:11">
      <c r="K1502">
        <f t="shared" si="27"/>
      </c>
    </row>
    <row r="1503" spans="11:11">
      <c r="K1503">
        <f t="shared" si="27"/>
      </c>
    </row>
    <row r="1504" spans="11:11">
      <c r="K1504">
        <f t="shared" si="27"/>
      </c>
    </row>
    <row r="1505" spans="11:11">
      <c r="K1505">
        <f t="shared" si="27"/>
      </c>
    </row>
    <row r="1506" spans="11:11">
      <c r="K1506">
        <f t="shared" si="27"/>
      </c>
    </row>
    <row r="1507" spans="11:11">
      <c r="K1507">
        <f t="shared" si="27"/>
      </c>
    </row>
    <row r="1508" spans="11:11">
      <c r="K1508">
        <f t="shared" si="27"/>
      </c>
    </row>
    <row r="1509" spans="11:11">
      <c r="K1509">
        <f t="shared" si="27"/>
      </c>
    </row>
    <row r="1510" spans="11:11">
      <c r="K1510">
        <f t="shared" si="27"/>
      </c>
    </row>
    <row r="1511" spans="11:11">
      <c r="K1511">
        <f t="shared" si="27"/>
      </c>
    </row>
    <row r="1512" spans="11:11">
      <c r="K1512">
        <f t="shared" si="27"/>
      </c>
    </row>
    <row r="1513" spans="11:11">
      <c r="K1513">
        <f t="shared" si="27"/>
      </c>
    </row>
    <row r="1514" spans="11:11">
      <c r="K1514">
        <f t="shared" si="27"/>
      </c>
    </row>
    <row r="1515" spans="11:11">
      <c r="K1515">
        <f t="shared" si="27"/>
      </c>
    </row>
    <row r="1516" spans="11:11">
      <c r="K1516">
        <f t="shared" si="27"/>
      </c>
    </row>
    <row r="1517" spans="11:11">
      <c r="K1517">
        <f t="shared" si="27"/>
      </c>
    </row>
    <row r="1518" spans="11:11">
      <c r="K1518">
        <f t="shared" si="27"/>
      </c>
    </row>
    <row r="1519" spans="11:11">
      <c r="K1519">
        <f t="shared" si="27"/>
      </c>
    </row>
    <row r="1520" spans="11:11">
      <c r="K1520">
        <f t="shared" si="27"/>
      </c>
    </row>
    <row r="1521" spans="11:11">
      <c r="K1521">
        <f t="shared" si="27"/>
      </c>
    </row>
    <row r="1522" spans="11:11">
      <c r="K1522">
        <f t="shared" si="27"/>
      </c>
    </row>
    <row r="1523" spans="11:11">
      <c r="K1523">
        <f t="shared" si="27"/>
      </c>
    </row>
    <row r="1524" spans="11:11">
      <c r="K1524">
        <f t="shared" si="27"/>
      </c>
    </row>
    <row r="1525" spans="11:11">
      <c r="K1525">
        <f t="shared" si="27"/>
      </c>
    </row>
    <row r="1526" spans="11:11">
      <c r="K1526">
        <f t="shared" si="27"/>
      </c>
    </row>
    <row r="1527" spans="11:11">
      <c r="K1527">
        <f t="shared" si="27"/>
      </c>
    </row>
    <row r="1528" spans="11:11">
      <c r="K1528">
        <f t="shared" si="27"/>
      </c>
    </row>
    <row r="1529" spans="11:11">
      <c r="K1529">
        <f t="shared" si="27"/>
      </c>
    </row>
    <row r="1530" spans="11:11">
      <c r="K1530">
        <f t="shared" si="27"/>
      </c>
    </row>
    <row r="1531" spans="11:11">
      <c r="K1531">
        <f t="shared" si="27"/>
      </c>
    </row>
    <row r="1532" spans="11:11">
      <c r="K1532">
        <f t="shared" si="27"/>
      </c>
    </row>
    <row r="1533" spans="11:11">
      <c r="K1533">
        <f t="shared" si="27"/>
      </c>
    </row>
    <row r="1534" spans="11:11">
      <c r="K1534">
        <f t="shared" si="27"/>
      </c>
    </row>
    <row r="1535" spans="11:11">
      <c r="K1535">
        <f t="shared" si="27"/>
      </c>
    </row>
    <row r="1536" spans="11:11">
      <c r="K1536">
        <f t="shared" si="27"/>
      </c>
    </row>
    <row r="1537" spans="11:11">
      <c r="K1537">
        <f t="shared" si="27"/>
      </c>
    </row>
    <row r="1538" spans="11:11">
      <c r="K1538">
        <f t="shared" si="27"/>
      </c>
    </row>
    <row r="1539" spans="11:11">
      <c r="K1539">
        <f t="shared" si="27"/>
      </c>
    </row>
    <row r="1540" spans="11:11">
      <c r="K1540">
        <f t="shared" si="27"/>
      </c>
    </row>
    <row r="1541" spans="11:11">
      <c r="K1541">
        <f t="shared" ref="K1541:K1604" si="28">IF(A1541="","", WEEKNUM(A1541, 2))</f>
      </c>
    </row>
    <row r="1542" spans="11:11">
      <c r="K1542">
        <f t="shared" si="28"/>
      </c>
    </row>
    <row r="1543" spans="11:11">
      <c r="K1543">
        <f t="shared" si="28"/>
      </c>
    </row>
    <row r="1544" spans="11:11">
      <c r="K1544">
        <f t="shared" si="28"/>
      </c>
    </row>
    <row r="1545" spans="11:11">
      <c r="K1545">
        <f t="shared" si="28"/>
      </c>
    </row>
    <row r="1546" spans="11:11">
      <c r="K1546">
        <f t="shared" si="28"/>
      </c>
    </row>
    <row r="1547" spans="11:11">
      <c r="K1547">
        <f t="shared" si="28"/>
      </c>
    </row>
    <row r="1548" spans="11:11">
      <c r="K1548">
        <f t="shared" si="28"/>
      </c>
    </row>
    <row r="1549" spans="11:11">
      <c r="K1549">
        <f t="shared" si="28"/>
      </c>
    </row>
    <row r="1550" spans="11:11">
      <c r="K1550">
        <f t="shared" si="28"/>
      </c>
    </row>
    <row r="1551" spans="11:11">
      <c r="K1551">
        <f t="shared" si="28"/>
      </c>
    </row>
    <row r="1552" spans="11:11">
      <c r="K1552">
        <f t="shared" si="28"/>
      </c>
    </row>
    <row r="1553" spans="11:11">
      <c r="K1553">
        <f t="shared" si="28"/>
      </c>
    </row>
    <row r="1554" spans="11:11">
      <c r="K1554">
        <f t="shared" si="28"/>
      </c>
    </row>
    <row r="1555" spans="11:11">
      <c r="K1555">
        <f t="shared" si="28"/>
      </c>
    </row>
    <row r="1556" spans="11:11">
      <c r="K1556">
        <f t="shared" si="28"/>
      </c>
    </row>
    <row r="1557" spans="11:11">
      <c r="K1557">
        <f t="shared" si="28"/>
      </c>
    </row>
    <row r="1558" spans="11:11">
      <c r="K1558">
        <f t="shared" si="28"/>
      </c>
    </row>
    <row r="1559" spans="11:11">
      <c r="K1559">
        <f t="shared" si="28"/>
      </c>
    </row>
    <row r="1560" spans="11:11">
      <c r="K1560">
        <f t="shared" si="28"/>
      </c>
    </row>
    <row r="1561" spans="11:11">
      <c r="K1561">
        <f t="shared" si="28"/>
      </c>
    </row>
    <row r="1562" spans="11:11">
      <c r="K1562">
        <f t="shared" si="28"/>
      </c>
    </row>
    <row r="1563" spans="11:11">
      <c r="K1563">
        <f t="shared" si="28"/>
      </c>
    </row>
    <row r="1564" spans="11:11">
      <c r="K1564">
        <f t="shared" si="28"/>
      </c>
    </row>
    <row r="1565" spans="11:11">
      <c r="K1565">
        <f t="shared" si="28"/>
      </c>
    </row>
    <row r="1566" spans="11:11">
      <c r="K1566">
        <f t="shared" si="28"/>
      </c>
    </row>
    <row r="1567" spans="11:11">
      <c r="K1567">
        <f t="shared" si="28"/>
      </c>
    </row>
    <row r="1568" spans="11:11">
      <c r="K1568">
        <f t="shared" si="28"/>
      </c>
    </row>
    <row r="1569" spans="11:11">
      <c r="K1569">
        <f t="shared" si="28"/>
      </c>
    </row>
    <row r="1570" spans="11:11">
      <c r="K1570">
        <f t="shared" si="28"/>
      </c>
    </row>
    <row r="1571" spans="11:11">
      <c r="K1571">
        <f t="shared" si="28"/>
      </c>
    </row>
    <row r="1572" spans="11:11">
      <c r="K1572">
        <f t="shared" si="28"/>
      </c>
    </row>
    <row r="1573" spans="11:11">
      <c r="K1573">
        <f t="shared" si="28"/>
      </c>
    </row>
    <row r="1574" spans="11:11">
      <c r="K1574">
        <f t="shared" si="28"/>
      </c>
    </row>
    <row r="1575" spans="11:11">
      <c r="K1575">
        <f t="shared" si="28"/>
      </c>
    </row>
    <row r="1576" spans="11:11">
      <c r="K1576">
        <f t="shared" si="28"/>
      </c>
    </row>
    <row r="1577" spans="11:11">
      <c r="K1577">
        <f t="shared" si="28"/>
      </c>
    </row>
    <row r="1578" spans="11:11">
      <c r="K1578">
        <f t="shared" si="28"/>
      </c>
    </row>
    <row r="1579" spans="11:11">
      <c r="K1579">
        <f t="shared" si="28"/>
      </c>
    </row>
    <row r="1580" spans="11:11">
      <c r="K1580">
        <f t="shared" si="28"/>
      </c>
    </row>
    <row r="1581" spans="11:11">
      <c r="K1581">
        <f t="shared" si="28"/>
      </c>
    </row>
    <row r="1582" spans="11:11">
      <c r="K1582">
        <f t="shared" si="28"/>
      </c>
    </row>
    <row r="1583" spans="11:11">
      <c r="K1583">
        <f t="shared" si="28"/>
      </c>
    </row>
    <row r="1584" spans="11:11">
      <c r="K1584">
        <f t="shared" si="28"/>
      </c>
    </row>
    <row r="1585" spans="11:11">
      <c r="K1585">
        <f t="shared" si="28"/>
      </c>
    </row>
    <row r="1586" spans="11:11">
      <c r="K1586">
        <f t="shared" si="28"/>
      </c>
    </row>
    <row r="1587" spans="11:11">
      <c r="K1587">
        <f t="shared" si="28"/>
      </c>
    </row>
    <row r="1588" spans="11:11">
      <c r="K1588">
        <f t="shared" si="28"/>
      </c>
    </row>
    <row r="1589" spans="11:11">
      <c r="K1589">
        <f t="shared" si="28"/>
      </c>
    </row>
    <row r="1590" spans="11:11">
      <c r="K1590">
        <f t="shared" si="28"/>
      </c>
    </row>
    <row r="1591" spans="11:11">
      <c r="K1591">
        <f t="shared" si="28"/>
      </c>
    </row>
    <row r="1592" spans="11:11">
      <c r="K1592">
        <f t="shared" si="28"/>
      </c>
    </row>
    <row r="1593" spans="11:11">
      <c r="K1593">
        <f t="shared" si="28"/>
      </c>
    </row>
    <row r="1594" spans="11:11">
      <c r="K1594">
        <f t="shared" si="28"/>
      </c>
    </row>
    <row r="1595" spans="11:11">
      <c r="K1595">
        <f t="shared" si="28"/>
      </c>
    </row>
    <row r="1596" spans="11:11">
      <c r="K1596">
        <f t="shared" si="28"/>
      </c>
    </row>
    <row r="1597" spans="11:11">
      <c r="K1597">
        <f t="shared" si="28"/>
      </c>
    </row>
    <row r="1598" spans="11:11">
      <c r="K1598">
        <f t="shared" si="28"/>
      </c>
    </row>
    <row r="1599" spans="11:11">
      <c r="K1599">
        <f t="shared" si="28"/>
      </c>
    </row>
    <row r="1600" spans="11:11">
      <c r="K1600">
        <f t="shared" si="28"/>
      </c>
    </row>
    <row r="1601" spans="11:11">
      <c r="K1601">
        <f t="shared" si="28"/>
      </c>
    </row>
    <row r="1602" spans="11:11">
      <c r="K1602">
        <f t="shared" si="28"/>
      </c>
    </row>
    <row r="1603" spans="11:11">
      <c r="K1603">
        <f t="shared" si="28"/>
      </c>
    </row>
    <row r="1604" spans="11:11">
      <c r="K1604">
        <f t="shared" si="28"/>
      </c>
    </row>
    <row r="1605" spans="11:11">
      <c r="K1605">
        <f t="shared" ref="K1605:K1668" si="29">IF(A1605="","", WEEKNUM(A1605, 2))</f>
      </c>
    </row>
    <row r="1606" spans="11:11">
      <c r="K1606">
        <f t="shared" si="29"/>
      </c>
    </row>
    <row r="1607" spans="11:11">
      <c r="K1607">
        <f t="shared" si="29"/>
      </c>
    </row>
    <row r="1608" spans="11:11">
      <c r="K1608">
        <f t="shared" si="29"/>
      </c>
    </row>
    <row r="1609" spans="11:11">
      <c r="K1609">
        <f t="shared" si="29"/>
      </c>
    </row>
    <row r="1610" spans="11:11">
      <c r="K1610">
        <f t="shared" si="29"/>
      </c>
    </row>
    <row r="1611" spans="11:11">
      <c r="K1611">
        <f t="shared" si="29"/>
      </c>
    </row>
    <row r="1612" spans="11:11">
      <c r="K1612">
        <f t="shared" si="29"/>
      </c>
    </row>
    <row r="1613" spans="11:11">
      <c r="K1613">
        <f t="shared" si="29"/>
      </c>
    </row>
    <row r="1614" spans="11:11">
      <c r="K1614">
        <f t="shared" si="29"/>
      </c>
    </row>
    <row r="1615" spans="11:11">
      <c r="K1615">
        <f t="shared" si="29"/>
      </c>
    </row>
    <row r="1616" spans="11:11">
      <c r="K1616">
        <f t="shared" si="29"/>
      </c>
    </row>
    <row r="1617" spans="11:11">
      <c r="K1617">
        <f t="shared" si="29"/>
      </c>
    </row>
    <row r="1618" spans="11:11">
      <c r="K1618">
        <f t="shared" si="29"/>
      </c>
    </row>
    <row r="1619" spans="11:11">
      <c r="K1619">
        <f t="shared" si="29"/>
      </c>
    </row>
    <row r="1620" spans="11:11">
      <c r="K1620">
        <f t="shared" si="29"/>
      </c>
    </row>
    <row r="1621" spans="11:11">
      <c r="K1621">
        <f t="shared" si="29"/>
      </c>
    </row>
    <row r="1622" spans="11:11">
      <c r="K1622">
        <f t="shared" si="29"/>
      </c>
    </row>
    <row r="1623" spans="11:11">
      <c r="K1623">
        <f t="shared" si="29"/>
      </c>
    </row>
    <row r="1624" spans="11:11">
      <c r="K1624">
        <f t="shared" si="29"/>
      </c>
    </row>
    <row r="1625" spans="11:11">
      <c r="K1625">
        <f t="shared" si="29"/>
      </c>
    </row>
    <row r="1626" spans="11:11">
      <c r="K1626">
        <f t="shared" si="29"/>
      </c>
    </row>
    <row r="1627" spans="11:11">
      <c r="K1627">
        <f t="shared" si="29"/>
      </c>
    </row>
    <row r="1628" spans="11:11">
      <c r="K1628">
        <f t="shared" si="29"/>
      </c>
    </row>
    <row r="1629" spans="11:11">
      <c r="K1629">
        <f t="shared" si="29"/>
      </c>
    </row>
    <row r="1630" spans="11:11">
      <c r="K1630">
        <f t="shared" si="29"/>
      </c>
    </row>
    <row r="1631" spans="11:11">
      <c r="K1631">
        <f t="shared" si="29"/>
      </c>
    </row>
    <row r="1632" spans="11:11">
      <c r="K1632">
        <f t="shared" si="29"/>
      </c>
    </row>
    <row r="1633" spans="11:11">
      <c r="K1633">
        <f t="shared" si="29"/>
      </c>
    </row>
    <row r="1634" spans="11:11">
      <c r="K1634">
        <f t="shared" si="29"/>
      </c>
    </row>
    <row r="1635" spans="11:11">
      <c r="K1635">
        <f t="shared" si="29"/>
      </c>
    </row>
    <row r="1636" spans="11:11">
      <c r="K1636">
        <f t="shared" si="29"/>
      </c>
    </row>
    <row r="1637" spans="11:11">
      <c r="K1637">
        <f t="shared" si="29"/>
      </c>
    </row>
    <row r="1638" spans="11:11">
      <c r="K1638">
        <f t="shared" si="29"/>
      </c>
    </row>
    <row r="1639" spans="11:11">
      <c r="K1639">
        <f t="shared" si="29"/>
      </c>
    </row>
    <row r="1640" spans="11:11">
      <c r="K1640">
        <f t="shared" si="29"/>
      </c>
    </row>
    <row r="1641" spans="11:11">
      <c r="K1641">
        <f t="shared" si="29"/>
      </c>
    </row>
    <row r="1642" spans="11:11">
      <c r="K1642">
        <f t="shared" si="29"/>
      </c>
    </row>
    <row r="1643" spans="11:11">
      <c r="K1643">
        <f t="shared" si="29"/>
      </c>
    </row>
    <row r="1644" spans="11:11">
      <c r="K1644">
        <f t="shared" si="29"/>
      </c>
    </row>
    <row r="1645" spans="11:11">
      <c r="K1645">
        <f t="shared" si="29"/>
      </c>
    </row>
    <row r="1646" spans="11:11">
      <c r="K1646">
        <f t="shared" si="29"/>
      </c>
    </row>
    <row r="1647" spans="11:11">
      <c r="K1647">
        <f t="shared" si="29"/>
      </c>
    </row>
    <row r="1648" spans="11:11">
      <c r="K1648">
        <f t="shared" si="29"/>
      </c>
    </row>
    <row r="1649" spans="11:11">
      <c r="K1649">
        <f t="shared" si="29"/>
      </c>
    </row>
    <row r="1650" spans="11:11">
      <c r="K1650">
        <f t="shared" si="29"/>
      </c>
    </row>
    <row r="1651" spans="11:11">
      <c r="K1651">
        <f t="shared" si="29"/>
      </c>
    </row>
    <row r="1652" spans="11:11">
      <c r="K1652">
        <f t="shared" si="29"/>
      </c>
    </row>
    <row r="1653" spans="11:11">
      <c r="K1653">
        <f t="shared" si="29"/>
      </c>
    </row>
    <row r="1654" spans="11:11">
      <c r="K1654">
        <f t="shared" si="29"/>
      </c>
    </row>
    <row r="1655" spans="11:11">
      <c r="K1655">
        <f t="shared" si="29"/>
      </c>
    </row>
    <row r="1656" spans="11:11">
      <c r="K1656">
        <f t="shared" si="29"/>
      </c>
    </row>
    <row r="1657" spans="11:11">
      <c r="K1657">
        <f t="shared" si="29"/>
      </c>
    </row>
    <row r="1658" spans="11:11">
      <c r="K1658">
        <f t="shared" si="29"/>
      </c>
    </row>
    <row r="1659" spans="11:11">
      <c r="K1659">
        <f t="shared" si="29"/>
      </c>
    </row>
    <row r="1660" spans="11:11">
      <c r="K1660">
        <f t="shared" si="29"/>
      </c>
    </row>
    <row r="1661" spans="11:11">
      <c r="K1661">
        <f t="shared" si="29"/>
      </c>
    </row>
    <row r="1662" spans="11:11">
      <c r="K1662">
        <f t="shared" si="29"/>
      </c>
    </row>
    <row r="1663" spans="11:11">
      <c r="K1663">
        <f t="shared" si="29"/>
      </c>
    </row>
    <row r="1664" spans="11:11">
      <c r="K1664">
        <f t="shared" si="29"/>
      </c>
    </row>
    <row r="1665" spans="11:11">
      <c r="K1665">
        <f t="shared" si="29"/>
      </c>
    </row>
    <row r="1666" spans="11:11">
      <c r="K1666">
        <f t="shared" si="29"/>
      </c>
    </row>
    <row r="1667" spans="11:11">
      <c r="K1667">
        <f t="shared" si="29"/>
      </c>
    </row>
    <row r="1668" spans="11:11">
      <c r="K1668">
        <f t="shared" si="29"/>
      </c>
    </row>
    <row r="1669" spans="11:11">
      <c r="K1669">
        <f t="shared" ref="K1669:K1732" si="30">IF(A1669="","", WEEKNUM(A1669, 2))</f>
      </c>
    </row>
    <row r="1670" spans="11:11">
      <c r="K1670">
        <f t="shared" si="30"/>
      </c>
    </row>
    <row r="1671" spans="11:11">
      <c r="K1671">
        <f t="shared" si="30"/>
      </c>
    </row>
    <row r="1672" spans="11:11">
      <c r="K1672">
        <f t="shared" si="30"/>
      </c>
    </row>
    <row r="1673" spans="11:11">
      <c r="K1673">
        <f t="shared" si="30"/>
      </c>
    </row>
    <row r="1674" spans="11:11">
      <c r="K1674">
        <f t="shared" si="30"/>
      </c>
    </row>
    <row r="1675" spans="11:11">
      <c r="K1675">
        <f t="shared" si="30"/>
      </c>
    </row>
    <row r="1676" spans="11:11">
      <c r="K1676">
        <f t="shared" si="30"/>
      </c>
    </row>
    <row r="1677" spans="11:11">
      <c r="K1677">
        <f t="shared" si="30"/>
      </c>
    </row>
    <row r="1678" spans="11:11">
      <c r="K1678">
        <f t="shared" si="30"/>
      </c>
    </row>
    <row r="1679" spans="11:11">
      <c r="K1679">
        <f t="shared" si="30"/>
      </c>
    </row>
    <row r="1680" spans="11:11">
      <c r="K1680">
        <f t="shared" si="30"/>
      </c>
    </row>
    <row r="1681" spans="11:11">
      <c r="K1681">
        <f t="shared" si="30"/>
      </c>
    </row>
    <row r="1682" spans="11:11">
      <c r="K1682">
        <f t="shared" si="30"/>
      </c>
    </row>
    <row r="1683" spans="11:11">
      <c r="K1683">
        <f t="shared" si="30"/>
      </c>
    </row>
    <row r="1684" spans="11:11">
      <c r="K1684">
        <f t="shared" si="30"/>
      </c>
    </row>
    <row r="1685" spans="11:11">
      <c r="K1685">
        <f t="shared" si="30"/>
      </c>
    </row>
    <row r="1686" spans="11:11">
      <c r="K1686">
        <f t="shared" si="30"/>
      </c>
    </row>
    <row r="1687" spans="11:11">
      <c r="K1687">
        <f t="shared" si="30"/>
      </c>
    </row>
    <row r="1688" spans="11:11">
      <c r="K1688">
        <f t="shared" si="30"/>
      </c>
    </row>
    <row r="1689" spans="11:11">
      <c r="K1689">
        <f t="shared" si="30"/>
      </c>
    </row>
    <row r="1690" spans="11:11">
      <c r="K1690">
        <f t="shared" si="30"/>
      </c>
    </row>
    <row r="1691" spans="11:11">
      <c r="K1691">
        <f t="shared" si="30"/>
      </c>
    </row>
    <row r="1692" spans="11:11">
      <c r="K1692">
        <f t="shared" si="30"/>
      </c>
    </row>
    <row r="1693" spans="11:11">
      <c r="K1693">
        <f t="shared" si="30"/>
      </c>
    </row>
    <row r="1694" spans="11:11">
      <c r="K1694">
        <f t="shared" si="30"/>
      </c>
    </row>
    <row r="1695" spans="11:11">
      <c r="K1695">
        <f t="shared" si="30"/>
      </c>
    </row>
    <row r="1696" spans="11:11">
      <c r="K1696">
        <f t="shared" si="30"/>
      </c>
    </row>
    <row r="1697" spans="11:11">
      <c r="K1697">
        <f t="shared" si="30"/>
      </c>
    </row>
    <row r="1698" spans="11:11">
      <c r="K1698">
        <f t="shared" si="30"/>
      </c>
    </row>
    <row r="1699" spans="11:11">
      <c r="K1699">
        <f t="shared" si="30"/>
      </c>
    </row>
    <row r="1700" spans="11:11">
      <c r="K1700">
        <f t="shared" si="30"/>
      </c>
    </row>
    <row r="1701" spans="11:11">
      <c r="K1701">
        <f t="shared" si="30"/>
      </c>
    </row>
    <row r="1702" spans="11:11">
      <c r="K1702">
        <f t="shared" si="30"/>
      </c>
    </row>
    <row r="1703" spans="11:11">
      <c r="K1703">
        <f t="shared" si="30"/>
      </c>
    </row>
    <row r="1704" spans="11:11">
      <c r="K1704">
        <f t="shared" si="30"/>
      </c>
    </row>
    <row r="1705" spans="11:11">
      <c r="K1705">
        <f t="shared" si="30"/>
      </c>
    </row>
    <row r="1706" spans="11:11">
      <c r="K1706">
        <f t="shared" si="30"/>
      </c>
    </row>
    <row r="1707" spans="11:11">
      <c r="K1707">
        <f t="shared" si="30"/>
      </c>
    </row>
    <row r="1708" spans="11:11">
      <c r="K1708">
        <f t="shared" si="30"/>
      </c>
    </row>
    <row r="1709" spans="11:11">
      <c r="K1709">
        <f t="shared" si="30"/>
      </c>
    </row>
    <row r="1710" spans="11:11">
      <c r="K1710">
        <f t="shared" si="30"/>
      </c>
    </row>
    <row r="1711" spans="11:11">
      <c r="K1711">
        <f t="shared" si="30"/>
      </c>
    </row>
    <row r="1712" spans="11:11">
      <c r="K1712">
        <f t="shared" si="30"/>
      </c>
    </row>
    <row r="1713" spans="11:11">
      <c r="K1713">
        <f t="shared" si="30"/>
      </c>
    </row>
    <row r="1714" spans="11:11">
      <c r="K1714">
        <f t="shared" si="30"/>
      </c>
    </row>
    <row r="1715" spans="11:11">
      <c r="K1715">
        <f t="shared" si="30"/>
      </c>
    </row>
    <row r="1716" spans="11:11">
      <c r="K1716">
        <f t="shared" si="30"/>
      </c>
    </row>
    <row r="1717" spans="11:11">
      <c r="K1717">
        <f t="shared" si="30"/>
      </c>
    </row>
    <row r="1718" spans="11:11">
      <c r="K1718">
        <f t="shared" si="30"/>
      </c>
    </row>
    <row r="1719" spans="11:11">
      <c r="K1719">
        <f t="shared" si="30"/>
      </c>
    </row>
    <row r="1720" spans="11:11">
      <c r="K1720">
        <f t="shared" si="30"/>
      </c>
    </row>
    <row r="1721" spans="11:11">
      <c r="K1721">
        <f t="shared" si="30"/>
      </c>
    </row>
    <row r="1722" spans="11:11">
      <c r="K1722">
        <f t="shared" si="30"/>
      </c>
    </row>
    <row r="1723" spans="11:11">
      <c r="K1723">
        <f t="shared" si="30"/>
      </c>
    </row>
    <row r="1724" spans="11:11">
      <c r="K1724">
        <f t="shared" si="30"/>
      </c>
    </row>
    <row r="1725" spans="11:11">
      <c r="K1725">
        <f t="shared" si="30"/>
      </c>
    </row>
    <row r="1726" spans="11:11">
      <c r="K1726">
        <f t="shared" si="30"/>
      </c>
    </row>
    <row r="1727" spans="11:11">
      <c r="K1727">
        <f t="shared" si="30"/>
      </c>
    </row>
    <row r="1728" spans="11:11">
      <c r="K1728">
        <f t="shared" si="30"/>
      </c>
    </row>
    <row r="1729" spans="11:11">
      <c r="K1729">
        <f t="shared" si="30"/>
      </c>
    </row>
    <row r="1730" spans="11:11">
      <c r="K1730">
        <f t="shared" si="30"/>
      </c>
    </row>
    <row r="1731" spans="11:11">
      <c r="K1731">
        <f t="shared" si="30"/>
      </c>
    </row>
    <row r="1732" spans="11:11">
      <c r="K1732">
        <f t="shared" si="30"/>
      </c>
    </row>
    <row r="1733" spans="11:11">
      <c r="K1733">
        <f t="shared" ref="K1733:K1796" si="31">IF(A1733="","", WEEKNUM(A1733, 2))</f>
      </c>
    </row>
    <row r="1734" spans="11:11">
      <c r="K1734">
        <f t="shared" si="31"/>
      </c>
    </row>
    <row r="1735" spans="11:11">
      <c r="K1735">
        <f t="shared" si="31"/>
      </c>
    </row>
    <row r="1736" spans="11:11">
      <c r="K1736">
        <f t="shared" si="31"/>
      </c>
    </row>
    <row r="1737" spans="11:11">
      <c r="K1737">
        <f t="shared" si="31"/>
      </c>
    </row>
    <row r="1738" spans="11:11">
      <c r="K1738">
        <f t="shared" si="31"/>
      </c>
    </row>
    <row r="1739" spans="11:11">
      <c r="K1739">
        <f t="shared" si="31"/>
      </c>
    </row>
    <row r="1740" spans="11:11">
      <c r="K1740">
        <f t="shared" si="31"/>
      </c>
    </row>
    <row r="1741" spans="11:11">
      <c r="K1741">
        <f t="shared" si="31"/>
      </c>
    </row>
    <row r="1742" spans="11:11">
      <c r="K1742">
        <f t="shared" si="31"/>
      </c>
    </row>
    <row r="1743" spans="11:11">
      <c r="K1743">
        <f t="shared" si="31"/>
      </c>
    </row>
    <row r="1744" spans="11:11">
      <c r="K1744">
        <f t="shared" si="31"/>
      </c>
    </row>
    <row r="1745" spans="11:11">
      <c r="K1745">
        <f t="shared" si="31"/>
      </c>
    </row>
    <row r="1746" spans="11:11">
      <c r="K1746">
        <f t="shared" si="31"/>
      </c>
    </row>
    <row r="1747" spans="11:11">
      <c r="K1747">
        <f t="shared" si="31"/>
      </c>
    </row>
    <row r="1748" spans="11:11">
      <c r="K1748">
        <f t="shared" si="31"/>
      </c>
    </row>
    <row r="1749" spans="11:11">
      <c r="K1749">
        <f t="shared" si="31"/>
      </c>
    </row>
    <row r="1750" spans="11:11">
      <c r="K1750">
        <f t="shared" si="31"/>
      </c>
    </row>
    <row r="1751" spans="11:11">
      <c r="K1751">
        <f t="shared" si="31"/>
      </c>
    </row>
    <row r="1752" spans="11:11">
      <c r="K1752">
        <f t="shared" si="31"/>
      </c>
    </row>
    <row r="1753" spans="11:11">
      <c r="K1753">
        <f t="shared" si="31"/>
      </c>
    </row>
    <row r="1754" spans="11:11">
      <c r="K1754">
        <f t="shared" si="31"/>
      </c>
    </row>
    <row r="1755" spans="11:11">
      <c r="K1755">
        <f t="shared" si="31"/>
      </c>
    </row>
    <row r="1756" spans="11:11">
      <c r="K1756">
        <f t="shared" si="31"/>
      </c>
    </row>
    <row r="1757" spans="11:11">
      <c r="K1757">
        <f t="shared" si="31"/>
      </c>
    </row>
    <row r="1758" spans="11:11">
      <c r="K1758">
        <f t="shared" si="31"/>
      </c>
    </row>
    <row r="1759" spans="11:11">
      <c r="K1759">
        <f t="shared" si="31"/>
      </c>
    </row>
    <row r="1760" spans="11:11">
      <c r="K1760">
        <f t="shared" si="31"/>
      </c>
    </row>
    <row r="1761" spans="11:11">
      <c r="K1761">
        <f t="shared" si="31"/>
      </c>
    </row>
    <row r="1762" spans="11:11">
      <c r="K1762">
        <f t="shared" si="31"/>
      </c>
    </row>
    <row r="1763" spans="11:11">
      <c r="K1763">
        <f t="shared" si="31"/>
      </c>
    </row>
    <row r="1764" spans="11:11">
      <c r="K1764">
        <f t="shared" si="31"/>
      </c>
    </row>
    <row r="1765" spans="11:11">
      <c r="K1765">
        <f t="shared" si="31"/>
      </c>
    </row>
    <row r="1766" spans="11:11">
      <c r="K1766">
        <f t="shared" si="31"/>
      </c>
    </row>
    <row r="1767" spans="11:11">
      <c r="K1767">
        <f t="shared" si="31"/>
      </c>
    </row>
    <row r="1768" spans="11:11">
      <c r="K1768">
        <f t="shared" si="31"/>
      </c>
    </row>
    <row r="1769" spans="11:11">
      <c r="K1769">
        <f t="shared" si="31"/>
      </c>
    </row>
    <row r="1770" spans="11:11">
      <c r="K1770">
        <f t="shared" si="31"/>
      </c>
    </row>
    <row r="1771" spans="11:11">
      <c r="K1771">
        <f t="shared" si="31"/>
      </c>
    </row>
    <row r="1772" spans="11:11">
      <c r="K1772">
        <f t="shared" si="31"/>
      </c>
    </row>
    <row r="1773" spans="11:11">
      <c r="K1773">
        <f t="shared" si="31"/>
      </c>
    </row>
    <row r="1774" spans="11:11">
      <c r="K1774">
        <f t="shared" si="31"/>
      </c>
    </row>
    <row r="1775" spans="11:11">
      <c r="K1775">
        <f t="shared" si="31"/>
      </c>
    </row>
    <row r="1776" spans="11:11">
      <c r="K1776">
        <f t="shared" si="31"/>
      </c>
    </row>
    <row r="1777" spans="11:11">
      <c r="K1777">
        <f t="shared" si="31"/>
      </c>
    </row>
    <row r="1778" spans="11:11">
      <c r="K1778">
        <f t="shared" si="31"/>
      </c>
    </row>
    <row r="1779" spans="11:11">
      <c r="K1779">
        <f t="shared" si="31"/>
      </c>
    </row>
    <row r="1780" spans="11:11">
      <c r="K1780">
        <f t="shared" si="31"/>
      </c>
    </row>
    <row r="1781" spans="11:11">
      <c r="K1781">
        <f t="shared" si="31"/>
      </c>
    </row>
    <row r="1782" spans="11:11">
      <c r="K1782">
        <f t="shared" si="31"/>
      </c>
    </row>
    <row r="1783" spans="11:11">
      <c r="K1783">
        <f t="shared" si="31"/>
      </c>
    </row>
    <row r="1784" spans="11:11">
      <c r="K1784">
        <f t="shared" si="31"/>
      </c>
    </row>
    <row r="1785" spans="11:11">
      <c r="K1785">
        <f t="shared" si="31"/>
      </c>
    </row>
    <row r="1786" spans="11:11">
      <c r="K1786">
        <f t="shared" si="31"/>
      </c>
    </row>
    <row r="1787" spans="11:11">
      <c r="K1787">
        <f t="shared" si="31"/>
      </c>
    </row>
    <row r="1788" spans="11:11">
      <c r="K1788">
        <f t="shared" si="31"/>
      </c>
    </row>
    <row r="1789" spans="11:11">
      <c r="K1789">
        <f t="shared" si="31"/>
      </c>
    </row>
    <row r="1790" spans="11:11">
      <c r="K1790">
        <f t="shared" si="31"/>
      </c>
    </row>
    <row r="1791" spans="11:11">
      <c r="K1791">
        <f t="shared" si="31"/>
      </c>
    </row>
    <row r="1792" spans="11:11">
      <c r="K1792">
        <f t="shared" si="31"/>
      </c>
    </row>
    <row r="1793" spans="11:11">
      <c r="K1793">
        <f t="shared" si="31"/>
      </c>
    </row>
    <row r="1794" spans="11:11">
      <c r="K1794">
        <f t="shared" si="31"/>
      </c>
    </row>
    <row r="1795" spans="11:11">
      <c r="K1795">
        <f t="shared" si="31"/>
      </c>
    </row>
    <row r="1796" spans="11:11">
      <c r="K1796">
        <f t="shared" si="31"/>
      </c>
    </row>
    <row r="1797" spans="11:11">
      <c r="K1797">
        <f t="shared" ref="K1797:K1860" si="32">IF(A1797="","", WEEKNUM(A1797, 2))</f>
      </c>
    </row>
    <row r="1798" spans="11:11">
      <c r="K1798">
        <f t="shared" si="32"/>
      </c>
    </row>
    <row r="1799" spans="11:11">
      <c r="K1799">
        <f t="shared" si="32"/>
      </c>
    </row>
    <row r="1800" spans="11:11">
      <c r="K1800">
        <f t="shared" si="32"/>
      </c>
    </row>
    <row r="1801" spans="11:11">
      <c r="K1801">
        <f t="shared" si="32"/>
      </c>
    </row>
    <row r="1802" spans="11:11">
      <c r="K1802">
        <f t="shared" si="32"/>
      </c>
    </row>
    <row r="1803" spans="11:11">
      <c r="K1803">
        <f t="shared" si="32"/>
      </c>
    </row>
    <row r="1804" spans="11:11">
      <c r="K1804">
        <f t="shared" si="32"/>
      </c>
    </row>
    <row r="1805" spans="11:11">
      <c r="K1805">
        <f t="shared" si="32"/>
      </c>
    </row>
    <row r="1806" spans="11:11">
      <c r="K1806">
        <f t="shared" si="32"/>
      </c>
    </row>
    <row r="1807" spans="11:11">
      <c r="K1807">
        <f t="shared" si="32"/>
      </c>
    </row>
    <row r="1808" spans="11:11">
      <c r="K1808">
        <f t="shared" si="32"/>
      </c>
    </row>
    <row r="1809" spans="11:11">
      <c r="K1809">
        <f t="shared" si="32"/>
      </c>
    </row>
    <row r="1810" spans="11:11">
      <c r="K1810">
        <f t="shared" si="32"/>
      </c>
    </row>
    <row r="1811" spans="11:11">
      <c r="K1811">
        <f t="shared" si="32"/>
      </c>
    </row>
    <row r="1812" spans="11:11">
      <c r="K1812">
        <f t="shared" si="32"/>
      </c>
    </row>
    <row r="1813" spans="11:11">
      <c r="K1813">
        <f t="shared" si="32"/>
      </c>
    </row>
    <row r="1814" spans="11:11">
      <c r="K1814">
        <f t="shared" si="32"/>
      </c>
    </row>
    <row r="1815" spans="11:11">
      <c r="K1815">
        <f t="shared" si="32"/>
      </c>
    </row>
    <row r="1816" spans="11:11">
      <c r="K1816">
        <f t="shared" si="32"/>
      </c>
    </row>
    <row r="1817" spans="11:11">
      <c r="K1817">
        <f t="shared" si="32"/>
      </c>
    </row>
    <row r="1818" spans="11:11">
      <c r="K1818">
        <f t="shared" si="32"/>
      </c>
    </row>
    <row r="1819" spans="11:11">
      <c r="K1819">
        <f t="shared" si="32"/>
      </c>
    </row>
    <row r="1820" spans="11:11">
      <c r="K1820">
        <f t="shared" si="32"/>
      </c>
    </row>
    <row r="1821" spans="11:11">
      <c r="K1821">
        <f t="shared" si="32"/>
      </c>
    </row>
    <row r="1822" spans="11:11">
      <c r="K1822">
        <f t="shared" si="32"/>
      </c>
    </row>
    <row r="1823" spans="11:11">
      <c r="K1823">
        <f t="shared" si="32"/>
      </c>
    </row>
    <row r="1824" spans="11:11">
      <c r="K1824">
        <f t="shared" si="32"/>
      </c>
    </row>
    <row r="1825" spans="11:11">
      <c r="K1825">
        <f t="shared" si="32"/>
      </c>
    </row>
    <row r="1826" spans="11:11">
      <c r="K1826">
        <f t="shared" si="32"/>
      </c>
    </row>
    <row r="1827" spans="11:11">
      <c r="K1827">
        <f t="shared" si="32"/>
      </c>
    </row>
    <row r="1828" spans="11:11">
      <c r="K1828">
        <f t="shared" si="32"/>
      </c>
    </row>
    <row r="1829" spans="11:11">
      <c r="K1829">
        <f t="shared" si="32"/>
      </c>
    </row>
    <row r="1830" spans="11:11">
      <c r="K1830">
        <f t="shared" si="32"/>
      </c>
    </row>
    <row r="1831" spans="11:11">
      <c r="K1831">
        <f t="shared" si="32"/>
      </c>
    </row>
    <row r="1832" spans="11:11">
      <c r="K1832">
        <f t="shared" si="32"/>
      </c>
    </row>
    <row r="1833" spans="11:11">
      <c r="K1833">
        <f t="shared" si="32"/>
      </c>
    </row>
    <row r="1834" spans="11:11">
      <c r="K1834">
        <f t="shared" si="32"/>
      </c>
    </row>
    <row r="1835" spans="11:11">
      <c r="K1835">
        <f t="shared" si="32"/>
      </c>
    </row>
    <row r="1836" spans="11:11">
      <c r="K1836">
        <f t="shared" si="32"/>
      </c>
    </row>
    <row r="1837" spans="11:11">
      <c r="K1837">
        <f t="shared" si="32"/>
      </c>
    </row>
    <row r="1838" spans="11:11">
      <c r="K1838">
        <f t="shared" si="32"/>
      </c>
    </row>
    <row r="1839" spans="11:11">
      <c r="K1839">
        <f t="shared" si="32"/>
      </c>
    </row>
    <row r="1840" spans="11:11">
      <c r="K1840">
        <f t="shared" si="32"/>
      </c>
    </row>
    <row r="1841" spans="11:11">
      <c r="K1841">
        <f t="shared" si="32"/>
      </c>
    </row>
    <row r="1842" spans="11:11">
      <c r="K1842">
        <f t="shared" si="32"/>
      </c>
    </row>
    <row r="1843" spans="11:11">
      <c r="K1843">
        <f t="shared" si="32"/>
      </c>
    </row>
    <row r="1844" spans="11:11">
      <c r="K1844">
        <f t="shared" si="32"/>
      </c>
    </row>
    <row r="1845" spans="11:11">
      <c r="K1845">
        <f t="shared" si="32"/>
      </c>
    </row>
    <row r="1846" spans="11:11">
      <c r="K1846">
        <f t="shared" si="32"/>
      </c>
    </row>
    <row r="1847" spans="11:11">
      <c r="K1847">
        <f t="shared" si="32"/>
      </c>
    </row>
    <row r="1848" spans="11:11">
      <c r="K1848">
        <f t="shared" si="32"/>
      </c>
    </row>
    <row r="1849" spans="11:11">
      <c r="K1849">
        <f t="shared" si="32"/>
      </c>
    </row>
    <row r="1850" spans="11:11">
      <c r="K1850">
        <f t="shared" si="32"/>
      </c>
    </row>
    <row r="1851" spans="11:11">
      <c r="K1851">
        <f t="shared" si="32"/>
      </c>
    </row>
    <row r="1852" spans="11:11">
      <c r="K1852">
        <f t="shared" si="32"/>
      </c>
    </row>
    <row r="1853" spans="11:11">
      <c r="K1853">
        <f t="shared" si="32"/>
      </c>
    </row>
    <row r="1854" spans="11:11">
      <c r="K1854">
        <f t="shared" si="32"/>
      </c>
    </row>
    <row r="1855" spans="11:11">
      <c r="K1855">
        <f t="shared" si="32"/>
      </c>
    </row>
    <row r="1856" spans="11:11">
      <c r="K1856">
        <f t="shared" si="32"/>
      </c>
    </row>
    <row r="1857" spans="11:11">
      <c r="K1857">
        <f t="shared" si="32"/>
      </c>
    </row>
    <row r="1858" spans="11:11">
      <c r="K1858">
        <f t="shared" si="32"/>
      </c>
    </row>
    <row r="1859" spans="11:11">
      <c r="K1859">
        <f t="shared" si="32"/>
      </c>
    </row>
    <row r="1860" spans="11:11">
      <c r="K1860">
        <f t="shared" si="32"/>
      </c>
    </row>
    <row r="1861" spans="11:11">
      <c r="K1861">
        <f t="shared" ref="K1861:K1924" si="33">IF(A1861="","", WEEKNUM(A1861, 2))</f>
      </c>
    </row>
    <row r="1862" spans="11:11">
      <c r="K1862">
        <f t="shared" si="33"/>
      </c>
    </row>
    <row r="1863" spans="11:11">
      <c r="K1863">
        <f t="shared" si="33"/>
      </c>
    </row>
    <row r="1864" spans="11:11">
      <c r="K1864">
        <f t="shared" si="33"/>
      </c>
    </row>
    <row r="1865" spans="11:11">
      <c r="K1865">
        <f t="shared" si="33"/>
      </c>
    </row>
    <row r="1866" spans="11:11">
      <c r="K1866">
        <f t="shared" si="33"/>
      </c>
    </row>
    <row r="1867" spans="11:11">
      <c r="K1867">
        <f t="shared" si="33"/>
      </c>
    </row>
    <row r="1868" spans="11:11">
      <c r="K1868">
        <f t="shared" si="33"/>
      </c>
    </row>
    <row r="1869" spans="11:11">
      <c r="K1869">
        <f t="shared" si="33"/>
      </c>
    </row>
    <row r="1870" spans="11:11">
      <c r="K1870">
        <f t="shared" si="33"/>
      </c>
    </row>
    <row r="1871" spans="11:11">
      <c r="K1871">
        <f t="shared" si="33"/>
      </c>
    </row>
    <row r="1872" spans="11:11">
      <c r="K1872">
        <f t="shared" si="33"/>
      </c>
    </row>
    <row r="1873" spans="11:11">
      <c r="K1873">
        <f t="shared" si="33"/>
      </c>
    </row>
    <row r="1874" spans="11:11">
      <c r="K1874">
        <f t="shared" si="33"/>
      </c>
    </row>
    <row r="1875" spans="11:11">
      <c r="K1875">
        <f t="shared" si="33"/>
      </c>
    </row>
    <row r="1876" spans="11:11">
      <c r="K1876">
        <f t="shared" si="33"/>
      </c>
    </row>
    <row r="1877" spans="11:11">
      <c r="K1877">
        <f t="shared" si="33"/>
      </c>
    </row>
    <row r="1878" spans="11:11">
      <c r="K1878">
        <f t="shared" si="33"/>
      </c>
    </row>
    <row r="1879" spans="11:11">
      <c r="K1879">
        <f t="shared" si="33"/>
      </c>
    </row>
    <row r="1880" spans="11:11">
      <c r="K1880">
        <f t="shared" si="33"/>
      </c>
    </row>
    <row r="1881" spans="11:11">
      <c r="K1881">
        <f t="shared" si="33"/>
      </c>
    </row>
    <row r="1882" spans="11:11">
      <c r="K1882">
        <f t="shared" si="33"/>
      </c>
    </row>
    <row r="1883" spans="11:11">
      <c r="K1883">
        <f t="shared" si="33"/>
      </c>
    </row>
    <row r="1884" spans="11:11">
      <c r="K1884">
        <f t="shared" si="33"/>
      </c>
    </row>
    <row r="1885" spans="11:11">
      <c r="K1885">
        <f t="shared" si="33"/>
      </c>
    </row>
    <row r="1886" spans="11:11">
      <c r="K1886">
        <f t="shared" si="33"/>
      </c>
    </row>
    <row r="1887" spans="11:11">
      <c r="K1887">
        <f t="shared" si="33"/>
      </c>
    </row>
    <row r="1888" spans="11:11">
      <c r="K1888">
        <f t="shared" si="33"/>
      </c>
    </row>
    <row r="1889" spans="11:11">
      <c r="K1889">
        <f t="shared" si="33"/>
      </c>
    </row>
    <row r="1890" spans="11:11">
      <c r="K1890">
        <f t="shared" si="33"/>
      </c>
    </row>
    <row r="1891" spans="11:11">
      <c r="K1891">
        <f t="shared" si="33"/>
      </c>
    </row>
    <row r="1892" spans="11:11">
      <c r="K1892">
        <f t="shared" si="33"/>
      </c>
    </row>
    <row r="1893" spans="11:11">
      <c r="K1893">
        <f t="shared" si="33"/>
      </c>
    </row>
    <row r="1894" spans="11:11">
      <c r="K1894">
        <f t="shared" si="33"/>
      </c>
    </row>
    <row r="1895" spans="11:11">
      <c r="K1895">
        <f t="shared" si="33"/>
      </c>
    </row>
    <row r="1896" spans="11:11">
      <c r="K1896">
        <f t="shared" si="33"/>
      </c>
    </row>
    <row r="1897" spans="11:11">
      <c r="K1897">
        <f t="shared" si="33"/>
      </c>
    </row>
    <row r="1898" spans="11:11">
      <c r="K1898">
        <f t="shared" si="33"/>
      </c>
    </row>
    <row r="1899" spans="11:11">
      <c r="K1899">
        <f t="shared" si="33"/>
      </c>
    </row>
    <row r="1900" spans="11:11">
      <c r="K1900">
        <f t="shared" si="33"/>
      </c>
    </row>
    <row r="1901" spans="11:11">
      <c r="K1901">
        <f t="shared" si="33"/>
      </c>
    </row>
    <row r="1902" spans="11:11">
      <c r="K1902">
        <f t="shared" si="33"/>
      </c>
    </row>
    <row r="1903" spans="11:11">
      <c r="K1903">
        <f t="shared" si="33"/>
      </c>
    </row>
    <row r="1904" spans="11:11">
      <c r="K1904">
        <f t="shared" si="33"/>
      </c>
    </row>
    <row r="1905" spans="11:11">
      <c r="K1905">
        <f t="shared" si="33"/>
      </c>
    </row>
    <row r="1906" spans="11:11">
      <c r="K1906">
        <f t="shared" si="33"/>
      </c>
    </row>
    <row r="1907" spans="11:11">
      <c r="K1907">
        <f t="shared" si="33"/>
      </c>
    </row>
    <row r="1908" spans="11:11">
      <c r="K1908">
        <f t="shared" si="33"/>
      </c>
    </row>
    <row r="1909" spans="11:11">
      <c r="K1909">
        <f t="shared" si="33"/>
      </c>
    </row>
    <row r="1910" spans="11:11">
      <c r="K1910">
        <f t="shared" si="33"/>
      </c>
    </row>
    <row r="1911" spans="11:11">
      <c r="K1911">
        <f t="shared" si="33"/>
      </c>
    </row>
    <row r="1912" spans="11:11">
      <c r="K1912">
        <f t="shared" si="33"/>
      </c>
    </row>
    <row r="1913" spans="11:11">
      <c r="K1913">
        <f t="shared" si="33"/>
      </c>
    </row>
    <row r="1914" spans="11:11">
      <c r="K1914">
        <f t="shared" si="33"/>
      </c>
    </row>
    <row r="1915" spans="11:11">
      <c r="K1915">
        <f t="shared" si="33"/>
      </c>
    </row>
    <row r="1916" spans="11:11">
      <c r="K1916">
        <f t="shared" si="33"/>
      </c>
    </row>
    <row r="1917" spans="11:11">
      <c r="K1917">
        <f t="shared" si="33"/>
      </c>
    </row>
    <row r="1918" spans="11:11">
      <c r="K1918">
        <f t="shared" si="33"/>
      </c>
    </row>
    <row r="1919" spans="11:11">
      <c r="K1919">
        <f t="shared" si="33"/>
      </c>
    </row>
    <row r="1920" spans="11:11">
      <c r="K1920">
        <f t="shared" si="33"/>
      </c>
    </row>
    <row r="1921" spans="11:11">
      <c r="K1921">
        <f t="shared" si="33"/>
      </c>
    </row>
    <row r="1922" spans="11:11">
      <c r="K1922">
        <f t="shared" si="33"/>
      </c>
    </row>
    <row r="1923" spans="11:11">
      <c r="K1923">
        <f t="shared" si="33"/>
      </c>
    </row>
    <row r="1924" spans="11:11">
      <c r="K1924">
        <f t="shared" si="33"/>
      </c>
    </row>
    <row r="1925" spans="11:11">
      <c r="K1925">
        <f t="shared" ref="K1925:K1988" si="34">IF(A1925="","", WEEKNUM(A1925, 2))</f>
      </c>
    </row>
    <row r="1926" spans="11:11">
      <c r="K1926">
        <f t="shared" si="34"/>
      </c>
    </row>
    <row r="1927" spans="11:11">
      <c r="K1927">
        <f t="shared" si="34"/>
      </c>
    </row>
    <row r="1928" spans="11:11">
      <c r="K1928">
        <f t="shared" si="34"/>
      </c>
    </row>
    <row r="1929" spans="11:11">
      <c r="K1929">
        <f t="shared" si="34"/>
      </c>
    </row>
    <row r="1930" spans="11:11">
      <c r="K1930">
        <f t="shared" si="34"/>
      </c>
    </row>
    <row r="1931" spans="11:11">
      <c r="K1931">
        <f t="shared" si="34"/>
      </c>
    </row>
    <row r="1932" spans="11:11">
      <c r="K1932">
        <f t="shared" si="34"/>
      </c>
    </row>
    <row r="1933" spans="11:11">
      <c r="K1933">
        <f t="shared" si="34"/>
      </c>
    </row>
    <row r="1934" spans="11:11">
      <c r="K1934">
        <f t="shared" si="34"/>
      </c>
    </row>
    <row r="1935" spans="11:11">
      <c r="K1935">
        <f t="shared" si="34"/>
      </c>
    </row>
    <row r="1936" spans="11:11">
      <c r="K1936">
        <f t="shared" si="34"/>
      </c>
    </row>
    <row r="1937" spans="11:11">
      <c r="K1937">
        <f t="shared" si="34"/>
      </c>
    </row>
    <row r="1938" spans="11:11">
      <c r="K1938">
        <f t="shared" si="34"/>
      </c>
    </row>
    <row r="1939" spans="11:11">
      <c r="K1939">
        <f t="shared" si="34"/>
      </c>
    </row>
    <row r="1940" spans="11:11">
      <c r="K1940">
        <f t="shared" si="34"/>
      </c>
    </row>
    <row r="1941" spans="11:11">
      <c r="K1941">
        <f t="shared" si="34"/>
      </c>
    </row>
    <row r="1942" spans="11:11">
      <c r="K1942">
        <f t="shared" si="34"/>
      </c>
    </row>
    <row r="1943" spans="11:11">
      <c r="K1943">
        <f t="shared" si="34"/>
      </c>
    </row>
    <row r="1944" spans="11:11">
      <c r="K1944">
        <f t="shared" si="34"/>
      </c>
    </row>
    <row r="1945" spans="11:11">
      <c r="K1945">
        <f t="shared" si="34"/>
      </c>
    </row>
    <row r="1946" spans="11:11">
      <c r="K1946">
        <f t="shared" si="34"/>
      </c>
    </row>
    <row r="1947" spans="11:11">
      <c r="K1947">
        <f t="shared" si="34"/>
      </c>
    </row>
    <row r="1948" spans="11:11">
      <c r="K1948">
        <f t="shared" si="34"/>
      </c>
    </row>
    <row r="1949" spans="11:11">
      <c r="K1949">
        <f t="shared" si="34"/>
      </c>
    </row>
    <row r="1950" spans="11:11">
      <c r="K1950">
        <f t="shared" si="34"/>
      </c>
    </row>
    <row r="1951" spans="11:11">
      <c r="K1951">
        <f t="shared" si="34"/>
      </c>
    </row>
    <row r="1952" spans="11:11">
      <c r="K1952">
        <f t="shared" si="34"/>
      </c>
    </row>
    <row r="1953" spans="11:11">
      <c r="K1953">
        <f t="shared" si="34"/>
      </c>
    </row>
    <row r="1954" spans="11:11">
      <c r="K1954">
        <f t="shared" si="34"/>
      </c>
    </row>
    <row r="1955" spans="11:11">
      <c r="K1955">
        <f t="shared" si="34"/>
      </c>
    </row>
    <row r="1956" spans="11:11">
      <c r="K1956">
        <f t="shared" si="34"/>
      </c>
    </row>
    <row r="1957" spans="11:11">
      <c r="K1957">
        <f t="shared" si="34"/>
      </c>
    </row>
    <row r="1958" spans="11:11">
      <c r="K1958">
        <f t="shared" si="34"/>
      </c>
    </row>
    <row r="1959" spans="11:11">
      <c r="K1959">
        <f t="shared" si="34"/>
      </c>
    </row>
    <row r="1960" spans="11:11">
      <c r="K1960">
        <f t="shared" si="34"/>
      </c>
    </row>
    <row r="1961" spans="11:11">
      <c r="K1961">
        <f t="shared" si="34"/>
      </c>
    </row>
    <row r="1962" spans="11:11">
      <c r="K1962">
        <f t="shared" si="34"/>
      </c>
    </row>
    <row r="1963" spans="11:11">
      <c r="K1963">
        <f t="shared" si="34"/>
      </c>
    </row>
    <row r="1964" spans="11:11">
      <c r="K1964">
        <f t="shared" si="34"/>
      </c>
    </row>
    <row r="1965" spans="11:11">
      <c r="K1965">
        <f t="shared" si="34"/>
      </c>
    </row>
    <row r="1966" spans="11:11">
      <c r="K1966">
        <f t="shared" si="34"/>
      </c>
    </row>
    <row r="1967" spans="11:11">
      <c r="K1967">
        <f t="shared" si="34"/>
      </c>
    </row>
    <row r="1968" spans="11:11">
      <c r="K1968">
        <f t="shared" si="34"/>
      </c>
    </row>
    <row r="1969" spans="11:11">
      <c r="K1969">
        <f t="shared" si="34"/>
      </c>
    </row>
    <row r="1970" spans="11:11">
      <c r="K1970">
        <f t="shared" si="34"/>
      </c>
    </row>
    <row r="1971" spans="11:11">
      <c r="K1971">
        <f t="shared" si="34"/>
      </c>
    </row>
    <row r="1972" spans="11:11">
      <c r="K1972">
        <f t="shared" si="34"/>
      </c>
    </row>
    <row r="1973" spans="11:11">
      <c r="K1973">
        <f t="shared" si="34"/>
      </c>
    </row>
    <row r="1974" spans="11:11">
      <c r="K1974">
        <f t="shared" si="34"/>
      </c>
    </row>
    <row r="1975" spans="11:11">
      <c r="K1975">
        <f t="shared" si="34"/>
      </c>
    </row>
    <row r="1976" spans="11:11">
      <c r="K1976">
        <f t="shared" si="34"/>
      </c>
    </row>
    <row r="1977" spans="11:11">
      <c r="K1977">
        <f t="shared" si="34"/>
      </c>
    </row>
    <row r="1978" spans="11:11">
      <c r="K1978">
        <f t="shared" si="34"/>
      </c>
    </row>
    <row r="1979" spans="11:11">
      <c r="K1979">
        <f t="shared" si="34"/>
      </c>
    </row>
    <row r="1980" spans="11:11">
      <c r="K1980">
        <f t="shared" si="34"/>
      </c>
    </row>
    <row r="1981" spans="11:11">
      <c r="K1981">
        <f t="shared" si="34"/>
      </c>
    </row>
    <row r="1982" spans="11:11">
      <c r="K1982">
        <f t="shared" si="34"/>
      </c>
    </row>
    <row r="1983" spans="11:11">
      <c r="K1983">
        <f t="shared" si="34"/>
      </c>
    </row>
    <row r="1984" spans="11:11">
      <c r="K1984">
        <f t="shared" si="34"/>
      </c>
    </row>
    <row r="1985" spans="11:11">
      <c r="K1985">
        <f t="shared" si="34"/>
      </c>
    </row>
    <row r="1986" spans="11:11">
      <c r="K1986">
        <f t="shared" si="34"/>
      </c>
    </row>
    <row r="1987" spans="11:11">
      <c r="K1987">
        <f t="shared" si="34"/>
      </c>
    </row>
    <row r="1988" spans="11:11">
      <c r="K1988">
        <f t="shared" si="34"/>
      </c>
    </row>
    <row r="1989" spans="11:11">
      <c r="K1989">
        <f t="shared" ref="K1989:K2000" si="35">IF(A1989="","", WEEKNUM(A1989, 2))</f>
      </c>
    </row>
    <row r="1990" spans="11:11">
      <c r="K1990">
        <f t="shared" si="35"/>
      </c>
    </row>
    <row r="1991" spans="11:11">
      <c r="K1991">
        <f t="shared" si="35"/>
      </c>
    </row>
    <row r="1992" spans="11:11">
      <c r="K1992">
        <f t="shared" si="35"/>
      </c>
    </row>
    <row r="1993" spans="11:11">
      <c r="K1993">
        <f t="shared" si="35"/>
      </c>
    </row>
    <row r="1994" spans="11:11">
      <c r="K1994">
        <f t="shared" si="35"/>
      </c>
    </row>
    <row r="1995" spans="11:11">
      <c r="K1995">
        <f t="shared" si="35"/>
      </c>
    </row>
    <row r="1996" spans="11:11">
      <c r="K1996">
        <f t="shared" si="35"/>
      </c>
    </row>
    <row r="1997" spans="11:11">
      <c r="K1997">
        <f t="shared" si="35"/>
      </c>
    </row>
    <row r="1998" spans="11:11">
      <c r="K1998">
        <f t="shared" si="35"/>
      </c>
    </row>
    <row r="1999" spans="11:11">
      <c r="K1999">
        <f t="shared" si="35"/>
      </c>
    </row>
    <row r="2000" spans="11:11">
      <c r="K2000">
        <f t="shared" si="35"/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B15CE551-0D72-4710-B1D0-6AE343C140DA}">
          <x14:formula1>
            <xm:f>Catalogos!$B$4:$B$18</xm:f>
          </x14:formula1>
          <xm:sqref>B5:B306</xm:sqref>
        </x14:dataValidation>
        <x14:dataValidation type="list" allowBlank="1" showInputMessage="1" showErrorMessage="1" xr:uid="{91257FB4-FD06-4700-977F-D3F2D88C6A76}">
          <x14:formula1>
            <xm:f>Catalogos!$I$4:$I$75</xm:f>
          </x14:formula1>
          <xm:sqref>D5:D1048576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D3B5-6AEE-4396-9E65-46EBA3D71097}">
  <sheetPr/>
  <sheetViews>
    <sheetView topLeftCell="A9" workbookViewId="0">
      <selection sqref="A1:H1"/>
    </sheetView>
  </sheetViews>
  <sheetFormatPr baseColWidth="10" defaultRowHeight="13.8"/>
  <cols>
    <col min="1" max="2" width="20" customWidth="1"/>
    <col min="3" max="3" width="25" customWidth="1"/>
    <col min="4" max="4" width="39.69921875" bestFit="1" customWidth="1"/>
    <col min="5" max="5" width="15" customWidth="1"/>
    <col min="6" max="6" width="36.8984375" bestFit="1" customWidth="1"/>
    <col min="7" max="7" width="18" customWidth="1"/>
    <col min="8" max="8" width="30" customWidth="1"/>
    <col min="9" max="10" width="0" hidden="1"/>
  </cols>
  <sheetData>
    <row r="1" spans="1:10" ht="17.399999999999999">
      <c r="A1" t="s" s="25172">
        <v>391</v>
      </c>
      <c r="B1" s="25173"/>
      <c r="C1" s="25174"/>
      <c r="D1" s="25175"/>
      <c r="E1" s="25176"/>
      <c r="F1" s="25177"/>
      <c r="G1" s="25178"/>
      <c r="H1" s="25179"/>
    </row>
    <row r="3" spans="1:10">
      <c r="A3" t="s" s="2481">
        <v>392</v>
      </c>
      <c r="B3" t="s" s="2482">
        <v>393</v>
      </c>
      <c r="C3" t="s" s="2483">
        <v>363</v>
      </c>
      <c r="D3" t="s" s="2484">
        <v>394</v>
      </c>
      <c r="E3" t="s" s="2485">
        <v>362</v>
      </c>
      <c r="F3" t="s" s="2486">
        <v>395</v>
      </c>
      <c r="G3" t="s" s="2487">
        <v>396</v>
      </c>
      <c r="H3" t="s" s="2488">
        <v>397</v>
      </c>
      <c r="I3" t="s">
        <v>409</v>
      </c>
      <c r="J3" t="s">
        <v>408</v>
      </c>
    </row>
    <row r="4" spans="1:10">
      <c r="A4" s="2490">
        <f>IF(D4="","", "HT-" &amp; IFERROR(VLOOKUP(C4, Catalogos!$Z$4:$AA$20, 2, FALSE), "FOL") &amp; "-" &amp; IF(B4="","00", WEEKNUM(B4,2)) &amp; "-" &amp; TEXT(ROW(A1),"000"))</f>
      </c>
      <c r="B4" s="2489">
        <v>46188</v>
      </c>
      <c r="C4" t="s" s="2491">
        <v>1</v>
      </c>
      <c r="D4" t="s" s="2492">
        <v>386</v>
      </c>
      <c r="E4" s="2493">
        <f>IF(D4="","", IFERROR(INDEX(Catalogos!$W$4:$W$100, MATCH(D4, Catalogos!$V$4:$V$100, 0)), ""))</f>
      </c>
      <c r="F4" s="2494">
        <f>IF(D4="","", IFERROR(INDEX(Catalogos!$Y$4:$Y$100, MATCH(D4, Catalogos!$V$4:$V$100, 0)), ""))</f>
      </c>
      <c r="G4" s="2495">
        <v>6</v>
      </c>
      <c r="H4" s="2496"/>
      <c r="I4">
        <f>IF(E4="","", G4 * IFERROR(INDEX(Maquinaria_Inventario!$K$2:$K$100, MATCH(E4, Maquinaria_Inventario!$L$2:$L$100, 0)), 0))</f>
      </c>
      <c r="J4">
        <f t="shared" ref="J4:J67" si="0">IF(B4="","", WEEKNUM(B4, 2))</f>
      </c>
    </row>
    <row r="5" spans="1:10">
      <c r="A5" s="2498">
        <f>IF(D5="","", "HT-" &amp; IFERROR(VLOOKUP(C5, Catalogos!$Z$4:$AA$20, 2, FALSE), "FOL") &amp; "-" &amp; IF(B5="","00", WEEKNUM(B5,2)) &amp; "-" &amp; TEXT(ROW(A2),"000"))</f>
      </c>
      <c r="B5" s="2497">
        <v>46188</v>
      </c>
      <c r="C5" t="s" s="2499">
        <v>1</v>
      </c>
      <c r="D5" t="s" s="2500">
        <v>368</v>
      </c>
      <c r="E5" s="2501">
        <f>IF(D5="","", IFERROR(INDEX(Catalogos!$W$4:$W$100, MATCH(D5, Catalogos!$V$4:$V$100, 0)), ""))</f>
      </c>
      <c r="F5" s="2502">
        <f>IF(D5="","", IFERROR(INDEX(Catalogos!$Y$4:$Y$100, MATCH(D5, Catalogos!$V$4:$V$100, 0)), ""))</f>
      </c>
      <c r="G5" s="2503">
        <v>7</v>
      </c>
      <c r="H5" s="2504"/>
      <c r="I5">
        <f>IF(E5="","", G5 * IFERROR(INDEX(Maquinaria_Inventario!$K$2:$K$100, MATCH(E5, Maquinaria_Inventario!$L$2:$L$100, 0)), 0))</f>
      </c>
      <c r="J5">
        <f t="shared" si="0"/>
      </c>
    </row>
    <row r="6" spans="1:10">
      <c r="A6" s="2506">
        <f>IF(D6="","", "HT-" &amp; IFERROR(VLOOKUP(C6, Catalogos!$Z$4:$AA$20, 2, FALSE), "FOL") &amp; "-" &amp; IF(B6="","00", WEEKNUM(B6,2)) &amp; "-" &amp; TEXT(ROW(A3),"000"))</f>
      </c>
      <c r="B6" s="2505">
        <v>46188</v>
      </c>
      <c r="C6" t="s" s="2507">
        <v>1</v>
      </c>
      <c r="D6" t="s" s="2508">
        <v>222</v>
      </c>
      <c r="E6" s="2509">
        <f>IF(D6="","", IFERROR(INDEX(Catalogos!$W$4:$W$100, MATCH(D6, Catalogos!$V$4:$V$100, 0)), ""))</f>
      </c>
      <c r="F6" s="2510">
        <f>IF(D6="","", IFERROR(INDEX(Catalogos!$Y$4:$Y$100, MATCH(D6, Catalogos!$V$4:$V$100, 0)), ""))</f>
      </c>
      <c r="G6" s="2511">
        <v>8</v>
      </c>
      <c r="H6" s="2512"/>
      <c r="I6">
        <f>IF(E6="","", G6 * IFERROR(INDEX(Maquinaria_Inventario!$K$2:$K$100, MATCH(E6, Maquinaria_Inventario!$L$2:$L$100, 0)), 0))</f>
      </c>
      <c r="J6">
        <f t="shared" si="0"/>
      </c>
    </row>
    <row r="7" spans="1:10">
      <c r="A7" s="2514">
        <f>IF(D7="","", "HT-" &amp; IFERROR(VLOOKUP(C7, Catalogos!$Z$4:$AA$20, 2, FALSE), "FOL") &amp; "-" &amp; IF(B7="","00", WEEKNUM(B7,2)) &amp; "-" &amp; TEXT(ROW(A4),"000"))</f>
      </c>
      <c r="B7" s="2513">
        <v>46188</v>
      </c>
      <c r="C7" t="s" s="2515">
        <v>1</v>
      </c>
      <c r="D7" t="s" s="2516">
        <v>224</v>
      </c>
      <c r="E7" s="2517">
        <f>IF(D7="","", IFERROR(INDEX(Catalogos!$W$4:$W$100, MATCH(D7, Catalogos!$V$4:$V$100, 0)), ""))</f>
      </c>
      <c r="F7" s="2518">
        <f>IF(D7="","", IFERROR(INDEX(Catalogos!$Y$4:$Y$100, MATCH(D7, Catalogos!$V$4:$V$100, 0)), ""))</f>
      </c>
      <c r="G7" s="2519">
        <v>8</v>
      </c>
      <c r="H7" s="2520"/>
      <c r="I7">
        <f>IF(E7="","", G7 * IFERROR(INDEX(Maquinaria_Inventario!$K$2:$K$100, MATCH(E7, Maquinaria_Inventario!$L$2:$L$100, 0)), 0))</f>
      </c>
      <c r="J7">
        <f t="shared" si="0"/>
      </c>
    </row>
    <row r="8" spans="1:10">
      <c r="A8" s="2522">
        <f>IF(D8="","", "HT-" &amp; IFERROR(VLOOKUP(C8, Catalogos!$Z$4:$AA$20, 2, FALSE), "FOL") &amp; "-" &amp; IF(B8="","00", WEEKNUM(B8,2)) &amp; "-" &amp; TEXT(ROW(A5),"000"))</f>
      </c>
      <c r="B8" s="2521">
        <v>46188</v>
      </c>
      <c r="C8" t="s" s="2523">
        <v>1</v>
      </c>
      <c r="D8" t="s" s="2524">
        <v>216</v>
      </c>
      <c r="E8" s="2525">
        <f>IF(D8="","", IFERROR(INDEX(Catalogos!$W$4:$W$100, MATCH(D8, Catalogos!$V$4:$V$100, 0)), ""))</f>
      </c>
      <c r="F8" s="2526">
        <f>IF(D8="","", IFERROR(INDEX(Catalogos!$Y$4:$Y$100, MATCH(D8, Catalogos!$V$4:$V$100, 0)), ""))</f>
      </c>
      <c r="G8" s="2527">
        <v>8</v>
      </c>
      <c r="H8" s="2528"/>
      <c r="I8">
        <f>IF(E8="","", G8 * IFERROR(INDEX(Maquinaria_Inventario!$K$2:$K$100, MATCH(E8, Maquinaria_Inventario!$L$2:$L$100, 0)), 0))</f>
      </c>
      <c r="J8">
        <f t="shared" si="0"/>
      </c>
    </row>
    <row r="9" spans="1:10">
      <c r="A9" s="2530">
        <f>IF(D9="","", "HT-" &amp; IFERROR(VLOOKUP(C9, Catalogos!$Z$4:$AA$20, 2, FALSE), "FOL") &amp; "-" &amp; IF(B9="","00", WEEKNUM(B9,2)) &amp; "-" &amp; TEXT(ROW(A6),"000"))</f>
      </c>
      <c r="B9" s="2529">
        <v>46188</v>
      </c>
      <c r="C9" t="s" s="2531">
        <v>1</v>
      </c>
      <c r="D9" t="s" s="2532">
        <v>228</v>
      </c>
      <c r="E9" s="2533">
        <f>IF(D9="","", IFERROR(INDEX(Catalogos!$W$4:$W$100, MATCH(D9, Catalogos!$V$4:$V$100, 0)), ""))</f>
      </c>
      <c r="F9" s="2534">
        <f>IF(D9="","", IFERROR(INDEX(Catalogos!$Y$4:$Y$100, MATCH(D9, Catalogos!$V$4:$V$100, 0)), ""))</f>
      </c>
      <c r="G9" s="2535">
        <v>8</v>
      </c>
      <c r="H9" s="2536"/>
      <c r="I9">
        <f>IF(E9="","", G9 * IFERROR(INDEX(Maquinaria_Inventario!$K$2:$K$100, MATCH(E9, Maquinaria_Inventario!$L$2:$L$100, 0)), 0))</f>
      </c>
      <c r="J9">
        <f t="shared" si="0"/>
      </c>
    </row>
    <row r="10" spans="1:10">
      <c r="A10" s="2538">
        <f>IF(D10="","", "HT-" &amp; IFERROR(VLOOKUP(C10, Catalogos!$Z$4:$AA$20, 2, FALSE), "FOL") &amp; "-" &amp; IF(B10="","00", WEEKNUM(B10,2)) &amp; "-" &amp; TEXT(ROW(A7),"000"))</f>
      </c>
      <c r="B10" s="2537">
        <v>46188</v>
      </c>
      <c r="C10" t="s" s="2539">
        <v>1</v>
      </c>
      <c r="D10" t="s" s="2540">
        <v>383</v>
      </c>
      <c r="E10" s="2541">
        <f>IF(D10="","", IFERROR(INDEX(Catalogos!$W$4:$W$100, MATCH(D10, Catalogos!$V$4:$V$100, 0)), ""))</f>
      </c>
      <c r="F10" s="2542">
        <f>IF(D10="","", IFERROR(INDEX(Catalogos!$Y$4:$Y$100, MATCH(D10, Catalogos!$V$4:$V$100, 0)), ""))</f>
      </c>
      <c r="G10" s="2543">
        <v>4</v>
      </c>
      <c r="H10" s="2544"/>
      <c r="I10">
        <f>IF(E10="","", G10 * IFERROR(INDEX(Maquinaria_Inventario!$K$2:$K$100, MATCH(E10, Maquinaria_Inventario!$L$2:$L$100, 0)), 0))</f>
      </c>
      <c r="J10">
        <f t="shared" si="0"/>
      </c>
    </row>
    <row r="11" spans="1:10">
      <c r="A11" s="2546">
        <f>IF(D11="","", "HT-" &amp; IFERROR(VLOOKUP(C11, Catalogos!$Z$4:$AA$20, 2, FALSE), "FOL") &amp; "-" &amp; IF(B11="","00", WEEKNUM(B11,2)) &amp; "-" &amp; TEXT(ROW(A8),"000"))</f>
      </c>
      <c r="B11" s="2545">
        <v>46189</v>
      </c>
      <c r="C11" t="s" s="2491">
        <v>1</v>
      </c>
      <c r="D11" t="s" s="2492">
        <v>386</v>
      </c>
      <c r="E11" s="2547">
        <f>IF(D11="","", IFERROR(INDEX(Catalogos!$W$4:$W$100, MATCH(D11, Catalogos!$V$4:$V$100, 0)), ""))</f>
      </c>
      <c r="F11" s="2548">
        <f>IF(D11="","", IFERROR(INDEX(Catalogos!$Y$4:$Y$100, MATCH(D11, Catalogos!$V$4:$V$100, 0)), ""))</f>
      </c>
      <c r="G11" s="2549">
        <v>6</v>
      </c>
      <c r="H11" s="2550"/>
      <c r="I11">
        <f>IF(E11="","", G11 * IFERROR(INDEX(Maquinaria_Inventario!$K$2:$K$100, MATCH(E11, Maquinaria_Inventario!$L$2:$L$100, 0)), 0))</f>
      </c>
      <c r="J11">
        <f t="shared" si="0"/>
      </c>
    </row>
    <row r="12" spans="1:10">
      <c r="A12" s="2551">
        <f>IF(D12="","", "HT-" &amp; IFERROR(VLOOKUP(C12, Catalogos!$Z$4:$AA$20, 2, FALSE), "FOL") &amp; "-" &amp; IF(B12="","00", WEEKNUM(B12,2)) &amp; "-" &amp; TEXT(ROW(A9),"000"))</f>
      </c>
      <c r="B12" s="2545">
        <v>46189</v>
      </c>
      <c r="C12" t="s" s="2499">
        <v>1</v>
      </c>
      <c r="D12" t="s" s="2500">
        <v>368</v>
      </c>
      <c r="E12" s="2552">
        <f>IF(D12="","", IFERROR(INDEX(Catalogos!$W$4:$W$100, MATCH(D12, Catalogos!$V$4:$V$100, 0)), ""))</f>
      </c>
      <c r="F12" s="2553">
        <f>IF(D12="","", IFERROR(INDEX(Catalogos!$Y$4:$Y$100, MATCH(D12, Catalogos!$V$4:$V$100, 0)), ""))</f>
      </c>
      <c r="G12" s="2554">
        <v>8</v>
      </c>
      <c r="H12" s="2555"/>
      <c r="I12">
        <f>IF(E12="","", G12 * IFERROR(INDEX(Maquinaria_Inventario!$K$2:$K$100, MATCH(E12, Maquinaria_Inventario!$L$2:$L$100, 0)), 0))</f>
      </c>
      <c r="J12">
        <f t="shared" si="0"/>
      </c>
    </row>
    <row r="13" spans="1:10">
      <c r="A13" s="2556">
        <f>IF(D13="","", "HT-" &amp; IFERROR(VLOOKUP(C13, Catalogos!$Z$4:$AA$20, 2, FALSE), "FOL") &amp; "-" &amp; IF(B13="","00", WEEKNUM(B13,2)) &amp; "-" &amp; TEXT(ROW(A10),"000"))</f>
      </c>
      <c r="B13" s="2545">
        <v>46189</v>
      </c>
      <c r="C13" t="s" s="2507">
        <v>1</v>
      </c>
      <c r="D13" t="s" s="2508">
        <v>222</v>
      </c>
      <c r="E13" s="2557">
        <f>IF(D13="","", IFERROR(INDEX(Catalogos!$W$4:$W$100, MATCH(D13, Catalogos!$V$4:$V$100, 0)), ""))</f>
      </c>
      <c r="F13" s="2558">
        <f>IF(D13="","", IFERROR(INDEX(Catalogos!$Y$4:$Y$100, MATCH(D13, Catalogos!$V$4:$V$100, 0)), ""))</f>
      </c>
      <c r="G13" s="2559">
        <v>9</v>
      </c>
      <c r="H13" s="2560"/>
      <c r="I13">
        <f>IF(E13="","", G13 * IFERROR(INDEX(Maquinaria_Inventario!$K$2:$K$100, MATCH(E13, Maquinaria_Inventario!$L$2:$L$100, 0)), 0))</f>
      </c>
      <c r="J13">
        <f t="shared" si="0"/>
      </c>
    </row>
    <row r="14" spans="1:10">
      <c r="A14" s="2561">
        <f>IF(D14="","", "HT-" &amp; IFERROR(VLOOKUP(C14, Catalogos!$Z$4:$AA$20, 2, FALSE), "FOL") &amp; "-" &amp; IF(B14="","00", WEEKNUM(B14,2)) &amp; "-" &amp; TEXT(ROW(A11),"000"))</f>
      </c>
      <c r="B14" s="2545">
        <v>46189</v>
      </c>
      <c r="C14" t="s" s="2515">
        <v>1</v>
      </c>
      <c r="D14" t="s" s="2516">
        <v>224</v>
      </c>
      <c r="E14" s="2562">
        <f>IF(D14="","", IFERROR(INDEX(Catalogos!$W$4:$W$100, MATCH(D14, Catalogos!$V$4:$V$100, 0)), ""))</f>
      </c>
      <c r="F14" s="2563">
        <f>IF(D14="","", IFERROR(INDEX(Catalogos!$Y$4:$Y$100, MATCH(D14, Catalogos!$V$4:$V$100, 0)), ""))</f>
      </c>
      <c r="G14" s="2564">
        <v>9</v>
      </c>
      <c r="H14" s="2565"/>
      <c r="I14">
        <f>IF(E14="","", G14 * IFERROR(INDEX(Maquinaria_Inventario!$K$2:$K$100, MATCH(E14, Maquinaria_Inventario!$L$2:$L$100, 0)), 0))</f>
      </c>
      <c r="J14">
        <f t="shared" si="0"/>
      </c>
    </row>
    <row r="15" spans="1:10">
      <c r="A15" s="2566">
        <f>IF(D15="","", "HT-" &amp; IFERROR(VLOOKUP(C15, Catalogos!$Z$4:$AA$20, 2, FALSE), "FOL") &amp; "-" &amp; IF(B15="","00", WEEKNUM(B15,2)) &amp; "-" &amp; TEXT(ROW(A12),"000"))</f>
      </c>
      <c r="B15" s="2545">
        <v>46189</v>
      </c>
      <c r="C15" t="s" s="2523">
        <v>1</v>
      </c>
      <c r="D15" t="s" s="2524">
        <v>216</v>
      </c>
      <c r="E15" s="2567">
        <f>IF(D15="","", IFERROR(INDEX(Catalogos!$W$4:$W$100, MATCH(D15, Catalogos!$V$4:$V$100, 0)), ""))</f>
      </c>
      <c r="F15" s="2568">
        <f>IF(D15="","", IFERROR(INDEX(Catalogos!$Y$4:$Y$100, MATCH(D15, Catalogos!$V$4:$V$100, 0)), ""))</f>
      </c>
      <c r="G15" s="2569">
        <v>8</v>
      </c>
      <c r="H15" s="2570"/>
      <c r="I15">
        <f>IF(E15="","", G15 * IFERROR(INDEX(Maquinaria_Inventario!$K$2:$K$100, MATCH(E15, Maquinaria_Inventario!$L$2:$L$100, 0)), 0))</f>
      </c>
      <c r="J15">
        <f t="shared" si="0"/>
      </c>
    </row>
    <row r="16" spans="1:10">
      <c r="A16" s="2571">
        <f>IF(D16="","", "HT-" &amp; IFERROR(VLOOKUP(C16, Catalogos!$Z$4:$AA$20, 2, FALSE), "FOL") &amp; "-" &amp; IF(B16="","00", WEEKNUM(B16,2)) &amp; "-" &amp; TEXT(ROW(A13),"000"))</f>
      </c>
      <c r="B16" s="2545">
        <v>46189</v>
      </c>
      <c r="C16" t="s" s="2531">
        <v>1</v>
      </c>
      <c r="D16" t="s" s="2532">
        <v>228</v>
      </c>
      <c r="E16" s="2572">
        <f>IF(D16="","", IFERROR(INDEX(Catalogos!$W$4:$W$100, MATCH(D16, Catalogos!$V$4:$V$100, 0)), ""))</f>
      </c>
      <c r="F16" s="2573">
        <f>IF(D16="","", IFERROR(INDEX(Catalogos!$Y$4:$Y$100, MATCH(D16, Catalogos!$V$4:$V$100, 0)), ""))</f>
      </c>
      <c r="G16" s="2574">
        <v>8</v>
      </c>
      <c r="H16" s="2575"/>
      <c r="I16">
        <f>IF(E16="","", G16 * IFERROR(INDEX(Maquinaria_Inventario!$K$2:$K$100, MATCH(E16, Maquinaria_Inventario!$L$2:$L$100, 0)), 0))</f>
      </c>
      <c r="J16">
        <f t="shared" si="0"/>
      </c>
    </row>
    <row r="17" spans="1:10">
      <c r="A17" s="2576">
        <f>IF(D17="","", "HT-" &amp; IFERROR(VLOOKUP(C17, Catalogos!$Z$4:$AA$20, 2, FALSE), "FOL") &amp; "-" &amp; IF(B17="","00", WEEKNUM(B17,2)) &amp; "-" &amp; TEXT(ROW(A14),"000"))</f>
      </c>
      <c r="B17" s="2545">
        <v>46189</v>
      </c>
      <c r="C17" t="s" s="2539">
        <v>1</v>
      </c>
      <c r="D17" t="s" s="2540">
        <v>383</v>
      </c>
      <c r="E17" s="2577">
        <f>IF(D17="","", IFERROR(INDEX(Catalogos!$W$4:$W$100, MATCH(D17, Catalogos!$V$4:$V$100, 0)), ""))</f>
      </c>
      <c r="F17" s="2578">
        <f>IF(D17="","", IFERROR(INDEX(Catalogos!$Y$4:$Y$100, MATCH(D17, Catalogos!$V$4:$V$100, 0)), ""))</f>
      </c>
      <c r="G17" s="2579">
        <v>4</v>
      </c>
      <c r="H17" s="2580"/>
      <c r="I17">
        <f>IF(E17="","", G17 * IFERROR(INDEX(Maquinaria_Inventario!$K$2:$K$100, MATCH(E17, Maquinaria_Inventario!$L$2:$L$100, 0)), 0))</f>
      </c>
      <c r="J17">
        <f t="shared" si="0"/>
      </c>
    </row>
    <row r="18" spans="1:10">
      <c r="A18" s="2582">
        <f>IF(D18="","", "HT-" &amp; IFERROR(VLOOKUP(C18, Catalogos!$Z$4:$AA$20, 2, FALSE), "FOL") &amp; "-" &amp; IF(B18="","00", WEEKNUM(B18,2)) &amp; "-" &amp; TEXT(ROW(A15),"000"))</f>
      </c>
      <c r="B18" s="2581">
        <v>46190</v>
      </c>
      <c r="C18" t="s" s="2491">
        <v>1</v>
      </c>
      <c r="D18" t="s" s="2492">
        <v>386</v>
      </c>
      <c r="E18" s="2583">
        <f>IF(D18="","", IFERROR(INDEX(Catalogos!$W$4:$W$100, MATCH(D18, Catalogos!$V$4:$V$100, 0)), ""))</f>
      </c>
      <c r="F18" s="2584">
        <f>IF(D18="","", IFERROR(INDEX(Catalogos!$Y$4:$Y$100, MATCH(D18, Catalogos!$V$4:$V$100, 0)), ""))</f>
      </c>
      <c r="G18" s="2585">
        <v>5</v>
      </c>
      <c r="H18" s="2586"/>
      <c r="I18">
        <f>IF(E18="","", G18 * IFERROR(INDEX(Maquinaria_Inventario!$K$2:$K$100, MATCH(E18, Maquinaria_Inventario!$L$2:$L$100, 0)), 0))</f>
      </c>
      <c r="J18">
        <f t="shared" si="0"/>
      </c>
    </row>
    <row r="19" spans="1:10">
      <c r="A19" s="2587">
        <f>IF(D19="","", "HT-" &amp; IFERROR(VLOOKUP(C19, Catalogos!$Z$4:$AA$20, 2, FALSE), "FOL") &amp; "-" &amp; IF(B19="","00", WEEKNUM(B19,2)) &amp; "-" &amp; TEXT(ROW(A16),"000"))</f>
      </c>
      <c r="B19" s="2581">
        <v>46190</v>
      </c>
      <c r="C19" t="s" s="2499">
        <v>1</v>
      </c>
      <c r="D19" t="s" s="2500">
        <v>368</v>
      </c>
      <c r="E19" s="2588">
        <f>IF(D19="","", IFERROR(INDEX(Catalogos!$W$4:$W$100, MATCH(D19, Catalogos!$V$4:$V$100, 0)), ""))</f>
      </c>
      <c r="F19" s="2589">
        <f>IF(D19="","", IFERROR(INDEX(Catalogos!$Y$4:$Y$100, MATCH(D19, Catalogos!$V$4:$V$100, 0)), ""))</f>
      </c>
      <c r="G19" s="2590">
        <v>6</v>
      </c>
      <c r="H19" s="2591"/>
      <c r="I19">
        <f>IF(E19="","", G19 * IFERROR(INDEX(Maquinaria_Inventario!$K$2:$K$100, MATCH(E19, Maquinaria_Inventario!$L$2:$L$100, 0)), 0))</f>
      </c>
      <c r="J19">
        <f t="shared" si="0"/>
      </c>
    </row>
    <row r="20" spans="1:10">
      <c r="A20" s="2592">
        <f>IF(D20="","", "HT-" &amp; IFERROR(VLOOKUP(C20, Catalogos!$Z$4:$AA$20, 2, FALSE), "FOL") &amp; "-" &amp; IF(B20="","00", WEEKNUM(B20,2)) &amp; "-" &amp; TEXT(ROW(A17),"000"))</f>
      </c>
      <c r="B20" s="2581">
        <v>46190</v>
      </c>
      <c r="C20" t="s" s="2507">
        <v>1</v>
      </c>
      <c r="D20" t="s" s="2508">
        <v>222</v>
      </c>
      <c r="E20" s="2593">
        <f>IF(D20="","", IFERROR(INDEX(Catalogos!$W$4:$W$100, MATCH(D20, Catalogos!$V$4:$V$100, 0)), ""))</f>
      </c>
      <c r="F20" s="2594">
        <f>IF(D20="","", IFERROR(INDEX(Catalogos!$Y$4:$Y$100, MATCH(D20, Catalogos!$V$4:$V$100, 0)), ""))</f>
      </c>
      <c r="G20" s="2595">
        <v>7</v>
      </c>
      <c r="H20" s="2596"/>
      <c r="I20">
        <f>IF(E20="","", G20 * IFERROR(INDEX(Maquinaria_Inventario!$K$2:$K$100, MATCH(E20, Maquinaria_Inventario!$L$2:$L$100, 0)), 0))</f>
      </c>
      <c r="J20">
        <f t="shared" si="0"/>
      </c>
    </row>
    <row r="21" spans="1:10">
      <c r="A21" s="2597">
        <f>IF(D21="","", "HT-" &amp; IFERROR(VLOOKUP(C21, Catalogos!$Z$4:$AA$20, 2, FALSE), "FOL") &amp; "-" &amp; IF(B21="","00", WEEKNUM(B21,2)) &amp; "-" &amp; TEXT(ROW(A18),"000"))</f>
      </c>
      <c r="B21" s="2581">
        <v>46190</v>
      </c>
      <c r="C21" t="s" s="2515">
        <v>1</v>
      </c>
      <c r="D21" t="s" s="2516">
        <v>224</v>
      </c>
      <c r="E21" s="2598">
        <f>IF(D21="","", IFERROR(INDEX(Catalogos!$W$4:$W$100, MATCH(D21, Catalogos!$V$4:$V$100, 0)), ""))</f>
      </c>
      <c r="F21" s="2599">
        <f>IF(D21="","", IFERROR(INDEX(Catalogos!$Y$4:$Y$100, MATCH(D21, Catalogos!$V$4:$V$100, 0)), ""))</f>
      </c>
      <c r="G21" s="2600">
        <v>7</v>
      </c>
      <c r="H21" s="2601"/>
      <c r="I21">
        <f>IF(E21="","", G21 * IFERROR(INDEX(Maquinaria_Inventario!$K$2:$K$100, MATCH(E21, Maquinaria_Inventario!$L$2:$L$100, 0)), 0))</f>
      </c>
      <c r="J21">
        <f t="shared" si="0"/>
      </c>
    </row>
    <row r="22" spans="1:10">
      <c r="A22" s="2602">
        <f>IF(D22="","", "HT-" &amp; IFERROR(VLOOKUP(C22, Catalogos!$Z$4:$AA$20, 2, FALSE), "FOL") &amp; "-" &amp; IF(B22="","00", WEEKNUM(B22,2)) &amp; "-" &amp; TEXT(ROW(A19),"000"))</f>
      </c>
      <c r="B22" s="2581">
        <v>46190</v>
      </c>
      <c r="C22" t="s" s="2523">
        <v>1</v>
      </c>
      <c r="D22" t="s" s="2524">
        <v>216</v>
      </c>
      <c r="E22" s="2603">
        <f>IF(D22="","", IFERROR(INDEX(Catalogos!$W$4:$W$100, MATCH(D22, Catalogos!$V$4:$V$100, 0)), ""))</f>
      </c>
      <c r="F22" s="2604">
        <f>IF(D22="","", IFERROR(INDEX(Catalogos!$Y$4:$Y$100, MATCH(D22, Catalogos!$V$4:$V$100, 0)), ""))</f>
      </c>
      <c r="G22" s="2605">
        <v>6</v>
      </c>
      <c r="H22" s="2606"/>
      <c r="I22">
        <f>IF(E22="","", G22 * IFERROR(INDEX(Maquinaria_Inventario!$K$2:$K$100, MATCH(E22, Maquinaria_Inventario!$L$2:$L$100, 0)), 0))</f>
      </c>
      <c r="J22">
        <f t="shared" si="0"/>
      </c>
    </row>
    <row r="23" spans="1:10">
      <c r="A23" s="2607">
        <f>IF(D23="","", "HT-" &amp; IFERROR(VLOOKUP(C23, Catalogos!$Z$4:$AA$20, 2, FALSE), "FOL") &amp; "-" &amp; IF(B23="","00", WEEKNUM(B23,2)) &amp; "-" &amp; TEXT(ROW(A20),"000"))</f>
      </c>
      <c r="B23" s="2581">
        <v>46190</v>
      </c>
      <c r="C23" t="s" s="2531">
        <v>1</v>
      </c>
      <c r="D23" t="s" s="2532">
        <v>228</v>
      </c>
      <c r="E23" s="2608">
        <f>IF(D23="","", IFERROR(INDEX(Catalogos!$W$4:$W$100, MATCH(D23, Catalogos!$V$4:$V$100, 0)), ""))</f>
      </c>
      <c r="F23" s="2609">
        <f>IF(D23="","", IFERROR(INDEX(Catalogos!$Y$4:$Y$100, MATCH(D23, Catalogos!$V$4:$V$100, 0)), ""))</f>
      </c>
      <c r="G23" s="2610">
        <v>6</v>
      </c>
      <c r="H23" s="2611"/>
      <c r="I23">
        <f>IF(E23="","", G23 * IFERROR(INDEX(Maquinaria_Inventario!$K$2:$K$100, MATCH(E23, Maquinaria_Inventario!$L$2:$L$100, 0)), 0))</f>
      </c>
      <c r="J23">
        <f t="shared" si="0"/>
      </c>
    </row>
    <row r="24" spans="1:10">
      <c r="A24" s="2612">
        <f>IF(D24="","", "HT-" &amp; IFERROR(VLOOKUP(C24, Catalogos!$Z$4:$AA$20, 2, FALSE), "FOL") &amp; "-" &amp; IF(B24="","00", WEEKNUM(B24,2)) &amp; "-" &amp; TEXT(ROW(A21),"000"))</f>
      </c>
      <c r="B24" s="2581">
        <v>46190</v>
      </c>
      <c r="C24" t="s" s="2539">
        <v>1</v>
      </c>
      <c r="D24" t="s" s="2540">
        <v>383</v>
      </c>
      <c r="E24" s="2613">
        <f>IF(D24="","", IFERROR(INDEX(Catalogos!$W$4:$W$100, MATCH(D24, Catalogos!$V$4:$V$100, 0)), ""))</f>
      </c>
      <c r="F24" s="2614">
        <f>IF(D24="","", IFERROR(INDEX(Catalogos!$Y$4:$Y$100, MATCH(D24, Catalogos!$V$4:$V$100, 0)), ""))</f>
      </c>
      <c r="G24" s="2615">
        <v>4</v>
      </c>
      <c r="H24" s="2616"/>
      <c r="I24">
        <f>IF(E24="","", G24 * IFERROR(INDEX(Maquinaria_Inventario!$K$2:$K$100, MATCH(E24, Maquinaria_Inventario!$L$2:$L$100, 0)), 0))</f>
      </c>
      <c r="J24">
        <f t="shared" si="0"/>
      </c>
    </row>
    <row r="25" spans="1:10">
      <c r="A25" s="2618">
        <f>IF(D25="","", "HT-" &amp; IFERROR(VLOOKUP(C25, Catalogos!$Z$4:$AA$20, 2, FALSE), "FOL") &amp; "-" &amp; IF(B25="","00", WEEKNUM(B25,2)) &amp; "-" &amp; TEXT(ROW(A22),"000"))</f>
      </c>
      <c r="B25" s="2617">
        <v>46191</v>
      </c>
      <c r="C25" t="s" s="2491">
        <v>1</v>
      </c>
      <c r="D25" t="s" s="2492">
        <v>386</v>
      </c>
      <c r="E25" s="2619">
        <f>IF(D25="","", IFERROR(INDEX(Catalogos!$W$4:$W$100, MATCH(D25, Catalogos!$V$4:$V$100, 0)), ""))</f>
      </c>
      <c r="F25" s="2620">
        <f>IF(D25="","", IFERROR(INDEX(Catalogos!$Y$4:$Y$100, MATCH(D25, Catalogos!$V$4:$V$100, 0)), ""))</f>
      </c>
      <c r="G25" s="2621">
        <v>6</v>
      </c>
      <c r="H25" s="2622"/>
      <c r="I25">
        <f>IF(E25="","", G25 * IFERROR(INDEX(Maquinaria_Inventario!$K$2:$K$100, MATCH(E25, Maquinaria_Inventario!$L$2:$L$100, 0)), 0))</f>
      </c>
      <c r="J25">
        <f t="shared" si="0"/>
      </c>
    </row>
    <row r="26" spans="1:10">
      <c r="A26" s="2623">
        <f>IF(D26="","", "HT-" &amp; IFERROR(VLOOKUP(C26, Catalogos!$Z$4:$AA$20, 2, FALSE), "FOL") &amp; "-" &amp; IF(B26="","00", WEEKNUM(B26,2)) &amp; "-" &amp; TEXT(ROW(A23),"000"))</f>
      </c>
      <c r="B26" s="2617">
        <v>46191</v>
      </c>
      <c r="C26" t="s" s="2499">
        <v>1</v>
      </c>
      <c r="D26" t="s" s="2500">
        <v>368</v>
      </c>
      <c r="E26" s="2624">
        <f>IF(D26="","", IFERROR(INDEX(Catalogos!$W$4:$W$100, MATCH(D26, Catalogos!$V$4:$V$100, 0)), ""))</f>
      </c>
      <c r="F26" s="2625">
        <f>IF(D26="","", IFERROR(INDEX(Catalogos!$Y$4:$Y$100, MATCH(D26, Catalogos!$V$4:$V$100, 0)), ""))</f>
      </c>
      <c r="G26" s="2626">
        <v>7</v>
      </c>
      <c r="H26" s="2627"/>
      <c r="I26">
        <f>IF(E26="","", G26 * IFERROR(INDEX(Maquinaria_Inventario!$K$2:$K$100, MATCH(E26, Maquinaria_Inventario!$L$2:$L$100, 0)), 0))</f>
      </c>
      <c r="J26">
        <f t="shared" si="0"/>
      </c>
    </row>
    <row r="27" spans="1:10">
      <c r="A27" s="2628">
        <f>IF(D27="","", "HT-" &amp; IFERROR(VLOOKUP(C27, Catalogos!$Z$4:$AA$20, 2, FALSE), "FOL") &amp; "-" &amp; IF(B27="","00", WEEKNUM(B27,2)) &amp; "-" &amp; TEXT(ROW(A24),"000"))</f>
      </c>
      <c r="B27" s="2617">
        <v>46191</v>
      </c>
      <c r="C27" t="s" s="2507">
        <v>1</v>
      </c>
      <c r="D27" t="s" s="2508">
        <v>222</v>
      </c>
      <c r="E27" s="2629">
        <f>IF(D27="","", IFERROR(INDEX(Catalogos!$W$4:$W$100, MATCH(D27, Catalogos!$V$4:$V$100, 0)), ""))</f>
      </c>
      <c r="F27" s="2630">
        <f>IF(D27="","", IFERROR(INDEX(Catalogos!$Y$4:$Y$100, MATCH(D27, Catalogos!$V$4:$V$100, 0)), ""))</f>
      </c>
      <c r="G27" s="2631">
        <v>8</v>
      </c>
      <c r="H27" s="2632"/>
      <c r="I27">
        <f>IF(E27="","", G27 * IFERROR(INDEX(Maquinaria_Inventario!$K$2:$K$100, MATCH(E27, Maquinaria_Inventario!$L$2:$L$100, 0)), 0))</f>
      </c>
      <c r="J27">
        <f t="shared" si="0"/>
      </c>
    </row>
    <row r="28" spans="1:10">
      <c r="A28" s="2633">
        <f>IF(D28="","", "HT-" &amp; IFERROR(VLOOKUP(C28, Catalogos!$Z$4:$AA$20, 2, FALSE), "FOL") &amp; "-" &amp; IF(B28="","00", WEEKNUM(B28,2)) &amp; "-" &amp; TEXT(ROW(A25),"000"))</f>
      </c>
      <c r="B28" s="2617">
        <v>46191</v>
      </c>
      <c r="C28" t="s" s="2515">
        <v>1</v>
      </c>
      <c r="D28" t="s" s="2516">
        <v>224</v>
      </c>
      <c r="E28" s="2634">
        <f>IF(D28="","", IFERROR(INDEX(Catalogos!$W$4:$W$100, MATCH(D28, Catalogos!$V$4:$V$100, 0)), ""))</f>
      </c>
      <c r="F28" s="2635">
        <f>IF(D28="","", IFERROR(INDEX(Catalogos!$Y$4:$Y$100, MATCH(D28, Catalogos!$V$4:$V$100, 0)), ""))</f>
      </c>
      <c r="G28" s="2636">
        <v>8</v>
      </c>
      <c r="H28" s="2637"/>
      <c r="I28">
        <f>IF(E28="","", G28 * IFERROR(INDEX(Maquinaria_Inventario!$K$2:$K$100, MATCH(E28, Maquinaria_Inventario!$L$2:$L$100, 0)), 0))</f>
      </c>
      <c r="J28">
        <f t="shared" si="0"/>
      </c>
    </row>
    <row r="29" spans="1:10">
      <c r="A29" s="2638">
        <f>IF(D29="","", "HT-" &amp; IFERROR(VLOOKUP(C29, Catalogos!$Z$4:$AA$20, 2, FALSE), "FOL") &amp; "-" &amp; IF(B29="","00", WEEKNUM(B29,2)) &amp; "-" &amp; TEXT(ROW(A26),"000"))</f>
      </c>
      <c r="B29" s="2617">
        <v>46191</v>
      </c>
      <c r="C29" t="s" s="2523">
        <v>1</v>
      </c>
      <c r="D29" t="s" s="2524">
        <v>216</v>
      </c>
      <c r="E29" s="2639">
        <f>IF(D29="","", IFERROR(INDEX(Catalogos!$W$4:$W$100, MATCH(D29, Catalogos!$V$4:$V$100, 0)), ""))</f>
      </c>
      <c r="F29" s="2640">
        <f>IF(D29="","", IFERROR(INDEX(Catalogos!$Y$4:$Y$100, MATCH(D29, Catalogos!$V$4:$V$100, 0)), ""))</f>
      </c>
      <c r="G29" s="2641">
        <v>6</v>
      </c>
      <c r="H29" s="2642"/>
      <c r="I29">
        <f>IF(E29="","", G29 * IFERROR(INDEX(Maquinaria_Inventario!$K$2:$K$100, MATCH(E29, Maquinaria_Inventario!$L$2:$L$100, 0)), 0))</f>
      </c>
      <c r="J29">
        <f t="shared" si="0"/>
      </c>
    </row>
    <row r="30" spans="1:10">
      <c r="A30" s="2643">
        <f>IF(D30="","", "HT-" &amp; IFERROR(VLOOKUP(C30, Catalogos!$Z$4:$AA$20, 2, FALSE), "FOL") &amp; "-" &amp; IF(B30="","00", WEEKNUM(B30,2)) &amp; "-" &amp; TEXT(ROW(A27),"000"))</f>
      </c>
      <c r="B30" s="2617">
        <v>46191</v>
      </c>
      <c r="C30" t="s" s="2531">
        <v>1</v>
      </c>
      <c r="D30" t="s" s="2532">
        <v>228</v>
      </c>
      <c r="E30" s="2644">
        <f>IF(D30="","", IFERROR(INDEX(Catalogos!$W$4:$W$100, MATCH(D30, Catalogos!$V$4:$V$100, 0)), ""))</f>
      </c>
      <c r="F30" s="2645">
        <f>IF(D30="","", IFERROR(INDEX(Catalogos!$Y$4:$Y$100, MATCH(D30, Catalogos!$V$4:$V$100, 0)), ""))</f>
      </c>
      <c r="G30" s="2646">
        <v>7</v>
      </c>
      <c r="H30" s="2647"/>
      <c r="I30">
        <f>IF(E30="","", G30 * IFERROR(INDEX(Maquinaria_Inventario!$K$2:$K$100, MATCH(E30, Maquinaria_Inventario!$L$2:$L$100, 0)), 0))</f>
      </c>
      <c r="J30">
        <f t="shared" si="0"/>
      </c>
    </row>
    <row r="31" spans="1:10">
      <c r="A31" s="2648">
        <f>IF(D31="","", "HT-" &amp; IFERROR(VLOOKUP(C31, Catalogos!$Z$4:$AA$20, 2, FALSE), "FOL") &amp; "-" &amp; IF(B31="","00", WEEKNUM(B31,2)) &amp; "-" &amp; TEXT(ROW(A28),"000"))</f>
      </c>
      <c r="B31" s="2617">
        <v>46191</v>
      </c>
      <c r="C31" t="s" s="2539">
        <v>1</v>
      </c>
      <c r="D31" t="s" s="2540">
        <v>383</v>
      </c>
      <c r="E31" s="2649">
        <f>IF(D31="","", IFERROR(INDEX(Catalogos!$W$4:$W$100, MATCH(D31, Catalogos!$V$4:$V$100, 0)), ""))</f>
      </c>
      <c r="F31" s="2650">
        <f>IF(D31="","", IFERROR(INDEX(Catalogos!$Y$4:$Y$100, MATCH(D31, Catalogos!$V$4:$V$100, 0)), ""))</f>
      </c>
      <c r="G31" s="2651">
        <v>4</v>
      </c>
      <c r="H31" s="2652"/>
      <c r="I31">
        <f>IF(E31="","", G31 * IFERROR(INDEX(Maquinaria_Inventario!$K$2:$K$100, MATCH(E31, Maquinaria_Inventario!$L$2:$L$100, 0)), 0))</f>
      </c>
      <c r="J31">
        <f t="shared" si="0"/>
      </c>
    </row>
    <row r="32" spans="1:10">
      <c r="A32" s="2654">
        <f>IF(D32="","", "HT-" &amp; IFERROR(VLOOKUP(C32, Catalogos!$Z$4:$AA$20, 2, FALSE), "FOL") &amp; "-" &amp; IF(B32="","00", WEEKNUM(B32,2)) &amp; "-" &amp; TEXT(ROW(A29),"000"))</f>
      </c>
      <c r="B32" s="2653">
        <v>46192</v>
      </c>
      <c r="C32" t="s" s="2491">
        <v>1</v>
      </c>
      <c r="D32" t="s" s="2492">
        <v>386</v>
      </c>
      <c r="E32" s="2655">
        <f>IF(D32="","", IFERROR(INDEX(Catalogos!$W$4:$W$100, MATCH(D32, Catalogos!$V$4:$V$100, 0)), ""))</f>
      </c>
      <c r="F32" s="2656">
        <f>IF(D32="","", IFERROR(INDEX(Catalogos!$Y$4:$Y$100, MATCH(D32, Catalogos!$V$4:$V$100, 0)), ""))</f>
      </c>
      <c r="G32" s="2657">
        <v>0</v>
      </c>
      <c r="H32" s="2658"/>
      <c r="I32">
        <f>IF(E32="","", G32 * IFERROR(INDEX(Maquinaria_Inventario!$K$2:$K$100, MATCH(E32, Maquinaria_Inventario!$L$2:$L$100, 0)), 0))</f>
      </c>
      <c r="J32">
        <f t="shared" si="0"/>
      </c>
    </row>
    <row r="33" spans="1:10">
      <c r="A33" s="2659">
        <f>IF(D33="","", "HT-" &amp; IFERROR(VLOOKUP(C33, Catalogos!$Z$4:$AA$20, 2, FALSE), "FOL") &amp; "-" &amp; IF(B33="","00", WEEKNUM(B33,2)) &amp; "-" &amp; TEXT(ROW(A30),"000"))</f>
      </c>
      <c r="B33" s="2653">
        <v>46192</v>
      </c>
      <c r="C33" t="s" s="2499">
        <v>1</v>
      </c>
      <c r="D33" t="s" s="2500">
        <v>368</v>
      </c>
      <c r="E33" s="2660">
        <f>IF(D33="","", IFERROR(INDEX(Catalogos!$W$4:$W$100, MATCH(D33, Catalogos!$V$4:$V$100, 0)), ""))</f>
      </c>
      <c r="F33" s="2661">
        <f>IF(D33="","", IFERROR(INDEX(Catalogos!$Y$4:$Y$100, MATCH(D33, Catalogos!$V$4:$V$100, 0)), ""))</f>
      </c>
      <c r="G33" s="2662">
        <v>6</v>
      </c>
      <c r="H33" s="2663"/>
      <c r="I33">
        <f>IF(E33="","", G33 * IFERROR(INDEX(Maquinaria_Inventario!$K$2:$K$100, MATCH(E33, Maquinaria_Inventario!$L$2:$L$100, 0)), 0))</f>
      </c>
      <c r="J33">
        <f t="shared" si="0"/>
      </c>
    </row>
    <row r="34" spans="1:10">
      <c r="A34" s="2664">
        <f>IF(D34="","", "HT-" &amp; IFERROR(VLOOKUP(C34, Catalogos!$Z$4:$AA$20, 2, FALSE), "FOL") &amp; "-" &amp; IF(B34="","00", WEEKNUM(B34,2)) &amp; "-" &amp; TEXT(ROW(A31),"000"))</f>
      </c>
      <c r="B34" s="2653">
        <v>46192</v>
      </c>
      <c r="C34" t="s" s="2507">
        <v>1</v>
      </c>
      <c r="D34" t="s" s="2508">
        <v>222</v>
      </c>
      <c r="E34" s="2665">
        <f>IF(D34="","", IFERROR(INDEX(Catalogos!$W$4:$W$100, MATCH(D34, Catalogos!$V$4:$V$100, 0)), ""))</f>
      </c>
      <c r="F34" s="2666">
        <f>IF(D34="","", IFERROR(INDEX(Catalogos!$Y$4:$Y$100, MATCH(D34, Catalogos!$V$4:$V$100, 0)), ""))</f>
      </c>
      <c r="G34" s="2667">
        <v>7</v>
      </c>
      <c r="H34" s="2668"/>
      <c r="I34">
        <f>IF(E34="","", G34 * IFERROR(INDEX(Maquinaria_Inventario!$K$2:$K$100, MATCH(E34, Maquinaria_Inventario!$L$2:$L$100, 0)), 0))</f>
      </c>
      <c r="J34">
        <f t="shared" si="0"/>
      </c>
    </row>
    <row r="35" spans="1:10">
      <c r="A35" s="2669">
        <f>IF(D35="","", "HT-" &amp; IFERROR(VLOOKUP(C35, Catalogos!$Z$4:$AA$20, 2, FALSE), "FOL") &amp; "-" &amp; IF(B35="","00", WEEKNUM(B35,2)) &amp; "-" &amp; TEXT(ROW(A32),"000"))</f>
      </c>
      <c r="B35" s="2653">
        <v>46192</v>
      </c>
      <c r="C35" t="s" s="2515">
        <v>1</v>
      </c>
      <c r="D35" t="s" s="2516">
        <v>224</v>
      </c>
      <c r="E35" s="2670">
        <f>IF(D35="","", IFERROR(INDEX(Catalogos!$W$4:$W$100, MATCH(D35, Catalogos!$V$4:$V$100, 0)), ""))</f>
      </c>
      <c r="F35" s="2671">
        <f>IF(D35="","", IFERROR(INDEX(Catalogos!$Y$4:$Y$100, MATCH(D35, Catalogos!$V$4:$V$100, 0)), ""))</f>
      </c>
      <c r="G35" s="2672">
        <v>7</v>
      </c>
      <c r="H35" s="2673"/>
      <c r="I35">
        <f>IF(E35="","", G35 * IFERROR(INDEX(Maquinaria_Inventario!$K$2:$K$100, MATCH(E35, Maquinaria_Inventario!$L$2:$L$100, 0)), 0))</f>
      </c>
      <c r="J35">
        <f t="shared" si="0"/>
      </c>
    </row>
    <row r="36" spans="1:10">
      <c r="A36" s="2674">
        <f>IF(D36="","", "HT-" &amp; IFERROR(VLOOKUP(C36, Catalogos!$Z$4:$AA$20, 2, FALSE), "FOL") &amp; "-" &amp; IF(B36="","00", WEEKNUM(B36,2)) &amp; "-" &amp; TEXT(ROW(A33),"000"))</f>
      </c>
      <c r="B36" s="2653">
        <v>46192</v>
      </c>
      <c r="C36" t="s" s="2523">
        <v>1</v>
      </c>
      <c r="D36" t="s" s="2524">
        <v>216</v>
      </c>
      <c r="E36" s="2675">
        <f>IF(D36="","", IFERROR(INDEX(Catalogos!$W$4:$W$100, MATCH(D36, Catalogos!$V$4:$V$100, 0)), ""))</f>
      </c>
      <c r="F36" s="2676">
        <f>IF(D36="","", IFERROR(INDEX(Catalogos!$Y$4:$Y$100, MATCH(D36, Catalogos!$V$4:$V$100, 0)), ""))</f>
      </c>
      <c r="G36" s="2677">
        <v>5</v>
      </c>
      <c r="H36" s="2678"/>
      <c r="I36">
        <f>IF(E36="","", G36 * IFERROR(INDEX(Maquinaria_Inventario!$K$2:$K$100, MATCH(E36, Maquinaria_Inventario!$L$2:$L$100, 0)), 0))</f>
      </c>
      <c r="J36">
        <f t="shared" si="0"/>
      </c>
    </row>
    <row r="37" spans="1:10">
      <c r="A37" s="2679">
        <f>IF(D37="","", "HT-" &amp; IFERROR(VLOOKUP(C37, Catalogos!$Z$4:$AA$20, 2, FALSE), "FOL") &amp; "-" &amp; IF(B37="","00", WEEKNUM(B37,2)) &amp; "-" &amp; TEXT(ROW(A34),"000"))</f>
      </c>
      <c r="B37" s="2653">
        <v>46192</v>
      </c>
      <c r="C37" t="s" s="2531">
        <v>1</v>
      </c>
      <c r="D37" t="s" s="2532">
        <v>228</v>
      </c>
      <c r="E37" s="2680">
        <f>IF(D37="","", IFERROR(INDEX(Catalogos!$W$4:$W$100, MATCH(D37, Catalogos!$V$4:$V$100, 0)), ""))</f>
      </c>
      <c r="F37" s="2681">
        <f>IF(D37="","", IFERROR(INDEX(Catalogos!$Y$4:$Y$100, MATCH(D37, Catalogos!$V$4:$V$100, 0)), ""))</f>
      </c>
      <c r="G37" s="2682">
        <v>5</v>
      </c>
      <c r="H37" s="2683"/>
      <c r="I37">
        <f>IF(E37="","", G37 * IFERROR(INDEX(Maquinaria_Inventario!$K$2:$K$100, MATCH(E37, Maquinaria_Inventario!$L$2:$L$100, 0)), 0))</f>
      </c>
      <c r="J37">
        <f t="shared" si="0"/>
      </c>
    </row>
    <row r="38" spans="1:10">
      <c r="A38" s="2684">
        <f>IF(D38="","", "HT-" &amp; IFERROR(VLOOKUP(C38, Catalogos!$Z$4:$AA$20, 2, FALSE), "FOL") &amp; "-" &amp; IF(B38="","00", WEEKNUM(B38,2)) &amp; "-" &amp; TEXT(ROW(A35),"000"))</f>
      </c>
      <c r="B38" s="2653">
        <v>46192</v>
      </c>
      <c r="C38" t="s" s="2539">
        <v>1</v>
      </c>
      <c r="D38" t="s" s="2540">
        <v>383</v>
      </c>
      <c r="E38" s="2685">
        <f>IF(D38="","", IFERROR(INDEX(Catalogos!$W$4:$W$100, MATCH(D38, Catalogos!$V$4:$V$100, 0)), ""))</f>
      </c>
      <c r="F38" s="2686">
        <f>IF(D38="","", IFERROR(INDEX(Catalogos!$Y$4:$Y$100, MATCH(D38, Catalogos!$V$4:$V$100, 0)), ""))</f>
      </c>
      <c r="G38" s="2687">
        <v>4</v>
      </c>
      <c r="H38" s="2688"/>
      <c r="I38">
        <f>IF(E38="","", G38 * IFERROR(INDEX(Maquinaria_Inventario!$K$2:$K$100, MATCH(E38, Maquinaria_Inventario!$L$2:$L$100, 0)), 0))</f>
      </c>
      <c r="J38">
        <f t="shared" si="0"/>
      </c>
    </row>
    <row r="39" spans="1:10">
      <c r="A39" s="2690">
        <f>IF(D39="","", "HT-" &amp; IFERROR(VLOOKUP(C39, Catalogos!$Z$4:$AA$20, 2, FALSE), "FOL") &amp; "-" &amp; IF(B39="","00", WEEKNUM(B39,2)) &amp; "-" &amp; TEXT(ROW(A36),"000"))</f>
      </c>
      <c r="B39" s="2689">
        <v>46188</v>
      </c>
      <c r="C39" t="s" s="2691">
        <v>111</v>
      </c>
      <c r="D39" t="s" s="2692">
        <v>209</v>
      </c>
      <c r="E39" s="2693">
        <f>IF(D39="","", IFERROR(INDEX(Catalogos!$W$4:$W$100, MATCH(D39, Catalogos!$V$4:$V$100, 0)), ""))</f>
      </c>
      <c r="F39" s="2694">
        <f>IF(D39="","", IFERROR(INDEX(Catalogos!$Y$4:$Y$100, MATCH(D39, Catalogos!$V$4:$V$100, 0)), ""))</f>
      </c>
      <c r="G39" s="2695">
        <v>7</v>
      </c>
      <c r="H39" s="2696"/>
      <c r="I39">
        <f>IF(E39="","", G39 * IFERROR(INDEX(Maquinaria_Inventario!$K$2:$K$100, MATCH(E39, Maquinaria_Inventario!$L$2:$L$100, 0)), 0))</f>
      </c>
      <c r="J39">
        <f t="shared" si="0"/>
      </c>
    </row>
    <row r="40" spans="1:10">
      <c r="A40" s="2697">
        <f>IF(D40="","", "HT-" &amp; IFERROR(VLOOKUP(C40, Catalogos!$Z$4:$AA$20, 2, FALSE), "FOL") &amp; "-" &amp; IF(B40="","00", WEEKNUM(B40,2)) &amp; "-" &amp; TEXT(ROW(A37),"000"))</f>
      </c>
      <c r="B40" s="2689">
        <v>46188</v>
      </c>
      <c r="C40" t="s" s="2698">
        <v>111</v>
      </c>
      <c r="D40" t="s" s="2699">
        <v>226</v>
      </c>
      <c r="E40" s="2700">
        <f>IF(D40="","", IFERROR(INDEX(Catalogos!$W$4:$W$100, MATCH(D40, Catalogos!$V$4:$V$100, 0)), ""))</f>
      </c>
      <c r="F40" s="2701">
        <f>IF(D40="","", IFERROR(INDEX(Catalogos!$Y$4:$Y$100, MATCH(D40, Catalogos!$V$4:$V$100, 0)), ""))</f>
      </c>
      <c r="G40" s="2702">
        <v>7</v>
      </c>
      <c r="H40" s="2703"/>
      <c r="I40">
        <f>IF(E40="","", G40 * IFERROR(INDEX(Maquinaria_Inventario!$K$2:$K$100, MATCH(E40, Maquinaria_Inventario!$L$2:$L$100, 0)), 0))</f>
      </c>
      <c r="J40">
        <f t="shared" si="0"/>
      </c>
    </row>
    <row r="41" spans="1:10">
      <c r="A41" s="2704">
        <f>IF(D41="","", "HT-" &amp; IFERROR(VLOOKUP(C41, Catalogos!$Z$4:$AA$20, 2, FALSE), "FOL") &amp; "-" &amp; IF(B41="","00", WEEKNUM(B41,2)) &amp; "-" &amp; TEXT(ROW(A38),"000"))</f>
      </c>
      <c r="B41" s="2689">
        <v>46188</v>
      </c>
      <c r="C41" t="s" s="2705">
        <v>111</v>
      </c>
      <c r="D41" t="s" s="2706">
        <v>250</v>
      </c>
      <c r="E41" s="2707">
        <f>IF(D41="","", IFERROR(INDEX(Catalogos!$W$4:$W$100, MATCH(D41, Catalogos!$V$4:$V$100, 0)), ""))</f>
      </c>
      <c r="F41" s="2708">
        <f>IF(D41="","", IFERROR(INDEX(Catalogos!$Y$4:$Y$100, MATCH(D41, Catalogos!$V$4:$V$100, 0)), ""))</f>
      </c>
      <c r="G41" s="2709">
        <v>4</v>
      </c>
      <c r="H41" s="2710"/>
      <c r="I41">
        <f>IF(E41="","", G41 * IFERROR(INDEX(Maquinaria_Inventario!$K$2:$K$100, MATCH(E41, Maquinaria_Inventario!$L$2:$L$100, 0)), 0))</f>
      </c>
      <c r="J41">
        <f t="shared" si="0"/>
      </c>
    </row>
    <row r="42" spans="1:10">
      <c r="A42" s="2712">
        <f>IF(D42="","", "HT-" &amp; IFERROR(VLOOKUP(C42, Catalogos!$Z$4:$AA$20, 2, FALSE), "FOL") &amp; "-" &amp; IF(B42="","00", WEEKNUM(B42,2)) &amp; "-" &amp; TEXT(ROW(A39),"000"))</f>
      </c>
      <c r="B42" s="2711">
        <v>46189</v>
      </c>
      <c r="C42" t="s" s="2713">
        <v>111</v>
      </c>
      <c r="D42" t="s" s="2714">
        <v>214</v>
      </c>
      <c r="E42" s="2715">
        <f>IF(D42="","", IFERROR(INDEX(Catalogos!$W$4:$W$100, MATCH(D42, Catalogos!$V$4:$V$100, 0)), ""))</f>
      </c>
      <c r="F42" s="2716">
        <f>IF(D42="","", IFERROR(INDEX(Catalogos!$Y$4:$Y$100, MATCH(D42, Catalogos!$V$4:$V$100, 0)), ""))</f>
      </c>
      <c r="G42" s="2717">
        <v>4</v>
      </c>
      <c r="H42" s="2718"/>
      <c r="I42">
        <f>IF(E42="","", G42 * IFERROR(INDEX(Maquinaria_Inventario!$K$2:$K$100, MATCH(E42, Maquinaria_Inventario!$L$2:$L$100, 0)), 0))</f>
      </c>
      <c r="J42">
        <f t="shared" si="0"/>
      </c>
    </row>
    <row r="43" spans="1:10">
      <c r="A43" s="2719">
        <f>IF(D43="","", "HT-" &amp; IFERROR(VLOOKUP(C43, Catalogos!$Z$4:$AA$20, 2, FALSE), "FOL") &amp; "-" &amp; IF(B43="","00", WEEKNUM(B43,2)) &amp; "-" &amp; TEXT(ROW(A40),"000"))</f>
      </c>
      <c r="B43" s="2711">
        <v>46189</v>
      </c>
      <c r="C43" t="s" s="2720">
        <v>111</v>
      </c>
      <c r="D43" t="s" s="2721">
        <v>219</v>
      </c>
      <c r="E43" s="2722">
        <f>IF(D43="","", IFERROR(INDEX(Catalogos!$W$4:$W$100, MATCH(D43, Catalogos!$V$4:$V$100, 0)), ""))</f>
      </c>
      <c r="F43" s="2723">
        <f>IF(D43="","", IFERROR(INDEX(Catalogos!$Y$4:$Y$100, MATCH(D43, Catalogos!$V$4:$V$100, 0)), ""))</f>
      </c>
      <c r="G43" s="2724">
        <v>2</v>
      </c>
      <c r="H43" s="2725"/>
      <c r="I43">
        <f>IF(E43="","", G43 * IFERROR(INDEX(Maquinaria_Inventario!$K$2:$K$100, MATCH(E43, Maquinaria_Inventario!$L$2:$L$100, 0)), 0))</f>
      </c>
      <c r="J43">
        <f t="shared" si="0"/>
      </c>
    </row>
    <row r="44" spans="1:10">
      <c r="A44" s="2726">
        <f>IF(D44="","", "HT-" &amp; IFERROR(VLOOKUP(C44, Catalogos!$Z$4:$AA$20, 2, FALSE), "FOL") &amp; "-" &amp; IF(B44="","00", WEEKNUM(B44,2)) &amp; "-" &amp; TEXT(ROW(A41),"000"))</f>
      </c>
      <c r="B44" s="2711">
        <v>46189</v>
      </c>
      <c r="C44" t="s" s="2727">
        <v>111</v>
      </c>
      <c r="D44" t="s" s="2728">
        <v>250</v>
      </c>
      <c r="E44" s="2729">
        <f>IF(D44="","", IFERROR(INDEX(Catalogos!$W$4:$W$100, MATCH(D44, Catalogos!$V$4:$V$100, 0)), ""))</f>
      </c>
      <c r="F44" s="2730">
        <f>IF(D44="","", IFERROR(INDEX(Catalogos!$Y$4:$Y$100, MATCH(D44, Catalogos!$V$4:$V$100, 0)), ""))</f>
      </c>
      <c r="G44" s="2731">
        <v>4</v>
      </c>
      <c r="H44" s="2732"/>
      <c r="I44">
        <f>IF(E44="","", G44 * IFERROR(INDEX(Maquinaria_Inventario!$K$2:$K$100, MATCH(E44, Maquinaria_Inventario!$L$2:$L$100, 0)), 0))</f>
      </c>
      <c r="J44">
        <f t="shared" si="0"/>
      </c>
    </row>
    <row r="45" spans="1:10">
      <c r="A45" s="2733">
        <f>IF(D45="","", "HT-" &amp; IFERROR(VLOOKUP(C45, Catalogos!$Z$4:$AA$20, 2, FALSE), "FOL") &amp; "-" &amp; IF(B45="","00", WEEKNUM(B45,2)) &amp; "-" &amp; TEXT(ROW(A42),"000"))</f>
      </c>
      <c r="B45" s="2711">
        <v>46189</v>
      </c>
      <c r="C45" t="s" s="2734">
        <v>111</v>
      </c>
      <c r="D45" t="s" s="2735">
        <v>209</v>
      </c>
      <c r="E45" s="2736">
        <f>IF(D45="","", IFERROR(INDEX(Catalogos!$W$4:$W$100, MATCH(D45, Catalogos!$V$4:$V$100, 0)), ""))</f>
      </c>
      <c r="F45" s="2737">
        <f>IF(D45="","", IFERROR(INDEX(Catalogos!$Y$4:$Y$100, MATCH(D45, Catalogos!$V$4:$V$100, 0)), ""))</f>
      </c>
      <c r="G45" s="2738">
        <v>7</v>
      </c>
      <c r="H45" s="2739"/>
      <c r="I45">
        <f>IF(E45="","", G45 * IFERROR(INDEX(Maquinaria_Inventario!$K$2:$K$100, MATCH(E45, Maquinaria_Inventario!$L$2:$L$100, 0)), 0))</f>
      </c>
      <c r="J45">
        <f t="shared" si="0"/>
      </c>
    </row>
    <row r="46" spans="1:10">
      <c r="A46" s="2740">
        <f>IF(D46="","", "HT-" &amp; IFERROR(VLOOKUP(C46, Catalogos!$Z$4:$AA$20, 2, FALSE), "FOL") &amp; "-" &amp; IF(B46="","00", WEEKNUM(B46,2)) &amp; "-" &amp; TEXT(ROW(A43),"000"))</f>
      </c>
      <c r="B46" s="2711">
        <v>46189</v>
      </c>
      <c r="C46" t="s" s="2741">
        <v>111</v>
      </c>
      <c r="D46" t="s" s="2742">
        <v>226</v>
      </c>
      <c r="E46" s="2743">
        <f>IF(D46="","", IFERROR(INDEX(Catalogos!$W$4:$W$100, MATCH(D46, Catalogos!$V$4:$V$100, 0)), ""))</f>
      </c>
      <c r="F46" s="2744">
        <f>IF(D46="","", IFERROR(INDEX(Catalogos!$Y$4:$Y$100, MATCH(D46, Catalogos!$V$4:$V$100, 0)), ""))</f>
      </c>
      <c r="G46" s="2745">
        <v>7</v>
      </c>
      <c r="H46" s="2746"/>
      <c r="I46">
        <f>IF(E46="","", G46 * IFERROR(INDEX(Maquinaria_Inventario!$K$2:$K$100, MATCH(E46, Maquinaria_Inventario!$L$2:$L$100, 0)), 0))</f>
      </c>
      <c r="J46">
        <f t="shared" si="0"/>
      </c>
    </row>
    <row r="47" spans="1:10">
      <c r="A47" s="2748">
        <f>IF(D47="","", "HT-" &amp; IFERROR(VLOOKUP(C47, Catalogos!$Z$4:$AA$20, 2, FALSE), "FOL") &amp; "-" &amp; IF(B47="","00", WEEKNUM(B47,2)) &amp; "-" &amp; TEXT(ROW(A44),"000"))</f>
      </c>
      <c r="B47" s="2747">
        <v>46190</v>
      </c>
      <c r="C47" t="s" s="2749">
        <v>111</v>
      </c>
      <c r="D47" t="s" s="2750">
        <v>250</v>
      </c>
      <c r="E47" s="2751">
        <f>IF(D47="","", IFERROR(INDEX(Catalogos!$W$4:$W$100, MATCH(D47, Catalogos!$V$4:$V$100, 0)), ""))</f>
      </c>
      <c r="F47" s="2752">
        <f>IF(D47="","", IFERROR(INDEX(Catalogos!$Y$4:$Y$100, MATCH(D47, Catalogos!$V$4:$V$100, 0)), ""))</f>
      </c>
      <c r="G47" s="2753">
        <v>4</v>
      </c>
      <c r="H47" s="2754"/>
      <c r="I47">
        <f>IF(E47="","", G47 * IFERROR(INDEX(Maquinaria_Inventario!$K$2:$K$100, MATCH(E47, Maquinaria_Inventario!$L$2:$L$100, 0)), 0))</f>
      </c>
      <c r="J47">
        <f t="shared" si="0"/>
      </c>
    </row>
    <row r="48" spans="1:10">
      <c r="A48" s="2755">
        <f>IF(D48="","", "HT-" &amp; IFERROR(VLOOKUP(C48, Catalogos!$Z$4:$AA$20, 2, FALSE), "FOL") &amp; "-" &amp; IF(B48="","00", WEEKNUM(B48,2)) &amp; "-" &amp; TEXT(ROW(A45),"000"))</f>
      </c>
      <c r="B48" s="2747">
        <v>46190</v>
      </c>
      <c r="C48" t="s" s="2756">
        <v>111</v>
      </c>
      <c r="D48" t="s" s="2757">
        <v>209</v>
      </c>
      <c r="E48" s="2758">
        <f>IF(D48="","", IFERROR(INDEX(Catalogos!$W$4:$W$100, MATCH(D48, Catalogos!$V$4:$V$100, 0)), ""))</f>
      </c>
      <c r="F48" s="2759">
        <f>IF(D48="","", IFERROR(INDEX(Catalogos!$Y$4:$Y$100, MATCH(D48, Catalogos!$V$4:$V$100, 0)), ""))</f>
      </c>
      <c r="G48" s="2760">
        <v>7</v>
      </c>
      <c r="H48" s="2761"/>
      <c r="I48">
        <f>IF(E48="","", G48 * IFERROR(INDEX(Maquinaria_Inventario!$K$2:$K$100, MATCH(E48, Maquinaria_Inventario!$L$2:$L$100, 0)), 0))</f>
      </c>
      <c r="J48">
        <f t="shared" si="0"/>
      </c>
    </row>
    <row r="49" spans="1:10">
      <c r="A49" s="2762">
        <f>IF(D49="","", "HT-" &amp; IFERROR(VLOOKUP(C49, Catalogos!$Z$4:$AA$20, 2, FALSE), "FOL") &amp; "-" &amp; IF(B49="","00", WEEKNUM(B49,2)) &amp; "-" &amp; TEXT(ROW(A46),"000"))</f>
      </c>
      <c r="B49" s="2747">
        <v>46190</v>
      </c>
      <c r="C49" t="s" s="2763">
        <v>111</v>
      </c>
      <c r="D49" t="s" s="2764">
        <v>209</v>
      </c>
      <c r="E49" s="2765">
        <f>IF(D49="","", IFERROR(INDEX(Catalogos!$W$4:$W$100, MATCH(D49, Catalogos!$V$4:$V$100, 0)), ""))</f>
      </c>
      <c r="F49" s="2766">
        <f>IF(D49="","", IFERROR(INDEX(Catalogos!$Y$4:$Y$100, MATCH(D49, Catalogos!$V$4:$V$100, 0)), ""))</f>
      </c>
      <c r="G49" s="2767">
        <v>7</v>
      </c>
      <c r="H49" s="2768"/>
      <c r="I49">
        <f>IF(E49="","", G49 * IFERROR(INDEX(Maquinaria_Inventario!$K$2:$K$100, MATCH(E49, Maquinaria_Inventario!$L$2:$L$100, 0)), 0))</f>
      </c>
      <c r="J49">
        <f t="shared" si="0"/>
      </c>
    </row>
    <row r="50" spans="1:10">
      <c r="A50" s="2770">
        <f>IF(D50="","", "HT-" &amp; IFERROR(VLOOKUP(C50, Catalogos!$Z$4:$AA$20, 2, FALSE), "FOL") &amp; "-" &amp; IF(B50="","00", WEEKNUM(B50,2)) &amp; "-" &amp; TEXT(ROW(A47),"000"))</f>
      </c>
      <c r="B50" s="2769">
        <v>46191</v>
      </c>
      <c r="C50" t="s" s="2771">
        <v>111</v>
      </c>
      <c r="D50" t="s" s="2714">
        <v>214</v>
      </c>
      <c r="E50" s="2715">
        <f>IF(D50="","", IFERROR(INDEX(Catalogos!$W$4:$W$100, MATCH(D50, Catalogos!$V$4:$V$100, 0)), ""))</f>
      </c>
      <c r="F50" s="2716">
        <f>IF(D50="","", IFERROR(INDEX(Catalogos!$Y$4:$Y$100, MATCH(D50, Catalogos!$V$4:$V$100, 0)), ""))</f>
      </c>
      <c r="G50" s="2717">
        <v>4</v>
      </c>
      <c r="H50" s="2772"/>
      <c r="I50">
        <f>IF(E50="","", G50 * IFERROR(INDEX(Maquinaria_Inventario!$K$2:$K$100, MATCH(E50, Maquinaria_Inventario!$L$2:$L$100, 0)), 0))</f>
      </c>
      <c r="J50">
        <f t="shared" si="0"/>
      </c>
    </row>
    <row r="51" spans="1:10">
      <c r="A51" s="2773">
        <f>IF(D51="","", "HT-" &amp; IFERROR(VLOOKUP(C51, Catalogos!$Z$4:$AA$20, 2, FALSE), "FOL") &amp; "-" &amp; IF(B51="","00", WEEKNUM(B51,2)) &amp; "-" &amp; TEXT(ROW(A48),"000"))</f>
      </c>
      <c r="B51" s="2769">
        <v>46191</v>
      </c>
      <c r="C51" t="s" s="2749">
        <v>111</v>
      </c>
      <c r="D51" t="s" s="2721">
        <v>219</v>
      </c>
      <c r="E51" s="2722">
        <f>IF(D51="","", IFERROR(INDEX(Catalogos!$W$4:$W$100, MATCH(D51, Catalogos!$V$4:$V$100, 0)), ""))</f>
      </c>
      <c r="F51" s="2723">
        <f>IF(D51="","", IFERROR(INDEX(Catalogos!$Y$4:$Y$100, MATCH(D51, Catalogos!$V$4:$V$100, 0)), ""))</f>
      </c>
      <c r="G51" s="2724">
        <v>2</v>
      </c>
      <c r="H51" s="2774"/>
      <c r="I51">
        <f>IF(E51="","", G51 * IFERROR(INDEX(Maquinaria_Inventario!$K$2:$K$100, MATCH(E51, Maquinaria_Inventario!$L$2:$L$100, 0)), 0))</f>
      </c>
      <c r="J51">
        <f t="shared" si="0"/>
      </c>
    </row>
    <row r="52" spans="1:10">
      <c r="A52" s="2775">
        <f>IF(D52="","", "HT-" &amp; IFERROR(VLOOKUP(C52, Catalogos!$Z$4:$AA$20, 2, FALSE), "FOL") &amp; "-" &amp; IF(B52="","00", WEEKNUM(B52,2)) &amp; "-" &amp; TEXT(ROW(A49),"000"))</f>
      </c>
      <c r="B52" s="2769">
        <v>46191</v>
      </c>
      <c r="C52" t="s" s="2756">
        <v>111</v>
      </c>
      <c r="D52" t="s" s="2728">
        <v>250</v>
      </c>
      <c r="E52" s="2729">
        <f>IF(D52="","", IFERROR(INDEX(Catalogos!$W$4:$W$100, MATCH(D52, Catalogos!$V$4:$V$100, 0)), ""))</f>
      </c>
      <c r="F52" s="2730">
        <f>IF(D52="","", IFERROR(INDEX(Catalogos!$Y$4:$Y$100, MATCH(D52, Catalogos!$V$4:$V$100, 0)), ""))</f>
      </c>
      <c r="G52" s="2731">
        <v>4</v>
      </c>
      <c r="H52" s="2776"/>
      <c r="I52">
        <f>IF(E52="","", G52 * IFERROR(INDEX(Maquinaria_Inventario!$K$2:$K$100, MATCH(E52, Maquinaria_Inventario!$L$2:$L$100, 0)), 0))</f>
      </c>
      <c r="J52">
        <f t="shared" si="0"/>
      </c>
    </row>
    <row r="53" spans="1:10">
      <c r="A53" s="2777">
        <f>IF(D53="","", "HT-" &amp; IFERROR(VLOOKUP(C53, Catalogos!$Z$4:$AA$20, 2, FALSE), "FOL") &amp; "-" &amp; IF(B53="","00", WEEKNUM(B53,2)) &amp; "-" &amp; TEXT(ROW(A50),"000"))</f>
      </c>
      <c r="B53" s="2769">
        <v>46191</v>
      </c>
      <c r="C53" t="s" s="2763">
        <v>111</v>
      </c>
      <c r="D53" t="s" s="2735">
        <v>209</v>
      </c>
      <c r="E53" s="2736">
        <f>IF(D53="","", IFERROR(INDEX(Catalogos!$W$4:$W$100, MATCH(D53, Catalogos!$V$4:$V$100, 0)), ""))</f>
      </c>
      <c r="F53" s="2737">
        <f>IF(D53="","", IFERROR(INDEX(Catalogos!$Y$4:$Y$100, MATCH(D53, Catalogos!$V$4:$V$100, 0)), ""))</f>
      </c>
      <c r="G53" s="2738">
        <v>7</v>
      </c>
      <c r="H53" s="2778"/>
      <c r="I53">
        <f>IF(E53="","", G53 * IFERROR(INDEX(Maquinaria_Inventario!$K$2:$K$100, MATCH(E53, Maquinaria_Inventario!$L$2:$L$100, 0)), 0))</f>
      </c>
      <c r="J53">
        <f t="shared" si="0"/>
      </c>
    </row>
    <row r="54" spans="1:10">
      <c r="A54" s="2779">
        <f>IF(D54="","", "HT-" &amp; IFERROR(VLOOKUP(C54, Catalogos!$Z$4:$AA$20, 2, FALSE), "FOL") &amp; "-" &amp; IF(B54="","00", WEEKNUM(B54,2)) &amp; "-" &amp; TEXT(ROW(A51),"000"))</f>
      </c>
      <c r="B54" s="2769">
        <v>46191</v>
      </c>
      <c r="C54" t="s" s="2771">
        <v>111</v>
      </c>
      <c r="D54" t="s" s="2742">
        <v>226</v>
      </c>
      <c r="E54" s="2743">
        <f>IF(D54="","", IFERROR(INDEX(Catalogos!$W$4:$W$100, MATCH(D54, Catalogos!$V$4:$V$100, 0)), ""))</f>
      </c>
      <c r="F54" s="2744">
        <f>IF(D54="","", IFERROR(INDEX(Catalogos!$Y$4:$Y$100, MATCH(D54, Catalogos!$V$4:$V$100, 0)), ""))</f>
      </c>
      <c r="G54" s="2745">
        <v>7</v>
      </c>
      <c r="H54" s="2780"/>
      <c r="I54">
        <f>IF(E54="","", G54 * IFERROR(INDEX(Maquinaria_Inventario!$K$2:$K$100, MATCH(E54, Maquinaria_Inventario!$L$2:$L$100, 0)), 0))</f>
      </c>
      <c r="J54">
        <f t="shared" si="0"/>
      </c>
    </row>
    <row r="55" spans="1:10">
      <c r="A55" s="2781">
        <f>IF(D55="","", "HT-" &amp; IFERROR(VLOOKUP(C55, Catalogos!$Z$4:$AA$20, 2, FALSE), "FOL") &amp; "-" &amp; IF(B55="","00", WEEKNUM(B55,2)) &amp; "-" &amp; TEXT(ROW(A52),"000"))</f>
      </c>
      <c r="B55" s="3806">
        <v>46192</v>
      </c>
      <c r="C55" t="s" s="2749">
        <v>111</v>
      </c>
      <c r="D55" t="s" s="2750">
        <v>250</v>
      </c>
      <c r="E55" s="2751">
        <f>IF(D55="","", IFERROR(INDEX(Catalogos!$W$4:$W$100, MATCH(D55, Catalogos!$V$4:$V$100, 0)), ""))</f>
      </c>
      <c r="F55" s="2752">
        <f>IF(D55="","", IFERROR(INDEX(Catalogos!$Y$4:$Y$100, MATCH(D55, Catalogos!$V$4:$V$100, 0)), ""))</f>
      </c>
      <c r="G55" s="2753">
        <v>4</v>
      </c>
      <c r="H55" s="2782"/>
      <c r="I55">
        <f>IF(E55="","", G55 * IFERROR(INDEX(Maquinaria_Inventario!$K$2:$K$100, MATCH(E55, Maquinaria_Inventario!$L$2:$L$100, 0)), 0))</f>
      </c>
      <c r="J55">
        <f t="shared" si="0"/>
      </c>
    </row>
    <row r="56" spans="1:10">
      <c r="A56" s="2783">
        <f>IF(D56="","", "HT-" &amp; IFERROR(VLOOKUP(C56, Catalogos!$Z$4:$AA$20, 2, FALSE), "FOL") &amp; "-" &amp; IF(B56="","00", WEEKNUM(B56,2)) &amp; "-" &amp; TEXT(ROW(A53),"000"))</f>
      </c>
      <c r="B56" s="3806">
        <v>46192</v>
      </c>
      <c r="C56" t="s" s="2763">
        <v>111</v>
      </c>
      <c r="D56" t="s" s="2757">
        <v>209</v>
      </c>
      <c r="E56" s="2758">
        <f>IF(D56="","", IFERROR(INDEX(Catalogos!$W$4:$W$100, MATCH(D56, Catalogos!$V$4:$V$100, 0)), ""))</f>
      </c>
      <c r="F56" s="2759">
        <f>IF(D56="","", IFERROR(INDEX(Catalogos!$Y$4:$Y$100, MATCH(D56, Catalogos!$V$4:$V$100, 0)), ""))</f>
      </c>
      <c r="G56" s="2760">
        <v>7</v>
      </c>
      <c r="H56" s="2784"/>
      <c r="I56">
        <f>IF(E56="","", G56 * IFERROR(INDEX(Maquinaria_Inventario!$K$2:$K$100, MATCH(E56, Maquinaria_Inventario!$L$2:$L$100, 0)), 0))</f>
      </c>
      <c r="J56">
        <f t="shared" si="0"/>
      </c>
    </row>
    <row r="57" spans="1:10">
      <c r="A57" s="2785">
        <f>IF(D57="","", "HT-" &amp; IFERROR(VLOOKUP(C57, Catalogos!$Z$4:$AA$20, 2, FALSE), "FOL") &amp; "-" &amp; IF(B57="","00", WEEKNUM(B57,2)) &amp; "-" &amp; TEXT(ROW(A54),"000"))</f>
      </c>
      <c r="B57" s="3806">
        <v>46192</v>
      </c>
      <c r="C57" t="s" s="2771">
        <v>111</v>
      </c>
      <c r="D57" t="s" s="2764">
        <v>209</v>
      </c>
      <c r="E57" s="2765">
        <f>IF(D57="","", IFERROR(INDEX(Catalogos!$W$4:$W$100, MATCH(D57, Catalogos!$V$4:$V$100, 0)), ""))</f>
      </c>
      <c r="F57" s="2766">
        <f>IF(D57="","", IFERROR(INDEX(Catalogos!$Y$4:$Y$100, MATCH(D57, Catalogos!$V$4:$V$100, 0)), ""))</f>
      </c>
      <c r="G57" s="2767">
        <v>7</v>
      </c>
      <c r="H57" s="2786"/>
      <c r="I57">
        <f>IF(E57="","", G57 * IFERROR(INDEX(Maquinaria_Inventario!$K$2:$K$100, MATCH(E57, Maquinaria_Inventario!$L$2:$L$100, 0)), 0))</f>
      </c>
      <c r="J57">
        <f t="shared" si="0"/>
      </c>
    </row>
    <row r="58" spans="1:10">
      <c r="A58" s="2788">
        <f>IF(D58="","", "HT-" &amp; IFERROR(VLOOKUP(C58, Catalogos!$Z$4:$AA$20, 2, FALSE), "FOL") &amp; "-" &amp; IF(B58="","00", WEEKNUM(B58,2)) &amp; "-" &amp; TEXT(ROW(A55),"000"))</f>
      </c>
      <c r="B58" s="2787">
        <v>46188</v>
      </c>
      <c r="C58" t="s" s="2789">
        <v>2</v>
      </c>
      <c r="D58" t="s" s="2790">
        <v>214</v>
      </c>
      <c r="E58" s="2791">
        <f>IF(D58="","", IFERROR(INDEX(Catalogos!$W$4:$W$100, MATCH(D58, Catalogos!$V$4:$V$100, 0)), ""))</f>
      </c>
      <c r="F58" s="2792">
        <f>IF(D58="","", IFERROR(INDEX(Catalogos!$Y$4:$Y$100, MATCH(D58, Catalogos!$V$4:$V$100, 0)), ""))</f>
      </c>
      <c r="G58" s="2793">
        <v>4</v>
      </c>
      <c r="H58" s="2794"/>
      <c r="I58">
        <f>IF(E58="","", G58 * IFERROR(INDEX(Maquinaria_Inventario!$K$2:$K$100, MATCH(E58, Maquinaria_Inventario!$L$2:$L$100, 0)), 0))</f>
      </c>
      <c r="J58">
        <f t="shared" si="0"/>
      </c>
    </row>
    <row r="59" spans="1:10">
      <c r="A59" s="2795">
        <f>IF(D59="","", "HT-" &amp; IFERROR(VLOOKUP(C59, Catalogos!$Z$4:$AA$20, 2, FALSE), "FOL") &amp; "-" &amp; IF(B59="","00", WEEKNUM(B59,2)) &amp; "-" &amp; TEXT(ROW(A56),"000"))</f>
      </c>
      <c r="B59" s="2787">
        <v>46188</v>
      </c>
      <c r="C59" t="s" s="2796">
        <v>2</v>
      </c>
      <c r="D59" t="s" s="2797">
        <v>227</v>
      </c>
      <c r="E59" s="2798">
        <f>IF(D59="","", IFERROR(INDEX(Catalogos!$W$4:$W$100, MATCH(D59, Catalogos!$V$4:$V$100, 0)), ""))</f>
      </c>
      <c r="F59" s="2799">
        <f>IF(D59="","", IFERROR(INDEX(Catalogos!$Y$4:$Y$100, MATCH(D59, Catalogos!$V$4:$V$100, 0)), ""))</f>
      </c>
      <c r="G59" s="2800">
        <v>4</v>
      </c>
      <c r="H59" s="2801"/>
      <c r="I59">
        <f>IF(E59="","", G59 * IFERROR(INDEX(Maquinaria_Inventario!$K$2:$K$100, MATCH(E59, Maquinaria_Inventario!$L$2:$L$100, 0)), 0))</f>
      </c>
      <c r="J59">
        <f t="shared" si="0"/>
      </c>
    </row>
    <row r="60" spans="1:10">
      <c r="A60" s="2802">
        <f>IF(D60="","", "HT-" &amp; IFERROR(VLOOKUP(C60, Catalogos!$Z$4:$AA$20, 2, FALSE), "FOL") &amp; "-" &amp; IF(B60="","00", WEEKNUM(B60,2)) &amp; "-" &amp; TEXT(ROW(A57),"000"))</f>
      </c>
      <c r="B60" s="2787">
        <v>46188</v>
      </c>
      <c r="C60" t="s" s="2803">
        <v>2</v>
      </c>
      <c r="D60" t="s" s="2804">
        <v>209</v>
      </c>
      <c r="E60" s="2805">
        <f>IF(D60="","", IFERROR(INDEX(Catalogos!$W$4:$W$100, MATCH(D60, Catalogos!$V$4:$V$100, 0)), ""))</f>
      </c>
      <c r="F60" s="2806">
        <f>IF(D60="","", IFERROR(INDEX(Catalogos!$Y$4:$Y$100, MATCH(D60, Catalogos!$V$4:$V$100, 0)), ""))</f>
      </c>
      <c r="G60" s="2807">
        <v>4</v>
      </c>
      <c r="H60" s="2808"/>
      <c r="I60">
        <f>IF(E60="","", G60 * IFERROR(INDEX(Maquinaria_Inventario!$K$2:$K$100, MATCH(E60, Maquinaria_Inventario!$L$2:$L$100, 0)), 0))</f>
      </c>
      <c r="J60">
        <f t="shared" si="0"/>
      </c>
    </row>
    <row r="61" spans="1:10">
      <c r="A61" s="2809">
        <f>IF(D61="","", "HT-" &amp; IFERROR(VLOOKUP(C61, Catalogos!$Z$4:$AA$20, 2, FALSE), "FOL") &amp; "-" &amp; IF(B61="","00", WEEKNUM(B61,2)) &amp; "-" &amp; TEXT(ROW(A58),"000"))</f>
      </c>
      <c r="B61" s="2787">
        <v>46188</v>
      </c>
      <c r="C61" t="s" s="2810">
        <v>2</v>
      </c>
      <c r="D61" t="s" s="2811">
        <v>367</v>
      </c>
      <c r="E61" s="2812">
        <f>IF(D61="","", IFERROR(INDEX(Catalogos!$W$4:$W$100, MATCH(D61, Catalogos!$V$4:$V$100, 0)), ""))</f>
      </c>
      <c r="F61" s="2813">
        <f>IF(D61="","", IFERROR(INDEX(Catalogos!$Y$4:$Y$100, MATCH(D61, Catalogos!$V$4:$V$100, 0)), ""))</f>
      </c>
      <c r="G61" s="2814">
        <v>5</v>
      </c>
      <c r="H61" s="2815"/>
      <c r="I61">
        <f>IF(E61="","", G61 * IFERROR(INDEX(Maquinaria_Inventario!$K$2:$K$100, MATCH(E61, Maquinaria_Inventario!$L$2:$L$100, 0)), 0))</f>
      </c>
      <c r="J61">
        <f t="shared" si="0"/>
      </c>
    </row>
    <row r="62" spans="1:10">
      <c r="A62" s="2816">
        <f>IF(D62="","", "HT-" &amp; IFERROR(VLOOKUP(C62, Catalogos!$Z$4:$AA$20, 2, FALSE), "FOL") &amp; "-" &amp; IF(B62="","00", WEEKNUM(B62,2)) &amp; "-" &amp; TEXT(ROW(A59),"000"))</f>
      </c>
      <c r="B62" s="2787">
        <v>46188</v>
      </c>
      <c r="C62" t="s" s="2817">
        <v>2</v>
      </c>
      <c r="D62" t="s" s="2818">
        <v>219</v>
      </c>
      <c r="E62" s="2819">
        <f>IF(D62="","", IFERROR(INDEX(Catalogos!$W$4:$W$100, MATCH(D62, Catalogos!$V$4:$V$100, 0)), ""))</f>
      </c>
      <c r="F62" s="2820">
        <f>IF(D62="","", IFERROR(INDEX(Catalogos!$Y$4:$Y$100, MATCH(D62, Catalogos!$V$4:$V$100, 0)), ""))</f>
      </c>
      <c r="G62" s="2821">
        <v>5</v>
      </c>
      <c r="H62" s="2822"/>
      <c r="I62">
        <f>IF(E62="","", G62 * IFERROR(INDEX(Maquinaria_Inventario!$K$2:$K$100, MATCH(E62, Maquinaria_Inventario!$L$2:$L$100, 0)), 0))</f>
      </c>
      <c r="J62">
        <f t="shared" si="0"/>
      </c>
    </row>
    <row r="63" spans="1:10">
      <c r="A63" s="2823">
        <f>IF(D63="","", "HT-" &amp; IFERROR(VLOOKUP(C63, Catalogos!$Z$4:$AA$20, 2, FALSE), "FOL") &amp; "-" &amp; IF(B63="","00", WEEKNUM(B63,2)) &amp; "-" &amp; TEXT(ROW(A60),"000"))</f>
      </c>
      <c r="B63" s="2787">
        <v>46188</v>
      </c>
      <c r="C63" t="s" s="2824">
        <v>2</v>
      </c>
      <c r="D63" t="s" s="2825">
        <v>223</v>
      </c>
      <c r="E63" s="2826">
        <f>IF(D63="","", IFERROR(INDEX(Catalogos!$W$4:$W$100, MATCH(D63, Catalogos!$V$4:$V$100, 0)), ""))</f>
      </c>
      <c r="F63" s="2827">
        <f>IF(D63="","", IFERROR(INDEX(Catalogos!$Y$4:$Y$100, MATCH(D63, Catalogos!$V$4:$V$100, 0)), ""))</f>
      </c>
      <c r="G63" s="2828">
        <v>4</v>
      </c>
      <c r="H63" s="2829"/>
      <c r="I63">
        <f>IF(E63="","", G63 * IFERROR(INDEX(Maquinaria_Inventario!$K$2:$K$100, MATCH(E63, Maquinaria_Inventario!$L$2:$L$100, 0)), 0))</f>
      </c>
      <c r="J63">
        <f t="shared" si="0"/>
      </c>
    </row>
    <row r="64" spans="1:10">
      <c r="A64" s="2830">
        <f>IF(D64="","", "HT-" &amp; IFERROR(VLOOKUP(C64, Catalogos!$Z$4:$AA$20, 2, FALSE), "FOL") &amp; "-" &amp; IF(B64="","00", WEEKNUM(B64,2)) &amp; "-" &amp; TEXT(ROW(A61),"000"))</f>
      </c>
      <c r="B64" s="2787">
        <v>46188</v>
      </c>
      <c r="C64" t="s" s="2831">
        <v>2</v>
      </c>
      <c r="D64" t="s" s="2832">
        <v>231</v>
      </c>
      <c r="E64" s="2833">
        <f>IF(D64="","", IFERROR(INDEX(Catalogos!$W$4:$W$100, MATCH(D64, Catalogos!$V$4:$V$100, 0)), ""))</f>
      </c>
      <c r="F64" s="2834">
        <f>IF(D64="","", IFERROR(INDEX(Catalogos!$Y$4:$Y$100, MATCH(D64, Catalogos!$V$4:$V$100, 0)), ""))</f>
      </c>
      <c r="G64" s="2835">
        <v>4</v>
      </c>
      <c r="H64" s="2836"/>
      <c r="I64">
        <f>IF(E64="","", G64 * IFERROR(INDEX(Maquinaria_Inventario!$K$2:$K$100, MATCH(E64, Maquinaria_Inventario!$L$2:$L$100, 0)), 0))</f>
      </c>
      <c r="J64">
        <f t="shared" si="0"/>
      </c>
    </row>
    <row r="65" spans="1:10">
      <c r="A65" s="2837">
        <f>IF(D65="","", "HT-" &amp; IFERROR(VLOOKUP(C65, Catalogos!$Z$4:$AA$20, 2, FALSE), "FOL") &amp; "-" &amp; IF(B65="","00", WEEKNUM(B65,2)) &amp; "-" &amp; TEXT(ROW(A62),"000"))</f>
      </c>
      <c r="B65" s="2787">
        <v>46188</v>
      </c>
      <c r="C65" t="s" s="2838">
        <v>2</v>
      </c>
      <c r="D65" t="s" s="2839">
        <v>378</v>
      </c>
      <c r="E65" s="2840">
        <f>IF(D65="","", IFERROR(INDEX(Catalogos!$W$4:$W$100, MATCH(D65, Catalogos!$V$4:$V$100, 0)), ""))</f>
      </c>
      <c r="F65" s="2841">
        <f>IF(D65="","", IFERROR(INDEX(Catalogos!$Y$4:$Y$100, MATCH(D65, Catalogos!$V$4:$V$100, 0)), ""))</f>
      </c>
      <c r="G65" s="2842">
        <v>2</v>
      </c>
      <c r="H65" s="2843"/>
      <c r="I65">
        <f>IF(E65="","", G65 * IFERROR(INDEX(Maquinaria_Inventario!$K$2:$K$100, MATCH(E65, Maquinaria_Inventario!$L$2:$L$100, 0)), 0))</f>
      </c>
      <c r="J65">
        <f t="shared" si="0"/>
      </c>
    </row>
    <row r="66" spans="1:10">
      <c r="A66" s="2844">
        <f>IF(D66="","", "HT-" &amp; IFERROR(VLOOKUP(C66, Catalogos!$Z$4:$AA$20, 2, FALSE), "FOL") &amp; "-" &amp; IF(B66="","00", WEEKNUM(B66,2)) &amp; "-" &amp; TEXT(ROW(A63),"000"))</f>
      </c>
      <c r="B66" s="2787">
        <v>46188</v>
      </c>
      <c r="C66" t="s" s="2845">
        <v>2</v>
      </c>
      <c r="D66" t="s" s="2846">
        <v>383</v>
      </c>
      <c r="E66" s="2847">
        <f>IF(D66="","", IFERROR(INDEX(Catalogos!$W$4:$W$100, MATCH(D66, Catalogos!$V$4:$V$100, 0)), ""))</f>
      </c>
      <c r="F66" s="2848">
        <f>IF(D66="","", IFERROR(INDEX(Catalogos!$Y$4:$Y$100, MATCH(D66, Catalogos!$V$4:$V$100, 0)), ""))</f>
      </c>
      <c r="G66" s="2849">
        <v>4</v>
      </c>
      <c r="H66" s="2850"/>
      <c r="I66">
        <f>IF(E66="","", G66 * IFERROR(INDEX(Maquinaria_Inventario!$K$2:$K$100, MATCH(E66, Maquinaria_Inventario!$L$2:$L$100, 0)), 0))</f>
      </c>
      <c r="J66">
        <f t="shared" si="0"/>
      </c>
    </row>
    <row r="67" spans="1:10">
      <c r="A67" s="2851">
        <f>IF(D67="","", "HT-" &amp; IFERROR(VLOOKUP(C67, Catalogos!$Z$4:$AA$20, 2, FALSE), "FOL") &amp; "-" &amp; IF(B67="","00", WEEKNUM(B67,2)) &amp; "-" &amp; TEXT(ROW(A64),"000"))</f>
      </c>
      <c r="B67" s="2787">
        <v>46188</v>
      </c>
      <c r="C67" t="s" s="2852">
        <v>2</v>
      </c>
      <c r="D67" t="s" s="2853">
        <v>235</v>
      </c>
      <c r="E67" s="2854">
        <f>IF(D67="","", IFERROR(INDEX(Catalogos!$W$4:$W$100, MATCH(D67, Catalogos!$V$4:$V$100, 0)), ""))</f>
      </c>
      <c r="F67" s="2855">
        <f>IF(D67="","", IFERROR(INDEX(Catalogos!$Y$4:$Y$100, MATCH(D67, Catalogos!$V$4:$V$100, 0)), ""))</f>
      </c>
      <c r="G67" s="2856">
        <v>4</v>
      </c>
      <c r="H67" s="2857"/>
      <c r="I67">
        <f>IF(E67="","", G67 * IFERROR(INDEX(Maquinaria_Inventario!$K$2:$K$100, MATCH(E67, Maquinaria_Inventario!$L$2:$L$100, 0)), 0))</f>
      </c>
      <c r="J67">
        <f t="shared" si="0"/>
      </c>
    </row>
    <row r="68" spans="1:10">
      <c r="A68" s="2859">
        <f>IF(D68="","", "HT-" &amp; IFERROR(VLOOKUP(C68, Catalogos!$Z$4:$AA$20, 2, FALSE), "FOL") &amp; "-" &amp; IF(B68="","00", WEEKNUM(B68,2)) &amp; "-" &amp; TEXT(ROW(A65),"000"))</f>
      </c>
      <c r="B68" s="2858">
        <v>46189</v>
      </c>
      <c r="C68" t="s" s="2789">
        <v>2</v>
      </c>
      <c r="D68" t="s" s="2790">
        <v>214</v>
      </c>
      <c r="E68" s="2860">
        <f>IF(D68="","", IFERROR(INDEX(Catalogos!$W$4:$W$100, MATCH(D68, Catalogos!$V$4:$V$100, 0)), ""))</f>
      </c>
      <c r="F68" s="2861">
        <f>IF(D68="","", IFERROR(INDEX(Catalogos!$Y$4:$Y$100, MATCH(D68, Catalogos!$V$4:$V$100, 0)), ""))</f>
      </c>
      <c r="G68" s="2862">
        <v>4</v>
      </c>
      <c r="H68" s="2863"/>
      <c r="I68">
        <f>IF(E68="","", G68 * IFERROR(INDEX(Maquinaria_Inventario!$K$2:$K$100, MATCH(E68, Maquinaria_Inventario!$L$2:$L$100, 0)), 0))</f>
      </c>
      <c r="J68">
        <f t="shared" ref="J68:J131" si="1">IF(B68="","", WEEKNUM(B68, 2))</f>
      </c>
    </row>
    <row r="69" spans="1:10">
      <c r="A69" s="2864">
        <f>IF(D69="","", "HT-" &amp; IFERROR(VLOOKUP(C69, Catalogos!$Z$4:$AA$20, 2, FALSE), "FOL") &amp; "-" &amp; IF(B69="","00", WEEKNUM(B69,2)) &amp; "-" &amp; TEXT(ROW(A66),"000"))</f>
      </c>
      <c r="B69" s="2858">
        <v>46189</v>
      </c>
      <c r="C69" t="s" s="2796">
        <v>2</v>
      </c>
      <c r="D69" t="s" s="2797">
        <v>227</v>
      </c>
      <c r="E69" s="2865">
        <f>IF(D69="","", IFERROR(INDEX(Catalogos!$W$4:$W$100, MATCH(D69, Catalogos!$V$4:$V$100, 0)), ""))</f>
      </c>
      <c r="F69" s="2866">
        <f>IF(D69="","", IFERROR(INDEX(Catalogos!$Y$4:$Y$100, MATCH(D69, Catalogos!$V$4:$V$100, 0)), ""))</f>
      </c>
      <c r="G69" s="2867">
        <v>4</v>
      </c>
      <c r="H69" s="2868"/>
      <c r="I69">
        <f>IF(E69="","", G69 * IFERROR(INDEX(Maquinaria_Inventario!$K$2:$K$100, MATCH(E69, Maquinaria_Inventario!$L$2:$L$100, 0)), 0))</f>
      </c>
      <c r="J69">
        <f t="shared" si="1"/>
      </c>
    </row>
    <row r="70" spans="1:10">
      <c r="A70" s="2869">
        <f>IF(D70="","", "HT-" &amp; IFERROR(VLOOKUP(C70, Catalogos!$Z$4:$AA$20, 2, FALSE), "FOL") &amp; "-" &amp; IF(B70="","00", WEEKNUM(B70,2)) &amp; "-" &amp; TEXT(ROW(A67),"000"))</f>
      </c>
      <c r="B70" s="2858">
        <v>46189</v>
      </c>
      <c r="C70" t="s" s="2803">
        <v>2</v>
      </c>
      <c r="D70" t="s" s="2804">
        <v>209</v>
      </c>
      <c r="E70" s="2870">
        <f>IF(D70="","", IFERROR(INDEX(Catalogos!$W$4:$W$100, MATCH(D70, Catalogos!$V$4:$V$100, 0)), ""))</f>
      </c>
      <c r="F70" s="2871">
        <f>IF(D70="","", IFERROR(INDEX(Catalogos!$Y$4:$Y$100, MATCH(D70, Catalogos!$V$4:$V$100, 0)), ""))</f>
      </c>
      <c r="G70" s="2872">
        <v>4</v>
      </c>
      <c r="H70" s="2873"/>
      <c r="I70">
        <f>IF(E70="","", G70 * IFERROR(INDEX(Maquinaria_Inventario!$K$2:$K$100, MATCH(E70, Maquinaria_Inventario!$L$2:$L$100, 0)), 0))</f>
      </c>
      <c r="J70">
        <f t="shared" si="1"/>
      </c>
    </row>
    <row r="71" spans="1:10">
      <c r="A71" s="2874">
        <f>IF(D71="","", "HT-" &amp; IFERROR(VLOOKUP(C71, Catalogos!$Z$4:$AA$20, 2, FALSE), "FOL") &amp; "-" &amp; IF(B71="","00", WEEKNUM(B71,2)) &amp; "-" &amp; TEXT(ROW(A68),"000"))</f>
      </c>
      <c r="B71" s="2858">
        <v>46189</v>
      </c>
      <c r="C71" t="s" s="2810">
        <v>2</v>
      </c>
      <c r="D71" t="s" s="2811">
        <v>367</v>
      </c>
      <c r="E71" s="2875">
        <f>IF(D71="","", IFERROR(INDEX(Catalogos!$W$4:$W$100, MATCH(D71, Catalogos!$V$4:$V$100, 0)), ""))</f>
      </c>
      <c r="F71" s="2876">
        <f>IF(D71="","", IFERROR(INDEX(Catalogos!$Y$4:$Y$100, MATCH(D71, Catalogos!$V$4:$V$100, 0)), ""))</f>
      </c>
      <c r="G71" s="2877">
        <v>4</v>
      </c>
      <c r="H71" s="2878"/>
      <c r="I71">
        <f>IF(E71="","", G71 * IFERROR(INDEX(Maquinaria_Inventario!$K$2:$K$100, MATCH(E71, Maquinaria_Inventario!$L$2:$L$100, 0)), 0))</f>
      </c>
      <c r="J71">
        <f t="shared" si="1"/>
      </c>
    </row>
    <row r="72" spans="1:10">
      <c r="A72" s="2879">
        <f>IF(D72="","", "HT-" &amp; IFERROR(VLOOKUP(C72, Catalogos!$Z$4:$AA$20, 2, FALSE), "FOL") &amp; "-" &amp; IF(B72="","00", WEEKNUM(B72,2)) &amp; "-" &amp; TEXT(ROW(A69),"000"))</f>
      </c>
      <c r="B72" s="2858">
        <v>46189</v>
      </c>
      <c r="C72" t="s" s="2817">
        <v>2</v>
      </c>
      <c r="D72" t="s" s="2818">
        <v>219</v>
      </c>
      <c r="E72" s="2880">
        <f>IF(D72="","", IFERROR(INDEX(Catalogos!$W$4:$W$100, MATCH(D72, Catalogos!$V$4:$V$100, 0)), ""))</f>
      </c>
      <c r="F72" s="2881">
        <f>IF(D72="","", IFERROR(INDEX(Catalogos!$Y$4:$Y$100, MATCH(D72, Catalogos!$V$4:$V$100, 0)), ""))</f>
      </c>
      <c r="G72" s="2882">
        <v>4</v>
      </c>
      <c r="H72" s="2883"/>
      <c r="I72">
        <f>IF(E72="","", G72 * IFERROR(INDEX(Maquinaria_Inventario!$K$2:$K$100, MATCH(E72, Maquinaria_Inventario!$L$2:$L$100, 0)), 0))</f>
      </c>
      <c r="J72">
        <f t="shared" si="1"/>
      </c>
    </row>
    <row r="73" spans="1:10">
      <c r="A73" s="2884">
        <f>IF(D73="","", "HT-" &amp; IFERROR(VLOOKUP(C73, Catalogos!$Z$4:$AA$20, 2, FALSE), "FOL") &amp; "-" &amp; IF(B73="","00", WEEKNUM(B73,2)) &amp; "-" &amp; TEXT(ROW(A70),"000"))</f>
      </c>
      <c r="B73" s="2858">
        <v>46189</v>
      </c>
      <c r="C73" t="s" s="2824">
        <v>2</v>
      </c>
      <c r="D73" t="s" s="2825">
        <v>223</v>
      </c>
      <c r="E73" s="2885">
        <f>IF(D73="","", IFERROR(INDEX(Catalogos!$W$4:$W$100, MATCH(D73, Catalogos!$V$4:$V$100, 0)), ""))</f>
      </c>
      <c r="F73" s="2886">
        <f>IF(D73="","", IFERROR(INDEX(Catalogos!$Y$4:$Y$100, MATCH(D73, Catalogos!$V$4:$V$100, 0)), ""))</f>
      </c>
      <c r="G73" s="2887">
        <v>4</v>
      </c>
      <c r="H73" s="2888"/>
      <c r="I73">
        <f>IF(E73="","", G73 * IFERROR(INDEX(Maquinaria_Inventario!$K$2:$K$100, MATCH(E73, Maquinaria_Inventario!$L$2:$L$100, 0)), 0))</f>
      </c>
      <c r="J73">
        <f t="shared" si="1"/>
      </c>
    </row>
    <row r="74" spans="1:10">
      <c r="A74" s="2889">
        <f>IF(D74="","", "HT-" &amp; IFERROR(VLOOKUP(C74, Catalogos!$Z$4:$AA$20, 2, FALSE), "FOL") &amp; "-" &amp; IF(B74="","00", WEEKNUM(B74,2)) &amp; "-" &amp; TEXT(ROW(A71),"000"))</f>
      </c>
      <c r="B74" s="2858">
        <v>46189</v>
      </c>
      <c r="C74" t="s" s="2831">
        <v>2</v>
      </c>
      <c r="D74" t="s" s="2832">
        <v>231</v>
      </c>
      <c r="E74" s="2890">
        <f>IF(D74="","", IFERROR(INDEX(Catalogos!$W$4:$W$100, MATCH(D74, Catalogos!$V$4:$V$100, 0)), ""))</f>
      </c>
      <c r="F74" s="2891">
        <f>IF(D74="","", IFERROR(INDEX(Catalogos!$Y$4:$Y$100, MATCH(D74, Catalogos!$V$4:$V$100, 0)), ""))</f>
      </c>
      <c r="G74" s="2892">
        <v>4</v>
      </c>
      <c r="H74" s="2893"/>
      <c r="I74">
        <f>IF(E74="","", G74 * IFERROR(INDEX(Maquinaria_Inventario!$K$2:$K$100, MATCH(E74, Maquinaria_Inventario!$L$2:$L$100, 0)), 0))</f>
      </c>
      <c r="J74">
        <f t="shared" si="1"/>
      </c>
    </row>
    <row r="75" spans="1:10">
      <c r="A75" s="2894">
        <f>IF(D75="","", "HT-" &amp; IFERROR(VLOOKUP(C75, Catalogos!$Z$4:$AA$20, 2, FALSE), "FOL") &amp; "-" &amp; IF(B75="","00", WEEKNUM(B75,2)) &amp; "-" &amp; TEXT(ROW(A72),"000"))</f>
      </c>
      <c r="B75" s="2858">
        <v>46189</v>
      </c>
      <c r="C75" t="s" s="2838">
        <v>2</v>
      </c>
      <c r="D75" t="s" s="2839">
        <v>378</v>
      </c>
      <c r="E75" s="2895">
        <f>IF(D75="","", IFERROR(INDEX(Catalogos!$W$4:$W$100, MATCH(D75, Catalogos!$V$4:$V$100, 0)), ""))</f>
      </c>
      <c r="F75" s="2896">
        <f>IF(D75="","", IFERROR(INDEX(Catalogos!$Y$4:$Y$100, MATCH(D75, Catalogos!$V$4:$V$100, 0)), ""))</f>
      </c>
      <c r="G75" s="2897">
        <v>2</v>
      </c>
      <c r="H75" s="2898"/>
      <c r="I75">
        <f>IF(E75="","", G75 * IFERROR(INDEX(Maquinaria_Inventario!$K$2:$K$100, MATCH(E75, Maquinaria_Inventario!$L$2:$L$100, 0)), 0))</f>
      </c>
      <c r="J75">
        <f t="shared" si="1"/>
      </c>
    </row>
    <row r="76" spans="1:10">
      <c r="A76" s="2899">
        <f>IF(D76="","", "HT-" &amp; IFERROR(VLOOKUP(C76, Catalogos!$Z$4:$AA$20, 2, FALSE), "FOL") &amp; "-" &amp; IF(B76="","00", WEEKNUM(B76,2)) &amp; "-" &amp; TEXT(ROW(A73),"000"))</f>
      </c>
      <c r="B76" s="2858">
        <v>46189</v>
      </c>
      <c r="C76" t="s" s="2845">
        <v>2</v>
      </c>
      <c r="D76" t="s" s="2846">
        <v>383</v>
      </c>
      <c r="E76" s="2900">
        <f>IF(D76="","", IFERROR(INDEX(Catalogos!$W$4:$W$100, MATCH(D76, Catalogos!$V$4:$V$100, 0)), ""))</f>
      </c>
      <c r="F76" s="2901">
        <f>IF(D76="","", IFERROR(INDEX(Catalogos!$Y$4:$Y$100, MATCH(D76, Catalogos!$V$4:$V$100, 0)), ""))</f>
      </c>
      <c r="G76" s="2902">
        <v>4</v>
      </c>
      <c r="H76" s="2903"/>
      <c r="I76">
        <f>IF(E76="","", G76 * IFERROR(INDEX(Maquinaria_Inventario!$K$2:$K$100, MATCH(E76, Maquinaria_Inventario!$L$2:$L$100, 0)), 0))</f>
      </c>
      <c r="J76">
        <f t="shared" si="1"/>
      </c>
    </row>
    <row r="77" spans="1:10">
      <c r="A77" s="2904">
        <f>IF(D77="","", "HT-" &amp; IFERROR(VLOOKUP(C77, Catalogos!$Z$4:$AA$20, 2, FALSE), "FOL") &amp; "-" &amp; IF(B77="","00", WEEKNUM(B77,2)) &amp; "-" &amp; TEXT(ROW(A74),"000"))</f>
      </c>
      <c r="B77" s="2858">
        <v>46189</v>
      </c>
      <c r="C77" t="s" s="2852">
        <v>2</v>
      </c>
      <c r="D77" t="s" s="2853">
        <v>235</v>
      </c>
      <c r="E77" s="2905">
        <f>IF(D77="","", IFERROR(INDEX(Catalogos!$W$4:$W$100, MATCH(D77, Catalogos!$V$4:$V$100, 0)), ""))</f>
      </c>
      <c r="F77" s="2906">
        <f>IF(D77="","", IFERROR(INDEX(Catalogos!$Y$4:$Y$100, MATCH(D77, Catalogos!$V$4:$V$100, 0)), ""))</f>
      </c>
      <c r="G77" s="2907">
        <v>4</v>
      </c>
      <c r="H77" s="2908"/>
      <c r="I77">
        <f>IF(E77="","", G77 * IFERROR(INDEX(Maquinaria_Inventario!$K$2:$K$100, MATCH(E77, Maquinaria_Inventario!$L$2:$L$100, 0)), 0))</f>
      </c>
      <c r="J77">
        <f t="shared" si="1"/>
      </c>
    </row>
    <row r="78" spans="1:10">
      <c r="A78" s="2910">
        <f>IF(D78="","", "HT-" &amp; IFERROR(VLOOKUP(C78, Catalogos!$Z$4:$AA$20, 2, FALSE), "FOL") &amp; "-" &amp; IF(B78="","00", WEEKNUM(B78,2)) &amp; "-" &amp; TEXT(ROW(A75),"000"))</f>
      </c>
      <c r="B78" s="2909">
        <v>46190</v>
      </c>
      <c r="C78" t="s" s="2789">
        <v>2</v>
      </c>
      <c r="D78" t="s" s="2790">
        <v>214</v>
      </c>
      <c r="E78" s="2911">
        <f>IF(D78="","", IFERROR(INDEX(Catalogos!$W$4:$W$100, MATCH(D78, Catalogos!$V$4:$V$100, 0)), ""))</f>
      </c>
      <c r="F78" s="2912">
        <f>IF(D78="","", IFERROR(INDEX(Catalogos!$Y$4:$Y$100, MATCH(D78, Catalogos!$V$4:$V$100, 0)), ""))</f>
      </c>
      <c r="G78" s="2913">
        <v>4</v>
      </c>
      <c r="H78" s="2914"/>
      <c r="I78">
        <f>IF(E78="","", G78 * IFERROR(INDEX(Maquinaria_Inventario!$K$2:$K$100, MATCH(E78, Maquinaria_Inventario!$L$2:$L$100, 0)), 0))</f>
      </c>
      <c r="J78">
        <f t="shared" si="1"/>
      </c>
    </row>
    <row r="79" spans="1:10">
      <c r="A79" s="2915">
        <f>IF(D79="","", "HT-" &amp; IFERROR(VLOOKUP(C79, Catalogos!$Z$4:$AA$20, 2, FALSE), "FOL") &amp; "-" &amp; IF(B79="","00", WEEKNUM(B79,2)) &amp; "-" &amp; TEXT(ROW(A76),"000"))</f>
      </c>
      <c r="B79" s="2909">
        <v>46190</v>
      </c>
      <c r="C79" t="s" s="2796">
        <v>2</v>
      </c>
      <c r="D79" t="s" s="2797">
        <v>227</v>
      </c>
      <c r="E79" s="2916">
        <f>IF(D79="","", IFERROR(INDEX(Catalogos!$W$4:$W$100, MATCH(D79, Catalogos!$V$4:$V$100, 0)), ""))</f>
      </c>
      <c r="F79" s="2917">
        <f>IF(D79="","", IFERROR(INDEX(Catalogos!$Y$4:$Y$100, MATCH(D79, Catalogos!$V$4:$V$100, 0)), ""))</f>
      </c>
      <c r="G79" s="2918">
        <v>4</v>
      </c>
      <c r="H79" s="2919"/>
      <c r="I79">
        <f>IF(E79="","", G79 * IFERROR(INDEX(Maquinaria_Inventario!$K$2:$K$100, MATCH(E79, Maquinaria_Inventario!$L$2:$L$100, 0)), 0))</f>
      </c>
      <c r="J79">
        <f t="shared" si="1"/>
      </c>
    </row>
    <row r="80" spans="1:10">
      <c r="A80" s="2920">
        <f>IF(D80="","", "HT-" &amp; IFERROR(VLOOKUP(C80, Catalogos!$Z$4:$AA$20, 2, FALSE), "FOL") &amp; "-" &amp; IF(B80="","00", WEEKNUM(B80,2)) &amp; "-" &amp; TEXT(ROW(A77),"000"))</f>
      </c>
      <c r="B80" s="2909">
        <v>46190</v>
      </c>
      <c r="C80" t="s" s="2803">
        <v>2</v>
      </c>
      <c r="D80" t="s" s="2804">
        <v>209</v>
      </c>
      <c r="E80" s="2921">
        <f>IF(D80="","", IFERROR(INDEX(Catalogos!$W$4:$W$100, MATCH(D80, Catalogos!$V$4:$V$100, 0)), ""))</f>
      </c>
      <c r="F80" s="2922">
        <f>IF(D80="","", IFERROR(INDEX(Catalogos!$Y$4:$Y$100, MATCH(D80, Catalogos!$V$4:$V$100, 0)), ""))</f>
      </c>
      <c r="G80" s="2923">
        <v>4</v>
      </c>
      <c r="H80" s="2924"/>
      <c r="I80">
        <f>IF(E80="","", G80 * IFERROR(INDEX(Maquinaria_Inventario!$K$2:$K$100, MATCH(E80, Maquinaria_Inventario!$L$2:$L$100, 0)), 0))</f>
      </c>
      <c r="J80">
        <f t="shared" si="1"/>
      </c>
    </row>
    <row r="81" spans="1:10">
      <c r="A81" s="2925">
        <f>IF(D81="","", "HT-" &amp; IFERROR(VLOOKUP(C81, Catalogos!$Z$4:$AA$20, 2, FALSE), "FOL") &amp; "-" &amp; IF(B81="","00", WEEKNUM(B81,2)) &amp; "-" &amp; TEXT(ROW(A78),"000"))</f>
      </c>
      <c r="B81" s="2909">
        <v>46190</v>
      </c>
      <c r="C81" t="s" s="2810">
        <v>2</v>
      </c>
      <c r="D81" t="s" s="2811">
        <v>367</v>
      </c>
      <c r="E81" s="2926">
        <f>IF(D81="","", IFERROR(INDEX(Catalogos!$W$4:$W$100, MATCH(D81, Catalogos!$V$4:$V$100, 0)), ""))</f>
      </c>
      <c r="F81" s="2927">
        <f>IF(D81="","", IFERROR(INDEX(Catalogos!$Y$4:$Y$100, MATCH(D81, Catalogos!$V$4:$V$100, 0)), ""))</f>
      </c>
      <c r="G81" s="2928">
        <v>4</v>
      </c>
      <c r="H81" s="2929"/>
      <c r="I81">
        <f>IF(E81="","", G81 * IFERROR(INDEX(Maquinaria_Inventario!$K$2:$K$100, MATCH(E81, Maquinaria_Inventario!$L$2:$L$100, 0)), 0))</f>
      </c>
      <c r="J81">
        <f t="shared" si="1"/>
      </c>
    </row>
    <row r="82" spans="1:10">
      <c r="A82" s="2930">
        <f>IF(D82="","", "HT-" &amp; IFERROR(VLOOKUP(C82, Catalogos!$Z$4:$AA$20, 2, FALSE), "FOL") &amp; "-" &amp; IF(B82="","00", WEEKNUM(B82,2)) &amp; "-" &amp; TEXT(ROW(A79),"000"))</f>
      </c>
      <c r="B82" s="2909">
        <v>46190</v>
      </c>
      <c r="C82" t="s" s="2817">
        <v>2</v>
      </c>
      <c r="D82" t="s" s="2818">
        <v>219</v>
      </c>
      <c r="E82" s="2931">
        <f>IF(D82="","", IFERROR(INDEX(Catalogos!$W$4:$W$100, MATCH(D82, Catalogos!$V$4:$V$100, 0)), ""))</f>
      </c>
      <c r="F82" s="2932">
        <f>IF(D82="","", IFERROR(INDEX(Catalogos!$Y$4:$Y$100, MATCH(D82, Catalogos!$V$4:$V$100, 0)), ""))</f>
      </c>
      <c r="G82" s="2933">
        <v>4</v>
      </c>
      <c r="H82" s="2934"/>
      <c r="I82">
        <f>IF(E82="","", G82 * IFERROR(INDEX(Maquinaria_Inventario!$K$2:$K$100, MATCH(E82, Maquinaria_Inventario!$L$2:$L$100, 0)), 0))</f>
      </c>
      <c r="J82">
        <f t="shared" si="1"/>
      </c>
    </row>
    <row r="83" spans="1:10">
      <c r="A83" s="2935">
        <f>IF(D83="","", "HT-" &amp; IFERROR(VLOOKUP(C83, Catalogos!$Z$4:$AA$20, 2, FALSE), "FOL") &amp; "-" &amp; IF(B83="","00", WEEKNUM(B83,2)) &amp; "-" &amp; TEXT(ROW(A80),"000"))</f>
      </c>
      <c r="B83" s="2909">
        <v>46190</v>
      </c>
      <c r="C83" t="s" s="2824">
        <v>2</v>
      </c>
      <c r="D83" t="s" s="2825">
        <v>223</v>
      </c>
      <c r="E83" s="2936">
        <f>IF(D83="","", IFERROR(INDEX(Catalogos!$W$4:$W$100, MATCH(D83, Catalogos!$V$4:$V$100, 0)), ""))</f>
      </c>
      <c r="F83" s="2937">
        <f>IF(D83="","", IFERROR(INDEX(Catalogos!$Y$4:$Y$100, MATCH(D83, Catalogos!$V$4:$V$100, 0)), ""))</f>
      </c>
      <c r="G83" s="2938">
        <v>4</v>
      </c>
      <c r="H83" s="2939"/>
      <c r="I83">
        <f>IF(E83="","", G83 * IFERROR(INDEX(Maquinaria_Inventario!$K$2:$K$100, MATCH(E83, Maquinaria_Inventario!$L$2:$L$100, 0)), 0))</f>
      </c>
      <c r="J83">
        <f t="shared" si="1"/>
      </c>
    </row>
    <row r="84" spans="1:10">
      <c r="A84" s="2940">
        <f>IF(D84="","", "HT-" &amp; IFERROR(VLOOKUP(C84, Catalogos!$Z$4:$AA$20, 2, FALSE), "FOL") &amp; "-" &amp; IF(B84="","00", WEEKNUM(B84,2)) &amp; "-" &amp; TEXT(ROW(A81),"000"))</f>
      </c>
      <c r="B84" s="2909">
        <v>46190</v>
      </c>
      <c r="C84" t="s" s="2831">
        <v>2</v>
      </c>
      <c r="D84" t="s" s="2832">
        <v>231</v>
      </c>
      <c r="E84" s="2941">
        <f>IF(D84="","", IFERROR(INDEX(Catalogos!$W$4:$W$100, MATCH(D84, Catalogos!$V$4:$V$100, 0)), ""))</f>
      </c>
      <c r="F84" s="2942">
        <f>IF(D84="","", IFERROR(INDEX(Catalogos!$Y$4:$Y$100, MATCH(D84, Catalogos!$V$4:$V$100, 0)), ""))</f>
      </c>
      <c r="G84" s="2943">
        <v>4</v>
      </c>
      <c r="H84" s="2944"/>
      <c r="I84">
        <f>IF(E84="","", G84 * IFERROR(INDEX(Maquinaria_Inventario!$K$2:$K$100, MATCH(E84, Maquinaria_Inventario!$L$2:$L$100, 0)), 0))</f>
      </c>
      <c r="J84">
        <f t="shared" si="1"/>
      </c>
    </row>
    <row r="85" spans="1:10">
      <c r="A85" s="2945">
        <f>IF(D85="","", "HT-" &amp; IFERROR(VLOOKUP(C85, Catalogos!$Z$4:$AA$20, 2, FALSE), "FOL") &amp; "-" &amp; IF(B85="","00", WEEKNUM(B85,2)) &amp; "-" &amp; TEXT(ROW(A82),"000"))</f>
      </c>
      <c r="B85" s="2909">
        <v>46190</v>
      </c>
      <c r="C85" t="s" s="2838">
        <v>2</v>
      </c>
      <c r="D85" t="s" s="2839">
        <v>378</v>
      </c>
      <c r="E85" s="2946">
        <f>IF(D85="","", IFERROR(INDEX(Catalogos!$W$4:$W$100, MATCH(D85, Catalogos!$V$4:$V$100, 0)), ""))</f>
      </c>
      <c r="F85" s="2947">
        <f>IF(D85="","", IFERROR(INDEX(Catalogos!$Y$4:$Y$100, MATCH(D85, Catalogos!$V$4:$V$100, 0)), ""))</f>
      </c>
      <c r="G85" s="2948">
        <v>2</v>
      </c>
      <c r="H85" s="2949"/>
      <c r="I85">
        <f>IF(E85="","", G85 * IFERROR(INDEX(Maquinaria_Inventario!$K$2:$K$100, MATCH(E85, Maquinaria_Inventario!$L$2:$L$100, 0)), 0))</f>
      </c>
      <c r="J85">
        <f t="shared" si="1"/>
      </c>
    </row>
    <row r="86" spans="1:10">
      <c r="A86" s="2950">
        <f>IF(D86="","", "HT-" &amp; IFERROR(VLOOKUP(C86, Catalogos!$Z$4:$AA$20, 2, FALSE), "FOL") &amp; "-" &amp; IF(B86="","00", WEEKNUM(B86,2)) &amp; "-" &amp; TEXT(ROW(A83),"000"))</f>
      </c>
      <c r="B86" s="2909">
        <v>46190</v>
      </c>
      <c r="C86" t="s" s="2845">
        <v>2</v>
      </c>
      <c r="D86" t="s" s="2846">
        <v>383</v>
      </c>
      <c r="E86" s="2951">
        <f>IF(D86="","", IFERROR(INDEX(Catalogos!$W$4:$W$100, MATCH(D86, Catalogos!$V$4:$V$100, 0)), ""))</f>
      </c>
      <c r="F86" s="2952">
        <f>IF(D86="","", IFERROR(INDEX(Catalogos!$Y$4:$Y$100, MATCH(D86, Catalogos!$V$4:$V$100, 0)), ""))</f>
      </c>
      <c r="G86" s="2953">
        <v>4</v>
      </c>
      <c r="H86" s="2954"/>
      <c r="I86">
        <f>IF(E86="","", G86 * IFERROR(INDEX(Maquinaria_Inventario!$K$2:$K$100, MATCH(E86, Maquinaria_Inventario!$L$2:$L$100, 0)), 0))</f>
      </c>
      <c r="J86">
        <f t="shared" si="1"/>
      </c>
    </row>
    <row r="87" spans="1:10">
      <c r="A87" s="2955">
        <f>IF(D87="","", "HT-" &amp; IFERROR(VLOOKUP(C87, Catalogos!$Z$4:$AA$20, 2, FALSE), "FOL") &amp; "-" &amp; IF(B87="","00", WEEKNUM(B87,2)) &amp; "-" &amp; TEXT(ROW(A84),"000"))</f>
      </c>
      <c r="B87" s="2909">
        <v>46190</v>
      </c>
      <c r="C87" t="s" s="2852">
        <v>2</v>
      </c>
      <c r="D87" t="s" s="2853">
        <v>235</v>
      </c>
      <c r="E87" s="2956">
        <f>IF(D87="","", IFERROR(INDEX(Catalogos!$W$4:$W$100, MATCH(D87, Catalogos!$V$4:$V$100, 0)), ""))</f>
      </c>
      <c r="F87" s="2957">
        <f>IF(D87="","", IFERROR(INDEX(Catalogos!$Y$4:$Y$100, MATCH(D87, Catalogos!$V$4:$V$100, 0)), ""))</f>
      </c>
      <c r="G87" s="2958">
        <v>4</v>
      </c>
      <c r="H87" s="2959"/>
      <c r="I87">
        <f>IF(E87="","", G87 * IFERROR(INDEX(Maquinaria_Inventario!$K$2:$K$100, MATCH(E87, Maquinaria_Inventario!$L$2:$L$100, 0)), 0))</f>
      </c>
      <c r="J87">
        <f t="shared" si="1"/>
      </c>
    </row>
    <row r="88" spans="1:10">
      <c r="A88" s="2961">
        <f>IF(D88="","", "HT-" &amp; IFERROR(VLOOKUP(C88, Catalogos!$Z$4:$AA$20, 2, FALSE), "FOL") &amp; "-" &amp; IF(B88="","00", WEEKNUM(B88,2)) &amp; "-" &amp; TEXT(ROW(A85),"000"))</f>
      </c>
      <c r="B88" s="2960">
        <v>46191</v>
      </c>
      <c r="C88" t="s" s="2789">
        <v>2</v>
      </c>
      <c r="D88" t="s" s="2790">
        <v>214</v>
      </c>
      <c r="E88" s="2962">
        <f>IF(D88="","", IFERROR(INDEX(Catalogos!$W$4:$W$100, MATCH(D88, Catalogos!$V$4:$V$100, 0)), ""))</f>
      </c>
      <c r="F88" s="2963">
        <f>IF(D88="","", IFERROR(INDEX(Catalogos!$Y$4:$Y$100, MATCH(D88, Catalogos!$V$4:$V$100, 0)), ""))</f>
      </c>
      <c r="G88" s="2964">
        <v>4</v>
      </c>
      <c r="H88" s="2965"/>
      <c r="I88">
        <f>IF(E88="","", G88 * IFERROR(INDEX(Maquinaria_Inventario!$K$2:$K$100, MATCH(E88, Maquinaria_Inventario!$L$2:$L$100, 0)), 0))</f>
      </c>
      <c r="J88">
        <f t="shared" si="1"/>
      </c>
    </row>
    <row r="89" spans="1:10">
      <c r="A89" s="2966">
        <f>IF(D89="","", "HT-" &amp; IFERROR(VLOOKUP(C89, Catalogos!$Z$4:$AA$20, 2, FALSE), "FOL") &amp; "-" &amp; IF(B89="","00", WEEKNUM(B89,2)) &amp; "-" &amp; TEXT(ROW(A86),"000"))</f>
      </c>
      <c r="B89" s="2960">
        <v>46191</v>
      </c>
      <c r="C89" t="s" s="2796">
        <v>2</v>
      </c>
      <c r="D89" t="s" s="2797">
        <v>227</v>
      </c>
      <c r="E89" s="2967">
        <f>IF(D89="","", IFERROR(INDEX(Catalogos!$W$4:$W$100, MATCH(D89, Catalogos!$V$4:$V$100, 0)), ""))</f>
      </c>
      <c r="F89" s="2968">
        <f>IF(D89="","", IFERROR(INDEX(Catalogos!$Y$4:$Y$100, MATCH(D89, Catalogos!$V$4:$V$100, 0)), ""))</f>
      </c>
      <c r="G89" s="2969">
        <v>4</v>
      </c>
      <c r="H89" s="2970"/>
      <c r="I89">
        <f>IF(E89="","", G89 * IFERROR(INDEX(Maquinaria_Inventario!$K$2:$K$100, MATCH(E89, Maquinaria_Inventario!$L$2:$L$100, 0)), 0))</f>
      </c>
      <c r="J89">
        <f t="shared" si="1"/>
      </c>
    </row>
    <row r="90" spans="1:10">
      <c r="A90" s="2971">
        <f>IF(D90="","", "HT-" &amp; IFERROR(VLOOKUP(C90, Catalogos!$Z$4:$AA$20, 2, FALSE), "FOL") &amp; "-" &amp; IF(B90="","00", WEEKNUM(B90,2)) &amp; "-" &amp; TEXT(ROW(A87),"000"))</f>
      </c>
      <c r="B90" s="2960">
        <v>46191</v>
      </c>
      <c r="C90" t="s" s="2803">
        <v>2</v>
      </c>
      <c r="D90" t="s" s="2804">
        <v>209</v>
      </c>
      <c r="E90" s="2972">
        <f>IF(D90="","", IFERROR(INDEX(Catalogos!$W$4:$W$100, MATCH(D90, Catalogos!$V$4:$V$100, 0)), ""))</f>
      </c>
      <c r="F90" s="2973">
        <f>IF(D90="","", IFERROR(INDEX(Catalogos!$Y$4:$Y$100, MATCH(D90, Catalogos!$V$4:$V$100, 0)), ""))</f>
      </c>
      <c r="G90" s="2974">
        <v>4</v>
      </c>
      <c r="H90" s="2975"/>
      <c r="I90">
        <f>IF(E90="","", G90 * IFERROR(INDEX(Maquinaria_Inventario!$K$2:$K$100, MATCH(E90, Maquinaria_Inventario!$L$2:$L$100, 0)), 0))</f>
      </c>
      <c r="J90">
        <f t="shared" si="1"/>
      </c>
    </row>
    <row r="91" spans="1:10">
      <c r="A91" s="2976">
        <f>IF(D91="","", "HT-" &amp; IFERROR(VLOOKUP(C91, Catalogos!$Z$4:$AA$20, 2, FALSE), "FOL") &amp; "-" &amp; IF(B91="","00", WEEKNUM(B91,2)) &amp; "-" &amp; TEXT(ROW(A88),"000"))</f>
      </c>
      <c r="B91" s="2960">
        <v>46191</v>
      </c>
      <c r="C91" t="s" s="2810">
        <v>2</v>
      </c>
      <c r="D91" t="s" s="2811">
        <v>367</v>
      </c>
      <c r="E91" s="2977">
        <f>IF(D91="","", IFERROR(INDEX(Catalogos!$W$4:$W$100, MATCH(D91, Catalogos!$V$4:$V$100, 0)), ""))</f>
      </c>
      <c r="F91" s="2978">
        <f>IF(D91="","", IFERROR(INDEX(Catalogos!$Y$4:$Y$100, MATCH(D91, Catalogos!$V$4:$V$100, 0)), ""))</f>
      </c>
      <c r="G91" s="2979">
        <v>4</v>
      </c>
      <c r="H91" s="2980"/>
      <c r="I91">
        <f>IF(E91="","", G91 * IFERROR(INDEX(Maquinaria_Inventario!$K$2:$K$100, MATCH(E91, Maquinaria_Inventario!$L$2:$L$100, 0)), 0))</f>
      </c>
      <c r="J91">
        <f t="shared" si="1"/>
      </c>
    </row>
    <row r="92" spans="1:10">
      <c r="A92" s="2981">
        <f>IF(D92="","", "HT-" &amp; IFERROR(VLOOKUP(C92, Catalogos!$Z$4:$AA$20, 2, FALSE), "FOL") &amp; "-" &amp; IF(B92="","00", WEEKNUM(B92,2)) &amp; "-" &amp; TEXT(ROW(A89),"000"))</f>
      </c>
      <c r="B92" s="2960">
        <v>46191</v>
      </c>
      <c r="C92" t="s" s="2817">
        <v>2</v>
      </c>
      <c r="D92" t="s" s="2818">
        <v>219</v>
      </c>
      <c r="E92" s="2982">
        <f>IF(D92="","", IFERROR(INDEX(Catalogos!$W$4:$W$100, MATCH(D92, Catalogos!$V$4:$V$100, 0)), ""))</f>
      </c>
      <c r="F92" s="2983">
        <f>IF(D92="","", IFERROR(INDEX(Catalogos!$Y$4:$Y$100, MATCH(D92, Catalogos!$V$4:$V$100, 0)), ""))</f>
      </c>
      <c r="G92" s="2984">
        <v>4</v>
      </c>
      <c r="H92" s="2985"/>
      <c r="I92">
        <f>IF(E92="","", G92 * IFERROR(INDEX(Maquinaria_Inventario!$K$2:$K$100, MATCH(E92, Maquinaria_Inventario!$L$2:$L$100, 0)), 0))</f>
      </c>
      <c r="J92">
        <f t="shared" si="1"/>
      </c>
    </row>
    <row r="93" spans="1:10">
      <c r="A93" s="2986">
        <f>IF(D93="","", "HT-" &amp; IFERROR(VLOOKUP(C93, Catalogos!$Z$4:$AA$20, 2, FALSE), "FOL") &amp; "-" &amp; IF(B93="","00", WEEKNUM(B93,2)) &amp; "-" &amp; TEXT(ROW(A90),"000"))</f>
      </c>
      <c r="B93" s="2960">
        <v>46191</v>
      </c>
      <c r="C93" t="s" s="2824">
        <v>2</v>
      </c>
      <c r="D93" t="s" s="2825">
        <v>223</v>
      </c>
      <c r="E93" s="2987">
        <f>IF(D93="","", IFERROR(INDEX(Catalogos!$W$4:$W$100, MATCH(D93, Catalogos!$V$4:$V$100, 0)), ""))</f>
      </c>
      <c r="F93" s="2988">
        <f>IF(D93="","", IFERROR(INDEX(Catalogos!$Y$4:$Y$100, MATCH(D93, Catalogos!$V$4:$V$100, 0)), ""))</f>
      </c>
      <c r="G93" s="2989">
        <v>4</v>
      </c>
      <c r="H93" s="2990"/>
      <c r="I93">
        <f>IF(E93="","", G93 * IFERROR(INDEX(Maquinaria_Inventario!$K$2:$K$100, MATCH(E93, Maquinaria_Inventario!$L$2:$L$100, 0)), 0))</f>
      </c>
      <c r="J93">
        <f t="shared" si="1"/>
      </c>
    </row>
    <row r="94" spans="1:10">
      <c r="A94" s="2991">
        <f>IF(D94="","", "HT-" &amp; IFERROR(VLOOKUP(C94, Catalogos!$Z$4:$AA$20, 2, FALSE), "FOL") &amp; "-" &amp; IF(B94="","00", WEEKNUM(B94,2)) &amp; "-" &amp; TEXT(ROW(A91),"000"))</f>
      </c>
      <c r="B94" s="2960">
        <v>46191</v>
      </c>
      <c r="C94" t="s" s="2831">
        <v>2</v>
      </c>
      <c r="D94" t="s" s="2832">
        <v>231</v>
      </c>
      <c r="E94" s="2992">
        <f>IF(D94="","", IFERROR(INDEX(Catalogos!$W$4:$W$100, MATCH(D94, Catalogos!$V$4:$V$100, 0)), ""))</f>
      </c>
      <c r="F94" s="2993">
        <f>IF(D94="","", IFERROR(INDEX(Catalogos!$Y$4:$Y$100, MATCH(D94, Catalogos!$V$4:$V$100, 0)), ""))</f>
      </c>
      <c r="G94" s="2994">
        <v>4</v>
      </c>
      <c r="H94" s="2995"/>
      <c r="I94">
        <f>IF(E94="","", G94 * IFERROR(INDEX(Maquinaria_Inventario!$K$2:$K$100, MATCH(E94, Maquinaria_Inventario!$L$2:$L$100, 0)), 0))</f>
      </c>
      <c r="J94">
        <f t="shared" si="1"/>
      </c>
    </row>
    <row r="95" spans="1:10">
      <c r="A95" s="2996">
        <f>IF(D95="","", "HT-" &amp; IFERROR(VLOOKUP(C95, Catalogos!$Z$4:$AA$20, 2, FALSE), "FOL") &amp; "-" &amp; IF(B95="","00", WEEKNUM(B95,2)) &amp; "-" &amp; TEXT(ROW(A92),"000"))</f>
      </c>
      <c r="B95" s="2960">
        <v>46191</v>
      </c>
      <c r="C95" t="s" s="2838">
        <v>2</v>
      </c>
      <c r="D95" t="s" s="2839">
        <v>378</v>
      </c>
      <c r="E95" s="2997">
        <f>IF(D95="","", IFERROR(INDEX(Catalogos!$W$4:$W$100, MATCH(D95, Catalogos!$V$4:$V$100, 0)), ""))</f>
      </c>
      <c r="F95" s="2998">
        <f>IF(D95="","", IFERROR(INDEX(Catalogos!$Y$4:$Y$100, MATCH(D95, Catalogos!$V$4:$V$100, 0)), ""))</f>
      </c>
      <c r="G95" s="2999">
        <v>2</v>
      </c>
      <c r="H95" s="3000"/>
      <c r="I95">
        <f>IF(E95="","", G95 * IFERROR(INDEX(Maquinaria_Inventario!$K$2:$K$100, MATCH(E95, Maquinaria_Inventario!$L$2:$L$100, 0)), 0))</f>
      </c>
      <c r="J95">
        <f t="shared" si="1"/>
      </c>
    </row>
    <row r="96" spans="1:10">
      <c r="A96" s="3001">
        <f>IF(D96="","", "HT-" &amp; IFERROR(VLOOKUP(C96, Catalogos!$Z$4:$AA$20, 2, FALSE), "FOL") &amp; "-" &amp; IF(B96="","00", WEEKNUM(B96,2)) &amp; "-" &amp; TEXT(ROW(A93),"000"))</f>
      </c>
      <c r="B96" s="2960">
        <v>46191</v>
      </c>
      <c r="C96" t="s" s="2845">
        <v>2</v>
      </c>
      <c r="D96" t="s" s="2846">
        <v>383</v>
      </c>
      <c r="E96" s="3002">
        <f>IF(D96="","", IFERROR(INDEX(Catalogos!$W$4:$W$100, MATCH(D96, Catalogos!$V$4:$V$100, 0)), ""))</f>
      </c>
      <c r="F96" s="3003">
        <f>IF(D96="","", IFERROR(INDEX(Catalogos!$Y$4:$Y$100, MATCH(D96, Catalogos!$V$4:$V$100, 0)), ""))</f>
      </c>
      <c r="G96" s="3004">
        <v>4</v>
      </c>
      <c r="H96" s="3005"/>
      <c r="I96">
        <f>IF(E96="","", G96 * IFERROR(INDEX(Maquinaria_Inventario!$K$2:$K$100, MATCH(E96, Maquinaria_Inventario!$L$2:$L$100, 0)), 0))</f>
      </c>
      <c r="J96">
        <f t="shared" si="1"/>
      </c>
    </row>
    <row r="97" spans="1:10">
      <c r="A97" s="3006">
        <f>IF(D97="","", "HT-" &amp; IFERROR(VLOOKUP(C97, Catalogos!$Z$4:$AA$20, 2, FALSE), "FOL") &amp; "-" &amp; IF(B97="","00", WEEKNUM(B97,2)) &amp; "-" &amp; TEXT(ROW(A94),"000"))</f>
      </c>
      <c r="B97" s="2960">
        <v>46191</v>
      </c>
      <c r="C97" t="s" s="2852">
        <v>2</v>
      </c>
      <c r="D97" t="s" s="2853">
        <v>235</v>
      </c>
      <c r="E97" s="3007">
        <f>IF(D97="","", IFERROR(INDEX(Catalogos!$W$4:$W$100, MATCH(D97, Catalogos!$V$4:$V$100, 0)), ""))</f>
      </c>
      <c r="F97" s="3008">
        <f>IF(D97="","", IFERROR(INDEX(Catalogos!$Y$4:$Y$100, MATCH(D97, Catalogos!$V$4:$V$100, 0)), ""))</f>
      </c>
      <c r="G97" s="3009">
        <v>4</v>
      </c>
      <c r="H97" s="3010"/>
      <c r="I97">
        <f>IF(E97="","", G97 * IFERROR(INDEX(Maquinaria_Inventario!$K$2:$K$100, MATCH(E97, Maquinaria_Inventario!$L$2:$L$100, 0)), 0))</f>
      </c>
      <c r="J97">
        <f t="shared" si="1"/>
      </c>
    </row>
    <row r="98" spans="1:10">
      <c r="A98" s="3012">
        <f>IF(D98="","", "HT-" &amp; IFERROR(VLOOKUP(C98, Catalogos!$Z$4:$AA$20, 2, FALSE), "FOL") &amp; "-" &amp; IF(B98="","00", WEEKNUM(B98,2)) &amp; "-" &amp; TEXT(ROW(A95),"000"))</f>
      </c>
      <c r="B98" s="3011">
        <v>46192</v>
      </c>
      <c r="C98" t="s" s="2789">
        <v>2</v>
      </c>
      <c r="D98" t="s" s="2790">
        <v>214</v>
      </c>
      <c r="E98" s="3013">
        <f>IF(D98="","", IFERROR(INDEX(Catalogos!$W$4:$W$100, MATCH(D98, Catalogos!$V$4:$V$100, 0)), ""))</f>
      </c>
      <c r="F98" s="3014">
        <f>IF(D98="","", IFERROR(INDEX(Catalogos!$Y$4:$Y$100, MATCH(D98, Catalogos!$V$4:$V$100, 0)), ""))</f>
      </c>
      <c r="G98" s="3015">
        <v>2</v>
      </c>
      <c r="H98" s="3016"/>
      <c r="I98">
        <f>IF(E98="","", G98 * IFERROR(INDEX(Maquinaria_Inventario!$K$2:$K$100, MATCH(E98, Maquinaria_Inventario!$L$2:$L$100, 0)), 0))</f>
      </c>
      <c r="J98">
        <f t="shared" si="1"/>
      </c>
    </row>
    <row r="99" spans="1:10">
      <c r="A99" s="3017">
        <f>IF(D99="","", "HT-" &amp; IFERROR(VLOOKUP(C99, Catalogos!$Z$4:$AA$20, 2, FALSE), "FOL") &amp; "-" &amp; IF(B99="","00", WEEKNUM(B99,2)) &amp; "-" &amp; TEXT(ROW(A96),"000"))</f>
      </c>
      <c r="B99" s="3011">
        <v>46192</v>
      </c>
      <c r="C99" t="s" s="2796">
        <v>2</v>
      </c>
      <c r="D99" t="s" s="2797">
        <v>227</v>
      </c>
      <c r="E99" s="3018">
        <f>IF(D99="","", IFERROR(INDEX(Catalogos!$W$4:$W$100, MATCH(D99, Catalogos!$V$4:$V$100, 0)), ""))</f>
      </c>
      <c r="F99" s="3019">
        <f>IF(D99="","", IFERROR(INDEX(Catalogos!$Y$4:$Y$100, MATCH(D99, Catalogos!$V$4:$V$100, 0)), ""))</f>
      </c>
      <c r="G99" s="3020">
        <v>2</v>
      </c>
      <c r="H99" s="3021"/>
      <c r="I99">
        <f>IF(E99="","", G99 * IFERROR(INDEX(Maquinaria_Inventario!$K$2:$K$100, MATCH(E99, Maquinaria_Inventario!$L$2:$L$100, 0)), 0))</f>
      </c>
      <c r="J99">
        <f t="shared" si="1"/>
      </c>
    </row>
    <row r="100" spans="1:10">
      <c r="A100" s="3022">
        <f>IF(D100="","", "HT-" &amp; IFERROR(VLOOKUP(C100, Catalogos!$Z$4:$AA$20, 2, FALSE), "FOL") &amp; "-" &amp; IF(B100="","00", WEEKNUM(B100,2)) &amp; "-" &amp; TEXT(ROW(A97),"000"))</f>
      </c>
      <c r="B100" s="3011">
        <v>46192</v>
      </c>
      <c r="C100" t="s" s="2803">
        <v>2</v>
      </c>
      <c r="D100" t="s" s="2804">
        <v>209</v>
      </c>
      <c r="E100" s="3023">
        <f>IF(D100="","", IFERROR(INDEX(Catalogos!$W$4:$W$100, MATCH(D100, Catalogos!$V$4:$V$100, 0)), ""))</f>
      </c>
      <c r="F100" s="3024">
        <f>IF(D100="","", IFERROR(INDEX(Catalogos!$Y$4:$Y$100, MATCH(D100, Catalogos!$V$4:$V$100, 0)), ""))</f>
      </c>
      <c r="G100" s="3025">
        <v>2</v>
      </c>
      <c r="H100" s="3026"/>
      <c r="I100">
        <f>IF(E100="","", G100 * IFERROR(INDEX(Maquinaria_Inventario!$K$2:$K$100, MATCH(E100, Maquinaria_Inventario!$L$2:$L$100, 0)), 0))</f>
      </c>
      <c r="J100">
        <f t="shared" si="1"/>
      </c>
    </row>
    <row r="101" spans="1:10">
      <c r="A101" s="3027">
        <f>IF(D101="","", "HT-" &amp; IFERROR(VLOOKUP(C101, Catalogos!$Z$4:$AA$20, 2, FALSE), "FOL") &amp; "-" &amp; IF(B101="","00", WEEKNUM(B101,2)) &amp; "-" &amp; TEXT(ROW(A98),"000"))</f>
      </c>
      <c r="B101" s="3011">
        <v>46192</v>
      </c>
      <c r="C101" t="s" s="2810">
        <v>2</v>
      </c>
      <c r="D101" t="s" s="2811">
        <v>367</v>
      </c>
      <c r="E101" s="3028">
        <f>IF(D101="","", IFERROR(INDEX(Catalogos!$W$4:$W$100, MATCH(D101, Catalogos!$V$4:$V$100, 0)), ""))</f>
      </c>
      <c r="F101" s="3029">
        <f>IF(D101="","", IFERROR(INDEX(Catalogos!$Y$4:$Y$100, MATCH(D101, Catalogos!$V$4:$V$100, 0)), ""))</f>
      </c>
      <c r="G101" s="3030">
        <v>2</v>
      </c>
      <c r="H101" s="3031"/>
      <c r="I101">
        <f>IF(E101="","", G101 * IFERROR(INDEX(Maquinaria_Inventario!$K$2:$K$100, MATCH(E101, Maquinaria_Inventario!$L$2:$L$100, 0)), 0))</f>
      </c>
      <c r="J101">
        <f t="shared" si="1"/>
      </c>
    </row>
    <row r="102" spans="1:10">
      <c r="A102" s="3032">
        <f>IF(D102="","", "HT-" &amp; IFERROR(VLOOKUP(C102, Catalogos!$Z$4:$AA$20, 2, FALSE), "FOL") &amp; "-" &amp; IF(B102="","00", WEEKNUM(B102,2)) &amp; "-" &amp; TEXT(ROW(A99),"000"))</f>
      </c>
      <c r="B102" s="3011">
        <v>46192</v>
      </c>
      <c r="C102" t="s" s="2817">
        <v>2</v>
      </c>
      <c r="D102" t="s" s="2818">
        <v>219</v>
      </c>
      <c r="E102" s="3033">
        <f>IF(D102="","", IFERROR(INDEX(Catalogos!$W$4:$W$100, MATCH(D102, Catalogos!$V$4:$V$100, 0)), ""))</f>
      </c>
      <c r="F102" s="3034">
        <f>IF(D102="","", IFERROR(INDEX(Catalogos!$Y$4:$Y$100, MATCH(D102, Catalogos!$V$4:$V$100, 0)), ""))</f>
      </c>
      <c r="G102" s="3035">
        <v>2</v>
      </c>
      <c r="H102" s="3036"/>
      <c r="I102">
        <f>IF(E102="","", G102 * IFERROR(INDEX(Maquinaria_Inventario!$K$2:$K$100, MATCH(E102, Maquinaria_Inventario!$L$2:$L$100, 0)), 0))</f>
      </c>
      <c r="J102">
        <f t="shared" si="1"/>
      </c>
    </row>
    <row r="103" spans="1:10">
      <c r="A103" s="3037">
        <f>IF(D103="","", "HT-" &amp; IFERROR(VLOOKUP(C103, Catalogos!$Z$4:$AA$20, 2, FALSE), "FOL") &amp; "-" &amp; IF(B103="","00", WEEKNUM(B103,2)) &amp; "-" &amp; TEXT(ROW(A100),"000"))</f>
      </c>
      <c r="B103" s="3011">
        <v>46192</v>
      </c>
      <c r="C103" t="s" s="2824">
        <v>2</v>
      </c>
      <c r="D103" t="s" s="2825">
        <v>223</v>
      </c>
      <c r="E103" s="3038">
        <f>IF(D103="","", IFERROR(INDEX(Catalogos!$W$4:$W$100, MATCH(D103, Catalogos!$V$4:$V$100, 0)), ""))</f>
      </c>
      <c r="F103" s="3039">
        <f>IF(D103="","", IFERROR(INDEX(Catalogos!$Y$4:$Y$100, MATCH(D103, Catalogos!$V$4:$V$100, 0)), ""))</f>
      </c>
      <c r="G103" s="3040">
        <v>2</v>
      </c>
      <c r="H103" s="3041"/>
      <c r="I103">
        <f>IF(E103="","", G103 * IFERROR(INDEX(Maquinaria_Inventario!$K$2:$K$100, MATCH(E103, Maquinaria_Inventario!$L$2:$L$100, 0)), 0))</f>
      </c>
      <c r="J103">
        <f t="shared" si="1"/>
      </c>
    </row>
    <row r="104" spans="1:10">
      <c r="A104" s="3042">
        <f>IF(D104="","", "HT-" &amp; IFERROR(VLOOKUP(C104, Catalogos!$Z$4:$AA$20, 2, FALSE), "FOL") &amp; "-" &amp; IF(B104="","00", WEEKNUM(B104,2)) &amp; "-" &amp; TEXT(ROW(A101),"000"))</f>
      </c>
      <c r="B104" s="3011">
        <v>46192</v>
      </c>
      <c r="C104" t="s" s="2831">
        <v>2</v>
      </c>
      <c r="D104" t="s" s="2832">
        <v>231</v>
      </c>
      <c r="E104" s="3043">
        <f>IF(D104="","", IFERROR(INDEX(Catalogos!$W$4:$W$100, MATCH(D104, Catalogos!$V$4:$V$100, 0)), ""))</f>
      </c>
      <c r="F104" s="3044">
        <f>IF(D104="","", IFERROR(INDEX(Catalogos!$Y$4:$Y$100, MATCH(D104, Catalogos!$V$4:$V$100, 0)), ""))</f>
      </c>
      <c r="G104" s="3045">
        <v>4</v>
      </c>
      <c r="H104" s="3046"/>
      <c r="I104">
        <f>IF(E104="","", G104 * IFERROR(INDEX(Maquinaria_Inventario!$K$2:$K$100, MATCH(E104, Maquinaria_Inventario!$L$2:$L$100, 0)), 0))</f>
      </c>
      <c r="J104">
        <f t="shared" si="1"/>
      </c>
    </row>
    <row r="105" spans="1:10">
      <c r="A105" s="3047">
        <f>IF(D105="","", "HT-" &amp; IFERROR(VLOOKUP(C105, Catalogos!$Z$4:$AA$20, 2, FALSE), "FOL") &amp; "-" &amp; IF(B105="","00", WEEKNUM(B105,2)) &amp; "-" &amp; TEXT(ROW(A102),"000"))</f>
      </c>
      <c r="B105" s="3011">
        <v>46192</v>
      </c>
      <c r="C105" t="s" s="2838">
        <v>2</v>
      </c>
      <c r="D105" t="s" s="2839">
        <v>378</v>
      </c>
      <c r="E105" s="3048">
        <f>IF(D105="","", IFERROR(INDEX(Catalogos!$W$4:$W$100, MATCH(D105, Catalogos!$V$4:$V$100, 0)), ""))</f>
      </c>
      <c r="F105" s="3049">
        <f>IF(D105="","", IFERROR(INDEX(Catalogos!$Y$4:$Y$100, MATCH(D105, Catalogos!$V$4:$V$100, 0)), ""))</f>
      </c>
      <c r="G105" s="3050">
        <v>1</v>
      </c>
      <c r="H105" s="3051"/>
      <c r="I105">
        <f>IF(E105="","", G105 * IFERROR(INDEX(Maquinaria_Inventario!$K$2:$K$100, MATCH(E105, Maquinaria_Inventario!$L$2:$L$100, 0)), 0))</f>
      </c>
      <c r="J105">
        <f t="shared" si="1"/>
      </c>
    </row>
    <row r="106" spans="1:10">
      <c r="A106" s="3052">
        <f>IF(D106="","", "HT-" &amp; IFERROR(VLOOKUP(C106, Catalogos!$Z$4:$AA$20, 2, FALSE), "FOL") &amp; "-" &amp; IF(B106="","00", WEEKNUM(B106,2)) &amp; "-" &amp; TEXT(ROW(A103),"000"))</f>
      </c>
      <c r="B106" s="3011">
        <v>46192</v>
      </c>
      <c r="C106" t="s" s="2845">
        <v>2</v>
      </c>
      <c r="D106" t="s" s="2846">
        <v>383</v>
      </c>
      <c r="E106" s="3053">
        <f>IF(D106="","", IFERROR(INDEX(Catalogos!$W$4:$W$100, MATCH(D106, Catalogos!$V$4:$V$100, 0)), ""))</f>
      </c>
      <c r="F106" s="3054">
        <f>IF(D106="","", IFERROR(INDEX(Catalogos!$Y$4:$Y$100, MATCH(D106, Catalogos!$V$4:$V$100, 0)), ""))</f>
      </c>
      <c r="G106" s="3055">
        <v>4</v>
      </c>
      <c r="H106" s="3056"/>
      <c r="I106">
        <f>IF(E106="","", G106 * IFERROR(INDEX(Maquinaria_Inventario!$K$2:$K$100, MATCH(E106, Maquinaria_Inventario!$L$2:$L$100, 0)), 0))</f>
      </c>
      <c r="J106">
        <f t="shared" si="1"/>
      </c>
    </row>
    <row r="107" spans="1:10">
      <c r="A107" s="3057">
        <f>IF(D107="","", "HT-" &amp; IFERROR(VLOOKUP(C107, Catalogos!$Z$4:$AA$20, 2, FALSE), "FOL") &amp; "-" &amp; IF(B107="","00", WEEKNUM(B107,2)) &amp; "-" &amp; TEXT(ROW(A104),"000"))</f>
      </c>
      <c r="B107" s="3011">
        <v>46192</v>
      </c>
      <c r="C107" t="s" s="2852">
        <v>2</v>
      </c>
      <c r="D107" t="s" s="2853">
        <v>235</v>
      </c>
      <c r="E107" s="3058">
        <f>IF(D107="","", IFERROR(INDEX(Catalogos!$W$4:$W$100, MATCH(D107, Catalogos!$V$4:$V$100, 0)), ""))</f>
      </c>
      <c r="F107" s="3059">
        <f>IF(D107="","", IFERROR(INDEX(Catalogos!$Y$4:$Y$100, MATCH(D107, Catalogos!$V$4:$V$100, 0)), ""))</f>
      </c>
      <c r="G107" s="3060">
        <v>4</v>
      </c>
      <c r="H107" s="3061"/>
      <c r="I107">
        <f>IF(E107="","", G107 * IFERROR(INDEX(Maquinaria_Inventario!$K$2:$K$100, MATCH(E107, Maquinaria_Inventario!$L$2:$L$100, 0)), 0))</f>
      </c>
      <c r="J107">
        <f t="shared" si="1"/>
      </c>
    </row>
    <row r="108" spans="1:10">
      <c r="A108" s="3063">
        <f>IF(D108="","", "HT-" &amp; IFERROR(VLOOKUP(C108, Catalogos!$Z$4:$AA$20, 2, FALSE), "FOL") &amp; "-" &amp; IF(B108="","00", WEEKNUM(B108,2)) &amp; "-" &amp; TEXT(ROW(A105),"000"))</f>
      </c>
      <c r="B108" s="3062"/>
      <c r="C108" s="3064"/>
      <c r="D108" s="3065"/>
      <c r="E108" s="3066">
        <f>IF(D108="","", IFERROR(INDEX(Catalogos!$W$4:$W$100, MATCH(D108, Catalogos!$V$4:$V$100, 0)), ""))</f>
      </c>
      <c r="F108" s="3067">
        <f>IF(D108="","", IFERROR(INDEX(Catalogos!$Y$4:$Y$100, MATCH(D108, Catalogos!$V$4:$V$100, 0)), ""))</f>
      </c>
      <c r="G108" s="3068"/>
      <c r="H108" s="3069"/>
      <c r="I108">
        <f>IF(E108="","", G108 * IFERROR(INDEX(Maquinaria_Inventario!$K$2:$K$100, MATCH(E108, Maquinaria_Inventario!$L$2:$L$100, 0)), 0))</f>
      </c>
      <c r="J108">
        <f t="shared" si="1"/>
      </c>
    </row>
    <row r="109" spans="1:10">
      <c r="A109" s="3071">
        <f>IF(D109="","", "HT-" &amp; IFERROR(VLOOKUP(C109, Catalogos!$Z$4:$AA$20, 2, FALSE), "FOL") &amp; "-" &amp; IF(B109="","00", WEEKNUM(B109,2)) &amp; "-" &amp; TEXT(ROW(A106),"000"))</f>
      </c>
      <c r="B109" s="3070"/>
      <c r="C109" s="3072"/>
      <c r="D109" s="3073"/>
      <c r="E109" s="3074">
        <f>IF(D109="","", IFERROR(INDEX(Catalogos!$W$4:$W$100, MATCH(D109, Catalogos!$V$4:$V$100, 0)), ""))</f>
      </c>
      <c r="F109" s="3075">
        <f>IF(D109="","", IFERROR(INDEX(Catalogos!$Y$4:$Y$100, MATCH(D109, Catalogos!$V$4:$V$100, 0)), ""))</f>
      </c>
      <c r="G109" s="3076"/>
      <c r="H109" s="3077"/>
      <c r="I109">
        <f>IF(E109="","", G109 * IFERROR(INDEX(Maquinaria_Inventario!$K$2:$K$100, MATCH(E109, Maquinaria_Inventario!$L$2:$L$100, 0)), 0))</f>
      </c>
      <c r="J109">
        <f t="shared" si="1"/>
      </c>
    </row>
    <row r="110" spans="1:10">
      <c r="A110" s="3079">
        <f>IF(D110="","", "HT-" &amp; IFERROR(VLOOKUP(C110, Catalogos!$Z$4:$AA$20, 2, FALSE), "FOL") &amp; "-" &amp; IF(B110="","00", WEEKNUM(B110,2)) &amp; "-" &amp; TEXT(ROW(A107),"000"))</f>
      </c>
      <c r="B110" s="3078"/>
      <c r="C110" s="3080"/>
      <c r="D110" s="3081"/>
      <c r="E110" s="3082">
        <f>IF(D110="","", IFERROR(INDEX(Catalogos!$W$4:$W$100, MATCH(D110, Catalogos!$V$4:$V$100, 0)), ""))</f>
      </c>
      <c r="F110" s="3083">
        <f>IF(D110="","", IFERROR(INDEX(Catalogos!$Y$4:$Y$100, MATCH(D110, Catalogos!$V$4:$V$100, 0)), ""))</f>
      </c>
      <c r="G110" s="3084"/>
      <c r="H110" s="3085"/>
      <c r="I110">
        <f>IF(E110="","", G110 * IFERROR(INDEX(Maquinaria_Inventario!$K$2:$K$100, MATCH(E110, Maquinaria_Inventario!$L$2:$L$100, 0)), 0))</f>
      </c>
      <c r="J110">
        <f t="shared" si="1"/>
      </c>
    </row>
    <row r="111" spans="1:10">
      <c r="A111" s="3087">
        <f>IF(D111="","", "HT-" &amp; IFERROR(VLOOKUP(C111, Catalogos!$Z$4:$AA$20, 2, FALSE), "FOL") &amp; "-" &amp; IF(B111="","00", WEEKNUM(B111,2)) &amp; "-" &amp; TEXT(ROW(A108),"000"))</f>
      </c>
      <c r="B111" s="3086"/>
      <c r="C111" s="3088"/>
      <c r="D111" s="3089"/>
      <c r="E111" s="3090">
        <f>IF(D111="","", IFERROR(INDEX(Catalogos!$W$4:$W$100, MATCH(D111, Catalogos!$V$4:$V$100, 0)), ""))</f>
      </c>
      <c r="F111" s="3091">
        <f>IF(D111="","", IFERROR(INDEX(Catalogos!$Y$4:$Y$100, MATCH(D111, Catalogos!$V$4:$V$100, 0)), ""))</f>
      </c>
      <c r="G111" s="3092"/>
      <c r="H111" s="3093"/>
      <c r="I111">
        <f>IF(E111="","", G111 * IFERROR(INDEX(Maquinaria_Inventario!$K$2:$K$100, MATCH(E111, Maquinaria_Inventario!$L$2:$L$100, 0)), 0))</f>
      </c>
      <c r="J111">
        <f t="shared" si="1"/>
      </c>
    </row>
    <row r="112" spans="1:10">
      <c r="A112" s="3095">
        <f>IF(D112="","", "HT-" &amp; IFERROR(VLOOKUP(C112, Catalogos!$Z$4:$AA$20, 2, FALSE), "FOL") &amp; "-" &amp; IF(B112="","00", WEEKNUM(B112,2)) &amp; "-" &amp; TEXT(ROW(A109),"000"))</f>
      </c>
      <c r="B112" s="3094"/>
      <c r="C112" s="3096"/>
      <c r="D112" s="3097"/>
      <c r="E112" s="3098">
        <f>IF(D112="","", IFERROR(INDEX(Catalogos!$W$4:$W$100, MATCH(D112, Catalogos!$V$4:$V$100, 0)), ""))</f>
      </c>
      <c r="F112" s="3099">
        <f>IF(D112="","", IFERROR(INDEX(Catalogos!$Y$4:$Y$100, MATCH(D112, Catalogos!$V$4:$V$100, 0)), ""))</f>
      </c>
      <c r="G112" s="3100"/>
      <c r="H112" s="3101"/>
      <c r="I112">
        <f>IF(E112="","", G112 * IFERROR(INDEX(Maquinaria_Inventario!$K$2:$K$100, MATCH(E112, Maquinaria_Inventario!$L$2:$L$100, 0)), 0))</f>
      </c>
      <c r="J112">
        <f t="shared" si="1"/>
      </c>
    </row>
    <row r="113" spans="1:10">
      <c r="A113" s="3103">
        <f>IF(D113="","", "HT-" &amp; IFERROR(VLOOKUP(C113, Catalogos!$Z$4:$AA$20, 2, FALSE), "FOL") &amp; "-" &amp; IF(B113="","00", WEEKNUM(B113,2)) &amp; "-" &amp; TEXT(ROW(A110),"000"))</f>
      </c>
      <c r="B113" s="3102"/>
      <c r="C113" s="3104"/>
      <c r="D113" s="3105"/>
      <c r="E113" s="3106">
        <f>IF(D113="","", IFERROR(INDEX(Catalogos!$W$4:$W$100, MATCH(D113, Catalogos!$V$4:$V$100, 0)), ""))</f>
      </c>
      <c r="F113" s="3107">
        <f>IF(D113="","", IFERROR(INDEX(Catalogos!$Y$4:$Y$100, MATCH(D113, Catalogos!$V$4:$V$100, 0)), ""))</f>
      </c>
      <c r="G113" s="3108"/>
      <c r="H113" s="3109"/>
      <c r="I113">
        <f>IF(E113="","", G113 * IFERROR(INDEX(Maquinaria_Inventario!$K$2:$K$100, MATCH(E113, Maquinaria_Inventario!$L$2:$L$100, 0)), 0))</f>
      </c>
      <c r="J113">
        <f t="shared" si="1"/>
      </c>
    </row>
    <row r="114" spans="1:10">
      <c r="A114" s="3111">
        <f>IF(D114="","", "HT-" &amp; IFERROR(VLOOKUP(C114, Catalogos!$Z$4:$AA$20, 2, FALSE), "FOL") &amp; "-" &amp; IF(B114="","00", WEEKNUM(B114,2)) &amp; "-" &amp; TEXT(ROW(A111),"000"))</f>
      </c>
      <c r="B114" s="3110"/>
      <c r="C114" s="3112"/>
      <c r="D114" s="3113"/>
      <c r="E114" s="3114">
        <f>IF(D114="","", IFERROR(INDEX(Catalogos!$W$4:$W$100, MATCH(D114, Catalogos!$V$4:$V$100, 0)), ""))</f>
      </c>
      <c r="F114" s="3115">
        <f>IF(D114="","", IFERROR(INDEX(Catalogos!$Y$4:$Y$100, MATCH(D114, Catalogos!$V$4:$V$100, 0)), ""))</f>
      </c>
      <c r="G114" s="3116"/>
      <c r="H114" s="3117"/>
      <c r="I114">
        <f>IF(E114="","", G114 * IFERROR(INDEX(Maquinaria_Inventario!$K$2:$K$100, MATCH(E114, Maquinaria_Inventario!$L$2:$L$100, 0)), 0))</f>
      </c>
      <c r="J114">
        <f t="shared" si="1"/>
      </c>
    </row>
    <row r="115" spans="1:10">
      <c r="A115" s="3119">
        <f>IF(D115="","", "HT-" &amp; IFERROR(VLOOKUP(C115, Catalogos!$Z$4:$AA$20, 2, FALSE), "FOL") &amp; "-" &amp; IF(B115="","00", WEEKNUM(B115,2)) &amp; "-" &amp; TEXT(ROW(A112),"000"))</f>
      </c>
      <c r="B115" s="3118"/>
      <c r="C115" s="3120"/>
      <c r="D115" s="3121"/>
      <c r="E115" s="3122">
        <f>IF(D115="","", IFERROR(INDEX(Catalogos!$W$4:$W$100, MATCH(D115, Catalogos!$V$4:$V$100, 0)), ""))</f>
      </c>
      <c r="F115" s="3123">
        <f>IF(D115="","", IFERROR(INDEX(Catalogos!$Y$4:$Y$100, MATCH(D115, Catalogos!$V$4:$V$100, 0)), ""))</f>
      </c>
      <c r="G115" s="3124"/>
      <c r="H115" s="3125"/>
      <c r="I115">
        <f>IF(E115="","", G115 * IFERROR(INDEX(Maquinaria_Inventario!$K$2:$K$100, MATCH(E115, Maquinaria_Inventario!$L$2:$L$100, 0)), 0))</f>
      </c>
      <c r="J115">
        <f t="shared" si="1"/>
      </c>
    </row>
    <row r="116" spans="1:10">
      <c r="A116" s="3127">
        <f>IF(D116="","", "HT-" &amp; IFERROR(VLOOKUP(C116, Catalogos!$Z$4:$AA$20, 2, FALSE), "FOL") &amp; "-" &amp; IF(B116="","00", WEEKNUM(B116,2)) &amp; "-" &amp; TEXT(ROW(A113),"000"))</f>
      </c>
      <c r="B116" s="3126"/>
      <c r="C116" s="3128"/>
      <c r="D116" s="3129"/>
      <c r="E116" s="3130">
        <f>IF(D116="","", IFERROR(INDEX(Catalogos!$W$4:$W$100, MATCH(D116, Catalogos!$V$4:$V$100, 0)), ""))</f>
      </c>
      <c r="F116" s="3131">
        <f>IF(D116="","", IFERROR(INDEX(Catalogos!$Y$4:$Y$100, MATCH(D116, Catalogos!$V$4:$V$100, 0)), ""))</f>
      </c>
      <c r="G116" s="3132"/>
      <c r="H116" s="3133"/>
      <c r="I116">
        <f>IF(E116="","", G116 * IFERROR(INDEX(Maquinaria_Inventario!$K$2:$K$100, MATCH(E116, Maquinaria_Inventario!$L$2:$L$100, 0)), 0))</f>
      </c>
      <c r="J116">
        <f t="shared" si="1"/>
      </c>
    </row>
    <row r="117" spans="1:10">
      <c r="A117" s="3135">
        <f>IF(D117="","", "HT-" &amp; IFERROR(VLOOKUP(C117, Catalogos!$Z$4:$AA$20, 2, FALSE), "FOL") &amp; "-" &amp; IF(B117="","00", WEEKNUM(B117,2)) &amp; "-" &amp; TEXT(ROW(A114),"000"))</f>
      </c>
      <c r="B117" s="3134"/>
      <c r="C117" s="3136"/>
      <c r="D117" s="3137"/>
      <c r="E117" s="3138">
        <f>IF(D117="","", IFERROR(INDEX(Catalogos!$W$4:$W$100, MATCH(D117, Catalogos!$V$4:$V$100, 0)), ""))</f>
      </c>
      <c r="F117" s="3139">
        <f>IF(D117="","", IFERROR(INDEX(Catalogos!$Y$4:$Y$100, MATCH(D117, Catalogos!$V$4:$V$100, 0)), ""))</f>
      </c>
      <c r="G117" s="3140"/>
      <c r="H117" s="3141"/>
      <c r="I117">
        <f>IF(E117="","", G117 * IFERROR(INDEX(Maquinaria_Inventario!$K$2:$K$100, MATCH(E117, Maquinaria_Inventario!$L$2:$L$100, 0)), 0))</f>
      </c>
      <c r="J117">
        <f t="shared" si="1"/>
      </c>
    </row>
    <row r="118" spans="1:10">
      <c r="A118" s="3143">
        <f>IF(D118="","", "HT-" &amp; IFERROR(VLOOKUP(C118, Catalogos!$Z$4:$AA$20, 2, FALSE), "FOL") &amp; "-" &amp; IF(B118="","00", WEEKNUM(B118,2)) &amp; "-" &amp; TEXT(ROW(A115),"000"))</f>
      </c>
      <c r="B118" s="3142"/>
      <c r="C118" s="3144"/>
      <c r="D118" s="3145"/>
      <c r="E118" s="3146">
        <f>IF(D118="","", IFERROR(INDEX(Catalogos!$W$4:$W$100, MATCH(D118, Catalogos!$V$4:$V$100, 0)), ""))</f>
      </c>
      <c r="F118" s="3147">
        <f>IF(D118="","", IFERROR(INDEX(Catalogos!$Y$4:$Y$100, MATCH(D118, Catalogos!$V$4:$V$100, 0)), ""))</f>
      </c>
      <c r="G118" s="3148"/>
      <c r="H118" s="3149"/>
      <c r="I118">
        <f>IF(E118="","", G118 * IFERROR(INDEX(Maquinaria_Inventario!$K$2:$K$100, MATCH(E118, Maquinaria_Inventario!$L$2:$L$100, 0)), 0))</f>
      </c>
      <c r="J118">
        <f t="shared" si="1"/>
      </c>
    </row>
    <row r="119" spans="1:10">
      <c r="A119" s="3151">
        <f>IF(D119="","", "HT-" &amp; IFERROR(VLOOKUP(C119, Catalogos!$Z$4:$AA$20, 2, FALSE), "FOL") &amp; "-" &amp; IF(B119="","00", WEEKNUM(B119,2)) &amp; "-" &amp; TEXT(ROW(A116),"000"))</f>
      </c>
      <c r="B119" s="3150"/>
      <c r="C119" s="3152"/>
      <c r="D119" s="3153"/>
      <c r="E119" s="3154">
        <f>IF(D119="","", IFERROR(INDEX(Catalogos!$W$4:$W$100, MATCH(D119, Catalogos!$V$4:$V$100, 0)), ""))</f>
      </c>
      <c r="F119" s="3155">
        <f>IF(D119="","", IFERROR(INDEX(Catalogos!$Y$4:$Y$100, MATCH(D119, Catalogos!$V$4:$V$100, 0)), ""))</f>
      </c>
      <c r="G119" s="3156"/>
      <c r="H119" s="3157"/>
      <c r="I119">
        <f>IF(E119="","", G119 * IFERROR(INDEX(Maquinaria_Inventario!$K$2:$K$100, MATCH(E119, Maquinaria_Inventario!$L$2:$L$100, 0)), 0))</f>
      </c>
      <c r="J119">
        <f t="shared" si="1"/>
      </c>
    </row>
    <row r="120" spans="1:10">
      <c r="A120" s="3159">
        <f>IF(D120="","", "HT-" &amp; IFERROR(VLOOKUP(C120, Catalogos!$Z$4:$AA$20, 2, FALSE), "FOL") &amp; "-" &amp; IF(B120="","00", WEEKNUM(B120,2)) &amp; "-" &amp; TEXT(ROW(A117),"000"))</f>
      </c>
      <c r="B120" s="3158"/>
      <c r="C120" s="3160"/>
      <c r="D120" s="3161"/>
      <c r="E120" s="3162">
        <f>IF(D120="","", IFERROR(INDEX(Catalogos!$W$4:$W$100, MATCH(D120, Catalogos!$V$4:$V$100, 0)), ""))</f>
      </c>
      <c r="F120" s="3163">
        <f>IF(D120="","", IFERROR(INDEX(Catalogos!$Y$4:$Y$100, MATCH(D120, Catalogos!$V$4:$V$100, 0)), ""))</f>
      </c>
      <c r="G120" s="3164"/>
      <c r="H120" s="3165"/>
      <c r="I120">
        <f>IF(E120="","", G120 * IFERROR(INDEX(Maquinaria_Inventario!$K$2:$K$100, MATCH(E120, Maquinaria_Inventario!$L$2:$L$100, 0)), 0))</f>
      </c>
      <c r="J120">
        <f t="shared" si="1"/>
      </c>
    </row>
    <row r="121" spans="1:10">
      <c r="A121" s="3167">
        <f>IF(D121="","", "HT-" &amp; IFERROR(VLOOKUP(C121, Catalogos!$Z$4:$AA$20, 2, FALSE), "FOL") &amp; "-" &amp; IF(B121="","00", WEEKNUM(B121,2)) &amp; "-" &amp; TEXT(ROW(A118),"000"))</f>
      </c>
      <c r="B121" s="3166"/>
      <c r="C121" s="3168"/>
      <c r="D121" s="3169"/>
      <c r="E121" s="3170">
        <f>IF(D121="","", IFERROR(INDEX(Catalogos!$W$4:$W$100, MATCH(D121, Catalogos!$V$4:$V$100, 0)), ""))</f>
      </c>
      <c r="F121" s="3171">
        <f>IF(D121="","", IFERROR(INDEX(Catalogos!$Y$4:$Y$100, MATCH(D121, Catalogos!$V$4:$V$100, 0)), ""))</f>
      </c>
      <c r="G121" s="3172"/>
      <c r="H121" s="3173"/>
      <c r="I121">
        <f>IF(E121="","", G121 * IFERROR(INDEX(Maquinaria_Inventario!$K$2:$K$100, MATCH(E121, Maquinaria_Inventario!$L$2:$L$100, 0)), 0))</f>
      </c>
      <c r="J121">
        <f t="shared" si="1"/>
      </c>
    </row>
    <row r="122" spans="1:10">
      <c r="A122" s="3175">
        <f>IF(D122="","", "HT-" &amp; IFERROR(VLOOKUP(C122, Catalogos!$Z$4:$AA$20, 2, FALSE), "FOL") &amp; "-" &amp; IF(B122="","00", WEEKNUM(B122,2)) &amp; "-" &amp; TEXT(ROW(A119),"000"))</f>
      </c>
      <c r="B122" s="3174"/>
      <c r="C122" s="3176"/>
      <c r="D122" s="3177"/>
      <c r="E122" s="3178">
        <f>IF(D122="","", IFERROR(INDEX(Catalogos!$W$4:$W$100, MATCH(D122, Catalogos!$V$4:$V$100, 0)), ""))</f>
      </c>
      <c r="F122" s="3179">
        <f>IF(D122="","", IFERROR(INDEX(Catalogos!$Y$4:$Y$100, MATCH(D122, Catalogos!$V$4:$V$100, 0)), ""))</f>
      </c>
      <c r="G122" s="3180"/>
      <c r="H122" s="3181"/>
      <c r="I122">
        <f>IF(E122="","", G122 * IFERROR(INDEX(Maquinaria_Inventario!$K$2:$K$100, MATCH(E122, Maquinaria_Inventario!$L$2:$L$100, 0)), 0))</f>
      </c>
      <c r="J122">
        <f t="shared" si="1"/>
      </c>
    </row>
    <row r="123" spans="1:10">
      <c r="A123" s="3183">
        <f>IF(D123="","", "HT-" &amp; IFERROR(VLOOKUP(C123, Catalogos!$Z$4:$AA$20, 2, FALSE), "FOL") &amp; "-" &amp; IF(B123="","00", WEEKNUM(B123,2)) &amp; "-" &amp; TEXT(ROW(A120),"000"))</f>
      </c>
      <c r="B123" s="3182"/>
      <c r="C123" s="3184"/>
      <c r="D123" s="3185"/>
      <c r="E123" s="3186">
        <f>IF(D123="","", IFERROR(INDEX(Catalogos!$W$4:$W$100, MATCH(D123, Catalogos!$V$4:$V$100, 0)), ""))</f>
      </c>
      <c r="F123" s="3187">
        <f>IF(D123="","", IFERROR(INDEX(Catalogos!$Y$4:$Y$100, MATCH(D123, Catalogos!$V$4:$V$100, 0)), ""))</f>
      </c>
      <c r="G123" s="3188"/>
      <c r="H123" s="3189"/>
      <c r="I123">
        <f>IF(E123="","", G123 * IFERROR(INDEX(Maquinaria_Inventario!$K$2:$K$100, MATCH(E123, Maquinaria_Inventario!$L$2:$L$100, 0)), 0))</f>
      </c>
      <c r="J123">
        <f t="shared" si="1"/>
      </c>
    </row>
    <row r="124" spans="1:10">
      <c r="A124" s="3191">
        <f>IF(D124="","", "HT-" &amp; IFERROR(VLOOKUP(C124, Catalogos!$Z$4:$AA$20, 2, FALSE), "FOL") &amp; "-" &amp; IF(B124="","00", WEEKNUM(B124,2)) &amp; "-" &amp; TEXT(ROW(A121),"000"))</f>
      </c>
      <c r="B124" s="3190"/>
      <c r="C124" s="3192"/>
      <c r="D124" s="3193"/>
      <c r="E124" s="3194">
        <f>IF(D124="","", IFERROR(INDEX(Catalogos!$W$4:$W$100, MATCH(D124, Catalogos!$V$4:$V$100, 0)), ""))</f>
      </c>
      <c r="F124" s="3195">
        <f>IF(D124="","", IFERROR(INDEX(Catalogos!$Y$4:$Y$100, MATCH(D124, Catalogos!$V$4:$V$100, 0)), ""))</f>
      </c>
      <c r="G124" s="3196"/>
      <c r="H124" s="3197"/>
      <c r="I124">
        <f>IF(E124="","", G124 * IFERROR(INDEX(Maquinaria_Inventario!$K$2:$K$100, MATCH(E124, Maquinaria_Inventario!$L$2:$L$100, 0)), 0))</f>
      </c>
      <c r="J124">
        <f t="shared" si="1"/>
      </c>
    </row>
    <row r="125" spans="1:10">
      <c r="A125" s="3199">
        <f>IF(D125="","", "HT-" &amp; IFERROR(VLOOKUP(C125, Catalogos!$Z$4:$AA$20, 2, FALSE), "FOL") &amp; "-" &amp; IF(B125="","00", WEEKNUM(B125,2)) &amp; "-" &amp; TEXT(ROW(A122),"000"))</f>
      </c>
      <c r="B125" s="3198"/>
      <c r="C125" s="3200"/>
      <c r="D125" s="3201"/>
      <c r="E125" s="3202">
        <f>IF(D125="","", IFERROR(INDEX(Catalogos!$W$4:$W$100, MATCH(D125, Catalogos!$V$4:$V$100, 0)), ""))</f>
      </c>
      <c r="F125" s="3203">
        <f>IF(D125="","", IFERROR(INDEX(Catalogos!$Y$4:$Y$100, MATCH(D125, Catalogos!$V$4:$V$100, 0)), ""))</f>
      </c>
      <c r="G125" s="3204"/>
      <c r="H125" s="3205"/>
      <c r="I125">
        <f>IF(E125="","", G125 * IFERROR(INDEX(Maquinaria_Inventario!$K$2:$K$100, MATCH(E125, Maquinaria_Inventario!$L$2:$L$100, 0)), 0))</f>
      </c>
      <c r="J125">
        <f t="shared" si="1"/>
      </c>
    </row>
    <row r="126" spans="1:10">
      <c r="A126" s="3207">
        <f>IF(D126="","", "HT-" &amp; IFERROR(VLOOKUP(C126, Catalogos!$Z$4:$AA$20, 2, FALSE), "FOL") &amp; "-" &amp; IF(B126="","00", WEEKNUM(B126,2)) &amp; "-" &amp; TEXT(ROW(A123),"000"))</f>
      </c>
      <c r="B126" s="3206"/>
      <c r="C126" s="3208"/>
      <c r="D126" s="3209"/>
      <c r="E126" s="3210">
        <f>IF(D126="","", IFERROR(INDEX(Catalogos!$W$4:$W$100, MATCH(D126, Catalogos!$V$4:$V$100, 0)), ""))</f>
      </c>
      <c r="F126" s="3211">
        <f>IF(D126="","", IFERROR(INDEX(Catalogos!$Y$4:$Y$100, MATCH(D126, Catalogos!$V$4:$V$100, 0)), ""))</f>
      </c>
      <c r="G126" s="3212"/>
      <c r="H126" s="3213"/>
      <c r="I126">
        <f>IF(E126="","", G126 * IFERROR(INDEX(Maquinaria_Inventario!$K$2:$K$100, MATCH(E126, Maquinaria_Inventario!$L$2:$L$100, 0)), 0))</f>
      </c>
      <c r="J126">
        <f t="shared" si="1"/>
      </c>
    </row>
    <row r="127" spans="1:10">
      <c r="A127" s="3215">
        <f>IF(D127="","", "HT-" &amp; IFERROR(VLOOKUP(C127, Catalogos!$Z$4:$AA$20, 2, FALSE), "FOL") &amp; "-" &amp; IF(B127="","00", WEEKNUM(B127,2)) &amp; "-" &amp; TEXT(ROW(A124),"000"))</f>
      </c>
      <c r="B127" s="3214"/>
      <c r="C127" s="3216"/>
      <c r="D127" s="3217"/>
      <c r="E127" s="3218">
        <f>IF(D127="","", IFERROR(INDEX(Catalogos!$W$4:$W$100, MATCH(D127, Catalogos!$V$4:$V$100, 0)), ""))</f>
      </c>
      <c r="F127" s="3219">
        <f>IF(D127="","", IFERROR(INDEX(Catalogos!$Y$4:$Y$100, MATCH(D127, Catalogos!$V$4:$V$100, 0)), ""))</f>
      </c>
      <c r="G127" s="3220"/>
      <c r="H127" s="3221"/>
      <c r="I127">
        <f>IF(E127="","", G127 * IFERROR(INDEX(Maquinaria_Inventario!$K$2:$K$100, MATCH(E127, Maquinaria_Inventario!$L$2:$L$100, 0)), 0))</f>
      </c>
      <c r="J127">
        <f t="shared" si="1"/>
      </c>
    </row>
    <row r="128" spans="1:10">
      <c r="A128" s="3223">
        <f>IF(D128="","", "HT-" &amp; IFERROR(VLOOKUP(C128, Catalogos!$Z$4:$AA$20, 2, FALSE), "FOL") &amp; "-" &amp; IF(B128="","00", WEEKNUM(B128,2)) &amp; "-" &amp; TEXT(ROW(A125),"000"))</f>
      </c>
      <c r="B128" s="3222"/>
      <c r="C128" s="3224"/>
      <c r="D128" s="3225"/>
      <c r="E128" s="3226">
        <f>IF(D128="","", IFERROR(INDEX(Catalogos!$W$4:$W$100, MATCH(D128, Catalogos!$V$4:$V$100, 0)), ""))</f>
      </c>
      <c r="F128" s="3227">
        <f>IF(D128="","", IFERROR(INDEX(Catalogos!$Y$4:$Y$100, MATCH(D128, Catalogos!$V$4:$V$100, 0)), ""))</f>
      </c>
      <c r="G128" s="3228"/>
      <c r="H128" s="3229"/>
      <c r="I128">
        <f>IF(E128="","", G128 * IFERROR(INDEX(Maquinaria_Inventario!$K$2:$K$100, MATCH(E128, Maquinaria_Inventario!$L$2:$L$100, 0)), 0))</f>
      </c>
      <c r="J128">
        <f t="shared" si="1"/>
      </c>
    </row>
    <row r="129" spans="1:10">
      <c r="A129" s="3231">
        <f>IF(D129="","", "HT-" &amp; IFERROR(VLOOKUP(C129, Catalogos!$Z$4:$AA$20, 2, FALSE), "FOL") &amp; "-" &amp; IF(B129="","00", WEEKNUM(B129,2)) &amp; "-" &amp; TEXT(ROW(A126),"000"))</f>
      </c>
      <c r="B129" s="3230"/>
      <c r="C129" s="3232"/>
      <c r="D129" s="3233"/>
      <c r="E129" s="3234">
        <f>IF(D129="","", IFERROR(INDEX(Catalogos!$W$4:$W$100, MATCH(D129, Catalogos!$V$4:$V$100, 0)), ""))</f>
      </c>
      <c r="F129" s="3235">
        <f>IF(D129="","", IFERROR(INDEX(Catalogos!$Y$4:$Y$100, MATCH(D129, Catalogos!$V$4:$V$100, 0)), ""))</f>
      </c>
      <c r="G129" s="3236"/>
      <c r="H129" s="3237"/>
      <c r="I129">
        <f>IF(E129="","", G129 * IFERROR(INDEX(Maquinaria_Inventario!$K$2:$K$100, MATCH(E129, Maquinaria_Inventario!$L$2:$L$100, 0)), 0))</f>
      </c>
      <c r="J129">
        <f t="shared" si="1"/>
      </c>
    </row>
    <row r="130" spans="1:10">
      <c r="A130" s="3239">
        <f>IF(D130="","", "HT-" &amp; IFERROR(VLOOKUP(C130, Catalogos!$Z$4:$AA$20, 2, FALSE), "FOL") &amp; "-" &amp; IF(B130="","00", WEEKNUM(B130,2)) &amp; "-" &amp; TEXT(ROW(A127),"000"))</f>
      </c>
      <c r="B130" s="3238"/>
      <c r="C130" s="3240"/>
      <c r="D130" s="3241"/>
      <c r="E130" s="3242">
        <f>IF(D130="","", IFERROR(INDEX(Catalogos!$W$4:$W$100, MATCH(D130, Catalogos!$V$4:$V$100, 0)), ""))</f>
      </c>
      <c r="F130" s="3243">
        <f>IF(D130="","", IFERROR(INDEX(Catalogos!$Y$4:$Y$100, MATCH(D130, Catalogos!$V$4:$V$100, 0)), ""))</f>
      </c>
      <c r="G130" s="3244"/>
      <c r="H130" s="3245"/>
      <c r="I130">
        <f>IF(E130="","", G130 * IFERROR(INDEX(Maquinaria_Inventario!$K$2:$K$100, MATCH(E130, Maquinaria_Inventario!$L$2:$L$100, 0)), 0))</f>
      </c>
      <c r="J130">
        <f t="shared" si="1"/>
      </c>
    </row>
    <row r="131" spans="1:10">
      <c r="A131" s="3247">
        <f>IF(D131="","", "HT-" &amp; IFERROR(VLOOKUP(C131, Catalogos!$Z$4:$AA$20, 2, FALSE), "FOL") &amp; "-" &amp; IF(B131="","00", WEEKNUM(B131,2)) &amp; "-" &amp; TEXT(ROW(A128),"000"))</f>
      </c>
      <c r="B131" s="3246"/>
      <c r="C131" s="3248"/>
      <c r="D131" s="3249"/>
      <c r="E131" s="3250">
        <f>IF(D131="","", IFERROR(INDEX(Catalogos!$W$4:$W$100, MATCH(D131, Catalogos!$V$4:$V$100, 0)), ""))</f>
      </c>
      <c r="F131" s="3251">
        <f>IF(D131="","", IFERROR(INDEX(Catalogos!$Y$4:$Y$100, MATCH(D131, Catalogos!$V$4:$V$100, 0)), ""))</f>
      </c>
      <c r="G131" s="3252"/>
      <c r="H131" s="3253"/>
      <c r="I131">
        <f>IF(E131="","", G131 * IFERROR(INDEX(Maquinaria_Inventario!$K$2:$K$100, MATCH(E131, Maquinaria_Inventario!$L$2:$L$100, 0)), 0))</f>
      </c>
      <c r="J131">
        <f t="shared" si="1"/>
      </c>
    </row>
    <row r="132" spans="1:10">
      <c r="A132" s="3255">
        <f>IF(D132="","", "HT-" &amp; IFERROR(VLOOKUP(C132, Catalogos!$Z$4:$AA$20, 2, FALSE), "FOL") &amp; "-" &amp; IF(B132="","00", WEEKNUM(B132,2)) &amp; "-" &amp; TEXT(ROW(A129),"000"))</f>
      </c>
      <c r="B132" s="3254"/>
      <c r="C132" s="3256"/>
      <c r="D132" s="3257"/>
      <c r="E132" s="3258">
        <f>IF(D132="","", IFERROR(INDEX(Catalogos!$W$4:$W$100, MATCH(D132, Catalogos!$V$4:$V$100, 0)), ""))</f>
      </c>
      <c r="F132" s="3259">
        <f>IF(D132="","", IFERROR(INDEX(Catalogos!$Y$4:$Y$100, MATCH(D132, Catalogos!$V$4:$V$100, 0)), ""))</f>
      </c>
      <c r="G132" s="3260"/>
      <c r="H132" s="3261"/>
      <c r="I132">
        <f>IF(E132="","", G132 * IFERROR(INDEX(Maquinaria_Inventario!$K$2:$K$100, MATCH(E132, Maquinaria_Inventario!$L$2:$L$100, 0)), 0))</f>
      </c>
      <c r="J132">
        <f t="shared" ref="J132:J195" si="2">IF(B132="","", WEEKNUM(B132, 2))</f>
      </c>
    </row>
    <row r="133" spans="1:10">
      <c r="A133" s="3263">
        <f>IF(D133="","", "HT-" &amp; IFERROR(VLOOKUP(C133, Catalogos!$Z$4:$AA$20, 2, FALSE), "FOL") &amp; "-" &amp; IF(B133="","00", WEEKNUM(B133,2)) &amp; "-" &amp; TEXT(ROW(A130),"000"))</f>
      </c>
      <c r="B133" s="3262"/>
      <c r="C133" s="3264"/>
      <c r="D133" s="3265"/>
      <c r="E133" s="3266">
        <f>IF(D133="","", IFERROR(INDEX(Catalogos!$W$4:$W$100, MATCH(D133, Catalogos!$V$4:$V$100, 0)), ""))</f>
      </c>
      <c r="F133" s="3267">
        <f>IF(D133="","", IFERROR(INDEX(Catalogos!$Y$4:$Y$100, MATCH(D133, Catalogos!$V$4:$V$100, 0)), ""))</f>
      </c>
      <c r="G133" s="3268"/>
      <c r="H133" s="3269"/>
      <c r="I133">
        <f>IF(E133="","", G133 * IFERROR(INDEX(Maquinaria_Inventario!$K$2:$K$100, MATCH(E133, Maquinaria_Inventario!$L$2:$L$100, 0)), 0))</f>
      </c>
      <c r="J133">
        <f t="shared" si="2"/>
      </c>
    </row>
    <row r="134" spans="1:10">
      <c r="A134" s="3271">
        <f>IF(D134="","", "HT-" &amp; IFERROR(VLOOKUP(C134, Catalogos!$Z$4:$AA$20, 2, FALSE), "FOL") &amp; "-" &amp; IF(B134="","00", WEEKNUM(B134,2)) &amp; "-" &amp; TEXT(ROW(A131),"000"))</f>
      </c>
      <c r="B134" s="3270"/>
      <c r="C134" s="3272"/>
      <c r="D134" s="3273"/>
      <c r="E134" s="3274">
        <f>IF(D134="","", IFERROR(INDEX(Catalogos!$W$4:$W$100, MATCH(D134, Catalogos!$V$4:$V$100, 0)), ""))</f>
      </c>
      <c r="F134" s="3275">
        <f>IF(D134="","", IFERROR(INDEX(Catalogos!$Y$4:$Y$100, MATCH(D134, Catalogos!$V$4:$V$100, 0)), ""))</f>
      </c>
      <c r="G134" s="3276"/>
      <c r="H134" s="3277"/>
      <c r="I134">
        <f>IF(E134="","", G134 * IFERROR(INDEX(Maquinaria_Inventario!$K$2:$K$100, MATCH(E134, Maquinaria_Inventario!$L$2:$L$100, 0)), 0))</f>
      </c>
      <c r="J134">
        <f t="shared" si="2"/>
      </c>
    </row>
    <row r="135" spans="1:10">
      <c r="A135" s="3279">
        <f>IF(D135="","", "HT-" &amp; IFERROR(VLOOKUP(C135, Catalogos!$Z$4:$AA$20, 2, FALSE), "FOL") &amp; "-" &amp; IF(B135="","00", WEEKNUM(B135,2)) &amp; "-" &amp; TEXT(ROW(A132),"000"))</f>
      </c>
      <c r="B135" s="3278"/>
      <c r="C135" s="3280"/>
      <c r="D135" s="3281"/>
      <c r="E135" s="3282">
        <f>IF(D135="","", IFERROR(INDEX(Catalogos!$W$4:$W$100, MATCH(D135, Catalogos!$V$4:$V$100, 0)), ""))</f>
      </c>
      <c r="F135" s="3283">
        <f>IF(D135="","", IFERROR(INDEX(Catalogos!$Y$4:$Y$100, MATCH(D135, Catalogos!$V$4:$V$100, 0)), ""))</f>
      </c>
      <c r="G135" s="3284"/>
      <c r="H135" s="3285"/>
      <c r="I135">
        <f>IF(E135="","", G135 * IFERROR(INDEX(Maquinaria_Inventario!$K$2:$K$100, MATCH(E135, Maquinaria_Inventario!$L$2:$L$100, 0)), 0))</f>
      </c>
      <c r="J135">
        <f t="shared" si="2"/>
      </c>
    </row>
    <row r="136" spans="1:10">
      <c r="A136" s="3287">
        <f>IF(D136="","", "HT-" &amp; IFERROR(VLOOKUP(C136, Catalogos!$Z$4:$AA$20, 2, FALSE), "FOL") &amp; "-" &amp; IF(B136="","00", WEEKNUM(B136,2)) &amp; "-" &amp; TEXT(ROW(A133),"000"))</f>
      </c>
      <c r="B136" s="3286"/>
      <c r="C136" s="3288"/>
      <c r="D136" s="3289"/>
      <c r="E136" s="3290">
        <f>IF(D136="","", IFERROR(INDEX(Catalogos!$W$4:$W$100, MATCH(D136, Catalogos!$V$4:$V$100, 0)), ""))</f>
      </c>
      <c r="F136" s="3291">
        <f>IF(D136="","", IFERROR(INDEX(Catalogos!$Y$4:$Y$100, MATCH(D136, Catalogos!$V$4:$V$100, 0)), ""))</f>
      </c>
      <c r="G136" s="3292"/>
      <c r="H136" s="3293"/>
      <c r="I136">
        <f>IF(E136="","", G136 * IFERROR(INDEX(Maquinaria_Inventario!$K$2:$K$100, MATCH(E136, Maquinaria_Inventario!$L$2:$L$100, 0)), 0))</f>
      </c>
      <c r="J136">
        <f t="shared" si="2"/>
      </c>
    </row>
    <row r="137" spans="1:10">
      <c r="A137" s="3295">
        <f>IF(D137="","", "HT-" &amp; IFERROR(VLOOKUP(C137, Catalogos!$Z$4:$AA$20, 2, FALSE), "FOL") &amp; "-" &amp; IF(B137="","00", WEEKNUM(B137,2)) &amp; "-" &amp; TEXT(ROW(A134),"000"))</f>
      </c>
      <c r="B137" s="3294"/>
      <c r="C137" s="3296"/>
      <c r="D137" s="3297"/>
      <c r="E137" s="3298">
        <f>IF(D137="","", IFERROR(INDEX(Catalogos!$W$4:$W$100, MATCH(D137, Catalogos!$V$4:$V$100, 0)), ""))</f>
      </c>
      <c r="F137" s="3299">
        <f>IF(D137="","", IFERROR(INDEX(Catalogos!$Y$4:$Y$100, MATCH(D137, Catalogos!$V$4:$V$100, 0)), ""))</f>
      </c>
      <c r="G137" s="3300"/>
      <c r="H137" s="3301"/>
      <c r="I137">
        <f>IF(E137="","", G137 * IFERROR(INDEX(Maquinaria_Inventario!$K$2:$K$100, MATCH(E137, Maquinaria_Inventario!$L$2:$L$100, 0)), 0))</f>
      </c>
      <c r="J137">
        <f t="shared" si="2"/>
      </c>
    </row>
    <row r="138" spans="1:10">
      <c r="A138" s="3303">
        <f>IF(D138="","", "HT-" &amp; IFERROR(VLOOKUP(C138, Catalogos!$Z$4:$AA$20, 2, FALSE), "FOL") &amp; "-" &amp; IF(B138="","00", WEEKNUM(B138,2)) &amp; "-" &amp; TEXT(ROW(A135),"000"))</f>
      </c>
      <c r="B138" s="3302"/>
      <c r="C138" s="3304"/>
      <c r="D138" s="3305"/>
      <c r="E138" s="3306">
        <f>IF(D138="","", IFERROR(INDEX(Catalogos!$W$4:$W$100, MATCH(D138, Catalogos!$V$4:$V$100, 0)), ""))</f>
      </c>
      <c r="F138" s="3307">
        <f>IF(D138="","", IFERROR(INDEX(Catalogos!$Y$4:$Y$100, MATCH(D138, Catalogos!$V$4:$V$100, 0)), ""))</f>
      </c>
      <c r="G138" s="3308"/>
      <c r="H138" s="3309"/>
      <c r="I138">
        <f>IF(E138="","", G138 * IFERROR(INDEX(Maquinaria_Inventario!$K$2:$K$100, MATCH(E138, Maquinaria_Inventario!$L$2:$L$100, 0)), 0))</f>
      </c>
      <c r="J138">
        <f t="shared" si="2"/>
      </c>
    </row>
    <row r="139" spans="1:10">
      <c r="A139" s="3311">
        <f>IF(D139="","", "HT-" &amp; IFERROR(VLOOKUP(C139, Catalogos!$Z$4:$AA$20, 2, FALSE), "FOL") &amp; "-" &amp; IF(B139="","00", WEEKNUM(B139,2)) &amp; "-" &amp; TEXT(ROW(A136),"000"))</f>
      </c>
      <c r="B139" s="3310"/>
      <c r="C139" s="3312"/>
      <c r="D139" s="3313"/>
      <c r="E139" s="3314">
        <f>IF(D139="","", IFERROR(INDEX(Catalogos!$W$4:$W$100, MATCH(D139, Catalogos!$V$4:$V$100, 0)), ""))</f>
      </c>
      <c r="F139" s="3315">
        <f>IF(D139="","", IFERROR(INDEX(Catalogos!$Y$4:$Y$100, MATCH(D139, Catalogos!$V$4:$V$100, 0)), ""))</f>
      </c>
      <c r="G139" s="3316"/>
      <c r="H139" s="3317"/>
      <c r="I139">
        <f>IF(E139="","", G139 * IFERROR(INDEX(Maquinaria_Inventario!$K$2:$K$100, MATCH(E139, Maquinaria_Inventario!$L$2:$L$100, 0)), 0))</f>
      </c>
      <c r="J139">
        <f t="shared" si="2"/>
      </c>
    </row>
    <row r="140" spans="1:10">
      <c r="A140" s="3319">
        <f>IF(D140="","", "HT-" &amp; IFERROR(VLOOKUP(C140, Catalogos!$Z$4:$AA$20, 2, FALSE), "FOL") &amp; "-" &amp; IF(B140="","00", WEEKNUM(B140,2)) &amp; "-" &amp; TEXT(ROW(A137),"000"))</f>
      </c>
      <c r="B140" s="3318"/>
      <c r="C140" s="3320"/>
      <c r="D140" s="3321"/>
      <c r="E140" s="3322">
        <f>IF(D140="","", IFERROR(INDEX(Catalogos!$W$4:$W$100, MATCH(D140, Catalogos!$V$4:$V$100, 0)), ""))</f>
      </c>
      <c r="F140" s="3323">
        <f>IF(D140="","", IFERROR(INDEX(Catalogos!$Y$4:$Y$100, MATCH(D140, Catalogos!$V$4:$V$100, 0)), ""))</f>
      </c>
      <c r="G140" s="3324"/>
      <c r="H140" s="3325"/>
      <c r="I140">
        <f>IF(E140="","", G140 * IFERROR(INDEX(Maquinaria_Inventario!$K$2:$K$100, MATCH(E140, Maquinaria_Inventario!$L$2:$L$100, 0)), 0))</f>
      </c>
      <c r="J140">
        <f t="shared" si="2"/>
      </c>
    </row>
    <row r="141" spans="1:10">
      <c r="A141" s="3327">
        <f>IF(D141="","", "HT-" &amp; IFERROR(VLOOKUP(C141, Catalogos!$Z$4:$AA$20, 2, FALSE), "FOL") &amp; "-" &amp; IF(B141="","00", WEEKNUM(B141,2)) &amp; "-" &amp; TEXT(ROW(A138),"000"))</f>
      </c>
      <c r="B141" s="3326"/>
      <c r="C141" s="3328"/>
      <c r="D141" s="3329"/>
      <c r="E141" s="3330">
        <f>IF(D141="","", IFERROR(INDEX(Catalogos!$W$4:$W$100, MATCH(D141, Catalogos!$V$4:$V$100, 0)), ""))</f>
      </c>
      <c r="F141" s="3331">
        <f>IF(D141="","", IFERROR(INDEX(Catalogos!$Y$4:$Y$100, MATCH(D141, Catalogos!$V$4:$V$100, 0)), ""))</f>
      </c>
      <c r="G141" s="3332"/>
      <c r="H141" s="3333"/>
      <c r="I141">
        <f>IF(E141="","", G141 * IFERROR(INDEX(Maquinaria_Inventario!$K$2:$K$100, MATCH(E141, Maquinaria_Inventario!$L$2:$L$100, 0)), 0))</f>
      </c>
      <c r="J141">
        <f t="shared" si="2"/>
      </c>
    </row>
    <row r="142" spans="1:10">
      <c r="A142" s="3335">
        <f>IF(D142="","", "HT-" &amp; IFERROR(VLOOKUP(C142, Catalogos!$Z$4:$AA$20, 2, FALSE), "FOL") &amp; "-" &amp; IF(B142="","00", WEEKNUM(B142,2)) &amp; "-" &amp; TEXT(ROW(A139),"000"))</f>
      </c>
      <c r="B142" s="3334"/>
      <c r="C142" s="3336"/>
      <c r="D142" s="3337"/>
      <c r="E142" s="3338">
        <f>IF(D142="","", IFERROR(INDEX(Catalogos!$W$4:$W$100, MATCH(D142, Catalogos!$V$4:$V$100, 0)), ""))</f>
      </c>
      <c r="F142" s="3339">
        <f>IF(D142="","", IFERROR(INDEX(Catalogos!$Y$4:$Y$100, MATCH(D142, Catalogos!$V$4:$V$100, 0)), ""))</f>
      </c>
      <c r="G142" s="3340"/>
      <c r="H142" s="3341"/>
      <c r="I142">
        <f>IF(E142="","", G142 * IFERROR(INDEX(Maquinaria_Inventario!$K$2:$K$100, MATCH(E142, Maquinaria_Inventario!$L$2:$L$100, 0)), 0))</f>
      </c>
      <c r="J142">
        <f t="shared" si="2"/>
      </c>
    </row>
    <row r="143" spans="1:10">
      <c r="A143" s="3343">
        <f>IF(D143="","", "HT-" &amp; IFERROR(VLOOKUP(C143, Catalogos!$Z$4:$AA$20, 2, FALSE), "FOL") &amp; "-" &amp; IF(B143="","00", WEEKNUM(B143,2)) &amp; "-" &amp; TEXT(ROW(A140),"000"))</f>
      </c>
      <c r="B143" s="3342"/>
      <c r="C143" s="3344"/>
      <c r="D143" s="3345"/>
      <c r="E143" s="3346">
        <f>IF(D143="","", IFERROR(INDEX(Catalogos!$W$4:$W$100, MATCH(D143, Catalogos!$V$4:$V$100, 0)), ""))</f>
      </c>
      <c r="F143" s="3347">
        <f>IF(D143="","", IFERROR(INDEX(Catalogos!$Y$4:$Y$100, MATCH(D143, Catalogos!$V$4:$V$100, 0)), ""))</f>
      </c>
      <c r="G143" s="3348"/>
      <c r="H143" s="3349"/>
      <c r="I143">
        <f>IF(E143="","", G143 * IFERROR(INDEX(Maquinaria_Inventario!$K$2:$K$100, MATCH(E143, Maquinaria_Inventario!$L$2:$L$100, 0)), 0))</f>
      </c>
      <c r="J143">
        <f t="shared" si="2"/>
      </c>
    </row>
    <row r="144" spans="1:10">
      <c r="A144" s="3351">
        <f>IF(D144="","", "HT-" &amp; IFERROR(VLOOKUP(C144, Catalogos!$Z$4:$AA$20, 2, FALSE), "FOL") &amp; "-" &amp; IF(B144="","00", WEEKNUM(B144,2)) &amp; "-" &amp; TEXT(ROW(A141),"000"))</f>
      </c>
      <c r="B144" s="3350"/>
      <c r="C144" s="3352"/>
      <c r="D144" s="3353"/>
      <c r="E144" s="3354">
        <f>IF(D144="","", IFERROR(INDEX(Catalogos!$W$4:$W$100, MATCH(D144, Catalogos!$V$4:$V$100, 0)), ""))</f>
      </c>
      <c r="F144" s="3355">
        <f>IF(D144="","", IFERROR(INDEX(Catalogos!$Y$4:$Y$100, MATCH(D144, Catalogos!$V$4:$V$100, 0)), ""))</f>
      </c>
      <c r="G144" s="3356"/>
      <c r="H144" s="3357"/>
      <c r="I144">
        <f>IF(E144="","", G144 * IFERROR(INDEX(Maquinaria_Inventario!$K$2:$K$100, MATCH(E144, Maquinaria_Inventario!$L$2:$L$100, 0)), 0))</f>
      </c>
      <c r="J144">
        <f t="shared" si="2"/>
      </c>
    </row>
    <row r="145" spans="1:10">
      <c r="A145" s="3359">
        <f>IF(D145="","", "HT-" &amp; IFERROR(VLOOKUP(C145, Catalogos!$Z$4:$AA$20, 2, FALSE), "FOL") &amp; "-" &amp; IF(B145="","00", WEEKNUM(B145,2)) &amp; "-" &amp; TEXT(ROW(A142),"000"))</f>
      </c>
      <c r="B145" s="3358"/>
      <c r="C145" s="3360"/>
      <c r="D145" s="3361"/>
      <c r="E145" s="3362">
        <f>IF(D145="","", IFERROR(INDEX(Catalogos!$W$4:$W$100, MATCH(D145, Catalogos!$V$4:$V$100, 0)), ""))</f>
      </c>
      <c r="F145" s="3363">
        <f>IF(D145="","", IFERROR(INDEX(Catalogos!$Y$4:$Y$100, MATCH(D145, Catalogos!$V$4:$V$100, 0)), ""))</f>
      </c>
      <c r="G145" s="3364"/>
      <c r="H145" s="3365"/>
      <c r="I145">
        <f>IF(E145="","", G145 * IFERROR(INDEX(Maquinaria_Inventario!$K$2:$K$100, MATCH(E145, Maquinaria_Inventario!$L$2:$L$100, 0)), 0))</f>
      </c>
      <c r="J145">
        <f t="shared" si="2"/>
      </c>
    </row>
    <row r="146" spans="1:10">
      <c r="A146" s="3367">
        <f>IF(D146="","", "HT-" &amp; IFERROR(VLOOKUP(C146, Catalogos!$Z$4:$AA$20, 2, FALSE), "FOL") &amp; "-" &amp; IF(B146="","00", WEEKNUM(B146,2)) &amp; "-" &amp; TEXT(ROW(A143),"000"))</f>
      </c>
      <c r="B146" s="3366"/>
      <c r="C146" s="3368"/>
      <c r="D146" s="3369"/>
      <c r="E146" s="3370">
        <f>IF(D146="","", IFERROR(INDEX(Catalogos!$W$4:$W$100, MATCH(D146, Catalogos!$V$4:$V$100, 0)), ""))</f>
      </c>
      <c r="F146" s="3371">
        <f>IF(D146="","", IFERROR(INDEX(Catalogos!$Y$4:$Y$100, MATCH(D146, Catalogos!$V$4:$V$100, 0)), ""))</f>
      </c>
      <c r="G146" s="3372"/>
      <c r="H146" s="3373"/>
      <c r="I146">
        <f>IF(E146="","", G146 * IFERROR(INDEX(Maquinaria_Inventario!$K$2:$K$100, MATCH(E146, Maquinaria_Inventario!$L$2:$L$100, 0)), 0))</f>
      </c>
      <c r="J146">
        <f t="shared" si="2"/>
      </c>
    </row>
    <row r="147" spans="1:10">
      <c r="A147" s="3375">
        <f>IF(D147="","", "HT-" &amp; IFERROR(VLOOKUP(C147, Catalogos!$Z$4:$AA$20, 2, FALSE), "FOL") &amp; "-" &amp; IF(B147="","00", WEEKNUM(B147,2)) &amp; "-" &amp; TEXT(ROW(A144),"000"))</f>
      </c>
      <c r="B147" s="3374"/>
      <c r="C147" s="3376"/>
      <c r="D147" s="3377"/>
      <c r="E147" s="3378">
        <f>IF(D147="","", IFERROR(INDEX(Catalogos!$W$4:$W$100, MATCH(D147, Catalogos!$V$4:$V$100, 0)), ""))</f>
      </c>
      <c r="F147" s="3379">
        <f>IF(D147="","", IFERROR(INDEX(Catalogos!$Y$4:$Y$100, MATCH(D147, Catalogos!$V$4:$V$100, 0)), ""))</f>
      </c>
      <c r="G147" s="3380"/>
      <c r="H147" s="3381"/>
      <c r="I147">
        <f>IF(E147="","", G147 * IFERROR(INDEX(Maquinaria_Inventario!$K$2:$K$100, MATCH(E147, Maquinaria_Inventario!$L$2:$L$100, 0)), 0))</f>
      </c>
      <c r="J147">
        <f t="shared" si="2"/>
      </c>
    </row>
    <row r="148" spans="1:10">
      <c r="A148" s="3383">
        <f>IF(D148="","", "HT-" &amp; IFERROR(VLOOKUP(C148, Catalogos!$Z$4:$AA$20, 2, FALSE), "FOL") &amp; "-" &amp; IF(B148="","00", WEEKNUM(B148,2)) &amp; "-" &amp; TEXT(ROW(A145),"000"))</f>
      </c>
      <c r="B148" s="3382"/>
      <c r="C148" s="3384"/>
      <c r="D148" s="3385"/>
      <c r="E148" s="3386">
        <f>IF(D148="","", IFERROR(INDEX(Catalogos!$W$4:$W$100, MATCH(D148, Catalogos!$V$4:$V$100, 0)), ""))</f>
      </c>
      <c r="F148" s="3387">
        <f>IF(D148="","", IFERROR(INDEX(Catalogos!$Y$4:$Y$100, MATCH(D148, Catalogos!$V$4:$V$100, 0)), ""))</f>
      </c>
      <c r="G148" s="3388"/>
      <c r="H148" s="3389"/>
      <c r="I148">
        <f>IF(E148="","", G148 * IFERROR(INDEX(Maquinaria_Inventario!$K$2:$K$100, MATCH(E148, Maquinaria_Inventario!$L$2:$L$100, 0)), 0))</f>
      </c>
      <c r="J148">
        <f t="shared" si="2"/>
      </c>
    </row>
    <row r="149" spans="1:10">
      <c r="A149" s="3391">
        <f>IF(D149="","", "HT-" &amp; IFERROR(VLOOKUP(C149, Catalogos!$Z$4:$AA$20, 2, FALSE), "FOL") &amp; "-" &amp; IF(B149="","00", WEEKNUM(B149,2)) &amp; "-" &amp; TEXT(ROW(A146),"000"))</f>
      </c>
      <c r="B149" s="3390"/>
      <c r="C149" s="3392"/>
      <c r="D149" s="3393"/>
      <c r="E149" s="3394">
        <f>IF(D149="","", IFERROR(INDEX(Catalogos!$W$4:$W$100, MATCH(D149, Catalogos!$V$4:$V$100, 0)), ""))</f>
      </c>
      <c r="F149" s="3395">
        <f>IF(D149="","", IFERROR(INDEX(Catalogos!$Y$4:$Y$100, MATCH(D149, Catalogos!$V$4:$V$100, 0)), ""))</f>
      </c>
      <c r="G149" s="3396"/>
      <c r="H149" s="3397"/>
      <c r="I149">
        <f>IF(E149="","", G149 * IFERROR(INDEX(Maquinaria_Inventario!$K$2:$K$100, MATCH(E149, Maquinaria_Inventario!$L$2:$L$100, 0)), 0))</f>
      </c>
      <c r="J149">
        <f t="shared" si="2"/>
      </c>
    </row>
    <row r="150" spans="1:10">
      <c r="A150" s="3399">
        <f>IF(D150="","", "HT-" &amp; IFERROR(VLOOKUP(C150, Catalogos!$Z$4:$AA$20, 2, FALSE), "FOL") &amp; "-" &amp; IF(B150="","00", WEEKNUM(B150,2)) &amp; "-" &amp; TEXT(ROW(A147),"000"))</f>
      </c>
      <c r="B150" s="3398"/>
      <c r="C150" s="3400"/>
      <c r="D150" s="3401"/>
      <c r="E150" s="3402">
        <f>IF(D150="","", IFERROR(INDEX(Catalogos!$W$4:$W$100, MATCH(D150, Catalogos!$V$4:$V$100, 0)), ""))</f>
      </c>
      <c r="F150" s="3403">
        <f>IF(D150="","", IFERROR(INDEX(Catalogos!$Y$4:$Y$100, MATCH(D150, Catalogos!$V$4:$V$100, 0)), ""))</f>
      </c>
      <c r="G150" s="3404"/>
      <c r="H150" s="3405"/>
      <c r="I150">
        <f>IF(E150="","", G150 * IFERROR(INDEX(Maquinaria_Inventario!$K$2:$K$100, MATCH(E150, Maquinaria_Inventario!$L$2:$L$100, 0)), 0))</f>
      </c>
      <c r="J150">
        <f t="shared" si="2"/>
      </c>
    </row>
    <row r="151" spans="1:10">
      <c r="A151" s="3407">
        <f>IF(D151="","", "HT-" &amp; IFERROR(VLOOKUP(C151, Catalogos!$Z$4:$AA$20, 2, FALSE), "FOL") &amp; "-" &amp; IF(B151="","00", WEEKNUM(B151,2)) &amp; "-" &amp; TEXT(ROW(A148),"000"))</f>
      </c>
      <c r="B151" s="3406"/>
      <c r="C151" s="3408"/>
      <c r="D151" s="3409"/>
      <c r="E151" s="3410">
        <f>IF(D151="","", IFERROR(INDEX(Catalogos!$W$4:$W$100, MATCH(D151, Catalogos!$V$4:$V$100, 0)), ""))</f>
      </c>
      <c r="F151" s="3411">
        <f>IF(D151="","", IFERROR(INDEX(Catalogos!$Y$4:$Y$100, MATCH(D151, Catalogos!$V$4:$V$100, 0)), ""))</f>
      </c>
      <c r="G151" s="3412"/>
      <c r="H151" s="3413"/>
      <c r="I151">
        <f>IF(E151="","", G151 * IFERROR(INDEX(Maquinaria_Inventario!$K$2:$K$100, MATCH(E151, Maquinaria_Inventario!$L$2:$L$100, 0)), 0))</f>
      </c>
      <c r="J151">
        <f t="shared" si="2"/>
      </c>
    </row>
    <row r="152" spans="1:10">
      <c r="A152" s="3415">
        <f>IF(D152="","", "HT-" &amp; IFERROR(VLOOKUP(C152, Catalogos!$Z$4:$AA$20, 2, FALSE), "FOL") &amp; "-" &amp; IF(B152="","00", WEEKNUM(B152,2)) &amp; "-" &amp; TEXT(ROW(A149),"000"))</f>
      </c>
      <c r="B152" s="3414"/>
      <c r="C152" s="3416"/>
      <c r="D152" s="3417"/>
      <c r="E152" s="3418">
        <f>IF(D152="","", IFERROR(INDEX(Catalogos!$W$4:$W$100, MATCH(D152, Catalogos!$V$4:$V$100, 0)), ""))</f>
      </c>
      <c r="F152" s="3419">
        <f>IF(D152="","", IFERROR(INDEX(Catalogos!$Y$4:$Y$100, MATCH(D152, Catalogos!$V$4:$V$100, 0)), ""))</f>
      </c>
      <c r="G152" s="3420"/>
      <c r="H152" s="3421"/>
      <c r="I152">
        <f>IF(E152="","", G152 * IFERROR(INDEX(Maquinaria_Inventario!$K$2:$K$100, MATCH(E152, Maquinaria_Inventario!$L$2:$L$100, 0)), 0))</f>
      </c>
      <c r="J152">
        <f t="shared" si="2"/>
      </c>
    </row>
    <row r="153" spans="1:10">
      <c r="A153" s="3423">
        <f>IF(D153="","", "HT-" &amp; IFERROR(VLOOKUP(C153, Catalogos!$Z$4:$AA$20, 2, FALSE), "FOL") &amp; "-" &amp; IF(B153="","00", WEEKNUM(B153,2)) &amp; "-" &amp; TEXT(ROW(A150),"000"))</f>
      </c>
      <c r="B153" s="3422"/>
      <c r="C153" s="3424"/>
      <c r="D153" s="3425"/>
      <c r="E153" s="3426">
        <f>IF(D153="","", IFERROR(INDEX(Catalogos!$W$4:$W$100, MATCH(D153, Catalogos!$V$4:$V$100, 0)), ""))</f>
      </c>
      <c r="F153" s="3427">
        <f>IF(D153="","", IFERROR(INDEX(Catalogos!$Y$4:$Y$100, MATCH(D153, Catalogos!$V$4:$V$100, 0)), ""))</f>
      </c>
      <c r="G153" s="3428"/>
      <c r="H153" s="3429"/>
      <c r="I153">
        <f>IF(E153="","", G153 * IFERROR(INDEX(Maquinaria_Inventario!$K$2:$K$100, MATCH(E153, Maquinaria_Inventario!$L$2:$L$100, 0)), 0))</f>
      </c>
      <c r="J153">
        <f t="shared" si="2"/>
      </c>
    </row>
    <row r="154" spans="1:10">
      <c r="A154" s="3431">
        <f>IF(D154="","", "HT-" &amp; IFERROR(VLOOKUP(C154, Catalogos!$Z$4:$AA$20, 2, FALSE), "FOL") &amp; "-" &amp; IF(B154="","00", WEEKNUM(B154,2)) &amp; "-" &amp; TEXT(ROW(A151),"000"))</f>
      </c>
      <c r="B154" s="3430"/>
      <c r="C154" s="3432"/>
      <c r="D154" s="3433"/>
      <c r="E154" s="3434">
        <f>IF(D154="","", IFERROR(INDEX(Catalogos!$W$4:$W$100, MATCH(D154, Catalogos!$V$4:$V$100, 0)), ""))</f>
      </c>
      <c r="F154" s="3435">
        <f>IF(D154="","", IFERROR(INDEX(Catalogos!$Y$4:$Y$100, MATCH(D154, Catalogos!$V$4:$V$100, 0)), ""))</f>
      </c>
      <c r="G154" s="3436"/>
      <c r="H154" s="3437"/>
      <c r="I154">
        <f>IF(E154="","", G154 * IFERROR(INDEX(Maquinaria_Inventario!$K$2:$K$100, MATCH(E154, Maquinaria_Inventario!$L$2:$L$100, 0)), 0))</f>
      </c>
      <c r="J154">
        <f t="shared" si="2"/>
      </c>
    </row>
    <row r="155" spans="1:10">
      <c r="A155" s="3439">
        <f>IF(D155="","", "HT-" &amp; IFERROR(VLOOKUP(C155, Catalogos!$Z$4:$AA$20, 2, FALSE), "FOL") &amp; "-" &amp; IF(B155="","00", WEEKNUM(B155,2)) &amp; "-" &amp; TEXT(ROW(A152),"000"))</f>
      </c>
      <c r="B155" s="3438"/>
      <c r="C155" s="3440"/>
      <c r="D155" s="3441"/>
      <c r="E155" s="3442">
        <f>IF(D155="","", IFERROR(INDEX(Catalogos!$W$4:$W$100, MATCH(D155, Catalogos!$V$4:$V$100, 0)), ""))</f>
      </c>
      <c r="F155" s="3443">
        <f>IF(D155="","", IFERROR(INDEX(Catalogos!$Y$4:$Y$100, MATCH(D155, Catalogos!$V$4:$V$100, 0)), ""))</f>
      </c>
      <c r="G155" s="3444"/>
      <c r="H155" s="3445"/>
      <c r="I155">
        <f>IF(E155="","", G155 * IFERROR(INDEX(Maquinaria_Inventario!$K$2:$K$100, MATCH(E155, Maquinaria_Inventario!$L$2:$L$100, 0)), 0))</f>
      </c>
      <c r="J155">
        <f t="shared" si="2"/>
      </c>
    </row>
    <row r="156" spans="1:10">
      <c r="A156" s="3447">
        <f>IF(D156="","", "HT-" &amp; IFERROR(VLOOKUP(C156, Catalogos!$Z$4:$AA$20, 2, FALSE), "FOL") &amp; "-" &amp; IF(B156="","00", WEEKNUM(B156,2)) &amp; "-" &amp; TEXT(ROW(A153),"000"))</f>
      </c>
      <c r="B156" s="3446"/>
      <c r="C156" s="3448"/>
      <c r="D156" s="3449"/>
      <c r="E156" s="3450">
        <f>IF(D156="","", IFERROR(INDEX(Catalogos!$W$4:$W$100, MATCH(D156, Catalogos!$V$4:$V$100, 0)), ""))</f>
      </c>
      <c r="F156" s="3451">
        <f>IF(D156="","", IFERROR(INDEX(Catalogos!$Y$4:$Y$100, MATCH(D156, Catalogos!$V$4:$V$100, 0)), ""))</f>
      </c>
      <c r="G156" s="3452"/>
      <c r="H156" s="3453"/>
      <c r="I156">
        <f>IF(E156="","", G156 * IFERROR(INDEX(Maquinaria_Inventario!$K$2:$K$100, MATCH(E156, Maquinaria_Inventario!$L$2:$L$100, 0)), 0))</f>
      </c>
      <c r="J156">
        <f t="shared" si="2"/>
      </c>
    </row>
    <row r="157" spans="1:10">
      <c r="A157" s="3455">
        <f>IF(D157="","", "HT-" &amp; IFERROR(VLOOKUP(C157, Catalogos!$Z$4:$AA$20, 2, FALSE), "FOL") &amp; "-" &amp; IF(B157="","00", WEEKNUM(B157,2)) &amp; "-" &amp; TEXT(ROW(A154),"000"))</f>
      </c>
      <c r="B157" s="3454"/>
      <c r="C157" s="3456"/>
      <c r="D157" s="3457"/>
      <c r="E157" s="3458">
        <f>IF(D157="","", IFERROR(INDEX(Catalogos!$W$4:$W$100, MATCH(D157, Catalogos!$V$4:$V$100, 0)), ""))</f>
      </c>
      <c r="F157" s="3459">
        <f>IF(D157="","", IFERROR(INDEX(Catalogos!$Y$4:$Y$100, MATCH(D157, Catalogos!$V$4:$V$100, 0)), ""))</f>
      </c>
      <c r="G157" s="3460"/>
      <c r="H157" s="3461"/>
      <c r="I157">
        <f>IF(E157="","", G157 * IFERROR(INDEX(Maquinaria_Inventario!$K$2:$K$100, MATCH(E157, Maquinaria_Inventario!$L$2:$L$100, 0)), 0))</f>
      </c>
      <c r="J157">
        <f t="shared" si="2"/>
      </c>
    </row>
    <row r="158" spans="1:10">
      <c r="A158" s="3463">
        <f>IF(D158="","", "HT-" &amp; IFERROR(VLOOKUP(C158, Catalogos!$Z$4:$AA$20, 2, FALSE), "FOL") &amp; "-" &amp; IF(B158="","00", WEEKNUM(B158,2)) &amp; "-" &amp; TEXT(ROW(A155),"000"))</f>
      </c>
      <c r="B158" s="3462"/>
      <c r="C158" s="3464"/>
      <c r="D158" s="3465"/>
      <c r="E158" s="3466">
        <f>IF(D158="","", IFERROR(INDEX(Catalogos!$W$4:$W$100, MATCH(D158, Catalogos!$V$4:$V$100, 0)), ""))</f>
      </c>
      <c r="F158" s="3467">
        <f>IF(D158="","", IFERROR(INDEX(Catalogos!$Y$4:$Y$100, MATCH(D158, Catalogos!$V$4:$V$100, 0)), ""))</f>
      </c>
      <c r="G158" s="3468"/>
      <c r="H158" s="3469"/>
      <c r="I158">
        <f>IF(E158="","", G158 * IFERROR(INDEX(Maquinaria_Inventario!$K$2:$K$100, MATCH(E158, Maquinaria_Inventario!$L$2:$L$100, 0)), 0))</f>
      </c>
      <c r="J158">
        <f t="shared" si="2"/>
      </c>
    </row>
    <row r="159" spans="1:10">
      <c r="A159" s="3471">
        <f>IF(D159="","", "HT-" &amp; IFERROR(VLOOKUP(C159, Catalogos!$Z$4:$AA$20, 2, FALSE), "FOL") &amp; "-" &amp; IF(B159="","00", WEEKNUM(B159,2)) &amp; "-" &amp; TEXT(ROW(A156),"000"))</f>
      </c>
      <c r="B159" s="3470"/>
      <c r="C159" s="3472"/>
      <c r="D159" s="3473"/>
      <c r="E159" s="3474">
        <f>IF(D159="","", IFERROR(INDEX(Catalogos!$W$4:$W$100, MATCH(D159, Catalogos!$V$4:$V$100, 0)), ""))</f>
      </c>
      <c r="F159" s="3475">
        <f>IF(D159="","", IFERROR(INDEX(Catalogos!$Y$4:$Y$100, MATCH(D159, Catalogos!$V$4:$V$100, 0)), ""))</f>
      </c>
      <c r="G159" s="3476"/>
      <c r="H159" s="3477"/>
      <c r="I159">
        <f>IF(E159="","", G159 * IFERROR(INDEX(Maquinaria_Inventario!$K$2:$K$100, MATCH(E159, Maquinaria_Inventario!$L$2:$L$100, 0)), 0))</f>
      </c>
      <c r="J159">
        <f t="shared" si="2"/>
      </c>
    </row>
    <row r="160" spans="1:10">
      <c r="A160" s="3479">
        <f>IF(D160="","", "HT-" &amp; IFERROR(VLOOKUP(C160, Catalogos!$Z$4:$AA$20, 2, FALSE), "FOL") &amp; "-" &amp; IF(B160="","00", WEEKNUM(B160,2)) &amp; "-" &amp; TEXT(ROW(A157),"000"))</f>
      </c>
      <c r="B160" s="3478"/>
      <c r="C160" s="3480"/>
      <c r="D160" s="3481"/>
      <c r="E160" s="3482">
        <f>IF(D160="","", IFERROR(INDEX(Catalogos!$W$4:$W$100, MATCH(D160, Catalogos!$V$4:$V$100, 0)), ""))</f>
      </c>
      <c r="F160" s="3483">
        <f>IF(D160="","", IFERROR(INDEX(Catalogos!$Y$4:$Y$100, MATCH(D160, Catalogos!$V$4:$V$100, 0)), ""))</f>
      </c>
      <c r="G160" s="3484"/>
      <c r="H160" s="3485"/>
      <c r="I160">
        <f>IF(E160="","", G160 * IFERROR(INDEX(Maquinaria_Inventario!$K$2:$K$100, MATCH(E160, Maquinaria_Inventario!$L$2:$L$100, 0)), 0))</f>
      </c>
      <c r="J160">
        <f t="shared" si="2"/>
      </c>
    </row>
    <row r="161" spans="1:10">
      <c r="A161" s="3487">
        <f>IF(D161="","", "HT-" &amp; IFERROR(VLOOKUP(C161, Catalogos!$Z$4:$AA$20, 2, FALSE), "FOL") &amp; "-" &amp; IF(B161="","00", WEEKNUM(B161,2)) &amp; "-" &amp; TEXT(ROW(A158),"000"))</f>
      </c>
      <c r="B161" s="3486"/>
      <c r="C161" s="3488"/>
      <c r="D161" s="3489"/>
      <c r="E161" s="3490">
        <f>IF(D161="","", IFERROR(INDEX(Catalogos!$W$4:$W$100, MATCH(D161, Catalogos!$V$4:$V$100, 0)), ""))</f>
      </c>
      <c r="F161" s="3491">
        <f>IF(D161="","", IFERROR(INDEX(Catalogos!$Y$4:$Y$100, MATCH(D161, Catalogos!$V$4:$V$100, 0)), ""))</f>
      </c>
      <c r="G161" s="3492"/>
      <c r="H161" s="3493"/>
      <c r="I161">
        <f>IF(E161="","", G161 * IFERROR(INDEX(Maquinaria_Inventario!$K$2:$K$100, MATCH(E161, Maquinaria_Inventario!$L$2:$L$100, 0)), 0))</f>
      </c>
      <c r="J161">
        <f t="shared" si="2"/>
      </c>
    </row>
    <row r="162" spans="1:10">
      <c r="A162" s="3495">
        <f>IF(D162="","", "HT-" &amp; IFERROR(VLOOKUP(C162, Catalogos!$Z$4:$AA$20, 2, FALSE), "FOL") &amp; "-" &amp; IF(B162="","00", WEEKNUM(B162,2)) &amp; "-" &amp; TEXT(ROW(A159),"000"))</f>
      </c>
      <c r="B162" s="3494"/>
      <c r="C162" s="3496"/>
      <c r="D162" s="3497"/>
      <c r="E162" s="3498">
        <f>IF(D162="","", IFERROR(INDEX(Catalogos!$W$4:$W$100, MATCH(D162, Catalogos!$V$4:$V$100, 0)), ""))</f>
      </c>
      <c r="F162" s="3499">
        <f>IF(D162="","", IFERROR(INDEX(Catalogos!$Y$4:$Y$100, MATCH(D162, Catalogos!$V$4:$V$100, 0)), ""))</f>
      </c>
      <c r="G162" s="3500"/>
      <c r="H162" s="3501"/>
      <c r="I162">
        <f>IF(E162="","", G162 * IFERROR(INDEX(Maquinaria_Inventario!$K$2:$K$100, MATCH(E162, Maquinaria_Inventario!$L$2:$L$100, 0)), 0))</f>
      </c>
      <c r="J162">
        <f t="shared" si="2"/>
      </c>
    </row>
    <row r="163" spans="1:10">
      <c r="A163" s="3503">
        <f>IF(D163="","", "HT-" &amp; IFERROR(VLOOKUP(C163, Catalogos!$Z$4:$AA$20, 2, FALSE), "FOL") &amp; "-" &amp; IF(B163="","00", WEEKNUM(B163,2)) &amp; "-" &amp; TEXT(ROW(A160),"000"))</f>
      </c>
      <c r="B163" s="3502"/>
      <c r="C163" s="3504"/>
      <c r="D163" s="3505"/>
      <c r="E163" s="3506">
        <f>IF(D163="","", IFERROR(INDEX(Catalogos!$W$4:$W$100, MATCH(D163, Catalogos!$V$4:$V$100, 0)), ""))</f>
      </c>
      <c r="F163" s="3507">
        <f>IF(D163="","", IFERROR(INDEX(Catalogos!$Y$4:$Y$100, MATCH(D163, Catalogos!$V$4:$V$100, 0)), ""))</f>
      </c>
      <c r="G163" s="3508"/>
      <c r="H163" s="3509"/>
      <c r="I163">
        <f>IF(E163="","", G163 * IFERROR(INDEX(Maquinaria_Inventario!$K$2:$K$100, MATCH(E163, Maquinaria_Inventario!$L$2:$L$100, 0)), 0))</f>
      </c>
      <c r="J163">
        <f t="shared" si="2"/>
      </c>
    </row>
    <row r="164" spans="1:10">
      <c r="A164" s="3511">
        <f>IF(D164="","", "HT-" &amp; IFERROR(VLOOKUP(C164, Catalogos!$Z$4:$AA$20, 2, FALSE), "FOL") &amp; "-" &amp; IF(B164="","00", WEEKNUM(B164,2)) &amp; "-" &amp; TEXT(ROW(A161),"000"))</f>
      </c>
      <c r="B164" s="3510"/>
      <c r="C164" s="3512"/>
      <c r="D164" s="3513"/>
      <c r="E164" s="3514">
        <f>IF(D164="","", IFERROR(INDEX(Catalogos!$W$4:$W$100, MATCH(D164, Catalogos!$V$4:$V$100, 0)), ""))</f>
      </c>
      <c r="F164" s="3515">
        <f>IF(D164="","", IFERROR(INDEX(Catalogos!$Y$4:$Y$100, MATCH(D164, Catalogos!$V$4:$V$100, 0)), ""))</f>
      </c>
      <c r="G164" s="3516"/>
      <c r="H164" s="3517"/>
      <c r="I164">
        <f>IF(E164="","", G164 * IFERROR(INDEX(Maquinaria_Inventario!$K$2:$K$100, MATCH(E164, Maquinaria_Inventario!$L$2:$L$100, 0)), 0))</f>
      </c>
      <c r="J164">
        <f t="shared" si="2"/>
      </c>
    </row>
    <row r="165" spans="1:10">
      <c r="A165" s="3519">
        <f>IF(D165="","", "HT-" &amp; IFERROR(VLOOKUP(C165, Catalogos!$Z$4:$AA$20, 2, FALSE), "FOL") &amp; "-" &amp; IF(B165="","00", WEEKNUM(B165,2)) &amp; "-" &amp; TEXT(ROW(A162),"000"))</f>
      </c>
      <c r="B165" s="3518"/>
      <c r="C165" s="3520"/>
      <c r="D165" s="3521"/>
      <c r="E165" s="3522">
        <f>IF(D165="","", IFERROR(INDEX(Catalogos!$W$4:$W$100, MATCH(D165, Catalogos!$V$4:$V$100, 0)), ""))</f>
      </c>
      <c r="F165" s="3523">
        <f>IF(D165="","", IFERROR(INDEX(Catalogos!$Y$4:$Y$100, MATCH(D165, Catalogos!$V$4:$V$100, 0)), ""))</f>
      </c>
      <c r="G165" s="3524"/>
      <c r="H165" s="3525"/>
      <c r="I165">
        <f>IF(E165="","", G165 * IFERROR(INDEX(Maquinaria_Inventario!$K$2:$K$100, MATCH(E165, Maquinaria_Inventario!$L$2:$L$100, 0)), 0))</f>
      </c>
      <c r="J165">
        <f t="shared" si="2"/>
      </c>
    </row>
    <row r="166" spans="1:10">
      <c r="A166" s="3527">
        <f>IF(D166="","", "HT-" &amp; IFERROR(VLOOKUP(C166, Catalogos!$Z$4:$AA$20, 2, FALSE), "FOL") &amp; "-" &amp; IF(B166="","00", WEEKNUM(B166,2)) &amp; "-" &amp; TEXT(ROW(A163),"000"))</f>
      </c>
      <c r="B166" s="3526"/>
      <c r="C166" s="3528"/>
      <c r="D166" s="3529"/>
      <c r="E166" s="3530">
        <f>IF(D166="","", IFERROR(INDEX(Catalogos!$W$4:$W$100, MATCH(D166, Catalogos!$V$4:$V$100, 0)), ""))</f>
      </c>
      <c r="F166" s="3531">
        <f>IF(D166="","", IFERROR(INDEX(Catalogos!$Y$4:$Y$100, MATCH(D166, Catalogos!$V$4:$V$100, 0)), ""))</f>
      </c>
      <c r="G166" s="3532"/>
      <c r="H166" s="3533"/>
      <c r="I166">
        <f>IF(E166="","", G166 * IFERROR(INDEX(Maquinaria_Inventario!$K$2:$K$100, MATCH(E166, Maquinaria_Inventario!$L$2:$L$100, 0)), 0))</f>
      </c>
      <c r="J166">
        <f t="shared" si="2"/>
      </c>
    </row>
    <row r="167" spans="1:10">
      <c r="A167" s="3535">
        <f>IF(D167="","", "HT-" &amp; IFERROR(VLOOKUP(C167, Catalogos!$Z$4:$AA$20, 2, FALSE), "FOL") &amp; "-" &amp; IF(B167="","00", WEEKNUM(B167,2)) &amp; "-" &amp; TEXT(ROW(A164),"000"))</f>
      </c>
      <c r="B167" s="3534"/>
      <c r="C167" s="3536"/>
      <c r="D167" s="3537"/>
      <c r="E167" s="3538">
        <f>IF(D167="","", IFERROR(INDEX(Catalogos!$W$4:$W$100, MATCH(D167, Catalogos!$V$4:$V$100, 0)), ""))</f>
      </c>
      <c r="F167" s="3539">
        <f>IF(D167="","", IFERROR(INDEX(Catalogos!$Y$4:$Y$100, MATCH(D167, Catalogos!$V$4:$V$100, 0)), ""))</f>
      </c>
      <c r="G167" s="3540"/>
      <c r="H167" s="3541"/>
      <c r="I167">
        <f>IF(E167="","", G167 * IFERROR(INDEX(Maquinaria_Inventario!$K$2:$K$100, MATCH(E167, Maquinaria_Inventario!$L$2:$L$100, 0)), 0))</f>
      </c>
      <c r="J167">
        <f t="shared" si="2"/>
      </c>
    </row>
    <row r="168" spans="1:10">
      <c r="A168" s="3543">
        <f>IF(D168="","", "HT-" &amp; IFERROR(VLOOKUP(C168, Catalogos!$Z$4:$AA$20, 2, FALSE), "FOL") &amp; "-" &amp; IF(B168="","00", WEEKNUM(B168,2)) &amp; "-" &amp; TEXT(ROW(A165),"000"))</f>
      </c>
      <c r="B168" s="3542"/>
      <c r="C168" s="3544"/>
      <c r="D168" s="3545"/>
      <c r="E168" s="3546">
        <f>IF(D168="","", IFERROR(INDEX(Catalogos!$W$4:$W$100, MATCH(D168, Catalogos!$V$4:$V$100, 0)), ""))</f>
      </c>
      <c r="F168" s="3547">
        <f>IF(D168="","", IFERROR(INDEX(Catalogos!$Y$4:$Y$100, MATCH(D168, Catalogos!$V$4:$V$100, 0)), ""))</f>
      </c>
      <c r="G168" s="3548"/>
      <c r="H168" s="3549"/>
      <c r="I168">
        <f>IF(E168="","", G168 * IFERROR(INDEX(Maquinaria_Inventario!$K$2:$K$100, MATCH(E168, Maquinaria_Inventario!$L$2:$L$100, 0)), 0))</f>
      </c>
      <c r="J168">
        <f t="shared" si="2"/>
      </c>
    </row>
    <row r="169" spans="1:10">
      <c r="A169" s="3551">
        <f>IF(D169="","", "HT-" &amp; IFERROR(VLOOKUP(C169, Catalogos!$Z$4:$AA$20, 2, FALSE), "FOL") &amp; "-" &amp; IF(B169="","00", WEEKNUM(B169,2)) &amp; "-" &amp; TEXT(ROW(A166),"000"))</f>
      </c>
      <c r="B169" s="3550"/>
      <c r="C169" s="3552"/>
      <c r="D169" s="3553"/>
      <c r="E169" s="3554">
        <f>IF(D169="","", IFERROR(INDEX(Catalogos!$W$4:$W$100, MATCH(D169, Catalogos!$V$4:$V$100, 0)), ""))</f>
      </c>
      <c r="F169" s="3555">
        <f>IF(D169="","", IFERROR(INDEX(Catalogos!$Y$4:$Y$100, MATCH(D169, Catalogos!$V$4:$V$100, 0)), ""))</f>
      </c>
      <c r="G169" s="3556"/>
      <c r="H169" s="3557"/>
      <c r="I169">
        <f>IF(E169="","", G169 * IFERROR(INDEX(Maquinaria_Inventario!$K$2:$K$100, MATCH(E169, Maquinaria_Inventario!$L$2:$L$100, 0)), 0))</f>
      </c>
      <c r="J169">
        <f t="shared" si="2"/>
      </c>
    </row>
    <row r="170" spans="1:10">
      <c r="A170" s="3559">
        <f>IF(D170="","", "HT-" &amp; IFERROR(VLOOKUP(C170, Catalogos!$Z$4:$AA$20, 2, FALSE), "FOL") &amp; "-" &amp; IF(B170="","00", WEEKNUM(B170,2)) &amp; "-" &amp; TEXT(ROW(A167),"000"))</f>
      </c>
      <c r="B170" s="3558"/>
      <c r="C170" s="3560"/>
      <c r="D170" s="3561"/>
      <c r="E170" s="3562">
        <f>IF(D170="","", IFERROR(INDEX(Catalogos!$W$4:$W$100, MATCH(D170, Catalogos!$V$4:$V$100, 0)), ""))</f>
      </c>
      <c r="F170" s="3563">
        <f>IF(D170="","", IFERROR(INDEX(Catalogos!$Y$4:$Y$100, MATCH(D170, Catalogos!$V$4:$V$100, 0)), ""))</f>
      </c>
      <c r="G170" s="3564"/>
      <c r="H170" s="3565"/>
      <c r="I170">
        <f>IF(E170="","", G170 * IFERROR(INDEX(Maquinaria_Inventario!$K$2:$K$100, MATCH(E170, Maquinaria_Inventario!$L$2:$L$100, 0)), 0))</f>
      </c>
      <c r="J170">
        <f t="shared" si="2"/>
      </c>
    </row>
    <row r="171" spans="1:10">
      <c r="A171" s="3567">
        <f>IF(D171="","", "HT-" &amp; IFERROR(VLOOKUP(C171, Catalogos!$Z$4:$AA$20, 2, FALSE), "FOL") &amp; "-" &amp; IF(B171="","00", WEEKNUM(B171,2)) &amp; "-" &amp; TEXT(ROW(A168),"000"))</f>
      </c>
      <c r="B171" s="3566"/>
      <c r="C171" s="3568"/>
      <c r="D171" s="3569"/>
      <c r="E171" s="3570">
        <f>IF(D171="","", IFERROR(INDEX(Catalogos!$W$4:$W$100, MATCH(D171, Catalogos!$V$4:$V$100, 0)), ""))</f>
      </c>
      <c r="F171" s="3571">
        <f>IF(D171="","", IFERROR(INDEX(Catalogos!$Y$4:$Y$100, MATCH(D171, Catalogos!$V$4:$V$100, 0)), ""))</f>
      </c>
      <c r="G171" s="3572"/>
      <c r="H171" s="3573"/>
      <c r="I171">
        <f>IF(E171="","", G171 * IFERROR(INDEX(Maquinaria_Inventario!$K$2:$K$100, MATCH(E171, Maquinaria_Inventario!$L$2:$L$100, 0)), 0))</f>
      </c>
      <c r="J171">
        <f t="shared" si="2"/>
      </c>
    </row>
    <row r="172" spans="1:10">
      <c r="A172" s="3575">
        <f>IF(D172="","", "HT-" &amp; IFERROR(VLOOKUP(C172, Catalogos!$Z$4:$AA$20, 2, FALSE), "FOL") &amp; "-" &amp; IF(B172="","00", WEEKNUM(B172,2)) &amp; "-" &amp; TEXT(ROW(A169),"000"))</f>
      </c>
      <c r="B172" s="3574"/>
      <c r="C172" s="3576"/>
      <c r="D172" s="3577"/>
      <c r="E172" s="3578">
        <f>IF(D172="","", IFERROR(INDEX(Catalogos!$W$4:$W$100, MATCH(D172, Catalogos!$V$4:$V$100, 0)), ""))</f>
      </c>
      <c r="F172" s="3579">
        <f>IF(D172="","", IFERROR(INDEX(Catalogos!$Y$4:$Y$100, MATCH(D172, Catalogos!$V$4:$V$100, 0)), ""))</f>
      </c>
      <c r="G172" s="3580"/>
      <c r="H172" s="3581"/>
      <c r="I172">
        <f>IF(E172="","", G172 * IFERROR(INDEX(Maquinaria_Inventario!$K$2:$K$100, MATCH(E172, Maquinaria_Inventario!$L$2:$L$100, 0)), 0))</f>
      </c>
      <c r="J172">
        <f t="shared" si="2"/>
      </c>
    </row>
    <row r="173" spans="1:10">
      <c r="A173" s="3583">
        <f>IF(D173="","", "HT-" &amp; IFERROR(VLOOKUP(C173, Catalogos!$Z$4:$AA$20, 2, FALSE), "FOL") &amp; "-" &amp; IF(B173="","00", WEEKNUM(B173,2)) &amp; "-" &amp; TEXT(ROW(A170),"000"))</f>
      </c>
      <c r="B173" s="3582"/>
      <c r="C173" s="3584"/>
      <c r="D173" s="3585"/>
      <c r="E173" s="3586">
        <f>IF(D173="","", IFERROR(INDEX(Catalogos!$W$4:$W$100, MATCH(D173, Catalogos!$V$4:$V$100, 0)), ""))</f>
      </c>
      <c r="F173" s="3587">
        <f>IF(D173="","", IFERROR(INDEX(Catalogos!$Y$4:$Y$100, MATCH(D173, Catalogos!$V$4:$V$100, 0)), ""))</f>
      </c>
      <c r="G173" s="3588"/>
      <c r="H173" s="3589"/>
      <c r="I173">
        <f>IF(E173="","", G173 * IFERROR(INDEX(Maquinaria_Inventario!$K$2:$K$100, MATCH(E173, Maquinaria_Inventario!$L$2:$L$100, 0)), 0))</f>
      </c>
      <c r="J173">
        <f t="shared" si="2"/>
      </c>
    </row>
    <row r="174" spans="1:10">
      <c r="A174" s="3591">
        <f>IF(D174="","", "HT-" &amp; IFERROR(VLOOKUP(C174, Catalogos!$Z$4:$AA$20, 2, FALSE), "FOL") &amp; "-" &amp; IF(B174="","00", WEEKNUM(B174,2)) &amp; "-" &amp; TEXT(ROW(A171),"000"))</f>
      </c>
      <c r="B174" s="3590"/>
      <c r="C174" s="3592"/>
      <c r="D174" s="3593"/>
      <c r="E174" s="3594">
        <f>IF(D174="","", IFERROR(INDEX(Catalogos!$W$4:$W$100, MATCH(D174, Catalogos!$V$4:$V$100, 0)), ""))</f>
      </c>
      <c r="F174" s="3595">
        <f>IF(D174="","", IFERROR(INDEX(Catalogos!$Y$4:$Y$100, MATCH(D174, Catalogos!$V$4:$V$100, 0)), ""))</f>
      </c>
      <c r="G174" s="3596"/>
      <c r="H174" s="3597"/>
      <c r="I174">
        <f>IF(E174="","", G174 * IFERROR(INDEX(Maquinaria_Inventario!$K$2:$K$100, MATCH(E174, Maquinaria_Inventario!$L$2:$L$100, 0)), 0))</f>
      </c>
      <c r="J174">
        <f t="shared" si="2"/>
      </c>
    </row>
    <row r="175" spans="1:10">
      <c r="A175" s="3599">
        <f>IF(D175="","", "HT-" &amp; IFERROR(VLOOKUP(C175, Catalogos!$Z$4:$AA$20, 2, FALSE), "FOL") &amp; "-" &amp; IF(B175="","00", WEEKNUM(B175,2)) &amp; "-" &amp; TEXT(ROW(A172),"000"))</f>
      </c>
      <c r="B175" s="3598"/>
      <c r="C175" s="3600"/>
      <c r="D175" s="3601"/>
      <c r="E175" s="3602">
        <f>IF(D175="","", IFERROR(INDEX(Catalogos!$W$4:$W$100, MATCH(D175, Catalogos!$V$4:$V$100, 0)), ""))</f>
      </c>
      <c r="F175" s="3603">
        <f>IF(D175="","", IFERROR(INDEX(Catalogos!$Y$4:$Y$100, MATCH(D175, Catalogos!$V$4:$V$100, 0)), ""))</f>
      </c>
      <c r="G175" s="3604"/>
      <c r="H175" s="3605"/>
      <c r="I175">
        <f>IF(E175="","", G175 * IFERROR(INDEX(Maquinaria_Inventario!$K$2:$K$100, MATCH(E175, Maquinaria_Inventario!$L$2:$L$100, 0)), 0))</f>
      </c>
      <c r="J175">
        <f t="shared" si="2"/>
      </c>
    </row>
    <row r="176" spans="1:10">
      <c r="A176" s="3607">
        <f>IF(D176="","", "HT-" &amp; IFERROR(VLOOKUP(C176, Catalogos!$Z$4:$AA$20, 2, FALSE), "FOL") &amp; "-" &amp; IF(B176="","00", WEEKNUM(B176,2)) &amp; "-" &amp; TEXT(ROW(A173),"000"))</f>
      </c>
      <c r="B176" s="3606"/>
      <c r="C176" s="3608"/>
      <c r="D176" s="3609"/>
      <c r="E176" s="3610">
        <f>IF(D176="","", IFERROR(INDEX(Catalogos!$W$4:$W$100, MATCH(D176, Catalogos!$V$4:$V$100, 0)), ""))</f>
      </c>
      <c r="F176" s="3611">
        <f>IF(D176="","", IFERROR(INDEX(Catalogos!$Y$4:$Y$100, MATCH(D176, Catalogos!$V$4:$V$100, 0)), ""))</f>
      </c>
      <c r="G176" s="3612"/>
      <c r="H176" s="3613"/>
      <c r="I176">
        <f>IF(E176="","", G176 * IFERROR(INDEX(Maquinaria_Inventario!$K$2:$K$100, MATCH(E176, Maquinaria_Inventario!$L$2:$L$100, 0)), 0))</f>
      </c>
      <c r="J176">
        <f t="shared" si="2"/>
      </c>
    </row>
    <row r="177" spans="1:10">
      <c r="A177" s="3615">
        <f>IF(D177="","", "HT-" &amp; IFERROR(VLOOKUP(C177, Catalogos!$Z$4:$AA$20, 2, FALSE), "FOL") &amp; "-" &amp; IF(B177="","00", WEEKNUM(B177,2)) &amp; "-" &amp; TEXT(ROW(A174),"000"))</f>
      </c>
      <c r="B177" s="3614"/>
      <c r="C177" s="3616"/>
      <c r="D177" s="3617"/>
      <c r="E177" s="3618">
        <f>IF(D177="","", IFERROR(INDEX(Catalogos!$W$4:$W$100, MATCH(D177, Catalogos!$V$4:$V$100, 0)), ""))</f>
      </c>
      <c r="F177" s="3619">
        <f>IF(D177="","", IFERROR(INDEX(Catalogos!$Y$4:$Y$100, MATCH(D177, Catalogos!$V$4:$V$100, 0)), ""))</f>
      </c>
      <c r="G177" s="3620"/>
      <c r="H177" s="3621"/>
      <c r="I177">
        <f>IF(E177="","", G177 * IFERROR(INDEX(Maquinaria_Inventario!$K$2:$K$100, MATCH(E177, Maquinaria_Inventario!$L$2:$L$100, 0)), 0))</f>
      </c>
      <c r="J177">
        <f t="shared" si="2"/>
      </c>
    </row>
    <row r="178" spans="1:10">
      <c r="A178" s="3623">
        <f>IF(D178="","", "HT-" &amp; IFERROR(VLOOKUP(C178, Catalogos!$Z$4:$AA$20, 2, FALSE), "FOL") &amp; "-" &amp; IF(B178="","00", WEEKNUM(B178,2)) &amp; "-" &amp; TEXT(ROW(A175),"000"))</f>
      </c>
      <c r="B178" s="3622"/>
      <c r="C178" s="3624"/>
      <c r="D178" s="3625"/>
      <c r="E178" s="3626">
        <f>IF(D178="","", IFERROR(INDEX(Catalogos!$W$4:$W$100, MATCH(D178, Catalogos!$V$4:$V$100, 0)), ""))</f>
      </c>
      <c r="F178" s="3627">
        <f>IF(D178="","", IFERROR(INDEX(Catalogos!$Y$4:$Y$100, MATCH(D178, Catalogos!$V$4:$V$100, 0)), ""))</f>
      </c>
      <c r="G178" s="3628"/>
      <c r="H178" s="3629"/>
      <c r="I178">
        <f>IF(E178="","", G178 * IFERROR(INDEX(Maquinaria_Inventario!$K$2:$K$100, MATCH(E178, Maquinaria_Inventario!$L$2:$L$100, 0)), 0))</f>
      </c>
      <c r="J178">
        <f t="shared" si="2"/>
      </c>
    </row>
    <row r="179" spans="1:10">
      <c r="A179" s="3631">
        <f>IF(D179="","", "HT-" &amp; IFERROR(VLOOKUP(C179, Catalogos!$Z$4:$AA$20, 2, FALSE), "FOL") &amp; "-" &amp; IF(B179="","00", WEEKNUM(B179,2)) &amp; "-" &amp; TEXT(ROW(A176),"000"))</f>
      </c>
      <c r="B179" s="3630"/>
      <c r="C179" s="3632"/>
      <c r="D179" s="3633"/>
      <c r="E179" s="3634">
        <f>IF(D179="","", IFERROR(INDEX(Catalogos!$W$4:$W$100, MATCH(D179, Catalogos!$V$4:$V$100, 0)), ""))</f>
      </c>
      <c r="F179" s="3635">
        <f>IF(D179="","", IFERROR(INDEX(Catalogos!$Y$4:$Y$100, MATCH(D179, Catalogos!$V$4:$V$100, 0)), ""))</f>
      </c>
      <c r="G179" s="3636"/>
      <c r="H179" s="3637"/>
      <c r="I179">
        <f>IF(E179="","", G179 * IFERROR(INDEX(Maquinaria_Inventario!$K$2:$K$100, MATCH(E179, Maquinaria_Inventario!$L$2:$L$100, 0)), 0))</f>
      </c>
      <c r="J179">
        <f t="shared" si="2"/>
      </c>
    </row>
    <row r="180" spans="1:10">
      <c r="A180" s="3639">
        <f>IF(D180="","", "HT-" &amp; IFERROR(VLOOKUP(C180, Catalogos!$Z$4:$AA$20, 2, FALSE), "FOL") &amp; "-" &amp; IF(B180="","00", WEEKNUM(B180,2)) &amp; "-" &amp; TEXT(ROW(A177),"000"))</f>
      </c>
      <c r="B180" s="3638"/>
      <c r="C180" s="3640"/>
      <c r="D180" s="3641"/>
      <c r="E180" s="3642">
        <f>IF(D180="","", IFERROR(INDEX(Catalogos!$W$4:$W$100, MATCH(D180, Catalogos!$V$4:$V$100, 0)), ""))</f>
      </c>
      <c r="F180" s="3643">
        <f>IF(D180="","", IFERROR(INDEX(Catalogos!$Y$4:$Y$100, MATCH(D180, Catalogos!$V$4:$V$100, 0)), ""))</f>
      </c>
      <c r="G180" s="3644"/>
      <c r="H180" s="3645"/>
      <c r="I180">
        <f>IF(E180="","", G180 * IFERROR(INDEX(Maquinaria_Inventario!$K$2:$K$100, MATCH(E180, Maquinaria_Inventario!$L$2:$L$100, 0)), 0))</f>
      </c>
      <c r="J180">
        <f t="shared" si="2"/>
      </c>
    </row>
    <row r="181" spans="1:10">
      <c r="A181" s="3647">
        <f>IF(D181="","", "HT-" &amp; IFERROR(VLOOKUP(C181, Catalogos!$Z$4:$AA$20, 2, FALSE), "FOL") &amp; "-" &amp; IF(B181="","00", WEEKNUM(B181,2)) &amp; "-" &amp; TEXT(ROW(A178),"000"))</f>
      </c>
      <c r="B181" s="3646"/>
      <c r="C181" s="3648"/>
      <c r="D181" s="3649"/>
      <c r="E181" s="3650">
        <f>IF(D181="","", IFERROR(INDEX(Catalogos!$W$4:$W$100, MATCH(D181, Catalogos!$V$4:$V$100, 0)), ""))</f>
      </c>
      <c r="F181" s="3651">
        <f>IF(D181="","", IFERROR(INDEX(Catalogos!$Y$4:$Y$100, MATCH(D181, Catalogos!$V$4:$V$100, 0)), ""))</f>
      </c>
      <c r="G181" s="3652"/>
      <c r="H181" s="3653"/>
      <c r="I181">
        <f>IF(E181="","", G181 * IFERROR(INDEX(Maquinaria_Inventario!$K$2:$K$100, MATCH(E181, Maquinaria_Inventario!$L$2:$L$100, 0)), 0))</f>
      </c>
      <c r="J181">
        <f t="shared" si="2"/>
      </c>
    </row>
    <row r="182" spans="1:10">
      <c r="A182" s="3655">
        <f>IF(D182="","", "HT-" &amp; IFERROR(VLOOKUP(C182, Catalogos!$Z$4:$AA$20, 2, FALSE), "FOL") &amp; "-" &amp; IF(B182="","00", WEEKNUM(B182,2)) &amp; "-" &amp; TEXT(ROW(A179),"000"))</f>
      </c>
      <c r="B182" s="3654"/>
      <c r="C182" s="3656"/>
      <c r="D182" s="3657"/>
      <c r="E182" s="3658">
        <f>IF(D182="","", IFERROR(INDEX(Catalogos!$W$4:$W$100, MATCH(D182, Catalogos!$V$4:$V$100, 0)), ""))</f>
      </c>
      <c r="F182" s="3659">
        <f>IF(D182="","", IFERROR(INDEX(Catalogos!$Y$4:$Y$100, MATCH(D182, Catalogos!$V$4:$V$100, 0)), ""))</f>
      </c>
      <c r="G182" s="3660"/>
      <c r="H182" s="3661"/>
      <c r="I182">
        <f>IF(E182="","", G182 * IFERROR(INDEX(Maquinaria_Inventario!$K$2:$K$100, MATCH(E182, Maquinaria_Inventario!$L$2:$L$100, 0)), 0))</f>
      </c>
      <c r="J182">
        <f t="shared" si="2"/>
      </c>
    </row>
    <row r="183" spans="1:10">
      <c r="A183" s="3663">
        <f>IF(D183="","", "HT-" &amp; IFERROR(VLOOKUP(C183, Catalogos!$Z$4:$AA$20, 2, FALSE), "FOL") &amp; "-" &amp; IF(B183="","00", WEEKNUM(B183,2)) &amp; "-" &amp; TEXT(ROW(A180),"000"))</f>
      </c>
      <c r="B183" s="3662"/>
      <c r="C183" s="3664"/>
      <c r="D183" s="3665"/>
      <c r="E183" s="3666">
        <f>IF(D183="","", IFERROR(INDEX(Catalogos!$W$4:$W$100, MATCH(D183, Catalogos!$V$4:$V$100, 0)), ""))</f>
      </c>
      <c r="F183" s="3667">
        <f>IF(D183="","", IFERROR(INDEX(Catalogos!$Y$4:$Y$100, MATCH(D183, Catalogos!$V$4:$V$100, 0)), ""))</f>
      </c>
      <c r="G183" s="3668"/>
      <c r="H183" s="3669"/>
      <c r="I183">
        <f>IF(E183="","", G183 * IFERROR(INDEX(Maquinaria_Inventario!$K$2:$K$100, MATCH(E183, Maquinaria_Inventario!$L$2:$L$100, 0)), 0))</f>
      </c>
      <c r="J183">
        <f t="shared" si="2"/>
      </c>
    </row>
    <row r="184" spans="1:10">
      <c r="A184" s="3671">
        <f>IF(D184="","", "HT-" &amp; IFERROR(VLOOKUP(C184, Catalogos!$Z$4:$AA$20, 2, FALSE), "FOL") &amp; "-" &amp; IF(B184="","00", WEEKNUM(B184,2)) &amp; "-" &amp; TEXT(ROW(A181),"000"))</f>
      </c>
      <c r="B184" s="3670"/>
      <c r="C184" s="3672"/>
      <c r="D184" s="3673"/>
      <c r="E184" s="3674">
        <f>IF(D184="","", IFERROR(INDEX(Catalogos!$W$4:$W$100, MATCH(D184, Catalogos!$V$4:$V$100, 0)), ""))</f>
      </c>
      <c r="F184" s="3675">
        <f>IF(D184="","", IFERROR(INDEX(Catalogos!$Y$4:$Y$100, MATCH(D184, Catalogos!$V$4:$V$100, 0)), ""))</f>
      </c>
      <c r="G184" s="3676"/>
      <c r="H184" s="3677"/>
      <c r="I184">
        <f>IF(E184="","", G184 * IFERROR(INDEX(Maquinaria_Inventario!$K$2:$K$100, MATCH(E184, Maquinaria_Inventario!$L$2:$L$100, 0)), 0))</f>
      </c>
      <c r="J184">
        <f t="shared" si="2"/>
      </c>
    </row>
    <row r="185" spans="1:10">
      <c r="A185" s="3679">
        <f>IF(D185="","", "HT-" &amp; IFERROR(VLOOKUP(C185, Catalogos!$Z$4:$AA$20, 2, FALSE), "FOL") &amp; "-" &amp; IF(B185="","00", WEEKNUM(B185,2)) &amp; "-" &amp; TEXT(ROW(A182),"000"))</f>
      </c>
      <c r="B185" s="3678"/>
      <c r="C185" s="3680"/>
      <c r="D185" s="3681"/>
      <c r="E185" s="3682">
        <f>IF(D185="","", IFERROR(INDEX(Catalogos!$W$4:$W$100, MATCH(D185, Catalogos!$V$4:$V$100, 0)), ""))</f>
      </c>
      <c r="F185" s="3683">
        <f>IF(D185="","", IFERROR(INDEX(Catalogos!$Y$4:$Y$100, MATCH(D185, Catalogos!$V$4:$V$100, 0)), ""))</f>
      </c>
      <c r="G185" s="3684"/>
      <c r="H185" s="3685"/>
      <c r="I185">
        <f>IF(E185="","", G185 * IFERROR(INDEX(Maquinaria_Inventario!$K$2:$K$100, MATCH(E185, Maquinaria_Inventario!$L$2:$L$100, 0)), 0))</f>
      </c>
      <c r="J185">
        <f t="shared" si="2"/>
      </c>
    </row>
    <row r="186" spans="1:10">
      <c r="A186" s="3687">
        <f>IF(D186="","", "HT-" &amp; IFERROR(VLOOKUP(C186, Catalogos!$Z$4:$AA$20, 2, FALSE), "FOL") &amp; "-" &amp; IF(B186="","00", WEEKNUM(B186,2)) &amp; "-" &amp; TEXT(ROW(A183),"000"))</f>
      </c>
      <c r="B186" s="3686"/>
      <c r="C186" s="3688"/>
      <c r="D186" s="3689"/>
      <c r="E186" s="3690">
        <f>IF(D186="","", IFERROR(INDEX(Catalogos!$W$4:$W$100, MATCH(D186, Catalogos!$V$4:$V$100, 0)), ""))</f>
      </c>
      <c r="F186" s="3691">
        <f>IF(D186="","", IFERROR(INDEX(Catalogos!$Y$4:$Y$100, MATCH(D186, Catalogos!$V$4:$V$100, 0)), ""))</f>
      </c>
      <c r="G186" s="3692"/>
      <c r="H186" s="3693"/>
      <c r="I186">
        <f>IF(E186="","", G186 * IFERROR(INDEX(Maquinaria_Inventario!$K$2:$K$100, MATCH(E186, Maquinaria_Inventario!$L$2:$L$100, 0)), 0))</f>
      </c>
      <c r="J186">
        <f t="shared" si="2"/>
      </c>
    </row>
    <row r="187" spans="1:10">
      <c r="A187" s="3695">
        <f>IF(D187="","", "HT-" &amp; IFERROR(VLOOKUP(C187, Catalogos!$Z$4:$AA$20, 2, FALSE), "FOL") &amp; "-" &amp; IF(B187="","00", WEEKNUM(B187,2)) &amp; "-" &amp; TEXT(ROW(A184),"000"))</f>
      </c>
      <c r="B187" s="3694"/>
      <c r="C187" s="3696"/>
      <c r="D187" s="3697"/>
      <c r="E187" s="3698">
        <f>IF(D187="","", IFERROR(INDEX(Catalogos!$W$4:$W$100, MATCH(D187, Catalogos!$V$4:$V$100, 0)), ""))</f>
      </c>
      <c r="F187" s="3699">
        <f>IF(D187="","", IFERROR(INDEX(Catalogos!$Y$4:$Y$100, MATCH(D187, Catalogos!$V$4:$V$100, 0)), ""))</f>
      </c>
      <c r="G187" s="3700"/>
      <c r="H187" s="3701"/>
      <c r="I187">
        <f>IF(E187="","", G187 * IFERROR(INDEX(Maquinaria_Inventario!$K$2:$K$100, MATCH(E187, Maquinaria_Inventario!$L$2:$L$100, 0)), 0))</f>
      </c>
      <c r="J187">
        <f t="shared" si="2"/>
      </c>
    </row>
    <row r="188" spans="1:10">
      <c r="A188" s="3703">
        <f>IF(D188="","", "HT-" &amp; IFERROR(VLOOKUP(C188, Catalogos!$Z$4:$AA$20, 2, FALSE), "FOL") &amp; "-" &amp; IF(B188="","00", WEEKNUM(B188,2)) &amp; "-" &amp; TEXT(ROW(A185),"000"))</f>
      </c>
      <c r="B188" s="3702"/>
      <c r="C188" s="3704"/>
      <c r="D188" s="3705"/>
      <c r="E188" s="3706">
        <f>IF(D188="","", IFERROR(INDEX(Catalogos!$W$4:$W$100, MATCH(D188, Catalogos!$V$4:$V$100, 0)), ""))</f>
      </c>
      <c r="F188" s="3707">
        <f>IF(D188="","", IFERROR(INDEX(Catalogos!$Y$4:$Y$100, MATCH(D188, Catalogos!$V$4:$V$100, 0)), ""))</f>
      </c>
      <c r="G188" s="3708"/>
      <c r="H188" s="3709"/>
      <c r="I188">
        <f>IF(E188="","", G188 * IFERROR(INDEX(Maquinaria_Inventario!$K$2:$K$100, MATCH(E188, Maquinaria_Inventario!$L$2:$L$100, 0)), 0))</f>
      </c>
      <c r="J188">
        <f t="shared" si="2"/>
      </c>
    </row>
    <row r="189" spans="1:10">
      <c r="A189" s="3711">
        <f>IF(D189="","", "HT-" &amp; IFERROR(VLOOKUP(C189, Catalogos!$Z$4:$AA$20, 2, FALSE), "FOL") &amp; "-" &amp; IF(B189="","00", WEEKNUM(B189,2)) &amp; "-" &amp; TEXT(ROW(A186),"000"))</f>
      </c>
      <c r="B189" s="3710"/>
      <c r="C189" s="3712"/>
      <c r="D189" s="3713"/>
      <c r="E189" s="3714">
        <f>IF(D189="","", IFERROR(INDEX(Catalogos!$W$4:$W$100, MATCH(D189, Catalogos!$V$4:$V$100, 0)), ""))</f>
      </c>
      <c r="F189" s="3715">
        <f>IF(D189="","", IFERROR(INDEX(Catalogos!$Y$4:$Y$100, MATCH(D189, Catalogos!$V$4:$V$100, 0)), ""))</f>
      </c>
      <c r="G189" s="3716"/>
      <c r="H189" s="3717"/>
      <c r="I189">
        <f>IF(E189="","", G189 * IFERROR(INDEX(Maquinaria_Inventario!$K$2:$K$100, MATCH(E189, Maquinaria_Inventario!$L$2:$L$100, 0)), 0))</f>
      </c>
      <c r="J189">
        <f t="shared" si="2"/>
      </c>
    </row>
    <row r="190" spans="1:10">
      <c r="A190" s="3719">
        <f>IF(D190="","", "HT-" &amp; IFERROR(VLOOKUP(C190, Catalogos!$Z$4:$AA$20, 2, FALSE), "FOL") &amp; "-" &amp; IF(B190="","00", WEEKNUM(B190,2)) &amp; "-" &amp; TEXT(ROW(A187),"000"))</f>
      </c>
      <c r="B190" s="3718"/>
      <c r="C190" s="3720"/>
      <c r="D190" s="3721"/>
      <c r="E190" s="3722">
        <f>IF(D190="","", IFERROR(INDEX(Catalogos!$W$4:$W$100, MATCH(D190, Catalogos!$V$4:$V$100, 0)), ""))</f>
      </c>
      <c r="F190" s="3723">
        <f>IF(D190="","", IFERROR(INDEX(Catalogos!$Y$4:$Y$100, MATCH(D190, Catalogos!$V$4:$V$100, 0)), ""))</f>
      </c>
      <c r="G190" s="3724"/>
      <c r="H190" s="3725"/>
      <c r="I190">
        <f>IF(E190="","", G190 * IFERROR(INDEX(Maquinaria_Inventario!$K$2:$K$100, MATCH(E190, Maquinaria_Inventario!$L$2:$L$100, 0)), 0))</f>
      </c>
      <c r="J190">
        <f t="shared" si="2"/>
      </c>
    </row>
    <row r="191" spans="1:10">
      <c r="A191" s="3727">
        <f>IF(D191="","", "HT-" &amp; IFERROR(VLOOKUP(C191, Catalogos!$Z$4:$AA$20, 2, FALSE), "FOL") &amp; "-" &amp; IF(B191="","00", WEEKNUM(B191,2)) &amp; "-" &amp; TEXT(ROW(A188),"000"))</f>
      </c>
      <c r="B191" s="3726"/>
      <c r="C191" s="3728"/>
      <c r="D191" s="3729"/>
      <c r="E191" s="3730">
        <f>IF(D191="","", IFERROR(INDEX(Catalogos!$W$4:$W$100, MATCH(D191, Catalogos!$V$4:$V$100, 0)), ""))</f>
      </c>
      <c r="F191" s="3731">
        <f>IF(D191="","", IFERROR(INDEX(Catalogos!$Y$4:$Y$100, MATCH(D191, Catalogos!$V$4:$V$100, 0)), ""))</f>
      </c>
      <c r="G191" s="3732"/>
      <c r="H191" s="3733"/>
      <c r="I191">
        <f>IF(E191="","", G191 * IFERROR(INDEX(Maquinaria_Inventario!$K$2:$K$100, MATCH(E191, Maquinaria_Inventario!$L$2:$L$100, 0)), 0))</f>
      </c>
      <c r="J191">
        <f t="shared" si="2"/>
      </c>
    </row>
    <row r="192" spans="1:10">
      <c r="A192" s="3735">
        <f>IF(D192="","", "HT-" &amp; IFERROR(VLOOKUP(C192, Catalogos!$Z$4:$AA$20, 2, FALSE), "FOL") &amp; "-" &amp; IF(B192="","00", WEEKNUM(B192,2)) &amp; "-" &amp; TEXT(ROW(A189),"000"))</f>
      </c>
      <c r="B192" s="3734"/>
      <c r="C192" s="3736"/>
      <c r="D192" s="3737"/>
      <c r="E192" s="3738">
        <f>IF(D192="","", IFERROR(INDEX(Catalogos!$W$4:$W$100, MATCH(D192, Catalogos!$V$4:$V$100, 0)), ""))</f>
      </c>
      <c r="F192" s="3739">
        <f>IF(D192="","", IFERROR(INDEX(Catalogos!$Y$4:$Y$100, MATCH(D192, Catalogos!$V$4:$V$100, 0)), ""))</f>
      </c>
      <c r="G192" s="3740"/>
      <c r="H192" s="3741"/>
      <c r="I192">
        <f>IF(E192="","", G192 * IFERROR(INDEX(Maquinaria_Inventario!$K$2:$K$100, MATCH(E192, Maquinaria_Inventario!$L$2:$L$100, 0)), 0))</f>
      </c>
      <c r="J192">
        <f t="shared" si="2"/>
      </c>
    </row>
    <row r="193" spans="1:10">
      <c r="A193" s="3743">
        <f>IF(D193="","", "HT-" &amp; IFERROR(VLOOKUP(C193, Catalogos!$Z$4:$AA$20, 2, FALSE), "FOL") &amp; "-" &amp; IF(B193="","00", WEEKNUM(B193,2)) &amp; "-" &amp; TEXT(ROW(A190),"000"))</f>
      </c>
      <c r="B193" s="3742"/>
      <c r="C193" s="3744"/>
      <c r="D193" s="3745"/>
      <c r="E193" s="3746">
        <f>IF(D193="","", IFERROR(INDEX(Catalogos!$W$4:$W$100, MATCH(D193, Catalogos!$V$4:$V$100, 0)), ""))</f>
      </c>
      <c r="F193" s="3747">
        <f>IF(D193="","", IFERROR(INDEX(Catalogos!$Y$4:$Y$100, MATCH(D193, Catalogos!$V$4:$V$100, 0)), ""))</f>
      </c>
      <c r="G193" s="3748"/>
      <c r="H193" s="3749"/>
      <c r="I193">
        <f>IF(E193="","", G193 * IFERROR(INDEX(Maquinaria_Inventario!$K$2:$K$100, MATCH(E193, Maquinaria_Inventario!$L$2:$L$100, 0)), 0))</f>
      </c>
      <c r="J193">
        <f t="shared" si="2"/>
      </c>
    </row>
    <row r="194" spans="1:10">
      <c r="A194" s="3751">
        <f>IF(D194="","", "HT-" &amp; IFERROR(VLOOKUP(C194, Catalogos!$Z$4:$AA$20, 2, FALSE), "FOL") &amp; "-" &amp; IF(B194="","00", WEEKNUM(B194,2)) &amp; "-" &amp; TEXT(ROW(A191),"000"))</f>
      </c>
      <c r="B194" s="3750"/>
      <c r="C194" s="3752"/>
      <c r="D194" s="3753"/>
      <c r="E194" s="3754">
        <f>IF(D194="","", IFERROR(INDEX(Catalogos!$W$4:$W$100, MATCH(D194, Catalogos!$V$4:$V$100, 0)), ""))</f>
      </c>
      <c r="F194" s="3755">
        <f>IF(D194="","", IFERROR(INDEX(Catalogos!$Y$4:$Y$100, MATCH(D194, Catalogos!$V$4:$V$100, 0)), ""))</f>
      </c>
      <c r="G194" s="3756"/>
      <c r="H194" s="3757"/>
      <c r="I194">
        <f>IF(E194="","", G194 * IFERROR(INDEX(Maquinaria_Inventario!$K$2:$K$100, MATCH(E194, Maquinaria_Inventario!$L$2:$L$100, 0)), 0))</f>
      </c>
      <c r="J194">
        <f t="shared" si="2"/>
      </c>
    </row>
    <row r="195" spans="1:10">
      <c r="A195" s="3759">
        <f>IF(D195="","", "HT-" &amp; IFERROR(VLOOKUP(C195, Catalogos!$Z$4:$AA$20, 2, FALSE), "FOL") &amp; "-" &amp; IF(B195="","00", WEEKNUM(B195,2)) &amp; "-" &amp; TEXT(ROW(A192),"000"))</f>
      </c>
      <c r="B195" s="3758"/>
      <c r="C195" s="3760"/>
      <c r="D195" s="3761"/>
      <c r="E195" s="3762">
        <f>IF(D195="","", IFERROR(INDEX(Catalogos!$W$4:$W$100, MATCH(D195, Catalogos!$V$4:$V$100, 0)), ""))</f>
      </c>
      <c r="F195" s="3763">
        <f>IF(D195="","", IFERROR(INDEX(Catalogos!$Y$4:$Y$100, MATCH(D195, Catalogos!$V$4:$V$100, 0)), ""))</f>
      </c>
      <c r="G195" s="3764"/>
      <c r="H195" s="3765"/>
      <c r="I195">
        <f>IF(E195="","", G195 * IFERROR(INDEX(Maquinaria_Inventario!$K$2:$K$100, MATCH(E195, Maquinaria_Inventario!$L$2:$L$100, 0)), 0))</f>
      </c>
      <c r="J195">
        <f t="shared" si="2"/>
      </c>
    </row>
    <row r="196" spans="1:10">
      <c r="A196" s="3767">
        <f>IF(D196="","", "HT-" &amp; IFERROR(VLOOKUP(C196, Catalogos!$Z$4:$AA$20, 2, FALSE), "FOL") &amp; "-" &amp; IF(B196="","00", WEEKNUM(B196,2)) &amp; "-" &amp; TEXT(ROW(A193),"000"))</f>
      </c>
      <c r="B196" s="3766"/>
      <c r="C196" s="3768"/>
      <c r="D196" s="3769"/>
      <c r="E196" s="3770">
        <f>IF(D196="","", IFERROR(INDEX(Catalogos!$W$4:$W$100, MATCH(D196, Catalogos!$V$4:$V$100, 0)), ""))</f>
      </c>
      <c r="F196" s="3771">
        <f>IF(D196="","", IFERROR(INDEX(Catalogos!$Y$4:$Y$100, MATCH(D196, Catalogos!$V$4:$V$100, 0)), ""))</f>
      </c>
      <c r="G196" s="3772"/>
      <c r="H196" s="3773"/>
      <c r="I196">
        <f>IF(E196="","", G196 * IFERROR(INDEX(Maquinaria_Inventario!$K$2:$K$100, MATCH(E196, Maquinaria_Inventario!$L$2:$L$100, 0)), 0))</f>
      </c>
      <c r="J196">
        <f t="shared" ref="J196:J259" si="3">IF(B196="","", WEEKNUM(B196, 2))</f>
      </c>
    </row>
    <row r="197" spans="1:10">
      <c r="A197" s="3775">
        <f>IF(D197="","", "HT-" &amp; IFERROR(VLOOKUP(C197, Catalogos!$Z$4:$AA$20, 2, FALSE), "FOL") &amp; "-" &amp; IF(B197="","00", WEEKNUM(B197,2)) &amp; "-" &amp; TEXT(ROW(A194),"000"))</f>
      </c>
      <c r="B197" s="3774"/>
      <c r="C197" s="3776"/>
      <c r="D197" s="3777"/>
      <c r="E197" s="3778">
        <f>IF(D197="","", IFERROR(INDEX(Catalogos!$W$4:$W$100, MATCH(D197, Catalogos!$V$4:$V$100, 0)), ""))</f>
      </c>
      <c r="F197" s="3779">
        <f>IF(D197="","", IFERROR(INDEX(Catalogos!$Y$4:$Y$100, MATCH(D197, Catalogos!$V$4:$V$100, 0)), ""))</f>
      </c>
      <c r="G197" s="3780"/>
      <c r="H197" s="3781"/>
      <c r="I197">
        <f>IF(E197="","", G197 * IFERROR(INDEX(Maquinaria_Inventario!$K$2:$K$100, MATCH(E197, Maquinaria_Inventario!$L$2:$L$100, 0)), 0))</f>
      </c>
      <c r="J197">
        <f t="shared" si="3"/>
      </c>
    </row>
    <row r="198" spans="1:10">
      <c r="A198" s="3783">
        <f>IF(D198="","", "HT-" &amp; IFERROR(VLOOKUP(C198, Catalogos!$Z$4:$AA$20, 2, FALSE), "FOL") &amp; "-" &amp; IF(B198="","00", WEEKNUM(B198,2)) &amp; "-" &amp; TEXT(ROW(A195),"000"))</f>
      </c>
      <c r="B198" s="3782"/>
      <c r="C198" s="3784"/>
      <c r="D198" s="3785"/>
      <c r="E198" s="3786">
        <f>IF(D198="","", IFERROR(INDEX(Catalogos!$W$4:$W$100, MATCH(D198, Catalogos!$V$4:$V$100, 0)), ""))</f>
      </c>
      <c r="F198" s="3787">
        <f>IF(D198="","", IFERROR(INDEX(Catalogos!$Y$4:$Y$100, MATCH(D198, Catalogos!$V$4:$V$100, 0)), ""))</f>
      </c>
      <c r="G198" s="3788"/>
      <c r="H198" s="3789"/>
      <c r="I198">
        <f>IF(E198="","", G198 * IFERROR(INDEX(Maquinaria_Inventario!$K$2:$K$100, MATCH(E198, Maquinaria_Inventario!$L$2:$L$100, 0)), 0))</f>
      </c>
      <c r="J198">
        <f t="shared" si="3"/>
      </c>
    </row>
    <row r="199" spans="1:10">
      <c r="A199" s="3791">
        <f>IF(D199="","", "HT-" &amp; IFERROR(VLOOKUP(C199, Catalogos!$Z$4:$AA$20, 2, FALSE), "FOL") &amp; "-" &amp; IF(B199="","00", WEEKNUM(B199,2)) &amp; "-" &amp; TEXT(ROW(A196),"000"))</f>
      </c>
      <c r="B199" s="3790"/>
      <c r="C199" s="3792"/>
      <c r="D199" s="3793"/>
      <c r="E199" s="3794">
        <f>IF(D199="","", IFERROR(INDEX(Catalogos!$W$4:$W$100, MATCH(D199, Catalogos!$V$4:$V$100, 0)), ""))</f>
      </c>
      <c r="F199" s="3795">
        <f>IF(D199="","", IFERROR(INDEX(Catalogos!$Y$4:$Y$100, MATCH(D199, Catalogos!$V$4:$V$100, 0)), ""))</f>
      </c>
      <c r="G199" s="3796"/>
      <c r="H199" s="3797"/>
      <c r="I199">
        <f>IF(E199="","", G199 * IFERROR(INDEX(Maquinaria_Inventario!$K$2:$K$100, MATCH(E199, Maquinaria_Inventario!$L$2:$L$100, 0)), 0))</f>
      </c>
      <c r="J199">
        <f t="shared" si="3"/>
      </c>
    </row>
    <row r="200" spans="1:10">
      <c r="A200" s="3799">
        <f>IF(D200="","", "HT-" &amp; IFERROR(VLOOKUP(C200, Catalogos!$Z$4:$AA$20, 2, FALSE), "FOL") &amp; "-" &amp; IF(B200="","00", WEEKNUM(B200,2)) &amp; "-" &amp; TEXT(ROW(A197),"000"))</f>
      </c>
      <c r="B200" s="3798"/>
      <c r="C200" s="3800"/>
      <c r="D200" s="3801"/>
      <c r="E200" s="3802">
        <f>IF(D200="","", IFERROR(INDEX(Catalogos!$W$4:$W$100, MATCH(D200, Catalogos!$V$4:$V$100, 0)), ""))</f>
      </c>
      <c r="F200" s="3803">
        <f>IF(D200="","", IFERROR(INDEX(Catalogos!$Y$4:$Y$100, MATCH(D200, Catalogos!$V$4:$V$100, 0)), ""))</f>
      </c>
      <c r="G200" s="3804"/>
      <c r="H200" s="3805"/>
      <c r="I200">
        <f>IF(E200="","", G200 * IFERROR(INDEX(Maquinaria_Inventario!$K$2:$K$100, MATCH(E200, Maquinaria_Inventario!$L$2:$L$100, 0)), 0))</f>
      </c>
      <c r="J200">
        <f t="shared" si="3"/>
      </c>
    </row>
    <row r="201" spans="1:10">
      <c r="J201">
        <f t="shared" si="3"/>
      </c>
    </row>
    <row r="202" spans="1:10">
      <c r="J202">
        <f t="shared" si="3"/>
      </c>
    </row>
    <row r="203" spans="1:10">
      <c r="J203">
        <f t="shared" si="3"/>
      </c>
    </row>
    <row r="204" spans="1:10">
      <c r="J204">
        <f t="shared" si="3"/>
      </c>
    </row>
    <row r="205" spans="1:10">
      <c r="J205">
        <f t="shared" si="3"/>
      </c>
    </row>
    <row r="206" spans="1:10">
      <c r="J206">
        <f t="shared" si="3"/>
      </c>
    </row>
    <row r="207" spans="1:10">
      <c r="J207">
        <f t="shared" si="3"/>
      </c>
    </row>
    <row r="208" spans="1:10">
      <c r="J208">
        <f t="shared" si="3"/>
      </c>
    </row>
    <row r="209" spans="10:10">
      <c r="J209">
        <f t="shared" si="3"/>
      </c>
    </row>
    <row r="210" spans="10:10">
      <c r="J210">
        <f t="shared" si="3"/>
      </c>
    </row>
    <row r="211" spans="10:10">
      <c r="J211">
        <f t="shared" si="3"/>
      </c>
    </row>
    <row r="212" spans="10:10">
      <c r="J212">
        <f t="shared" si="3"/>
      </c>
    </row>
    <row r="213" spans="10:10">
      <c r="J213">
        <f t="shared" si="3"/>
      </c>
    </row>
    <row r="214" spans="10:10">
      <c r="J214">
        <f t="shared" si="3"/>
      </c>
    </row>
    <row r="215" spans="10:10">
      <c r="J215">
        <f t="shared" si="3"/>
      </c>
    </row>
    <row r="216" spans="10:10">
      <c r="J216">
        <f t="shared" si="3"/>
      </c>
    </row>
    <row r="217" spans="10:10">
      <c r="J217">
        <f t="shared" si="3"/>
      </c>
    </row>
    <row r="218" spans="10:10">
      <c r="J218">
        <f t="shared" si="3"/>
      </c>
    </row>
    <row r="219" spans="10:10">
      <c r="J219">
        <f t="shared" si="3"/>
      </c>
    </row>
    <row r="220" spans="10:10">
      <c r="J220">
        <f t="shared" si="3"/>
      </c>
    </row>
    <row r="221" spans="10:10">
      <c r="J221">
        <f t="shared" si="3"/>
      </c>
    </row>
    <row r="222" spans="10:10">
      <c r="J222">
        <f t="shared" si="3"/>
      </c>
    </row>
    <row r="223" spans="10:10">
      <c r="J223">
        <f t="shared" si="3"/>
      </c>
    </row>
    <row r="224" spans="10:10">
      <c r="J224">
        <f t="shared" si="3"/>
      </c>
    </row>
    <row r="225" spans="10:10">
      <c r="J225">
        <f t="shared" si="3"/>
      </c>
    </row>
    <row r="226" spans="10:10">
      <c r="J226">
        <f t="shared" si="3"/>
      </c>
    </row>
    <row r="227" spans="10:10">
      <c r="J227">
        <f t="shared" si="3"/>
      </c>
    </row>
    <row r="228" spans="10:10">
      <c r="J228">
        <f t="shared" si="3"/>
      </c>
    </row>
    <row r="229" spans="10:10">
      <c r="J229">
        <f t="shared" si="3"/>
      </c>
    </row>
    <row r="230" spans="10:10">
      <c r="J230">
        <f t="shared" si="3"/>
      </c>
    </row>
    <row r="231" spans="10:10">
      <c r="J231">
        <f t="shared" si="3"/>
      </c>
    </row>
    <row r="232" spans="10:10">
      <c r="J232">
        <f t="shared" si="3"/>
      </c>
    </row>
    <row r="233" spans="10:10">
      <c r="J233">
        <f t="shared" si="3"/>
      </c>
    </row>
    <row r="234" spans="10:10">
      <c r="J234">
        <f t="shared" si="3"/>
      </c>
    </row>
    <row r="235" spans="10:10">
      <c r="J235">
        <f t="shared" si="3"/>
      </c>
    </row>
    <row r="236" spans="10:10">
      <c r="J236">
        <f t="shared" si="3"/>
      </c>
    </row>
    <row r="237" spans="10:10">
      <c r="J237">
        <f t="shared" si="3"/>
      </c>
    </row>
    <row r="238" spans="10:10">
      <c r="J238">
        <f t="shared" si="3"/>
      </c>
    </row>
    <row r="239" spans="10:10">
      <c r="J239">
        <f t="shared" si="3"/>
      </c>
    </row>
    <row r="240" spans="10:10">
      <c r="J240">
        <f t="shared" si="3"/>
      </c>
    </row>
    <row r="241" spans="10:10">
      <c r="J241">
        <f t="shared" si="3"/>
      </c>
    </row>
    <row r="242" spans="10:10">
      <c r="J242">
        <f t="shared" si="3"/>
      </c>
    </row>
    <row r="243" spans="10:10">
      <c r="J243">
        <f t="shared" si="3"/>
      </c>
    </row>
    <row r="244" spans="10:10">
      <c r="J244">
        <f t="shared" si="3"/>
      </c>
    </row>
    <row r="245" spans="10:10">
      <c r="J245">
        <f t="shared" si="3"/>
      </c>
    </row>
    <row r="246" spans="10:10">
      <c r="J246">
        <f t="shared" si="3"/>
      </c>
    </row>
    <row r="247" spans="10:10">
      <c r="J247">
        <f t="shared" si="3"/>
      </c>
    </row>
    <row r="248" spans="10:10">
      <c r="J248">
        <f t="shared" si="3"/>
      </c>
    </row>
    <row r="249" spans="10:10">
      <c r="J249">
        <f t="shared" si="3"/>
      </c>
    </row>
    <row r="250" spans="10:10">
      <c r="J250">
        <f t="shared" si="3"/>
      </c>
    </row>
    <row r="251" spans="10:10">
      <c r="J251">
        <f t="shared" si="3"/>
      </c>
    </row>
    <row r="252" spans="10:10">
      <c r="J252">
        <f t="shared" si="3"/>
      </c>
    </row>
    <row r="253" spans="10:10">
      <c r="J253">
        <f t="shared" si="3"/>
      </c>
    </row>
    <row r="254" spans="10:10">
      <c r="J254">
        <f t="shared" si="3"/>
      </c>
    </row>
    <row r="255" spans="10:10">
      <c r="J255">
        <f t="shared" si="3"/>
      </c>
    </row>
    <row r="256" spans="10:10">
      <c r="J256">
        <f t="shared" si="3"/>
      </c>
    </row>
    <row r="257" spans="10:10">
      <c r="J257">
        <f t="shared" si="3"/>
      </c>
    </row>
    <row r="258" spans="10:10">
      <c r="J258">
        <f t="shared" si="3"/>
      </c>
    </row>
    <row r="259" spans="10:10">
      <c r="J259">
        <f t="shared" si="3"/>
      </c>
    </row>
    <row r="260" spans="10:10">
      <c r="J260">
        <f t="shared" ref="J260:J323" si="4">IF(B260="","", WEEKNUM(B260, 2))</f>
      </c>
    </row>
    <row r="261" spans="10:10">
      <c r="J261">
        <f t="shared" si="4"/>
      </c>
    </row>
    <row r="262" spans="10:10">
      <c r="J262">
        <f t="shared" si="4"/>
      </c>
    </row>
    <row r="263" spans="10:10">
      <c r="J263">
        <f t="shared" si="4"/>
      </c>
    </row>
    <row r="264" spans="10:10">
      <c r="J264">
        <f t="shared" si="4"/>
      </c>
    </row>
    <row r="265" spans="10:10">
      <c r="J265">
        <f t="shared" si="4"/>
      </c>
    </row>
    <row r="266" spans="10:10">
      <c r="J266">
        <f t="shared" si="4"/>
      </c>
    </row>
    <row r="267" spans="10:10">
      <c r="J267">
        <f t="shared" si="4"/>
      </c>
    </row>
    <row r="268" spans="10:10">
      <c r="J268">
        <f t="shared" si="4"/>
      </c>
    </row>
    <row r="269" spans="10:10">
      <c r="J269">
        <f t="shared" si="4"/>
      </c>
    </row>
    <row r="270" spans="10:10">
      <c r="J270">
        <f t="shared" si="4"/>
      </c>
    </row>
    <row r="271" spans="10:10">
      <c r="J271">
        <f t="shared" si="4"/>
      </c>
    </row>
    <row r="272" spans="10:10">
      <c r="J272">
        <f t="shared" si="4"/>
      </c>
    </row>
    <row r="273" spans="10:10">
      <c r="J273">
        <f t="shared" si="4"/>
      </c>
    </row>
    <row r="274" spans="10:10">
      <c r="J274">
        <f t="shared" si="4"/>
      </c>
    </row>
    <row r="275" spans="10:10">
      <c r="J275">
        <f t="shared" si="4"/>
      </c>
    </row>
    <row r="276" spans="10:10">
      <c r="J276">
        <f t="shared" si="4"/>
      </c>
    </row>
    <row r="277" spans="10:10">
      <c r="J277">
        <f t="shared" si="4"/>
      </c>
    </row>
    <row r="278" spans="10:10">
      <c r="J278">
        <f t="shared" si="4"/>
      </c>
    </row>
    <row r="279" spans="10:10">
      <c r="J279">
        <f t="shared" si="4"/>
      </c>
    </row>
    <row r="280" spans="10:10">
      <c r="J280">
        <f t="shared" si="4"/>
      </c>
    </row>
    <row r="281" spans="10:10">
      <c r="J281">
        <f t="shared" si="4"/>
      </c>
    </row>
    <row r="282" spans="10:10">
      <c r="J282">
        <f t="shared" si="4"/>
      </c>
    </row>
    <row r="283" spans="10:10">
      <c r="J283">
        <f t="shared" si="4"/>
      </c>
    </row>
    <row r="284" spans="10:10">
      <c r="J284">
        <f t="shared" si="4"/>
      </c>
    </row>
    <row r="285" spans="10:10">
      <c r="J285">
        <f t="shared" si="4"/>
      </c>
    </row>
    <row r="286" spans="10:10">
      <c r="J286">
        <f t="shared" si="4"/>
      </c>
    </row>
    <row r="287" spans="10:10">
      <c r="J287">
        <f t="shared" si="4"/>
      </c>
    </row>
    <row r="288" spans="10:10">
      <c r="J288">
        <f t="shared" si="4"/>
      </c>
    </row>
    <row r="289" spans="10:10">
      <c r="J289">
        <f t="shared" si="4"/>
      </c>
    </row>
    <row r="290" spans="10:10">
      <c r="J290">
        <f t="shared" si="4"/>
      </c>
    </row>
    <row r="291" spans="10:10">
      <c r="J291">
        <f t="shared" si="4"/>
      </c>
    </row>
    <row r="292" spans="10:10">
      <c r="J292">
        <f t="shared" si="4"/>
      </c>
    </row>
    <row r="293" spans="10:10">
      <c r="J293">
        <f t="shared" si="4"/>
      </c>
    </row>
    <row r="294" spans="10:10">
      <c r="J294">
        <f t="shared" si="4"/>
      </c>
    </row>
    <row r="295" spans="10:10">
      <c r="J295">
        <f t="shared" si="4"/>
      </c>
    </row>
    <row r="296" spans="10:10">
      <c r="J296">
        <f t="shared" si="4"/>
      </c>
    </row>
    <row r="297" spans="10:10">
      <c r="J297">
        <f t="shared" si="4"/>
      </c>
    </row>
    <row r="298" spans="10:10">
      <c r="J298">
        <f t="shared" si="4"/>
      </c>
    </row>
    <row r="299" spans="10:10">
      <c r="J299">
        <f t="shared" si="4"/>
      </c>
    </row>
    <row r="300" spans="10:10">
      <c r="J300">
        <f t="shared" si="4"/>
      </c>
    </row>
    <row r="301" spans="10:10">
      <c r="J301">
        <f t="shared" si="4"/>
      </c>
    </row>
    <row r="302" spans="10:10">
      <c r="J302">
        <f t="shared" si="4"/>
      </c>
    </row>
    <row r="303" spans="10:10">
      <c r="J303">
        <f t="shared" si="4"/>
      </c>
    </row>
    <row r="304" spans="10:10">
      <c r="J304">
        <f t="shared" si="4"/>
      </c>
    </row>
    <row r="305" spans="10:10">
      <c r="J305">
        <f t="shared" si="4"/>
      </c>
    </row>
    <row r="306" spans="10:10">
      <c r="J306">
        <f t="shared" si="4"/>
      </c>
    </row>
    <row r="307" spans="10:10">
      <c r="J307">
        <f t="shared" si="4"/>
      </c>
    </row>
    <row r="308" spans="10:10">
      <c r="J308">
        <f t="shared" si="4"/>
      </c>
    </row>
    <row r="309" spans="10:10">
      <c r="J309">
        <f t="shared" si="4"/>
      </c>
    </row>
    <row r="310" spans="10:10">
      <c r="J310">
        <f t="shared" si="4"/>
      </c>
    </row>
    <row r="311" spans="10:10">
      <c r="J311">
        <f t="shared" si="4"/>
      </c>
    </row>
    <row r="312" spans="10:10">
      <c r="J312">
        <f t="shared" si="4"/>
      </c>
    </row>
    <row r="313" spans="10:10">
      <c r="J313">
        <f t="shared" si="4"/>
      </c>
    </row>
    <row r="314" spans="10:10">
      <c r="J314">
        <f t="shared" si="4"/>
      </c>
    </row>
    <row r="315" spans="10:10">
      <c r="J315">
        <f t="shared" si="4"/>
      </c>
    </row>
    <row r="316" spans="10:10">
      <c r="J316">
        <f t="shared" si="4"/>
      </c>
    </row>
    <row r="317" spans="10:10">
      <c r="J317">
        <f t="shared" si="4"/>
      </c>
    </row>
    <row r="318" spans="10:10">
      <c r="J318">
        <f t="shared" si="4"/>
      </c>
    </row>
    <row r="319" spans="10:10">
      <c r="J319">
        <f t="shared" si="4"/>
      </c>
    </row>
    <row r="320" spans="10:10">
      <c r="J320">
        <f t="shared" si="4"/>
      </c>
    </row>
    <row r="321" spans="10:10">
      <c r="J321">
        <f t="shared" si="4"/>
      </c>
    </row>
    <row r="322" spans="10:10">
      <c r="J322">
        <f t="shared" si="4"/>
      </c>
    </row>
    <row r="323" spans="10:10">
      <c r="J323">
        <f t="shared" si="4"/>
      </c>
    </row>
    <row r="324" spans="10:10">
      <c r="J324">
        <f t="shared" ref="J324:J387" si="5">IF(B324="","", WEEKNUM(B324, 2))</f>
      </c>
    </row>
    <row r="325" spans="10:10">
      <c r="J325">
        <f t="shared" si="5"/>
      </c>
    </row>
    <row r="326" spans="10:10">
      <c r="J326">
        <f t="shared" si="5"/>
      </c>
    </row>
    <row r="327" spans="10:10">
      <c r="J327">
        <f t="shared" si="5"/>
      </c>
    </row>
    <row r="328" spans="10:10">
      <c r="J328">
        <f t="shared" si="5"/>
      </c>
    </row>
    <row r="329" spans="10:10">
      <c r="J329">
        <f t="shared" si="5"/>
      </c>
    </row>
    <row r="330" spans="10:10">
      <c r="J330">
        <f t="shared" si="5"/>
      </c>
    </row>
    <row r="331" spans="10:10">
      <c r="J331">
        <f t="shared" si="5"/>
      </c>
    </row>
    <row r="332" spans="10:10">
      <c r="J332">
        <f t="shared" si="5"/>
      </c>
    </row>
    <row r="333" spans="10:10">
      <c r="J333">
        <f t="shared" si="5"/>
      </c>
    </row>
    <row r="334" spans="10:10">
      <c r="J334">
        <f t="shared" si="5"/>
      </c>
    </row>
    <row r="335" spans="10:10">
      <c r="J335">
        <f t="shared" si="5"/>
      </c>
    </row>
    <row r="336" spans="10:10">
      <c r="J336">
        <f t="shared" si="5"/>
      </c>
    </row>
    <row r="337" spans="10:10">
      <c r="J337">
        <f t="shared" si="5"/>
      </c>
    </row>
    <row r="338" spans="10:10">
      <c r="J338">
        <f t="shared" si="5"/>
      </c>
    </row>
    <row r="339" spans="10:10">
      <c r="J339">
        <f t="shared" si="5"/>
      </c>
    </row>
    <row r="340" spans="10:10">
      <c r="J340">
        <f t="shared" si="5"/>
      </c>
    </row>
    <row r="341" spans="10:10">
      <c r="J341">
        <f t="shared" si="5"/>
      </c>
    </row>
    <row r="342" spans="10:10">
      <c r="J342">
        <f t="shared" si="5"/>
      </c>
    </row>
    <row r="343" spans="10:10">
      <c r="J343">
        <f t="shared" si="5"/>
      </c>
    </row>
    <row r="344" spans="10:10">
      <c r="J344">
        <f t="shared" si="5"/>
      </c>
    </row>
    <row r="345" spans="10:10">
      <c r="J345">
        <f t="shared" si="5"/>
      </c>
    </row>
    <row r="346" spans="10:10">
      <c r="J346">
        <f t="shared" si="5"/>
      </c>
    </row>
    <row r="347" spans="10:10">
      <c r="J347">
        <f t="shared" si="5"/>
      </c>
    </row>
    <row r="348" spans="10:10">
      <c r="J348">
        <f t="shared" si="5"/>
      </c>
    </row>
    <row r="349" spans="10:10">
      <c r="J349">
        <f t="shared" si="5"/>
      </c>
    </row>
    <row r="350" spans="10:10">
      <c r="J350">
        <f t="shared" si="5"/>
      </c>
    </row>
    <row r="351" spans="10:10">
      <c r="J351">
        <f t="shared" si="5"/>
      </c>
    </row>
    <row r="352" spans="10:10">
      <c r="J352">
        <f t="shared" si="5"/>
      </c>
    </row>
    <row r="353" spans="10:10">
      <c r="J353">
        <f t="shared" si="5"/>
      </c>
    </row>
    <row r="354" spans="10:10">
      <c r="J354">
        <f t="shared" si="5"/>
      </c>
    </row>
    <row r="355" spans="10:10">
      <c r="J355">
        <f t="shared" si="5"/>
      </c>
    </row>
    <row r="356" spans="10:10">
      <c r="J356">
        <f t="shared" si="5"/>
      </c>
    </row>
    <row r="357" spans="10:10">
      <c r="J357">
        <f t="shared" si="5"/>
      </c>
    </row>
    <row r="358" spans="10:10">
      <c r="J358">
        <f t="shared" si="5"/>
      </c>
    </row>
    <row r="359" spans="10:10">
      <c r="J359">
        <f t="shared" si="5"/>
      </c>
    </row>
    <row r="360" spans="10:10">
      <c r="J360">
        <f t="shared" si="5"/>
      </c>
    </row>
    <row r="361" spans="10:10">
      <c r="J361">
        <f t="shared" si="5"/>
      </c>
    </row>
    <row r="362" spans="10:10">
      <c r="J362">
        <f t="shared" si="5"/>
      </c>
    </row>
    <row r="363" spans="10:10">
      <c r="J363">
        <f t="shared" si="5"/>
      </c>
    </row>
    <row r="364" spans="10:10">
      <c r="J364">
        <f t="shared" si="5"/>
      </c>
    </row>
    <row r="365" spans="10:10">
      <c r="J365">
        <f t="shared" si="5"/>
      </c>
    </row>
    <row r="366" spans="10:10">
      <c r="J366">
        <f t="shared" si="5"/>
      </c>
    </row>
    <row r="367" spans="10:10">
      <c r="J367">
        <f t="shared" si="5"/>
      </c>
    </row>
    <row r="368" spans="10:10">
      <c r="J368">
        <f t="shared" si="5"/>
      </c>
    </row>
    <row r="369" spans="10:10">
      <c r="J369">
        <f t="shared" si="5"/>
      </c>
    </row>
    <row r="370" spans="10:10">
      <c r="J370">
        <f t="shared" si="5"/>
      </c>
    </row>
    <row r="371" spans="10:10">
      <c r="J371">
        <f t="shared" si="5"/>
      </c>
    </row>
    <row r="372" spans="10:10">
      <c r="J372">
        <f t="shared" si="5"/>
      </c>
    </row>
    <row r="373" spans="10:10">
      <c r="J373">
        <f t="shared" si="5"/>
      </c>
    </row>
    <row r="374" spans="10:10">
      <c r="J374">
        <f t="shared" si="5"/>
      </c>
    </row>
    <row r="375" spans="10:10">
      <c r="J375">
        <f t="shared" si="5"/>
      </c>
    </row>
    <row r="376" spans="10:10">
      <c r="J376">
        <f t="shared" si="5"/>
      </c>
    </row>
    <row r="377" spans="10:10">
      <c r="J377">
        <f t="shared" si="5"/>
      </c>
    </row>
    <row r="378" spans="10:10">
      <c r="J378">
        <f t="shared" si="5"/>
      </c>
    </row>
    <row r="379" spans="10:10">
      <c r="J379">
        <f t="shared" si="5"/>
      </c>
    </row>
    <row r="380" spans="10:10">
      <c r="J380">
        <f t="shared" si="5"/>
      </c>
    </row>
    <row r="381" spans="10:10">
      <c r="J381">
        <f t="shared" si="5"/>
      </c>
    </row>
    <row r="382" spans="10:10">
      <c r="J382">
        <f t="shared" si="5"/>
      </c>
    </row>
    <row r="383" spans="10:10">
      <c r="J383">
        <f t="shared" si="5"/>
      </c>
    </row>
    <row r="384" spans="10:10">
      <c r="J384">
        <f t="shared" si="5"/>
      </c>
    </row>
    <row r="385" spans="10:10">
      <c r="J385">
        <f t="shared" si="5"/>
      </c>
    </row>
    <row r="386" spans="10:10">
      <c r="J386">
        <f t="shared" si="5"/>
      </c>
    </row>
    <row r="387" spans="10:10">
      <c r="J387">
        <f t="shared" si="5"/>
      </c>
    </row>
    <row r="388" spans="10:10">
      <c r="J388">
        <f t="shared" ref="J388:J451" si="6">IF(B388="","", WEEKNUM(B388, 2))</f>
      </c>
    </row>
    <row r="389" spans="10:10">
      <c r="J389">
        <f t="shared" si="6"/>
      </c>
    </row>
    <row r="390" spans="10:10">
      <c r="J390">
        <f t="shared" si="6"/>
      </c>
    </row>
    <row r="391" spans="10:10">
      <c r="J391">
        <f t="shared" si="6"/>
      </c>
    </row>
    <row r="392" spans="10:10">
      <c r="J392">
        <f t="shared" si="6"/>
      </c>
    </row>
    <row r="393" spans="10:10">
      <c r="J393">
        <f t="shared" si="6"/>
      </c>
    </row>
    <row r="394" spans="10:10">
      <c r="J394">
        <f t="shared" si="6"/>
      </c>
    </row>
    <row r="395" spans="10:10">
      <c r="J395">
        <f t="shared" si="6"/>
      </c>
    </row>
    <row r="396" spans="10:10">
      <c r="J396">
        <f t="shared" si="6"/>
      </c>
    </row>
    <row r="397" spans="10:10">
      <c r="J397">
        <f t="shared" si="6"/>
      </c>
    </row>
    <row r="398" spans="10:10">
      <c r="J398">
        <f t="shared" si="6"/>
      </c>
    </row>
    <row r="399" spans="10:10">
      <c r="J399">
        <f t="shared" si="6"/>
      </c>
    </row>
    <row r="400" spans="10:10">
      <c r="J400">
        <f t="shared" si="6"/>
      </c>
    </row>
    <row r="401" spans="10:10">
      <c r="J401">
        <f t="shared" si="6"/>
      </c>
    </row>
    <row r="402" spans="10:10">
      <c r="J402">
        <f t="shared" si="6"/>
      </c>
    </row>
    <row r="403" spans="10:10">
      <c r="J403">
        <f t="shared" si="6"/>
      </c>
    </row>
    <row r="404" spans="10:10">
      <c r="J404">
        <f t="shared" si="6"/>
      </c>
    </row>
    <row r="405" spans="10:10">
      <c r="J405">
        <f t="shared" si="6"/>
      </c>
    </row>
    <row r="406" spans="10:10">
      <c r="J406">
        <f t="shared" si="6"/>
      </c>
    </row>
    <row r="407" spans="10:10">
      <c r="J407">
        <f t="shared" si="6"/>
      </c>
    </row>
    <row r="408" spans="10:10">
      <c r="J408">
        <f t="shared" si="6"/>
      </c>
    </row>
    <row r="409" spans="10:10">
      <c r="J409">
        <f t="shared" si="6"/>
      </c>
    </row>
    <row r="410" spans="10:10">
      <c r="J410">
        <f t="shared" si="6"/>
      </c>
    </row>
    <row r="411" spans="10:10">
      <c r="J411">
        <f t="shared" si="6"/>
      </c>
    </row>
    <row r="412" spans="10:10">
      <c r="J412">
        <f t="shared" si="6"/>
      </c>
    </row>
    <row r="413" spans="10:10">
      <c r="J413">
        <f t="shared" si="6"/>
      </c>
    </row>
    <row r="414" spans="10:10">
      <c r="J414">
        <f t="shared" si="6"/>
      </c>
    </row>
    <row r="415" spans="10:10">
      <c r="J415">
        <f t="shared" si="6"/>
      </c>
    </row>
    <row r="416" spans="10:10">
      <c r="J416">
        <f t="shared" si="6"/>
      </c>
    </row>
    <row r="417" spans="10:10">
      <c r="J417">
        <f t="shared" si="6"/>
      </c>
    </row>
    <row r="418" spans="10:10">
      <c r="J418">
        <f t="shared" si="6"/>
      </c>
    </row>
    <row r="419" spans="10:10">
      <c r="J419">
        <f t="shared" si="6"/>
      </c>
    </row>
    <row r="420" spans="10:10">
      <c r="J420">
        <f t="shared" si="6"/>
      </c>
    </row>
    <row r="421" spans="10:10">
      <c r="J421">
        <f t="shared" si="6"/>
      </c>
    </row>
    <row r="422" spans="10:10">
      <c r="J422">
        <f t="shared" si="6"/>
      </c>
    </row>
    <row r="423" spans="10:10">
      <c r="J423">
        <f t="shared" si="6"/>
      </c>
    </row>
    <row r="424" spans="10:10">
      <c r="J424">
        <f t="shared" si="6"/>
      </c>
    </row>
    <row r="425" spans="10:10">
      <c r="J425">
        <f t="shared" si="6"/>
      </c>
    </row>
    <row r="426" spans="10:10">
      <c r="J426">
        <f t="shared" si="6"/>
      </c>
    </row>
    <row r="427" spans="10:10">
      <c r="J427">
        <f t="shared" si="6"/>
      </c>
    </row>
    <row r="428" spans="10:10">
      <c r="J428">
        <f t="shared" si="6"/>
      </c>
    </row>
    <row r="429" spans="10:10">
      <c r="J429">
        <f t="shared" si="6"/>
      </c>
    </row>
    <row r="430" spans="10:10">
      <c r="J430">
        <f t="shared" si="6"/>
      </c>
    </row>
    <row r="431" spans="10:10">
      <c r="J431">
        <f t="shared" si="6"/>
      </c>
    </row>
    <row r="432" spans="10:10">
      <c r="J432">
        <f t="shared" si="6"/>
      </c>
    </row>
    <row r="433" spans="10:10">
      <c r="J433">
        <f t="shared" si="6"/>
      </c>
    </row>
    <row r="434" spans="10:10">
      <c r="J434">
        <f t="shared" si="6"/>
      </c>
    </row>
    <row r="435" spans="10:10">
      <c r="J435">
        <f t="shared" si="6"/>
      </c>
    </row>
    <row r="436" spans="10:10">
      <c r="J436">
        <f t="shared" si="6"/>
      </c>
    </row>
    <row r="437" spans="10:10">
      <c r="J437">
        <f t="shared" si="6"/>
      </c>
    </row>
    <row r="438" spans="10:10">
      <c r="J438">
        <f t="shared" si="6"/>
      </c>
    </row>
    <row r="439" spans="10:10">
      <c r="J439">
        <f t="shared" si="6"/>
      </c>
    </row>
    <row r="440" spans="10:10">
      <c r="J440">
        <f t="shared" si="6"/>
      </c>
    </row>
    <row r="441" spans="10:10">
      <c r="J441">
        <f t="shared" si="6"/>
      </c>
    </row>
    <row r="442" spans="10:10">
      <c r="J442">
        <f t="shared" si="6"/>
      </c>
    </row>
    <row r="443" spans="10:10">
      <c r="J443">
        <f t="shared" si="6"/>
      </c>
    </row>
    <row r="444" spans="10:10">
      <c r="J444">
        <f t="shared" si="6"/>
      </c>
    </row>
    <row r="445" spans="10:10">
      <c r="J445">
        <f t="shared" si="6"/>
      </c>
    </row>
    <row r="446" spans="10:10">
      <c r="J446">
        <f t="shared" si="6"/>
      </c>
    </row>
    <row r="447" spans="10:10">
      <c r="J447">
        <f t="shared" si="6"/>
      </c>
    </row>
    <row r="448" spans="10:10">
      <c r="J448">
        <f t="shared" si="6"/>
      </c>
    </row>
    <row r="449" spans="10:10">
      <c r="J449">
        <f t="shared" si="6"/>
      </c>
    </row>
    <row r="450" spans="10:10">
      <c r="J450">
        <f t="shared" si="6"/>
      </c>
    </row>
    <row r="451" spans="10:10">
      <c r="J451">
        <f t="shared" si="6"/>
      </c>
    </row>
    <row r="452" spans="10:10">
      <c r="J452">
        <f t="shared" ref="J452:J515" si="7">IF(B452="","", WEEKNUM(B452, 2))</f>
      </c>
    </row>
    <row r="453" spans="10:10">
      <c r="J453">
        <f t="shared" si="7"/>
      </c>
    </row>
    <row r="454" spans="10:10">
      <c r="J454">
        <f t="shared" si="7"/>
      </c>
    </row>
    <row r="455" spans="10:10">
      <c r="J455">
        <f t="shared" si="7"/>
      </c>
    </row>
    <row r="456" spans="10:10">
      <c r="J456">
        <f t="shared" si="7"/>
      </c>
    </row>
    <row r="457" spans="10:10">
      <c r="J457">
        <f t="shared" si="7"/>
      </c>
    </row>
    <row r="458" spans="10:10">
      <c r="J458">
        <f t="shared" si="7"/>
      </c>
    </row>
    <row r="459" spans="10:10">
      <c r="J459">
        <f t="shared" si="7"/>
      </c>
    </row>
    <row r="460" spans="10:10">
      <c r="J460">
        <f t="shared" si="7"/>
      </c>
    </row>
    <row r="461" spans="10:10">
      <c r="J461">
        <f t="shared" si="7"/>
      </c>
    </row>
    <row r="462" spans="10:10">
      <c r="J462">
        <f t="shared" si="7"/>
      </c>
    </row>
    <row r="463" spans="10:10">
      <c r="J463">
        <f t="shared" si="7"/>
      </c>
    </row>
    <row r="464" spans="10:10">
      <c r="J464">
        <f t="shared" si="7"/>
      </c>
    </row>
    <row r="465" spans="10:10">
      <c r="J465">
        <f t="shared" si="7"/>
      </c>
    </row>
    <row r="466" spans="10:10">
      <c r="J466">
        <f t="shared" si="7"/>
      </c>
    </row>
    <row r="467" spans="10:10">
      <c r="J467">
        <f t="shared" si="7"/>
      </c>
    </row>
    <row r="468" spans="10:10">
      <c r="J468">
        <f t="shared" si="7"/>
      </c>
    </row>
    <row r="469" spans="10:10">
      <c r="J469">
        <f t="shared" si="7"/>
      </c>
    </row>
    <row r="470" spans="10:10">
      <c r="J470">
        <f t="shared" si="7"/>
      </c>
    </row>
    <row r="471" spans="10:10">
      <c r="J471">
        <f t="shared" si="7"/>
      </c>
    </row>
    <row r="472" spans="10:10">
      <c r="J472">
        <f t="shared" si="7"/>
      </c>
    </row>
    <row r="473" spans="10:10">
      <c r="J473">
        <f t="shared" si="7"/>
      </c>
    </row>
    <row r="474" spans="10:10">
      <c r="J474">
        <f t="shared" si="7"/>
      </c>
    </row>
    <row r="475" spans="10:10">
      <c r="J475">
        <f t="shared" si="7"/>
      </c>
    </row>
    <row r="476" spans="10:10">
      <c r="J476">
        <f t="shared" si="7"/>
      </c>
    </row>
    <row r="477" spans="10:10">
      <c r="J477">
        <f t="shared" si="7"/>
      </c>
    </row>
    <row r="478" spans="10:10">
      <c r="J478">
        <f t="shared" si="7"/>
      </c>
    </row>
    <row r="479" spans="10:10">
      <c r="J479">
        <f t="shared" si="7"/>
      </c>
    </row>
    <row r="480" spans="10:10">
      <c r="J480">
        <f t="shared" si="7"/>
      </c>
    </row>
    <row r="481" spans="10:10">
      <c r="J481">
        <f t="shared" si="7"/>
      </c>
    </row>
    <row r="482" spans="10:10">
      <c r="J482">
        <f t="shared" si="7"/>
      </c>
    </row>
    <row r="483" spans="10:10">
      <c r="J483">
        <f t="shared" si="7"/>
      </c>
    </row>
    <row r="484" spans="10:10">
      <c r="J484">
        <f t="shared" si="7"/>
      </c>
    </row>
    <row r="485" spans="10:10">
      <c r="J485">
        <f t="shared" si="7"/>
      </c>
    </row>
    <row r="486" spans="10:10">
      <c r="J486">
        <f t="shared" si="7"/>
      </c>
    </row>
    <row r="487" spans="10:10">
      <c r="J487">
        <f t="shared" si="7"/>
      </c>
    </row>
    <row r="488" spans="10:10">
      <c r="J488">
        <f t="shared" si="7"/>
      </c>
    </row>
    <row r="489" spans="10:10">
      <c r="J489">
        <f t="shared" si="7"/>
      </c>
    </row>
    <row r="490" spans="10:10">
      <c r="J490">
        <f t="shared" si="7"/>
      </c>
    </row>
    <row r="491" spans="10:10">
      <c r="J491">
        <f t="shared" si="7"/>
      </c>
    </row>
    <row r="492" spans="10:10">
      <c r="J492">
        <f t="shared" si="7"/>
      </c>
    </row>
    <row r="493" spans="10:10">
      <c r="J493">
        <f t="shared" si="7"/>
      </c>
    </row>
    <row r="494" spans="10:10">
      <c r="J494">
        <f t="shared" si="7"/>
      </c>
    </row>
    <row r="495" spans="10:10">
      <c r="J495">
        <f t="shared" si="7"/>
      </c>
    </row>
    <row r="496" spans="10:10">
      <c r="J496">
        <f t="shared" si="7"/>
      </c>
    </row>
    <row r="497" spans="10:10">
      <c r="J497">
        <f t="shared" si="7"/>
      </c>
    </row>
    <row r="498" spans="10:10">
      <c r="J498">
        <f t="shared" si="7"/>
      </c>
    </row>
    <row r="499" spans="10:10">
      <c r="J499">
        <f t="shared" si="7"/>
      </c>
    </row>
    <row r="500" spans="10:10">
      <c r="J500">
        <f t="shared" si="7"/>
      </c>
    </row>
    <row r="501" spans="10:10">
      <c r="J501">
        <f t="shared" si="7"/>
      </c>
    </row>
    <row r="502" spans="10:10">
      <c r="J502">
        <f t="shared" si="7"/>
      </c>
    </row>
    <row r="503" spans="10:10">
      <c r="J503">
        <f t="shared" si="7"/>
      </c>
    </row>
    <row r="504" spans="10:10">
      <c r="J504">
        <f t="shared" si="7"/>
      </c>
    </row>
    <row r="505" spans="10:10">
      <c r="J505">
        <f t="shared" si="7"/>
      </c>
    </row>
    <row r="506" spans="10:10">
      <c r="J506">
        <f t="shared" si="7"/>
      </c>
    </row>
    <row r="507" spans="10:10">
      <c r="J507">
        <f t="shared" si="7"/>
      </c>
    </row>
    <row r="508" spans="10:10">
      <c r="J508">
        <f t="shared" si="7"/>
      </c>
    </row>
    <row r="509" spans="10:10">
      <c r="J509">
        <f t="shared" si="7"/>
      </c>
    </row>
    <row r="510" spans="10:10">
      <c r="J510">
        <f t="shared" si="7"/>
      </c>
    </row>
    <row r="511" spans="10:10">
      <c r="J511">
        <f t="shared" si="7"/>
      </c>
    </row>
    <row r="512" spans="10:10">
      <c r="J512">
        <f t="shared" si="7"/>
      </c>
    </row>
    <row r="513" spans="10:10">
      <c r="J513">
        <f t="shared" si="7"/>
      </c>
    </row>
    <row r="514" spans="10:10">
      <c r="J514">
        <f t="shared" si="7"/>
      </c>
    </row>
    <row r="515" spans="10:10">
      <c r="J515">
        <f t="shared" si="7"/>
      </c>
    </row>
    <row r="516" spans="10:10">
      <c r="J516">
        <f t="shared" ref="J516:J579" si="8">IF(B516="","", WEEKNUM(B516, 2))</f>
      </c>
    </row>
    <row r="517" spans="10:10">
      <c r="J517">
        <f t="shared" si="8"/>
      </c>
    </row>
    <row r="518" spans="10:10">
      <c r="J518">
        <f t="shared" si="8"/>
      </c>
    </row>
    <row r="519" spans="10:10">
      <c r="J519">
        <f t="shared" si="8"/>
      </c>
    </row>
    <row r="520" spans="10:10">
      <c r="J520">
        <f t="shared" si="8"/>
      </c>
    </row>
    <row r="521" spans="10:10">
      <c r="J521">
        <f t="shared" si="8"/>
      </c>
    </row>
    <row r="522" spans="10:10">
      <c r="J522">
        <f t="shared" si="8"/>
      </c>
    </row>
    <row r="523" spans="10:10">
      <c r="J523">
        <f t="shared" si="8"/>
      </c>
    </row>
    <row r="524" spans="10:10">
      <c r="J524">
        <f t="shared" si="8"/>
      </c>
    </row>
    <row r="525" spans="10:10">
      <c r="J525">
        <f t="shared" si="8"/>
      </c>
    </row>
    <row r="526" spans="10:10">
      <c r="J526">
        <f t="shared" si="8"/>
      </c>
    </row>
    <row r="527" spans="10:10">
      <c r="J527">
        <f t="shared" si="8"/>
      </c>
    </row>
    <row r="528" spans="10:10">
      <c r="J528">
        <f t="shared" si="8"/>
      </c>
    </row>
    <row r="529" spans="10:10">
      <c r="J529">
        <f t="shared" si="8"/>
      </c>
    </row>
    <row r="530" spans="10:10">
      <c r="J530">
        <f t="shared" si="8"/>
      </c>
    </row>
    <row r="531" spans="10:10">
      <c r="J531">
        <f t="shared" si="8"/>
      </c>
    </row>
    <row r="532" spans="10:10">
      <c r="J532">
        <f t="shared" si="8"/>
      </c>
    </row>
    <row r="533" spans="10:10">
      <c r="J533">
        <f t="shared" si="8"/>
      </c>
    </row>
    <row r="534" spans="10:10">
      <c r="J534">
        <f t="shared" si="8"/>
      </c>
    </row>
    <row r="535" spans="10:10">
      <c r="J535">
        <f t="shared" si="8"/>
      </c>
    </row>
    <row r="536" spans="10:10">
      <c r="J536">
        <f t="shared" si="8"/>
      </c>
    </row>
    <row r="537" spans="10:10">
      <c r="J537">
        <f t="shared" si="8"/>
      </c>
    </row>
    <row r="538" spans="10:10">
      <c r="J538">
        <f t="shared" si="8"/>
      </c>
    </row>
    <row r="539" spans="10:10">
      <c r="J539">
        <f t="shared" si="8"/>
      </c>
    </row>
    <row r="540" spans="10:10">
      <c r="J540">
        <f t="shared" si="8"/>
      </c>
    </row>
    <row r="541" spans="10:10">
      <c r="J541">
        <f t="shared" si="8"/>
      </c>
    </row>
    <row r="542" spans="10:10">
      <c r="J542">
        <f t="shared" si="8"/>
      </c>
    </row>
    <row r="543" spans="10:10">
      <c r="J543">
        <f t="shared" si="8"/>
      </c>
    </row>
    <row r="544" spans="10:10">
      <c r="J544">
        <f t="shared" si="8"/>
      </c>
    </row>
    <row r="545" spans="10:10">
      <c r="J545">
        <f t="shared" si="8"/>
      </c>
    </row>
    <row r="546" spans="10:10">
      <c r="J546">
        <f t="shared" si="8"/>
      </c>
    </row>
    <row r="547" spans="10:10">
      <c r="J547">
        <f t="shared" si="8"/>
      </c>
    </row>
    <row r="548" spans="10:10">
      <c r="J548">
        <f t="shared" si="8"/>
      </c>
    </row>
    <row r="549" spans="10:10">
      <c r="J549">
        <f t="shared" si="8"/>
      </c>
    </row>
    <row r="550" spans="10:10">
      <c r="J550">
        <f t="shared" si="8"/>
      </c>
    </row>
    <row r="551" spans="10:10">
      <c r="J551">
        <f t="shared" si="8"/>
      </c>
    </row>
    <row r="552" spans="10:10">
      <c r="J552">
        <f t="shared" si="8"/>
      </c>
    </row>
    <row r="553" spans="10:10">
      <c r="J553">
        <f t="shared" si="8"/>
      </c>
    </row>
    <row r="554" spans="10:10">
      <c r="J554">
        <f t="shared" si="8"/>
      </c>
    </row>
    <row r="555" spans="10:10">
      <c r="J555">
        <f t="shared" si="8"/>
      </c>
    </row>
    <row r="556" spans="10:10">
      <c r="J556">
        <f t="shared" si="8"/>
      </c>
    </row>
    <row r="557" spans="10:10">
      <c r="J557">
        <f t="shared" si="8"/>
      </c>
    </row>
    <row r="558" spans="10:10">
      <c r="J558">
        <f t="shared" si="8"/>
      </c>
    </row>
    <row r="559" spans="10:10">
      <c r="J559">
        <f t="shared" si="8"/>
      </c>
    </row>
    <row r="560" spans="10:10">
      <c r="J560">
        <f t="shared" si="8"/>
      </c>
    </row>
    <row r="561" spans="10:10">
      <c r="J561">
        <f t="shared" si="8"/>
      </c>
    </row>
    <row r="562" spans="10:10">
      <c r="J562">
        <f t="shared" si="8"/>
      </c>
    </row>
    <row r="563" spans="10:10">
      <c r="J563">
        <f t="shared" si="8"/>
      </c>
    </row>
    <row r="564" spans="10:10">
      <c r="J564">
        <f t="shared" si="8"/>
      </c>
    </row>
    <row r="565" spans="10:10">
      <c r="J565">
        <f t="shared" si="8"/>
      </c>
    </row>
    <row r="566" spans="10:10">
      <c r="J566">
        <f t="shared" si="8"/>
      </c>
    </row>
    <row r="567" spans="10:10">
      <c r="J567">
        <f t="shared" si="8"/>
      </c>
    </row>
    <row r="568" spans="10:10">
      <c r="J568">
        <f t="shared" si="8"/>
      </c>
    </row>
    <row r="569" spans="10:10">
      <c r="J569">
        <f t="shared" si="8"/>
      </c>
    </row>
    <row r="570" spans="10:10">
      <c r="J570">
        <f t="shared" si="8"/>
      </c>
    </row>
    <row r="571" spans="10:10">
      <c r="J571">
        <f t="shared" si="8"/>
      </c>
    </row>
    <row r="572" spans="10:10">
      <c r="J572">
        <f t="shared" si="8"/>
      </c>
    </row>
    <row r="573" spans="10:10">
      <c r="J573">
        <f t="shared" si="8"/>
      </c>
    </row>
    <row r="574" spans="10:10">
      <c r="J574">
        <f t="shared" si="8"/>
      </c>
    </row>
    <row r="575" spans="10:10">
      <c r="J575">
        <f t="shared" si="8"/>
      </c>
    </row>
    <row r="576" spans="10:10">
      <c r="J576">
        <f t="shared" si="8"/>
      </c>
    </row>
    <row r="577" spans="10:10">
      <c r="J577">
        <f t="shared" si="8"/>
      </c>
    </row>
    <row r="578" spans="10:10">
      <c r="J578">
        <f t="shared" si="8"/>
      </c>
    </row>
    <row r="579" spans="10:10">
      <c r="J579">
        <f t="shared" si="8"/>
      </c>
    </row>
    <row r="580" spans="10:10">
      <c r="J580">
        <f t="shared" ref="J580:J643" si="9">IF(B580="","", WEEKNUM(B580, 2))</f>
      </c>
    </row>
    <row r="581" spans="10:10">
      <c r="J581">
        <f t="shared" si="9"/>
      </c>
    </row>
    <row r="582" spans="10:10">
      <c r="J582">
        <f t="shared" si="9"/>
      </c>
    </row>
    <row r="583" spans="10:10">
      <c r="J583">
        <f t="shared" si="9"/>
      </c>
    </row>
    <row r="584" spans="10:10">
      <c r="J584">
        <f t="shared" si="9"/>
      </c>
    </row>
    <row r="585" spans="10:10">
      <c r="J585">
        <f t="shared" si="9"/>
      </c>
    </row>
    <row r="586" spans="10:10">
      <c r="J586">
        <f t="shared" si="9"/>
      </c>
    </row>
    <row r="587" spans="10:10">
      <c r="J587">
        <f t="shared" si="9"/>
      </c>
    </row>
    <row r="588" spans="10:10">
      <c r="J588">
        <f t="shared" si="9"/>
      </c>
    </row>
    <row r="589" spans="10:10">
      <c r="J589">
        <f t="shared" si="9"/>
      </c>
    </row>
    <row r="590" spans="10:10">
      <c r="J590">
        <f t="shared" si="9"/>
      </c>
    </row>
    <row r="591" spans="10:10">
      <c r="J591">
        <f t="shared" si="9"/>
      </c>
    </row>
    <row r="592" spans="10:10">
      <c r="J592">
        <f t="shared" si="9"/>
      </c>
    </row>
    <row r="593" spans="10:10">
      <c r="J593">
        <f t="shared" si="9"/>
      </c>
    </row>
    <row r="594" spans="10:10">
      <c r="J594">
        <f t="shared" si="9"/>
      </c>
    </row>
    <row r="595" spans="10:10">
      <c r="J595">
        <f t="shared" si="9"/>
      </c>
    </row>
    <row r="596" spans="10:10">
      <c r="J596">
        <f t="shared" si="9"/>
      </c>
    </row>
    <row r="597" spans="10:10">
      <c r="J597">
        <f t="shared" si="9"/>
      </c>
    </row>
    <row r="598" spans="10:10">
      <c r="J598">
        <f t="shared" si="9"/>
      </c>
    </row>
    <row r="599" spans="10:10">
      <c r="J599">
        <f t="shared" si="9"/>
      </c>
    </row>
    <row r="600" spans="10:10">
      <c r="J600">
        <f t="shared" si="9"/>
      </c>
    </row>
    <row r="601" spans="10:10">
      <c r="J601">
        <f t="shared" si="9"/>
      </c>
    </row>
    <row r="602" spans="10:10">
      <c r="J602">
        <f t="shared" si="9"/>
      </c>
    </row>
    <row r="603" spans="10:10">
      <c r="J603">
        <f t="shared" si="9"/>
      </c>
    </row>
    <row r="604" spans="10:10">
      <c r="J604">
        <f t="shared" si="9"/>
      </c>
    </row>
    <row r="605" spans="10:10">
      <c r="J605">
        <f t="shared" si="9"/>
      </c>
    </row>
    <row r="606" spans="10:10">
      <c r="J606">
        <f t="shared" si="9"/>
      </c>
    </row>
    <row r="607" spans="10:10">
      <c r="J607">
        <f t="shared" si="9"/>
      </c>
    </row>
    <row r="608" spans="10:10">
      <c r="J608">
        <f t="shared" si="9"/>
      </c>
    </row>
    <row r="609" spans="10:10">
      <c r="J609">
        <f t="shared" si="9"/>
      </c>
    </row>
    <row r="610" spans="10:10">
      <c r="J610">
        <f t="shared" si="9"/>
      </c>
    </row>
    <row r="611" spans="10:10">
      <c r="J611">
        <f t="shared" si="9"/>
      </c>
    </row>
    <row r="612" spans="10:10">
      <c r="J612">
        <f t="shared" si="9"/>
      </c>
    </row>
    <row r="613" spans="10:10">
      <c r="J613">
        <f t="shared" si="9"/>
      </c>
    </row>
    <row r="614" spans="10:10">
      <c r="J614">
        <f t="shared" si="9"/>
      </c>
    </row>
    <row r="615" spans="10:10">
      <c r="J615">
        <f t="shared" si="9"/>
      </c>
    </row>
    <row r="616" spans="10:10">
      <c r="J616">
        <f t="shared" si="9"/>
      </c>
    </row>
    <row r="617" spans="10:10">
      <c r="J617">
        <f t="shared" si="9"/>
      </c>
    </row>
    <row r="618" spans="10:10">
      <c r="J618">
        <f t="shared" si="9"/>
      </c>
    </row>
    <row r="619" spans="10:10">
      <c r="J619">
        <f t="shared" si="9"/>
      </c>
    </row>
    <row r="620" spans="10:10">
      <c r="J620">
        <f t="shared" si="9"/>
      </c>
    </row>
    <row r="621" spans="10:10">
      <c r="J621">
        <f t="shared" si="9"/>
      </c>
    </row>
    <row r="622" spans="10:10">
      <c r="J622">
        <f t="shared" si="9"/>
      </c>
    </row>
    <row r="623" spans="10:10">
      <c r="J623">
        <f t="shared" si="9"/>
      </c>
    </row>
    <row r="624" spans="10:10">
      <c r="J624">
        <f t="shared" si="9"/>
      </c>
    </row>
    <row r="625" spans="10:10">
      <c r="J625">
        <f t="shared" si="9"/>
      </c>
    </row>
    <row r="626" spans="10:10">
      <c r="J626">
        <f t="shared" si="9"/>
      </c>
    </row>
    <row r="627" spans="10:10">
      <c r="J627">
        <f t="shared" si="9"/>
      </c>
    </row>
    <row r="628" spans="10:10">
      <c r="J628">
        <f t="shared" si="9"/>
      </c>
    </row>
    <row r="629" spans="10:10">
      <c r="J629">
        <f t="shared" si="9"/>
      </c>
    </row>
    <row r="630" spans="10:10">
      <c r="J630">
        <f t="shared" si="9"/>
      </c>
    </row>
    <row r="631" spans="10:10">
      <c r="J631">
        <f t="shared" si="9"/>
      </c>
    </row>
    <row r="632" spans="10:10">
      <c r="J632">
        <f t="shared" si="9"/>
      </c>
    </row>
    <row r="633" spans="10:10">
      <c r="J633">
        <f t="shared" si="9"/>
      </c>
    </row>
    <row r="634" spans="10:10">
      <c r="J634">
        <f t="shared" si="9"/>
      </c>
    </row>
    <row r="635" spans="10:10">
      <c r="J635">
        <f t="shared" si="9"/>
      </c>
    </row>
    <row r="636" spans="10:10">
      <c r="J636">
        <f t="shared" si="9"/>
      </c>
    </row>
    <row r="637" spans="10:10">
      <c r="J637">
        <f t="shared" si="9"/>
      </c>
    </row>
    <row r="638" spans="10:10">
      <c r="J638">
        <f t="shared" si="9"/>
      </c>
    </row>
    <row r="639" spans="10:10">
      <c r="J639">
        <f t="shared" si="9"/>
      </c>
    </row>
    <row r="640" spans="10:10">
      <c r="J640">
        <f t="shared" si="9"/>
      </c>
    </row>
    <row r="641" spans="10:10">
      <c r="J641">
        <f t="shared" si="9"/>
      </c>
    </row>
    <row r="642" spans="10:10">
      <c r="J642">
        <f t="shared" si="9"/>
      </c>
    </row>
    <row r="643" spans="10:10">
      <c r="J643">
        <f t="shared" si="9"/>
      </c>
    </row>
    <row r="644" spans="10:10">
      <c r="J644">
        <f t="shared" ref="J644:J707" si="10">IF(B644="","", WEEKNUM(B644, 2))</f>
      </c>
    </row>
    <row r="645" spans="10:10">
      <c r="J645">
        <f t="shared" si="10"/>
      </c>
    </row>
    <row r="646" spans="10:10">
      <c r="J646">
        <f t="shared" si="10"/>
      </c>
    </row>
    <row r="647" spans="10:10">
      <c r="J647">
        <f t="shared" si="10"/>
      </c>
    </row>
    <row r="648" spans="10:10">
      <c r="J648">
        <f t="shared" si="10"/>
      </c>
    </row>
    <row r="649" spans="10:10">
      <c r="J649">
        <f t="shared" si="10"/>
      </c>
    </row>
    <row r="650" spans="10:10">
      <c r="J650">
        <f t="shared" si="10"/>
      </c>
    </row>
    <row r="651" spans="10:10">
      <c r="J651">
        <f t="shared" si="10"/>
      </c>
    </row>
    <row r="652" spans="10:10">
      <c r="J652">
        <f t="shared" si="10"/>
      </c>
    </row>
    <row r="653" spans="10:10">
      <c r="J653">
        <f t="shared" si="10"/>
      </c>
    </row>
    <row r="654" spans="10:10">
      <c r="J654">
        <f t="shared" si="10"/>
      </c>
    </row>
    <row r="655" spans="10:10">
      <c r="J655">
        <f t="shared" si="10"/>
      </c>
    </row>
    <row r="656" spans="10:10">
      <c r="J656">
        <f t="shared" si="10"/>
      </c>
    </row>
    <row r="657" spans="10:10">
      <c r="J657">
        <f t="shared" si="10"/>
      </c>
    </row>
    <row r="658" spans="10:10">
      <c r="J658">
        <f t="shared" si="10"/>
      </c>
    </row>
    <row r="659" spans="10:10">
      <c r="J659">
        <f t="shared" si="10"/>
      </c>
    </row>
    <row r="660" spans="10:10">
      <c r="J660">
        <f t="shared" si="10"/>
      </c>
    </row>
    <row r="661" spans="10:10">
      <c r="J661">
        <f t="shared" si="10"/>
      </c>
    </row>
    <row r="662" spans="10:10">
      <c r="J662">
        <f t="shared" si="10"/>
      </c>
    </row>
    <row r="663" spans="10:10">
      <c r="J663">
        <f t="shared" si="10"/>
      </c>
    </row>
    <row r="664" spans="10:10">
      <c r="J664">
        <f t="shared" si="10"/>
      </c>
    </row>
    <row r="665" spans="10:10">
      <c r="J665">
        <f t="shared" si="10"/>
      </c>
    </row>
    <row r="666" spans="10:10">
      <c r="J666">
        <f t="shared" si="10"/>
      </c>
    </row>
    <row r="667" spans="10:10">
      <c r="J667">
        <f t="shared" si="10"/>
      </c>
    </row>
    <row r="668" spans="10:10">
      <c r="J668">
        <f t="shared" si="10"/>
      </c>
    </row>
    <row r="669" spans="10:10">
      <c r="J669">
        <f t="shared" si="10"/>
      </c>
    </row>
    <row r="670" spans="10:10">
      <c r="J670">
        <f t="shared" si="10"/>
      </c>
    </row>
    <row r="671" spans="10:10">
      <c r="J671">
        <f t="shared" si="10"/>
      </c>
    </row>
    <row r="672" spans="10:10">
      <c r="J672">
        <f t="shared" si="10"/>
      </c>
    </row>
    <row r="673" spans="10:10">
      <c r="J673">
        <f t="shared" si="10"/>
      </c>
    </row>
    <row r="674" spans="10:10">
      <c r="J674">
        <f t="shared" si="10"/>
      </c>
    </row>
    <row r="675" spans="10:10">
      <c r="J675">
        <f t="shared" si="10"/>
      </c>
    </row>
    <row r="676" spans="10:10">
      <c r="J676">
        <f t="shared" si="10"/>
      </c>
    </row>
    <row r="677" spans="10:10">
      <c r="J677">
        <f t="shared" si="10"/>
      </c>
    </row>
    <row r="678" spans="10:10">
      <c r="J678">
        <f t="shared" si="10"/>
      </c>
    </row>
    <row r="679" spans="10:10">
      <c r="J679">
        <f t="shared" si="10"/>
      </c>
    </row>
    <row r="680" spans="10:10">
      <c r="J680">
        <f t="shared" si="10"/>
      </c>
    </row>
    <row r="681" spans="10:10">
      <c r="J681">
        <f t="shared" si="10"/>
      </c>
    </row>
    <row r="682" spans="10:10">
      <c r="J682">
        <f t="shared" si="10"/>
      </c>
    </row>
    <row r="683" spans="10:10">
      <c r="J683">
        <f t="shared" si="10"/>
      </c>
    </row>
    <row r="684" spans="10:10">
      <c r="J684">
        <f t="shared" si="10"/>
      </c>
    </row>
    <row r="685" spans="10:10">
      <c r="J685">
        <f t="shared" si="10"/>
      </c>
    </row>
    <row r="686" spans="10:10">
      <c r="J686">
        <f t="shared" si="10"/>
      </c>
    </row>
    <row r="687" spans="10:10">
      <c r="J687">
        <f t="shared" si="10"/>
      </c>
    </row>
    <row r="688" spans="10:10">
      <c r="J688">
        <f t="shared" si="10"/>
      </c>
    </row>
    <row r="689" spans="10:10">
      <c r="J689">
        <f t="shared" si="10"/>
      </c>
    </row>
    <row r="690" spans="10:10">
      <c r="J690">
        <f t="shared" si="10"/>
      </c>
    </row>
    <row r="691" spans="10:10">
      <c r="J691">
        <f t="shared" si="10"/>
      </c>
    </row>
    <row r="692" spans="10:10">
      <c r="J692">
        <f t="shared" si="10"/>
      </c>
    </row>
    <row r="693" spans="10:10">
      <c r="J693">
        <f t="shared" si="10"/>
      </c>
    </row>
    <row r="694" spans="10:10">
      <c r="J694">
        <f t="shared" si="10"/>
      </c>
    </row>
    <row r="695" spans="10:10">
      <c r="J695">
        <f t="shared" si="10"/>
      </c>
    </row>
    <row r="696" spans="10:10">
      <c r="J696">
        <f t="shared" si="10"/>
      </c>
    </row>
    <row r="697" spans="10:10">
      <c r="J697">
        <f t="shared" si="10"/>
      </c>
    </row>
    <row r="698" spans="10:10">
      <c r="J698">
        <f t="shared" si="10"/>
      </c>
    </row>
    <row r="699" spans="10:10">
      <c r="J699">
        <f t="shared" si="10"/>
      </c>
    </row>
    <row r="700" spans="10:10">
      <c r="J700">
        <f t="shared" si="10"/>
      </c>
    </row>
    <row r="701" spans="10:10">
      <c r="J701">
        <f t="shared" si="10"/>
      </c>
    </row>
    <row r="702" spans="10:10">
      <c r="J702">
        <f t="shared" si="10"/>
      </c>
    </row>
    <row r="703" spans="10:10">
      <c r="J703">
        <f t="shared" si="10"/>
      </c>
    </row>
    <row r="704" spans="10:10">
      <c r="J704">
        <f t="shared" si="10"/>
      </c>
    </row>
    <row r="705" spans="10:10">
      <c r="J705">
        <f t="shared" si="10"/>
      </c>
    </row>
    <row r="706" spans="10:10">
      <c r="J706">
        <f t="shared" si="10"/>
      </c>
    </row>
    <row r="707" spans="10:10">
      <c r="J707">
        <f t="shared" si="10"/>
      </c>
    </row>
    <row r="708" spans="10:10">
      <c r="J708">
        <f t="shared" ref="J708:J771" si="11">IF(B708="","", WEEKNUM(B708, 2))</f>
      </c>
    </row>
    <row r="709" spans="10:10">
      <c r="J709">
        <f t="shared" si="11"/>
      </c>
    </row>
    <row r="710" spans="10:10">
      <c r="J710">
        <f t="shared" si="11"/>
      </c>
    </row>
    <row r="711" spans="10:10">
      <c r="J711">
        <f t="shared" si="11"/>
      </c>
    </row>
    <row r="712" spans="10:10">
      <c r="J712">
        <f t="shared" si="11"/>
      </c>
    </row>
    <row r="713" spans="10:10">
      <c r="J713">
        <f t="shared" si="11"/>
      </c>
    </row>
    <row r="714" spans="10:10">
      <c r="J714">
        <f t="shared" si="11"/>
      </c>
    </row>
    <row r="715" spans="10:10">
      <c r="J715">
        <f t="shared" si="11"/>
      </c>
    </row>
    <row r="716" spans="10:10">
      <c r="J716">
        <f t="shared" si="11"/>
      </c>
    </row>
    <row r="717" spans="10:10">
      <c r="J717">
        <f t="shared" si="11"/>
      </c>
    </row>
    <row r="718" spans="10:10">
      <c r="J718">
        <f t="shared" si="11"/>
      </c>
    </row>
    <row r="719" spans="10:10">
      <c r="J719">
        <f t="shared" si="11"/>
      </c>
    </row>
    <row r="720" spans="10:10">
      <c r="J720">
        <f t="shared" si="11"/>
      </c>
    </row>
    <row r="721" spans="10:10">
      <c r="J721">
        <f t="shared" si="11"/>
      </c>
    </row>
    <row r="722" spans="10:10">
      <c r="J722">
        <f t="shared" si="11"/>
      </c>
    </row>
    <row r="723" spans="10:10">
      <c r="J723">
        <f t="shared" si="11"/>
      </c>
    </row>
    <row r="724" spans="10:10">
      <c r="J724">
        <f t="shared" si="11"/>
      </c>
    </row>
    <row r="725" spans="10:10">
      <c r="J725">
        <f t="shared" si="11"/>
      </c>
    </row>
    <row r="726" spans="10:10">
      <c r="J726">
        <f t="shared" si="11"/>
      </c>
    </row>
    <row r="727" spans="10:10">
      <c r="J727">
        <f t="shared" si="11"/>
      </c>
    </row>
    <row r="728" spans="10:10">
      <c r="J728">
        <f t="shared" si="11"/>
      </c>
    </row>
    <row r="729" spans="10:10">
      <c r="J729">
        <f t="shared" si="11"/>
      </c>
    </row>
    <row r="730" spans="10:10">
      <c r="J730">
        <f t="shared" si="11"/>
      </c>
    </row>
    <row r="731" spans="10:10">
      <c r="J731">
        <f t="shared" si="11"/>
      </c>
    </row>
    <row r="732" spans="10:10">
      <c r="J732">
        <f t="shared" si="11"/>
      </c>
    </row>
    <row r="733" spans="10:10">
      <c r="J733">
        <f t="shared" si="11"/>
      </c>
    </row>
    <row r="734" spans="10:10">
      <c r="J734">
        <f t="shared" si="11"/>
      </c>
    </row>
    <row r="735" spans="10:10">
      <c r="J735">
        <f t="shared" si="11"/>
      </c>
    </row>
    <row r="736" spans="10:10">
      <c r="J736">
        <f t="shared" si="11"/>
      </c>
    </row>
    <row r="737" spans="10:10">
      <c r="J737">
        <f t="shared" si="11"/>
      </c>
    </row>
    <row r="738" spans="10:10">
      <c r="J738">
        <f t="shared" si="11"/>
      </c>
    </row>
    <row r="739" spans="10:10">
      <c r="J739">
        <f t="shared" si="11"/>
      </c>
    </row>
    <row r="740" spans="10:10">
      <c r="J740">
        <f t="shared" si="11"/>
      </c>
    </row>
    <row r="741" spans="10:10">
      <c r="J741">
        <f t="shared" si="11"/>
      </c>
    </row>
    <row r="742" spans="10:10">
      <c r="J742">
        <f t="shared" si="11"/>
      </c>
    </row>
    <row r="743" spans="10:10">
      <c r="J743">
        <f t="shared" si="11"/>
      </c>
    </row>
    <row r="744" spans="10:10">
      <c r="J744">
        <f t="shared" si="11"/>
      </c>
    </row>
    <row r="745" spans="10:10">
      <c r="J745">
        <f t="shared" si="11"/>
      </c>
    </row>
    <row r="746" spans="10:10">
      <c r="J746">
        <f t="shared" si="11"/>
      </c>
    </row>
    <row r="747" spans="10:10">
      <c r="J747">
        <f t="shared" si="11"/>
      </c>
    </row>
    <row r="748" spans="10:10">
      <c r="J748">
        <f t="shared" si="11"/>
      </c>
    </row>
    <row r="749" spans="10:10">
      <c r="J749">
        <f t="shared" si="11"/>
      </c>
    </row>
    <row r="750" spans="10:10">
      <c r="J750">
        <f t="shared" si="11"/>
      </c>
    </row>
    <row r="751" spans="10:10">
      <c r="J751">
        <f t="shared" si="11"/>
      </c>
    </row>
    <row r="752" spans="10:10">
      <c r="J752">
        <f t="shared" si="11"/>
      </c>
    </row>
    <row r="753" spans="10:10">
      <c r="J753">
        <f t="shared" si="11"/>
      </c>
    </row>
    <row r="754" spans="10:10">
      <c r="J754">
        <f t="shared" si="11"/>
      </c>
    </row>
    <row r="755" spans="10:10">
      <c r="J755">
        <f t="shared" si="11"/>
      </c>
    </row>
    <row r="756" spans="10:10">
      <c r="J756">
        <f t="shared" si="11"/>
      </c>
    </row>
    <row r="757" spans="10:10">
      <c r="J757">
        <f t="shared" si="11"/>
      </c>
    </row>
    <row r="758" spans="10:10">
      <c r="J758">
        <f t="shared" si="11"/>
      </c>
    </row>
    <row r="759" spans="10:10">
      <c r="J759">
        <f t="shared" si="11"/>
      </c>
    </row>
    <row r="760" spans="10:10">
      <c r="J760">
        <f t="shared" si="11"/>
      </c>
    </row>
    <row r="761" spans="10:10">
      <c r="J761">
        <f t="shared" si="11"/>
      </c>
    </row>
    <row r="762" spans="10:10">
      <c r="J762">
        <f t="shared" si="11"/>
      </c>
    </row>
    <row r="763" spans="10:10">
      <c r="J763">
        <f t="shared" si="11"/>
      </c>
    </row>
    <row r="764" spans="10:10">
      <c r="J764">
        <f t="shared" si="11"/>
      </c>
    </row>
    <row r="765" spans="10:10">
      <c r="J765">
        <f t="shared" si="11"/>
      </c>
    </row>
    <row r="766" spans="10:10">
      <c r="J766">
        <f t="shared" si="11"/>
      </c>
    </row>
    <row r="767" spans="10:10">
      <c r="J767">
        <f t="shared" si="11"/>
      </c>
    </row>
    <row r="768" spans="10:10">
      <c r="J768">
        <f t="shared" si="11"/>
      </c>
    </row>
    <row r="769" spans="10:10">
      <c r="J769">
        <f t="shared" si="11"/>
      </c>
    </row>
    <row r="770" spans="10:10">
      <c r="J770">
        <f t="shared" si="11"/>
      </c>
    </row>
    <row r="771" spans="10:10">
      <c r="J771">
        <f t="shared" si="11"/>
      </c>
    </row>
    <row r="772" spans="10:10">
      <c r="J772">
        <f t="shared" ref="J772:J835" si="12">IF(B772="","", WEEKNUM(B772, 2))</f>
      </c>
    </row>
    <row r="773" spans="10:10">
      <c r="J773">
        <f t="shared" si="12"/>
      </c>
    </row>
    <row r="774" spans="10:10">
      <c r="J774">
        <f t="shared" si="12"/>
      </c>
    </row>
    <row r="775" spans="10:10">
      <c r="J775">
        <f t="shared" si="12"/>
      </c>
    </row>
    <row r="776" spans="10:10">
      <c r="J776">
        <f t="shared" si="12"/>
      </c>
    </row>
    <row r="777" spans="10:10">
      <c r="J777">
        <f t="shared" si="12"/>
      </c>
    </row>
    <row r="778" spans="10:10">
      <c r="J778">
        <f t="shared" si="12"/>
      </c>
    </row>
    <row r="779" spans="10:10">
      <c r="J779">
        <f t="shared" si="12"/>
      </c>
    </row>
    <row r="780" spans="10:10">
      <c r="J780">
        <f t="shared" si="12"/>
      </c>
    </row>
    <row r="781" spans="10:10">
      <c r="J781">
        <f t="shared" si="12"/>
      </c>
    </row>
    <row r="782" spans="10:10">
      <c r="J782">
        <f t="shared" si="12"/>
      </c>
    </row>
    <row r="783" spans="10:10">
      <c r="J783">
        <f t="shared" si="12"/>
      </c>
    </row>
    <row r="784" spans="10:10">
      <c r="J784">
        <f t="shared" si="12"/>
      </c>
    </row>
    <row r="785" spans="10:10">
      <c r="J785">
        <f t="shared" si="12"/>
      </c>
    </row>
    <row r="786" spans="10:10">
      <c r="J786">
        <f t="shared" si="12"/>
      </c>
    </row>
    <row r="787" spans="10:10">
      <c r="J787">
        <f t="shared" si="12"/>
      </c>
    </row>
    <row r="788" spans="10:10">
      <c r="J788">
        <f t="shared" si="12"/>
      </c>
    </row>
    <row r="789" spans="10:10">
      <c r="J789">
        <f t="shared" si="12"/>
      </c>
    </row>
    <row r="790" spans="10:10">
      <c r="J790">
        <f t="shared" si="12"/>
      </c>
    </row>
    <row r="791" spans="10:10">
      <c r="J791">
        <f t="shared" si="12"/>
      </c>
    </row>
    <row r="792" spans="10:10">
      <c r="J792">
        <f t="shared" si="12"/>
      </c>
    </row>
    <row r="793" spans="10:10">
      <c r="J793">
        <f t="shared" si="12"/>
      </c>
    </row>
    <row r="794" spans="10:10">
      <c r="J794">
        <f t="shared" si="12"/>
      </c>
    </row>
    <row r="795" spans="10:10">
      <c r="J795">
        <f t="shared" si="12"/>
      </c>
    </row>
    <row r="796" spans="10:10">
      <c r="J796">
        <f t="shared" si="12"/>
      </c>
    </row>
    <row r="797" spans="10:10">
      <c r="J797">
        <f t="shared" si="12"/>
      </c>
    </row>
    <row r="798" spans="10:10">
      <c r="J798">
        <f t="shared" si="12"/>
      </c>
    </row>
    <row r="799" spans="10:10">
      <c r="J799">
        <f t="shared" si="12"/>
      </c>
    </row>
    <row r="800" spans="10:10">
      <c r="J800">
        <f t="shared" si="12"/>
      </c>
    </row>
    <row r="801" spans="10:10">
      <c r="J801">
        <f t="shared" si="12"/>
      </c>
    </row>
    <row r="802" spans="10:10">
      <c r="J802">
        <f t="shared" si="12"/>
      </c>
    </row>
    <row r="803" spans="10:10">
      <c r="J803">
        <f t="shared" si="12"/>
      </c>
    </row>
    <row r="804" spans="10:10">
      <c r="J804">
        <f t="shared" si="12"/>
      </c>
    </row>
    <row r="805" spans="10:10">
      <c r="J805">
        <f t="shared" si="12"/>
      </c>
    </row>
    <row r="806" spans="10:10">
      <c r="J806">
        <f t="shared" si="12"/>
      </c>
    </row>
    <row r="807" spans="10:10">
      <c r="J807">
        <f t="shared" si="12"/>
      </c>
    </row>
    <row r="808" spans="10:10">
      <c r="J808">
        <f t="shared" si="12"/>
      </c>
    </row>
    <row r="809" spans="10:10">
      <c r="J809">
        <f t="shared" si="12"/>
      </c>
    </row>
    <row r="810" spans="10:10">
      <c r="J810">
        <f t="shared" si="12"/>
      </c>
    </row>
    <row r="811" spans="10:10">
      <c r="J811">
        <f t="shared" si="12"/>
      </c>
    </row>
    <row r="812" spans="10:10">
      <c r="J812">
        <f t="shared" si="12"/>
      </c>
    </row>
    <row r="813" spans="10:10">
      <c r="J813">
        <f t="shared" si="12"/>
      </c>
    </row>
    <row r="814" spans="10:10">
      <c r="J814">
        <f t="shared" si="12"/>
      </c>
    </row>
    <row r="815" spans="10:10">
      <c r="J815">
        <f t="shared" si="12"/>
      </c>
    </row>
    <row r="816" spans="10:10">
      <c r="J816">
        <f t="shared" si="12"/>
      </c>
    </row>
    <row r="817" spans="10:10">
      <c r="J817">
        <f t="shared" si="12"/>
      </c>
    </row>
    <row r="818" spans="10:10">
      <c r="J818">
        <f t="shared" si="12"/>
      </c>
    </row>
    <row r="819" spans="10:10">
      <c r="J819">
        <f t="shared" si="12"/>
      </c>
    </row>
    <row r="820" spans="10:10">
      <c r="J820">
        <f t="shared" si="12"/>
      </c>
    </row>
    <row r="821" spans="10:10">
      <c r="J821">
        <f t="shared" si="12"/>
      </c>
    </row>
    <row r="822" spans="10:10">
      <c r="J822">
        <f t="shared" si="12"/>
      </c>
    </row>
    <row r="823" spans="10:10">
      <c r="J823">
        <f t="shared" si="12"/>
      </c>
    </row>
    <row r="824" spans="10:10">
      <c r="J824">
        <f t="shared" si="12"/>
      </c>
    </row>
    <row r="825" spans="10:10">
      <c r="J825">
        <f t="shared" si="12"/>
      </c>
    </row>
    <row r="826" spans="10:10">
      <c r="J826">
        <f t="shared" si="12"/>
      </c>
    </row>
    <row r="827" spans="10:10">
      <c r="J827">
        <f t="shared" si="12"/>
      </c>
    </row>
    <row r="828" spans="10:10">
      <c r="J828">
        <f t="shared" si="12"/>
      </c>
    </row>
    <row r="829" spans="10:10">
      <c r="J829">
        <f t="shared" si="12"/>
      </c>
    </row>
    <row r="830" spans="10:10">
      <c r="J830">
        <f t="shared" si="12"/>
      </c>
    </row>
    <row r="831" spans="10:10">
      <c r="J831">
        <f t="shared" si="12"/>
      </c>
    </row>
    <row r="832" spans="10:10">
      <c r="J832">
        <f t="shared" si="12"/>
      </c>
    </row>
    <row r="833" spans="10:10">
      <c r="J833">
        <f t="shared" si="12"/>
      </c>
    </row>
    <row r="834" spans="10:10">
      <c r="J834">
        <f t="shared" si="12"/>
      </c>
    </row>
    <row r="835" spans="10:10">
      <c r="J835">
        <f t="shared" si="12"/>
      </c>
    </row>
    <row r="836" spans="10:10">
      <c r="J836">
        <f t="shared" ref="J836:J899" si="13">IF(B836="","", WEEKNUM(B836, 2))</f>
      </c>
    </row>
    <row r="837" spans="10:10">
      <c r="J837">
        <f t="shared" si="13"/>
      </c>
    </row>
    <row r="838" spans="10:10">
      <c r="J838">
        <f t="shared" si="13"/>
      </c>
    </row>
    <row r="839" spans="10:10">
      <c r="J839">
        <f t="shared" si="13"/>
      </c>
    </row>
    <row r="840" spans="10:10">
      <c r="J840">
        <f t="shared" si="13"/>
      </c>
    </row>
    <row r="841" spans="10:10">
      <c r="J841">
        <f t="shared" si="13"/>
      </c>
    </row>
    <row r="842" spans="10:10">
      <c r="J842">
        <f t="shared" si="13"/>
      </c>
    </row>
    <row r="843" spans="10:10">
      <c r="J843">
        <f t="shared" si="13"/>
      </c>
    </row>
    <row r="844" spans="10:10">
      <c r="J844">
        <f t="shared" si="13"/>
      </c>
    </row>
    <row r="845" spans="10:10">
      <c r="J845">
        <f t="shared" si="13"/>
      </c>
    </row>
    <row r="846" spans="10:10">
      <c r="J846">
        <f t="shared" si="13"/>
      </c>
    </row>
    <row r="847" spans="10:10">
      <c r="J847">
        <f t="shared" si="13"/>
      </c>
    </row>
    <row r="848" spans="10:10">
      <c r="J848">
        <f t="shared" si="13"/>
      </c>
    </row>
    <row r="849" spans="10:10">
      <c r="J849">
        <f t="shared" si="13"/>
      </c>
    </row>
    <row r="850" spans="10:10">
      <c r="J850">
        <f t="shared" si="13"/>
      </c>
    </row>
    <row r="851" spans="10:10">
      <c r="J851">
        <f t="shared" si="13"/>
      </c>
    </row>
    <row r="852" spans="10:10">
      <c r="J852">
        <f t="shared" si="13"/>
      </c>
    </row>
    <row r="853" spans="10:10">
      <c r="J853">
        <f t="shared" si="13"/>
      </c>
    </row>
    <row r="854" spans="10:10">
      <c r="J854">
        <f t="shared" si="13"/>
      </c>
    </row>
    <row r="855" spans="10:10">
      <c r="J855">
        <f t="shared" si="13"/>
      </c>
    </row>
    <row r="856" spans="10:10">
      <c r="J856">
        <f t="shared" si="13"/>
      </c>
    </row>
    <row r="857" spans="10:10">
      <c r="J857">
        <f t="shared" si="13"/>
      </c>
    </row>
    <row r="858" spans="10:10">
      <c r="J858">
        <f t="shared" si="13"/>
      </c>
    </row>
    <row r="859" spans="10:10">
      <c r="J859">
        <f t="shared" si="13"/>
      </c>
    </row>
    <row r="860" spans="10:10">
      <c r="J860">
        <f t="shared" si="13"/>
      </c>
    </row>
    <row r="861" spans="10:10">
      <c r="J861">
        <f t="shared" si="13"/>
      </c>
    </row>
    <row r="862" spans="10:10">
      <c r="J862">
        <f t="shared" si="13"/>
      </c>
    </row>
    <row r="863" spans="10:10">
      <c r="J863">
        <f t="shared" si="13"/>
      </c>
    </row>
    <row r="864" spans="10:10">
      <c r="J864">
        <f t="shared" si="13"/>
      </c>
    </row>
    <row r="865" spans="10:10">
      <c r="J865">
        <f t="shared" si="13"/>
      </c>
    </row>
    <row r="866" spans="10:10">
      <c r="J866">
        <f t="shared" si="13"/>
      </c>
    </row>
    <row r="867" spans="10:10">
      <c r="J867">
        <f t="shared" si="13"/>
      </c>
    </row>
    <row r="868" spans="10:10">
      <c r="J868">
        <f t="shared" si="13"/>
      </c>
    </row>
    <row r="869" spans="10:10">
      <c r="J869">
        <f t="shared" si="13"/>
      </c>
    </row>
    <row r="870" spans="10:10">
      <c r="J870">
        <f t="shared" si="13"/>
      </c>
    </row>
    <row r="871" spans="10:10">
      <c r="J871">
        <f t="shared" si="13"/>
      </c>
    </row>
    <row r="872" spans="10:10">
      <c r="J872">
        <f t="shared" si="13"/>
      </c>
    </row>
    <row r="873" spans="10:10">
      <c r="J873">
        <f t="shared" si="13"/>
      </c>
    </row>
    <row r="874" spans="10:10">
      <c r="J874">
        <f t="shared" si="13"/>
      </c>
    </row>
    <row r="875" spans="10:10">
      <c r="J875">
        <f t="shared" si="13"/>
      </c>
    </row>
    <row r="876" spans="10:10">
      <c r="J876">
        <f t="shared" si="13"/>
      </c>
    </row>
    <row r="877" spans="10:10">
      <c r="J877">
        <f t="shared" si="13"/>
      </c>
    </row>
    <row r="878" spans="10:10">
      <c r="J878">
        <f t="shared" si="13"/>
      </c>
    </row>
    <row r="879" spans="10:10">
      <c r="J879">
        <f t="shared" si="13"/>
      </c>
    </row>
    <row r="880" spans="10:10">
      <c r="J880">
        <f t="shared" si="13"/>
      </c>
    </row>
    <row r="881" spans="10:10">
      <c r="J881">
        <f t="shared" si="13"/>
      </c>
    </row>
    <row r="882" spans="10:10">
      <c r="J882">
        <f t="shared" si="13"/>
      </c>
    </row>
    <row r="883" spans="10:10">
      <c r="J883">
        <f t="shared" si="13"/>
      </c>
    </row>
    <row r="884" spans="10:10">
      <c r="J884">
        <f t="shared" si="13"/>
      </c>
    </row>
    <row r="885" spans="10:10">
      <c r="J885">
        <f t="shared" si="13"/>
      </c>
    </row>
    <row r="886" spans="10:10">
      <c r="J886">
        <f t="shared" si="13"/>
      </c>
    </row>
    <row r="887" spans="10:10">
      <c r="J887">
        <f t="shared" si="13"/>
      </c>
    </row>
    <row r="888" spans="10:10">
      <c r="J888">
        <f t="shared" si="13"/>
      </c>
    </row>
    <row r="889" spans="10:10">
      <c r="J889">
        <f t="shared" si="13"/>
      </c>
    </row>
    <row r="890" spans="10:10">
      <c r="J890">
        <f t="shared" si="13"/>
      </c>
    </row>
    <row r="891" spans="10:10">
      <c r="J891">
        <f t="shared" si="13"/>
      </c>
    </row>
    <row r="892" spans="10:10">
      <c r="J892">
        <f t="shared" si="13"/>
      </c>
    </row>
    <row r="893" spans="10:10">
      <c r="J893">
        <f t="shared" si="13"/>
      </c>
    </row>
    <row r="894" spans="10:10">
      <c r="J894">
        <f t="shared" si="13"/>
      </c>
    </row>
    <row r="895" spans="10:10">
      <c r="J895">
        <f t="shared" si="13"/>
      </c>
    </row>
    <row r="896" spans="10:10">
      <c r="J896">
        <f t="shared" si="13"/>
      </c>
    </row>
    <row r="897" spans="10:10">
      <c r="J897">
        <f t="shared" si="13"/>
      </c>
    </row>
    <row r="898" spans="10:10">
      <c r="J898">
        <f t="shared" si="13"/>
      </c>
    </row>
    <row r="899" spans="10:10">
      <c r="J899">
        <f t="shared" si="13"/>
      </c>
    </row>
    <row r="900" spans="10:10">
      <c r="J900">
        <f t="shared" ref="J900:J963" si="14">IF(B900="","", WEEKNUM(B900, 2))</f>
      </c>
    </row>
    <row r="901" spans="10:10">
      <c r="J901">
        <f t="shared" si="14"/>
      </c>
    </row>
    <row r="902" spans="10:10">
      <c r="J902">
        <f t="shared" si="14"/>
      </c>
    </row>
    <row r="903" spans="10:10">
      <c r="J903">
        <f t="shared" si="14"/>
      </c>
    </row>
    <row r="904" spans="10:10">
      <c r="J904">
        <f t="shared" si="14"/>
      </c>
    </row>
    <row r="905" spans="10:10">
      <c r="J905">
        <f t="shared" si="14"/>
      </c>
    </row>
    <row r="906" spans="10:10">
      <c r="J906">
        <f t="shared" si="14"/>
      </c>
    </row>
    <row r="907" spans="10:10">
      <c r="J907">
        <f t="shared" si="14"/>
      </c>
    </row>
    <row r="908" spans="10:10">
      <c r="J908">
        <f t="shared" si="14"/>
      </c>
    </row>
    <row r="909" spans="10:10">
      <c r="J909">
        <f t="shared" si="14"/>
      </c>
    </row>
    <row r="910" spans="10:10">
      <c r="J910">
        <f t="shared" si="14"/>
      </c>
    </row>
    <row r="911" spans="10:10">
      <c r="J911">
        <f t="shared" si="14"/>
      </c>
    </row>
    <row r="912" spans="10:10">
      <c r="J912">
        <f t="shared" si="14"/>
      </c>
    </row>
    <row r="913" spans="10:10">
      <c r="J913">
        <f t="shared" si="14"/>
      </c>
    </row>
    <row r="914" spans="10:10">
      <c r="J914">
        <f t="shared" si="14"/>
      </c>
    </row>
    <row r="915" spans="10:10">
      <c r="J915">
        <f t="shared" si="14"/>
      </c>
    </row>
    <row r="916" spans="10:10">
      <c r="J916">
        <f t="shared" si="14"/>
      </c>
    </row>
    <row r="917" spans="10:10">
      <c r="J917">
        <f t="shared" si="14"/>
      </c>
    </row>
    <row r="918" spans="10:10">
      <c r="J918">
        <f t="shared" si="14"/>
      </c>
    </row>
    <row r="919" spans="10:10">
      <c r="J919">
        <f t="shared" si="14"/>
      </c>
    </row>
    <row r="920" spans="10:10">
      <c r="J920">
        <f t="shared" si="14"/>
      </c>
    </row>
    <row r="921" spans="10:10">
      <c r="J921">
        <f t="shared" si="14"/>
      </c>
    </row>
    <row r="922" spans="10:10">
      <c r="J922">
        <f t="shared" si="14"/>
      </c>
    </row>
    <row r="923" spans="10:10">
      <c r="J923">
        <f t="shared" si="14"/>
      </c>
    </row>
    <row r="924" spans="10:10">
      <c r="J924">
        <f t="shared" si="14"/>
      </c>
    </row>
    <row r="925" spans="10:10">
      <c r="J925">
        <f t="shared" si="14"/>
      </c>
    </row>
    <row r="926" spans="10:10">
      <c r="J926">
        <f t="shared" si="14"/>
      </c>
    </row>
    <row r="927" spans="10:10">
      <c r="J927">
        <f t="shared" si="14"/>
      </c>
    </row>
    <row r="928" spans="10:10">
      <c r="J928">
        <f t="shared" si="14"/>
      </c>
    </row>
    <row r="929" spans="10:10">
      <c r="J929">
        <f t="shared" si="14"/>
      </c>
    </row>
    <row r="930" spans="10:10">
      <c r="J930">
        <f t="shared" si="14"/>
      </c>
    </row>
    <row r="931" spans="10:10">
      <c r="J931">
        <f t="shared" si="14"/>
      </c>
    </row>
    <row r="932" spans="10:10">
      <c r="J932">
        <f t="shared" si="14"/>
      </c>
    </row>
    <row r="933" spans="10:10">
      <c r="J933">
        <f t="shared" si="14"/>
      </c>
    </row>
    <row r="934" spans="10:10">
      <c r="J934">
        <f t="shared" si="14"/>
      </c>
    </row>
    <row r="935" spans="10:10">
      <c r="J935">
        <f t="shared" si="14"/>
      </c>
    </row>
    <row r="936" spans="10:10">
      <c r="J936">
        <f t="shared" si="14"/>
      </c>
    </row>
    <row r="937" spans="10:10">
      <c r="J937">
        <f t="shared" si="14"/>
      </c>
    </row>
    <row r="938" spans="10:10">
      <c r="J938">
        <f t="shared" si="14"/>
      </c>
    </row>
    <row r="939" spans="10:10">
      <c r="J939">
        <f t="shared" si="14"/>
      </c>
    </row>
    <row r="940" spans="10:10">
      <c r="J940">
        <f t="shared" si="14"/>
      </c>
    </row>
    <row r="941" spans="10:10">
      <c r="J941">
        <f t="shared" si="14"/>
      </c>
    </row>
    <row r="942" spans="10:10">
      <c r="J942">
        <f t="shared" si="14"/>
      </c>
    </row>
    <row r="943" spans="10:10">
      <c r="J943">
        <f t="shared" si="14"/>
      </c>
    </row>
    <row r="944" spans="10:10">
      <c r="J944">
        <f t="shared" si="14"/>
      </c>
    </row>
    <row r="945" spans="10:10">
      <c r="J945">
        <f t="shared" si="14"/>
      </c>
    </row>
    <row r="946" spans="10:10">
      <c r="J946">
        <f t="shared" si="14"/>
      </c>
    </row>
    <row r="947" spans="10:10">
      <c r="J947">
        <f t="shared" si="14"/>
      </c>
    </row>
    <row r="948" spans="10:10">
      <c r="J948">
        <f t="shared" si="14"/>
      </c>
    </row>
    <row r="949" spans="10:10">
      <c r="J949">
        <f t="shared" si="14"/>
      </c>
    </row>
    <row r="950" spans="10:10">
      <c r="J950">
        <f t="shared" si="14"/>
      </c>
    </row>
    <row r="951" spans="10:10">
      <c r="J951">
        <f t="shared" si="14"/>
      </c>
    </row>
    <row r="952" spans="10:10">
      <c r="J952">
        <f t="shared" si="14"/>
      </c>
    </row>
    <row r="953" spans="10:10">
      <c r="J953">
        <f t="shared" si="14"/>
      </c>
    </row>
    <row r="954" spans="10:10">
      <c r="J954">
        <f t="shared" si="14"/>
      </c>
    </row>
    <row r="955" spans="10:10">
      <c r="J955">
        <f t="shared" si="14"/>
      </c>
    </row>
    <row r="956" spans="10:10">
      <c r="J956">
        <f t="shared" si="14"/>
      </c>
    </row>
    <row r="957" spans="10:10">
      <c r="J957">
        <f t="shared" si="14"/>
      </c>
    </row>
    <row r="958" spans="10:10">
      <c r="J958">
        <f t="shared" si="14"/>
      </c>
    </row>
    <row r="959" spans="10:10">
      <c r="J959">
        <f t="shared" si="14"/>
      </c>
    </row>
    <row r="960" spans="10:10">
      <c r="J960">
        <f t="shared" si="14"/>
      </c>
    </row>
    <row r="961" spans="10:10">
      <c r="J961">
        <f t="shared" si="14"/>
      </c>
    </row>
    <row r="962" spans="10:10">
      <c r="J962">
        <f t="shared" si="14"/>
      </c>
    </row>
    <row r="963" spans="10:10">
      <c r="J963">
        <f t="shared" si="14"/>
      </c>
    </row>
    <row r="964" spans="10:10">
      <c r="J964">
        <f t="shared" ref="J964:J1027" si="15">IF(B964="","", WEEKNUM(B964, 2))</f>
      </c>
    </row>
    <row r="965" spans="10:10">
      <c r="J965">
        <f t="shared" si="15"/>
      </c>
    </row>
    <row r="966" spans="10:10">
      <c r="J966">
        <f t="shared" si="15"/>
      </c>
    </row>
    <row r="967" spans="10:10">
      <c r="J967">
        <f t="shared" si="15"/>
      </c>
    </row>
    <row r="968" spans="10:10">
      <c r="J968">
        <f t="shared" si="15"/>
      </c>
    </row>
    <row r="969" spans="10:10">
      <c r="J969">
        <f t="shared" si="15"/>
      </c>
    </row>
    <row r="970" spans="10:10">
      <c r="J970">
        <f t="shared" si="15"/>
      </c>
    </row>
    <row r="971" spans="10:10">
      <c r="J971">
        <f t="shared" si="15"/>
      </c>
    </row>
    <row r="972" spans="10:10">
      <c r="J972">
        <f t="shared" si="15"/>
      </c>
    </row>
    <row r="973" spans="10:10">
      <c r="J973">
        <f t="shared" si="15"/>
      </c>
    </row>
    <row r="974" spans="10:10">
      <c r="J974">
        <f t="shared" si="15"/>
      </c>
    </row>
    <row r="975" spans="10:10">
      <c r="J975">
        <f t="shared" si="15"/>
      </c>
    </row>
    <row r="976" spans="10:10">
      <c r="J976">
        <f t="shared" si="15"/>
      </c>
    </row>
    <row r="977" spans="10:10">
      <c r="J977">
        <f t="shared" si="15"/>
      </c>
    </row>
    <row r="978" spans="10:10">
      <c r="J978">
        <f t="shared" si="15"/>
      </c>
    </row>
    <row r="979" spans="10:10">
      <c r="J979">
        <f t="shared" si="15"/>
      </c>
    </row>
    <row r="980" spans="10:10">
      <c r="J980">
        <f t="shared" si="15"/>
      </c>
    </row>
    <row r="981" spans="10:10">
      <c r="J981">
        <f t="shared" si="15"/>
      </c>
    </row>
    <row r="982" spans="10:10">
      <c r="J982">
        <f t="shared" si="15"/>
      </c>
    </row>
    <row r="983" spans="10:10">
      <c r="J983">
        <f t="shared" si="15"/>
      </c>
    </row>
    <row r="984" spans="10:10">
      <c r="J984">
        <f t="shared" si="15"/>
      </c>
    </row>
    <row r="985" spans="10:10">
      <c r="J985">
        <f t="shared" si="15"/>
      </c>
    </row>
    <row r="986" spans="10:10">
      <c r="J986">
        <f t="shared" si="15"/>
      </c>
    </row>
    <row r="987" spans="10:10">
      <c r="J987">
        <f t="shared" si="15"/>
      </c>
    </row>
    <row r="988" spans="10:10">
      <c r="J988">
        <f t="shared" si="15"/>
      </c>
    </row>
    <row r="989" spans="10:10">
      <c r="J989">
        <f t="shared" si="15"/>
      </c>
    </row>
    <row r="990" spans="10:10">
      <c r="J990">
        <f t="shared" si="15"/>
      </c>
    </row>
    <row r="991" spans="10:10">
      <c r="J991">
        <f t="shared" si="15"/>
      </c>
    </row>
    <row r="992" spans="10:10">
      <c r="J992">
        <f t="shared" si="15"/>
      </c>
    </row>
    <row r="993" spans="10:10">
      <c r="J993">
        <f t="shared" si="15"/>
      </c>
    </row>
    <row r="994" spans="10:10">
      <c r="J994">
        <f t="shared" si="15"/>
      </c>
    </row>
    <row r="995" spans="10:10">
      <c r="J995">
        <f t="shared" si="15"/>
      </c>
    </row>
    <row r="996" spans="10:10">
      <c r="J996">
        <f t="shared" si="15"/>
      </c>
    </row>
    <row r="997" spans="10:10">
      <c r="J997">
        <f t="shared" si="15"/>
      </c>
    </row>
    <row r="998" spans="10:10">
      <c r="J998">
        <f t="shared" si="15"/>
      </c>
    </row>
    <row r="999" spans="10:10">
      <c r="J999">
        <f t="shared" si="15"/>
      </c>
    </row>
    <row r="1000" spans="10:10">
      <c r="J1000">
        <f t="shared" si="15"/>
      </c>
    </row>
    <row r="1001" spans="10:10">
      <c r="J1001">
        <f t="shared" si="15"/>
      </c>
    </row>
    <row r="1002" spans="10:10">
      <c r="J1002">
        <f t="shared" si="15"/>
      </c>
    </row>
    <row r="1003" spans="10:10">
      <c r="J1003">
        <f t="shared" si="15"/>
      </c>
    </row>
    <row r="1004" spans="10:10">
      <c r="J1004">
        <f t="shared" si="15"/>
      </c>
    </row>
    <row r="1005" spans="10:10">
      <c r="J1005">
        <f t="shared" si="15"/>
      </c>
    </row>
    <row r="1006" spans="10:10">
      <c r="J1006">
        <f t="shared" si="15"/>
      </c>
    </row>
    <row r="1007" spans="10:10">
      <c r="J1007">
        <f t="shared" si="15"/>
      </c>
    </row>
    <row r="1008" spans="10:10">
      <c r="J1008">
        <f t="shared" si="15"/>
      </c>
    </row>
    <row r="1009" spans="10:10">
      <c r="J1009">
        <f t="shared" si="15"/>
      </c>
    </row>
    <row r="1010" spans="10:10">
      <c r="J1010">
        <f t="shared" si="15"/>
      </c>
    </row>
    <row r="1011" spans="10:10">
      <c r="J1011">
        <f t="shared" si="15"/>
      </c>
    </row>
    <row r="1012" spans="10:10">
      <c r="J1012">
        <f t="shared" si="15"/>
      </c>
    </row>
    <row r="1013" spans="10:10">
      <c r="J1013">
        <f t="shared" si="15"/>
      </c>
    </row>
    <row r="1014" spans="10:10">
      <c r="J1014">
        <f t="shared" si="15"/>
      </c>
    </row>
    <row r="1015" spans="10:10">
      <c r="J1015">
        <f t="shared" si="15"/>
      </c>
    </row>
    <row r="1016" spans="10:10">
      <c r="J1016">
        <f t="shared" si="15"/>
      </c>
    </row>
    <row r="1017" spans="10:10">
      <c r="J1017">
        <f t="shared" si="15"/>
      </c>
    </row>
    <row r="1018" spans="10:10">
      <c r="J1018">
        <f t="shared" si="15"/>
      </c>
    </row>
    <row r="1019" spans="10:10">
      <c r="J1019">
        <f t="shared" si="15"/>
      </c>
    </row>
    <row r="1020" spans="10:10">
      <c r="J1020">
        <f t="shared" si="15"/>
      </c>
    </row>
    <row r="1021" spans="10:10">
      <c r="J1021">
        <f t="shared" si="15"/>
      </c>
    </row>
    <row r="1022" spans="10:10">
      <c r="J1022">
        <f t="shared" si="15"/>
      </c>
    </row>
    <row r="1023" spans="10:10">
      <c r="J1023">
        <f t="shared" si="15"/>
      </c>
    </row>
    <row r="1024" spans="10:10">
      <c r="J1024">
        <f t="shared" si="15"/>
      </c>
    </row>
    <row r="1025" spans="10:10">
      <c r="J1025">
        <f t="shared" si="15"/>
      </c>
    </row>
    <row r="1026" spans="10:10">
      <c r="J1026">
        <f t="shared" si="15"/>
      </c>
    </row>
    <row r="1027" spans="10:10">
      <c r="J1027">
        <f t="shared" si="15"/>
      </c>
    </row>
    <row r="1028" spans="10:10">
      <c r="J1028">
        <f t="shared" ref="J1028:J1091" si="16">IF(B1028="","", WEEKNUM(B1028, 2))</f>
      </c>
    </row>
    <row r="1029" spans="10:10">
      <c r="J1029">
        <f t="shared" si="16"/>
      </c>
    </row>
    <row r="1030" spans="10:10">
      <c r="J1030">
        <f t="shared" si="16"/>
      </c>
    </row>
    <row r="1031" spans="10:10">
      <c r="J1031">
        <f t="shared" si="16"/>
      </c>
    </row>
    <row r="1032" spans="10:10">
      <c r="J1032">
        <f t="shared" si="16"/>
      </c>
    </row>
    <row r="1033" spans="10:10">
      <c r="J1033">
        <f t="shared" si="16"/>
      </c>
    </row>
    <row r="1034" spans="10:10">
      <c r="J1034">
        <f t="shared" si="16"/>
      </c>
    </row>
    <row r="1035" spans="10:10">
      <c r="J1035">
        <f t="shared" si="16"/>
      </c>
    </row>
    <row r="1036" spans="10:10">
      <c r="J1036">
        <f t="shared" si="16"/>
      </c>
    </row>
    <row r="1037" spans="10:10">
      <c r="J1037">
        <f t="shared" si="16"/>
      </c>
    </row>
    <row r="1038" spans="10:10">
      <c r="J1038">
        <f t="shared" si="16"/>
      </c>
    </row>
    <row r="1039" spans="10:10">
      <c r="J1039">
        <f t="shared" si="16"/>
      </c>
    </row>
    <row r="1040" spans="10:10">
      <c r="J1040">
        <f t="shared" si="16"/>
      </c>
    </row>
    <row r="1041" spans="10:10">
      <c r="J1041">
        <f t="shared" si="16"/>
      </c>
    </row>
    <row r="1042" spans="10:10">
      <c r="J1042">
        <f t="shared" si="16"/>
      </c>
    </row>
    <row r="1043" spans="10:10">
      <c r="J1043">
        <f t="shared" si="16"/>
      </c>
    </row>
    <row r="1044" spans="10:10">
      <c r="J1044">
        <f t="shared" si="16"/>
      </c>
    </row>
    <row r="1045" spans="10:10">
      <c r="J1045">
        <f t="shared" si="16"/>
      </c>
    </row>
    <row r="1046" spans="10:10">
      <c r="J1046">
        <f t="shared" si="16"/>
      </c>
    </row>
    <row r="1047" spans="10:10">
      <c r="J1047">
        <f t="shared" si="16"/>
      </c>
    </row>
    <row r="1048" spans="10:10">
      <c r="J1048">
        <f t="shared" si="16"/>
      </c>
    </row>
    <row r="1049" spans="10:10">
      <c r="J1049">
        <f t="shared" si="16"/>
      </c>
    </row>
    <row r="1050" spans="10:10">
      <c r="J1050">
        <f t="shared" si="16"/>
      </c>
    </row>
    <row r="1051" spans="10:10">
      <c r="J1051">
        <f t="shared" si="16"/>
      </c>
    </row>
    <row r="1052" spans="10:10">
      <c r="J1052">
        <f t="shared" si="16"/>
      </c>
    </row>
    <row r="1053" spans="10:10">
      <c r="J1053">
        <f t="shared" si="16"/>
      </c>
    </row>
    <row r="1054" spans="10:10">
      <c r="J1054">
        <f t="shared" si="16"/>
      </c>
    </row>
    <row r="1055" spans="10:10">
      <c r="J1055">
        <f t="shared" si="16"/>
      </c>
    </row>
    <row r="1056" spans="10:10">
      <c r="J1056">
        <f t="shared" si="16"/>
      </c>
    </row>
    <row r="1057" spans="10:10">
      <c r="J1057">
        <f t="shared" si="16"/>
      </c>
    </row>
    <row r="1058" spans="10:10">
      <c r="J1058">
        <f t="shared" si="16"/>
      </c>
    </row>
    <row r="1059" spans="10:10">
      <c r="J1059">
        <f t="shared" si="16"/>
      </c>
    </row>
    <row r="1060" spans="10:10">
      <c r="J1060">
        <f t="shared" si="16"/>
      </c>
    </row>
    <row r="1061" spans="10:10">
      <c r="J1061">
        <f t="shared" si="16"/>
      </c>
    </row>
    <row r="1062" spans="10:10">
      <c r="J1062">
        <f t="shared" si="16"/>
      </c>
    </row>
    <row r="1063" spans="10:10">
      <c r="J1063">
        <f t="shared" si="16"/>
      </c>
    </row>
    <row r="1064" spans="10:10">
      <c r="J1064">
        <f t="shared" si="16"/>
      </c>
    </row>
    <row r="1065" spans="10:10">
      <c r="J1065">
        <f t="shared" si="16"/>
      </c>
    </row>
    <row r="1066" spans="10:10">
      <c r="J1066">
        <f t="shared" si="16"/>
      </c>
    </row>
    <row r="1067" spans="10:10">
      <c r="J1067">
        <f t="shared" si="16"/>
      </c>
    </row>
    <row r="1068" spans="10:10">
      <c r="J1068">
        <f t="shared" si="16"/>
      </c>
    </row>
    <row r="1069" spans="10:10">
      <c r="J1069">
        <f t="shared" si="16"/>
      </c>
    </row>
    <row r="1070" spans="10:10">
      <c r="J1070">
        <f t="shared" si="16"/>
      </c>
    </row>
    <row r="1071" spans="10:10">
      <c r="J1071">
        <f t="shared" si="16"/>
      </c>
    </row>
    <row r="1072" spans="10:10">
      <c r="J1072">
        <f t="shared" si="16"/>
      </c>
    </row>
    <row r="1073" spans="10:10">
      <c r="J1073">
        <f t="shared" si="16"/>
      </c>
    </row>
    <row r="1074" spans="10:10">
      <c r="J1074">
        <f t="shared" si="16"/>
      </c>
    </row>
    <row r="1075" spans="10:10">
      <c r="J1075">
        <f t="shared" si="16"/>
      </c>
    </row>
    <row r="1076" spans="10:10">
      <c r="J1076">
        <f t="shared" si="16"/>
      </c>
    </row>
    <row r="1077" spans="10:10">
      <c r="J1077">
        <f t="shared" si="16"/>
      </c>
    </row>
    <row r="1078" spans="10:10">
      <c r="J1078">
        <f t="shared" si="16"/>
      </c>
    </row>
    <row r="1079" spans="10:10">
      <c r="J1079">
        <f t="shared" si="16"/>
      </c>
    </row>
    <row r="1080" spans="10:10">
      <c r="J1080">
        <f t="shared" si="16"/>
      </c>
    </row>
    <row r="1081" spans="10:10">
      <c r="J1081">
        <f t="shared" si="16"/>
      </c>
    </row>
    <row r="1082" spans="10:10">
      <c r="J1082">
        <f t="shared" si="16"/>
      </c>
    </row>
    <row r="1083" spans="10:10">
      <c r="J1083">
        <f t="shared" si="16"/>
      </c>
    </row>
    <row r="1084" spans="10:10">
      <c r="J1084">
        <f t="shared" si="16"/>
      </c>
    </row>
    <row r="1085" spans="10:10">
      <c r="J1085">
        <f t="shared" si="16"/>
      </c>
    </row>
    <row r="1086" spans="10:10">
      <c r="J1086">
        <f t="shared" si="16"/>
      </c>
    </row>
    <row r="1087" spans="10:10">
      <c r="J1087">
        <f t="shared" si="16"/>
      </c>
    </row>
    <row r="1088" spans="10:10">
      <c r="J1088">
        <f t="shared" si="16"/>
      </c>
    </row>
    <row r="1089" spans="10:10">
      <c r="J1089">
        <f t="shared" si="16"/>
      </c>
    </row>
    <row r="1090" spans="10:10">
      <c r="J1090">
        <f t="shared" si="16"/>
      </c>
    </row>
    <row r="1091" spans="10:10">
      <c r="J1091">
        <f t="shared" si="16"/>
      </c>
    </row>
    <row r="1092" spans="10:10">
      <c r="J1092">
        <f t="shared" ref="J1092:J1155" si="17">IF(B1092="","", WEEKNUM(B1092, 2))</f>
      </c>
    </row>
    <row r="1093" spans="10:10">
      <c r="J1093">
        <f t="shared" si="17"/>
      </c>
    </row>
    <row r="1094" spans="10:10">
      <c r="J1094">
        <f t="shared" si="17"/>
      </c>
    </row>
    <row r="1095" spans="10:10">
      <c r="J1095">
        <f t="shared" si="17"/>
      </c>
    </row>
    <row r="1096" spans="10:10">
      <c r="J1096">
        <f t="shared" si="17"/>
      </c>
    </row>
    <row r="1097" spans="10:10">
      <c r="J1097">
        <f t="shared" si="17"/>
      </c>
    </row>
    <row r="1098" spans="10:10">
      <c r="J1098">
        <f t="shared" si="17"/>
      </c>
    </row>
    <row r="1099" spans="10:10">
      <c r="J1099">
        <f t="shared" si="17"/>
      </c>
    </row>
    <row r="1100" spans="10:10">
      <c r="J1100">
        <f t="shared" si="17"/>
      </c>
    </row>
    <row r="1101" spans="10:10">
      <c r="J1101">
        <f t="shared" si="17"/>
      </c>
    </row>
    <row r="1102" spans="10:10">
      <c r="J1102">
        <f t="shared" si="17"/>
      </c>
    </row>
    <row r="1103" spans="10:10">
      <c r="J1103">
        <f t="shared" si="17"/>
      </c>
    </row>
    <row r="1104" spans="10:10">
      <c r="J1104">
        <f t="shared" si="17"/>
      </c>
    </row>
    <row r="1105" spans="10:10">
      <c r="J1105">
        <f t="shared" si="17"/>
      </c>
    </row>
    <row r="1106" spans="10:10">
      <c r="J1106">
        <f t="shared" si="17"/>
      </c>
    </row>
    <row r="1107" spans="10:10">
      <c r="J1107">
        <f t="shared" si="17"/>
      </c>
    </row>
    <row r="1108" spans="10:10">
      <c r="J1108">
        <f t="shared" si="17"/>
      </c>
    </row>
    <row r="1109" spans="10:10">
      <c r="J1109">
        <f t="shared" si="17"/>
      </c>
    </row>
    <row r="1110" spans="10:10">
      <c r="J1110">
        <f t="shared" si="17"/>
      </c>
    </row>
    <row r="1111" spans="10:10">
      <c r="J1111">
        <f t="shared" si="17"/>
      </c>
    </row>
    <row r="1112" spans="10:10">
      <c r="J1112">
        <f t="shared" si="17"/>
      </c>
    </row>
    <row r="1113" spans="10:10">
      <c r="J1113">
        <f t="shared" si="17"/>
      </c>
    </row>
    <row r="1114" spans="10:10">
      <c r="J1114">
        <f t="shared" si="17"/>
      </c>
    </row>
    <row r="1115" spans="10:10">
      <c r="J1115">
        <f t="shared" si="17"/>
      </c>
    </row>
    <row r="1116" spans="10:10">
      <c r="J1116">
        <f t="shared" si="17"/>
      </c>
    </row>
    <row r="1117" spans="10:10">
      <c r="J1117">
        <f t="shared" si="17"/>
      </c>
    </row>
    <row r="1118" spans="10:10">
      <c r="J1118">
        <f t="shared" si="17"/>
      </c>
    </row>
    <row r="1119" spans="10:10">
      <c r="J1119">
        <f t="shared" si="17"/>
      </c>
    </row>
    <row r="1120" spans="10:10">
      <c r="J1120">
        <f t="shared" si="17"/>
      </c>
    </row>
    <row r="1121" spans="10:10">
      <c r="J1121">
        <f t="shared" si="17"/>
      </c>
    </row>
    <row r="1122" spans="10:10">
      <c r="J1122">
        <f t="shared" si="17"/>
      </c>
    </row>
    <row r="1123" spans="10:10">
      <c r="J1123">
        <f t="shared" si="17"/>
      </c>
    </row>
    <row r="1124" spans="10:10">
      <c r="J1124">
        <f t="shared" si="17"/>
      </c>
    </row>
    <row r="1125" spans="10:10">
      <c r="J1125">
        <f t="shared" si="17"/>
      </c>
    </row>
    <row r="1126" spans="10:10">
      <c r="J1126">
        <f t="shared" si="17"/>
      </c>
    </row>
    <row r="1127" spans="10:10">
      <c r="J1127">
        <f t="shared" si="17"/>
      </c>
    </row>
    <row r="1128" spans="10:10">
      <c r="J1128">
        <f t="shared" si="17"/>
      </c>
    </row>
    <row r="1129" spans="10:10">
      <c r="J1129">
        <f t="shared" si="17"/>
      </c>
    </row>
    <row r="1130" spans="10:10">
      <c r="J1130">
        <f t="shared" si="17"/>
      </c>
    </row>
    <row r="1131" spans="10:10">
      <c r="J1131">
        <f t="shared" si="17"/>
      </c>
    </row>
    <row r="1132" spans="10:10">
      <c r="J1132">
        <f t="shared" si="17"/>
      </c>
    </row>
    <row r="1133" spans="10:10">
      <c r="J1133">
        <f t="shared" si="17"/>
      </c>
    </row>
    <row r="1134" spans="10:10">
      <c r="J1134">
        <f t="shared" si="17"/>
      </c>
    </row>
    <row r="1135" spans="10:10">
      <c r="J1135">
        <f t="shared" si="17"/>
      </c>
    </row>
    <row r="1136" spans="10:10">
      <c r="J1136">
        <f t="shared" si="17"/>
      </c>
    </row>
    <row r="1137" spans="10:10">
      <c r="J1137">
        <f t="shared" si="17"/>
      </c>
    </row>
    <row r="1138" spans="10:10">
      <c r="J1138">
        <f t="shared" si="17"/>
      </c>
    </row>
    <row r="1139" spans="10:10">
      <c r="J1139">
        <f t="shared" si="17"/>
      </c>
    </row>
    <row r="1140" spans="10:10">
      <c r="J1140">
        <f t="shared" si="17"/>
      </c>
    </row>
    <row r="1141" spans="10:10">
      <c r="J1141">
        <f t="shared" si="17"/>
      </c>
    </row>
    <row r="1142" spans="10:10">
      <c r="J1142">
        <f t="shared" si="17"/>
      </c>
    </row>
    <row r="1143" spans="10:10">
      <c r="J1143">
        <f t="shared" si="17"/>
      </c>
    </row>
    <row r="1144" spans="10:10">
      <c r="J1144">
        <f t="shared" si="17"/>
      </c>
    </row>
    <row r="1145" spans="10:10">
      <c r="J1145">
        <f t="shared" si="17"/>
      </c>
    </row>
    <row r="1146" spans="10:10">
      <c r="J1146">
        <f t="shared" si="17"/>
      </c>
    </row>
    <row r="1147" spans="10:10">
      <c r="J1147">
        <f t="shared" si="17"/>
      </c>
    </row>
    <row r="1148" spans="10:10">
      <c r="J1148">
        <f t="shared" si="17"/>
      </c>
    </row>
    <row r="1149" spans="10:10">
      <c r="J1149">
        <f t="shared" si="17"/>
      </c>
    </row>
    <row r="1150" spans="10:10">
      <c r="J1150">
        <f t="shared" si="17"/>
      </c>
    </row>
    <row r="1151" spans="10:10">
      <c r="J1151">
        <f t="shared" si="17"/>
      </c>
    </row>
    <row r="1152" spans="10:10">
      <c r="J1152">
        <f t="shared" si="17"/>
      </c>
    </row>
    <row r="1153" spans="10:10">
      <c r="J1153">
        <f t="shared" si="17"/>
      </c>
    </row>
    <row r="1154" spans="10:10">
      <c r="J1154">
        <f t="shared" si="17"/>
      </c>
    </row>
    <row r="1155" spans="10:10">
      <c r="J1155">
        <f t="shared" si="17"/>
      </c>
    </row>
    <row r="1156" spans="10:10">
      <c r="J1156">
        <f t="shared" ref="J1156:J1219" si="18">IF(B1156="","", WEEKNUM(B1156, 2))</f>
      </c>
    </row>
    <row r="1157" spans="10:10">
      <c r="J1157">
        <f t="shared" si="18"/>
      </c>
    </row>
    <row r="1158" spans="10:10">
      <c r="J1158">
        <f t="shared" si="18"/>
      </c>
    </row>
    <row r="1159" spans="10:10">
      <c r="J1159">
        <f t="shared" si="18"/>
      </c>
    </row>
    <row r="1160" spans="10:10">
      <c r="J1160">
        <f t="shared" si="18"/>
      </c>
    </row>
    <row r="1161" spans="10:10">
      <c r="J1161">
        <f t="shared" si="18"/>
      </c>
    </row>
    <row r="1162" spans="10:10">
      <c r="J1162">
        <f t="shared" si="18"/>
      </c>
    </row>
    <row r="1163" spans="10:10">
      <c r="J1163">
        <f t="shared" si="18"/>
      </c>
    </row>
    <row r="1164" spans="10:10">
      <c r="J1164">
        <f t="shared" si="18"/>
      </c>
    </row>
    <row r="1165" spans="10:10">
      <c r="J1165">
        <f t="shared" si="18"/>
      </c>
    </row>
    <row r="1166" spans="10:10">
      <c r="J1166">
        <f t="shared" si="18"/>
      </c>
    </row>
    <row r="1167" spans="10:10">
      <c r="J1167">
        <f t="shared" si="18"/>
      </c>
    </row>
    <row r="1168" spans="10:10">
      <c r="J1168">
        <f t="shared" si="18"/>
      </c>
    </row>
    <row r="1169" spans="10:10">
      <c r="J1169">
        <f t="shared" si="18"/>
      </c>
    </row>
    <row r="1170" spans="10:10">
      <c r="J1170">
        <f t="shared" si="18"/>
      </c>
    </row>
    <row r="1171" spans="10:10">
      <c r="J1171">
        <f t="shared" si="18"/>
      </c>
    </row>
    <row r="1172" spans="10:10">
      <c r="J1172">
        <f t="shared" si="18"/>
      </c>
    </row>
    <row r="1173" spans="10:10">
      <c r="J1173">
        <f t="shared" si="18"/>
      </c>
    </row>
    <row r="1174" spans="10:10">
      <c r="J1174">
        <f t="shared" si="18"/>
      </c>
    </row>
    <row r="1175" spans="10:10">
      <c r="J1175">
        <f t="shared" si="18"/>
      </c>
    </row>
    <row r="1176" spans="10:10">
      <c r="J1176">
        <f t="shared" si="18"/>
      </c>
    </row>
    <row r="1177" spans="10:10">
      <c r="J1177">
        <f t="shared" si="18"/>
      </c>
    </row>
    <row r="1178" spans="10:10">
      <c r="J1178">
        <f t="shared" si="18"/>
      </c>
    </row>
    <row r="1179" spans="10:10">
      <c r="J1179">
        <f t="shared" si="18"/>
      </c>
    </row>
    <row r="1180" spans="10:10">
      <c r="J1180">
        <f t="shared" si="18"/>
      </c>
    </row>
    <row r="1181" spans="10:10">
      <c r="J1181">
        <f t="shared" si="18"/>
      </c>
    </row>
    <row r="1182" spans="10:10">
      <c r="J1182">
        <f t="shared" si="18"/>
      </c>
    </row>
    <row r="1183" spans="10:10">
      <c r="J1183">
        <f t="shared" si="18"/>
      </c>
    </row>
    <row r="1184" spans="10:10">
      <c r="J1184">
        <f t="shared" si="18"/>
      </c>
    </row>
    <row r="1185" spans="10:10">
      <c r="J1185">
        <f t="shared" si="18"/>
      </c>
    </row>
    <row r="1186" spans="10:10">
      <c r="J1186">
        <f t="shared" si="18"/>
      </c>
    </row>
    <row r="1187" spans="10:10">
      <c r="J1187">
        <f t="shared" si="18"/>
      </c>
    </row>
    <row r="1188" spans="10:10">
      <c r="J1188">
        <f t="shared" si="18"/>
      </c>
    </row>
    <row r="1189" spans="10:10">
      <c r="J1189">
        <f t="shared" si="18"/>
      </c>
    </row>
    <row r="1190" spans="10:10">
      <c r="J1190">
        <f t="shared" si="18"/>
      </c>
    </row>
    <row r="1191" spans="10:10">
      <c r="J1191">
        <f t="shared" si="18"/>
      </c>
    </row>
    <row r="1192" spans="10:10">
      <c r="J1192">
        <f t="shared" si="18"/>
      </c>
    </row>
    <row r="1193" spans="10:10">
      <c r="J1193">
        <f t="shared" si="18"/>
      </c>
    </row>
    <row r="1194" spans="10:10">
      <c r="J1194">
        <f t="shared" si="18"/>
      </c>
    </row>
    <row r="1195" spans="10:10">
      <c r="J1195">
        <f t="shared" si="18"/>
      </c>
    </row>
    <row r="1196" spans="10:10">
      <c r="J1196">
        <f t="shared" si="18"/>
      </c>
    </row>
    <row r="1197" spans="10:10">
      <c r="J1197">
        <f t="shared" si="18"/>
      </c>
    </row>
    <row r="1198" spans="10:10">
      <c r="J1198">
        <f t="shared" si="18"/>
      </c>
    </row>
    <row r="1199" spans="10:10">
      <c r="J1199">
        <f t="shared" si="18"/>
      </c>
    </row>
    <row r="1200" spans="10:10">
      <c r="J1200">
        <f t="shared" si="18"/>
      </c>
    </row>
    <row r="1201" spans="10:10">
      <c r="J1201">
        <f t="shared" si="18"/>
      </c>
    </row>
    <row r="1202" spans="10:10">
      <c r="J1202">
        <f t="shared" si="18"/>
      </c>
    </row>
    <row r="1203" spans="10:10">
      <c r="J1203">
        <f t="shared" si="18"/>
      </c>
    </row>
    <row r="1204" spans="10:10">
      <c r="J1204">
        <f t="shared" si="18"/>
      </c>
    </row>
    <row r="1205" spans="10:10">
      <c r="J1205">
        <f t="shared" si="18"/>
      </c>
    </row>
    <row r="1206" spans="10:10">
      <c r="J1206">
        <f t="shared" si="18"/>
      </c>
    </row>
    <row r="1207" spans="10:10">
      <c r="J1207">
        <f t="shared" si="18"/>
      </c>
    </row>
    <row r="1208" spans="10:10">
      <c r="J1208">
        <f t="shared" si="18"/>
      </c>
    </row>
    <row r="1209" spans="10:10">
      <c r="J1209">
        <f t="shared" si="18"/>
      </c>
    </row>
    <row r="1210" spans="10:10">
      <c r="J1210">
        <f t="shared" si="18"/>
      </c>
    </row>
    <row r="1211" spans="10:10">
      <c r="J1211">
        <f t="shared" si="18"/>
      </c>
    </row>
    <row r="1212" spans="10:10">
      <c r="J1212">
        <f t="shared" si="18"/>
      </c>
    </row>
    <row r="1213" spans="10:10">
      <c r="J1213">
        <f t="shared" si="18"/>
      </c>
    </row>
    <row r="1214" spans="10:10">
      <c r="J1214">
        <f t="shared" si="18"/>
      </c>
    </row>
    <row r="1215" spans="10:10">
      <c r="J1215">
        <f t="shared" si="18"/>
      </c>
    </row>
    <row r="1216" spans="10:10">
      <c r="J1216">
        <f t="shared" si="18"/>
      </c>
    </row>
    <row r="1217" spans="10:10">
      <c r="J1217">
        <f t="shared" si="18"/>
      </c>
    </row>
    <row r="1218" spans="10:10">
      <c r="J1218">
        <f t="shared" si="18"/>
      </c>
    </row>
    <row r="1219" spans="10:10">
      <c r="J1219">
        <f t="shared" si="18"/>
      </c>
    </row>
    <row r="1220" spans="10:10">
      <c r="J1220">
        <f t="shared" ref="J1220:J1283" si="19">IF(B1220="","", WEEKNUM(B1220, 2))</f>
      </c>
    </row>
    <row r="1221" spans="10:10">
      <c r="J1221">
        <f t="shared" si="19"/>
      </c>
    </row>
    <row r="1222" spans="10:10">
      <c r="J1222">
        <f t="shared" si="19"/>
      </c>
    </row>
    <row r="1223" spans="10:10">
      <c r="J1223">
        <f t="shared" si="19"/>
      </c>
    </row>
    <row r="1224" spans="10:10">
      <c r="J1224">
        <f t="shared" si="19"/>
      </c>
    </row>
    <row r="1225" spans="10:10">
      <c r="J1225">
        <f t="shared" si="19"/>
      </c>
    </row>
    <row r="1226" spans="10:10">
      <c r="J1226">
        <f t="shared" si="19"/>
      </c>
    </row>
    <row r="1227" spans="10:10">
      <c r="J1227">
        <f t="shared" si="19"/>
      </c>
    </row>
    <row r="1228" spans="10:10">
      <c r="J1228">
        <f t="shared" si="19"/>
      </c>
    </row>
    <row r="1229" spans="10:10">
      <c r="J1229">
        <f t="shared" si="19"/>
      </c>
    </row>
    <row r="1230" spans="10:10">
      <c r="J1230">
        <f t="shared" si="19"/>
      </c>
    </row>
    <row r="1231" spans="10:10">
      <c r="J1231">
        <f t="shared" si="19"/>
      </c>
    </row>
    <row r="1232" spans="10:10">
      <c r="J1232">
        <f t="shared" si="19"/>
      </c>
    </row>
    <row r="1233" spans="10:10">
      <c r="J1233">
        <f t="shared" si="19"/>
      </c>
    </row>
    <row r="1234" spans="10:10">
      <c r="J1234">
        <f t="shared" si="19"/>
      </c>
    </row>
    <row r="1235" spans="10:10">
      <c r="J1235">
        <f t="shared" si="19"/>
      </c>
    </row>
    <row r="1236" spans="10:10">
      <c r="J1236">
        <f t="shared" si="19"/>
      </c>
    </row>
    <row r="1237" spans="10:10">
      <c r="J1237">
        <f t="shared" si="19"/>
      </c>
    </row>
    <row r="1238" spans="10:10">
      <c r="J1238">
        <f t="shared" si="19"/>
      </c>
    </row>
    <row r="1239" spans="10:10">
      <c r="J1239">
        <f t="shared" si="19"/>
      </c>
    </row>
    <row r="1240" spans="10:10">
      <c r="J1240">
        <f t="shared" si="19"/>
      </c>
    </row>
    <row r="1241" spans="10:10">
      <c r="J1241">
        <f t="shared" si="19"/>
      </c>
    </row>
    <row r="1242" spans="10:10">
      <c r="J1242">
        <f t="shared" si="19"/>
      </c>
    </row>
    <row r="1243" spans="10:10">
      <c r="J1243">
        <f t="shared" si="19"/>
      </c>
    </row>
    <row r="1244" spans="10:10">
      <c r="J1244">
        <f t="shared" si="19"/>
      </c>
    </row>
    <row r="1245" spans="10:10">
      <c r="J1245">
        <f t="shared" si="19"/>
      </c>
    </row>
    <row r="1246" spans="10:10">
      <c r="J1246">
        <f t="shared" si="19"/>
      </c>
    </row>
    <row r="1247" spans="10:10">
      <c r="J1247">
        <f t="shared" si="19"/>
      </c>
    </row>
    <row r="1248" spans="10:10">
      <c r="J1248">
        <f t="shared" si="19"/>
      </c>
    </row>
    <row r="1249" spans="10:10">
      <c r="J1249">
        <f t="shared" si="19"/>
      </c>
    </row>
    <row r="1250" spans="10:10">
      <c r="J1250">
        <f t="shared" si="19"/>
      </c>
    </row>
    <row r="1251" spans="10:10">
      <c r="J1251">
        <f t="shared" si="19"/>
      </c>
    </row>
    <row r="1252" spans="10:10">
      <c r="J1252">
        <f t="shared" si="19"/>
      </c>
    </row>
    <row r="1253" spans="10:10">
      <c r="J1253">
        <f t="shared" si="19"/>
      </c>
    </row>
    <row r="1254" spans="10:10">
      <c r="J1254">
        <f t="shared" si="19"/>
      </c>
    </row>
    <row r="1255" spans="10:10">
      <c r="J1255">
        <f t="shared" si="19"/>
      </c>
    </row>
    <row r="1256" spans="10:10">
      <c r="J1256">
        <f t="shared" si="19"/>
      </c>
    </row>
    <row r="1257" spans="10:10">
      <c r="J1257">
        <f t="shared" si="19"/>
      </c>
    </row>
    <row r="1258" spans="10:10">
      <c r="J1258">
        <f t="shared" si="19"/>
      </c>
    </row>
    <row r="1259" spans="10:10">
      <c r="J1259">
        <f t="shared" si="19"/>
      </c>
    </row>
    <row r="1260" spans="10:10">
      <c r="J1260">
        <f t="shared" si="19"/>
      </c>
    </row>
    <row r="1261" spans="10:10">
      <c r="J1261">
        <f t="shared" si="19"/>
      </c>
    </row>
    <row r="1262" spans="10:10">
      <c r="J1262">
        <f t="shared" si="19"/>
      </c>
    </row>
    <row r="1263" spans="10:10">
      <c r="J1263">
        <f t="shared" si="19"/>
      </c>
    </row>
    <row r="1264" spans="10:10">
      <c r="J1264">
        <f t="shared" si="19"/>
      </c>
    </row>
    <row r="1265" spans="10:10">
      <c r="J1265">
        <f t="shared" si="19"/>
      </c>
    </row>
    <row r="1266" spans="10:10">
      <c r="J1266">
        <f t="shared" si="19"/>
      </c>
    </row>
    <row r="1267" spans="10:10">
      <c r="J1267">
        <f t="shared" si="19"/>
      </c>
    </row>
    <row r="1268" spans="10:10">
      <c r="J1268">
        <f t="shared" si="19"/>
      </c>
    </row>
    <row r="1269" spans="10:10">
      <c r="J1269">
        <f t="shared" si="19"/>
      </c>
    </row>
    <row r="1270" spans="10:10">
      <c r="J1270">
        <f t="shared" si="19"/>
      </c>
    </row>
    <row r="1271" spans="10:10">
      <c r="J1271">
        <f t="shared" si="19"/>
      </c>
    </row>
    <row r="1272" spans="10:10">
      <c r="J1272">
        <f t="shared" si="19"/>
      </c>
    </row>
    <row r="1273" spans="10:10">
      <c r="J1273">
        <f t="shared" si="19"/>
      </c>
    </row>
    <row r="1274" spans="10:10">
      <c r="J1274">
        <f t="shared" si="19"/>
      </c>
    </row>
    <row r="1275" spans="10:10">
      <c r="J1275">
        <f t="shared" si="19"/>
      </c>
    </row>
    <row r="1276" spans="10:10">
      <c r="J1276">
        <f t="shared" si="19"/>
      </c>
    </row>
    <row r="1277" spans="10:10">
      <c r="J1277">
        <f t="shared" si="19"/>
      </c>
    </row>
    <row r="1278" spans="10:10">
      <c r="J1278">
        <f t="shared" si="19"/>
      </c>
    </row>
    <row r="1279" spans="10:10">
      <c r="J1279">
        <f t="shared" si="19"/>
      </c>
    </row>
    <row r="1280" spans="10:10">
      <c r="J1280">
        <f t="shared" si="19"/>
      </c>
    </row>
    <row r="1281" spans="10:10">
      <c r="J1281">
        <f t="shared" si="19"/>
      </c>
    </row>
    <row r="1282" spans="10:10">
      <c r="J1282">
        <f t="shared" si="19"/>
      </c>
    </row>
    <row r="1283" spans="10:10">
      <c r="J1283">
        <f t="shared" si="19"/>
      </c>
    </row>
    <row r="1284" spans="10:10">
      <c r="J1284">
        <f t="shared" ref="J1284:J1347" si="20">IF(B1284="","", WEEKNUM(B1284, 2))</f>
      </c>
    </row>
    <row r="1285" spans="10:10">
      <c r="J1285">
        <f t="shared" si="20"/>
      </c>
    </row>
    <row r="1286" spans="10:10">
      <c r="J1286">
        <f t="shared" si="20"/>
      </c>
    </row>
    <row r="1287" spans="10:10">
      <c r="J1287">
        <f t="shared" si="20"/>
      </c>
    </row>
    <row r="1288" spans="10:10">
      <c r="J1288">
        <f t="shared" si="20"/>
      </c>
    </row>
    <row r="1289" spans="10:10">
      <c r="J1289">
        <f t="shared" si="20"/>
      </c>
    </row>
    <row r="1290" spans="10:10">
      <c r="J1290">
        <f t="shared" si="20"/>
      </c>
    </row>
    <row r="1291" spans="10:10">
      <c r="J1291">
        <f t="shared" si="20"/>
      </c>
    </row>
    <row r="1292" spans="10:10">
      <c r="J1292">
        <f t="shared" si="20"/>
      </c>
    </row>
    <row r="1293" spans="10:10">
      <c r="J1293">
        <f t="shared" si="20"/>
      </c>
    </row>
    <row r="1294" spans="10:10">
      <c r="J1294">
        <f t="shared" si="20"/>
      </c>
    </row>
    <row r="1295" spans="10:10">
      <c r="J1295">
        <f t="shared" si="20"/>
      </c>
    </row>
    <row r="1296" spans="10:10">
      <c r="J1296">
        <f t="shared" si="20"/>
      </c>
    </row>
    <row r="1297" spans="10:10">
      <c r="J1297">
        <f t="shared" si="20"/>
      </c>
    </row>
    <row r="1298" spans="10:10">
      <c r="J1298">
        <f t="shared" si="20"/>
      </c>
    </row>
    <row r="1299" spans="10:10">
      <c r="J1299">
        <f t="shared" si="20"/>
      </c>
    </row>
    <row r="1300" spans="10:10">
      <c r="J1300">
        <f t="shared" si="20"/>
      </c>
    </row>
    <row r="1301" spans="10:10">
      <c r="J1301">
        <f t="shared" si="20"/>
      </c>
    </row>
    <row r="1302" spans="10:10">
      <c r="J1302">
        <f t="shared" si="20"/>
      </c>
    </row>
    <row r="1303" spans="10:10">
      <c r="J1303">
        <f t="shared" si="20"/>
      </c>
    </row>
    <row r="1304" spans="10:10">
      <c r="J1304">
        <f t="shared" si="20"/>
      </c>
    </row>
    <row r="1305" spans="10:10">
      <c r="J1305">
        <f t="shared" si="20"/>
      </c>
    </row>
    <row r="1306" spans="10:10">
      <c r="J1306">
        <f t="shared" si="20"/>
      </c>
    </row>
    <row r="1307" spans="10:10">
      <c r="J1307">
        <f t="shared" si="20"/>
      </c>
    </row>
    <row r="1308" spans="10:10">
      <c r="J1308">
        <f t="shared" si="20"/>
      </c>
    </row>
    <row r="1309" spans="10:10">
      <c r="J1309">
        <f t="shared" si="20"/>
      </c>
    </row>
    <row r="1310" spans="10:10">
      <c r="J1310">
        <f t="shared" si="20"/>
      </c>
    </row>
    <row r="1311" spans="10:10">
      <c r="J1311">
        <f t="shared" si="20"/>
      </c>
    </row>
    <row r="1312" spans="10:10">
      <c r="J1312">
        <f t="shared" si="20"/>
      </c>
    </row>
    <row r="1313" spans="10:10">
      <c r="J1313">
        <f t="shared" si="20"/>
      </c>
    </row>
    <row r="1314" spans="10:10">
      <c r="J1314">
        <f t="shared" si="20"/>
      </c>
    </row>
    <row r="1315" spans="10:10">
      <c r="J1315">
        <f t="shared" si="20"/>
      </c>
    </row>
    <row r="1316" spans="10:10">
      <c r="J1316">
        <f t="shared" si="20"/>
      </c>
    </row>
    <row r="1317" spans="10:10">
      <c r="J1317">
        <f t="shared" si="20"/>
      </c>
    </row>
    <row r="1318" spans="10:10">
      <c r="J1318">
        <f t="shared" si="20"/>
      </c>
    </row>
    <row r="1319" spans="10:10">
      <c r="J1319">
        <f t="shared" si="20"/>
      </c>
    </row>
    <row r="1320" spans="10:10">
      <c r="J1320">
        <f t="shared" si="20"/>
      </c>
    </row>
    <row r="1321" spans="10:10">
      <c r="J1321">
        <f t="shared" si="20"/>
      </c>
    </row>
    <row r="1322" spans="10:10">
      <c r="J1322">
        <f t="shared" si="20"/>
      </c>
    </row>
    <row r="1323" spans="10:10">
      <c r="J1323">
        <f t="shared" si="20"/>
      </c>
    </row>
    <row r="1324" spans="10:10">
      <c r="J1324">
        <f t="shared" si="20"/>
      </c>
    </row>
    <row r="1325" spans="10:10">
      <c r="J1325">
        <f t="shared" si="20"/>
      </c>
    </row>
    <row r="1326" spans="10:10">
      <c r="J1326">
        <f t="shared" si="20"/>
      </c>
    </row>
    <row r="1327" spans="10:10">
      <c r="J1327">
        <f t="shared" si="20"/>
      </c>
    </row>
    <row r="1328" spans="10:10">
      <c r="J1328">
        <f t="shared" si="20"/>
      </c>
    </row>
    <row r="1329" spans="10:10">
      <c r="J1329">
        <f t="shared" si="20"/>
      </c>
    </row>
    <row r="1330" spans="10:10">
      <c r="J1330">
        <f t="shared" si="20"/>
      </c>
    </row>
    <row r="1331" spans="10:10">
      <c r="J1331">
        <f t="shared" si="20"/>
      </c>
    </row>
    <row r="1332" spans="10:10">
      <c r="J1332">
        <f t="shared" si="20"/>
      </c>
    </row>
    <row r="1333" spans="10:10">
      <c r="J1333">
        <f t="shared" si="20"/>
      </c>
    </row>
    <row r="1334" spans="10:10">
      <c r="J1334">
        <f t="shared" si="20"/>
      </c>
    </row>
    <row r="1335" spans="10:10">
      <c r="J1335">
        <f t="shared" si="20"/>
      </c>
    </row>
    <row r="1336" spans="10:10">
      <c r="J1336">
        <f t="shared" si="20"/>
      </c>
    </row>
    <row r="1337" spans="10:10">
      <c r="J1337">
        <f t="shared" si="20"/>
      </c>
    </row>
    <row r="1338" spans="10:10">
      <c r="J1338">
        <f t="shared" si="20"/>
      </c>
    </row>
    <row r="1339" spans="10:10">
      <c r="J1339">
        <f t="shared" si="20"/>
      </c>
    </row>
    <row r="1340" spans="10:10">
      <c r="J1340">
        <f t="shared" si="20"/>
      </c>
    </row>
    <row r="1341" spans="10:10">
      <c r="J1341">
        <f t="shared" si="20"/>
      </c>
    </row>
    <row r="1342" spans="10:10">
      <c r="J1342">
        <f t="shared" si="20"/>
      </c>
    </row>
    <row r="1343" spans="10:10">
      <c r="J1343">
        <f t="shared" si="20"/>
      </c>
    </row>
    <row r="1344" spans="10:10">
      <c r="J1344">
        <f t="shared" si="20"/>
      </c>
    </row>
    <row r="1345" spans="10:10">
      <c r="J1345">
        <f t="shared" si="20"/>
      </c>
    </row>
    <row r="1346" spans="10:10">
      <c r="J1346">
        <f t="shared" si="20"/>
      </c>
    </row>
    <row r="1347" spans="10:10">
      <c r="J1347">
        <f t="shared" si="20"/>
      </c>
    </row>
    <row r="1348" spans="10:10">
      <c r="J1348">
        <f t="shared" ref="J1348:J1411" si="21">IF(B1348="","", WEEKNUM(B1348, 2))</f>
      </c>
    </row>
    <row r="1349" spans="10:10">
      <c r="J1349">
        <f t="shared" si="21"/>
      </c>
    </row>
    <row r="1350" spans="10:10">
      <c r="J1350">
        <f t="shared" si="21"/>
      </c>
    </row>
    <row r="1351" spans="10:10">
      <c r="J1351">
        <f t="shared" si="21"/>
      </c>
    </row>
    <row r="1352" spans="10:10">
      <c r="J1352">
        <f t="shared" si="21"/>
      </c>
    </row>
    <row r="1353" spans="10:10">
      <c r="J1353">
        <f t="shared" si="21"/>
      </c>
    </row>
    <row r="1354" spans="10:10">
      <c r="J1354">
        <f t="shared" si="21"/>
      </c>
    </row>
    <row r="1355" spans="10:10">
      <c r="J1355">
        <f t="shared" si="21"/>
      </c>
    </row>
    <row r="1356" spans="10:10">
      <c r="J1356">
        <f t="shared" si="21"/>
      </c>
    </row>
    <row r="1357" spans="10:10">
      <c r="J1357">
        <f t="shared" si="21"/>
      </c>
    </row>
    <row r="1358" spans="10:10">
      <c r="J1358">
        <f t="shared" si="21"/>
      </c>
    </row>
    <row r="1359" spans="10:10">
      <c r="J1359">
        <f t="shared" si="21"/>
      </c>
    </row>
    <row r="1360" spans="10:10">
      <c r="J1360">
        <f t="shared" si="21"/>
      </c>
    </row>
    <row r="1361" spans="10:10">
      <c r="J1361">
        <f t="shared" si="21"/>
      </c>
    </row>
    <row r="1362" spans="10:10">
      <c r="J1362">
        <f t="shared" si="21"/>
      </c>
    </row>
    <row r="1363" spans="10:10">
      <c r="J1363">
        <f t="shared" si="21"/>
      </c>
    </row>
    <row r="1364" spans="10:10">
      <c r="J1364">
        <f t="shared" si="21"/>
      </c>
    </row>
    <row r="1365" spans="10:10">
      <c r="J1365">
        <f t="shared" si="21"/>
      </c>
    </row>
    <row r="1366" spans="10:10">
      <c r="J1366">
        <f t="shared" si="21"/>
      </c>
    </row>
    <row r="1367" spans="10:10">
      <c r="J1367">
        <f t="shared" si="21"/>
      </c>
    </row>
    <row r="1368" spans="10:10">
      <c r="J1368">
        <f t="shared" si="21"/>
      </c>
    </row>
    <row r="1369" spans="10:10">
      <c r="J1369">
        <f t="shared" si="21"/>
      </c>
    </row>
    <row r="1370" spans="10:10">
      <c r="J1370">
        <f t="shared" si="21"/>
      </c>
    </row>
    <row r="1371" spans="10:10">
      <c r="J1371">
        <f t="shared" si="21"/>
      </c>
    </row>
    <row r="1372" spans="10:10">
      <c r="J1372">
        <f t="shared" si="21"/>
      </c>
    </row>
    <row r="1373" spans="10:10">
      <c r="J1373">
        <f t="shared" si="21"/>
      </c>
    </row>
    <row r="1374" spans="10:10">
      <c r="J1374">
        <f t="shared" si="21"/>
      </c>
    </row>
    <row r="1375" spans="10:10">
      <c r="J1375">
        <f t="shared" si="21"/>
      </c>
    </row>
    <row r="1376" spans="10:10">
      <c r="J1376">
        <f t="shared" si="21"/>
      </c>
    </row>
    <row r="1377" spans="10:10">
      <c r="J1377">
        <f t="shared" si="21"/>
      </c>
    </row>
    <row r="1378" spans="10:10">
      <c r="J1378">
        <f t="shared" si="21"/>
      </c>
    </row>
    <row r="1379" spans="10:10">
      <c r="J1379">
        <f t="shared" si="21"/>
      </c>
    </row>
    <row r="1380" spans="10:10">
      <c r="J1380">
        <f t="shared" si="21"/>
      </c>
    </row>
    <row r="1381" spans="10:10">
      <c r="J1381">
        <f t="shared" si="21"/>
      </c>
    </row>
    <row r="1382" spans="10:10">
      <c r="J1382">
        <f t="shared" si="21"/>
      </c>
    </row>
    <row r="1383" spans="10:10">
      <c r="J1383">
        <f t="shared" si="21"/>
      </c>
    </row>
    <row r="1384" spans="10:10">
      <c r="J1384">
        <f t="shared" si="21"/>
      </c>
    </row>
    <row r="1385" spans="10:10">
      <c r="J1385">
        <f t="shared" si="21"/>
      </c>
    </row>
    <row r="1386" spans="10:10">
      <c r="J1386">
        <f t="shared" si="21"/>
      </c>
    </row>
    <row r="1387" spans="10:10">
      <c r="J1387">
        <f t="shared" si="21"/>
      </c>
    </row>
    <row r="1388" spans="10:10">
      <c r="J1388">
        <f t="shared" si="21"/>
      </c>
    </row>
    <row r="1389" spans="10:10">
      <c r="J1389">
        <f t="shared" si="21"/>
      </c>
    </row>
    <row r="1390" spans="10:10">
      <c r="J1390">
        <f t="shared" si="21"/>
      </c>
    </row>
    <row r="1391" spans="10:10">
      <c r="J1391">
        <f t="shared" si="21"/>
      </c>
    </row>
    <row r="1392" spans="10:10">
      <c r="J1392">
        <f t="shared" si="21"/>
      </c>
    </row>
    <row r="1393" spans="10:10">
      <c r="J1393">
        <f t="shared" si="21"/>
      </c>
    </row>
    <row r="1394" spans="10:10">
      <c r="J1394">
        <f t="shared" si="21"/>
      </c>
    </row>
    <row r="1395" spans="10:10">
      <c r="J1395">
        <f t="shared" si="21"/>
      </c>
    </row>
    <row r="1396" spans="10:10">
      <c r="J1396">
        <f t="shared" si="21"/>
      </c>
    </row>
    <row r="1397" spans="10:10">
      <c r="J1397">
        <f t="shared" si="21"/>
      </c>
    </row>
    <row r="1398" spans="10:10">
      <c r="J1398">
        <f t="shared" si="21"/>
      </c>
    </row>
    <row r="1399" spans="10:10">
      <c r="J1399">
        <f t="shared" si="21"/>
      </c>
    </row>
    <row r="1400" spans="10:10">
      <c r="J1400">
        <f t="shared" si="21"/>
      </c>
    </row>
    <row r="1401" spans="10:10">
      <c r="J1401">
        <f t="shared" si="21"/>
      </c>
    </row>
    <row r="1402" spans="10:10">
      <c r="J1402">
        <f t="shared" si="21"/>
      </c>
    </row>
    <row r="1403" spans="10:10">
      <c r="J1403">
        <f t="shared" si="21"/>
      </c>
    </row>
    <row r="1404" spans="10:10">
      <c r="J1404">
        <f t="shared" si="21"/>
      </c>
    </row>
    <row r="1405" spans="10:10">
      <c r="J1405">
        <f t="shared" si="21"/>
      </c>
    </row>
    <row r="1406" spans="10:10">
      <c r="J1406">
        <f t="shared" si="21"/>
      </c>
    </row>
    <row r="1407" spans="10:10">
      <c r="J1407">
        <f t="shared" si="21"/>
      </c>
    </row>
    <row r="1408" spans="10:10">
      <c r="J1408">
        <f t="shared" si="21"/>
      </c>
    </row>
    <row r="1409" spans="10:10">
      <c r="J1409">
        <f t="shared" si="21"/>
      </c>
    </row>
    <row r="1410" spans="10:10">
      <c r="J1410">
        <f t="shared" si="21"/>
      </c>
    </row>
    <row r="1411" spans="10:10">
      <c r="J1411">
        <f t="shared" si="21"/>
      </c>
    </row>
    <row r="1412" spans="10:10">
      <c r="J1412">
        <f t="shared" ref="J1412:J1475" si="22">IF(B1412="","", WEEKNUM(B1412, 2))</f>
      </c>
    </row>
    <row r="1413" spans="10:10">
      <c r="J1413">
        <f t="shared" si="22"/>
      </c>
    </row>
    <row r="1414" spans="10:10">
      <c r="J1414">
        <f t="shared" si="22"/>
      </c>
    </row>
    <row r="1415" spans="10:10">
      <c r="J1415">
        <f t="shared" si="22"/>
      </c>
    </row>
    <row r="1416" spans="10:10">
      <c r="J1416">
        <f t="shared" si="22"/>
      </c>
    </row>
    <row r="1417" spans="10:10">
      <c r="J1417">
        <f t="shared" si="22"/>
      </c>
    </row>
    <row r="1418" spans="10:10">
      <c r="J1418">
        <f t="shared" si="22"/>
      </c>
    </row>
    <row r="1419" spans="10:10">
      <c r="J1419">
        <f t="shared" si="22"/>
      </c>
    </row>
    <row r="1420" spans="10:10">
      <c r="J1420">
        <f t="shared" si="22"/>
      </c>
    </row>
    <row r="1421" spans="10:10">
      <c r="J1421">
        <f t="shared" si="22"/>
      </c>
    </row>
    <row r="1422" spans="10:10">
      <c r="J1422">
        <f t="shared" si="22"/>
      </c>
    </row>
    <row r="1423" spans="10:10">
      <c r="J1423">
        <f t="shared" si="22"/>
      </c>
    </row>
    <row r="1424" spans="10:10">
      <c r="J1424">
        <f t="shared" si="22"/>
      </c>
    </row>
    <row r="1425" spans="10:10">
      <c r="J1425">
        <f t="shared" si="22"/>
      </c>
    </row>
    <row r="1426" spans="10:10">
      <c r="J1426">
        <f t="shared" si="22"/>
      </c>
    </row>
    <row r="1427" spans="10:10">
      <c r="J1427">
        <f t="shared" si="22"/>
      </c>
    </row>
    <row r="1428" spans="10:10">
      <c r="J1428">
        <f t="shared" si="22"/>
      </c>
    </row>
    <row r="1429" spans="10:10">
      <c r="J1429">
        <f t="shared" si="22"/>
      </c>
    </row>
    <row r="1430" spans="10:10">
      <c r="J1430">
        <f t="shared" si="22"/>
      </c>
    </row>
    <row r="1431" spans="10:10">
      <c r="J1431">
        <f t="shared" si="22"/>
      </c>
    </row>
    <row r="1432" spans="10:10">
      <c r="J1432">
        <f t="shared" si="22"/>
      </c>
    </row>
    <row r="1433" spans="10:10">
      <c r="J1433">
        <f t="shared" si="22"/>
      </c>
    </row>
    <row r="1434" spans="10:10">
      <c r="J1434">
        <f t="shared" si="22"/>
      </c>
    </row>
    <row r="1435" spans="10:10">
      <c r="J1435">
        <f t="shared" si="22"/>
      </c>
    </row>
    <row r="1436" spans="10:10">
      <c r="J1436">
        <f t="shared" si="22"/>
      </c>
    </row>
    <row r="1437" spans="10:10">
      <c r="J1437">
        <f t="shared" si="22"/>
      </c>
    </row>
    <row r="1438" spans="10:10">
      <c r="J1438">
        <f t="shared" si="22"/>
      </c>
    </row>
    <row r="1439" spans="10:10">
      <c r="J1439">
        <f t="shared" si="22"/>
      </c>
    </row>
    <row r="1440" spans="10:10">
      <c r="J1440">
        <f t="shared" si="22"/>
      </c>
    </row>
    <row r="1441" spans="10:10">
      <c r="J1441">
        <f t="shared" si="22"/>
      </c>
    </row>
    <row r="1442" spans="10:10">
      <c r="J1442">
        <f t="shared" si="22"/>
      </c>
    </row>
    <row r="1443" spans="10:10">
      <c r="J1443">
        <f t="shared" si="22"/>
      </c>
    </row>
    <row r="1444" spans="10:10">
      <c r="J1444">
        <f t="shared" si="22"/>
      </c>
    </row>
    <row r="1445" spans="10:10">
      <c r="J1445">
        <f t="shared" si="22"/>
      </c>
    </row>
    <row r="1446" spans="10:10">
      <c r="J1446">
        <f t="shared" si="22"/>
      </c>
    </row>
    <row r="1447" spans="10:10">
      <c r="J1447">
        <f t="shared" si="22"/>
      </c>
    </row>
    <row r="1448" spans="10:10">
      <c r="J1448">
        <f t="shared" si="22"/>
      </c>
    </row>
    <row r="1449" spans="10:10">
      <c r="J1449">
        <f t="shared" si="22"/>
      </c>
    </row>
    <row r="1450" spans="10:10">
      <c r="J1450">
        <f t="shared" si="22"/>
      </c>
    </row>
    <row r="1451" spans="10:10">
      <c r="J1451">
        <f t="shared" si="22"/>
      </c>
    </row>
    <row r="1452" spans="10:10">
      <c r="J1452">
        <f t="shared" si="22"/>
      </c>
    </row>
    <row r="1453" spans="10:10">
      <c r="J1453">
        <f t="shared" si="22"/>
      </c>
    </row>
    <row r="1454" spans="10:10">
      <c r="J1454">
        <f t="shared" si="22"/>
      </c>
    </row>
    <row r="1455" spans="10:10">
      <c r="J1455">
        <f t="shared" si="22"/>
      </c>
    </row>
    <row r="1456" spans="10:10">
      <c r="J1456">
        <f t="shared" si="22"/>
      </c>
    </row>
    <row r="1457" spans="10:10">
      <c r="J1457">
        <f t="shared" si="22"/>
      </c>
    </row>
    <row r="1458" spans="10:10">
      <c r="J1458">
        <f t="shared" si="22"/>
      </c>
    </row>
    <row r="1459" spans="10:10">
      <c r="J1459">
        <f t="shared" si="22"/>
      </c>
    </row>
    <row r="1460" spans="10:10">
      <c r="J1460">
        <f t="shared" si="22"/>
      </c>
    </row>
    <row r="1461" spans="10:10">
      <c r="J1461">
        <f t="shared" si="22"/>
      </c>
    </row>
    <row r="1462" spans="10:10">
      <c r="J1462">
        <f t="shared" si="22"/>
      </c>
    </row>
    <row r="1463" spans="10:10">
      <c r="J1463">
        <f t="shared" si="22"/>
      </c>
    </row>
    <row r="1464" spans="10:10">
      <c r="J1464">
        <f t="shared" si="22"/>
      </c>
    </row>
    <row r="1465" spans="10:10">
      <c r="J1465">
        <f t="shared" si="22"/>
      </c>
    </row>
    <row r="1466" spans="10:10">
      <c r="J1466">
        <f t="shared" si="22"/>
      </c>
    </row>
    <row r="1467" spans="10:10">
      <c r="J1467">
        <f t="shared" si="22"/>
      </c>
    </row>
    <row r="1468" spans="10:10">
      <c r="J1468">
        <f t="shared" si="22"/>
      </c>
    </row>
    <row r="1469" spans="10:10">
      <c r="J1469">
        <f t="shared" si="22"/>
      </c>
    </row>
    <row r="1470" spans="10:10">
      <c r="J1470">
        <f t="shared" si="22"/>
      </c>
    </row>
    <row r="1471" spans="10:10">
      <c r="J1471">
        <f t="shared" si="22"/>
      </c>
    </row>
    <row r="1472" spans="10:10">
      <c r="J1472">
        <f t="shared" si="22"/>
      </c>
    </row>
    <row r="1473" spans="10:10">
      <c r="J1473">
        <f t="shared" si="22"/>
      </c>
    </row>
    <row r="1474" spans="10:10">
      <c r="J1474">
        <f t="shared" si="22"/>
      </c>
    </row>
    <row r="1475" spans="10:10">
      <c r="J1475">
        <f t="shared" si="22"/>
      </c>
    </row>
    <row r="1476" spans="10:10">
      <c r="J1476">
        <f t="shared" ref="J1476:J1539" si="23">IF(B1476="","", WEEKNUM(B1476, 2))</f>
      </c>
    </row>
    <row r="1477" spans="10:10">
      <c r="J1477">
        <f t="shared" si="23"/>
      </c>
    </row>
    <row r="1478" spans="10:10">
      <c r="J1478">
        <f t="shared" si="23"/>
      </c>
    </row>
    <row r="1479" spans="10:10">
      <c r="J1479">
        <f t="shared" si="23"/>
      </c>
    </row>
    <row r="1480" spans="10:10">
      <c r="J1480">
        <f t="shared" si="23"/>
      </c>
    </row>
    <row r="1481" spans="10:10">
      <c r="J1481">
        <f t="shared" si="23"/>
      </c>
    </row>
    <row r="1482" spans="10:10">
      <c r="J1482">
        <f t="shared" si="23"/>
      </c>
    </row>
    <row r="1483" spans="10:10">
      <c r="J1483">
        <f t="shared" si="23"/>
      </c>
    </row>
    <row r="1484" spans="10:10">
      <c r="J1484">
        <f t="shared" si="23"/>
      </c>
    </row>
    <row r="1485" spans="10:10">
      <c r="J1485">
        <f t="shared" si="23"/>
      </c>
    </row>
    <row r="1486" spans="10:10">
      <c r="J1486">
        <f t="shared" si="23"/>
      </c>
    </row>
    <row r="1487" spans="10:10">
      <c r="J1487">
        <f t="shared" si="23"/>
      </c>
    </row>
    <row r="1488" spans="10:10">
      <c r="J1488">
        <f t="shared" si="23"/>
      </c>
    </row>
    <row r="1489" spans="10:10">
      <c r="J1489">
        <f t="shared" si="23"/>
      </c>
    </row>
    <row r="1490" spans="10:10">
      <c r="J1490">
        <f t="shared" si="23"/>
      </c>
    </row>
    <row r="1491" spans="10:10">
      <c r="J1491">
        <f t="shared" si="23"/>
      </c>
    </row>
    <row r="1492" spans="10:10">
      <c r="J1492">
        <f t="shared" si="23"/>
      </c>
    </row>
    <row r="1493" spans="10:10">
      <c r="J1493">
        <f t="shared" si="23"/>
      </c>
    </row>
    <row r="1494" spans="10:10">
      <c r="J1494">
        <f t="shared" si="23"/>
      </c>
    </row>
    <row r="1495" spans="10:10">
      <c r="J1495">
        <f t="shared" si="23"/>
      </c>
    </row>
    <row r="1496" spans="10:10">
      <c r="J1496">
        <f t="shared" si="23"/>
      </c>
    </row>
    <row r="1497" spans="10:10">
      <c r="J1497">
        <f t="shared" si="23"/>
      </c>
    </row>
    <row r="1498" spans="10:10">
      <c r="J1498">
        <f t="shared" si="23"/>
      </c>
    </row>
    <row r="1499" spans="10:10">
      <c r="J1499">
        <f t="shared" si="23"/>
      </c>
    </row>
    <row r="1500" spans="10:10">
      <c r="J1500">
        <f t="shared" si="23"/>
      </c>
    </row>
    <row r="1501" spans="10:10">
      <c r="J1501">
        <f t="shared" si="23"/>
      </c>
    </row>
    <row r="1502" spans="10:10">
      <c r="J1502">
        <f t="shared" si="23"/>
      </c>
    </row>
    <row r="1503" spans="10:10">
      <c r="J1503">
        <f t="shared" si="23"/>
      </c>
    </row>
    <row r="1504" spans="10:10">
      <c r="J1504">
        <f t="shared" si="23"/>
      </c>
    </row>
    <row r="1505" spans="10:10">
      <c r="J1505">
        <f t="shared" si="23"/>
      </c>
    </row>
    <row r="1506" spans="10:10">
      <c r="J1506">
        <f t="shared" si="23"/>
      </c>
    </row>
    <row r="1507" spans="10:10">
      <c r="J1507">
        <f t="shared" si="23"/>
      </c>
    </row>
    <row r="1508" spans="10:10">
      <c r="J1508">
        <f t="shared" si="23"/>
      </c>
    </row>
    <row r="1509" spans="10:10">
      <c r="J1509">
        <f t="shared" si="23"/>
      </c>
    </row>
    <row r="1510" spans="10:10">
      <c r="J1510">
        <f t="shared" si="23"/>
      </c>
    </row>
    <row r="1511" spans="10:10">
      <c r="J1511">
        <f t="shared" si="23"/>
      </c>
    </row>
    <row r="1512" spans="10:10">
      <c r="J1512">
        <f t="shared" si="23"/>
      </c>
    </row>
    <row r="1513" spans="10:10">
      <c r="J1513">
        <f t="shared" si="23"/>
      </c>
    </row>
    <row r="1514" spans="10:10">
      <c r="J1514">
        <f t="shared" si="23"/>
      </c>
    </row>
    <row r="1515" spans="10:10">
      <c r="J1515">
        <f t="shared" si="23"/>
      </c>
    </row>
    <row r="1516" spans="10:10">
      <c r="J1516">
        <f t="shared" si="23"/>
      </c>
    </row>
    <row r="1517" spans="10:10">
      <c r="J1517">
        <f t="shared" si="23"/>
      </c>
    </row>
    <row r="1518" spans="10:10">
      <c r="J1518">
        <f t="shared" si="23"/>
      </c>
    </row>
    <row r="1519" spans="10:10">
      <c r="J1519">
        <f t="shared" si="23"/>
      </c>
    </row>
    <row r="1520" spans="10:10">
      <c r="J1520">
        <f t="shared" si="23"/>
      </c>
    </row>
    <row r="1521" spans="10:10">
      <c r="J1521">
        <f t="shared" si="23"/>
      </c>
    </row>
    <row r="1522" spans="10:10">
      <c r="J1522">
        <f t="shared" si="23"/>
      </c>
    </row>
    <row r="1523" spans="10:10">
      <c r="J1523">
        <f t="shared" si="23"/>
      </c>
    </row>
    <row r="1524" spans="10:10">
      <c r="J1524">
        <f t="shared" si="23"/>
      </c>
    </row>
    <row r="1525" spans="10:10">
      <c r="J1525">
        <f t="shared" si="23"/>
      </c>
    </row>
    <row r="1526" spans="10:10">
      <c r="J1526">
        <f t="shared" si="23"/>
      </c>
    </row>
    <row r="1527" spans="10:10">
      <c r="J1527">
        <f t="shared" si="23"/>
      </c>
    </row>
    <row r="1528" spans="10:10">
      <c r="J1528">
        <f t="shared" si="23"/>
      </c>
    </row>
    <row r="1529" spans="10:10">
      <c r="J1529">
        <f t="shared" si="23"/>
      </c>
    </row>
    <row r="1530" spans="10:10">
      <c r="J1530">
        <f t="shared" si="23"/>
      </c>
    </row>
    <row r="1531" spans="10:10">
      <c r="J1531">
        <f t="shared" si="23"/>
      </c>
    </row>
    <row r="1532" spans="10:10">
      <c r="J1532">
        <f t="shared" si="23"/>
      </c>
    </row>
    <row r="1533" spans="10:10">
      <c r="J1533">
        <f t="shared" si="23"/>
      </c>
    </row>
    <row r="1534" spans="10:10">
      <c r="J1534">
        <f t="shared" si="23"/>
      </c>
    </row>
    <row r="1535" spans="10:10">
      <c r="J1535">
        <f t="shared" si="23"/>
      </c>
    </row>
    <row r="1536" spans="10:10">
      <c r="J1536">
        <f t="shared" si="23"/>
      </c>
    </row>
    <row r="1537" spans="10:10">
      <c r="J1537">
        <f t="shared" si="23"/>
      </c>
    </row>
    <row r="1538" spans="10:10">
      <c r="J1538">
        <f t="shared" si="23"/>
      </c>
    </row>
    <row r="1539" spans="10:10">
      <c r="J1539">
        <f t="shared" si="23"/>
      </c>
    </row>
    <row r="1540" spans="10:10">
      <c r="J1540">
        <f t="shared" ref="J1540:J1603" si="24">IF(B1540="","", WEEKNUM(B1540, 2))</f>
      </c>
    </row>
    <row r="1541" spans="10:10">
      <c r="J1541">
        <f t="shared" si="24"/>
      </c>
    </row>
    <row r="1542" spans="10:10">
      <c r="J1542">
        <f t="shared" si="24"/>
      </c>
    </row>
    <row r="1543" spans="10:10">
      <c r="J1543">
        <f t="shared" si="24"/>
      </c>
    </row>
    <row r="1544" spans="10:10">
      <c r="J1544">
        <f t="shared" si="24"/>
      </c>
    </row>
    <row r="1545" spans="10:10">
      <c r="J1545">
        <f t="shared" si="24"/>
      </c>
    </row>
    <row r="1546" spans="10:10">
      <c r="J1546">
        <f t="shared" si="24"/>
      </c>
    </row>
    <row r="1547" spans="10:10">
      <c r="J1547">
        <f t="shared" si="24"/>
      </c>
    </row>
    <row r="1548" spans="10:10">
      <c r="J1548">
        <f t="shared" si="24"/>
      </c>
    </row>
    <row r="1549" spans="10:10">
      <c r="J1549">
        <f t="shared" si="24"/>
      </c>
    </row>
    <row r="1550" spans="10:10">
      <c r="J1550">
        <f t="shared" si="24"/>
      </c>
    </row>
    <row r="1551" spans="10:10">
      <c r="J1551">
        <f t="shared" si="24"/>
      </c>
    </row>
    <row r="1552" spans="10:10">
      <c r="J1552">
        <f t="shared" si="24"/>
      </c>
    </row>
    <row r="1553" spans="10:10">
      <c r="J1553">
        <f t="shared" si="24"/>
      </c>
    </row>
    <row r="1554" spans="10:10">
      <c r="J1554">
        <f t="shared" si="24"/>
      </c>
    </row>
    <row r="1555" spans="10:10">
      <c r="J1555">
        <f t="shared" si="24"/>
      </c>
    </row>
    <row r="1556" spans="10:10">
      <c r="J1556">
        <f t="shared" si="24"/>
      </c>
    </row>
    <row r="1557" spans="10:10">
      <c r="J1557">
        <f t="shared" si="24"/>
      </c>
    </row>
    <row r="1558" spans="10:10">
      <c r="J1558">
        <f t="shared" si="24"/>
      </c>
    </row>
    <row r="1559" spans="10:10">
      <c r="J1559">
        <f t="shared" si="24"/>
      </c>
    </row>
    <row r="1560" spans="10:10">
      <c r="J1560">
        <f t="shared" si="24"/>
      </c>
    </row>
    <row r="1561" spans="10:10">
      <c r="J1561">
        <f t="shared" si="24"/>
      </c>
    </row>
    <row r="1562" spans="10:10">
      <c r="J1562">
        <f t="shared" si="24"/>
      </c>
    </row>
    <row r="1563" spans="10:10">
      <c r="J1563">
        <f t="shared" si="24"/>
      </c>
    </row>
    <row r="1564" spans="10:10">
      <c r="J1564">
        <f t="shared" si="24"/>
      </c>
    </row>
    <row r="1565" spans="10:10">
      <c r="J1565">
        <f t="shared" si="24"/>
      </c>
    </row>
    <row r="1566" spans="10:10">
      <c r="J1566">
        <f t="shared" si="24"/>
      </c>
    </row>
    <row r="1567" spans="10:10">
      <c r="J1567">
        <f t="shared" si="24"/>
      </c>
    </row>
    <row r="1568" spans="10:10">
      <c r="J1568">
        <f t="shared" si="24"/>
      </c>
    </row>
    <row r="1569" spans="10:10">
      <c r="J1569">
        <f t="shared" si="24"/>
      </c>
    </row>
    <row r="1570" spans="10:10">
      <c r="J1570">
        <f t="shared" si="24"/>
      </c>
    </row>
    <row r="1571" spans="10:10">
      <c r="J1571">
        <f t="shared" si="24"/>
      </c>
    </row>
    <row r="1572" spans="10:10">
      <c r="J1572">
        <f t="shared" si="24"/>
      </c>
    </row>
    <row r="1573" spans="10:10">
      <c r="J1573">
        <f t="shared" si="24"/>
      </c>
    </row>
    <row r="1574" spans="10:10">
      <c r="J1574">
        <f t="shared" si="24"/>
      </c>
    </row>
    <row r="1575" spans="10:10">
      <c r="J1575">
        <f t="shared" si="24"/>
      </c>
    </row>
    <row r="1576" spans="10:10">
      <c r="J1576">
        <f t="shared" si="24"/>
      </c>
    </row>
    <row r="1577" spans="10:10">
      <c r="J1577">
        <f t="shared" si="24"/>
      </c>
    </row>
    <row r="1578" spans="10:10">
      <c r="J1578">
        <f t="shared" si="24"/>
      </c>
    </row>
    <row r="1579" spans="10:10">
      <c r="J1579">
        <f t="shared" si="24"/>
      </c>
    </row>
    <row r="1580" spans="10:10">
      <c r="J1580">
        <f t="shared" si="24"/>
      </c>
    </row>
    <row r="1581" spans="10:10">
      <c r="J1581">
        <f t="shared" si="24"/>
      </c>
    </row>
    <row r="1582" spans="10:10">
      <c r="J1582">
        <f t="shared" si="24"/>
      </c>
    </row>
    <row r="1583" spans="10:10">
      <c r="J1583">
        <f t="shared" si="24"/>
      </c>
    </row>
    <row r="1584" spans="10:10">
      <c r="J1584">
        <f t="shared" si="24"/>
      </c>
    </row>
    <row r="1585" spans="10:10">
      <c r="J1585">
        <f t="shared" si="24"/>
      </c>
    </row>
    <row r="1586" spans="10:10">
      <c r="J1586">
        <f t="shared" si="24"/>
      </c>
    </row>
    <row r="1587" spans="10:10">
      <c r="J1587">
        <f t="shared" si="24"/>
      </c>
    </row>
    <row r="1588" spans="10:10">
      <c r="J1588">
        <f t="shared" si="24"/>
      </c>
    </row>
    <row r="1589" spans="10:10">
      <c r="J1589">
        <f t="shared" si="24"/>
      </c>
    </row>
    <row r="1590" spans="10:10">
      <c r="J1590">
        <f t="shared" si="24"/>
      </c>
    </row>
    <row r="1591" spans="10:10">
      <c r="J1591">
        <f t="shared" si="24"/>
      </c>
    </row>
    <row r="1592" spans="10:10">
      <c r="J1592">
        <f t="shared" si="24"/>
      </c>
    </row>
    <row r="1593" spans="10:10">
      <c r="J1593">
        <f t="shared" si="24"/>
      </c>
    </row>
    <row r="1594" spans="10:10">
      <c r="J1594">
        <f t="shared" si="24"/>
      </c>
    </row>
    <row r="1595" spans="10:10">
      <c r="J1595">
        <f t="shared" si="24"/>
      </c>
    </row>
    <row r="1596" spans="10:10">
      <c r="J1596">
        <f t="shared" si="24"/>
      </c>
    </row>
    <row r="1597" spans="10:10">
      <c r="J1597">
        <f t="shared" si="24"/>
      </c>
    </row>
    <row r="1598" spans="10:10">
      <c r="J1598">
        <f t="shared" si="24"/>
      </c>
    </row>
    <row r="1599" spans="10:10">
      <c r="J1599">
        <f t="shared" si="24"/>
      </c>
    </row>
    <row r="1600" spans="10:10">
      <c r="J1600">
        <f t="shared" si="24"/>
      </c>
    </row>
    <row r="1601" spans="10:10">
      <c r="J1601">
        <f t="shared" si="24"/>
      </c>
    </row>
    <row r="1602" spans="10:10">
      <c r="J1602">
        <f t="shared" si="24"/>
      </c>
    </row>
    <row r="1603" spans="10:10">
      <c r="J1603">
        <f t="shared" si="24"/>
      </c>
    </row>
    <row r="1604" spans="10:10">
      <c r="J1604">
        <f t="shared" ref="J1604:J1667" si="25">IF(B1604="","", WEEKNUM(B1604, 2))</f>
      </c>
    </row>
    <row r="1605" spans="10:10">
      <c r="J1605">
        <f t="shared" si="25"/>
      </c>
    </row>
    <row r="1606" spans="10:10">
      <c r="J1606">
        <f t="shared" si="25"/>
      </c>
    </row>
    <row r="1607" spans="10:10">
      <c r="J1607">
        <f t="shared" si="25"/>
      </c>
    </row>
    <row r="1608" spans="10:10">
      <c r="J1608">
        <f t="shared" si="25"/>
      </c>
    </row>
    <row r="1609" spans="10:10">
      <c r="J1609">
        <f t="shared" si="25"/>
      </c>
    </row>
    <row r="1610" spans="10:10">
      <c r="J1610">
        <f t="shared" si="25"/>
      </c>
    </row>
    <row r="1611" spans="10:10">
      <c r="J1611">
        <f t="shared" si="25"/>
      </c>
    </row>
    <row r="1612" spans="10:10">
      <c r="J1612">
        <f t="shared" si="25"/>
      </c>
    </row>
    <row r="1613" spans="10:10">
      <c r="J1613">
        <f t="shared" si="25"/>
      </c>
    </row>
    <row r="1614" spans="10:10">
      <c r="J1614">
        <f t="shared" si="25"/>
      </c>
    </row>
    <row r="1615" spans="10:10">
      <c r="J1615">
        <f t="shared" si="25"/>
      </c>
    </row>
    <row r="1616" spans="10:10">
      <c r="J1616">
        <f t="shared" si="25"/>
      </c>
    </row>
    <row r="1617" spans="10:10">
      <c r="J1617">
        <f t="shared" si="25"/>
      </c>
    </row>
    <row r="1618" spans="10:10">
      <c r="J1618">
        <f t="shared" si="25"/>
      </c>
    </row>
    <row r="1619" spans="10:10">
      <c r="J1619">
        <f t="shared" si="25"/>
      </c>
    </row>
    <row r="1620" spans="10:10">
      <c r="J1620">
        <f t="shared" si="25"/>
      </c>
    </row>
    <row r="1621" spans="10:10">
      <c r="J1621">
        <f t="shared" si="25"/>
      </c>
    </row>
    <row r="1622" spans="10:10">
      <c r="J1622">
        <f t="shared" si="25"/>
      </c>
    </row>
    <row r="1623" spans="10:10">
      <c r="J1623">
        <f t="shared" si="25"/>
      </c>
    </row>
    <row r="1624" spans="10:10">
      <c r="J1624">
        <f t="shared" si="25"/>
      </c>
    </row>
    <row r="1625" spans="10:10">
      <c r="J1625">
        <f t="shared" si="25"/>
      </c>
    </row>
    <row r="1626" spans="10:10">
      <c r="J1626">
        <f t="shared" si="25"/>
      </c>
    </row>
    <row r="1627" spans="10:10">
      <c r="J1627">
        <f t="shared" si="25"/>
      </c>
    </row>
    <row r="1628" spans="10:10">
      <c r="J1628">
        <f t="shared" si="25"/>
      </c>
    </row>
    <row r="1629" spans="10:10">
      <c r="J1629">
        <f t="shared" si="25"/>
      </c>
    </row>
    <row r="1630" spans="10:10">
      <c r="J1630">
        <f t="shared" si="25"/>
      </c>
    </row>
    <row r="1631" spans="10:10">
      <c r="J1631">
        <f t="shared" si="25"/>
      </c>
    </row>
    <row r="1632" spans="10:10">
      <c r="J1632">
        <f t="shared" si="25"/>
      </c>
    </row>
    <row r="1633" spans="10:10">
      <c r="J1633">
        <f t="shared" si="25"/>
      </c>
    </row>
    <row r="1634" spans="10:10">
      <c r="J1634">
        <f t="shared" si="25"/>
      </c>
    </row>
    <row r="1635" spans="10:10">
      <c r="J1635">
        <f t="shared" si="25"/>
      </c>
    </row>
    <row r="1636" spans="10:10">
      <c r="J1636">
        <f t="shared" si="25"/>
      </c>
    </row>
    <row r="1637" spans="10:10">
      <c r="J1637">
        <f t="shared" si="25"/>
      </c>
    </row>
    <row r="1638" spans="10:10">
      <c r="J1638">
        <f t="shared" si="25"/>
      </c>
    </row>
    <row r="1639" spans="10:10">
      <c r="J1639">
        <f t="shared" si="25"/>
      </c>
    </row>
    <row r="1640" spans="10:10">
      <c r="J1640">
        <f t="shared" si="25"/>
      </c>
    </row>
    <row r="1641" spans="10:10">
      <c r="J1641">
        <f t="shared" si="25"/>
      </c>
    </row>
    <row r="1642" spans="10:10">
      <c r="J1642">
        <f t="shared" si="25"/>
      </c>
    </row>
    <row r="1643" spans="10:10">
      <c r="J1643">
        <f t="shared" si="25"/>
      </c>
    </row>
    <row r="1644" spans="10:10">
      <c r="J1644">
        <f t="shared" si="25"/>
      </c>
    </row>
    <row r="1645" spans="10:10">
      <c r="J1645">
        <f t="shared" si="25"/>
      </c>
    </row>
    <row r="1646" spans="10:10">
      <c r="J1646">
        <f t="shared" si="25"/>
      </c>
    </row>
    <row r="1647" spans="10:10">
      <c r="J1647">
        <f t="shared" si="25"/>
      </c>
    </row>
    <row r="1648" spans="10:10">
      <c r="J1648">
        <f t="shared" si="25"/>
      </c>
    </row>
    <row r="1649" spans="10:10">
      <c r="J1649">
        <f t="shared" si="25"/>
      </c>
    </row>
    <row r="1650" spans="10:10">
      <c r="J1650">
        <f t="shared" si="25"/>
      </c>
    </row>
    <row r="1651" spans="10:10">
      <c r="J1651">
        <f t="shared" si="25"/>
      </c>
    </row>
    <row r="1652" spans="10:10">
      <c r="J1652">
        <f t="shared" si="25"/>
      </c>
    </row>
    <row r="1653" spans="10:10">
      <c r="J1653">
        <f t="shared" si="25"/>
      </c>
    </row>
    <row r="1654" spans="10:10">
      <c r="J1654">
        <f t="shared" si="25"/>
      </c>
    </row>
    <row r="1655" spans="10:10">
      <c r="J1655">
        <f t="shared" si="25"/>
      </c>
    </row>
    <row r="1656" spans="10:10">
      <c r="J1656">
        <f t="shared" si="25"/>
      </c>
    </row>
    <row r="1657" spans="10:10">
      <c r="J1657">
        <f t="shared" si="25"/>
      </c>
    </row>
    <row r="1658" spans="10:10">
      <c r="J1658">
        <f t="shared" si="25"/>
      </c>
    </row>
    <row r="1659" spans="10:10">
      <c r="J1659">
        <f t="shared" si="25"/>
      </c>
    </row>
    <row r="1660" spans="10:10">
      <c r="J1660">
        <f t="shared" si="25"/>
      </c>
    </row>
    <row r="1661" spans="10:10">
      <c r="J1661">
        <f t="shared" si="25"/>
      </c>
    </row>
    <row r="1662" spans="10:10">
      <c r="J1662">
        <f t="shared" si="25"/>
      </c>
    </row>
    <row r="1663" spans="10:10">
      <c r="J1663">
        <f t="shared" si="25"/>
      </c>
    </row>
    <row r="1664" spans="10:10">
      <c r="J1664">
        <f t="shared" si="25"/>
      </c>
    </row>
    <row r="1665" spans="10:10">
      <c r="J1665">
        <f t="shared" si="25"/>
      </c>
    </row>
    <row r="1666" spans="10:10">
      <c r="J1666">
        <f t="shared" si="25"/>
      </c>
    </row>
    <row r="1667" spans="10:10">
      <c r="J1667">
        <f t="shared" si="25"/>
      </c>
    </row>
    <row r="1668" spans="10:10">
      <c r="J1668">
        <f t="shared" ref="J1668:J1731" si="26">IF(B1668="","", WEEKNUM(B1668, 2))</f>
      </c>
    </row>
    <row r="1669" spans="10:10">
      <c r="J1669">
        <f t="shared" si="26"/>
      </c>
    </row>
    <row r="1670" spans="10:10">
      <c r="J1670">
        <f t="shared" si="26"/>
      </c>
    </row>
    <row r="1671" spans="10:10">
      <c r="J1671">
        <f t="shared" si="26"/>
      </c>
    </row>
    <row r="1672" spans="10:10">
      <c r="J1672">
        <f t="shared" si="26"/>
      </c>
    </row>
    <row r="1673" spans="10:10">
      <c r="J1673">
        <f t="shared" si="26"/>
      </c>
    </row>
    <row r="1674" spans="10:10">
      <c r="J1674">
        <f t="shared" si="26"/>
      </c>
    </row>
    <row r="1675" spans="10:10">
      <c r="J1675">
        <f t="shared" si="26"/>
      </c>
    </row>
    <row r="1676" spans="10:10">
      <c r="J1676">
        <f t="shared" si="26"/>
      </c>
    </row>
    <row r="1677" spans="10:10">
      <c r="J1677">
        <f t="shared" si="26"/>
      </c>
    </row>
    <row r="1678" spans="10:10">
      <c r="J1678">
        <f t="shared" si="26"/>
      </c>
    </row>
    <row r="1679" spans="10:10">
      <c r="J1679">
        <f t="shared" si="26"/>
      </c>
    </row>
    <row r="1680" spans="10:10">
      <c r="J1680">
        <f t="shared" si="26"/>
      </c>
    </row>
    <row r="1681" spans="10:10">
      <c r="J1681">
        <f t="shared" si="26"/>
      </c>
    </row>
    <row r="1682" spans="10:10">
      <c r="J1682">
        <f t="shared" si="26"/>
      </c>
    </row>
    <row r="1683" spans="10:10">
      <c r="J1683">
        <f t="shared" si="26"/>
      </c>
    </row>
    <row r="1684" spans="10:10">
      <c r="J1684">
        <f t="shared" si="26"/>
      </c>
    </row>
    <row r="1685" spans="10:10">
      <c r="J1685">
        <f t="shared" si="26"/>
      </c>
    </row>
    <row r="1686" spans="10:10">
      <c r="J1686">
        <f t="shared" si="26"/>
      </c>
    </row>
    <row r="1687" spans="10:10">
      <c r="J1687">
        <f t="shared" si="26"/>
      </c>
    </row>
    <row r="1688" spans="10:10">
      <c r="J1688">
        <f t="shared" si="26"/>
      </c>
    </row>
    <row r="1689" spans="10:10">
      <c r="J1689">
        <f t="shared" si="26"/>
      </c>
    </row>
    <row r="1690" spans="10:10">
      <c r="J1690">
        <f t="shared" si="26"/>
      </c>
    </row>
    <row r="1691" spans="10:10">
      <c r="J1691">
        <f t="shared" si="26"/>
      </c>
    </row>
    <row r="1692" spans="10:10">
      <c r="J1692">
        <f t="shared" si="26"/>
      </c>
    </row>
    <row r="1693" spans="10:10">
      <c r="J1693">
        <f t="shared" si="26"/>
      </c>
    </row>
    <row r="1694" spans="10:10">
      <c r="J1694">
        <f t="shared" si="26"/>
      </c>
    </row>
    <row r="1695" spans="10:10">
      <c r="J1695">
        <f t="shared" si="26"/>
      </c>
    </row>
    <row r="1696" spans="10:10">
      <c r="J1696">
        <f t="shared" si="26"/>
      </c>
    </row>
    <row r="1697" spans="10:10">
      <c r="J1697">
        <f t="shared" si="26"/>
      </c>
    </row>
    <row r="1698" spans="10:10">
      <c r="J1698">
        <f t="shared" si="26"/>
      </c>
    </row>
    <row r="1699" spans="10:10">
      <c r="J1699">
        <f t="shared" si="26"/>
      </c>
    </row>
    <row r="1700" spans="10:10">
      <c r="J1700">
        <f t="shared" si="26"/>
      </c>
    </row>
    <row r="1701" spans="10:10">
      <c r="J1701">
        <f t="shared" si="26"/>
      </c>
    </row>
    <row r="1702" spans="10:10">
      <c r="J1702">
        <f t="shared" si="26"/>
      </c>
    </row>
    <row r="1703" spans="10:10">
      <c r="J1703">
        <f t="shared" si="26"/>
      </c>
    </row>
    <row r="1704" spans="10:10">
      <c r="J1704">
        <f t="shared" si="26"/>
      </c>
    </row>
    <row r="1705" spans="10:10">
      <c r="J1705">
        <f t="shared" si="26"/>
      </c>
    </row>
    <row r="1706" spans="10:10">
      <c r="J1706">
        <f t="shared" si="26"/>
      </c>
    </row>
    <row r="1707" spans="10:10">
      <c r="J1707">
        <f t="shared" si="26"/>
      </c>
    </row>
    <row r="1708" spans="10:10">
      <c r="J1708">
        <f t="shared" si="26"/>
      </c>
    </row>
    <row r="1709" spans="10:10">
      <c r="J1709">
        <f t="shared" si="26"/>
      </c>
    </row>
    <row r="1710" spans="10:10">
      <c r="J1710">
        <f t="shared" si="26"/>
      </c>
    </row>
    <row r="1711" spans="10:10">
      <c r="J1711">
        <f t="shared" si="26"/>
      </c>
    </row>
    <row r="1712" spans="10:10">
      <c r="J1712">
        <f t="shared" si="26"/>
      </c>
    </row>
    <row r="1713" spans="10:10">
      <c r="J1713">
        <f t="shared" si="26"/>
      </c>
    </row>
    <row r="1714" spans="10:10">
      <c r="J1714">
        <f t="shared" si="26"/>
      </c>
    </row>
    <row r="1715" spans="10:10">
      <c r="J1715">
        <f t="shared" si="26"/>
      </c>
    </row>
    <row r="1716" spans="10:10">
      <c r="J1716">
        <f t="shared" si="26"/>
      </c>
    </row>
    <row r="1717" spans="10:10">
      <c r="J1717">
        <f t="shared" si="26"/>
      </c>
    </row>
    <row r="1718" spans="10:10">
      <c r="J1718">
        <f t="shared" si="26"/>
      </c>
    </row>
    <row r="1719" spans="10:10">
      <c r="J1719">
        <f t="shared" si="26"/>
      </c>
    </row>
    <row r="1720" spans="10:10">
      <c r="J1720">
        <f t="shared" si="26"/>
      </c>
    </row>
    <row r="1721" spans="10:10">
      <c r="J1721">
        <f t="shared" si="26"/>
      </c>
    </row>
    <row r="1722" spans="10:10">
      <c r="J1722">
        <f t="shared" si="26"/>
      </c>
    </row>
    <row r="1723" spans="10:10">
      <c r="J1723">
        <f t="shared" si="26"/>
      </c>
    </row>
    <row r="1724" spans="10:10">
      <c r="J1724">
        <f t="shared" si="26"/>
      </c>
    </row>
    <row r="1725" spans="10:10">
      <c r="J1725">
        <f t="shared" si="26"/>
      </c>
    </row>
    <row r="1726" spans="10:10">
      <c r="J1726">
        <f t="shared" si="26"/>
      </c>
    </row>
    <row r="1727" spans="10:10">
      <c r="J1727">
        <f t="shared" si="26"/>
      </c>
    </row>
    <row r="1728" spans="10:10">
      <c r="J1728">
        <f t="shared" si="26"/>
      </c>
    </row>
    <row r="1729" spans="10:10">
      <c r="J1729">
        <f t="shared" si="26"/>
      </c>
    </row>
    <row r="1730" spans="10:10">
      <c r="J1730">
        <f t="shared" si="26"/>
      </c>
    </row>
    <row r="1731" spans="10:10">
      <c r="J1731">
        <f t="shared" si="26"/>
      </c>
    </row>
    <row r="1732" spans="10:10">
      <c r="J1732">
        <f t="shared" ref="J1732:J1795" si="27">IF(B1732="","", WEEKNUM(B1732, 2))</f>
      </c>
    </row>
    <row r="1733" spans="10:10">
      <c r="J1733">
        <f t="shared" si="27"/>
      </c>
    </row>
    <row r="1734" spans="10:10">
      <c r="J1734">
        <f t="shared" si="27"/>
      </c>
    </row>
    <row r="1735" spans="10:10">
      <c r="J1735">
        <f t="shared" si="27"/>
      </c>
    </row>
    <row r="1736" spans="10:10">
      <c r="J1736">
        <f t="shared" si="27"/>
      </c>
    </row>
    <row r="1737" spans="10:10">
      <c r="J1737">
        <f t="shared" si="27"/>
      </c>
    </row>
    <row r="1738" spans="10:10">
      <c r="J1738">
        <f t="shared" si="27"/>
      </c>
    </row>
    <row r="1739" spans="10:10">
      <c r="J1739">
        <f t="shared" si="27"/>
      </c>
    </row>
    <row r="1740" spans="10:10">
      <c r="J1740">
        <f t="shared" si="27"/>
      </c>
    </row>
    <row r="1741" spans="10:10">
      <c r="J1741">
        <f t="shared" si="27"/>
      </c>
    </row>
    <row r="1742" spans="10:10">
      <c r="J1742">
        <f t="shared" si="27"/>
      </c>
    </row>
    <row r="1743" spans="10:10">
      <c r="J1743">
        <f t="shared" si="27"/>
      </c>
    </row>
    <row r="1744" spans="10:10">
      <c r="J1744">
        <f t="shared" si="27"/>
      </c>
    </row>
    <row r="1745" spans="10:10">
      <c r="J1745">
        <f t="shared" si="27"/>
      </c>
    </row>
    <row r="1746" spans="10:10">
      <c r="J1746">
        <f t="shared" si="27"/>
      </c>
    </row>
    <row r="1747" spans="10:10">
      <c r="J1747">
        <f t="shared" si="27"/>
      </c>
    </row>
    <row r="1748" spans="10:10">
      <c r="J1748">
        <f t="shared" si="27"/>
      </c>
    </row>
    <row r="1749" spans="10:10">
      <c r="J1749">
        <f t="shared" si="27"/>
      </c>
    </row>
    <row r="1750" spans="10:10">
      <c r="J1750">
        <f t="shared" si="27"/>
      </c>
    </row>
    <row r="1751" spans="10:10">
      <c r="J1751">
        <f t="shared" si="27"/>
      </c>
    </row>
    <row r="1752" spans="10:10">
      <c r="J1752">
        <f t="shared" si="27"/>
      </c>
    </row>
    <row r="1753" spans="10:10">
      <c r="J1753">
        <f t="shared" si="27"/>
      </c>
    </row>
    <row r="1754" spans="10:10">
      <c r="J1754">
        <f t="shared" si="27"/>
      </c>
    </row>
    <row r="1755" spans="10:10">
      <c r="J1755">
        <f t="shared" si="27"/>
      </c>
    </row>
    <row r="1756" spans="10:10">
      <c r="J1756">
        <f t="shared" si="27"/>
      </c>
    </row>
    <row r="1757" spans="10:10">
      <c r="J1757">
        <f t="shared" si="27"/>
      </c>
    </row>
    <row r="1758" spans="10:10">
      <c r="J1758">
        <f t="shared" si="27"/>
      </c>
    </row>
    <row r="1759" spans="10:10">
      <c r="J1759">
        <f t="shared" si="27"/>
      </c>
    </row>
    <row r="1760" spans="10:10">
      <c r="J1760">
        <f t="shared" si="27"/>
      </c>
    </row>
    <row r="1761" spans="10:10">
      <c r="J1761">
        <f t="shared" si="27"/>
      </c>
    </row>
    <row r="1762" spans="10:10">
      <c r="J1762">
        <f t="shared" si="27"/>
      </c>
    </row>
    <row r="1763" spans="10:10">
      <c r="J1763">
        <f t="shared" si="27"/>
      </c>
    </row>
    <row r="1764" spans="10:10">
      <c r="J1764">
        <f t="shared" si="27"/>
      </c>
    </row>
    <row r="1765" spans="10:10">
      <c r="J1765">
        <f t="shared" si="27"/>
      </c>
    </row>
    <row r="1766" spans="10:10">
      <c r="J1766">
        <f t="shared" si="27"/>
      </c>
    </row>
    <row r="1767" spans="10:10">
      <c r="J1767">
        <f t="shared" si="27"/>
      </c>
    </row>
    <row r="1768" spans="10:10">
      <c r="J1768">
        <f t="shared" si="27"/>
      </c>
    </row>
    <row r="1769" spans="10:10">
      <c r="J1769">
        <f t="shared" si="27"/>
      </c>
    </row>
    <row r="1770" spans="10:10">
      <c r="J1770">
        <f t="shared" si="27"/>
      </c>
    </row>
    <row r="1771" spans="10:10">
      <c r="J1771">
        <f t="shared" si="27"/>
      </c>
    </row>
    <row r="1772" spans="10:10">
      <c r="J1772">
        <f t="shared" si="27"/>
      </c>
    </row>
    <row r="1773" spans="10:10">
      <c r="J1773">
        <f t="shared" si="27"/>
      </c>
    </row>
    <row r="1774" spans="10:10">
      <c r="J1774">
        <f t="shared" si="27"/>
      </c>
    </row>
    <row r="1775" spans="10:10">
      <c r="J1775">
        <f t="shared" si="27"/>
      </c>
    </row>
    <row r="1776" spans="10:10">
      <c r="J1776">
        <f t="shared" si="27"/>
      </c>
    </row>
    <row r="1777" spans="10:10">
      <c r="J1777">
        <f t="shared" si="27"/>
      </c>
    </row>
    <row r="1778" spans="10:10">
      <c r="J1778">
        <f t="shared" si="27"/>
      </c>
    </row>
    <row r="1779" spans="10:10">
      <c r="J1779">
        <f t="shared" si="27"/>
      </c>
    </row>
    <row r="1780" spans="10:10">
      <c r="J1780">
        <f t="shared" si="27"/>
      </c>
    </row>
    <row r="1781" spans="10:10">
      <c r="J1781">
        <f t="shared" si="27"/>
      </c>
    </row>
    <row r="1782" spans="10:10">
      <c r="J1782">
        <f t="shared" si="27"/>
      </c>
    </row>
    <row r="1783" spans="10:10">
      <c r="J1783">
        <f t="shared" si="27"/>
      </c>
    </row>
    <row r="1784" spans="10:10">
      <c r="J1784">
        <f t="shared" si="27"/>
      </c>
    </row>
    <row r="1785" spans="10:10">
      <c r="J1785">
        <f t="shared" si="27"/>
      </c>
    </row>
    <row r="1786" spans="10:10">
      <c r="J1786">
        <f t="shared" si="27"/>
      </c>
    </row>
    <row r="1787" spans="10:10">
      <c r="J1787">
        <f t="shared" si="27"/>
      </c>
    </row>
    <row r="1788" spans="10:10">
      <c r="J1788">
        <f t="shared" si="27"/>
      </c>
    </row>
    <row r="1789" spans="10:10">
      <c r="J1789">
        <f t="shared" si="27"/>
      </c>
    </row>
    <row r="1790" spans="10:10">
      <c r="J1790">
        <f t="shared" si="27"/>
      </c>
    </row>
    <row r="1791" spans="10:10">
      <c r="J1791">
        <f t="shared" si="27"/>
      </c>
    </row>
    <row r="1792" spans="10:10">
      <c r="J1792">
        <f t="shared" si="27"/>
      </c>
    </row>
    <row r="1793" spans="10:10">
      <c r="J1793">
        <f t="shared" si="27"/>
      </c>
    </row>
    <row r="1794" spans="10:10">
      <c r="J1794">
        <f t="shared" si="27"/>
      </c>
    </row>
    <row r="1795" spans="10:10">
      <c r="J1795">
        <f t="shared" si="27"/>
      </c>
    </row>
    <row r="1796" spans="10:10">
      <c r="J1796">
        <f t="shared" ref="J1796:J1859" si="28">IF(B1796="","", WEEKNUM(B1796, 2))</f>
      </c>
    </row>
    <row r="1797" spans="10:10">
      <c r="J1797">
        <f t="shared" si="28"/>
      </c>
    </row>
    <row r="1798" spans="10:10">
      <c r="J1798">
        <f t="shared" si="28"/>
      </c>
    </row>
    <row r="1799" spans="10:10">
      <c r="J1799">
        <f t="shared" si="28"/>
      </c>
    </row>
    <row r="1800" spans="10:10">
      <c r="J1800">
        <f t="shared" si="28"/>
      </c>
    </row>
    <row r="1801" spans="10:10">
      <c r="J1801">
        <f t="shared" si="28"/>
      </c>
    </row>
    <row r="1802" spans="10:10">
      <c r="J1802">
        <f t="shared" si="28"/>
      </c>
    </row>
    <row r="1803" spans="10:10">
      <c r="J1803">
        <f t="shared" si="28"/>
      </c>
    </row>
    <row r="1804" spans="10:10">
      <c r="J1804">
        <f t="shared" si="28"/>
      </c>
    </row>
    <row r="1805" spans="10:10">
      <c r="J1805">
        <f t="shared" si="28"/>
      </c>
    </row>
    <row r="1806" spans="10:10">
      <c r="J1806">
        <f t="shared" si="28"/>
      </c>
    </row>
    <row r="1807" spans="10:10">
      <c r="J1807">
        <f t="shared" si="28"/>
      </c>
    </row>
    <row r="1808" spans="10:10">
      <c r="J1808">
        <f t="shared" si="28"/>
      </c>
    </row>
    <row r="1809" spans="10:10">
      <c r="J1809">
        <f t="shared" si="28"/>
      </c>
    </row>
    <row r="1810" spans="10:10">
      <c r="J1810">
        <f t="shared" si="28"/>
      </c>
    </row>
    <row r="1811" spans="10:10">
      <c r="J1811">
        <f t="shared" si="28"/>
      </c>
    </row>
    <row r="1812" spans="10:10">
      <c r="J1812">
        <f t="shared" si="28"/>
      </c>
    </row>
    <row r="1813" spans="10:10">
      <c r="J1813">
        <f t="shared" si="28"/>
      </c>
    </row>
    <row r="1814" spans="10:10">
      <c r="J1814">
        <f t="shared" si="28"/>
      </c>
    </row>
    <row r="1815" spans="10:10">
      <c r="J1815">
        <f t="shared" si="28"/>
      </c>
    </row>
    <row r="1816" spans="10:10">
      <c r="J1816">
        <f t="shared" si="28"/>
      </c>
    </row>
    <row r="1817" spans="10:10">
      <c r="J1817">
        <f t="shared" si="28"/>
      </c>
    </row>
    <row r="1818" spans="10:10">
      <c r="J1818">
        <f t="shared" si="28"/>
      </c>
    </row>
    <row r="1819" spans="10:10">
      <c r="J1819">
        <f t="shared" si="28"/>
      </c>
    </row>
    <row r="1820" spans="10:10">
      <c r="J1820">
        <f t="shared" si="28"/>
      </c>
    </row>
    <row r="1821" spans="10:10">
      <c r="J1821">
        <f t="shared" si="28"/>
      </c>
    </row>
    <row r="1822" spans="10:10">
      <c r="J1822">
        <f t="shared" si="28"/>
      </c>
    </row>
    <row r="1823" spans="10:10">
      <c r="J1823">
        <f t="shared" si="28"/>
      </c>
    </row>
    <row r="1824" spans="10:10">
      <c r="J1824">
        <f t="shared" si="28"/>
      </c>
    </row>
    <row r="1825" spans="10:10">
      <c r="J1825">
        <f t="shared" si="28"/>
      </c>
    </row>
    <row r="1826" spans="10:10">
      <c r="J1826">
        <f t="shared" si="28"/>
      </c>
    </row>
    <row r="1827" spans="10:10">
      <c r="J1827">
        <f t="shared" si="28"/>
      </c>
    </row>
    <row r="1828" spans="10:10">
      <c r="J1828">
        <f t="shared" si="28"/>
      </c>
    </row>
    <row r="1829" spans="10:10">
      <c r="J1829">
        <f t="shared" si="28"/>
      </c>
    </row>
    <row r="1830" spans="10:10">
      <c r="J1830">
        <f t="shared" si="28"/>
      </c>
    </row>
    <row r="1831" spans="10:10">
      <c r="J1831">
        <f t="shared" si="28"/>
      </c>
    </row>
    <row r="1832" spans="10:10">
      <c r="J1832">
        <f t="shared" si="28"/>
      </c>
    </row>
    <row r="1833" spans="10:10">
      <c r="J1833">
        <f t="shared" si="28"/>
      </c>
    </row>
    <row r="1834" spans="10:10">
      <c r="J1834">
        <f t="shared" si="28"/>
      </c>
    </row>
    <row r="1835" spans="10:10">
      <c r="J1835">
        <f t="shared" si="28"/>
      </c>
    </row>
    <row r="1836" spans="10:10">
      <c r="J1836">
        <f t="shared" si="28"/>
      </c>
    </row>
    <row r="1837" spans="10:10">
      <c r="J1837">
        <f t="shared" si="28"/>
      </c>
    </row>
    <row r="1838" spans="10:10">
      <c r="J1838">
        <f t="shared" si="28"/>
      </c>
    </row>
    <row r="1839" spans="10:10">
      <c r="J1839">
        <f t="shared" si="28"/>
      </c>
    </row>
    <row r="1840" spans="10:10">
      <c r="J1840">
        <f t="shared" si="28"/>
      </c>
    </row>
    <row r="1841" spans="10:10">
      <c r="J1841">
        <f t="shared" si="28"/>
      </c>
    </row>
    <row r="1842" spans="10:10">
      <c r="J1842">
        <f t="shared" si="28"/>
      </c>
    </row>
    <row r="1843" spans="10:10">
      <c r="J1843">
        <f t="shared" si="28"/>
      </c>
    </row>
    <row r="1844" spans="10:10">
      <c r="J1844">
        <f t="shared" si="28"/>
      </c>
    </row>
    <row r="1845" spans="10:10">
      <c r="J1845">
        <f t="shared" si="28"/>
      </c>
    </row>
    <row r="1846" spans="10:10">
      <c r="J1846">
        <f t="shared" si="28"/>
      </c>
    </row>
    <row r="1847" spans="10:10">
      <c r="J1847">
        <f t="shared" si="28"/>
      </c>
    </row>
    <row r="1848" spans="10:10">
      <c r="J1848">
        <f t="shared" si="28"/>
      </c>
    </row>
    <row r="1849" spans="10:10">
      <c r="J1849">
        <f t="shared" si="28"/>
      </c>
    </row>
    <row r="1850" spans="10:10">
      <c r="J1850">
        <f t="shared" si="28"/>
      </c>
    </row>
    <row r="1851" spans="10:10">
      <c r="J1851">
        <f t="shared" si="28"/>
      </c>
    </row>
    <row r="1852" spans="10:10">
      <c r="J1852">
        <f t="shared" si="28"/>
      </c>
    </row>
    <row r="1853" spans="10:10">
      <c r="J1853">
        <f t="shared" si="28"/>
      </c>
    </row>
    <row r="1854" spans="10:10">
      <c r="J1854">
        <f t="shared" si="28"/>
      </c>
    </row>
    <row r="1855" spans="10:10">
      <c r="J1855">
        <f t="shared" si="28"/>
      </c>
    </row>
    <row r="1856" spans="10:10">
      <c r="J1856">
        <f t="shared" si="28"/>
      </c>
    </row>
    <row r="1857" spans="10:10">
      <c r="J1857">
        <f t="shared" si="28"/>
      </c>
    </row>
    <row r="1858" spans="10:10">
      <c r="J1858">
        <f t="shared" si="28"/>
      </c>
    </row>
    <row r="1859" spans="10:10">
      <c r="J1859">
        <f t="shared" si="28"/>
      </c>
    </row>
    <row r="1860" spans="10:10">
      <c r="J1860">
        <f t="shared" ref="J1860:J1923" si="29">IF(B1860="","", WEEKNUM(B1860, 2))</f>
      </c>
    </row>
    <row r="1861" spans="10:10">
      <c r="J1861">
        <f t="shared" si="29"/>
      </c>
    </row>
    <row r="1862" spans="10:10">
      <c r="J1862">
        <f t="shared" si="29"/>
      </c>
    </row>
    <row r="1863" spans="10:10">
      <c r="J1863">
        <f t="shared" si="29"/>
      </c>
    </row>
    <row r="1864" spans="10:10">
      <c r="J1864">
        <f t="shared" si="29"/>
      </c>
    </row>
    <row r="1865" spans="10:10">
      <c r="J1865">
        <f t="shared" si="29"/>
      </c>
    </row>
    <row r="1866" spans="10:10">
      <c r="J1866">
        <f t="shared" si="29"/>
      </c>
    </row>
    <row r="1867" spans="10:10">
      <c r="J1867">
        <f t="shared" si="29"/>
      </c>
    </row>
    <row r="1868" spans="10:10">
      <c r="J1868">
        <f t="shared" si="29"/>
      </c>
    </row>
    <row r="1869" spans="10:10">
      <c r="J1869">
        <f t="shared" si="29"/>
      </c>
    </row>
    <row r="1870" spans="10:10">
      <c r="J1870">
        <f t="shared" si="29"/>
      </c>
    </row>
    <row r="1871" spans="10:10">
      <c r="J1871">
        <f t="shared" si="29"/>
      </c>
    </row>
    <row r="1872" spans="10:10">
      <c r="J1872">
        <f t="shared" si="29"/>
      </c>
    </row>
    <row r="1873" spans="10:10">
      <c r="J1873">
        <f t="shared" si="29"/>
      </c>
    </row>
    <row r="1874" spans="10:10">
      <c r="J1874">
        <f t="shared" si="29"/>
      </c>
    </row>
    <row r="1875" spans="10:10">
      <c r="J1875">
        <f t="shared" si="29"/>
      </c>
    </row>
    <row r="1876" spans="10:10">
      <c r="J1876">
        <f t="shared" si="29"/>
      </c>
    </row>
    <row r="1877" spans="10:10">
      <c r="J1877">
        <f t="shared" si="29"/>
      </c>
    </row>
    <row r="1878" spans="10:10">
      <c r="J1878">
        <f t="shared" si="29"/>
      </c>
    </row>
    <row r="1879" spans="10:10">
      <c r="J1879">
        <f t="shared" si="29"/>
      </c>
    </row>
    <row r="1880" spans="10:10">
      <c r="J1880">
        <f t="shared" si="29"/>
      </c>
    </row>
    <row r="1881" spans="10:10">
      <c r="J1881">
        <f t="shared" si="29"/>
      </c>
    </row>
    <row r="1882" spans="10:10">
      <c r="J1882">
        <f t="shared" si="29"/>
      </c>
    </row>
    <row r="1883" spans="10:10">
      <c r="J1883">
        <f t="shared" si="29"/>
      </c>
    </row>
    <row r="1884" spans="10:10">
      <c r="J1884">
        <f t="shared" si="29"/>
      </c>
    </row>
    <row r="1885" spans="10:10">
      <c r="J1885">
        <f t="shared" si="29"/>
      </c>
    </row>
    <row r="1886" spans="10:10">
      <c r="J1886">
        <f t="shared" si="29"/>
      </c>
    </row>
    <row r="1887" spans="10:10">
      <c r="J1887">
        <f t="shared" si="29"/>
      </c>
    </row>
    <row r="1888" spans="10:10">
      <c r="J1888">
        <f t="shared" si="29"/>
      </c>
    </row>
    <row r="1889" spans="10:10">
      <c r="J1889">
        <f t="shared" si="29"/>
      </c>
    </row>
    <row r="1890" spans="10:10">
      <c r="J1890">
        <f t="shared" si="29"/>
      </c>
    </row>
    <row r="1891" spans="10:10">
      <c r="J1891">
        <f t="shared" si="29"/>
      </c>
    </row>
    <row r="1892" spans="10:10">
      <c r="J1892">
        <f t="shared" si="29"/>
      </c>
    </row>
    <row r="1893" spans="10:10">
      <c r="J1893">
        <f t="shared" si="29"/>
      </c>
    </row>
    <row r="1894" spans="10:10">
      <c r="J1894">
        <f t="shared" si="29"/>
      </c>
    </row>
    <row r="1895" spans="10:10">
      <c r="J1895">
        <f t="shared" si="29"/>
      </c>
    </row>
    <row r="1896" spans="10:10">
      <c r="J1896">
        <f t="shared" si="29"/>
      </c>
    </row>
    <row r="1897" spans="10:10">
      <c r="J1897">
        <f t="shared" si="29"/>
      </c>
    </row>
    <row r="1898" spans="10:10">
      <c r="J1898">
        <f t="shared" si="29"/>
      </c>
    </row>
    <row r="1899" spans="10:10">
      <c r="J1899">
        <f t="shared" si="29"/>
      </c>
    </row>
    <row r="1900" spans="10:10">
      <c r="J1900">
        <f t="shared" si="29"/>
      </c>
    </row>
    <row r="1901" spans="10:10">
      <c r="J1901">
        <f t="shared" si="29"/>
      </c>
    </row>
    <row r="1902" spans="10:10">
      <c r="J1902">
        <f t="shared" si="29"/>
      </c>
    </row>
    <row r="1903" spans="10:10">
      <c r="J1903">
        <f t="shared" si="29"/>
      </c>
    </row>
    <row r="1904" spans="10:10">
      <c r="J1904">
        <f t="shared" si="29"/>
      </c>
    </row>
    <row r="1905" spans="10:10">
      <c r="J1905">
        <f t="shared" si="29"/>
      </c>
    </row>
    <row r="1906" spans="10:10">
      <c r="J1906">
        <f t="shared" si="29"/>
      </c>
    </row>
    <row r="1907" spans="10:10">
      <c r="J1907">
        <f t="shared" si="29"/>
      </c>
    </row>
    <row r="1908" spans="10:10">
      <c r="J1908">
        <f t="shared" si="29"/>
      </c>
    </row>
    <row r="1909" spans="10:10">
      <c r="J1909">
        <f t="shared" si="29"/>
      </c>
    </row>
    <row r="1910" spans="10:10">
      <c r="J1910">
        <f t="shared" si="29"/>
      </c>
    </row>
    <row r="1911" spans="10:10">
      <c r="J1911">
        <f t="shared" si="29"/>
      </c>
    </row>
    <row r="1912" spans="10:10">
      <c r="J1912">
        <f t="shared" si="29"/>
      </c>
    </row>
    <row r="1913" spans="10:10">
      <c r="J1913">
        <f t="shared" si="29"/>
      </c>
    </row>
    <row r="1914" spans="10:10">
      <c r="J1914">
        <f t="shared" si="29"/>
      </c>
    </row>
    <row r="1915" spans="10:10">
      <c r="J1915">
        <f t="shared" si="29"/>
      </c>
    </row>
    <row r="1916" spans="10:10">
      <c r="J1916">
        <f t="shared" si="29"/>
      </c>
    </row>
    <row r="1917" spans="10:10">
      <c r="J1917">
        <f t="shared" si="29"/>
      </c>
    </row>
    <row r="1918" spans="10:10">
      <c r="J1918">
        <f t="shared" si="29"/>
      </c>
    </row>
    <row r="1919" spans="10:10">
      <c r="J1919">
        <f t="shared" si="29"/>
      </c>
    </row>
    <row r="1920" spans="10:10">
      <c r="J1920">
        <f t="shared" si="29"/>
      </c>
    </row>
    <row r="1921" spans="10:10">
      <c r="J1921">
        <f t="shared" si="29"/>
      </c>
    </row>
    <row r="1922" spans="10:10">
      <c r="J1922">
        <f t="shared" si="29"/>
      </c>
    </row>
    <row r="1923" spans="10:10">
      <c r="J1923">
        <f t="shared" si="29"/>
      </c>
    </row>
    <row r="1924" spans="10:10">
      <c r="J1924">
        <f t="shared" ref="J1924:J1987" si="30">IF(B1924="","", WEEKNUM(B1924, 2))</f>
      </c>
    </row>
    <row r="1925" spans="10:10">
      <c r="J1925">
        <f t="shared" si="30"/>
      </c>
    </row>
    <row r="1926" spans="10:10">
      <c r="J1926">
        <f t="shared" si="30"/>
      </c>
    </row>
    <row r="1927" spans="10:10">
      <c r="J1927">
        <f t="shared" si="30"/>
      </c>
    </row>
    <row r="1928" spans="10:10">
      <c r="J1928">
        <f t="shared" si="30"/>
      </c>
    </row>
    <row r="1929" spans="10:10">
      <c r="J1929">
        <f t="shared" si="30"/>
      </c>
    </row>
    <row r="1930" spans="10:10">
      <c r="J1930">
        <f t="shared" si="30"/>
      </c>
    </row>
    <row r="1931" spans="10:10">
      <c r="J1931">
        <f t="shared" si="30"/>
      </c>
    </row>
    <row r="1932" spans="10:10">
      <c r="J1932">
        <f t="shared" si="30"/>
      </c>
    </row>
    <row r="1933" spans="10:10">
      <c r="J1933">
        <f t="shared" si="30"/>
      </c>
    </row>
    <row r="1934" spans="10:10">
      <c r="J1934">
        <f t="shared" si="30"/>
      </c>
    </row>
    <row r="1935" spans="10:10">
      <c r="J1935">
        <f t="shared" si="30"/>
      </c>
    </row>
    <row r="1936" spans="10:10">
      <c r="J1936">
        <f t="shared" si="30"/>
      </c>
    </row>
    <row r="1937" spans="10:10">
      <c r="J1937">
        <f t="shared" si="30"/>
      </c>
    </row>
    <row r="1938" spans="10:10">
      <c r="J1938">
        <f t="shared" si="30"/>
      </c>
    </row>
    <row r="1939" spans="10:10">
      <c r="J1939">
        <f t="shared" si="30"/>
      </c>
    </row>
    <row r="1940" spans="10:10">
      <c r="J1940">
        <f t="shared" si="30"/>
      </c>
    </row>
    <row r="1941" spans="10:10">
      <c r="J1941">
        <f t="shared" si="30"/>
      </c>
    </row>
    <row r="1942" spans="10:10">
      <c r="J1942">
        <f t="shared" si="30"/>
      </c>
    </row>
    <row r="1943" spans="10:10">
      <c r="J1943">
        <f t="shared" si="30"/>
      </c>
    </row>
    <row r="1944" spans="10:10">
      <c r="J1944">
        <f t="shared" si="30"/>
      </c>
    </row>
    <row r="1945" spans="10:10">
      <c r="J1945">
        <f t="shared" si="30"/>
      </c>
    </row>
    <row r="1946" spans="10:10">
      <c r="J1946">
        <f t="shared" si="30"/>
      </c>
    </row>
    <row r="1947" spans="10:10">
      <c r="J1947">
        <f t="shared" si="30"/>
      </c>
    </row>
    <row r="1948" spans="10:10">
      <c r="J1948">
        <f t="shared" si="30"/>
      </c>
    </row>
    <row r="1949" spans="10:10">
      <c r="J1949">
        <f t="shared" si="30"/>
      </c>
    </row>
    <row r="1950" spans="10:10">
      <c r="J1950">
        <f t="shared" si="30"/>
      </c>
    </row>
    <row r="1951" spans="10:10">
      <c r="J1951">
        <f t="shared" si="30"/>
      </c>
    </row>
    <row r="1952" spans="10:10">
      <c r="J1952">
        <f t="shared" si="30"/>
      </c>
    </row>
    <row r="1953" spans="10:10">
      <c r="J1953">
        <f t="shared" si="30"/>
      </c>
    </row>
    <row r="1954" spans="10:10">
      <c r="J1954">
        <f t="shared" si="30"/>
      </c>
    </row>
    <row r="1955" spans="10:10">
      <c r="J1955">
        <f t="shared" si="30"/>
      </c>
    </row>
    <row r="1956" spans="10:10">
      <c r="J1956">
        <f t="shared" si="30"/>
      </c>
    </row>
    <row r="1957" spans="10:10">
      <c r="J1957">
        <f t="shared" si="30"/>
      </c>
    </row>
    <row r="1958" spans="10:10">
      <c r="J1958">
        <f t="shared" si="30"/>
      </c>
    </row>
    <row r="1959" spans="10:10">
      <c r="J1959">
        <f t="shared" si="30"/>
      </c>
    </row>
    <row r="1960" spans="10:10">
      <c r="J1960">
        <f t="shared" si="30"/>
      </c>
    </row>
    <row r="1961" spans="10:10">
      <c r="J1961">
        <f t="shared" si="30"/>
      </c>
    </row>
    <row r="1962" spans="10:10">
      <c r="J1962">
        <f t="shared" si="30"/>
      </c>
    </row>
    <row r="1963" spans="10:10">
      <c r="J1963">
        <f t="shared" si="30"/>
      </c>
    </row>
    <row r="1964" spans="10:10">
      <c r="J1964">
        <f t="shared" si="30"/>
      </c>
    </row>
    <row r="1965" spans="10:10">
      <c r="J1965">
        <f t="shared" si="30"/>
      </c>
    </row>
    <row r="1966" spans="10:10">
      <c r="J1966">
        <f t="shared" si="30"/>
      </c>
    </row>
    <row r="1967" spans="10:10">
      <c r="J1967">
        <f t="shared" si="30"/>
      </c>
    </row>
    <row r="1968" spans="10:10">
      <c r="J1968">
        <f t="shared" si="30"/>
      </c>
    </row>
    <row r="1969" spans="10:10">
      <c r="J1969">
        <f t="shared" si="30"/>
      </c>
    </row>
    <row r="1970" spans="10:10">
      <c r="J1970">
        <f t="shared" si="30"/>
      </c>
    </row>
    <row r="1971" spans="10:10">
      <c r="J1971">
        <f t="shared" si="30"/>
      </c>
    </row>
    <row r="1972" spans="10:10">
      <c r="J1972">
        <f t="shared" si="30"/>
      </c>
    </row>
    <row r="1973" spans="10:10">
      <c r="J1973">
        <f t="shared" si="30"/>
      </c>
    </row>
    <row r="1974" spans="10:10">
      <c r="J1974">
        <f t="shared" si="30"/>
      </c>
    </row>
    <row r="1975" spans="10:10">
      <c r="J1975">
        <f t="shared" si="30"/>
      </c>
    </row>
    <row r="1976" spans="10:10">
      <c r="J1976">
        <f t="shared" si="30"/>
      </c>
    </row>
    <row r="1977" spans="10:10">
      <c r="J1977">
        <f t="shared" si="30"/>
      </c>
    </row>
    <row r="1978" spans="10:10">
      <c r="J1978">
        <f t="shared" si="30"/>
      </c>
    </row>
    <row r="1979" spans="10:10">
      <c r="J1979">
        <f t="shared" si="30"/>
      </c>
    </row>
    <row r="1980" spans="10:10">
      <c r="J1980">
        <f t="shared" si="30"/>
      </c>
    </row>
    <row r="1981" spans="10:10">
      <c r="J1981">
        <f t="shared" si="30"/>
      </c>
    </row>
    <row r="1982" spans="10:10">
      <c r="J1982">
        <f t="shared" si="30"/>
      </c>
    </row>
    <row r="1983" spans="10:10">
      <c r="J1983">
        <f t="shared" si="30"/>
      </c>
    </row>
    <row r="1984" spans="10:10">
      <c r="J1984">
        <f t="shared" si="30"/>
      </c>
    </row>
    <row r="1985" spans="10:10">
      <c r="J1985">
        <f t="shared" si="30"/>
      </c>
    </row>
    <row r="1986" spans="10:10">
      <c r="J1986">
        <f t="shared" si="30"/>
      </c>
    </row>
    <row r="1987" spans="10:10">
      <c r="J1987">
        <f t="shared" si="30"/>
      </c>
    </row>
    <row r="1988" spans="10:10">
      <c r="J1988">
        <f t="shared" ref="J1988:J2000" si="31">IF(B1988="","", WEEKNUM(B1988, 2))</f>
      </c>
    </row>
    <row r="1989" spans="10:10">
      <c r="J1989">
        <f t="shared" si="31"/>
      </c>
    </row>
    <row r="1990" spans="10:10">
      <c r="J1990">
        <f t="shared" si="31"/>
      </c>
    </row>
    <row r="1991" spans="10:10">
      <c r="J1991">
        <f t="shared" si="31"/>
      </c>
    </row>
    <row r="1992" spans="10:10">
      <c r="J1992">
        <f t="shared" si="31"/>
      </c>
    </row>
    <row r="1993" spans="10:10">
      <c r="J1993">
        <f t="shared" si="31"/>
      </c>
    </row>
    <row r="1994" spans="10:10">
      <c r="J1994">
        <f t="shared" si="31"/>
      </c>
    </row>
    <row r="1995" spans="10:10">
      <c r="J1995">
        <f t="shared" si="31"/>
      </c>
    </row>
    <row r="1996" spans="10:10">
      <c r="J1996">
        <f t="shared" si="31"/>
      </c>
    </row>
    <row r="1997" spans="10:10">
      <c r="J1997">
        <f t="shared" si="31"/>
      </c>
    </row>
    <row r="1998" spans="10:10">
      <c r="J1998">
        <f t="shared" si="31"/>
      </c>
    </row>
    <row r="1999" spans="10:10">
      <c r="J1999">
        <f t="shared" si="31"/>
      </c>
    </row>
    <row r="2000" spans="10:10">
      <c r="J2000">
        <f t="shared" si="31"/>
      </c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Obra Inválida" error="Seleccione una obra del catálogo." promptTitle="undefined" prompt="undefined" xr:uid="{00000000-0002-0000-0C00-000000000000}">
          <x14:formula1>
            <xm:f>Catalogos!$B$4:$B$20</xm:f>
          </x14:formula1>
          <xm:sqref>C4:C200</xm:sqref>
        </x14:dataValidation>
        <x14:dataValidation type="list" allowBlank="1" showErrorMessage="1" errorTitle="Máquina Inválida" error="Seleccione una máquina del catálogo." promptTitle="undefined" prompt="undefined" xr:uid="{00000000-0002-0000-0C00-000001000000}">
          <x14:formula1>
            <xm:f>Catalogos!$V$4:$V$100</xm:f>
          </x14:formula1>
          <xm:sqref>D4:D200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9439-0885-477E-8BB5-2C0F3A3CF075}">
  <sheetPr/>
  <sheetViews>
    <sheetView topLeftCell="S34" workbookViewId="0">
      <selection activeCell="W56" sqref="W56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63.5" bestFit="1" customWidth="1"/>
    <col min="10" max="10" width="12.09765625" customWidth="1"/>
    <col min="11" max="11" width="16.3984375" bestFit="1" customWidth="1"/>
    <col min="12" max="12" width="17.8984375" bestFit="1" customWidth="1"/>
    <col min="13" max="13" width="25.69921875" bestFit="1" customWidth="1"/>
    <col min="21" max="21" width="15" customWidth="1"/>
    <col min="22" max="23" width="45" customWidth="1"/>
    <col min="24" max="24" width="25" customWidth="1"/>
    <col min="25" max="25" width="35" customWidth="1"/>
  </cols>
  <sheetData>
    <row r="1" spans="1:27" ht="22.35" customHeight="1">
      <c r="A1" t="s" s="25171">
        <v>37</v>
      </c>
      <c r="B1" s="25170"/>
      <c r="C1" s="25170"/>
      <c r="D1" s="25170"/>
      <c r="E1" s="25170"/>
      <c r="F1" s="25170"/>
      <c r="G1" s="25170"/>
      <c r="H1" s="25170"/>
      <c r="I1" s="25170"/>
      <c r="K1" s="39"/>
      <c r="L1" s="40"/>
    </row>
    <row r="2" spans="1:27" ht="16.8">
      <c r="K2" t="s" s="7">
        <v>155</v>
      </c>
      <c r="L2" t="s" s="8">
        <v>156</v>
      </c>
      <c r="U2" t="s" s="25180">
        <v>361</v>
      </c>
      <c r="V2" s="25181"/>
      <c r="W2" s="25182"/>
      <c r="X2" s="25183"/>
      <c r="Y2" s="25184"/>
    </row>
    <row r="3" spans="1:27" ht="16.8">
      <c r="A3" t="s" s="1">
        <v>38</v>
      </c>
      <c r="B3" t="s" s="1">
        <v>0</v>
      </c>
      <c r="C3" t="s" s="1">
        <v>107</v>
      </c>
      <c r="E3" t="s" s="1">
        <v>39</v>
      </c>
      <c r="F3" t="s" s="1">
        <v>40</v>
      </c>
      <c r="I3" t="s" s="1">
        <v>41</v>
      </c>
      <c r="J3" t="s" s="1">
        <v>28</v>
      </c>
      <c r="K3" s="41"/>
      <c r="L3" s="42"/>
      <c r="M3" t="s">
        <v>352</v>
      </c>
      <c r="N3">
        <v>0</v>
      </c>
      <c r="Q3" t="s">
        <v>360</v>
      </c>
      <c r="R3">
        <v>0</v>
      </c>
      <c r="V3" t="s" s="2350">
        <v>41</v>
      </c>
      <c r="W3" t="s" s="2349">
        <v>362</v>
      </c>
      <c r="X3" t="s" s="2351">
        <v>363</v>
      </c>
      <c r="Y3" t="s" s="2352">
        <v>364</v>
      </c>
      <c r="Z3" t="s">
        <v>401</v>
      </c>
      <c r="AA3" t="s">
        <v>402</v>
      </c>
    </row>
    <row r="4" spans="1:27" ht="16.8">
      <c r="A4" t="s">
        <v>42</v>
      </c>
      <c r="B4" t="s">
        <v>1</v>
      </c>
      <c r="C4" t="s">
        <v>109</v>
      </c>
      <c r="E4" t="s">
        <v>43</v>
      </c>
      <c r="F4" t="s">
        <v>44</v>
      </c>
      <c r="I4" t="s">
        <v>209</v>
      </c>
      <c r="J4" t="s">
        <v>55</v>
      </c>
      <c r="K4" t="s" s="43">
        <v>1</v>
      </c>
      <c r="L4" s="9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</c>
      <c r="N4">
        <f>IF(M4&gt;0, MAX($N$3:N3)+1, "")</f>
      </c>
      <c r="Q4">
        <f>SUMIFS(Captura_Pegaso!$H:$H, Captura_Pegaso!$D:$D, $B4, Captura_Pegaso!$A:$A, "&gt;=" &amp;#REF!, Captura_Pegaso!$A:$A, "&lt;=" &amp; (#REF!+6)) + SUMIFS(Captura_Marimba_M01!$G:$G, Captura_Marimba_M01!$C:$C, $B4, Captura_Marimba_M01!$A:$A, "&gt;=" &amp;#REF!, Captura_Marimba_M01!$A:$A, "&lt;=" &amp; (#REF!+6)) + SUMIFS(Captura_Obra!$F:$F, Captura_Obra!$B:$B, $B4, Captura_Obra!$A:$A, "&gt;=" &amp;#REF!, Captura_Obra!$A:$A, "&lt;=" &amp; (#REF!+6))</f>
      </c>
      <c r="R4">
        <f>IF(Q4&gt;0, MAX($R$3:R3)+1, "")</f>
      </c>
      <c r="V4" t="s" s="2354">
        <v>209</v>
      </c>
      <c r="W4" t="s" s="2353">
        <v>196</v>
      </c>
      <c r="X4" s="2355"/>
      <c r="Y4" s="2356"/>
      <c r="Z4" t="s">
        <v>1</v>
      </c>
      <c r="AA4" t="s">
        <v>42</v>
      </c>
    </row>
    <row r="5" spans="1:27" ht="16.8">
      <c r="A5" t="s">
        <v>45</v>
      </c>
      <c r="B5" t="s">
        <v>2</v>
      </c>
      <c r="C5" t="s">
        <v>108</v>
      </c>
      <c r="E5" t="s">
        <v>46</v>
      </c>
      <c r="F5" t="s">
        <v>47</v>
      </c>
      <c r="I5" t="s">
        <v>210</v>
      </c>
      <c r="J5" t="s">
        <v>82</v>
      </c>
      <c r="K5" t="s" s="44">
        <v>2</v>
      </c>
      <c r="L5" s="10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</c>
      <c r="N5">
        <f>IF(M5&gt;0, MAX($N$3:N4)+1, "")</f>
      </c>
      <c r="Q5">
        <f>SUMIFS(Captura_Pegaso!$H:$H, Captura_Pegaso!$D:$D, $B5, Captura_Pegaso!$A:$A, "&gt;=" &amp;#REF!, Captura_Pegaso!$A:$A, "&lt;=" &amp; (#REF!+6)) + SUMIFS(Captura_Marimba_M01!$G:$G, Captura_Marimba_M01!$C:$C, $B5, Captura_Marimba_M01!$A:$A, "&gt;=" &amp;#REF!, Captura_Marimba_M01!$A:$A, "&lt;=" &amp; (#REF!+6)) + SUMIFS(Captura_Obra!$F:$F, Captura_Obra!$B:$B, $B5, Captura_Obra!$A:$A, "&gt;=" &amp;#REF!, Captura_Obra!$A:$A, "&lt;=" &amp; (#REF!+6))</f>
      </c>
      <c r="R5">
        <f>IF(Q5&gt;0, MAX($R$3:R4)+1, "")</f>
      </c>
      <c r="V5" t="s" s="2358">
        <v>365</v>
      </c>
      <c r="W5" t="s" s="2357">
        <v>66</v>
      </c>
      <c r="X5" t="s" s="2359">
        <v>1</v>
      </c>
      <c r="Y5" t="s" s="2360">
        <v>366</v>
      </c>
      <c r="Z5" t="s">
        <v>2</v>
      </c>
      <c r="AA5" t="s">
        <v>403</v>
      </c>
    </row>
    <row r="6" spans="1:27" ht="16.8">
      <c r="A6" t="s">
        <v>120</v>
      </c>
      <c r="B6" t="s">
        <v>114</v>
      </c>
      <c r="E6" t="s">
        <v>121</v>
      </c>
      <c r="F6" t="s">
        <v>115</v>
      </c>
      <c r="I6" t="s">
        <v>209</v>
      </c>
      <c r="J6" t="s">
        <v>196</v>
      </c>
      <c r="K6" t="s" s="45">
        <v>3</v>
      </c>
      <c r="L6" s="11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</c>
      <c r="N6">
        <f>IF(M6&gt;0, MAX($N$3:N5)+1, "")</f>
      </c>
      <c r="Q6">
        <f>SUMIFS(Captura_Pegaso!$H:$H, Captura_Pegaso!$D:$D, $B6, Captura_Pegaso!$A:$A, "&gt;=" &amp;#REF!, Captura_Pegaso!$A:$A, "&lt;=" &amp; (#REF!+6)) + SUMIFS(Captura_Marimba_M01!$G:$G, Captura_Marimba_M01!$C:$C, $B6, Captura_Marimba_M01!$A:$A, "&gt;=" &amp;#REF!, Captura_Marimba_M01!$A:$A, "&lt;=" &amp; (#REF!+6)) + SUMIFS(Captura_Obra!$F:$F, Captura_Obra!$B:$B, $B6, Captura_Obra!$A:$A, "&gt;=" &amp;#REF!, Captura_Obra!$A:$A, "&lt;=" &amp; (#REF!+6))</f>
      </c>
      <c r="R6">
        <f>IF(Q6&gt;0, MAX($R$3:R5)+1, "")</f>
      </c>
      <c r="V6" t="s" s="2362">
        <v>367</v>
      </c>
      <c r="W6" t="s" s="2361">
        <v>87</v>
      </c>
      <c r="X6" s="2363"/>
      <c r="Y6" s="2364"/>
      <c r="Z6" t="s">
        <v>114</v>
      </c>
      <c r="AA6" t="s">
        <v>404</v>
      </c>
    </row>
    <row r="7" spans="1:27" ht="16.8">
      <c r="A7" t="s">
        <v>49</v>
      </c>
      <c r="B7" t="s">
        <v>3</v>
      </c>
      <c r="C7" t="s">
        <v>109</v>
      </c>
      <c r="E7" t="s">
        <v>50</v>
      </c>
      <c r="F7" t="s">
        <v>51</v>
      </c>
      <c r="I7" t="s">
        <v>211</v>
      </c>
      <c r="J7" t="s">
        <v>66</v>
      </c>
      <c r="K7" t="s" s="46">
        <v>111</v>
      </c>
      <c r="L7" s="12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</c>
      <c r="N7">
        <f>IF(M7&gt;0, MAX($N$3:N6)+1, "")</f>
      </c>
      <c r="Q7">
        <f>SUMIFS(Captura_Pegaso!$H:$H, Captura_Pegaso!$D:$D, $B7, Captura_Pegaso!$A:$A, "&gt;=" &amp;#REF!, Captura_Pegaso!$A:$A, "&lt;=" &amp; (#REF!+6)) + SUMIFS(Captura_Marimba_M01!$G:$G, Captura_Marimba_M01!$C:$C, $B7, Captura_Marimba_M01!$A:$A, "&gt;=" &amp;#REF!, Captura_Marimba_M01!$A:$A, "&lt;=" &amp; (#REF!+6)) + SUMIFS(Captura_Obra!$F:$F, Captura_Obra!$B:$B, $B7, Captura_Obra!$A:$A, "&gt;=" &amp;#REF!, Captura_Obra!$A:$A, "&lt;=" &amp; (#REF!+6))</f>
      </c>
      <c r="R7">
        <f>IF(Q7&gt;0, MAX($R$3:R6)+1, "")</f>
      </c>
      <c r="V7" t="s" s="2366">
        <v>368</v>
      </c>
      <c r="W7" t="s" s="2365">
        <v>197</v>
      </c>
      <c r="X7" t="s" s="2367">
        <v>2</v>
      </c>
      <c r="Y7" t="s" s="2368">
        <v>369</v>
      </c>
      <c r="Z7" t="s">
        <v>3</v>
      </c>
      <c r="AA7" t="s">
        <v>49</v>
      </c>
    </row>
    <row r="8" spans="1:27" ht="16.8">
      <c r="A8" t="s">
        <v>119</v>
      </c>
      <c r="B8" t="s">
        <v>111</v>
      </c>
      <c r="C8" t="s">
        <v>123</v>
      </c>
      <c r="E8" t="s">
        <v>53</v>
      </c>
      <c r="F8" t="s">
        <v>54</v>
      </c>
      <c r="I8" t="s">
        <v>212</v>
      </c>
      <c r="J8" t="s">
        <v>87</v>
      </c>
      <c r="K8" t="s" s="47">
        <v>115</v>
      </c>
      <c r="L8" s="13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</c>
      <c r="N8">
        <f>IF(M8&gt;0, MAX($N$3:N7)+1, "")</f>
      </c>
      <c r="Q8">
        <f>SUMIFS(Captura_Pegaso!$H:$H, Captura_Pegaso!$D:$D, $B8, Captura_Pegaso!$A:$A, "&gt;=" &amp;#REF!, Captura_Pegaso!$A:$A, "&lt;=" &amp; (#REF!+6)) + SUMIFS(Captura_Marimba_M01!$G:$G, Captura_Marimba_M01!$C:$C, $B8, Captura_Marimba_M01!$A:$A, "&gt;=" &amp;#REF!, Captura_Marimba_M01!$A:$A, "&lt;=" &amp; (#REF!+6)) + SUMIFS(Captura_Obra!$F:$F, Captura_Obra!$B:$B, $B8, Captura_Obra!$A:$A, "&gt;=" &amp;#REF!, Captura_Obra!$A:$A, "&lt;=" &amp; (#REF!+6))</f>
      </c>
      <c r="R8">
        <f>IF(Q8&gt;0, MAX($R$3:R7)+1, "")</f>
      </c>
      <c r="V8" t="s" s="2370">
        <v>214</v>
      </c>
      <c r="W8" t="s" s="2369">
        <v>68</v>
      </c>
      <c r="X8" s="2371"/>
      <c r="Y8" s="2372"/>
      <c r="Z8" t="s">
        <v>111</v>
      </c>
      <c r="AA8" t="s">
        <v>119</v>
      </c>
    </row>
    <row r="9" spans="1:27" ht="16.8">
      <c r="A9" t="s">
        <v>121</v>
      </c>
      <c r="B9" t="s">
        <v>115</v>
      </c>
      <c r="C9" t="s">
        <v>252</v>
      </c>
      <c r="E9" t="s">
        <v>122</v>
      </c>
      <c r="F9" t="s">
        <v>116</v>
      </c>
      <c r="I9" t="s">
        <v>213</v>
      </c>
      <c r="J9" t="s">
        <v>197</v>
      </c>
      <c r="K9" t="s" s="48">
        <v>124</v>
      </c>
      <c r="L9" s="14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</c>
      <c r="N9">
        <f>IF(M9&gt;0, MAX($N$3:N8)+1, "")</f>
      </c>
      <c r="Q9">
        <f>SUMIFS(Captura_Pegaso!$H:$H, Captura_Pegaso!$D:$D, $B9, Captura_Pegaso!$A:$A, "&gt;=" &amp;#REF!, Captura_Pegaso!$A:$A, "&lt;=" &amp; (#REF!+6)) + SUMIFS(Captura_Marimba_M01!$G:$G, Captura_Marimba_M01!$C:$C, $B9, Captura_Marimba_M01!$A:$A, "&gt;=" &amp;#REF!, Captura_Marimba_M01!$A:$A, "&lt;=" &amp; (#REF!+6)) + SUMIFS(Captura_Obra!$F:$F, Captura_Obra!$B:$B, $B9, Captura_Obra!$A:$A, "&gt;=" &amp;#REF!, Captura_Obra!$A:$A, "&lt;=" &amp; (#REF!+6))</f>
      </c>
      <c r="R9">
        <f>IF(Q9&gt;0, MAX($R$3:R8)+1, "")</f>
      </c>
      <c r="V9" t="s" s="2374">
        <v>215</v>
      </c>
      <c r="W9" t="s" s="2373">
        <v>77</v>
      </c>
      <c r="X9" t="s" s="2375">
        <v>2</v>
      </c>
      <c r="Y9" t="s" s="2376">
        <v>370</v>
      </c>
      <c r="Z9" t="s">
        <v>115</v>
      </c>
      <c r="AA9" t="s">
        <v>121</v>
      </c>
    </row>
    <row r="10" spans="1:27" ht="16.8">
      <c r="A10" t="s" s="5">
        <v>122</v>
      </c>
      <c r="B10" t="s" s="5">
        <v>124</v>
      </c>
      <c r="C10" t="s" s="5">
        <v>249</v>
      </c>
      <c r="E10" t="s" s="5">
        <v>237</v>
      </c>
      <c r="F10" t="s" s="5">
        <v>237</v>
      </c>
      <c r="I10" t="s">
        <v>214</v>
      </c>
      <c r="J10" t="s">
        <v>68</v>
      </c>
      <c r="K10" t="s" s="49">
        <v>159</v>
      </c>
      <c r="L10" s="15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</c>
      <c r="N10">
        <f>IF(M10&gt;0, MAX($N$3:N9)+1, "")</f>
      </c>
      <c r="Q10">
        <f>SUMIFS(Captura_Pegaso!$H:$H, Captura_Pegaso!$D:$D, $B10, Captura_Pegaso!$A:$A, "&gt;=" &amp;#REF!, Captura_Pegaso!$A:$A, "&lt;=" &amp; (#REF!+6)) + SUMIFS(Captura_Marimba_M01!$G:$G, Captura_Marimba_M01!$C:$C, $B10, Captura_Marimba_M01!$A:$A, "&gt;=" &amp;#REF!, Captura_Marimba_M01!$A:$A, "&lt;=" &amp; (#REF!+6)) + SUMIFS(Captura_Obra!$F:$F, Captura_Obra!$B:$B, $B10, Captura_Obra!$A:$A, "&gt;=" &amp;#REF!, Captura_Obra!$A:$A, "&lt;=" &amp; (#REF!+6))</f>
      </c>
      <c r="R10">
        <f>IF(Q10&gt;0, MAX($R$3:R9)+1, "")</f>
      </c>
      <c r="V10" t="s" s="2378">
        <v>216</v>
      </c>
      <c r="W10" t="s" s="2377">
        <v>71</v>
      </c>
      <c r="X10" t="s" s="2379">
        <v>1</v>
      </c>
      <c r="Y10" t="s" s="2380">
        <v>371</v>
      </c>
      <c r="Z10" t="s">
        <v>124</v>
      </c>
      <c r="AA10" t="s">
        <v>122</v>
      </c>
    </row>
    <row r="11" spans="1:27" ht="16.8">
      <c r="B11" t="s">
        <v>159</v>
      </c>
      <c r="I11" t="s">
        <v>215</v>
      </c>
      <c r="J11" t="s">
        <v>77</v>
      </c>
      <c r="K11" t="s" s="50">
        <v>166</v>
      </c>
      <c r="L11" s="16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</c>
      <c r="N11">
        <f>IF(M11&gt;0, MAX($N$3:N10)+1, "")</f>
      </c>
      <c r="Q11">
        <f>SUMIFS(Captura_Pegaso!$H:$H, Captura_Pegaso!$D:$D, $B11, Captura_Pegaso!$A:$A, "&gt;=" &amp;#REF!, Captura_Pegaso!$A:$A, "&lt;=" &amp; (#REF!+6)) + SUMIFS(Captura_Marimba_M01!$G:$G, Captura_Marimba_M01!$C:$C, $B11, Captura_Marimba_M01!$A:$A, "&gt;=" &amp;#REF!, Captura_Marimba_M01!$A:$A, "&lt;=" &amp; (#REF!+6)) + SUMIFS(Captura_Obra!$F:$F, Captura_Obra!$B:$B, $B11, Captura_Obra!$A:$A, "&gt;=" &amp;#REF!, Captura_Obra!$A:$A, "&lt;=" &amp; (#REF!+6))</f>
      </c>
      <c r="R11">
        <f>IF(Q11&gt;0, MAX($R$3:R10)+1, "")</f>
      </c>
      <c r="V11" t="s" s="2382">
        <v>217</v>
      </c>
      <c r="W11" t="s" s="2381">
        <v>80</v>
      </c>
      <c r="X11" s="2383"/>
      <c r="Y11" s="2384"/>
      <c r="Z11" t="s">
        <v>159</v>
      </c>
      <c r="AA11" t="s">
        <v>405</v>
      </c>
    </row>
    <row r="12" spans="1:27" ht="16.8">
      <c r="B12" t="s">
        <v>166</v>
      </c>
      <c r="I12" t="s">
        <v>216</v>
      </c>
      <c r="J12" t="s">
        <v>71</v>
      </c>
      <c r="K12" t="s" s="51">
        <v>157</v>
      </c>
      <c r="L12" s="17">
        <v>46223</v>
      </c>
      <c r="V12" t="s" s="2386">
        <v>218</v>
      </c>
      <c r="W12" t="s" s="2385">
        <v>198</v>
      </c>
      <c r="X12" s="2387"/>
      <c r="Y12" s="2388"/>
      <c r="Z12" t="s">
        <v>166</v>
      </c>
      <c r="AA12" t="s">
        <v>406</v>
      </c>
    </row>
    <row r="13" spans="1:27" ht="16.8">
      <c r="B13" t="s">
        <v>400</v>
      </c>
      <c r="I13" t="s">
        <v>217</v>
      </c>
      <c r="J13" t="s">
        <v>80</v>
      </c>
      <c r="K13" s="52"/>
      <c r="L13" s="18">
        <v>46230</v>
      </c>
      <c r="V13" t="s" s="2390">
        <v>217</v>
      </c>
      <c r="W13" t="s" s="2389">
        <v>199</v>
      </c>
      <c r="X13" t="s" s="2391">
        <v>2</v>
      </c>
      <c r="Y13" t="s" s="2392">
        <v>372</v>
      </c>
      <c r="Z13" t="s">
        <v>400</v>
      </c>
      <c r="AA13" t="s">
        <v>407</v>
      </c>
    </row>
    <row r="14" spans="1:27" ht="16.8">
      <c r="B14" t="s">
        <v>833</v>
      </c>
      <c r="C14" t="s">
        <v>834</v>
      </c>
      <c r="I14" t="s">
        <v>218</v>
      </c>
      <c r="J14" t="s">
        <v>198</v>
      </c>
      <c r="K14" s="53"/>
      <c r="L14" s="19">
        <v>46237</v>
      </c>
      <c r="V14" t="s" s="2394">
        <v>219</v>
      </c>
      <c r="W14" t="s" s="2393">
        <v>105</v>
      </c>
      <c r="X14" t="s" s="2395">
        <v>1</v>
      </c>
      <c r="Y14" t="s" s="2396">
        <v>373</v>
      </c>
    </row>
    <row r="15" spans="1:27" ht="16.8">
      <c r="I15" t="s">
        <v>217</v>
      </c>
      <c r="J15" t="s">
        <v>199</v>
      </c>
      <c r="K15" s="54"/>
      <c r="L15" s="20">
        <v>46244</v>
      </c>
      <c r="V15" t="s" s="2398">
        <v>220</v>
      </c>
      <c r="W15" t="s" s="2397">
        <v>200</v>
      </c>
      <c r="X15" t="s" s="2399">
        <v>1</v>
      </c>
      <c r="Y15" t="s" s="2400">
        <v>374</v>
      </c>
    </row>
    <row r="16" spans="1:27" ht="16.8">
      <c r="I16" t="s">
        <v>219</v>
      </c>
      <c r="J16" t="s">
        <v>105</v>
      </c>
      <c r="K16" s="55"/>
      <c r="L16" s="21">
        <v>46251</v>
      </c>
      <c r="V16" t="s" s="2402">
        <v>221</v>
      </c>
      <c r="W16" t="s" s="2401">
        <v>89</v>
      </c>
      <c r="X16" s="2403"/>
      <c r="Y16" s="2404"/>
    </row>
    <row r="17" spans="9:25" ht="16.8">
      <c r="I17" t="s">
        <v>220</v>
      </c>
      <c r="J17" t="s">
        <v>200</v>
      </c>
      <c r="K17" s="56"/>
      <c r="L17" s="22">
        <v>46258</v>
      </c>
      <c r="V17" t="s" s="2406">
        <v>222</v>
      </c>
      <c r="W17" t="s" s="2405">
        <v>170</v>
      </c>
      <c r="X17" t="s" s="2407">
        <v>2</v>
      </c>
      <c r="Y17" t="s" s="2408">
        <v>375</v>
      </c>
    </row>
    <row r="18" spans="9:25" ht="16.8">
      <c r="I18" t="s">
        <v>221</v>
      </c>
      <c r="J18" t="s">
        <v>89</v>
      </c>
      <c r="K18" s="57"/>
      <c r="L18" s="23">
        <v>46265</v>
      </c>
      <c r="V18" t="s" s="2410">
        <v>223</v>
      </c>
      <c r="W18" t="s" s="2409">
        <v>72</v>
      </c>
      <c r="X18" t="s" s="2411">
        <v>2</v>
      </c>
      <c r="Y18" t="s" s="2412">
        <v>376</v>
      </c>
    </row>
    <row r="19" spans="9:25" ht="16.8">
      <c r="I19" t="s">
        <v>222</v>
      </c>
      <c r="J19" t="s">
        <v>170</v>
      </c>
      <c r="K19" s="58"/>
      <c r="L19" s="24">
        <v>46272</v>
      </c>
      <c r="V19" t="s" s="2414">
        <v>224</v>
      </c>
      <c r="W19" t="s" s="2413">
        <v>91</v>
      </c>
      <c r="X19" t="s" s="2415">
        <v>1</v>
      </c>
      <c r="Y19" t="s" s="2416">
        <v>377</v>
      </c>
    </row>
    <row r="20" spans="9:25" ht="16.8">
      <c r="I20" t="s">
        <v>223</v>
      </c>
      <c r="J20" t="s">
        <v>72</v>
      </c>
      <c r="K20" s="59"/>
      <c r="L20" s="25">
        <v>46279</v>
      </c>
      <c r="V20" t="s" s="2418">
        <v>378</v>
      </c>
      <c r="W20" t="s" s="2417">
        <v>99</v>
      </c>
      <c r="X20" t="s" s="2419">
        <v>2</v>
      </c>
      <c r="Y20" t="s" s="2420">
        <v>379</v>
      </c>
    </row>
    <row r="21" spans="9:25" ht="16.8">
      <c r="I21" t="s">
        <v>224</v>
      </c>
      <c r="J21" t="s">
        <v>91</v>
      </c>
      <c r="K21" s="60"/>
      <c r="L21" s="26">
        <v>46286</v>
      </c>
      <c r="V21" t="s" s="2422">
        <v>378</v>
      </c>
      <c r="W21" t="s" s="2421">
        <v>201</v>
      </c>
      <c r="X21" s="2423"/>
      <c r="Y21" s="2424"/>
    </row>
    <row r="22" spans="9:25" ht="16.8">
      <c r="I22" t="s">
        <v>225</v>
      </c>
      <c r="J22" t="s">
        <v>99</v>
      </c>
      <c r="K22" s="61"/>
      <c r="L22" s="27">
        <v>46293</v>
      </c>
      <c r="V22" t="s" s="2426">
        <v>226</v>
      </c>
      <c r="W22" t="s" s="2425">
        <v>202</v>
      </c>
      <c r="X22" s="2427"/>
      <c r="Y22" s="2428"/>
    </row>
    <row r="23" spans="9:25" ht="16.8">
      <c r="I23" t="s">
        <v>225</v>
      </c>
      <c r="J23" t="s">
        <v>201</v>
      </c>
      <c r="K23" s="62"/>
      <c r="L23" s="28">
        <v>46300</v>
      </c>
      <c r="V23" t="s" s="2430">
        <v>227</v>
      </c>
      <c r="W23" t="s" s="2429">
        <v>203</v>
      </c>
      <c r="X23" s="2431"/>
      <c r="Y23" s="2432"/>
    </row>
    <row r="24" spans="9:25" ht="16.8">
      <c r="I24" t="s">
        <v>226</v>
      </c>
      <c r="J24" t="s">
        <v>202</v>
      </c>
      <c r="K24" s="63"/>
      <c r="L24" s="29">
        <v>46307</v>
      </c>
      <c r="V24" t="s" s="2434">
        <v>228</v>
      </c>
      <c r="W24" t="s" s="2433">
        <v>204</v>
      </c>
      <c r="X24" t="s" s="2435">
        <v>1</v>
      </c>
      <c r="Y24" t="s" s="2436">
        <v>380</v>
      </c>
    </row>
    <row r="25" spans="9:25" ht="16.8">
      <c r="I25" t="s">
        <v>227</v>
      </c>
      <c r="J25" t="s">
        <v>203</v>
      </c>
      <c r="K25" s="64"/>
      <c r="L25" s="30">
        <v>46314</v>
      </c>
      <c r="V25" t="s" s="2438">
        <v>227</v>
      </c>
      <c r="W25" t="s" s="2437">
        <v>205</v>
      </c>
      <c r="X25" s="2439"/>
      <c r="Y25" s="2440"/>
    </row>
    <row r="26" spans="9:25" ht="16.8">
      <c r="I26" t="s">
        <v>228</v>
      </c>
      <c r="J26" t="s">
        <v>204</v>
      </c>
      <c r="K26" s="65"/>
      <c r="L26" s="31">
        <v>46321</v>
      </c>
      <c r="V26" t="s" s="2442">
        <v>381</v>
      </c>
      <c r="W26" t="s" s="2441">
        <v>206</v>
      </c>
      <c r="X26" s="2443"/>
      <c r="Y26" s="2444"/>
    </row>
    <row r="27" spans="9:25" ht="16.8">
      <c r="I27" t="s">
        <v>227</v>
      </c>
      <c r="J27" t="s">
        <v>205</v>
      </c>
      <c r="K27" s="66"/>
      <c r="L27" s="32">
        <v>46328</v>
      </c>
      <c r="V27" t="s" s="2446">
        <v>230</v>
      </c>
      <c r="W27" t="s" s="2445">
        <v>84</v>
      </c>
      <c r="X27" s="2447"/>
      <c r="Y27" s="2448"/>
    </row>
    <row r="28" spans="9:25" ht="16.8">
      <c r="I28" t="s">
        <v>229</v>
      </c>
      <c r="J28" t="s">
        <v>206</v>
      </c>
      <c r="K28" s="67"/>
      <c r="L28" s="33">
        <v>46335</v>
      </c>
      <c r="V28" t="s" s="2450">
        <v>231</v>
      </c>
      <c r="W28" t="s" s="2449">
        <v>95</v>
      </c>
      <c r="X28" s="2451"/>
      <c r="Y28" s="2452"/>
    </row>
    <row r="29" spans="9:25" ht="16.8">
      <c r="I29" t="s">
        <v>230</v>
      </c>
      <c r="J29" t="s">
        <v>84</v>
      </c>
      <c r="K29" s="68"/>
      <c r="L29" s="34">
        <v>46342</v>
      </c>
      <c r="V29" t="s" s="2454">
        <v>232</v>
      </c>
      <c r="W29" t="s" s="2453">
        <v>207</v>
      </c>
      <c r="X29" t="s" s="2455">
        <v>2</v>
      </c>
      <c r="Y29" t="s" s="2456">
        <v>382</v>
      </c>
    </row>
    <row r="30" spans="9:25" ht="16.8">
      <c r="I30" t="s">
        <v>231</v>
      </c>
      <c r="J30" t="s">
        <v>95</v>
      </c>
      <c r="K30" s="69"/>
      <c r="L30" s="35">
        <v>46349</v>
      </c>
      <c r="V30" t="s" s="2458">
        <v>233</v>
      </c>
      <c r="W30" t="s" s="2457">
        <v>59</v>
      </c>
      <c r="X30" s="2459"/>
      <c r="Y30" s="2460"/>
    </row>
    <row r="31" spans="9:25" ht="16.8">
      <c r="I31" t="s">
        <v>232</v>
      </c>
      <c r="J31" t="s">
        <v>207</v>
      </c>
      <c r="K31" s="70"/>
      <c r="L31" s="36">
        <v>46356</v>
      </c>
      <c r="V31" t="s" s="2462">
        <v>383</v>
      </c>
      <c r="W31" t="s" s="2461">
        <v>93</v>
      </c>
      <c r="X31" t="s" s="2463">
        <v>2</v>
      </c>
      <c r="Y31" t="s" s="2464">
        <v>384</v>
      </c>
    </row>
    <row r="32" spans="9:25" ht="16.8">
      <c r="I32" t="s">
        <v>233</v>
      </c>
      <c r="J32" t="s">
        <v>59</v>
      </c>
      <c r="K32" s="71"/>
      <c r="L32" s="37">
        <v>46363</v>
      </c>
      <c r="V32" t="s" s="2466">
        <v>235</v>
      </c>
      <c r="W32" t="s" s="2465">
        <v>61</v>
      </c>
      <c r="X32" s="2467"/>
      <c r="Y32" s="2468"/>
    </row>
    <row r="33" spans="9:25" ht="16.8">
      <c r="I33" t="s">
        <v>234</v>
      </c>
      <c r="J33" t="s">
        <v>93</v>
      </c>
      <c r="K33" s="72"/>
      <c r="L33" s="38">
        <v>46370</v>
      </c>
      <c r="V33" t="s" s="2470">
        <v>236</v>
      </c>
      <c r="W33" t="s" s="2469">
        <v>208</v>
      </c>
      <c r="X33" s="2471"/>
      <c r="Y33" s="2472"/>
    </row>
    <row r="34" spans="9:25" ht="16.8">
      <c r="I34" t="s">
        <v>235</v>
      </c>
      <c r="J34" t="s">
        <v>61</v>
      </c>
      <c r="K34" s="73"/>
      <c r="L34" s="74"/>
      <c r="V34" t="s" s="2474">
        <v>386</v>
      </c>
      <c r="W34" t="s" s="2473">
        <v>385</v>
      </c>
      <c r="X34" t="s" s="2475">
        <v>1</v>
      </c>
      <c r="Y34" t="s" s="2476">
        <v>387</v>
      </c>
    </row>
    <row r="35" spans="9:25" ht="16.8">
      <c r="I35" t="s">
        <v>236</v>
      </c>
      <c r="J35" t="s">
        <v>208</v>
      </c>
      <c r="K35" s="75"/>
      <c r="L35" s="76"/>
      <c r="V35" t="s" s="2478">
        <v>389</v>
      </c>
      <c r="W35" t="s" s="2477">
        <v>388</v>
      </c>
      <c r="X35" t="s" s="2479">
        <v>1</v>
      </c>
      <c r="Y35" t="s" s="2480">
        <v>390</v>
      </c>
    </row>
    <row r="36" spans="9:25" ht="16.8">
      <c r="I36" t="s">
        <v>237</v>
      </c>
      <c r="J36" t="s">
        <v>113</v>
      </c>
      <c r="K36" s="77"/>
      <c r="L36" s="78"/>
      <c r="V36" t="s">
        <v>237</v>
      </c>
      <c r="W36" t="s">
        <v>113</v>
      </c>
    </row>
    <row r="37" spans="9:25" ht="16.8">
      <c r="I37" t="s">
        <v>238</v>
      </c>
      <c r="J37" t="s">
        <v>73</v>
      </c>
      <c r="K37" s="79"/>
      <c r="L37" s="80"/>
      <c r="V37" t="s">
        <v>238</v>
      </c>
      <c r="W37" t="s">
        <v>73</v>
      </c>
    </row>
    <row r="38" spans="9:25" ht="16.8">
      <c r="I38" t="s">
        <v>239</v>
      </c>
      <c r="J38" t="s">
        <v>158</v>
      </c>
      <c r="K38" s="81"/>
      <c r="L38" s="82"/>
      <c r="V38" t="s">
        <v>239</v>
      </c>
      <c r="W38" t="s">
        <v>158</v>
      </c>
    </row>
    <row r="39" spans="9:25" ht="16.8">
      <c r="I39" t="s">
        <v>240</v>
      </c>
      <c r="J39" t="s">
        <v>161</v>
      </c>
      <c r="K39" s="83"/>
      <c r="L39" s="84"/>
      <c r="V39" t="s">
        <v>240</v>
      </c>
      <c r="W39" t="s">
        <v>161</v>
      </c>
    </row>
    <row r="40" spans="9:25" ht="16.8">
      <c r="I40" t="s">
        <v>241</v>
      </c>
      <c r="J40" t="s">
        <v>63</v>
      </c>
      <c r="K40" s="85"/>
      <c r="L40" s="86"/>
      <c r="V40" t="s">
        <v>241</v>
      </c>
      <c r="W40" t="s">
        <v>63</v>
      </c>
    </row>
    <row r="41" spans="9:25" ht="16.8">
      <c r="I41" t="s">
        <v>242</v>
      </c>
      <c r="J41" t="s">
        <v>164</v>
      </c>
      <c r="K41" s="87"/>
      <c r="L41" s="88"/>
      <c r="V41" t="s">
        <v>242</v>
      </c>
      <c r="W41" t="s">
        <v>164</v>
      </c>
    </row>
    <row r="42" spans="9:25" ht="16.8">
      <c r="I42" t="s">
        <v>243</v>
      </c>
      <c r="J42" t="s">
        <v>168</v>
      </c>
      <c r="K42" s="89"/>
      <c r="L42" s="90"/>
      <c r="V42" t="s">
        <v>243</v>
      </c>
      <c r="W42" t="s">
        <v>168</v>
      </c>
    </row>
    <row r="43" spans="9:25" ht="16.8">
      <c r="I43" t="s">
        <v>244</v>
      </c>
      <c r="J43" t="s">
        <v>170</v>
      </c>
      <c r="K43" s="91"/>
      <c r="L43" s="92"/>
      <c r="V43" t="s">
        <v>244</v>
      </c>
      <c r="W43" t="s">
        <v>170</v>
      </c>
    </row>
    <row r="44" spans="9:25" ht="16.8">
      <c r="I44" t="s">
        <v>245</v>
      </c>
      <c r="J44" t="s">
        <v>118</v>
      </c>
      <c r="K44" s="93"/>
      <c r="L44" s="94"/>
      <c r="V44" t="s">
        <v>245</v>
      </c>
      <c r="W44" t="s">
        <v>118</v>
      </c>
    </row>
    <row r="45" spans="9:25" ht="16.8">
      <c r="I45" t="s">
        <v>246</v>
      </c>
      <c r="J45" t="s">
        <v>103</v>
      </c>
      <c r="K45" s="95"/>
      <c r="L45" s="96"/>
      <c r="V45" t="s">
        <v>246</v>
      </c>
      <c r="W45" t="s">
        <v>103</v>
      </c>
    </row>
    <row r="46" spans="9:25" ht="16.8">
      <c r="I46" t="s">
        <v>247</v>
      </c>
      <c r="J46" t="s">
        <v>101</v>
      </c>
      <c r="K46" s="97"/>
      <c r="L46" s="98"/>
      <c r="V46" t="s">
        <v>247</v>
      </c>
      <c r="W46" t="s">
        <v>101</v>
      </c>
    </row>
    <row r="47" spans="9:25" ht="16.8">
      <c r="I47" t="s">
        <v>248</v>
      </c>
      <c r="J47" t="s">
        <v>97</v>
      </c>
      <c r="K47" s="99"/>
      <c r="L47" s="100"/>
      <c r="V47" t="s">
        <v>248</v>
      </c>
      <c r="W47" t="s">
        <v>97</v>
      </c>
    </row>
    <row r="48" spans="9:25" ht="16.8">
      <c r="I48" t="s">
        <v>250</v>
      </c>
      <c r="J48" t="s">
        <v>251</v>
      </c>
      <c r="K48" s="101"/>
      <c r="L48" s="102"/>
      <c r="V48" t="s">
        <v>250</v>
      </c>
      <c r="W48" t="s">
        <v>251</v>
      </c>
    </row>
    <row r="49" spans="9:23" ht="16.8">
      <c r="I49" t="s">
        <v>253</v>
      </c>
      <c r="J49" t="s">
        <v>254</v>
      </c>
      <c r="K49" s="103"/>
      <c r="L49" s="104"/>
      <c r="V49" t="s">
        <v>253</v>
      </c>
      <c r="W49" t="s">
        <v>254</v>
      </c>
    </row>
    <row r="50" spans="9:23" ht="16.8">
      <c r="I50" t="s">
        <v>347</v>
      </c>
      <c r="J50" t="s">
        <v>348</v>
      </c>
      <c r="K50" s="105"/>
      <c r="L50" s="106"/>
      <c r="V50" t="s">
        <v>347</v>
      </c>
      <c r="W50" t="s">
        <v>348</v>
      </c>
    </row>
    <row r="51" spans="9:23" ht="16.8">
      <c r="I51" t="s">
        <v>349</v>
      </c>
      <c r="J51" t="s">
        <v>350</v>
      </c>
      <c r="K51" s="107"/>
      <c r="L51" s="108"/>
      <c r="V51" t="s">
        <v>349</v>
      </c>
      <c r="W51" t="s">
        <v>350</v>
      </c>
    </row>
    <row r="52" spans="9:23" ht="16.8">
      <c r="I52" t="s">
        <v>835</v>
      </c>
      <c r="J52" t="s">
        <v>836</v>
      </c>
      <c r="K52" s="109"/>
      <c r="L52" s="110"/>
      <c r="V52" t="s">
        <v>743</v>
      </c>
      <c r="W52" t="s">
        <v>744</v>
      </c>
    </row>
    <row r="53" spans="9:23" ht="16.8">
      <c r="K53" s="111"/>
      <c r="L53" s="112"/>
      <c r="V53" t="s">
        <v>798</v>
      </c>
      <c r="W53" t="s">
        <v>799</v>
      </c>
    </row>
    <row r="54" spans="9:23" ht="16.8">
      <c r="K54" s="113"/>
      <c r="L54" s="114"/>
      <c r="V54" t="s">
        <v>800</v>
      </c>
      <c r="W54" t="s">
        <v>801</v>
      </c>
    </row>
    <row r="55" spans="9:23" ht="16.8">
      <c r="K55" s="115"/>
      <c r="L55" s="116"/>
      <c r="V55" t="s">
        <v>835</v>
      </c>
      <c r="W55" t="s">
        <v>836</v>
      </c>
    </row>
    <row r="56" spans="9:23" ht="16.8">
      <c r="K56" s="117"/>
      <c r="L56" s="118"/>
      <c r="V56" t="s">
        <v>837</v>
      </c>
      <c r="W56" t="s">
        <v>838</v>
      </c>
    </row>
    <row r="57" spans="9:23" ht="16.8">
      <c r="K57" s="119"/>
      <c r="L57" s="120"/>
    </row>
    <row r="58" spans="9:23" ht="16.8">
      <c r="K58" s="121"/>
      <c r="L58" s="122"/>
    </row>
    <row r="59" spans="9:23" ht="16.8">
      <c r="K59" s="123"/>
      <c r="L59" s="124"/>
    </row>
    <row r="60" spans="9:23" ht="16.8">
      <c r="K60" s="125"/>
      <c r="L60" s="126"/>
    </row>
    <row r="61" spans="9:23" ht="16.8">
      <c r="K61" s="127"/>
      <c r="L61" s="128"/>
    </row>
    <row r="62" spans="9:23" ht="16.8">
      <c r="K62" s="129"/>
      <c r="L62" s="130"/>
    </row>
    <row r="63" spans="9:23" ht="16.8">
      <c r="K63" s="131"/>
      <c r="L63" s="132"/>
    </row>
    <row r="64" spans="9:23" ht="16.8">
      <c r="K64" s="133"/>
      <c r="L64" s="134"/>
    </row>
    <row r="65" spans="11:12" ht="16.8">
      <c r="K65" s="135"/>
      <c r="L65" s="136"/>
    </row>
    <row r="66" spans="11:12" ht="16.8">
      <c r="K66" s="137"/>
      <c r="L66" s="138"/>
    </row>
    <row r="67" spans="11:12" ht="16.8">
      <c r="K67" s="139"/>
      <c r="L67" s="140"/>
    </row>
    <row r="68" spans="11:12" ht="16.8">
      <c r="K68" s="141"/>
      <c r="L68" s="142"/>
    </row>
    <row r="69" spans="11:12" ht="16.8">
      <c r="K69" s="143"/>
      <c r="L69" s="144"/>
    </row>
    <row r="70" spans="11:12" ht="16.8">
      <c r="K70" s="145"/>
      <c r="L70" s="146"/>
    </row>
    <row r="71" spans="11:12" ht="16.8">
      <c r="K71" s="147"/>
      <c r="L71" s="148"/>
    </row>
    <row r="72" spans="11:12" ht="16.8">
      <c r="K72" s="149"/>
      <c r="L72" s="150"/>
    </row>
    <row r="73" spans="11:12" ht="16.8">
      <c r="K73" s="151"/>
      <c r="L73" s="152"/>
    </row>
    <row r="74" spans="11:12" ht="16.8">
      <c r="K74" s="153"/>
      <c r="L74" s="154"/>
    </row>
    <row r="75" spans="11:12" ht="16.8">
      <c r="K75" s="155"/>
      <c r="L75" s="156"/>
    </row>
    <row r="76" spans="11:12" ht="16.8">
      <c r="K76" s="157"/>
      <c r="L76" s="158"/>
    </row>
    <row r="77" spans="11:12" ht="16.8">
      <c r="K77" s="159"/>
      <c r="L77" s="160"/>
    </row>
    <row r="78" spans="11:12" ht="16.8">
      <c r="K78" s="161"/>
      <c r="L78" s="162"/>
    </row>
    <row r="79" spans="11:12" ht="16.8">
      <c r="K79" s="163"/>
      <c r="L79" s="164"/>
    </row>
    <row r="80" spans="11:12" ht="16.8">
      <c r="K80" s="165"/>
      <c r="L80" s="166"/>
    </row>
    <row r="81" spans="11:12" ht="16.8">
      <c r="K81" s="167"/>
      <c r="L81" s="168"/>
    </row>
    <row r="82" spans="11:12" ht="16.8">
      <c r="K82" s="169"/>
      <c r="L82" s="170"/>
    </row>
    <row r="83" spans="11:12" ht="16.8">
      <c r="K83" s="171"/>
      <c r="L83" s="172"/>
    </row>
    <row r="84" spans="11:12" ht="16.8">
      <c r="K84" s="173"/>
      <c r="L84" s="174"/>
    </row>
    <row r="85" spans="11:12" ht="16.8">
      <c r="K85" s="175"/>
      <c r="L85" s="176"/>
    </row>
    <row r="86" spans="11:12" ht="16.8">
      <c r="K86" s="177"/>
      <c r="L86" s="178"/>
    </row>
    <row r="87" spans="11:12" ht="16.8">
      <c r="K87" s="179"/>
      <c r="L87" s="180"/>
    </row>
    <row r="88" spans="11:12" ht="16.8">
      <c r="K88" s="181"/>
      <c r="L88" s="182"/>
    </row>
    <row r="89" spans="11:12" ht="16.8">
      <c r="K89" s="183"/>
      <c r="L89" s="184"/>
    </row>
    <row r="90" spans="11:12" ht="16.8">
      <c r="K90" s="185"/>
      <c r="L90" s="186"/>
    </row>
    <row r="91" spans="11:12" ht="16.8">
      <c r="K91" s="187"/>
      <c r="L91" s="188"/>
    </row>
    <row r="92" spans="11:12" ht="16.8">
      <c r="K92" s="189"/>
      <c r="L92" s="190"/>
    </row>
    <row r="93" spans="11:12" ht="16.8">
      <c r="K93" s="191"/>
      <c r="L93" s="192"/>
    </row>
    <row r="94" spans="11:12" ht="16.8">
      <c r="K94" s="193"/>
      <c r="L94" s="194"/>
    </row>
    <row r="95" spans="11:12" ht="16.8">
      <c r="K95" s="195"/>
      <c r="L95" s="196"/>
    </row>
    <row r="96" spans="11:12" ht="16.8">
      <c r="K96" s="197"/>
      <c r="L96" s="198"/>
    </row>
    <row r="97" spans="11:12" ht="16.8">
      <c r="K97" s="199"/>
      <c r="L97" s="200"/>
    </row>
    <row r="98" spans="11:12" ht="16.8">
      <c r="K98" s="201"/>
      <c r="L98" s="202"/>
    </row>
    <row r="99" spans="11:12" ht="16.8">
      <c r="K99" s="203"/>
      <c r="L99" s="204"/>
    </row>
    <row r="100" spans="11:12" ht="16.8">
      <c r="K100" s="205"/>
      <c r="L100" s="206"/>
    </row>
  </sheetData>
  <mergeCells count="2">
    <mergeCell ref="A1:I1"/>
    <mergeCell ref="U2:Y2"/>
  </mergeCells>
  <dataValidations count="1">
    <dataValidation type="list" allowBlank="1" showInputMessage="1" showErrorMessage="1" errorTitle="undefined" error="undefined" promptTitle="undefined" prompt="undefined" sqref="X4:X35" xr:uid="{00000000-0002-0000-0800-000000000000}">
      <formula1>$B$4:$B$11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CCA-DCDB-4AE7-8B70-A015C97D496D}">
  <sheetPr/>
  <sheetViews>
    <sheetView topLeftCell="A20" workbookViewId="0">
      <selection activeCell="J14" sqref="J14"/>
    </sheetView>
  </sheetViews>
  <sheetFormatPr baseColWidth="10" defaultRowHeight="13.8"/>
  <cols>
    <col min="2" max="2" width="21" customWidth="1"/>
    <col min="3" max="3" width="22.69921875" customWidth="1"/>
    <col min="4" max="4" width="20.8984375" customWidth="1"/>
    <col min="5" max="5" width="13.69921875" customWidth="1"/>
    <col min="7" max="7" width="27" customWidth="1"/>
    <col min="8" max="9" width="18" customWidth="1"/>
    <col min="10" max="10" width="14" customWidth="1"/>
    <col min="11" max="11" width="28" customWidth="1"/>
    <col min="12" max="12" width="15" customWidth="1"/>
  </cols>
  <sheetData>
    <row r="1" spans="1:15" ht="15">
      <c r="A1" t="s" s="585">
        <v>255</v>
      </c>
      <c r="B1" t="s" s="586">
        <v>256</v>
      </c>
      <c r="C1" t="s" s="587">
        <v>257</v>
      </c>
      <c r="D1" t="s" s="588">
        <v>258</v>
      </c>
      <c r="E1" t="s" s="589">
        <v>259</v>
      </c>
      <c r="F1" t="s" s="590">
        <v>260</v>
      </c>
      <c r="G1" t="s" s="591">
        <v>261</v>
      </c>
      <c r="H1" t="s" s="592">
        <v>262</v>
      </c>
      <c r="I1" t="s" s="593">
        <v>263</v>
      </c>
      <c r="J1" t="s" s="594">
        <v>264</v>
      </c>
      <c r="K1" t="s" s="1990">
        <v>265</v>
      </c>
      <c r="L1" t="s" s="1989">
        <v>28</v>
      </c>
      <c r="M1" s="595"/>
      <c r="N1" s="596"/>
      <c r="O1" s="597"/>
    </row>
    <row r="2" spans="1:15" ht="15">
      <c r="A2" s="598">
        <v>1</v>
      </c>
      <c r="B2" t="s" s="599">
        <v>266</v>
      </c>
      <c r="C2" t="s" s="600">
        <v>267</v>
      </c>
      <c r="D2" t="s" s="601">
        <v>268</v>
      </c>
      <c r="E2" t="s" s="602">
        <v>269</v>
      </c>
      <c r="F2" s="603">
        <v>2011</v>
      </c>
      <c r="G2" t="s" s="604">
        <v>270</v>
      </c>
      <c r="H2" s="605">
        <v>6.5</v>
      </c>
      <c r="I2" t="s" s="606">
        <v>271</v>
      </c>
      <c r="J2" s="607">
        <f>IF(OR(ISBLANK(F2), F2=""),#REF!,#REF! - F2)</f>
      </c>
      <c r="K2" s="2317">
        <f>IF(I2="km/L", H2 / (1 + (J2 *#REF!)), H2 * (1 + (J2 *#REF!)))</f>
      </c>
      <c r="L2" t="s" s="1991">
        <v>55</v>
      </c>
      <c r="M2" s="608"/>
      <c r="N2" s="609"/>
      <c r="O2" s="610"/>
    </row>
    <row r="3" spans="1:15" ht="15">
      <c r="A3" s="611">
        <v>2</v>
      </c>
      <c r="B3" t="s" s="612">
        <v>266</v>
      </c>
      <c r="C3" s="613"/>
      <c r="D3" t="s" s="614">
        <v>272</v>
      </c>
      <c r="E3" t="s" s="615">
        <v>273</v>
      </c>
      <c r="F3" s="616">
        <v>2010</v>
      </c>
      <c r="G3" t="s" s="617">
        <v>274</v>
      </c>
      <c r="H3" s="618">
        <v>6.5</v>
      </c>
      <c r="I3" t="s" s="619">
        <v>271</v>
      </c>
      <c r="J3" s="620">
        <f>IF(OR(ISBLANK(F3), F3=""),#REF!,#REF! - F3)</f>
      </c>
      <c r="K3" s="2318">
        <f>IF(I3="km/L", H3 / (1 + (J3 *#REF!)), H3 * (1 + (J3 *#REF!)))</f>
      </c>
      <c r="L3" t="s" s="1992">
        <v>82</v>
      </c>
      <c r="M3" s="621"/>
      <c r="N3" s="622"/>
      <c r="O3" s="623"/>
    </row>
    <row r="4" spans="1:15" ht="15">
      <c r="A4" s="624">
        <v>3</v>
      </c>
      <c r="B4" t="s" s="625">
        <v>266</v>
      </c>
      <c r="C4" t="s" s="626">
        <v>267</v>
      </c>
      <c r="D4" t="s" s="627">
        <v>268</v>
      </c>
      <c r="E4" t="s" s="628">
        <v>269</v>
      </c>
      <c r="F4" s="629">
        <v>2010</v>
      </c>
      <c r="G4" t="s" s="630">
        <v>275</v>
      </c>
      <c r="H4" s="631">
        <v>6.5</v>
      </c>
      <c r="I4" t="s" s="632">
        <v>271</v>
      </c>
      <c r="J4" s="633">
        <f>IF(OR(ISBLANK(F4), F4=""),#REF!,#REF! - F4)</f>
      </c>
      <c r="K4" s="2319">
        <f>IF(I4="km/L", H4 / (1 + (J4 *#REF!)), H4 * (1 + (J4 *#REF!)))</f>
      </c>
      <c r="L4" t="s" s="1993">
        <v>196</v>
      </c>
      <c r="M4" s="634"/>
      <c r="N4" s="635"/>
      <c r="O4" s="636"/>
    </row>
    <row r="5" spans="1:15" ht="15">
      <c r="A5" s="637">
        <v>4</v>
      </c>
      <c r="B5" t="s" s="638">
        <v>276</v>
      </c>
      <c r="C5" t="s" s="639">
        <v>277</v>
      </c>
      <c r="D5" t="s" s="640">
        <v>278</v>
      </c>
      <c r="E5" t="s" s="641">
        <v>279</v>
      </c>
      <c r="F5" s="642">
        <v>2016</v>
      </c>
      <c r="G5" s="643">
        <v>14821687</v>
      </c>
      <c r="H5" s="644">
        <v>14.5</v>
      </c>
      <c r="I5" t="s" s="645">
        <v>271</v>
      </c>
      <c r="J5" s="646">
        <f>IF(OR(ISBLANK(F5), F5=""),#REF!,#REF! - F5)</f>
      </c>
      <c r="K5" s="2320">
        <f>IF(I5="km/L", H5 / (1 + (J5 *#REF!)), H5 * (1 + (J5 *#REF!)))</f>
      </c>
      <c r="L5" t="s" s="1994">
        <v>66</v>
      </c>
      <c r="M5" s="647"/>
      <c r="N5" s="648"/>
      <c r="O5" s="649"/>
    </row>
    <row r="6" spans="1:15" ht="15">
      <c r="A6" s="650">
        <v>5</v>
      </c>
      <c r="B6" t="s" s="651">
        <v>276</v>
      </c>
      <c r="C6" t="s" s="652">
        <v>267</v>
      </c>
      <c r="D6" t="s" s="653">
        <v>278</v>
      </c>
      <c r="E6" t="s" s="654">
        <v>280</v>
      </c>
      <c r="F6" s="655">
        <v>2009</v>
      </c>
      <c r="G6" s="656">
        <v>11821564</v>
      </c>
      <c r="H6" s="657">
        <v>14.5</v>
      </c>
      <c r="I6" t="s" s="658">
        <v>271</v>
      </c>
      <c r="J6" s="659">
        <f>IF(OR(ISBLANK(F6), F6=""),#REF!,#REF! - F6)</f>
      </c>
      <c r="K6" s="2321">
        <f>IF(I6="km/L", H6 / (1 + (J6 *#REF!)), H6 * (1 + (J6 *#REF!)))</f>
      </c>
      <c r="L6" t="s" s="1995">
        <v>87</v>
      </c>
      <c r="M6" s="660"/>
      <c r="N6" s="661"/>
      <c r="O6" s="662"/>
    </row>
    <row r="7" spans="1:15" ht="15">
      <c r="A7" s="663">
        <v>6</v>
      </c>
      <c r="B7" t="s" s="664">
        <v>276</v>
      </c>
      <c r="C7" t="s" s="665">
        <v>277</v>
      </c>
      <c r="D7" t="s" s="666">
        <v>278</v>
      </c>
      <c r="E7" t="s" s="667">
        <v>281</v>
      </c>
      <c r="F7" s="668">
        <v>2021</v>
      </c>
      <c r="G7" s="669">
        <v>14823977</v>
      </c>
      <c r="H7" s="670">
        <v>14.5</v>
      </c>
      <c r="I7" t="s" s="671">
        <v>271</v>
      </c>
      <c r="J7" s="672">
        <f>IF(OR(ISBLANK(F7), F7=""),#REF!,#REF! - F7)</f>
      </c>
      <c r="K7" s="2322">
        <f>IF(I7="km/L", H7 / (1 + (J7 *#REF!)), H7 * (1 + (J7 *#REF!)))</f>
      </c>
      <c r="L7" t="s" s="1996">
        <v>197</v>
      </c>
      <c r="M7" s="673"/>
      <c r="N7" s="674"/>
      <c r="O7" s="675"/>
    </row>
    <row r="8" spans="1:15" ht="15">
      <c r="A8" s="676">
        <v>7</v>
      </c>
      <c r="B8" t="s" s="677">
        <v>282</v>
      </c>
      <c r="C8" t="s" s="678">
        <v>277</v>
      </c>
      <c r="D8" t="s" s="679">
        <v>283</v>
      </c>
      <c r="E8" t="s" s="680">
        <v>284</v>
      </c>
      <c r="F8" s="681">
        <v>2015</v>
      </c>
      <c r="G8" s="682">
        <v>79816538</v>
      </c>
      <c r="H8" s="683">
        <v>65</v>
      </c>
      <c r="I8" t="s" s="684">
        <v>271</v>
      </c>
      <c r="J8" s="685">
        <f>IF(OR(ISBLANK(F8), F8=""),#REF!,#REF! - F8)</f>
      </c>
      <c r="K8" s="2323">
        <f>IF(I8="km/L", H8 / (1 + (J8 *#REF!)), H8 * (1 + (J8 *#REF!)))</f>
      </c>
      <c r="L8" t="s" s="1997">
        <v>68</v>
      </c>
      <c r="M8" s="686"/>
      <c r="N8" s="687"/>
      <c r="O8" s="688"/>
    </row>
    <row r="9" spans="1:15" ht="26.4" customHeight="1">
      <c r="A9" s="689">
        <v>8</v>
      </c>
      <c r="B9" t="s" s="690">
        <v>282</v>
      </c>
      <c r="C9" s="691"/>
      <c r="D9" t="s" s="692">
        <v>283</v>
      </c>
      <c r="E9" t="s" s="693">
        <v>285</v>
      </c>
      <c r="F9" s="694">
        <v>2013</v>
      </c>
      <c r="G9" s="695">
        <v>79549560</v>
      </c>
      <c r="H9" s="696">
        <v>65</v>
      </c>
      <c r="I9" t="s" s="697">
        <v>271</v>
      </c>
      <c r="J9" s="698">
        <f>IF(OR(ISBLANK(F9), F9=""),#REF!,#REF! - F9)</f>
      </c>
      <c r="K9" s="2324">
        <f>IF(I9="km/L", H9 / (1 + (J9 *#REF!)), H9 * (1 + (J9 *#REF!)))</f>
      </c>
      <c r="L9" t="s" s="1998">
        <v>77</v>
      </c>
      <c r="M9" s="699"/>
      <c r="N9" s="700"/>
      <c r="O9" s="701"/>
    </row>
    <row r="10" spans="1:15" ht="15">
      <c r="A10" s="702">
        <v>9</v>
      </c>
      <c r="B10" t="s" s="703">
        <v>286</v>
      </c>
      <c r="C10" t="s" s="704">
        <v>277</v>
      </c>
      <c r="D10" t="s" s="705">
        <v>287</v>
      </c>
      <c r="E10" t="s" s="706">
        <v>288</v>
      </c>
      <c r="F10" s="707">
        <v>2010</v>
      </c>
      <c r="G10" s="708">
        <v>89602</v>
      </c>
      <c r="H10" s="709">
        <v>7.5</v>
      </c>
      <c r="I10" t="s" s="710">
        <v>271</v>
      </c>
      <c r="J10" s="711">
        <f>IF(OR(ISBLANK(F10), F10=""),#REF!,#REF! - F10)</f>
      </c>
      <c r="K10" s="2325">
        <f>IF(I10="km/L", H10 / (1 + (J10 *#REF!)), H10 * (1 + (J10 *#REF!)))</f>
      </c>
      <c r="L10" t="s" s="1999">
        <v>71</v>
      </c>
      <c r="M10" s="712"/>
      <c r="N10" s="713"/>
      <c r="O10" s="714"/>
    </row>
    <row r="11" spans="1:15" ht="15">
      <c r="A11" s="715">
        <v>10</v>
      </c>
      <c r="B11" t="s" s="716">
        <v>286</v>
      </c>
      <c r="C11" t="s" s="717">
        <v>267</v>
      </c>
      <c r="D11" t="s" s="718">
        <v>289</v>
      </c>
      <c r="E11" t="s" s="719">
        <v>290</v>
      </c>
      <c r="F11" s="720">
        <v>2016</v>
      </c>
      <c r="G11" s="721">
        <v>36864</v>
      </c>
      <c r="H11" s="722">
        <v>7.5</v>
      </c>
      <c r="I11" t="s" s="723">
        <v>271</v>
      </c>
      <c r="J11" s="724">
        <f>IF(OR(ISBLANK(F11), F11=""),#REF!,#REF! - F11)</f>
      </c>
      <c r="K11" s="2326">
        <f>IF(I11="km/L", H11 / (1 + (J11 *#REF!)), H11 * (1 + (J11 *#REF!)))</f>
      </c>
      <c r="L11" t="s" s="2000">
        <v>80</v>
      </c>
      <c r="M11" s="725"/>
      <c r="N11" s="726"/>
      <c r="O11" s="727"/>
    </row>
    <row r="12" spans="1:15" ht="15">
      <c r="A12" s="728">
        <v>11</v>
      </c>
      <c r="B12" t="s" s="729">
        <v>286</v>
      </c>
      <c r="C12" s="730"/>
      <c r="D12" t="s" s="731">
        <v>291</v>
      </c>
      <c r="E12" t="s" s="732">
        <v>292</v>
      </c>
      <c r="F12" s="733">
        <v>2015</v>
      </c>
      <c r="G12" s="734">
        <v>804108</v>
      </c>
      <c r="H12" s="735">
        <v>7.5</v>
      </c>
      <c r="I12" t="s" s="736">
        <v>271</v>
      </c>
      <c r="J12" s="737">
        <f>IF(OR(ISBLANK(F12), F12=""),#REF!,#REF! - F12)</f>
      </c>
      <c r="K12" s="2327">
        <f>IF(I12="km/L", H12 / (1 + (J12 *#REF!)), H12 * (1 + (J12 *#REF!)))</f>
      </c>
      <c r="L12" t="s" s="2001">
        <v>198</v>
      </c>
      <c r="M12" s="738"/>
      <c r="N12" s="739"/>
      <c r="O12" s="740"/>
    </row>
    <row r="13" spans="1:15" ht="15">
      <c r="A13" s="741">
        <v>12</v>
      </c>
      <c r="B13" t="s" s="742">
        <v>286</v>
      </c>
      <c r="C13" t="s" s="743">
        <v>277</v>
      </c>
      <c r="D13" t="s" s="744">
        <v>289</v>
      </c>
      <c r="E13" t="s" s="745">
        <v>290</v>
      </c>
      <c r="F13" s="746">
        <v>2017</v>
      </c>
      <c r="G13" s="747">
        <v>34091</v>
      </c>
      <c r="H13" s="748">
        <v>7.5</v>
      </c>
      <c r="I13" t="s" s="749">
        <v>271</v>
      </c>
      <c r="J13" s="750">
        <f>IF(OR(ISBLANK(F13), F13=""),#REF!,#REF! - F13)</f>
      </c>
      <c r="K13" s="2328">
        <f>IF(I13="km/L", H13 / (1 + (J13 *#REF!)), H13 * (1 + (J13 *#REF!)))</f>
      </c>
      <c r="L13" t="s" s="2002">
        <v>199</v>
      </c>
      <c r="M13" s="751"/>
      <c r="N13" s="752"/>
      <c r="O13" s="753"/>
    </row>
    <row r="14" spans="1:15" ht="15">
      <c r="A14" s="754">
        <v>13</v>
      </c>
      <c r="B14" t="s" s="755">
        <v>293</v>
      </c>
      <c r="C14" t="s" s="756">
        <v>267</v>
      </c>
      <c r="D14" t="s" s="757">
        <v>294</v>
      </c>
      <c r="E14" t="s" s="758">
        <v>295</v>
      </c>
      <c r="F14" s="759">
        <v>2010</v>
      </c>
      <c r="G14" t="s" s="760">
        <v>296</v>
      </c>
      <c r="H14" s="761">
        <v>12</v>
      </c>
      <c r="I14" t="s" s="762">
        <v>271</v>
      </c>
      <c r="J14" s="763">
        <f>IF(OR(ISBLANK(F14), F14=""),#REF!,#REF! - F14)</f>
      </c>
      <c r="K14" s="2329">
        <f>IF(I14="km/L", H14 / (1 + (J14 *#REF!)), H14 * (1 + (J14 *#REF!)))</f>
      </c>
      <c r="L14" t="s" s="2003">
        <v>105</v>
      </c>
      <c r="M14" s="764"/>
      <c r="N14" s="765"/>
      <c r="O14" s="766"/>
    </row>
    <row r="15" spans="1:15" ht="15">
      <c r="A15" s="767">
        <v>14</v>
      </c>
      <c r="B15" t="s" s="768">
        <v>293</v>
      </c>
      <c r="C15" t="s" s="769">
        <v>277</v>
      </c>
      <c r="D15" t="s" s="770">
        <v>294</v>
      </c>
      <c r="E15" t="s" s="771">
        <v>297</v>
      </c>
      <c r="F15" s="772">
        <v>2010</v>
      </c>
      <c r="G15" t="s" s="773">
        <v>298</v>
      </c>
      <c r="H15" s="774">
        <v>12</v>
      </c>
      <c r="I15" t="s" s="775">
        <v>271</v>
      </c>
      <c r="J15" s="776">
        <f>IF(OR(ISBLANK(F15), F15=""),#REF!,#REF! - F15)</f>
      </c>
      <c r="K15" s="2330">
        <f>IF(I15="km/L", H15 / (1 + (J15 *#REF!)), H15 * (1 + (J15 *#REF!)))</f>
      </c>
      <c r="L15" t="s" s="2004">
        <v>200</v>
      </c>
      <c r="M15" s="777"/>
      <c r="N15" s="778"/>
      <c r="O15" s="779"/>
    </row>
    <row r="16" spans="1:15" ht="15">
      <c r="A16" s="780">
        <v>15</v>
      </c>
      <c r="B16" t="s" s="781">
        <v>299</v>
      </c>
      <c r="C16" t="s" s="782">
        <v>267</v>
      </c>
      <c r="D16" t="s" s="783">
        <v>300</v>
      </c>
      <c r="E16" t="s" s="784">
        <v>301</v>
      </c>
      <c r="F16" s="785">
        <v>2014</v>
      </c>
      <c r="G16" t="s" s="786">
        <v>302</v>
      </c>
      <c r="H16" s="787">
        <v>12</v>
      </c>
      <c r="I16" t="s" s="788">
        <v>271</v>
      </c>
      <c r="J16" s="789">
        <f>IF(OR(ISBLANK(F16), F16=""),#REF!,#REF! - F16)</f>
      </c>
      <c r="K16" s="2331">
        <f>IF(I16="km/L", H16 / (1 + (J16 *#REF!)), H16 * (1 + (J16 *#REF!)))</f>
      </c>
      <c r="L16" t="s" s="2005">
        <v>89</v>
      </c>
      <c r="M16" s="790"/>
      <c r="N16" s="791"/>
      <c r="O16" s="792"/>
    </row>
    <row r="17" spans="1:15" ht="15">
      <c r="A17" s="793">
        <v>16</v>
      </c>
      <c r="B17" t="s" s="794">
        <v>303</v>
      </c>
      <c r="C17" t="s" s="795">
        <v>277</v>
      </c>
      <c r="D17" t="s" s="796">
        <v>304</v>
      </c>
      <c r="E17" t="s" s="797">
        <v>305</v>
      </c>
      <c r="F17" s="798">
        <v>2017</v>
      </c>
      <c r="G17" t="s" s="799">
        <v>306</v>
      </c>
      <c r="H17" s="800">
        <v>12</v>
      </c>
      <c r="I17" t="s" s="801">
        <v>271</v>
      </c>
      <c r="J17" s="802">
        <f>IF(OR(ISBLANK(F17), F17=""),#REF!,#REF! - F17)</f>
      </c>
      <c r="K17" s="2332">
        <f>IF(I17="km/L", H17 / (1 + (J17 *#REF!)), H17 * (1 + (J17 *#REF!)))</f>
      </c>
      <c r="L17" t="s" s="2006">
        <v>170</v>
      </c>
      <c r="M17" s="803"/>
      <c r="N17" s="804"/>
      <c r="O17" s="805"/>
    </row>
    <row r="18" spans="1:15" ht="15">
      <c r="A18" s="806">
        <v>17</v>
      </c>
      <c r="B18" t="s" s="807">
        <v>307</v>
      </c>
      <c r="C18" t="s" s="808">
        <v>267</v>
      </c>
      <c r="D18" t="s" s="809">
        <v>308</v>
      </c>
      <c r="E18" t="s" s="810">
        <v>309</v>
      </c>
      <c r="F18" s="811">
        <v>2010</v>
      </c>
      <c r="G18" s="812">
        <v>23620561</v>
      </c>
      <c r="H18" s="813">
        <v>9.5</v>
      </c>
      <c r="I18" t="s" s="814">
        <v>271</v>
      </c>
      <c r="J18" s="815">
        <f>IF(OR(ISBLANK(F18), F18=""),#REF!,#REF! - F18)</f>
      </c>
      <c r="K18" s="2333">
        <f>IF(I18="km/L", H18 / (1 + (J18 *#REF!)), H18 * (1 + (J18 *#REF!)))</f>
      </c>
      <c r="L18" t="s" s="2007">
        <v>72</v>
      </c>
      <c r="M18" s="816"/>
      <c r="N18" s="817"/>
      <c r="O18" s="818"/>
    </row>
    <row r="19" spans="1:15" ht="15">
      <c r="A19" s="819">
        <v>18</v>
      </c>
      <c r="B19" t="s" s="820">
        <v>310</v>
      </c>
      <c r="C19" t="s" s="821">
        <v>277</v>
      </c>
      <c r="D19" t="s" s="822">
        <v>311</v>
      </c>
      <c r="E19" t="s" s="823">
        <v>312</v>
      </c>
      <c r="F19" s="824">
        <v>2014</v>
      </c>
      <c r="G19" t="s" s="825">
        <v>313</v>
      </c>
      <c r="H19" s="826">
        <v>9.5</v>
      </c>
      <c r="I19" t="s" s="827">
        <v>271</v>
      </c>
      <c r="J19" s="828">
        <f>IF(OR(ISBLANK(F19), F19=""),#REF!,#REF! - F19)</f>
      </c>
      <c r="K19" s="2334">
        <f>IF(I19="km/L", H19 / (1 + (J19 *#REF!)), H19 * (1 + (J19 *#REF!)))</f>
      </c>
      <c r="L19" t="s" s="2008">
        <v>91</v>
      </c>
      <c r="M19" s="829"/>
      <c r="N19" s="830"/>
      <c r="O19" s="831"/>
    </row>
    <row r="20" spans="1:15" ht="15">
      <c r="A20" s="832">
        <v>19</v>
      </c>
      <c r="B20" t="s" s="833">
        <v>314</v>
      </c>
      <c r="C20" s="834"/>
      <c r="D20" t="s" s="835">
        <v>315</v>
      </c>
      <c r="E20" t="s" s="836">
        <v>316</v>
      </c>
      <c r="F20" s="837">
        <v>2017</v>
      </c>
      <c r="G20" t="s" s="838">
        <v>317</v>
      </c>
      <c r="H20" s="839">
        <v>9</v>
      </c>
      <c r="I20" t="s" s="840">
        <v>271</v>
      </c>
      <c r="J20" s="841">
        <f>IF(OR(ISBLANK(F20), F20=""),#REF!,#REF! - F20)</f>
      </c>
      <c r="K20" s="2335">
        <f>IF(I20="km/L", H20 / (1 + (J20 *#REF!)), H20 * (1 + (J20 *#REF!)))</f>
      </c>
      <c r="L20" t="s" s="2009">
        <v>99</v>
      </c>
      <c r="M20" s="842"/>
      <c r="N20" s="843"/>
      <c r="O20" s="844"/>
    </row>
    <row r="21" spans="1:15" ht="15">
      <c r="A21" s="845">
        <v>20</v>
      </c>
      <c r="B21" t="s" s="846">
        <v>314</v>
      </c>
      <c r="C21" s="847"/>
      <c r="D21" t="s" s="848">
        <v>315</v>
      </c>
      <c r="E21" t="s" s="849">
        <v>316</v>
      </c>
      <c r="F21" s="850">
        <v>2017</v>
      </c>
      <c r="G21" t="s" s="851">
        <v>318</v>
      </c>
      <c r="H21" s="852">
        <v>9</v>
      </c>
      <c r="I21" t="s" s="853">
        <v>271</v>
      </c>
      <c r="J21" s="854">
        <f>IF(OR(ISBLANK(F21), F21=""),#REF!,#REF! - F21)</f>
      </c>
      <c r="K21" s="2336">
        <f>IF(I21="km/L", H21 / (1 + (J21 *#REF!)), H21 * (1 + (J21 *#REF!)))</f>
      </c>
      <c r="L21" t="s" s="2010">
        <v>201</v>
      </c>
      <c r="M21" s="855"/>
      <c r="N21" s="856"/>
      <c r="O21" s="857"/>
    </row>
    <row r="22" spans="1:15" ht="15">
      <c r="A22" s="858">
        <v>21</v>
      </c>
      <c r="B22" t="s" s="859">
        <v>266</v>
      </c>
      <c r="C22" s="860"/>
      <c r="D22" t="s" s="861">
        <v>268</v>
      </c>
      <c r="E22" t="s" s="862">
        <v>319</v>
      </c>
      <c r="F22" s="863"/>
      <c r="G22" t="s" s="864">
        <v>320</v>
      </c>
      <c r="H22" s="865">
        <v>6.5</v>
      </c>
      <c r="I22" t="s" s="866">
        <v>271</v>
      </c>
      <c r="J22" s="867">
        <f>IF(OR(ISBLANK(F22), F22=""),#REF!,#REF! - F22)</f>
      </c>
      <c r="K22" s="2337">
        <f>IF(I22="km/L", H22 / (1 + (J22 *#REF!)), H22 * (1 + (J22 *#REF!)))</f>
      </c>
      <c r="L22" t="s" s="2011">
        <v>202</v>
      </c>
      <c r="M22" s="868"/>
      <c r="N22" s="869"/>
      <c r="O22" s="870"/>
    </row>
    <row r="23" spans="1:15" ht="15">
      <c r="A23" s="871">
        <v>22</v>
      </c>
      <c r="B23" t="s" s="872">
        <v>286</v>
      </c>
      <c r="C23" s="873"/>
      <c r="D23" t="s" s="874">
        <v>321</v>
      </c>
      <c r="E23" t="s" s="875">
        <v>322</v>
      </c>
      <c r="F23" s="876"/>
      <c r="G23" s="877">
        <v>407123</v>
      </c>
      <c r="H23" s="878">
        <v>7.5</v>
      </c>
      <c r="I23" t="s" s="879">
        <v>271</v>
      </c>
      <c r="J23" s="880">
        <f>IF(OR(ISBLANK(F23), F23=""),#REF!,#REF! - F23)</f>
      </c>
      <c r="K23" s="2338">
        <f>IF(I23="km/L", H23 / (1 + (J23 *#REF!)), H23 * (1 + (J23 *#REF!)))</f>
      </c>
      <c r="L23" t="s" s="2012">
        <v>203</v>
      </c>
      <c r="M23" s="881"/>
      <c r="N23" s="882"/>
      <c r="O23" s="883"/>
    </row>
    <row r="24" spans="1:15" ht="15">
      <c r="A24" s="884">
        <v>23</v>
      </c>
      <c r="B24" t="s" s="885">
        <v>266</v>
      </c>
      <c r="C24" s="886"/>
      <c r="D24" t="s" s="887">
        <v>272</v>
      </c>
      <c r="E24" t="s" s="888">
        <v>323</v>
      </c>
      <c r="F24" s="889"/>
      <c r="G24" t="s" s="890">
        <v>324</v>
      </c>
      <c r="H24" s="891">
        <v>6.5</v>
      </c>
      <c r="I24" t="s" s="892">
        <v>271</v>
      </c>
      <c r="J24" s="893">
        <f>IF(OR(ISBLANK(F24), F24=""),#REF!,#REF! - F24)</f>
      </c>
      <c r="K24" s="2339">
        <f>IF(I24="km/L", H24 / (1 + (J24 *#REF!)), H24 * (1 + (J24 *#REF!)))</f>
      </c>
      <c r="L24" t="s" s="2013">
        <v>204</v>
      </c>
      <c r="M24" s="894"/>
      <c r="N24" s="895"/>
      <c r="O24" s="896"/>
    </row>
    <row r="25" spans="1:15" ht="15">
      <c r="A25" s="897">
        <v>24</v>
      </c>
      <c r="B25" t="s" s="898">
        <v>286</v>
      </c>
      <c r="C25" s="899"/>
      <c r="D25" t="s" s="900">
        <v>321</v>
      </c>
      <c r="E25" t="s" s="901">
        <v>322</v>
      </c>
      <c r="F25" s="902"/>
      <c r="G25" s="903">
        <v>408531</v>
      </c>
      <c r="H25" s="904">
        <v>7.5</v>
      </c>
      <c r="I25" t="s" s="905">
        <v>271</v>
      </c>
      <c r="J25" s="906">
        <f>IF(OR(ISBLANK(F25), F25=""),#REF!,#REF! - F25)</f>
      </c>
      <c r="K25" s="2340">
        <f>IF(I25="km/L", H25 / (1 + (J25 *#REF!)), H25 * (1 + (J25 *#REF!)))</f>
      </c>
      <c r="L25" t="s" s="2014">
        <v>205</v>
      </c>
      <c r="M25" s="907"/>
      <c r="N25" s="908"/>
      <c r="O25" s="909"/>
    </row>
    <row r="26" spans="1:15" ht="15">
      <c r="A26" s="910">
        <v>25</v>
      </c>
      <c r="B26" t="s" s="911">
        <v>325</v>
      </c>
      <c r="C26" s="912"/>
      <c r="D26" t="s" s="913">
        <v>326</v>
      </c>
      <c r="E26" t="s" s="914">
        <v>327</v>
      </c>
      <c r="F26" s="915"/>
      <c r="G26" s="916">
        <v>189989</v>
      </c>
      <c r="H26" s="917">
        <v>12</v>
      </c>
      <c r="I26" t="s" s="918">
        <v>271</v>
      </c>
      <c r="J26" s="919">
        <f>IF(OR(ISBLANK(F26), F26=""),#REF!,#REF! - F26)</f>
      </c>
      <c r="K26" s="2341">
        <f>IF(I26="km/L", H26 / (1 + (J26 *#REF!)), H26 * (1 + (J26 *#REF!)))</f>
      </c>
      <c r="L26" t="s" s="2015">
        <v>206</v>
      </c>
      <c r="M26" s="920"/>
      <c r="N26" s="921"/>
      <c r="O26" s="922"/>
    </row>
    <row r="27" spans="1:15" ht="15">
      <c r="A27" s="923">
        <v>26</v>
      </c>
      <c r="B27" t="s" s="924">
        <v>328</v>
      </c>
      <c r="C27" s="925"/>
      <c r="D27" t="s" s="926">
        <v>283</v>
      </c>
      <c r="E27" s="927"/>
      <c r="F27" s="928"/>
      <c r="G27" t="s" s="929">
        <v>329</v>
      </c>
      <c r="H27" s="930">
        <v>30</v>
      </c>
      <c r="I27" t="s" s="931">
        <v>271</v>
      </c>
      <c r="J27" s="932">
        <f>IF(OR(ISBLANK(F27), F27=""),#REF!,#REF! - F27)</f>
      </c>
      <c r="K27" s="2342">
        <f>IF(I27="km/L", H27 / (1 + (J27 *#REF!)), H27 * (1 + (J27 *#REF!)))</f>
      </c>
      <c r="L27" t="s" s="2016">
        <v>84</v>
      </c>
      <c r="M27" s="933"/>
      <c r="N27" s="934"/>
      <c r="O27" s="935"/>
    </row>
    <row r="28" spans="1:15" ht="15">
      <c r="A28" s="936">
        <v>27</v>
      </c>
      <c r="B28" t="s" s="937">
        <v>330</v>
      </c>
      <c r="C28" t="s" s="938">
        <v>277</v>
      </c>
      <c r="D28" t="s" s="939">
        <v>331</v>
      </c>
      <c r="E28" s="940">
        <v>4300</v>
      </c>
      <c r="F28" s="941">
        <v>2013</v>
      </c>
      <c r="G28" t="s" s="942">
        <v>332</v>
      </c>
      <c r="H28" s="943">
        <v>3.5</v>
      </c>
      <c r="I28" t="s" s="944">
        <v>333</v>
      </c>
      <c r="J28" s="945">
        <f>IF(OR(ISBLANK(F28), F28=""),#REF!,#REF! - F28)</f>
      </c>
      <c r="K28" s="2343">
        <f>IF(I28="km/L", H28 / (1 + (J28 *#REF!)), H28 * (1 + (J28 *#REF!)))</f>
      </c>
      <c r="L28" t="s" s="2017">
        <v>95</v>
      </c>
      <c r="M28" s="946"/>
      <c r="N28" s="947"/>
      <c r="O28" s="948"/>
    </row>
    <row r="29" spans="1:15" ht="15">
      <c r="A29" s="949">
        <v>28</v>
      </c>
      <c r="B29" t="s" s="950">
        <v>330</v>
      </c>
      <c r="C29" t="s" s="951">
        <v>277</v>
      </c>
      <c r="D29" t="s" s="952">
        <v>331</v>
      </c>
      <c r="E29" t="s" s="953">
        <v>334</v>
      </c>
      <c r="F29" s="954">
        <v>1998</v>
      </c>
      <c r="G29" t="s" s="955">
        <v>335</v>
      </c>
      <c r="H29" s="956">
        <v>3.5</v>
      </c>
      <c r="I29" t="s" s="957">
        <v>333</v>
      </c>
      <c r="J29" s="958">
        <f>IF(OR(ISBLANK(F29), F29=""),#REF!,#REF! - F29)</f>
      </c>
      <c r="K29" s="2344">
        <f>IF(I29="km/L", H29 / (1 + (J29 *#REF!)), H29 * (1 + (J29 *#REF!)))</f>
      </c>
      <c r="L29" t="s" s="2018">
        <v>207</v>
      </c>
      <c r="M29" s="959"/>
      <c r="N29" s="960"/>
      <c r="O29" s="961"/>
    </row>
    <row r="30" spans="1:15" ht="15">
      <c r="A30" s="962">
        <v>29</v>
      </c>
      <c r="B30" t="s" s="963">
        <v>336</v>
      </c>
      <c r="C30" t="s" s="964">
        <v>277</v>
      </c>
      <c r="D30" t="s" s="965">
        <v>331</v>
      </c>
      <c r="E30" t="s" s="966">
        <v>334</v>
      </c>
      <c r="F30" s="967">
        <v>1998</v>
      </c>
      <c r="G30" t="s" s="968">
        <v>337</v>
      </c>
      <c r="H30" s="969">
        <v>10</v>
      </c>
      <c r="I30" t="s" s="970">
        <v>271</v>
      </c>
      <c r="J30" s="971">
        <f>IF(OR(ISBLANK(F30), F30=""),#REF!,#REF! - F30)</f>
      </c>
      <c r="K30" s="2345">
        <f>IF(I30="km/L", H30 / (1 + (J30 *#REF!)), H30 * (1 + (J30 *#REF!)))</f>
      </c>
      <c r="L30" t="s" s="2019">
        <v>59</v>
      </c>
      <c r="M30" s="972"/>
      <c r="N30" s="973"/>
      <c r="O30" s="974"/>
    </row>
    <row r="31" spans="1:15" ht="15">
      <c r="A31" s="975">
        <v>30</v>
      </c>
      <c r="B31" t="s" s="976">
        <v>338</v>
      </c>
      <c r="C31" s="977"/>
      <c r="D31" t="s" s="978">
        <v>339</v>
      </c>
      <c r="E31" s="979"/>
      <c r="F31" s="980">
        <v>2003</v>
      </c>
      <c r="G31" t="s" s="981">
        <v>340</v>
      </c>
      <c r="H31" s="982">
        <v>10</v>
      </c>
      <c r="I31" t="s" s="983">
        <v>271</v>
      </c>
      <c r="J31" s="984">
        <f>IF(OR(ISBLANK(F31), F31=""),#REF!,#REF! - F31)</f>
      </c>
      <c r="K31" s="2346">
        <f>IF(I31="km/L", H31 / (1 + (J31 *#REF!)), H31 * (1 + (J31 *#REF!)))</f>
      </c>
      <c r="L31" t="s" s="2020">
        <v>93</v>
      </c>
      <c r="M31" s="985"/>
      <c r="N31" s="986"/>
      <c r="O31" s="987"/>
    </row>
    <row r="32" spans="1:15" ht="15">
      <c r="A32" s="988">
        <v>31</v>
      </c>
      <c r="B32" t="s" s="989">
        <v>341</v>
      </c>
      <c r="C32" t="s" s="990">
        <v>277</v>
      </c>
      <c r="D32" t="s" s="991">
        <v>331</v>
      </c>
      <c r="E32" s="992"/>
      <c r="F32" s="993"/>
      <c r="G32" t="s" s="994">
        <v>342</v>
      </c>
      <c r="H32" s="995">
        <v>3.5</v>
      </c>
      <c r="I32" t="s" s="996">
        <v>333</v>
      </c>
      <c r="J32" s="997">
        <f>IF(OR(ISBLANK(F32), F32=""),#REF!,#REF! - F32)</f>
      </c>
      <c r="K32" s="2347">
        <f>IF(I32="km/L", H32 / (1 + (J32 *#REF!)), H32 * (1 + (J32 *#REF!)))</f>
      </c>
      <c r="L32" t="s" s="2021">
        <v>61</v>
      </c>
      <c r="M32" s="998"/>
      <c r="N32" s="999"/>
      <c r="O32" s="1000"/>
    </row>
    <row r="33" spans="1:15" ht="15">
      <c r="A33" s="1001">
        <v>32</v>
      </c>
      <c r="B33" t="s" s="1002">
        <v>343</v>
      </c>
      <c r="C33" s="1003"/>
      <c r="D33" t="s" s="1004">
        <v>344</v>
      </c>
      <c r="E33" t="s" s="1005">
        <v>345</v>
      </c>
      <c r="F33" s="1006"/>
      <c r="G33" t="s" s="1007">
        <v>346</v>
      </c>
      <c r="H33" s="1008">
        <v>12</v>
      </c>
      <c r="I33" t="s" s="1009">
        <v>271</v>
      </c>
      <c r="J33" s="1010">
        <f>IF(OR(ISBLANK(F33), F33=""),#REF!,#REF! - F33)</f>
      </c>
      <c r="K33" s="2348">
        <f>IF(I33="km/L", H33 / (1 + (J33 *#REF!)), H33 * (1 + (J33 *#REF!)))</f>
      </c>
      <c r="L33" t="s" s="2022">
        <v>208</v>
      </c>
      <c r="M33" s="1011"/>
      <c r="N33" s="1012"/>
      <c r="O33" s="1013"/>
    </row>
    <row r="34" spans="1:15">
      <c r="A34" s="1014"/>
      <c r="B34" s="1015"/>
      <c r="C34" s="1016"/>
      <c r="D34" s="1017"/>
      <c r="E34" s="1018"/>
      <c r="F34" s="1019"/>
      <c r="G34" s="1020"/>
      <c r="H34" s="1021"/>
      <c r="I34" s="1022"/>
      <c r="J34" s="1023"/>
      <c r="K34" s="1024"/>
      <c r="L34" s="1025"/>
      <c r="M34" s="1026"/>
      <c r="N34" s="1027"/>
      <c r="O34" s="1028"/>
    </row>
    <row r="35" spans="1:15">
      <c r="A35" s="1029"/>
      <c r="B35" s="1030"/>
      <c r="C35" s="1031"/>
      <c r="D35" s="1032"/>
      <c r="E35" s="1033"/>
      <c r="F35" s="1034"/>
      <c r="G35" s="1035"/>
      <c r="H35" s="1036"/>
      <c r="I35" s="1037"/>
      <c r="J35" s="1038"/>
      <c r="K35" s="1039"/>
      <c r="L35" s="1040"/>
      <c r="M35" s="1041"/>
      <c r="N35" s="1042"/>
      <c r="O35" s="1043"/>
    </row>
    <row r="36" spans="1:15">
      <c r="A36" s="1044"/>
      <c r="B36" s="1045"/>
      <c r="C36" s="1046"/>
      <c r="D36" s="1047"/>
      <c r="E36" s="1048"/>
      <c r="F36" s="1049"/>
      <c r="G36" s="1050"/>
      <c r="H36" s="1051"/>
      <c r="I36" s="1052"/>
      <c r="J36" s="1053"/>
      <c r="K36" s="1054"/>
      <c r="L36" s="1055"/>
      <c r="M36" s="1056"/>
      <c r="N36" s="1057"/>
      <c r="O36" s="1058"/>
    </row>
    <row r="37" spans="1:15">
      <c r="A37" s="1059"/>
      <c r="B37" s="1060"/>
      <c r="C37" s="1061"/>
      <c r="D37" s="1062"/>
      <c r="E37" s="1063"/>
      <c r="F37" s="1064"/>
      <c r="G37" s="1065"/>
      <c r="H37" s="1066"/>
      <c r="I37" s="1067"/>
      <c r="J37" s="1068"/>
      <c r="K37" s="1069"/>
      <c r="L37" s="1070"/>
      <c r="M37" s="1071"/>
      <c r="N37" s="1072"/>
      <c r="O37" s="1073"/>
    </row>
    <row r="38" spans="1:15">
      <c r="A38" s="1074"/>
      <c r="B38" s="1075"/>
      <c r="C38" s="1076"/>
      <c r="D38" s="1077"/>
      <c r="E38" s="1078"/>
      <c r="F38" s="1079"/>
      <c r="G38" s="1080"/>
      <c r="H38" s="1081"/>
      <c r="I38" s="1082"/>
      <c r="J38" s="1083"/>
      <c r="K38" s="1084"/>
      <c r="L38" s="1085"/>
      <c r="M38" s="1086"/>
      <c r="N38" s="1087"/>
      <c r="O38" s="1088"/>
    </row>
    <row r="39" spans="1:15">
      <c r="A39" s="1089"/>
      <c r="B39" s="1090"/>
      <c r="C39" s="1091"/>
      <c r="D39" s="1092"/>
      <c r="E39" s="1093"/>
      <c r="F39" s="1094"/>
      <c r="G39" s="1095"/>
      <c r="H39" s="1096"/>
      <c r="I39" s="1097"/>
      <c r="J39" s="1098"/>
      <c r="K39" s="1099"/>
      <c r="L39" s="1100"/>
      <c r="M39" s="1101"/>
      <c r="N39" s="1102"/>
      <c r="O39" s="1103"/>
    </row>
    <row r="40" spans="1:15">
      <c r="A40" s="1104"/>
      <c r="B40" s="1105"/>
      <c r="C40" s="1106"/>
      <c r="D40" s="1107"/>
      <c r="E40" s="1108"/>
      <c r="F40" s="1109"/>
      <c r="G40" s="1110"/>
      <c r="H40" s="1111"/>
      <c r="I40" s="1112"/>
      <c r="J40" s="1113"/>
      <c r="K40" s="1114"/>
      <c r="L40" s="1115"/>
      <c r="M40" s="1116"/>
      <c r="N40" s="1117"/>
      <c r="O40" s="1118"/>
    </row>
    <row r="41" spans="1:15">
      <c r="A41" s="1119"/>
      <c r="B41" s="1120"/>
      <c r="C41" s="1121"/>
      <c r="D41" s="1122"/>
      <c r="E41" s="1123"/>
      <c r="F41" s="1124"/>
      <c r="G41" s="1125"/>
      <c r="H41" s="1126"/>
      <c r="I41" s="1127"/>
      <c r="J41" s="1128"/>
      <c r="K41" s="1129"/>
      <c r="L41" s="1130"/>
      <c r="M41" s="1131"/>
      <c r="N41" s="1132"/>
      <c r="O41" s="1133"/>
    </row>
    <row r="42" spans="1:15">
      <c r="A42" s="1134"/>
      <c r="B42" s="1135"/>
      <c r="C42" s="1136"/>
      <c r="D42" s="1137"/>
      <c r="E42" s="1138"/>
      <c r="F42" s="1139"/>
      <c r="G42" s="1140"/>
      <c r="H42" s="1141"/>
      <c r="I42" s="1142"/>
      <c r="J42" s="1143"/>
      <c r="K42" s="1144"/>
      <c r="L42" s="1145"/>
      <c r="M42" s="1146"/>
      <c r="N42" s="1147"/>
      <c r="O42" s="1148"/>
    </row>
    <row r="43" spans="1:15">
      <c r="A43" s="1149"/>
      <c r="B43" s="1150"/>
      <c r="C43" s="1151"/>
      <c r="D43" s="1152"/>
      <c r="E43" s="1153"/>
      <c r="F43" s="1154"/>
      <c r="G43" s="1155"/>
      <c r="H43" s="1156"/>
      <c r="I43" s="1157"/>
      <c r="J43" s="1158"/>
      <c r="K43" s="1159"/>
      <c r="L43" s="1160"/>
      <c r="M43" s="1161"/>
      <c r="N43" s="1162"/>
      <c r="O43" s="1163"/>
    </row>
    <row r="44" spans="1:15">
      <c r="A44" s="1164"/>
      <c r="B44" s="1165"/>
      <c r="C44" s="1166"/>
      <c r="D44" s="1167"/>
      <c r="E44" s="1168"/>
      <c r="F44" s="1169"/>
      <c r="G44" s="1170"/>
      <c r="H44" s="1171"/>
      <c r="I44" s="1172"/>
      <c r="J44" s="1173"/>
      <c r="K44" s="1174"/>
      <c r="L44" s="1175"/>
      <c r="M44" s="1176"/>
      <c r="N44" s="1177"/>
      <c r="O44" s="1178"/>
    </row>
    <row r="45" spans="1:15">
      <c r="A45" s="1179"/>
      <c r="B45" s="1180"/>
      <c r="C45" s="1181"/>
      <c r="D45" s="1182"/>
      <c r="E45" s="1183"/>
      <c r="F45" s="1184"/>
      <c r="G45" s="1185"/>
      <c r="H45" s="1186"/>
      <c r="I45" s="1187"/>
      <c r="J45" s="1188"/>
      <c r="K45" s="1189"/>
      <c r="L45" s="1190"/>
      <c r="M45" s="1191"/>
      <c r="N45" s="1192"/>
      <c r="O45" s="1193"/>
    </row>
    <row r="46" spans="1:15">
      <c r="A46" s="1194"/>
      <c r="B46" s="1195"/>
      <c r="C46" s="1196"/>
      <c r="D46" s="1197"/>
      <c r="E46" s="1198"/>
      <c r="F46" s="1199"/>
      <c r="G46" s="1200"/>
      <c r="H46" s="1201"/>
      <c r="I46" s="1202"/>
      <c r="J46" s="1203"/>
      <c r="K46" s="1204"/>
      <c r="L46" s="1205"/>
      <c r="M46" s="1206"/>
      <c r="N46" s="1207"/>
      <c r="O46" s="1208"/>
    </row>
    <row r="47" spans="1:15">
      <c r="A47" s="1209"/>
      <c r="B47" s="1210"/>
      <c r="C47" s="1211"/>
      <c r="D47" s="1212"/>
      <c r="E47" s="1213"/>
      <c r="F47" s="1214"/>
      <c r="G47" s="1215"/>
      <c r="H47" s="1216"/>
      <c r="I47" s="1217"/>
      <c r="J47" s="1218"/>
      <c r="K47" s="1219"/>
      <c r="L47" s="1220"/>
      <c r="M47" s="1221"/>
      <c r="N47" s="1222"/>
      <c r="O47" s="1223"/>
    </row>
    <row r="48" spans="1:15">
      <c r="A48" s="1224"/>
      <c r="B48" s="1225"/>
      <c r="C48" s="1226"/>
      <c r="D48" s="1227"/>
      <c r="E48" s="1228"/>
      <c r="F48" s="1229"/>
      <c r="G48" s="1230"/>
      <c r="H48" s="1231"/>
      <c r="I48" s="1232"/>
      <c r="J48" s="1233"/>
      <c r="K48" s="1234"/>
      <c r="L48" s="1235"/>
      <c r="M48" s="1236"/>
      <c r="N48" s="1237"/>
      <c r="O48" s="1238"/>
    </row>
    <row r="49" spans="1:15">
      <c r="A49" s="1239"/>
      <c r="B49" s="1240"/>
      <c r="C49" s="1241"/>
      <c r="D49" s="1242"/>
      <c r="E49" s="1243"/>
      <c r="F49" s="1244"/>
      <c r="G49" s="1245"/>
      <c r="H49" s="1246"/>
      <c r="I49" s="1247"/>
      <c r="J49" s="1248"/>
      <c r="K49" s="1249"/>
      <c r="L49" s="1250"/>
      <c r="M49" s="1251"/>
      <c r="N49" s="1252"/>
      <c r="O49" s="1253"/>
    </row>
    <row r="50" spans="1:15">
      <c r="A50" s="1254"/>
      <c r="B50" s="1255"/>
      <c r="C50" s="1256"/>
      <c r="D50" s="1257"/>
      <c r="E50" s="1258"/>
      <c r="F50" s="1259"/>
      <c r="G50" s="1260"/>
      <c r="H50" s="1261"/>
      <c r="I50" s="1262"/>
      <c r="J50" s="1263"/>
      <c r="K50" s="1264"/>
      <c r="L50" s="1265"/>
      <c r="M50" s="1266"/>
      <c r="N50" s="1267"/>
      <c r="O50" s="1268"/>
    </row>
    <row r="51" spans="1:15">
      <c r="A51" s="1269"/>
      <c r="B51" s="1270"/>
      <c r="C51" s="1271"/>
      <c r="D51" s="1272"/>
      <c r="E51" s="1273"/>
      <c r="F51" s="1274"/>
      <c r="G51" s="1275"/>
      <c r="H51" s="1276"/>
      <c r="I51" s="1277"/>
      <c r="J51" s="1278"/>
      <c r="K51" s="1279"/>
      <c r="L51" s="1280"/>
      <c r="M51" s="1281"/>
      <c r="N51" s="1282"/>
      <c r="O51" s="1283"/>
    </row>
    <row r="52" spans="1:15">
      <c r="A52" s="1284"/>
      <c r="B52" s="1285"/>
      <c r="C52" s="1286"/>
      <c r="D52" s="1287"/>
      <c r="E52" s="1288"/>
      <c r="F52" s="1289"/>
      <c r="G52" s="1290"/>
      <c r="H52" s="1291"/>
      <c r="I52" s="1292"/>
      <c r="J52" s="1293"/>
      <c r="K52" s="1294"/>
      <c r="L52" s="1295"/>
      <c r="M52" s="1296"/>
      <c r="N52" s="1297"/>
      <c r="O52" s="1298"/>
    </row>
    <row r="53" spans="1:15">
      <c r="A53" s="1299"/>
      <c r="B53" s="1300"/>
      <c r="C53" s="1301"/>
      <c r="D53" s="1302"/>
      <c r="E53" s="1303"/>
      <c r="F53" s="1304"/>
      <c r="G53" s="1305"/>
      <c r="H53" s="1306"/>
      <c r="I53" s="1307"/>
      <c r="J53" s="1308"/>
      <c r="K53" s="1309"/>
      <c r="L53" s="1310"/>
      <c r="M53" s="1311"/>
      <c r="N53" s="1312"/>
      <c r="O53" s="1313"/>
    </row>
    <row r="54" spans="1:15">
      <c r="A54" s="1314"/>
      <c r="B54" s="1315"/>
      <c r="C54" s="1316"/>
      <c r="D54" s="1317"/>
      <c r="E54" s="1318"/>
      <c r="F54" s="1319"/>
      <c r="G54" s="1320"/>
      <c r="H54" s="1321"/>
      <c r="I54" s="1322"/>
      <c r="J54" s="1323"/>
      <c r="K54" s="1324"/>
      <c r="L54" s="1325"/>
      <c r="M54" s="1326"/>
      <c r="N54" s="1327"/>
      <c r="O54" s="1328"/>
    </row>
    <row r="55" spans="1:15">
      <c r="A55" s="1329"/>
      <c r="B55" s="1330"/>
      <c r="C55" s="1331"/>
      <c r="D55" s="1332"/>
      <c r="E55" s="1333"/>
      <c r="F55" s="1334"/>
      <c r="G55" s="1335"/>
      <c r="H55" s="1336"/>
      <c r="I55" s="1337"/>
      <c r="J55" s="1338"/>
      <c r="K55" s="1339"/>
      <c r="L55" s="1340"/>
      <c r="M55" s="1341"/>
      <c r="N55" s="1342"/>
      <c r="O55" s="1343"/>
    </row>
    <row r="56" spans="1:15">
      <c r="A56" s="1344"/>
      <c r="B56" s="1345"/>
      <c r="C56" s="1346"/>
      <c r="D56" s="1347"/>
      <c r="E56" s="1348"/>
      <c r="F56" s="1349"/>
      <c r="G56" s="1350"/>
      <c r="H56" s="1351"/>
      <c r="I56" s="1352"/>
      <c r="J56" s="1353"/>
      <c r="K56" s="1354"/>
      <c r="L56" s="1355"/>
      <c r="M56" s="1356"/>
      <c r="N56" s="1357"/>
      <c r="O56" s="1358"/>
    </row>
    <row r="57" spans="1:15">
      <c r="A57" s="1359"/>
      <c r="B57" s="1360"/>
      <c r="C57" s="1361"/>
      <c r="D57" s="1362"/>
      <c r="E57" s="1363"/>
      <c r="F57" s="1364"/>
      <c r="G57" s="1365"/>
      <c r="H57" s="1366"/>
      <c r="I57" s="1367"/>
      <c r="J57" s="1368"/>
      <c r="K57" s="1369"/>
      <c r="L57" s="1370"/>
      <c r="M57" s="1371"/>
      <c r="N57" s="1372"/>
      <c r="O57" s="1373"/>
    </row>
    <row r="58" spans="1:15">
      <c r="A58" s="1374"/>
      <c r="B58" s="1375"/>
      <c r="C58" s="1376"/>
      <c r="D58" s="1377"/>
      <c r="E58" s="1378"/>
      <c r="F58" s="1379"/>
      <c r="G58" s="1380"/>
      <c r="H58" s="1381"/>
      <c r="I58" s="1382"/>
      <c r="J58" s="1383"/>
      <c r="K58" s="1384"/>
      <c r="L58" s="1385"/>
      <c r="M58" s="1386"/>
      <c r="N58" s="1387"/>
      <c r="O58" s="1388"/>
    </row>
    <row r="59" spans="1:15">
      <c r="A59" s="1389"/>
      <c r="B59" s="1390"/>
      <c r="C59" s="1391"/>
      <c r="D59" s="1392"/>
      <c r="E59" s="1393"/>
      <c r="F59" s="1394"/>
      <c r="G59" s="1395"/>
      <c r="H59" s="1396"/>
      <c r="I59" s="1397"/>
      <c r="J59" s="1398"/>
      <c r="K59" s="1399"/>
      <c r="L59" s="1400"/>
      <c r="M59" s="1401"/>
      <c r="N59" s="1402"/>
      <c r="O59" s="1403"/>
    </row>
    <row r="60" spans="1:15">
      <c r="A60" s="1404"/>
      <c r="B60" s="1405"/>
      <c r="C60" s="1406"/>
      <c r="D60" s="1407"/>
      <c r="E60" s="1408"/>
      <c r="F60" s="1409"/>
      <c r="G60" s="1410"/>
      <c r="H60" s="1411"/>
      <c r="I60" s="1412"/>
      <c r="J60" s="1413"/>
      <c r="K60" s="1414"/>
      <c r="L60" s="1415"/>
      <c r="M60" s="1416"/>
      <c r="N60" s="1417"/>
      <c r="O60" s="1418"/>
    </row>
    <row r="61" spans="1:15">
      <c r="A61" s="1419"/>
      <c r="B61" s="1420"/>
      <c r="C61" s="1421"/>
      <c r="D61" s="1422"/>
      <c r="E61" s="1423"/>
      <c r="F61" s="1424"/>
      <c r="G61" s="1425"/>
      <c r="H61" s="1426"/>
      <c r="I61" s="1427"/>
      <c r="J61" s="1428"/>
      <c r="K61" s="1429"/>
      <c r="L61" s="1430"/>
      <c r="M61" s="1431"/>
      <c r="N61" s="1432"/>
      <c r="O61" s="1433"/>
    </row>
    <row r="62" spans="1:15">
      <c r="A62" s="1434"/>
      <c r="B62" s="1435"/>
      <c r="C62" s="1436"/>
      <c r="D62" s="1437"/>
      <c r="E62" s="1438"/>
      <c r="F62" s="1439"/>
      <c r="G62" s="1440"/>
      <c r="H62" s="1441"/>
      <c r="I62" s="1442"/>
      <c r="J62" s="1443"/>
      <c r="K62" s="1444"/>
      <c r="L62" s="1445"/>
      <c r="M62" s="1446"/>
      <c r="N62" s="1447"/>
      <c r="O62" s="1448"/>
    </row>
    <row r="63" spans="1:15">
      <c r="A63" s="1449"/>
      <c r="B63" s="1450"/>
      <c r="C63" s="1451"/>
      <c r="D63" s="1452"/>
      <c r="E63" s="1453"/>
      <c r="F63" s="1454"/>
      <c r="G63" s="1455"/>
      <c r="H63" s="1456"/>
      <c r="I63" s="1457"/>
      <c r="J63" s="1458"/>
      <c r="K63" s="1459"/>
      <c r="L63" s="1460"/>
      <c r="M63" s="1461"/>
      <c r="N63" s="1462"/>
      <c r="O63" s="1463"/>
    </row>
    <row r="64" spans="1:15">
      <c r="A64" s="1464"/>
      <c r="B64" s="1465"/>
      <c r="C64" s="1466"/>
      <c r="D64" s="1467"/>
      <c r="E64" s="1468"/>
      <c r="F64" s="1469"/>
      <c r="G64" s="1470"/>
      <c r="H64" s="1471"/>
      <c r="I64" s="1472"/>
      <c r="J64" s="1473"/>
      <c r="K64" s="1474"/>
      <c r="L64" s="1475"/>
      <c r="M64" s="1476"/>
      <c r="N64" s="1477"/>
      <c r="O64" s="1478"/>
    </row>
    <row r="65" spans="1:15">
      <c r="A65" s="1479"/>
      <c r="B65" s="1480"/>
      <c r="C65" s="1481"/>
      <c r="D65" s="1482"/>
      <c r="E65" s="1483"/>
      <c r="F65" s="1484"/>
      <c r="G65" s="1485"/>
      <c r="H65" s="1486"/>
      <c r="I65" s="1487"/>
      <c r="J65" s="1488"/>
      <c r="K65" s="1489"/>
      <c r="L65" s="1490"/>
      <c r="M65" s="1491"/>
      <c r="N65" s="1492"/>
      <c r="O65" s="1493"/>
    </row>
    <row r="66" spans="1:15">
      <c r="A66" s="1494"/>
      <c r="B66" s="1495"/>
      <c r="C66" s="1496"/>
      <c r="D66" s="1497"/>
      <c r="E66" s="1498"/>
      <c r="F66" s="1499"/>
      <c r="G66" s="1500"/>
      <c r="H66" s="1501"/>
      <c r="I66" s="1502"/>
      <c r="J66" s="1503"/>
      <c r="K66" s="1504"/>
      <c r="L66" s="1505"/>
      <c r="M66" s="1506"/>
      <c r="N66" s="1507"/>
      <c r="O66" s="1508"/>
    </row>
    <row r="67" spans="1:15">
      <c r="A67" s="1509"/>
      <c r="B67" s="1510"/>
      <c r="C67" s="1511"/>
      <c r="D67" s="1512"/>
      <c r="E67" s="1513"/>
      <c r="F67" s="1514"/>
      <c r="G67" s="1515"/>
      <c r="H67" s="1516"/>
      <c r="I67" s="1517"/>
      <c r="J67" s="1518"/>
      <c r="K67" s="1519"/>
      <c r="L67" s="1520"/>
      <c r="M67" s="1521"/>
      <c r="N67" s="1522"/>
      <c r="O67" s="1523"/>
    </row>
    <row r="68" spans="1:15">
      <c r="A68" s="1524"/>
      <c r="B68" s="1525"/>
      <c r="C68" s="1526"/>
      <c r="D68" s="1527"/>
      <c r="E68" s="1528"/>
      <c r="F68" s="1529"/>
      <c r="G68" s="1530"/>
      <c r="H68" s="1531"/>
      <c r="I68" s="1532"/>
      <c r="J68" s="1533"/>
      <c r="K68" s="1534"/>
      <c r="L68" s="1535"/>
      <c r="M68" s="1536"/>
      <c r="N68" s="1537"/>
      <c r="O68" s="1538"/>
    </row>
    <row r="69" spans="1:15">
      <c r="A69" s="1539"/>
      <c r="B69" s="1540"/>
      <c r="C69" s="1541"/>
      <c r="D69" s="1542"/>
      <c r="E69" s="1543"/>
      <c r="F69" s="1544"/>
      <c r="G69" s="1545"/>
      <c r="H69" s="1546"/>
      <c r="I69" s="1547"/>
      <c r="J69" s="1548"/>
      <c r="K69" s="1549"/>
      <c r="L69" s="1550"/>
      <c r="M69" s="1551"/>
      <c r="N69" s="1552"/>
      <c r="O69" s="1553"/>
    </row>
    <row r="70" spans="1:15">
      <c r="A70" s="1554"/>
      <c r="B70" s="1555"/>
      <c r="C70" s="1556"/>
      <c r="D70" s="1557"/>
      <c r="E70" s="1558"/>
      <c r="F70" s="1559"/>
      <c r="G70" s="1560"/>
      <c r="H70" s="1561"/>
      <c r="I70" s="1562"/>
      <c r="J70" s="1563"/>
      <c r="K70" s="1564"/>
      <c r="L70" s="1565"/>
      <c r="M70" s="1566"/>
      <c r="N70" s="1567"/>
      <c r="O70" s="1568"/>
    </row>
    <row r="71" spans="1:15">
      <c r="A71" s="1569"/>
      <c r="B71" s="1570"/>
      <c r="C71" s="1571"/>
      <c r="D71" s="1572"/>
      <c r="E71" s="1573"/>
      <c r="F71" s="1574"/>
      <c r="G71" s="1575"/>
      <c r="H71" s="1576"/>
      <c r="I71" s="1577"/>
      <c r="J71" s="1578"/>
      <c r="K71" s="1579"/>
      <c r="L71" s="1580"/>
      <c r="M71" s="1581"/>
      <c r="N71" s="1582"/>
      <c r="O71" s="1583"/>
    </row>
    <row r="72" spans="1:15">
      <c r="A72" s="1584"/>
      <c r="B72" s="1585"/>
      <c r="C72" s="1586"/>
      <c r="D72" s="1587"/>
      <c r="E72" s="1588"/>
      <c r="F72" s="1589"/>
      <c r="G72" s="1590"/>
      <c r="H72" s="1591"/>
      <c r="I72" s="1592"/>
      <c r="J72" s="1593"/>
      <c r="K72" s="1594"/>
      <c r="L72" s="1595"/>
      <c r="M72" s="1596"/>
      <c r="N72" s="1597"/>
      <c r="O72" s="1598"/>
    </row>
    <row r="73" spans="1:15">
      <c r="A73" s="1599"/>
      <c r="B73" s="1600"/>
      <c r="C73" s="1601"/>
      <c r="D73" s="1602"/>
      <c r="E73" s="1603"/>
      <c r="F73" s="1604"/>
      <c r="G73" s="1605"/>
      <c r="H73" s="1606"/>
      <c r="I73" s="1607"/>
      <c r="J73" s="1608"/>
      <c r="K73" s="1609"/>
      <c r="L73" s="1610"/>
      <c r="M73" s="1611"/>
      <c r="N73" s="1612"/>
      <c r="O73" s="1613"/>
    </row>
    <row r="74" spans="1:15">
      <c r="A74" s="1614"/>
      <c r="B74" s="1615"/>
      <c r="C74" s="1616"/>
      <c r="D74" s="1617"/>
      <c r="E74" s="1618"/>
      <c r="F74" s="1619"/>
      <c r="G74" s="1620"/>
      <c r="H74" s="1621"/>
      <c r="I74" s="1622"/>
      <c r="J74" s="1623"/>
      <c r="K74" s="1624"/>
      <c r="L74" s="1625"/>
      <c r="M74" s="1626"/>
      <c r="N74" s="1627"/>
      <c r="O74" s="1628"/>
    </row>
    <row r="75" spans="1:15">
      <c r="A75" s="1629"/>
      <c r="B75" s="1630"/>
      <c r="C75" s="1631"/>
      <c r="D75" s="1632"/>
      <c r="E75" s="1633"/>
      <c r="F75" s="1634"/>
      <c r="G75" s="1635"/>
      <c r="H75" s="1636"/>
      <c r="I75" s="1637"/>
      <c r="J75" s="1638"/>
      <c r="K75" s="1639"/>
      <c r="L75" s="1640"/>
      <c r="M75" s="1641"/>
      <c r="N75" s="1642"/>
      <c r="O75" s="1643"/>
    </row>
    <row r="76" spans="1:15">
      <c r="A76" s="1644"/>
      <c r="B76" s="1645"/>
      <c r="C76" s="1646"/>
      <c r="D76" s="1647"/>
      <c r="E76" s="1648"/>
      <c r="F76" s="1649"/>
      <c r="G76" s="1650"/>
      <c r="H76" s="1651"/>
      <c r="I76" s="1652"/>
      <c r="J76" s="1653"/>
      <c r="K76" s="1654"/>
      <c r="L76" s="1655"/>
      <c r="M76" s="1656"/>
      <c r="N76" s="1657"/>
      <c r="O76" s="1658"/>
    </row>
    <row r="77" spans="1:15">
      <c r="A77" s="1659"/>
      <c r="B77" s="1660"/>
      <c r="C77" s="1661"/>
      <c r="D77" s="1662"/>
      <c r="E77" s="1663"/>
      <c r="F77" s="1664"/>
      <c r="G77" s="1665"/>
      <c r="H77" s="1666"/>
      <c r="I77" s="1667"/>
      <c r="J77" s="1668"/>
      <c r="K77" s="1669"/>
      <c r="L77" s="1670"/>
      <c r="M77" s="1671"/>
      <c r="N77" s="1672"/>
      <c r="O77" s="1673"/>
    </row>
    <row r="78" spans="1:15">
      <c r="A78" s="1674"/>
      <c r="B78" s="1675"/>
      <c r="C78" s="1676"/>
      <c r="D78" s="1677"/>
      <c r="E78" s="1678"/>
      <c r="F78" s="1679"/>
      <c r="G78" s="1680"/>
      <c r="H78" s="1681"/>
      <c r="I78" s="1682"/>
      <c r="J78" s="1683"/>
      <c r="K78" s="1684"/>
      <c r="L78" s="1685"/>
      <c r="M78" s="1686"/>
      <c r="N78" s="1687"/>
      <c r="O78" s="1688"/>
    </row>
    <row r="79" spans="1:15">
      <c r="A79" s="1689"/>
      <c r="B79" s="1690"/>
      <c r="C79" s="1691"/>
      <c r="D79" s="1692"/>
      <c r="E79" s="1693"/>
      <c r="F79" s="1694"/>
      <c r="G79" s="1695"/>
      <c r="H79" s="1696"/>
      <c r="I79" s="1697"/>
      <c r="J79" s="1698"/>
      <c r="K79" s="1699"/>
      <c r="L79" s="1700"/>
      <c r="M79" s="1701"/>
      <c r="N79" s="1702"/>
      <c r="O79" s="1703"/>
    </row>
    <row r="80" spans="1:15">
      <c r="A80" s="1704"/>
      <c r="B80" s="1705"/>
      <c r="C80" s="1706"/>
      <c r="D80" s="1707"/>
      <c r="E80" s="1708"/>
      <c r="F80" s="1709"/>
      <c r="G80" s="1710"/>
      <c r="H80" s="1711"/>
      <c r="I80" s="1712"/>
      <c r="J80" s="1713"/>
      <c r="K80" s="1714"/>
      <c r="L80" s="1715"/>
      <c r="M80" s="1716"/>
      <c r="N80" s="1717"/>
      <c r="O80" s="1718"/>
    </row>
    <row r="81" spans="1:15">
      <c r="A81" s="1719"/>
      <c r="B81" s="1720"/>
      <c r="C81" s="1721"/>
      <c r="D81" s="1722"/>
      <c r="E81" s="1723"/>
      <c r="F81" s="1724"/>
      <c r="G81" s="1725"/>
      <c r="H81" s="1726"/>
      <c r="I81" s="1727"/>
      <c r="J81" s="1728"/>
      <c r="K81" s="1729"/>
      <c r="L81" s="1730"/>
      <c r="M81" s="1731"/>
      <c r="N81" s="1732"/>
      <c r="O81" s="1733"/>
    </row>
    <row r="82" spans="1:15">
      <c r="A82" s="1734"/>
      <c r="B82" s="1735"/>
      <c r="C82" s="1736"/>
      <c r="D82" s="1737"/>
      <c r="E82" s="1738"/>
      <c r="F82" s="1739"/>
      <c r="G82" s="1740"/>
      <c r="H82" s="1741"/>
      <c r="I82" s="1742"/>
      <c r="J82" s="1743"/>
      <c r="K82" s="1744"/>
      <c r="L82" s="1745"/>
      <c r="M82" s="1746"/>
      <c r="N82" s="1747"/>
      <c r="O82" s="1748"/>
    </row>
    <row r="83" spans="1:15">
      <c r="A83" s="1749"/>
      <c r="B83" s="1750"/>
      <c r="C83" s="1751"/>
      <c r="D83" s="1752"/>
      <c r="E83" s="1753"/>
      <c r="F83" s="1754"/>
      <c r="G83" s="1755"/>
      <c r="H83" s="1756"/>
      <c r="I83" s="1757"/>
      <c r="J83" s="1758"/>
      <c r="K83" s="1759"/>
      <c r="L83" s="1760"/>
      <c r="M83" s="1761"/>
      <c r="N83" s="1762"/>
      <c r="O83" s="1763"/>
    </row>
    <row r="84" spans="1:15">
      <c r="A84" s="1764"/>
      <c r="B84" s="1765"/>
      <c r="C84" s="1766"/>
      <c r="D84" s="1767"/>
      <c r="E84" s="1768"/>
      <c r="F84" s="1769"/>
      <c r="G84" s="1770"/>
      <c r="H84" s="1771"/>
      <c r="I84" s="1772"/>
      <c r="J84" s="1773"/>
      <c r="K84" s="1774"/>
      <c r="L84" s="1775"/>
      <c r="M84" s="1776"/>
      <c r="N84" s="1777"/>
      <c r="O84" s="1778"/>
    </row>
    <row r="85" spans="1:15">
      <c r="A85" s="1779"/>
      <c r="B85" s="1780"/>
      <c r="C85" s="1781"/>
      <c r="D85" s="1782"/>
      <c r="E85" s="1783"/>
      <c r="F85" s="1784"/>
      <c r="G85" s="1785"/>
      <c r="H85" s="1786"/>
      <c r="I85" s="1787"/>
      <c r="J85" s="1788"/>
      <c r="K85" s="1789"/>
      <c r="L85" s="1790"/>
      <c r="M85" s="1791"/>
      <c r="N85" s="1792"/>
      <c r="O85" s="1793"/>
    </row>
    <row r="86" spans="1:15">
      <c r="A86" s="1794"/>
      <c r="B86" s="1795"/>
      <c r="C86" s="1796"/>
      <c r="D86" s="1797"/>
      <c r="E86" s="1798"/>
      <c r="F86" s="1799"/>
      <c r="G86" s="1800"/>
      <c r="H86" s="1801"/>
      <c r="I86" s="1802"/>
      <c r="J86" s="1803"/>
      <c r="K86" s="1804"/>
      <c r="L86" s="1805"/>
      <c r="M86" s="1806"/>
      <c r="N86" s="1807"/>
      <c r="O86" s="1808"/>
    </row>
    <row r="87" spans="1:15">
      <c r="A87" s="1809"/>
      <c r="B87" s="1810"/>
      <c r="C87" s="1811"/>
      <c r="D87" s="1812"/>
      <c r="E87" s="1813"/>
      <c r="F87" s="1814"/>
      <c r="G87" s="1815"/>
      <c r="H87" s="1816"/>
      <c r="I87" s="1817"/>
      <c r="J87" s="1818"/>
      <c r="K87" s="1819"/>
      <c r="L87" s="1820"/>
      <c r="M87" s="1821"/>
      <c r="N87" s="1822"/>
      <c r="O87" s="1823"/>
    </row>
    <row r="88" spans="1:15">
      <c r="A88" s="1824"/>
      <c r="B88" s="1825"/>
      <c r="C88" s="1826"/>
      <c r="D88" s="1827"/>
      <c r="E88" s="1828"/>
      <c r="F88" s="1829"/>
      <c r="G88" s="1830"/>
      <c r="H88" s="1831"/>
      <c r="I88" s="1832"/>
      <c r="J88" s="1833"/>
      <c r="K88" s="1834"/>
      <c r="L88" s="1835"/>
      <c r="M88" s="1836"/>
      <c r="N88" s="1837"/>
      <c r="O88" s="1838"/>
    </row>
    <row r="89" spans="1:15">
      <c r="A89" s="1839"/>
      <c r="B89" s="1840"/>
      <c r="C89" s="1841"/>
      <c r="D89" s="1842"/>
      <c r="E89" s="1843"/>
      <c r="F89" s="1844"/>
      <c r="G89" s="1845"/>
      <c r="H89" s="1846"/>
      <c r="I89" s="1847"/>
      <c r="J89" s="1848"/>
      <c r="K89" s="1849"/>
      <c r="L89" s="1850"/>
      <c r="M89" s="1851"/>
      <c r="N89" s="1852"/>
      <c r="O89" s="1853"/>
    </row>
    <row r="90" spans="1:15">
      <c r="A90" s="1854"/>
      <c r="B90" s="1855"/>
      <c r="C90" s="1856"/>
      <c r="D90" s="1857"/>
      <c r="E90" s="1858"/>
      <c r="F90" s="1859"/>
      <c r="G90" s="1860"/>
      <c r="H90" s="1861"/>
      <c r="I90" s="1862"/>
      <c r="J90" s="1863"/>
      <c r="K90" s="1864"/>
      <c r="L90" s="1865"/>
      <c r="M90" s="1866"/>
      <c r="N90" s="1867"/>
      <c r="O90" s="1868"/>
    </row>
    <row r="91" spans="1:15">
      <c r="A91" s="1869"/>
      <c r="B91" s="1870"/>
      <c r="C91" s="1871"/>
      <c r="D91" s="1872"/>
      <c r="E91" s="1873"/>
      <c r="F91" s="1874"/>
      <c r="G91" s="1875"/>
      <c r="H91" s="1876"/>
      <c r="I91" s="1877"/>
      <c r="J91" s="1878"/>
      <c r="K91" s="1879"/>
      <c r="L91" s="1880"/>
      <c r="M91" s="1881"/>
      <c r="N91" s="1882"/>
      <c r="O91" s="1883"/>
    </row>
    <row r="92" spans="1:15">
      <c r="A92" s="1884"/>
      <c r="B92" s="1885"/>
      <c r="C92" s="1886"/>
      <c r="D92" s="1887"/>
      <c r="E92" s="1888"/>
      <c r="F92" s="1889"/>
      <c r="G92" s="1890"/>
      <c r="H92" s="1891"/>
      <c r="I92" s="1892"/>
      <c r="J92" s="1893"/>
      <c r="K92" s="1894"/>
      <c r="L92" s="1895"/>
      <c r="M92" s="1896"/>
      <c r="N92" s="1897"/>
      <c r="O92" s="1898"/>
    </row>
    <row r="93" spans="1:15">
      <c r="A93" s="1899"/>
      <c r="B93" s="1900"/>
      <c r="C93" s="1901"/>
      <c r="D93" s="1902"/>
      <c r="E93" s="1903"/>
      <c r="F93" s="1904"/>
      <c r="G93" s="1905"/>
      <c r="H93" s="1906"/>
      <c r="I93" s="1907"/>
      <c r="J93" s="1908"/>
      <c r="K93" s="1909"/>
      <c r="L93" s="1910"/>
      <c r="M93" s="1911"/>
      <c r="N93" s="1912"/>
      <c r="O93" s="1913"/>
    </row>
    <row r="94" spans="1:15">
      <c r="A94" s="1914"/>
      <c r="B94" s="1915"/>
      <c r="C94" s="1916"/>
      <c r="D94" s="1917"/>
      <c r="E94" s="1918"/>
      <c r="F94" s="1919"/>
      <c r="G94" s="1920"/>
      <c r="H94" s="1921"/>
      <c r="I94" s="1922"/>
      <c r="J94" s="1923"/>
      <c r="K94" s="1924"/>
      <c r="L94" s="1925"/>
      <c r="M94" s="1926"/>
      <c r="N94" s="1927"/>
      <c r="O94" s="1928"/>
    </row>
    <row r="95" spans="1:15">
      <c r="A95" s="1929"/>
      <c r="B95" s="1930"/>
      <c r="C95" s="1931"/>
      <c r="D95" s="1932"/>
      <c r="E95" s="1933"/>
      <c r="F95" s="1934"/>
      <c r="G95" s="1935"/>
      <c r="H95" s="1936"/>
      <c r="I95" s="1937"/>
      <c r="J95" s="1938"/>
      <c r="K95" s="1939"/>
      <c r="L95" s="1940"/>
      <c r="M95" s="1941"/>
      <c r="N95" s="1942"/>
      <c r="O95" s="1943"/>
    </row>
    <row r="96" spans="1:15">
      <c r="A96" s="1944"/>
      <c r="B96" s="1945"/>
      <c r="C96" s="1946"/>
      <c r="D96" s="1947"/>
      <c r="E96" s="1948"/>
      <c r="F96" s="1949"/>
      <c r="G96" s="1950"/>
      <c r="H96" s="1951"/>
      <c r="I96" s="1952"/>
      <c r="J96" s="1953"/>
      <c r="K96" s="1954"/>
      <c r="L96" s="1955"/>
      <c r="M96" s="1956"/>
      <c r="N96" s="1957"/>
      <c r="O96" s="1958"/>
    </row>
    <row r="97" spans="1:15">
      <c r="A97" s="1959"/>
      <c r="B97" s="1960"/>
      <c r="C97" s="1961"/>
      <c r="D97" s="1962"/>
      <c r="E97" s="1963"/>
      <c r="F97" s="1964"/>
      <c r="G97" s="1965"/>
      <c r="H97" s="1966"/>
      <c r="I97" s="1967"/>
      <c r="J97" s="1968"/>
      <c r="K97" s="1969"/>
      <c r="L97" s="1970"/>
      <c r="M97" s="1971"/>
      <c r="N97" s="1972"/>
      <c r="O97" s="1973"/>
    </row>
    <row r="98" spans="1:15">
      <c r="A98" s="1974"/>
      <c r="B98" s="1975"/>
      <c r="C98" s="1976"/>
      <c r="D98" s="1977"/>
      <c r="E98" s="1978"/>
      <c r="F98" s="1979"/>
      <c r="G98" s="1980"/>
      <c r="H98" s="1981"/>
      <c r="I98" s="1982"/>
      <c r="J98" s="1983"/>
      <c r="K98" s="1984"/>
      <c r="L98" s="1985"/>
      <c r="M98" s="1986"/>
      <c r="N98" s="1987"/>
      <c r="O98" s="198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5A6C-8816-41E0-90EF-45BD447DE44B}">
  <sheetPr/>
  <sheetViews>
    <sheetView workbookViewId="0">
      <selection activeCell="B5" sqref="B5"/>
    </sheetView>
  </sheetViews>
  <sheetFormatPr baseColWidth="10" defaultRowHeight="13.8"/>
  <cols>
    <col min="1" max="2" width="14" customWidth="1"/>
    <col min="3" max="3" width="10" customWidth="1"/>
    <col min="4" max="4" width="28" customWidth="1"/>
    <col min="5" max="5" width="14" customWidth="1"/>
    <col min="6" max="6" width="18" customWidth="1"/>
    <col min="7" max="7" width="16" customWidth="1"/>
    <col min="8" max="8" width="18" customWidth="1"/>
    <col min="9" max="9" width="14" customWidth="1"/>
    <col min="10" max="10" width="12" customWidth="1"/>
    <col min="11" max="11" width="14" customWidth="1"/>
    <col min="12" max="12" width="35" customWidth="1"/>
    <col min="13" max="13" width="50" customWidth="1"/>
    <col min="14" max="14" width="0" hidden="1"/>
  </cols>
  <sheetData>
    <row r="1" spans="1:14" ht="17.399999999999999">
      <c r="A1" t="s" s="25185">
        <v>420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  <c r="L1" s="25170"/>
      <c r="M1" s="25170"/>
    </row>
    <row r="2" spans="1:14" ht="14.4">
      <c r="A2" t="s" s="25186">
        <v>421</v>
      </c>
      <c r="B2" s="25170"/>
      <c r="C2" s="25170"/>
      <c r="D2" s="25170"/>
      <c r="E2" s="25170"/>
      <c r="F2" s="25170"/>
      <c r="G2" s="25170"/>
      <c r="H2" s="25170"/>
      <c r="I2" s="25170"/>
      <c r="J2" s="25170"/>
      <c r="K2" s="25170"/>
      <c r="L2" s="25170"/>
      <c r="M2" s="25170"/>
    </row>
    <row r="4" spans="1:14" ht="36" customHeight="1">
      <c r="A4" t="s" s="11490">
        <v>422</v>
      </c>
      <c r="B4" t="s" s="11491">
        <v>423</v>
      </c>
      <c r="C4" t="s" s="11492">
        <v>424</v>
      </c>
      <c r="D4" t="s" s="11493">
        <v>425</v>
      </c>
      <c r="E4" t="s" s="11494">
        <v>426</v>
      </c>
      <c r="F4" t="s" s="11495">
        <v>427</v>
      </c>
      <c r="G4" t="s" s="11496">
        <v>428</v>
      </c>
      <c r="H4" t="s" s="11497">
        <v>429</v>
      </c>
      <c r="I4" t="s" s="11498">
        <v>413</v>
      </c>
      <c r="J4" t="s" s="11499">
        <v>430</v>
      </c>
      <c r="K4" t="s" s="11500">
        <v>431</v>
      </c>
      <c r="L4" t="s" s="11501">
        <v>432</v>
      </c>
      <c r="M4" t="s" s="11502">
        <v>433</v>
      </c>
      <c r="N4" t="s" s="11503">
        <v>408</v>
      </c>
    </row>
    <row r="5" spans="1:14" ht="21">
      <c r="A5" t="s" s="14430">
        <v>434</v>
      </c>
      <c r="B5" s="14431">
        <v>46193</v>
      </c>
      <c r="C5" s="14432">
        <v>39</v>
      </c>
      <c r="D5" t="s" s="14433">
        <v>775</v>
      </c>
      <c r="E5" s="14434">
        <v>4000</v>
      </c>
      <c r="F5" s="14435">
        <f t="shared" ref="F5" si="0">IF(E5=0,"",G5/E5)</f>
      </c>
      <c r="G5" s="14436">
        <v>108000.36</v>
      </c>
      <c r="H5" s="14437">
        <f>IF(D5="","",SUMIFS(Captura_Obra!$F:$F, Captura_Obra!$A:$A, B5, Captura_Obra!$B:$B, D5))</f>
      </c>
      <c r="I5" s="14438">
        <f t="shared" ref="I5" si="1">IF(E5=0,"", E5 - H5)</f>
      </c>
      <c r="J5" s="14439">
        <f t="shared" ref="J5" si="2">IF(E5=0,"", IF(E5&gt;0, H5/E5, 0))</f>
      </c>
      <c r="K5" s="14440">
        <f t="shared" ref="K5" si="3">IF(H5=0,"", G5/H5)</f>
      </c>
      <c r="L5" s="14441">
        <f t="shared" ref="L5" si="4">IF(E5=0, "⚠️ Sin Lts (revisar)", IF(I5=0, "✅ Cuadrado", IF(I5&gt;0, "📋 Saldo a favor Gasolinera ("&amp;TEXT(I5,"#,##0")&amp;"L extra)", "✅ OK ("&amp;TEXT(ABS(I5),"#,##0")&amp;"L recuperados)")))</f>
      </c>
      <c r="M5" t="s" s="14442">
        <v>776</v>
      </c>
      <c r="N5" s="14443">
        <f t="shared" ref="N5" si="5">IF(B5="","", WEEKNUM(B5, 2))</f>
      </c>
    </row>
    <row r="6" spans="1:14">
      <c r="A6" t="s" s="14962">
        <v>484</v>
      </c>
      <c r="B6" s="14975">
        <v>46188.75</v>
      </c>
      <c r="C6" s="14988">
        <v>41</v>
      </c>
      <c r="D6" t="s" s="15001">
        <v>124</v>
      </c>
      <c r="E6" s="15014">
        <v>800.0060000000001</v>
      </c>
      <c r="F6" s="15027">
        <f t="shared" ref="F6:F51" si="6">IF(E6=0,"",G6/E6)</f>
      </c>
      <c r="G6" s="15040">
        <v>21600.15</v>
      </c>
      <c r="H6" s="15053">
        <f>IF(D6="","",SUMIFS(Captura_Obra!$F:$F, Captura_Obra!$A:$A, B6, Captura_Obra!$B:$B, D6))</f>
      </c>
      <c r="I6" s="15066">
        <f t="shared" ref="I6:I51" si="7">IF(E6=0,"", E6 - H6)</f>
      </c>
      <c r="J6" s="15079">
        <f t="shared" ref="J6:J51" si="8">IF(E6=0,"", IF(E6&gt;0, H6/E6, 0))</f>
      </c>
      <c r="K6" s="15092">
        <f t="shared" ref="K6:K51" si="9">IF(H6=0,"", G6/H6)</f>
      </c>
      <c r="L6" s="15105">
        <f t="shared" ref="L6:L17" si="10">IF(E6=0, "⚠️ Sin Lts (revisar)", IF(I6=0, "✅ Cuadrado", IF(I6&gt;0, "📋 Saldo a favor Gasolinera ("&amp;TEXT(I6,"#,##0")&amp;"L extra)", "✅ OK ("&amp;TEXT(ABS(I6),"#,##0")&amp;"L recuperados)")))</f>
      </c>
      <c r="M6" s="15118"/>
      <c r="N6" s="15131">
        <f t="shared" ref="N6:N20" si="11">IF(B6="","", WEEKNUM(B6, 2))</f>
      </c>
    </row>
    <row r="7" spans="1:14">
      <c r="A7" t="s" s="14969">
        <v>711</v>
      </c>
      <c r="B7" s="14982">
        <v>46188.75</v>
      </c>
      <c r="C7" s="14995">
        <v>41</v>
      </c>
      <c r="D7" t="s" s="15008">
        <v>775</v>
      </c>
      <c r="E7" s="15021">
        <v>4000.0120000000006</v>
      </c>
      <c r="F7" s="15034">
        <f t="shared" si="6"/>
      </c>
      <c r="G7" s="15047">
        <v>108000.36</v>
      </c>
      <c r="H7" s="15060">
        <f>IF(D7="","",SUMIFS(Captura_Obra!$F:$F, Captura_Obra!$A:$A, B7, Captura_Obra!$B:$B, D7))</f>
      </c>
      <c r="I7" s="15073">
        <f t="shared" si="7"/>
      </c>
      <c r="J7" s="15086">
        <f t="shared" si="8"/>
      </c>
      <c r="K7" s="15099">
        <f t="shared" si="9"/>
      </c>
      <c r="L7" s="15112">
        <f t="shared" si="10"/>
      </c>
      <c r="M7" t="s" s="15125">
        <v>776</v>
      </c>
      <c r="N7" s="15138">
        <f t="shared" si="11"/>
      </c>
    </row>
    <row r="8" spans="1:14">
      <c r="A8" t="s" s="14444">
        <v>437</v>
      </c>
      <c r="B8" s="14445">
        <v>46195</v>
      </c>
      <c r="C8" s="14446">
        <v>39</v>
      </c>
      <c r="D8" t="s" s="14447">
        <v>1</v>
      </c>
      <c r="E8" s="14448">
        <v>660</v>
      </c>
      <c r="F8" s="14449">
        <f t="shared" si="6"/>
      </c>
      <c r="G8" s="14450">
        <v>17820</v>
      </c>
      <c r="H8" s="14451">
        <f>IF(D8="","",SUMIFS(Captura_Obra!$F:$F, Captura_Obra!$A:$A, B8, Captura_Obra!$B:$B, D8))</f>
      </c>
      <c r="I8" s="14452">
        <f t="shared" si="7"/>
      </c>
      <c r="J8" s="14453">
        <f t="shared" si="8"/>
      </c>
      <c r="K8" s="14454">
        <f t="shared" si="9"/>
      </c>
      <c r="L8" s="14455">
        <f t="shared" si="10"/>
      </c>
      <c r="M8" t="s" s="14456">
        <v>438</v>
      </c>
      <c r="N8" s="14457">
        <f t="shared" si="11"/>
      </c>
    </row>
    <row r="9" spans="1:14">
      <c r="A9" t="s" s="14458">
        <v>439</v>
      </c>
      <c r="B9" s="14459">
        <v>46196</v>
      </c>
      <c r="C9" s="14460">
        <v>39</v>
      </c>
      <c r="D9" t="s" s="14461">
        <v>1</v>
      </c>
      <c r="E9" s="14462">
        <v>63</v>
      </c>
      <c r="F9" s="14463">
        <f t="shared" si="6"/>
      </c>
      <c r="G9" s="14464">
        <v>1500</v>
      </c>
      <c r="H9" s="14465">
        <f>IF(D9="","",SUMIFS(Captura_Obra!$F:$F, Captura_Obra!$A:$A, B9, Captura_Obra!$B:$B, D9))</f>
      </c>
      <c r="I9" s="14466">
        <f t="shared" si="7"/>
      </c>
      <c r="J9" s="14467">
        <f t="shared" si="8"/>
      </c>
      <c r="K9" s="14468">
        <f t="shared" si="9"/>
      </c>
      <c r="L9" s="14469">
        <f t="shared" si="10"/>
      </c>
      <c r="M9" t="s" s="14470">
        <v>440</v>
      </c>
      <c r="N9" s="14471">
        <f t="shared" si="11"/>
      </c>
    </row>
    <row r="10" spans="1:14">
      <c r="A10" t="s" s="14472">
        <v>441</v>
      </c>
      <c r="B10" s="14473">
        <v>46196</v>
      </c>
      <c r="C10" s="14474">
        <v>39</v>
      </c>
      <c r="D10" t="s" s="14475">
        <v>1</v>
      </c>
      <c r="E10" s="14476">
        <v>42</v>
      </c>
      <c r="F10" s="14477">
        <f t="shared" si="6"/>
      </c>
      <c r="G10" s="14478">
        <v>1000</v>
      </c>
      <c r="H10" s="14479">
        <f>IF(D10="","",SUMIFS(Captura_Obra!$F:$F, Captura_Obra!$A:$A, B10, Captura_Obra!$B:$B, D10))</f>
      </c>
      <c r="I10" s="14480">
        <f t="shared" si="7"/>
      </c>
      <c r="J10" s="14481">
        <f t="shared" si="8"/>
      </c>
      <c r="K10" s="14482">
        <f t="shared" si="9"/>
      </c>
      <c r="L10" s="14483">
        <f t="shared" si="10"/>
      </c>
      <c r="M10" t="s" s="14484">
        <v>440</v>
      </c>
      <c r="N10" s="14485">
        <f t="shared" si="11"/>
      </c>
    </row>
    <row r="11" spans="1:14">
      <c r="A11" t="s" s="14486">
        <v>442</v>
      </c>
      <c r="B11" s="14487">
        <v>46196</v>
      </c>
      <c r="C11" s="14488">
        <v>39</v>
      </c>
      <c r="D11" t="s" s="14489">
        <v>1</v>
      </c>
      <c r="E11" s="14490">
        <v>63</v>
      </c>
      <c r="F11" s="14491">
        <f t="shared" si="6"/>
      </c>
      <c r="G11" s="14492">
        <v>1500</v>
      </c>
      <c r="H11" s="14493">
        <f>IF(D11="","",SUMIFS(Captura_Obra!$F:$F, Captura_Obra!$A:$A, B11, Captura_Obra!$B:$B, D11))</f>
      </c>
      <c r="I11" s="14494">
        <f t="shared" si="7"/>
      </c>
      <c r="J11" s="14495">
        <f t="shared" si="8"/>
      </c>
      <c r="K11" s="14496">
        <f t="shared" si="9"/>
      </c>
      <c r="L11" s="14497">
        <f t="shared" si="10"/>
      </c>
      <c r="M11" t="s" s="14498">
        <v>440</v>
      </c>
      <c r="N11" s="14499">
        <f t="shared" si="11"/>
      </c>
    </row>
    <row r="12" spans="1:14">
      <c r="A12" t="s" s="14500">
        <v>443</v>
      </c>
      <c r="B12" s="14501">
        <v>46196</v>
      </c>
      <c r="C12" s="14502">
        <v>39</v>
      </c>
      <c r="D12" t="s" s="14503">
        <v>775</v>
      </c>
      <c r="E12" s="14504">
        <v>3900</v>
      </c>
      <c r="F12" s="14505">
        <f t="shared" si="6"/>
      </c>
      <c r="G12" s="14506">
        <v>108000.36</v>
      </c>
      <c r="H12" s="14507">
        <f>IF(D12="","",SUMIFS(Captura_Obra!$F:$F, Captura_Obra!$A:$A, B12, Captura_Obra!$B:$B, D12))</f>
      </c>
      <c r="I12" s="14508">
        <f t="shared" si="7"/>
      </c>
      <c r="J12" s="14509">
        <f t="shared" si="8"/>
      </c>
      <c r="K12" s="14510">
        <f t="shared" si="9"/>
      </c>
      <c r="L12" s="14511">
        <f t="shared" si="10"/>
      </c>
      <c r="M12" t="s" s="14512">
        <v>777</v>
      </c>
      <c r="N12" s="14513">
        <f t="shared" si="11"/>
      </c>
    </row>
    <row r="13" spans="1:14">
      <c r="A13" t="s" s="14514">
        <v>444</v>
      </c>
      <c r="B13" s="14515">
        <v>46197</v>
      </c>
      <c r="C13" s="14516">
        <v>39</v>
      </c>
      <c r="D13" t="s" s="14517">
        <v>1</v>
      </c>
      <c r="E13" s="14518">
        <v>550</v>
      </c>
      <c r="F13" s="14519">
        <f t="shared" si="6"/>
      </c>
      <c r="G13" s="14520">
        <v>14850</v>
      </c>
      <c r="H13" s="14521">
        <f>IF(D13="","",SUMIFS(Captura_Obra!$F:$F, Captura_Obra!$A:$A, B13, Captura_Obra!$B:$B, D13))</f>
      </c>
      <c r="I13" s="14522">
        <f t="shared" si="7"/>
      </c>
      <c r="J13" s="14523">
        <f t="shared" si="8"/>
      </c>
      <c r="K13" s="14524">
        <f t="shared" si="9"/>
      </c>
      <c r="L13" s="14525">
        <f t="shared" si="10"/>
      </c>
      <c r="M13" t="s" s="14526">
        <v>445</v>
      </c>
      <c r="N13" s="14527">
        <f t="shared" si="11"/>
      </c>
    </row>
    <row r="14" spans="1:14">
      <c r="A14" t="s" s="14528">
        <v>446</v>
      </c>
      <c r="B14" s="14529">
        <v>46198</v>
      </c>
      <c r="C14" s="14530">
        <v>39</v>
      </c>
      <c r="D14" t="s" s="14531">
        <v>1</v>
      </c>
      <c r="E14" s="14532">
        <v>550</v>
      </c>
      <c r="F14" s="14533">
        <f t="shared" si="6"/>
      </c>
      <c r="G14" s="14534">
        <v>14850</v>
      </c>
      <c r="H14" s="14535">
        <f>IF(D14="","",SUMIFS(Captura_Obra!$F:$F, Captura_Obra!$A:$A, B14, Captura_Obra!$B:$B, D14))</f>
      </c>
      <c r="I14" s="14536">
        <f t="shared" si="7"/>
      </c>
      <c r="J14" s="14537">
        <f t="shared" si="8"/>
      </c>
      <c r="K14" s="14538">
        <f t="shared" si="9"/>
      </c>
      <c r="L14" s="14539">
        <f t="shared" si="10"/>
      </c>
      <c r="M14" t="s" s="14540">
        <v>447</v>
      </c>
      <c r="N14" s="14541">
        <f t="shared" si="11"/>
      </c>
    </row>
    <row r="15" spans="1:14">
      <c r="A15" t="s" s="14542">
        <v>448</v>
      </c>
      <c r="B15" s="14543">
        <v>46198</v>
      </c>
      <c r="C15" s="14544">
        <v>39</v>
      </c>
      <c r="D15" t="s" s="14545">
        <v>1</v>
      </c>
      <c r="E15" s="14546">
        <v>42</v>
      </c>
      <c r="F15" s="14547">
        <f t="shared" si="6"/>
      </c>
      <c r="G15" s="14548">
        <v>1000</v>
      </c>
      <c r="H15" s="14549">
        <f>IF(D15="","",SUMIFS(Captura_Obra!$F:$F, Captura_Obra!$A:$A, B15, Captura_Obra!$B:$B, D15))</f>
      </c>
      <c r="I15" s="14550">
        <f t="shared" si="7"/>
      </c>
      <c r="J15" s="14551">
        <f t="shared" si="8"/>
      </c>
      <c r="K15" s="14552">
        <f t="shared" si="9"/>
      </c>
      <c r="L15" s="14553">
        <f t="shared" si="10"/>
      </c>
      <c r="M15" t="s" s="14554">
        <v>449</v>
      </c>
      <c r="N15" s="14555">
        <f t="shared" si="11"/>
      </c>
    </row>
    <row r="16" spans="1:14">
      <c r="A16" t="s" s="14556">
        <v>450</v>
      </c>
      <c r="B16" s="14557">
        <v>46198</v>
      </c>
      <c r="C16" s="14558">
        <v>39</v>
      </c>
      <c r="D16" t="s" s="14559">
        <v>1</v>
      </c>
      <c r="E16" s="14560">
        <v>63</v>
      </c>
      <c r="F16" s="14561">
        <f t="shared" si="6"/>
      </c>
      <c r="G16" s="14562">
        <v>1500.08</v>
      </c>
      <c r="H16" s="14563">
        <f>IF(D16="","",SUMIFS(Captura_Obra!$F:$F, Captura_Obra!$A:$A, B16, Captura_Obra!$B:$B, D16))</f>
      </c>
      <c r="I16" s="14564">
        <f t="shared" si="7"/>
      </c>
      <c r="J16" s="14565">
        <f t="shared" si="8"/>
      </c>
      <c r="K16" s="14566">
        <f t="shared" si="9"/>
      </c>
      <c r="L16" s="14567">
        <f t="shared" si="10"/>
      </c>
      <c r="M16" t="s" s="14568">
        <v>451</v>
      </c>
      <c r="N16" s="14569">
        <f t="shared" si="11"/>
      </c>
    </row>
    <row r="17" spans="1:14">
      <c r="A17" t="s" s="14570">
        <v>452</v>
      </c>
      <c r="B17" s="14571">
        <v>46198</v>
      </c>
      <c r="C17" s="14572">
        <v>39</v>
      </c>
      <c r="D17" t="s" s="14573">
        <v>124</v>
      </c>
      <c r="E17" s="14574">
        <v>400</v>
      </c>
      <c r="F17" s="14575">
        <f t="shared" si="6"/>
      </c>
      <c r="G17" s="14576">
        <v>16200.1</v>
      </c>
      <c r="H17" s="14577">
        <f>IF(D17="","",SUMIFS(Captura_Obra!$F:$F, Captura_Obra!$A:$A, B17, Captura_Obra!$B:$B, D17))</f>
      </c>
      <c r="I17" s="14578">
        <f t="shared" si="7"/>
      </c>
      <c r="J17" s="14579">
        <f t="shared" si="8"/>
      </c>
      <c r="K17" s="14580">
        <f t="shared" si="9"/>
      </c>
      <c r="L17" s="14581">
        <f t="shared" si="10"/>
      </c>
      <c r="M17" t="s" s="14582">
        <v>453</v>
      </c>
      <c r="N17" s="14583">
        <f t="shared" si="11"/>
      </c>
    </row>
    <row r="18" spans="1:14" ht="21">
      <c r="A18" t="s" s="14584">
        <v>454</v>
      </c>
      <c r="B18" s="14585">
        <v>46198</v>
      </c>
      <c r="C18" s="14586">
        <v>39</v>
      </c>
      <c r="D18" t="s" s="14587">
        <v>124</v>
      </c>
      <c r="E18" s="14588">
        <v>0</v>
      </c>
      <c r="F18" s="14589">
        <f t="shared" si="6"/>
      </c>
      <c r="G18" s="14590">
        <v>1500</v>
      </c>
      <c r="H18" s="14591">
        <f>IF(D18="","",SUMIFS(Captura_Obra!$F:$F, Captura_Obra!$A:$A, B18, Captura_Obra!$B:$B, D18))</f>
      </c>
      <c r="I18" s="14592">
        <f t="shared" si="7"/>
      </c>
      <c r="J18" s="14593">
        <f t="shared" si="8"/>
      </c>
      <c r="K18" s="14594">
        <f t="shared" si="9"/>
      </c>
      <c r="L18" t="s" s="14961">
        <v>712</v>
      </c>
      <c r="M18" t="s" s="14595">
        <v>455</v>
      </c>
      <c r="N18" s="14596">
        <f t="shared" si="11"/>
      </c>
    </row>
    <row r="19" spans="1:14">
      <c r="A19" t="s" s="14597">
        <v>456</v>
      </c>
      <c r="B19" s="14598">
        <v>46198</v>
      </c>
      <c r="C19" s="14599">
        <v>39</v>
      </c>
      <c r="D19" t="s" s="14600">
        <v>775</v>
      </c>
      <c r="E19" s="14601">
        <v>4000</v>
      </c>
      <c r="F19" s="14602">
        <f t="shared" si="6"/>
      </c>
      <c r="G19" s="14603">
        <v>108000.36</v>
      </c>
      <c r="H19" s="14604">
        <f>IF(D19="","",SUMIFS(Captura_Obra!$F:$F, Captura_Obra!$A:$A, B19, Captura_Obra!$B:$B, D19))</f>
      </c>
      <c r="I19" s="14605">
        <f t="shared" si="7"/>
      </c>
      <c r="J19" s="14606">
        <f t="shared" si="8"/>
      </c>
      <c r="K19" s="14607">
        <f t="shared" si="9"/>
      </c>
      <c r="L19" s="14608">
        <f>IF(E19=0, "⚠️ Sin Lts (revisar)", IF(I19=0, "✅ Cuadrado", IF(I19&gt;0, "📋 Saldo a favor Gasolinera ("&amp;TEXT(I19,"#,##0")&amp;"L extra)", "✅ OK ("&amp;TEXT(ABS(I19),"#,##0")&amp;"L recuperados)")))</f>
      </c>
      <c r="M19" t="s" s="14609">
        <v>777</v>
      </c>
      <c r="N19" s="14610">
        <f t="shared" si="11"/>
      </c>
    </row>
    <row r="20" spans="1:14">
      <c r="A20" t="s" s="14611">
        <v>457</v>
      </c>
      <c r="B20" s="14612">
        <v>46199</v>
      </c>
      <c r="C20" s="14613">
        <v>39</v>
      </c>
      <c r="D20" t="s" s="14614">
        <v>1</v>
      </c>
      <c r="E20" s="14615">
        <v>480</v>
      </c>
      <c r="F20" s="14616">
        <f t="shared" si="6"/>
      </c>
      <c r="G20" s="14617">
        <v>14850.08</v>
      </c>
      <c r="H20" s="14618">
        <f>IF(D20="","",SUMIFS(Captura_Obra!$F:$F, Captura_Obra!$A:$A, B20, Captura_Obra!$B:$B, D20))</f>
      </c>
      <c r="I20" s="14619">
        <f t="shared" si="7"/>
      </c>
      <c r="J20" s="14620">
        <f t="shared" si="8"/>
      </c>
      <c r="K20" s="14621">
        <f t="shared" si="9"/>
      </c>
      <c r="L20" s="14622">
        <f>IF(E20=0, "⚠️ Sin Lts (revisar)", IF(I20=0, "✅ Cuadrado", IF(I20&gt;0, "📋 Saldo a favor Gasolinera ("&amp;TEXT(I20,"#,##0")&amp;"L extra)", "✅ OK ("&amp;TEXT(ABS(I20),"#,##0")&amp;"L recuperados)")))</f>
      </c>
      <c r="M20" t="s" s="14623">
        <v>458</v>
      </c>
      <c r="N20" s="14624">
        <f t="shared" si="11"/>
      </c>
    </row>
    <row r="21" spans="1:14">
      <c r="A21" t="s" s="14971">
        <v>480</v>
      </c>
      <c r="B21" s="14984">
        <v>46189</v>
      </c>
      <c r="C21" s="14997">
        <v>39</v>
      </c>
      <c r="D21" t="s" s="15010">
        <v>124</v>
      </c>
      <c r="E21" s="15023">
        <v>0</v>
      </c>
      <c r="F21" s="15036">
        <f t="shared" si="6"/>
      </c>
      <c r="G21" s="15049">
        <v>21600.15</v>
      </c>
      <c r="H21" s="15062">
        <f>IF(D21="","",SUMIFS(Captura_Obra!$F:$F, Captura_Obra!$A:$A, B21, Captura_Obra!$B:$B, D21))</f>
      </c>
      <c r="I21" s="15075">
        <f t="shared" si="7"/>
      </c>
      <c r="J21" s="15088">
        <f t="shared" si="8"/>
      </c>
      <c r="K21" s="15101">
        <f t="shared" si="9"/>
      </c>
      <c r="L21" s="15114">
        <f>IF(E21=0, "⚠️ Lts pendientes de capturar", IF(I21=0, "✅ Cuadrado", IF(I21&gt;0, "📋 Saldo a favor Gasolinera ("&amp;TEXT(I21,"#,##0")&amp;"L extra)", "✅ OK ("&amp;TEXT(ABS(I21),"#,##0")&amp;"L recuperados)")))</f>
      </c>
      <c r="M21" t="s" s="15127">
        <v>713</v>
      </c>
      <c r="N21" s="15140">
        <v>24</v>
      </c>
    </row>
    <row r="22" spans="1:14">
      <c r="A22" t="s" s="14966">
        <v>488</v>
      </c>
      <c r="B22" s="14979">
        <v>46189</v>
      </c>
      <c r="C22" s="14992">
        <v>39</v>
      </c>
      <c r="D22" t="s" s="15005">
        <v>400</v>
      </c>
      <c r="E22" s="15018">
        <v>0</v>
      </c>
      <c r="F22" s="15031">
        <f t="shared" si="6"/>
      </c>
      <c r="G22" s="15044">
        <v>75600.21</v>
      </c>
      <c r="H22" s="15057">
        <f>IF(D22="","",SUMIFS(Captura_Obra!$F:$F, Captura_Obra!$A:$A, B22, Captura_Obra!$B:$B, D22))</f>
      </c>
      <c r="I22" s="15070">
        <f t="shared" si="7"/>
      </c>
      <c r="J22" s="15083">
        <f t="shared" si="8"/>
      </c>
      <c r="K22" s="15096">
        <f t="shared" si="9"/>
      </c>
      <c r="L22" s="15109">
        <f>IF(E22=0, "⚠️ Lts pendientes de capturar", IF(I22=0, "✅ Cuadrado", IF(I22&gt;0, "📋 Saldo a favor Gasolinera ("&amp;TEXT(I22,"#,##0")&amp;"L extra)", "✅ OK ("&amp;TEXT(ABS(I22),"#,##0")&amp;"L recuperados)")))</f>
      </c>
      <c r="M22" t="s" s="15122">
        <v>778</v>
      </c>
      <c r="N22" s="15135">
        <v>24</v>
      </c>
    </row>
    <row r="23" spans="1:14">
      <c r="A23" t="s" s="14963">
        <v>481</v>
      </c>
      <c r="B23" s="14976">
        <v>46190</v>
      </c>
      <c r="C23" s="14989">
        <v>39</v>
      </c>
      <c r="D23" t="s" s="15002">
        <v>124</v>
      </c>
      <c r="E23" s="15015">
        <v>0</v>
      </c>
      <c r="F23" s="15028">
        <f t="shared" si="6"/>
      </c>
      <c r="G23" s="15041">
        <v>16200.1</v>
      </c>
      <c r="H23" s="15054">
        <f>IF(D23="","",SUMIFS(Captura_Obra!$F:$F, Captura_Obra!$A:$A, B23, Captura_Obra!$B:$B, D23))</f>
      </c>
      <c r="I23" s="15067">
        <f t="shared" si="7"/>
      </c>
      <c r="J23" s="15080">
        <f t="shared" si="8"/>
      </c>
      <c r="K23" s="15093">
        <f t="shared" si="9"/>
      </c>
      <c r="L23" s="15106">
        <f>IF(E23=0, "⚠️ Lts pendientes de capturar", IF(I23=0, "✅ Cuadrado", IF(I23&gt;0, "📋 Saldo a favor Gasolinera ("&amp;TEXT(I23,"#,##0")&amp;"L extra)", "✅ OK ("&amp;TEXT(ABS(I23),"#,##0")&amp;"L recuperados)")))</f>
      </c>
      <c r="M23" t="s" s="15119">
        <v>713</v>
      </c>
      <c r="N23" s="15132">
        <v>24</v>
      </c>
    </row>
    <row r="24" spans="1:14">
      <c r="A24" t="s" s="14625">
        <v>473</v>
      </c>
      <c r="B24" s="14626">
        <v>46189.75</v>
      </c>
      <c r="C24" s="14627">
        <v>41</v>
      </c>
      <c r="D24" t="s" s="14628">
        <v>1</v>
      </c>
      <c r="E24" s="14629">
        <v>500.002</v>
      </c>
      <c r="F24" s="14630">
        <f t="shared" si="6"/>
      </c>
      <c r="G24" s="14631">
        <v>13500.06</v>
      </c>
      <c r="H24" s="14632">
        <f>IF(D24="","",SUMIFS(Captura_Obra!$F:$F, Captura_Obra!$A:$A, B24, Captura_Obra!$B:$B, D24))</f>
      </c>
      <c r="I24" s="14633">
        <f t="shared" si="7"/>
      </c>
      <c r="J24" s="14634">
        <f t="shared" si="8"/>
      </c>
      <c r="K24" s="14635">
        <f t="shared" si="9"/>
      </c>
      <c r="L24" s="14636">
        <f t="shared" ref="L24:L32" si="12">IF(E24=0, "⚠️ Sin Lts (revisar)", IF(I24=0, "✅ Cuadrado", IF(I24&gt;0, "📋 Saldo a favor Gasolinera ("&amp;TEXT(I24,"#,##0")&amp;"L extra)", "✅ OK ("&amp;TEXT(ABS(I24),"#,##0")&amp;"L recuperados)")))</f>
      </c>
      <c r="M24" s="14637"/>
      <c r="N24" s="14638">
        <f t="shared" ref="N24:N32" si="13">IF(B24="","", WEEKNUM(B24, 2))</f>
      </c>
    </row>
    <row r="25" spans="1:14">
      <c r="A25" t="s" s="14965">
        <v>485</v>
      </c>
      <c r="B25" s="14978">
        <v>46190.75</v>
      </c>
      <c r="C25" s="14991">
        <v>41</v>
      </c>
      <c r="D25" t="s" s="15004">
        <v>124</v>
      </c>
      <c r="E25" s="15017">
        <v>600.004</v>
      </c>
      <c r="F25" s="15030">
        <f t="shared" si="6"/>
      </c>
      <c r="G25" s="15043">
        <v>16200.1</v>
      </c>
      <c r="H25" s="15056">
        <f>IF(D25="","",SUMIFS(Captura_Obra!$F:$F, Captura_Obra!$A:$A, B25, Captura_Obra!$B:$B, D25))</f>
      </c>
      <c r="I25" s="15069">
        <f t="shared" si="7"/>
      </c>
      <c r="J25" s="15082">
        <f t="shared" si="8"/>
      </c>
      <c r="K25" s="15095">
        <f t="shared" si="9"/>
      </c>
      <c r="L25" s="15108">
        <f t="shared" si="12"/>
      </c>
      <c r="M25" s="15121"/>
      <c r="N25" s="15134">
        <f t="shared" si="13"/>
      </c>
    </row>
    <row r="26" spans="1:14">
      <c r="A26" t="s" s="14968">
        <v>435</v>
      </c>
      <c r="B26" s="14981">
        <v>46191</v>
      </c>
      <c r="C26" s="14994">
        <v>39</v>
      </c>
      <c r="D26" t="s" s="15007">
        <v>400</v>
      </c>
      <c r="E26" s="15020">
        <v>4000.0120000000006</v>
      </c>
      <c r="F26" s="15033">
        <f t="shared" si="6"/>
      </c>
      <c r="G26" s="15046">
        <v>108000.36</v>
      </c>
      <c r="H26" s="15059">
        <f>IF(D26="","",SUMIFS(Captura_Obra!$F:$F, Captura_Obra!$A:$A, B26, Captura_Obra!$B:$B, D26))</f>
      </c>
      <c r="I26" s="15072">
        <f t="shared" si="7"/>
      </c>
      <c r="J26" s="15085">
        <f t="shared" si="8"/>
      </c>
      <c r="K26" s="15098">
        <f t="shared" si="9"/>
      </c>
      <c r="L26" s="15111">
        <f t="shared" si="12"/>
      </c>
      <c r="M26" t="s" s="15124">
        <v>778</v>
      </c>
      <c r="N26" s="15137">
        <f t="shared" si="13"/>
      </c>
    </row>
    <row r="27" spans="1:14">
      <c r="A27" t="s" s="14639">
        <v>475</v>
      </c>
      <c r="B27" s="14640">
        <v>46191.75</v>
      </c>
      <c r="C27" s="14641">
        <v>41</v>
      </c>
      <c r="D27" t="s" s="14642">
        <v>1</v>
      </c>
      <c r="E27" s="14643">
        <v>490.004</v>
      </c>
      <c r="F27" s="14644">
        <f t="shared" si="6"/>
      </c>
      <c r="G27" s="14645">
        <v>13230.1</v>
      </c>
      <c r="H27" s="14646">
        <f>IF(D27="","",SUMIFS(Captura_Obra!$F:$F, Captura_Obra!$A:$A, B27, Captura_Obra!$B:$B, D27))</f>
      </c>
      <c r="I27" s="14647">
        <f t="shared" si="7"/>
      </c>
      <c r="J27" s="14648">
        <f t="shared" si="8"/>
      </c>
      <c r="K27" s="14649">
        <f t="shared" si="9"/>
      </c>
      <c r="L27" s="14650">
        <f t="shared" si="12"/>
      </c>
      <c r="M27" s="14651"/>
      <c r="N27" s="14652">
        <f t="shared" si="13"/>
      </c>
    </row>
    <row r="28" spans="1:14">
      <c r="A28" t="s" s="14653">
        <v>474</v>
      </c>
      <c r="B28" s="14654">
        <v>46190.75</v>
      </c>
      <c r="C28" s="14655">
        <v>41</v>
      </c>
      <c r="D28" t="s" s="14656">
        <v>1</v>
      </c>
      <c r="E28" s="14657">
        <v>520.002</v>
      </c>
      <c r="F28" s="14658">
        <f t="shared" si="6"/>
      </c>
      <c r="G28" s="14659">
        <v>14040.05</v>
      </c>
      <c r="H28" s="14660">
        <f>IF(D28="","",SUMIFS(Captura_Obra!$F:$F, Captura_Obra!$A:$A, B28, Captura_Obra!$B:$B, D28))</f>
      </c>
      <c r="I28" s="14661">
        <f t="shared" si="7"/>
      </c>
      <c r="J28" s="14662">
        <f t="shared" si="8"/>
      </c>
      <c r="K28" s="14663">
        <f t="shared" si="9"/>
      </c>
      <c r="L28" s="14664">
        <f t="shared" si="12"/>
      </c>
      <c r="M28" s="14665"/>
      <c r="N28" s="14666">
        <f t="shared" si="13"/>
      </c>
    </row>
    <row r="29" spans="1:14">
      <c r="A29" t="s" s="14667">
        <v>476</v>
      </c>
      <c r="B29" s="14668">
        <v>46192.75</v>
      </c>
      <c r="C29" s="14669">
        <v>41</v>
      </c>
      <c r="D29" t="s" s="14670">
        <v>1</v>
      </c>
      <c r="E29" s="14671">
        <v>400.004</v>
      </c>
      <c r="F29" s="14672">
        <f t="shared" si="6"/>
      </c>
      <c r="G29" s="14673">
        <v>10800.1</v>
      </c>
      <c r="H29" s="14674">
        <f>IF(D29="","",SUMIFS(Captura_Obra!$F:$F, Captura_Obra!$A:$A, B29, Captura_Obra!$B:$B, D29))</f>
      </c>
      <c r="I29" s="14675">
        <f t="shared" si="7"/>
      </c>
      <c r="J29" s="14676">
        <f t="shared" si="8"/>
      </c>
      <c r="K29" s="14677">
        <f t="shared" si="9"/>
      </c>
      <c r="L29" s="14678">
        <f t="shared" si="12"/>
      </c>
      <c r="M29" s="14679"/>
      <c r="N29" s="14680">
        <f t="shared" si="13"/>
      </c>
    </row>
    <row r="30" spans="1:14">
      <c r="A30" t="s" s="14681">
        <v>487</v>
      </c>
      <c r="B30" s="14682">
        <v>46193.75</v>
      </c>
      <c r="C30" s="14683">
        <v>41</v>
      </c>
      <c r="D30" t="s" s="14684">
        <v>124</v>
      </c>
      <c r="E30" s="14685">
        <v>600.004</v>
      </c>
      <c r="F30" s="14686">
        <f t="shared" si="6"/>
      </c>
      <c r="G30" s="14687">
        <v>16200.1</v>
      </c>
      <c r="H30" s="14688">
        <f>IF(D30="","",SUMIFS(Captura_Obra!$F:$F, Captura_Obra!$A:$A, B30, Captura_Obra!$B:$B, D30))</f>
      </c>
      <c r="I30" s="14689">
        <f t="shared" si="7"/>
      </c>
      <c r="J30" s="14690">
        <f t="shared" si="8"/>
      </c>
      <c r="K30" s="14691">
        <f t="shared" si="9"/>
      </c>
      <c r="L30" s="14692">
        <f t="shared" si="12"/>
      </c>
      <c r="M30" s="14693"/>
      <c r="N30" s="14694">
        <f t="shared" si="13"/>
      </c>
    </row>
    <row r="31" spans="1:14">
      <c r="A31" t="s" s="14695">
        <v>472</v>
      </c>
      <c r="B31" s="14696">
        <v>46188.75</v>
      </c>
      <c r="C31" s="14697">
        <v>41</v>
      </c>
      <c r="D31" t="s" s="14698">
        <v>1</v>
      </c>
      <c r="E31" s="14699">
        <v>500.002</v>
      </c>
      <c r="F31" s="14700">
        <f t="shared" si="6"/>
      </c>
      <c r="G31" s="14701">
        <v>13500.06</v>
      </c>
      <c r="H31" s="14702">
        <f>IF(D31="","",SUMIFS(Captura_Obra!$F:$F, Captura_Obra!$A:$A, B31, Captura_Obra!$B:$B, D31))</f>
      </c>
      <c r="I31" s="14703">
        <f t="shared" si="7"/>
      </c>
      <c r="J31" s="14704">
        <f t="shared" si="8"/>
      </c>
      <c r="K31" s="14705">
        <f t="shared" si="9"/>
      </c>
      <c r="L31" s="14706">
        <f t="shared" si="12"/>
      </c>
      <c r="M31" s="14707"/>
      <c r="N31" s="14708">
        <f t="shared" si="13"/>
      </c>
    </row>
    <row r="32" spans="1:14">
      <c r="A32" t="s" s="14970">
        <v>436</v>
      </c>
      <c r="B32" s="14983">
        <v>46191</v>
      </c>
      <c r="C32" s="14996">
        <v>39</v>
      </c>
      <c r="D32" t="s" s="15009">
        <v>400</v>
      </c>
      <c r="E32" s="15022">
        <v>161.912</v>
      </c>
      <c r="F32" s="15035">
        <f t="shared" si="6"/>
      </c>
      <c r="G32" s="15048">
        <v>3869.7</v>
      </c>
      <c r="H32" s="15061">
        <f>IF(D32="","",SUMIFS(Captura_Obra!$F:$F, Captura_Obra!$A:$A, B32, Captura_Obra!$B:$B, D32))</f>
      </c>
      <c r="I32" s="15074">
        <f t="shared" si="7"/>
      </c>
      <c r="J32" s="15087">
        <f t="shared" si="8"/>
      </c>
      <c r="K32" s="15100">
        <f t="shared" si="9"/>
      </c>
      <c r="L32" s="15113">
        <f t="shared" si="12"/>
      </c>
      <c r="M32" t="s" s="15126">
        <v>778</v>
      </c>
      <c r="N32" s="15139">
        <f t="shared" si="13"/>
      </c>
    </row>
    <row r="33" spans="1:14">
      <c r="A33" t="s" s="14709">
        <v>477</v>
      </c>
      <c r="B33" s="14710">
        <v>46174</v>
      </c>
      <c r="C33" s="14711">
        <v>39</v>
      </c>
      <c r="D33" t="s" s="14712">
        <v>478</v>
      </c>
      <c r="E33" s="14713">
        <v>0</v>
      </c>
      <c r="F33" s="14714">
        <f t="shared" si="6"/>
      </c>
      <c r="G33" s="14715">
        <v>8100.05</v>
      </c>
      <c r="H33" s="14716">
        <f>IF(D33="","",SUMIFS(Captura_Obra!$F:$F, Captura_Obra!$A:$A, B33, Captura_Obra!$B:$B, D33))</f>
      </c>
      <c r="I33" s="14717">
        <f t="shared" si="7"/>
      </c>
      <c r="J33" s="14718">
        <f t="shared" si="8"/>
      </c>
      <c r="K33" s="14719">
        <f t="shared" si="9"/>
      </c>
      <c r="L33" s="14720">
        <f t="shared" ref="L33:L47" si="14">IF(E33=0, "⚠️ Lts pendientes de capturar", IF(I33=0, "✅ Cuadrado", IF(I33&gt;0, "📋 Saldo a favor Gasolinera ("&amp;TEXT(I33,"#,##0")&amp;"L extra)", "✅ OK ("&amp;TEXT(ABS(I33),"#,##0")&amp;"L recuperados)")))</f>
      </c>
      <c r="M33" t="s" s="14721">
        <v>713</v>
      </c>
      <c r="N33" s="14722">
        <v>22</v>
      </c>
    </row>
    <row r="34" spans="1:14">
      <c r="A34" t="s" s="14723">
        <v>492</v>
      </c>
      <c r="B34" s="14724">
        <v>46174</v>
      </c>
      <c r="C34" s="14725">
        <v>39</v>
      </c>
      <c r="D34" t="s" s="14726">
        <v>3</v>
      </c>
      <c r="E34" s="14727">
        <v>0</v>
      </c>
      <c r="F34" s="14728">
        <f t="shared" si="6"/>
      </c>
      <c r="G34" s="14729">
        <v>16740.89</v>
      </c>
      <c r="H34" s="14730">
        <f>IF(D34="","",SUMIFS(Captura_Obra!$F:$F, Captura_Obra!$A:$A, B34, Captura_Obra!$B:$B, D34))</f>
      </c>
      <c r="I34" s="14731">
        <f t="shared" si="7"/>
      </c>
      <c r="J34" s="14732">
        <f t="shared" si="8"/>
      </c>
      <c r="K34" s="14733">
        <f t="shared" si="9"/>
      </c>
      <c r="L34" s="14734">
        <f t="shared" si="14"/>
      </c>
      <c r="M34" t="s" s="14735">
        <v>713</v>
      </c>
      <c r="N34" s="14736">
        <v>22</v>
      </c>
    </row>
    <row r="35" spans="1:14">
      <c r="A35" t="s" s="14737">
        <v>493</v>
      </c>
      <c r="B35" s="14738">
        <v>46175</v>
      </c>
      <c r="C35" s="14739">
        <v>39</v>
      </c>
      <c r="D35" t="s" s="14740">
        <v>3</v>
      </c>
      <c r="E35" s="14741">
        <v>0</v>
      </c>
      <c r="F35" s="14742">
        <f t="shared" si="6"/>
      </c>
      <c r="G35" s="14743">
        <v>12420.08</v>
      </c>
      <c r="H35" s="14744">
        <f>IF(D35="","",SUMIFS(Captura_Obra!$F:$F, Captura_Obra!$A:$A, B35, Captura_Obra!$B:$B, D35))</f>
      </c>
      <c r="I35" s="14745">
        <f t="shared" si="7"/>
      </c>
      <c r="J35" s="14746">
        <f t="shared" si="8"/>
      </c>
      <c r="K35" s="14747">
        <f t="shared" si="9"/>
      </c>
      <c r="L35" s="14748">
        <f t="shared" si="14"/>
      </c>
      <c r="M35" t="s" s="14749">
        <v>713</v>
      </c>
      <c r="N35" s="14750">
        <v>22</v>
      </c>
    </row>
    <row r="36" spans="1:14">
      <c r="A36" t="s" s="14751">
        <v>494</v>
      </c>
      <c r="B36" s="14752">
        <v>46176</v>
      </c>
      <c r="C36" s="14753">
        <v>39</v>
      </c>
      <c r="D36" t="s" s="14754">
        <v>3</v>
      </c>
      <c r="E36" s="14755">
        <v>0</v>
      </c>
      <c r="F36" s="14756">
        <f t="shared" si="6"/>
      </c>
      <c r="G36" s="14757">
        <v>20259.03</v>
      </c>
      <c r="H36" s="14758">
        <f>IF(D36="","",SUMIFS(Captura_Obra!$F:$F, Captura_Obra!$A:$A, B36, Captura_Obra!$B:$B, D36))</f>
      </c>
      <c r="I36" s="14759">
        <f t="shared" si="7"/>
      </c>
      <c r="J36" s="14760">
        <f t="shared" si="8"/>
      </c>
      <c r="K36" s="14761">
        <f t="shared" si="9"/>
      </c>
      <c r="L36" s="14762">
        <f t="shared" si="14"/>
      </c>
      <c r="M36" t="s" s="14763">
        <v>713</v>
      </c>
      <c r="N36" s="14764">
        <v>22</v>
      </c>
    </row>
    <row r="37" spans="1:14">
      <c r="A37" t="s" s="14765">
        <v>467</v>
      </c>
      <c r="B37" s="14766">
        <v>46182</v>
      </c>
      <c r="C37" s="14767">
        <v>39</v>
      </c>
      <c r="D37" t="s" s="14768">
        <v>1</v>
      </c>
      <c r="E37" s="14769">
        <v>0</v>
      </c>
      <c r="F37" s="14770">
        <f t="shared" si="6"/>
      </c>
      <c r="G37" s="14771">
        <v>18900.06</v>
      </c>
      <c r="H37" s="14772">
        <f>IF(D37="","",SUMIFS(Captura_Obra!$F:$F, Captura_Obra!$A:$A, B37, Captura_Obra!$B:$B, D37))</f>
      </c>
      <c r="I37" s="14773">
        <f t="shared" si="7"/>
      </c>
      <c r="J37" s="14774">
        <f t="shared" si="8"/>
      </c>
      <c r="K37" s="14775">
        <f t="shared" si="9"/>
      </c>
      <c r="L37" s="14776">
        <f t="shared" si="14"/>
      </c>
      <c r="M37" t="s" s="14777">
        <v>713</v>
      </c>
      <c r="N37" s="14778">
        <v>23</v>
      </c>
    </row>
    <row r="38" spans="1:14">
      <c r="A38" t="s" s="14779">
        <v>468</v>
      </c>
      <c r="B38" s="14780">
        <v>46183</v>
      </c>
      <c r="C38" s="14781">
        <v>39</v>
      </c>
      <c r="D38" t="s" s="14782">
        <v>1</v>
      </c>
      <c r="E38" s="14783">
        <v>0</v>
      </c>
      <c r="F38" s="14784">
        <f t="shared" si="6"/>
      </c>
      <c r="G38" s="14785">
        <v>13770.05</v>
      </c>
      <c r="H38" s="14786">
        <f>IF(D38="","",SUMIFS(Captura_Obra!$F:$F, Captura_Obra!$A:$A, B38, Captura_Obra!$B:$B, D38))</f>
      </c>
      <c r="I38" s="14787">
        <f t="shared" si="7"/>
      </c>
      <c r="J38" s="14788">
        <f t="shared" si="8"/>
      </c>
      <c r="K38" s="14789">
        <f t="shared" si="9"/>
      </c>
      <c r="L38" s="14790">
        <f t="shared" si="14"/>
      </c>
      <c r="M38" t="s" s="14791">
        <v>713</v>
      </c>
      <c r="N38" s="14792">
        <v>23</v>
      </c>
    </row>
    <row r="39" spans="1:14">
      <c r="A39" t="s" s="14793">
        <v>469</v>
      </c>
      <c r="B39" s="14794">
        <v>46184</v>
      </c>
      <c r="C39" s="14795">
        <v>39</v>
      </c>
      <c r="D39" t="s" s="14796">
        <v>1</v>
      </c>
      <c r="E39" s="14797">
        <v>0</v>
      </c>
      <c r="F39" s="14798">
        <f t="shared" si="6"/>
      </c>
      <c r="G39" s="14799">
        <v>7830.05</v>
      </c>
      <c r="H39" s="14800">
        <f>IF(D39="","",SUMIFS(Captura_Obra!$F:$F, Captura_Obra!$A:$A, B39, Captura_Obra!$B:$B, D39))</f>
      </c>
      <c r="I39" s="14801">
        <f t="shared" si="7"/>
      </c>
      <c r="J39" s="14802">
        <f t="shared" si="8"/>
      </c>
      <c r="K39" s="14803">
        <f t="shared" si="9"/>
      </c>
      <c r="L39" s="14804">
        <f t="shared" si="14"/>
      </c>
      <c r="M39" t="s" s="14805">
        <v>713</v>
      </c>
      <c r="N39" s="14806">
        <v>23</v>
      </c>
    </row>
    <row r="40" spans="1:14">
      <c r="A40" t="s" s="14807">
        <v>479</v>
      </c>
      <c r="B40" s="14808">
        <v>46182</v>
      </c>
      <c r="C40" s="14809">
        <v>39</v>
      </c>
      <c r="D40" t="s" s="14810">
        <v>124</v>
      </c>
      <c r="E40" s="14811">
        <v>0</v>
      </c>
      <c r="F40" s="14812">
        <f t="shared" si="6"/>
      </c>
      <c r="G40" s="14813">
        <v>16200.1</v>
      </c>
      <c r="H40" s="14814">
        <f>IF(D40="","",SUMIFS(Captura_Obra!$F:$F, Captura_Obra!$A:$A, B40, Captura_Obra!$B:$B, D40))</f>
      </c>
      <c r="I40" s="14815">
        <f t="shared" si="7"/>
      </c>
      <c r="J40" s="14816">
        <f t="shared" si="8"/>
      </c>
      <c r="K40" s="14817">
        <f t="shared" si="9"/>
      </c>
      <c r="L40" s="14818">
        <f t="shared" si="14"/>
      </c>
      <c r="M40" t="s" s="14819">
        <v>713</v>
      </c>
      <c r="N40" s="14820">
        <v>23</v>
      </c>
    </row>
    <row r="41" spans="1:14">
      <c r="A41" t="s" s="14821">
        <v>495</v>
      </c>
      <c r="B41" s="14822">
        <v>46182</v>
      </c>
      <c r="C41" s="14823">
        <v>39</v>
      </c>
      <c r="D41" t="s" s="14824">
        <v>3</v>
      </c>
      <c r="E41" s="14825">
        <v>0</v>
      </c>
      <c r="F41" s="14826">
        <f t="shared" si="6"/>
      </c>
      <c r="G41" s="14827">
        <v>20682.11</v>
      </c>
      <c r="H41" s="14828">
        <f>IF(D41="","",SUMIFS(Captura_Obra!$F:$F, Captura_Obra!$A:$A, B41, Captura_Obra!$B:$B, D41))</f>
      </c>
      <c r="I41" s="14829">
        <f t="shared" si="7"/>
      </c>
      <c r="J41" s="14830">
        <f t="shared" si="8"/>
      </c>
      <c r="K41" s="14831">
        <f t="shared" si="9"/>
      </c>
      <c r="L41" s="14832">
        <f t="shared" si="14"/>
      </c>
      <c r="M41" t="s" s="14833">
        <v>713</v>
      </c>
      <c r="N41" s="14834">
        <v>23</v>
      </c>
    </row>
    <row r="42" spans="1:14">
      <c r="A42" t="s" s="14835">
        <v>496</v>
      </c>
      <c r="B42" s="14836">
        <v>46182</v>
      </c>
      <c r="C42" s="14837">
        <v>39</v>
      </c>
      <c r="D42" t="s" s="14838">
        <v>3</v>
      </c>
      <c r="E42" s="14839">
        <v>0</v>
      </c>
      <c r="F42" s="14840">
        <f t="shared" si="6"/>
      </c>
      <c r="G42" s="14841">
        <v>18630.06</v>
      </c>
      <c r="H42" s="14842">
        <f>IF(D42="","",SUMIFS(Captura_Obra!$F:$F, Captura_Obra!$A:$A, B42, Captura_Obra!$B:$B, D42))</f>
      </c>
      <c r="I42" s="14843">
        <f t="shared" si="7"/>
      </c>
      <c r="J42" s="14844">
        <f t="shared" si="8"/>
      </c>
      <c r="K42" s="14845">
        <f t="shared" si="9"/>
      </c>
      <c r="L42" s="14846">
        <f t="shared" si="14"/>
      </c>
      <c r="M42" t="s" s="14847">
        <v>713</v>
      </c>
      <c r="N42" s="14848">
        <v>23</v>
      </c>
    </row>
    <row r="43" spans="1:14">
      <c r="A43" t="s" s="14849">
        <v>497</v>
      </c>
      <c r="B43" s="14850">
        <v>46183</v>
      </c>
      <c r="C43" s="14851">
        <v>39</v>
      </c>
      <c r="D43" t="s" s="14852">
        <v>3</v>
      </c>
      <c r="E43" s="14853">
        <v>0</v>
      </c>
      <c r="F43" s="14854">
        <f t="shared" si="6"/>
      </c>
      <c r="G43" s="14855">
        <v>22140.06</v>
      </c>
      <c r="H43" s="14856">
        <f>IF(D43="","",SUMIFS(Captura_Obra!$F:$F, Captura_Obra!$A:$A, B43, Captura_Obra!$B:$B, D43))</f>
      </c>
      <c r="I43" s="14857">
        <f t="shared" si="7"/>
      </c>
      <c r="J43" s="14858">
        <f t="shared" si="8"/>
      </c>
      <c r="K43" s="14859">
        <f t="shared" si="9"/>
      </c>
      <c r="L43" s="14860">
        <f t="shared" si="14"/>
      </c>
      <c r="M43" t="s" s="14861">
        <v>713</v>
      </c>
      <c r="N43" s="14862">
        <v>23</v>
      </c>
    </row>
    <row r="44" spans="1:14">
      <c r="A44" t="s" s="14863">
        <v>498</v>
      </c>
      <c r="B44" s="14864">
        <v>46184</v>
      </c>
      <c r="C44" s="14865">
        <v>39</v>
      </c>
      <c r="D44" t="s" s="14866">
        <v>3</v>
      </c>
      <c r="E44" s="14867">
        <v>0</v>
      </c>
      <c r="F44" s="14868">
        <f t="shared" si="6"/>
      </c>
      <c r="G44" s="14869">
        <v>18063.08</v>
      </c>
      <c r="H44" s="14870">
        <f>IF(D44="","",SUMIFS(Captura_Obra!$F:$F, Captura_Obra!$A:$A, B44, Captura_Obra!$B:$B, D44))</f>
      </c>
      <c r="I44" s="14871">
        <f t="shared" si="7"/>
      </c>
      <c r="J44" s="14872">
        <f t="shared" si="8"/>
      </c>
      <c r="K44" s="14873">
        <f t="shared" si="9"/>
      </c>
      <c r="L44" s="14874">
        <f t="shared" si="14"/>
      </c>
      <c r="M44" t="s" s="14875">
        <v>713</v>
      </c>
      <c r="N44" s="14876">
        <v>23</v>
      </c>
    </row>
    <row r="45" spans="1:14">
      <c r="A45" t="s" s="14877">
        <v>470</v>
      </c>
      <c r="B45" s="14878">
        <v>46189</v>
      </c>
      <c r="C45" s="14879">
        <v>39</v>
      </c>
      <c r="D45" t="s" s="14880">
        <v>1</v>
      </c>
      <c r="E45" s="14881">
        <v>0</v>
      </c>
      <c r="F45" s="14882">
        <f t="shared" si="6"/>
      </c>
      <c r="G45" s="14883">
        <v>17280.08</v>
      </c>
      <c r="H45" s="14884">
        <f>IF(D45="","",SUMIFS(Captura_Obra!$F:$F, Captura_Obra!$A:$A, B45, Captura_Obra!$B:$B, D45))</f>
      </c>
      <c r="I45" s="14885">
        <f t="shared" si="7"/>
      </c>
      <c r="J45" s="14886">
        <f t="shared" si="8"/>
      </c>
      <c r="K45" s="14887">
        <f t="shared" si="9"/>
      </c>
      <c r="L45" s="14888">
        <f t="shared" si="14"/>
      </c>
      <c r="M45" t="s" s="14889">
        <v>713</v>
      </c>
      <c r="N45" s="14890">
        <v>24</v>
      </c>
    </row>
    <row r="46" spans="1:14">
      <c r="A46" t="s" s="14891">
        <v>471</v>
      </c>
      <c r="B46" s="14892">
        <v>46190</v>
      </c>
      <c r="C46" s="14893">
        <v>39</v>
      </c>
      <c r="D46" t="s" s="14894">
        <v>1</v>
      </c>
      <c r="E46" s="14895">
        <v>0</v>
      </c>
      <c r="F46" s="14896">
        <f t="shared" si="6"/>
      </c>
      <c r="G46" s="14897">
        <v>14580.08</v>
      </c>
      <c r="H46" s="14898">
        <f>IF(D46="","",SUMIFS(Captura_Obra!$F:$F, Captura_Obra!$A:$A, B46, Captura_Obra!$B:$B, D46))</f>
      </c>
      <c r="I46" s="14899">
        <f t="shared" si="7"/>
      </c>
      <c r="J46" s="14900">
        <f t="shared" si="8"/>
      </c>
      <c r="K46" s="14901">
        <f t="shared" si="9"/>
      </c>
      <c r="L46" s="14902">
        <f t="shared" si="14"/>
      </c>
      <c r="M46" t="s" s="14903">
        <v>713</v>
      </c>
      <c r="N46" s="14904">
        <v>24</v>
      </c>
    </row>
    <row r="47" spans="1:14">
      <c r="A47" t="s" s="14972">
        <v>482</v>
      </c>
      <c r="B47" s="14985">
        <v>46191</v>
      </c>
      <c r="C47" s="14998">
        <v>39</v>
      </c>
      <c r="D47" t="s" s="15011">
        <v>124</v>
      </c>
      <c r="E47" s="15024">
        <v>0</v>
      </c>
      <c r="F47" s="15037">
        <f t="shared" si="6"/>
      </c>
      <c r="G47" s="15050">
        <v>5370.98</v>
      </c>
      <c r="H47" s="15063">
        <f>IF(D47="","",SUMIFS(Captura_Obra!$F:$F, Captura_Obra!$A:$A, B47, Captura_Obra!$B:$B, D47))</f>
      </c>
      <c r="I47" s="15076">
        <f t="shared" si="7"/>
      </c>
      <c r="J47" s="15089">
        <f t="shared" si="8"/>
      </c>
      <c r="K47" s="15102">
        <f t="shared" si="9"/>
      </c>
      <c r="L47" s="15115">
        <f t="shared" si="14"/>
      </c>
      <c r="M47" t="s" s="15128">
        <v>713</v>
      </c>
      <c r="N47" s="15141">
        <v>24</v>
      </c>
    </row>
    <row r="48" spans="1:14">
      <c r="A48" t="s" s="14964">
        <v>486</v>
      </c>
      <c r="B48" s="14977">
        <v>46191.75</v>
      </c>
      <c r="C48" s="14990">
        <v>41</v>
      </c>
      <c r="D48" t="s" s="15003">
        <v>124</v>
      </c>
      <c r="E48" s="15016">
        <v>500.00199999999995</v>
      </c>
      <c r="F48" s="15029">
        <f t="shared" si="6"/>
      </c>
      <c r="G48" s="15042">
        <v>13500.06</v>
      </c>
      <c r="H48" s="15055">
        <f>IF(D48="","",SUMIFS(Captura_Obra!$F:$F, Captura_Obra!$A:$A, B48, Captura_Obra!$B:$B, D48))</f>
      </c>
      <c r="I48" s="15068">
        <f t="shared" si="7"/>
      </c>
      <c r="J48" s="15081">
        <f t="shared" si="8"/>
      </c>
      <c r="K48" s="15094">
        <f t="shared" si="9"/>
      </c>
      <c r="L48" s="15107">
        <f>IF(E48=0, "⚠️ Sin Lts (revisar)", IF(I48=0, "✅ Cuadrado", IF(I48&gt;0, "📋 Saldo a favor Gasolinera ("&amp;TEXT(I48,"#,##0")&amp;"L extra)", "✅ OK ("&amp;TEXT(ABS(I48),"#,##0")&amp;"L recuperados)")))</f>
      </c>
      <c r="M48" s="15120"/>
      <c r="N48" s="15133">
        <f>IF(B48="","", WEEKNUM(B48, 2))</f>
      </c>
    </row>
    <row r="49" spans="1:14">
      <c r="A49" t="s" s="14973">
        <v>483</v>
      </c>
      <c r="B49" s="14986">
        <v>46192</v>
      </c>
      <c r="C49" s="14999">
        <v>39</v>
      </c>
      <c r="D49" t="s" s="15012">
        <v>124</v>
      </c>
      <c r="E49" s="15025">
        <v>0</v>
      </c>
      <c r="F49" s="15038">
        <f t="shared" si="6"/>
      </c>
      <c r="G49" s="15051">
        <v>13493.2</v>
      </c>
      <c r="H49" s="15064">
        <f>IF(D49="","",SUMIFS(Captura_Obra!$F:$F, Captura_Obra!$A:$A, B49, Captura_Obra!$B:$B, D49))</f>
      </c>
      <c r="I49" s="15077">
        <f t="shared" si="7"/>
      </c>
      <c r="J49" s="15090">
        <f t="shared" si="8"/>
      </c>
      <c r="K49" s="15103">
        <f t="shared" si="9"/>
      </c>
      <c r="L49" s="15116">
        <f>IF(E49=0, "⚠️ Lts pendientes de capturar", IF(I49=0, "✅ Cuadrado", IF(I49&gt;0, "📋 Saldo a favor Gasolinera ("&amp;TEXT(I49,"#,##0")&amp;"L extra)", "✅ OK ("&amp;TEXT(ABS(I49),"#,##0")&amp;"L recuperados)")))</f>
      </c>
      <c r="M49" t="s" s="15129">
        <v>713</v>
      </c>
      <c r="N49" s="15142">
        <v>24</v>
      </c>
    </row>
    <row r="50" spans="1:14">
      <c r="A50" t="s" s="14974">
        <v>709</v>
      </c>
      <c r="B50" s="14987">
        <v>46192.75</v>
      </c>
      <c r="C50" s="15000">
        <v>41</v>
      </c>
      <c r="D50" t="s" s="15013">
        <v>775</v>
      </c>
      <c r="E50" s="15026">
        <v>4000.0120000000006</v>
      </c>
      <c r="F50" s="15039">
        <f t="shared" si="6"/>
      </c>
      <c r="G50" s="15052">
        <v>108000.36</v>
      </c>
      <c r="H50" s="15065">
        <f>IF(D50="","",SUMIFS(Captura_Obra!$F:$F, Captura_Obra!$A:$A, B50, Captura_Obra!$B:$B, D50))</f>
      </c>
      <c r="I50" s="15078">
        <f t="shared" si="7"/>
      </c>
      <c r="J50" s="15091">
        <f t="shared" si="8"/>
      </c>
      <c r="K50" s="15104">
        <f t="shared" si="9"/>
      </c>
      <c r="L50" s="15117">
        <f>IF(E50=0, "⚠️ Sin Lts (revisar)", IF(I50=0, "✅ Cuadrado", IF(I50&gt;0, "📋 Saldo a favor Gasolinera ("&amp;TEXT(I50,"#,##0")&amp;"L extra)", "✅ OK ("&amp;TEXT(ABS(I50),"#,##0")&amp;"L recuperados)")))</f>
      </c>
      <c r="M50" t="s" s="15130">
        <v>776</v>
      </c>
      <c r="N50" s="15143">
        <f>IF(B50="","", WEEKNUM(B50, 2))</f>
      </c>
    </row>
    <row r="51" spans="1:14">
      <c r="A51" t="s" s="14967">
        <v>710</v>
      </c>
      <c r="B51" s="14980">
        <v>46192.75</v>
      </c>
      <c r="C51" s="14993">
        <v>41</v>
      </c>
      <c r="D51" t="s" s="15006">
        <v>775</v>
      </c>
      <c r="E51" s="15019">
        <v>4000.0120000000006</v>
      </c>
      <c r="F51" s="15032">
        <f t="shared" si="6"/>
      </c>
      <c r="G51" s="15045">
        <v>108000.36</v>
      </c>
      <c r="H51" s="15058">
        <f>IF(D51="","",SUMIFS(Captura_Obra!$F:$F, Captura_Obra!$A:$A, B51, Captura_Obra!$B:$B, D51))</f>
      </c>
      <c r="I51" s="15071">
        <f t="shared" si="7"/>
      </c>
      <c r="J51" s="15084">
        <f t="shared" si="8"/>
      </c>
      <c r="K51" s="15097">
        <f t="shared" si="9"/>
      </c>
      <c r="L51" s="15110">
        <f>IF(E51=0, "⚠️ Sin Lts (revisar)", IF(I51=0, "✅ Cuadrado", IF(I51&gt;0, "📋 Saldo a favor Gasolinera ("&amp;TEXT(I51,"#,##0")&amp;"L extra)", "✅ OK ("&amp;TEXT(ABS(I51),"#,##0")&amp;"L recuperados)")))</f>
      </c>
      <c r="M51" t="s" s="15123">
        <v>776</v>
      </c>
      <c r="N51" s="15136">
        <f>IF(B51="","", WEEKNUM(B51, 2))</f>
      </c>
    </row>
    <row r="52" spans="1:14">
      <c r="A52" t="s" s="14905">
        <v>499</v>
      </c>
      <c r="B52" s="14906">
        <v>46192</v>
      </c>
      <c r="C52" s="14907">
        <v>39</v>
      </c>
      <c r="D52" t="s" s="14908">
        <v>3</v>
      </c>
      <c r="E52" s="14909">
        <v>0</v>
      </c>
      <c r="F52" s="14910">
        <f t="shared" ref="F52:F55" si="15">IF(E52=0,"",G52/E52)</f>
      </c>
      <c r="G52" s="14911">
        <v>18360.83</v>
      </c>
      <c r="H52" s="14912">
        <f>IF(D52="","",SUMIFS(Captura_Obra!$F:$F, Captura_Obra!$A:$A, B52, Captura_Obra!$B:$B, D52))</f>
      </c>
      <c r="I52" s="14913">
        <f t="shared" ref="I52:I55" si="16">IF(E52=0,"", E52 - H52)</f>
      </c>
      <c r="J52" s="14914">
        <f t="shared" ref="J52:J55" si="17">IF(E52=0,"", IF(E52&gt;0, H52/E52, 0))</f>
      </c>
      <c r="K52" s="14915">
        <f t="shared" ref="K52:K55" si="18">IF(H52=0,"", G52/H52)</f>
      </c>
      <c r="L52" s="14916">
        <f t="shared" ref="L52:L55" si="19">IF(E52=0, "⚠️ Lts pendientes de capturar", IF(I52=0, "✅ Cuadrado", IF(I52&gt;0, "📋 Saldo a favor Gasolinera ("&amp;TEXT(I52,"#,##0")&amp;"L extra)", "✅ OK ("&amp;TEXT(ABS(I52),"#,##0")&amp;"L recuperados)")))</f>
      </c>
      <c r="M52" t="s" s="14917">
        <v>713</v>
      </c>
      <c r="N52" s="14918">
        <v>24</v>
      </c>
    </row>
    <row r="53" spans="1:14">
      <c r="A53" t="s" s="14919">
        <v>489</v>
      </c>
      <c r="B53" s="14920">
        <v>46167</v>
      </c>
      <c r="C53" s="14921">
        <v>39</v>
      </c>
      <c r="D53" t="s" s="14922">
        <v>3</v>
      </c>
      <c r="E53" s="14923">
        <v>0</v>
      </c>
      <c r="F53" s="14924">
        <f t="shared" si="15"/>
      </c>
      <c r="G53" s="14925">
        <v>31054.48</v>
      </c>
      <c r="H53" s="14926">
        <f>IF(D53="","",SUMIFS(Captura_Obra!$F:$F, Captura_Obra!$A:$A, B53, Captura_Obra!$B:$B, D53))</f>
      </c>
      <c r="I53" s="14927">
        <f t="shared" si="16"/>
      </c>
      <c r="J53" s="14928">
        <f t="shared" si="17"/>
      </c>
      <c r="K53" s="14929">
        <f t="shared" si="18"/>
      </c>
      <c r="L53" s="14930">
        <f t="shared" si="19"/>
      </c>
      <c r="M53" t="s" s="14931">
        <v>713</v>
      </c>
      <c r="N53" s="14932">
        <v>21</v>
      </c>
    </row>
    <row r="54" spans="1:14">
      <c r="A54" t="s" s="14933">
        <v>490</v>
      </c>
      <c r="B54" s="14934">
        <v>46168</v>
      </c>
      <c r="C54" s="14935">
        <v>39</v>
      </c>
      <c r="D54" t="s" s="14936">
        <v>3</v>
      </c>
      <c r="E54" s="14937">
        <v>0</v>
      </c>
      <c r="F54" s="14938">
        <f t="shared" si="15"/>
      </c>
      <c r="G54" s="14939">
        <v>26190.11</v>
      </c>
      <c r="H54" s="14940">
        <f>IF(D54="","",SUMIFS(Captura_Obra!$F:$F, Captura_Obra!$A:$A, B54, Captura_Obra!$B:$B, D54))</f>
      </c>
      <c r="I54" s="14941">
        <f t="shared" si="16"/>
      </c>
      <c r="J54" s="14942">
        <f t="shared" si="17"/>
      </c>
      <c r="K54" s="14943">
        <f t="shared" si="18"/>
      </c>
      <c r="L54" s="14944">
        <f t="shared" si="19"/>
      </c>
      <c r="M54" t="s" s="14945">
        <v>713</v>
      </c>
      <c r="N54" s="14946">
        <v>21</v>
      </c>
    </row>
    <row r="55" spans="1:14">
      <c r="A55" t="s" s="14947">
        <v>491</v>
      </c>
      <c r="B55" s="14948">
        <v>46169</v>
      </c>
      <c r="C55" s="14949">
        <v>39</v>
      </c>
      <c r="D55" t="s" s="14950">
        <v>3</v>
      </c>
      <c r="E55" s="14951">
        <v>0</v>
      </c>
      <c r="F55" s="14952">
        <f t="shared" si="15"/>
      </c>
      <c r="G55" s="14953">
        <v>20250.09</v>
      </c>
      <c r="H55" s="14954">
        <f>IF(D55="","",SUMIFS(Captura_Obra!$F:$F, Captura_Obra!$A:$A, B55, Captura_Obra!$B:$B, D55))</f>
      </c>
      <c r="I55" s="14955">
        <f t="shared" si="16"/>
      </c>
      <c r="J55" s="14956">
        <f t="shared" si="17"/>
      </c>
      <c r="K55" s="14957">
        <f t="shared" si="18"/>
      </c>
      <c r="L55" s="14958">
        <f t="shared" si="19"/>
      </c>
      <c r="M55" t="s" s="14959">
        <v>713</v>
      </c>
      <c r="N55" s="14960">
        <v>21</v>
      </c>
    </row>
    <row r="165" spans="14:14">
      <c r="N165">
        <f t="shared" ref="N165:N200" si="20">IF(B165="","", WEEKNUM(B165, 2))</f>
      </c>
    </row>
    <row r="166" spans="14:14">
      <c r="N166">
        <f t="shared" si="20"/>
      </c>
    </row>
    <row r="167" spans="14:14">
      <c r="N167">
        <f t="shared" si="20"/>
      </c>
    </row>
    <row r="168" spans="14:14">
      <c r="N168">
        <f t="shared" si="20"/>
      </c>
    </row>
    <row r="169" spans="14:14">
      <c r="N169">
        <f t="shared" si="20"/>
      </c>
    </row>
    <row r="170" spans="14:14">
      <c r="N170">
        <f t="shared" si="20"/>
      </c>
    </row>
    <row r="171" spans="14:14">
      <c r="N171">
        <f t="shared" si="20"/>
      </c>
    </row>
    <row r="172" spans="14:14">
      <c r="N172">
        <f t="shared" si="20"/>
      </c>
    </row>
    <row r="173" spans="14:14">
      <c r="N173">
        <f t="shared" si="20"/>
      </c>
    </row>
    <row r="174" spans="14:14">
      <c r="N174">
        <f t="shared" si="20"/>
      </c>
    </row>
    <row r="175" spans="14:14">
      <c r="N175">
        <f t="shared" si="20"/>
      </c>
    </row>
    <row r="176" spans="14:14">
      <c r="N176">
        <f t="shared" si="20"/>
      </c>
    </row>
    <row r="177" spans="14:14">
      <c r="N177">
        <f t="shared" si="20"/>
      </c>
    </row>
    <row r="178" spans="14:14">
      <c r="N178">
        <f t="shared" si="20"/>
      </c>
    </row>
    <row r="179" spans="14:14">
      <c r="N179">
        <f t="shared" si="20"/>
      </c>
    </row>
    <row r="180" spans="14:14">
      <c r="N180">
        <f t="shared" si="20"/>
      </c>
    </row>
    <row r="181" spans="14:14">
      <c r="N181">
        <f t="shared" si="20"/>
      </c>
    </row>
    <row r="182" spans="14:14">
      <c r="N182">
        <f t="shared" si="20"/>
      </c>
    </row>
    <row r="183" spans="14:14">
      <c r="N183">
        <f t="shared" si="20"/>
      </c>
    </row>
    <row r="184" spans="14:14">
      <c r="N184">
        <f t="shared" si="20"/>
      </c>
    </row>
    <row r="185" spans="14:14">
      <c r="N185">
        <f t="shared" si="20"/>
      </c>
    </row>
    <row r="186" spans="14:14">
      <c r="N186">
        <f t="shared" si="20"/>
      </c>
    </row>
    <row r="187" spans="14:14">
      <c r="N187">
        <f t="shared" si="20"/>
      </c>
    </row>
    <row r="188" spans="14:14">
      <c r="N188">
        <f t="shared" si="20"/>
      </c>
    </row>
    <row r="189" spans="14:14">
      <c r="N189">
        <f t="shared" si="20"/>
      </c>
    </row>
    <row r="190" spans="14:14">
      <c r="N190">
        <f t="shared" si="20"/>
      </c>
    </row>
    <row r="191" spans="14:14">
      <c r="N191">
        <f t="shared" si="20"/>
      </c>
    </row>
    <row r="192" spans="14:14">
      <c r="N192">
        <f t="shared" si="20"/>
      </c>
    </row>
    <row r="193" spans="14:14">
      <c r="N193">
        <f t="shared" si="20"/>
      </c>
    </row>
    <row r="194" spans="14:14">
      <c r="N194">
        <f t="shared" si="20"/>
      </c>
    </row>
    <row r="195" spans="14:14">
      <c r="N195">
        <f t="shared" si="20"/>
      </c>
    </row>
    <row r="196" spans="14:14">
      <c r="N196">
        <f t="shared" si="20"/>
      </c>
    </row>
    <row r="197" spans="14:14">
      <c r="N197">
        <f t="shared" si="20"/>
      </c>
    </row>
    <row r="198" spans="14:14">
      <c r="N198">
        <f t="shared" si="20"/>
      </c>
    </row>
    <row r="199" spans="14:14">
      <c r="N199">
        <f t="shared" si="20"/>
      </c>
    </row>
    <row r="200" spans="14:14">
      <c r="N200">
        <f t="shared" si="20"/>
      </c>
    </row>
  </sheetData>
  <autoFilter ref="A4:N55" xr:uid="{6C9B3DC7-983D-44B6-9C19-F32314A07570}">
    <sortState xmlns:xlrd2="http://schemas.microsoft.com/office/spreadsheetml/2017/richdata2" ref="A6:N51">
      <sortCondition ref="B4:B55"/>
    </sortState>
  </autoFilter>
  <mergeCells count="2">
    <mergeCell ref="A1:M1"/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40B4-23D2-4E7D-AA47-F2CC428CB0CD}">
  <sheetPr/>
  <sheetViews>
    <sheetView topLeftCell="A3" workbookViewId="0">
      <selection activeCell="G12" sqref="G12"/>
    </sheetView>
  </sheetViews>
  <sheetFormatPr baseColWidth="10" defaultRowHeight="13.8"/>
  <cols>
    <col min="1" max="1" width="28.5" customWidth="1"/>
    <col min="2" max="2" width="22.796875" bestFit="1" customWidth="1"/>
    <col min="3" max="3" width="16.59765625" bestFit="1" customWidth="1"/>
    <col min="4" max="4" width="19.09765625" bestFit="1" customWidth="1"/>
    <col min="7" max="7" width="20.796875" bestFit="1" customWidth="1"/>
    <col min="8" max="8" width="35.8984375" bestFit="1" customWidth="1"/>
  </cols>
  <sheetData>
    <row r="1" spans="1:10" ht="30" customHeight="1">
      <c r="A1" t="s" s="25248">
        <v>714</v>
      </c>
      <c r="B1" s="25170"/>
      <c r="C1" s="25170"/>
      <c r="D1" s="25170"/>
      <c r="E1" s="25170"/>
      <c r="F1" s="25170"/>
      <c r="G1" s="25170"/>
      <c r="H1" s="25170"/>
      <c r="I1" s="25170"/>
      <c r="J1" s="25170"/>
    </row>
    <row r="3" spans="1:10" ht="17.399999999999999">
      <c r="A3" t="s" s="25249">
        <v>715</v>
      </c>
      <c r="B3" s="25170"/>
      <c r="C3" s="16029">
        <v>25</v>
      </c>
      <c r="D3" t="s" s="25304">
        <v>766</v>
      </c>
      <c r="E3" t="s" s="25305">
        <v>754</v>
      </c>
      <c r="F3" s="16030">
        <v>27</v>
      </c>
      <c r="G3" t="s" s="16031">
        <v>767</v>
      </c>
    </row>
    <row r="5" spans="1:10" ht="19.95" customHeight="1">
      <c r="A5" t="s" s="25250">
        <v>716</v>
      </c>
      <c r="B5" s="25170"/>
      <c r="C5" s="25170"/>
      <c r="D5" s="25170"/>
      <c r="E5" s="25170"/>
      <c r="F5" s="25170"/>
    </row>
    <row r="6" spans="1:10" ht="28.8">
      <c r="A6" t="s" s="16032">
        <v>460</v>
      </c>
      <c r="B6" t="s" s="16033">
        <v>717</v>
      </c>
      <c r="C6" t="s" s="16034">
        <v>718</v>
      </c>
      <c r="D6" t="s" s="16035">
        <v>502</v>
      </c>
      <c r="E6" t="s" s="16036">
        <v>719</v>
      </c>
      <c r="F6" t="s" s="16037">
        <v>720</v>
      </c>
    </row>
    <row r="7" spans="1:10">
      <c r="A7" s="16038">
        <v>21</v>
      </c>
      <c r="B7" s="16039">
        <f>SUMIFS(Estados_Cuenta_Mobil!$F:$F,Estados_Cuenta_Mobil!$C:$C,A7)</f>
      </c>
      <c r="C7" s="16040">
        <f>SUMIFS(Captura_Facturas_Mobil!$G:$G,Captura_Facturas_Mobil!$N:$N,A7)</f>
      </c>
      <c r="D7" s="16041">
        <f t="shared" ref="D7:D12" si="0">B7-C7</f>
      </c>
      <c r="E7" s="16042">
        <f>SUMIFS(Estados_Cuenta_Mobil!$I:$I,Estados_Cuenta_Mobil!$C:$C,A7)</f>
      </c>
      <c r="F7" s="16043">
        <f>SUMIFS(Captura_Facturas_Mobil!$E:$E,Captura_Facturas_Mobil!$N:$N,A7)</f>
      </c>
    </row>
    <row r="8" spans="1:10">
      <c r="A8" s="16044">
        <v>22</v>
      </c>
      <c r="B8" s="16045">
        <f>SUMIFS(Estados_Cuenta_Mobil!$F:$F,Estados_Cuenta_Mobil!$C:$C,A8)</f>
      </c>
      <c r="C8" s="16046">
        <f>SUMIFS(Captura_Facturas_Mobil!$G:$G,Captura_Facturas_Mobil!$N:$N,A8)</f>
      </c>
      <c r="D8" s="16047">
        <f t="shared" si="0"/>
      </c>
      <c r="E8" s="16048">
        <f>SUMIFS(Estados_Cuenta_Mobil!$I:$I,Estados_Cuenta_Mobil!$C:$C,A8)</f>
      </c>
      <c r="F8" s="16049">
        <f>SUMIFS(Captura_Facturas_Mobil!$E:$E,Captura_Facturas_Mobil!$N:$N,A8)</f>
      </c>
    </row>
    <row r="9" spans="1:10">
      <c r="A9" s="16050">
        <v>23</v>
      </c>
      <c r="B9" s="16051">
        <f>SUMIFS(Estados_Cuenta_Mobil!$F:$F,Estados_Cuenta_Mobil!$C:$C,A9)</f>
      </c>
      <c r="C9" s="16052">
        <f>SUMIFS(Captura_Facturas_Mobil!$G:$G,Captura_Facturas_Mobil!$N:$N,A9)</f>
      </c>
      <c r="D9" s="16053">
        <f t="shared" si="0"/>
      </c>
      <c r="E9" s="16054">
        <f>SUMIFS(Estados_Cuenta_Mobil!$I:$I,Estados_Cuenta_Mobil!$C:$C,A9)</f>
      </c>
      <c r="F9" s="16055">
        <f>SUMIFS(Captura_Facturas_Mobil!$E:$E,Captura_Facturas_Mobil!$N:$N,A9)</f>
      </c>
    </row>
    <row r="10" spans="1:10">
      <c r="A10" s="16056">
        <v>24</v>
      </c>
      <c r="B10" s="16057">
        <f>SUMIFS(Estados_Cuenta_Mobil!$F:$F,Estados_Cuenta_Mobil!$C:$C,A10)</f>
      </c>
      <c r="C10" s="16058">
        <f>SUMIFS(Captura_Facturas_Mobil!$G:$G,Captura_Facturas_Mobil!$N:$N,A10)</f>
      </c>
      <c r="D10" s="16059">
        <f t="shared" si="0"/>
      </c>
      <c r="E10" s="16060">
        <f>SUMIFS(Estados_Cuenta_Mobil!$I:$I,Estados_Cuenta_Mobil!$C:$C,A10)</f>
      </c>
      <c r="F10" s="16061">
        <f>SUMIFS(Captura_Facturas_Mobil!$E:$E,Captura_Facturas_Mobil!$N:$N,A10)</f>
      </c>
    </row>
    <row r="11" spans="1:10">
      <c r="A11" s="16062">
        <v>25</v>
      </c>
      <c r="B11" s="16063">
        <f>SUMIFS(Estados_Cuenta_Mobil!$F:$F,Estados_Cuenta_Mobil!$C:$C,A11)</f>
      </c>
      <c r="C11" s="16064">
        <f>SUMIFS(Captura_Facturas_Mobil!$G:$G,Captura_Facturas_Mobil!$N:$N,A11)</f>
      </c>
      <c r="D11" s="16065">
        <f t="shared" si="0"/>
      </c>
      <c r="E11" s="16066">
        <f>SUMIFS(Estados_Cuenta_Mobil!$I:$I,Estados_Cuenta_Mobil!$C:$C,A11)</f>
      </c>
      <c r="F11" s="16067">
        <f>SUMIFS(Captura_Facturas_Mobil!$E:$E,Captura_Facturas_Mobil!$N:$N,A11)</f>
      </c>
    </row>
    <row r="12" spans="1:10">
      <c r="A12" s="16068">
        <v>26</v>
      </c>
      <c r="B12" s="16069">
        <f>SUMIFS(Estados_Cuenta_Mobil!$F:$F,Estados_Cuenta_Mobil!$C:$C,A12)</f>
      </c>
      <c r="C12" s="16070">
        <f>SUMIFS(Captura_Facturas_Mobil!$G:$G,Captura_Facturas_Mobil!$N:$N,A12)</f>
      </c>
      <c r="D12" s="16071">
        <f t="shared" si="0"/>
      </c>
      <c r="E12" s="16072">
        <f>SUMIFS(Estados_Cuenta_Mobil!$I:$I,Estados_Cuenta_Mobil!$C:$C,A12)</f>
      </c>
      <c r="F12" s="16073">
        <f>SUMIFS(Captura_Facturas_Mobil!$E:$E,Captura_Facturas_Mobil!$N:$N,A12)</f>
      </c>
    </row>
    <row r="13" spans="1:10">
      <c r="A13" t="s" s="16074">
        <v>721</v>
      </c>
      <c r="B13" s="16075">
        <f>SUM(B7:B12)</f>
      </c>
      <c r="C13" s="16076">
        <f>SUM(C7:C12)</f>
      </c>
      <c r="D13" s="16077">
        <f>SUM(D7:D12)</f>
      </c>
      <c r="E13" s="16078">
        <f>SUM(E7:E12)</f>
      </c>
      <c r="F13" s="16079">
        <f>SUM(F7:F12)</f>
      </c>
    </row>
    <row r="15" spans="1:10">
      <c r="A15" t="s" s="25267">
        <v>755</v>
      </c>
      <c r="B15" s="25170"/>
      <c r="C15" s="25170"/>
      <c r="D15" s="25170"/>
      <c r="E15" s="25170"/>
      <c r="F15" s="25170"/>
      <c r="G15" s="25170"/>
      <c r="H15" s="25170"/>
    </row>
    <row r="16" spans="1:10" ht="19.95" customHeight="1">
      <c r="A16" t="s" s="25251">
        <v>0</v>
      </c>
      <c r="B16" t="s" s="25252">
        <v>722</v>
      </c>
      <c r="C16" t="s" s="25253">
        <v>723</v>
      </c>
      <c r="D16" t="s" s="25254">
        <v>724</v>
      </c>
      <c r="E16" t="s" s="25255">
        <v>725</v>
      </c>
      <c r="F16" t="s" s="25256">
        <v>726</v>
      </c>
      <c r="G16" t="s" s="25257">
        <v>727</v>
      </c>
      <c r="H16" t="s" s="25258">
        <v>721</v>
      </c>
    </row>
    <row r="17" spans="1:10" ht="14.4">
      <c r="A17" t="s" s="16080">
        <v>1</v>
      </c>
      <c r="B17" s="16081">
        <f>SUMIFS(Estados_Cuenta_Mobil!$F:$F,Estados_Cuenta_Mobil!$D:$D,A17,Estados_Cuenta_Mobil!$C:$C,21)</f>
      </c>
      <c r="C17" s="16082">
        <f>SUMIFS(Estados_Cuenta_Mobil!$F:$F,Estados_Cuenta_Mobil!$D:$D,A17,Estados_Cuenta_Mobil!$C:$C,22)</f>
      </c>
      <c r="D17" s="16083">
        <f>SUMIFS(Estados_Cuenta_Mobil!$F:$F,Estados_Cuenta_Mobil!$D:$D,A17,Estados_Cuenta_Mobil!$C:$C,23)</f>
      </c>
      <c r="E17" s="16084">
        <f>SUMIFS(Estados_Cuenta_Mobil!$F:$F,Estados_Cuenta_Mobil!$D:$D,A17,Estados_Cuenta_Mobil!$C:$C,24)</f>
      </c>
      <c r="F17" s="16085">
        <f>SUMIFS(Estados_Cuenta_Mobil!$F:$F,Estados_Cuenta_Mobil!$D:$D,A17,Estados_Cuenta_Mobil!$C:$C,25)</f>
      </c>
      <c r="G17" s="16086">
        <f>SUMIFS(Estados_Cuenta_Mobil!$F:$F,Estados_Cuenta_Mobil!$D:$D,A17,Estados_Cuenta_Mobil!$C:$C,26)</f>
      </c>
      <c r="H17" s="16087">
        <f>SUM(B17:G17)</f>
      </c>
    </row>
    <row r="18" spans="1:10">
      <c r="A18" t="s" s="16088">
        <v>400</v>
      </c>
      <c r="B18" s="16089">
        <f>SUMIFS(Estados_Cuenta_Mobil!$F:$F,Estados_Cuenta_Mobil!$D:$D,"Maquinaria Pegaso",Estados_Cuenta_Mobil!$C:$C,21)+SUMIFS(Estados_Cuenta_Mobil!$F:$F,Estados_Cuenta_Mobil!$D:$D,"Lerma - Tres Marías",Estados_Cuenta_Mobil!$C:$C,21)+SUMIFS(Estados_Cuenta_Mobil!$F:$F,Estados_Cuenta_Mobil!$D:$D,"Chamapa-Lechería",Estados_Cuenta_Mobil!$C:$C,21)+SUMIFS(Estados_Cuenta_Mobil!$F:$F,Estados_Cuenta_Mobil!$D:$D,"Bacheo Toluca",Estados_Cuenta_Mobil!$C:$C,21)+SUMIFS(Estados_Cuenta_Mobil!$F:$F,Estados_Cuenta_Mobil!$D:$D,"Dragones",Estados_Cuenta_Mobil!$C:$C,21)+SUMIFS(Estados_Cuenta_Mobil!$F:$F,Estados_Cuenta_Mobil!$D:$D,"Colegio Militar",Estados_Cuenta_Mobil!$C:$C,21)+SUMIFS(Estados_Cuenta_Mobil!$F:$F,Estados_Cuenta_Mobil!$D:$D,"NO DETECTADA",Estados_Cuenta_Mobil!$C:$C,21)</f>
      </c>
      <c r="C18" s="16090">
        <f>SUMIFS(Estados_Cuenta_Mobil!$F:$F,Estados_Cuenta_Mobil!$D:$D,"Maquinaria Pegaso",Estados_Cuenta_Mobil!$C:$C,22)+SUMIFS(Estados_Cuenta_Mobil!$F:$F,Estados_Cuenta_Mobil!$D:$D,"Lerma - Tres Marías",Estados_Cuenta_Mobil!$C:$C,22)+SUMIFS(Estados_Cuenta_Mobil!$F:$F,Estados_Cuenta_Mobil!$D:$D,"Chamapa-Lechería",Estados_Cuenta_Mobil!$C:$C,22)+SUMIFS(Estados_Cuenta_Mobil!$F:$F,Estados_Cuenta_Mobil!$D:$D,"Bacheo Toluca",Estados_Cuenta_Mobil!$C:$C,22)+SUMIFS(Estados_Cuenta_Mobil!$F:$F,Estados_Cuenta_Mobil!$D:$D,"Dragones",Estados_Cuenta_Mobil!$C:$C,22)+SUMIFS(Estados_Cuenta_Mobil!$F:$F,Estados_Cuenta_Mobil!$D:$D,"Colegio Militar",Estados_Cuenta_Mobil!$C:$C,22)+SUMIFS(Estados_Cuenta_Mobil!$F:$F,Estados_Cuenta_Mobil!$D:$D,"NO DETECTADA",Estados_Cuenta_Mobil!$C:$C,22)</f>
      </c>
      <c r="D18" s="16091">
        <f>SUMIFS(Estados_Cuenta_Mobil!$F:$F,Estados_Cuenta_Mobil!$D:$D,"Maquinaria Pegaso",Estados_Cuenta_Mobil!$C:$C,23)+SUMIFS(Estados_Cuenta_Mobil!$F:$F,Estados_Cuenta_Mobil!$D:$D,"Lerma - Tres Marías",Estados_Cuenta_Mobil!$C:$C,23)+SUMIFS(Estados_Cuenta_Mobil!$F:$F,Estados_Cuenta_Mobil!$D:$D,"Chamapa-Lechería",Estados_Cuenta_Mobil!$C:$C,23)+SUMIFS(Estados_Cuenta_Mobil!$F:$F,Estados_Cuenta_Mobil!$D:$D,"Bacheo Toluca",Estados_Cuenta_Mobil!$C:$C,23)+SUMIFS(Estados_Cuenta_Mobil!$F:$F,Estados_Cuenta_Mobil!$D:$D,"Dragones",Estados_Cuenta_Mobil!$C:$C,23)+SUMIFS(Estados_Cuenta_Mobil!$F:$F,Estados_Cuenta_Mobil!$D:$D,"Colegio Militar",Estados_Cuenta_Mobil!$C:$C,23)+SUMIFS(Estados_Cuenta_Mobil!$F:$F,Estados_Cuenta_Mobil!$D:$D,"NO DETECTADA",Estados_Cuenta_Mobil!$C:$C,23)</f>
      </c>
      <c r="E18" s="16092">
        <f>SUMIFS(Estados_Cuenta_Mobil!$F:$F,Estados_Cuenta_Mobil!$D:$D,"Maquinaria Pegaso",Estados_Cuenta_Mobil!$C:$C,24)+SUMIFS(Estados_Cuenta_Mobil!$F:$F,Estados_Cuenta_Mobil!$D:$D,"Lerma - Tres Marías",Estados_Cuenta_Mobil!$C:$C,24)+SUMIFS(Estados_Cuenta_Mobil!$F:$F,Estados_Cuenta_Mobil!$D:$D,"Chamapa-Lechería",Estados_Cuenta_Mobil!$C:$C,24)+SUMIFS(Estados_Cuenta_Mobil!$F:$F,Estados_Cuenta_Mobil!$D:$D,"Bacheo Toluca",Estados_Cuenta_Mobil!$C:$C,24)+SUMIFS(Estados_Cuenta_Mobil!$F:$F,Estados_Cuenta_Mobil!$D:$D,"Dragones",Estados_Cuenta_Mobil!$C:$C,24)+SUMIFS(Estados_Cuenta_Mobil!$F:$F,Estados_Cuenta_Mobil!$D:$D,"Colegio Militar",Estados_Cuenta_Mobil!$C:$C,24)+SUMIFS(Estados_Cuenta_Mobil!$F:$F,Estados_Cuenta_Mobil!$D:$D,"NO DETECTADA",Estados_Cuenta_Mobil!$C:$C,24)</f>
      </c>
      <c r="F18" s="16093">
        <f>SUMIFS(Estados_Cuenta_Mobil!$F:$F,Estados_Cuenta_Mobil!$D:$D,"Maquinaria Pegaso",Estados_Cuenta_Mobil!$C:$C,25)+SUMIFS(Estados_Cuenta_Mobil!$F:$F,Estados_Cuenta_Mobil!$D:$D,"Lerma - Tres Marías",Estados_Cuenta_Mobil!$C:$C,25)+SUMIFS(Estados_Cuenta_Mobil!$F:$F,Estados_Cuenta_Mobil!$D:$D,"Chamapa-Lechería",Estados_Cuenta_Mobil!$C:$C,25)+SUMIFS(Estados_Cuenta_Mobil!$F:$F,Estados_Cuenta_Mobil!$D:$D,"Bacheo Toluca",Estados_Cuenta_Mobil!$C:$C,25)+SUMIFS(Estados_Cuenta_Mobil!$F:$F,Estados_Cuenta_Mobil!$D:$D,"Dragones",Estados_Cuenta_Mobil!$C:$C,25)+SUMIFS(Estados_Cuenta_Mobil!$F:$F,Estados_Cuenta_Mobil!$D:$D,"Colegio Militar",Estados_Cuenta_Mobil!$C:$C,25)+SUMIFS(Estados_Cuenta_Mobil!$F:$F,Estados_Cuenta_Mobil!$D:$D,"NO DETECTADA",Estados_Cuenta_Mobil!$C:$C,25)</f>
      </c>
      <c r="G18" s="16094">
        <f>SUMIFS(Estados_Cuenta_Mobil!$F:$F,Estados_Cuenta_Mobil!$D:$D,"Maquinaria Pegaso",Estados_Cuenta_Mobil!$C:$C,26)+SUMIFS(Estados_Cuenta_Mobil!$F:$F,Estados_Cuenta_Mobil!$D:$D,"Lerma - Tres Marías",Estados_Cuenta_Mobil!$C:$C,26)+SUMIFS(Estados_Cuenta_Mobil!$F:$F,Estados_Cuenta_Mobil!$D:$D,"Chamapa-Lechería",Estados_Cuenta_Mobil!$C:$C,26)+SUMIFS(Estados_Cuenta_Mobil!$F:$F,Estados_Cuenta_Mobil!$D:$D,"Bacheo Toluca",Estados_Cuenta_Mobil!$C:$C,26)+SUMIFS(Estados_Cuenta_Mobil!$F:$F,Estados_Cuenta_Mobil!$D:$D,"Dragones",Estados_Cuenta_Mobil!$C:$C,26)+SUMIFS(Estados_Cuenta_Mobil!$F:$F,Estados_Cuenta_Mobil!$D:$D,"Colegio Militar",Estados_Cuenta_Mobil!$C:$C,26)+SUMIFS(Estados_Cuenta_Mobil!$F:$F,Estados_Cuenta_Mobil!$D:$D,"NO DETECTADA",Estados_Cuenta_Mobil!$C:$C,26)</f>
      </c>
      <c r="H18" s="16095">
        <f>SUM(B18:G18)</f>
      </c>
    </row>
    <row r="19" spans="1:10">
      <c r="A19" t="s" s="16096">
        <v>124</v>
      </c>
      <c r="B19" s="16097">
        <f>SUMIFS(Estados_Cuenta_Mobil!$F:$F,Estados_Cuenta_Mobil!$D:$D,A19,Estados_Cuenta_Mobil!$C:$C,21)</f>
      </c>
      <c r="C19" s="16098">
        <f>SUMIFS(Estados_Cuenta_Mobil!$F:$F,Estados_Cuenta_Mobil!$D:$D,A19,Estados_Cuenta_Mobil!$C:$C,22)</f>
      </c>
      <c r="D19" s="16099">
        <f>SUMIFS(Estados_Cuenta_Mobil!$F:$F,Estados_Cuenta_Mobil!$D:$D,A19,Estados_Cuenta_Mobil!$C:$C,23)</f>
      </c>
      <c r="E19" s="16100">
        <f>SUMIFS(Estados_Cuenta_Mobil!$F:$F,Estados_Cuenta_Mobil!$D:$D,A19,Estados_Cuenta_Mobil!$C:$C,24)</f>
      </c>
      <c r="F19" s="16101">
        <f>SUMIFS(Estados_Cuenta_Mobil!$F:$F,Estados_Cuenta_Mobil!$D:$D,A19,Estados_Cuenta_Mobil!$C:$C,25)</f>
      </c>
      <c r="G19" s="16102">
        <f>SUMIFS(Estados_Cuenta_Mobil!$F:$F,Estados_Cuenta_Mobil!$D:$D,A19,Estados_Cuenta_Mobil!$C:$C,26)</f>
      </c>
      <c r="H19" s="16103">
        <f>SUM(B19:G19)</f>
      </c>
    </row>
    <row r="20" spans="1:10">
      <c r="A20" t="s" s="16104">
        <v>166</v>
      </c>
      <c r="B20" s="16105">
        <f>SUMIFS(Estados_Cuenta_Mobil!$F:$F,Estados_Cuenta_Mobil!$D:$D,A20,Estados_Cuenta_Mobil!$C:$C,21)</f>
      </c>
      <c r="C20" s="16106">
        <f>SUMIFS(Estados_Cuenta_Mobil!$F:$F,Estados_Cuenta_Mobil!$D:$D,A20,Estados_Cuenta_Mobil!$C:$C,22)</f>
      </c>
      <c r="D20" s="16107">
        <f>SUMIFS(Estados_Cuenta_Mobil!$F:$F,Estados_Cuenta_Mobil!$D:$D,A20,Estados_Cuenta_Mobil!$C:$C,23)</f>
      </c>
      <c r="E20" s="16108">
        <f>SUMIFS(Estados_Cuenta_Mobil!$F:$F,Estados_Cuenta_Mobil!$D:$D,A20,Estados_Cuenta_Mobil!$C:$C,24)</f>
      </c>
      <c r="F20" s="16109">
        <f>SUMIFS(Estados_Cuenta_Mobil!$F:$F,Estados_Cuenta_Mobil!$D:$D,A20,Estados_Cuenta_Mobil!$C:$C,25)</f>
      </c>
      <c r="G20" s="16110">
        <f>SUMIFS(Estados_Cuenta_Mobil!$F:$F,Estados_Cuenta_Mobil!$D:$D,A20,Estados_Cuenta_Mobil!$C:$C,26)</f>
      </c>
      <c r="H20" s="16111">
        <f>SUM(B20:G20)</f>
      </c>
    </row>
    <row r="21" spans="1:10">
      <c r="A21" t="s" s="16112">
        <v>721</v>
      </c>
      <c r="B21" s="16113">
        <f t="shared" ref="B21:H21" si="1">SUM(B17:B20)</f>
      </c>
      <c r="C21" s="16114">
        <f t="shared" si="1"/>
      </c>
      <c r="D21" s="16115">
        <f t="shared" si="1"/>
      </c>
      <c r="E21" s="16116">
        <f t="shared" si="1"/>
      </c>
      <c r="F21" s="16117">
        <f t="shared" si="1"/>
      </c>
      <c r="G21" s="16118">
        <f t="shared" si="1"/>
      </c>
      <c r="H21" s="16119">
        <f t="shared" si="1"/>
      </c>
    </row>
    <row r="22" spans="1:10">
      <c r="A22" t="s" s="25268">
        <v>728</v>
      </c>
      <c r="B22" s="25269">
        <f>SUMIFS(Estados_Cuenta_Mobil!$F:$F, Estados_Cuenta_Mobil!$D:$D, A22, Estados_Cuenta_Mobil!$C:$C, 21)</f>
      </c>
      <c r="C22" s="25270">
        <f>SUMIFS(Estados_Cuenta_Mobil!$F:$F, Estados_Cuenta_Mobil!$D:$D, A22, Estados_Cuenta_Mobil!$C:$C, 22)</f>
      </c>
      <c r="D22" s="25271">
        <f>SUMIFS(Estados_Cuenta_Mobil!$F:$F, Estados_Cuenta_Mobil!$D:$D, A22, Estados_Cuenta_Mobil!$C:$C, 23)</f>
      </c>
      <c r="E22" s="25272">
        <f>SUMIFS(Estados_Cuenta_Mobil!$F:$F, Estados_Cuenta_Mobil!$D:$D, A22, Estados_Cuenta_Mobil!$C:$C, 24)</f>
      </c>
      <c r="F22" s="25273">
        <f>SUMIFS(Estados_Cuenta_Mobil!$F:$F, Estados_Cuenta_Mobil!$D:$D, A22, Estados_Cuenta_Mobil!$C:$C, 25)</f>
      </c>
      <c r="G22" s="25274">
        <f>SUMIFS(Estados_Cuenta_Mobil!$F:$F, Estados_Cuenta_Mobil!$D:$D, A22, Estados_Cuenta_Mobil!$C:$C, 26)</f>
      </c>
      <c r="H22" s="25275"/>
    </row>
    <row r="23" spans="1:10" ht="14.4">
      <c r="A23" t="s" s="25306">
        <v>728</v>
      </c>
      <c r="B23" t="s" s="25307">
        <v>722</v>
      </c>
      <c r="C23" t="s" s="25308">
        <v>723</v>
      </c>
      <c r="D23" t="s" s="25309">
        <v>724</v>
      </c>
      <c r="E23" t="s" s="25310">
        <v>725</v>
      </c>
      <c r="F23" t="s" s="25311">
        <v>726</v>
      </c>
      <c r="G23" t="s" s="25312">
        <v>727</v>
      </c>
      <c r="H23" t="s" s="25313">
        <v>721</v>
      </c>
    </row>
    <row r="24" spans="1:10" ht="14.4">
      <c r="A24" t="s" s="16120">
        <v>0</v>
      </c>
      <c r="B24" t="s" s="16121">
        <v>722</v>
      </c>
      <c r="C24" t="s" s="16122">
        <v>723</v>
      </c>
      <c r="D24" t="s" s="16123">
        <v>724</v>
      </c>
      <c r="E24" t="s" s="16124">
        <v>725</v>
      </c>
      <c r="F24" t="s" s="16125">
        <v>726</v>
      </c>
      <c r="G24" t="s" s="16126">
        <v>727</v>
      </c>
      <c r="H24" t="s" s="16127">
        <v>721</v>
      </c>
    </row>
    <row r="25" spans="1:10">
      <c r="A25" t="s" s="16128">
        <v>1</v>
      </c>
      <c r="B25" s="16129">
        <f>SUMIFS(Captura_Facturas_Mobil!$E:$E,Captura_Facturas_Mobil!$D:$D,A25,Captura_Facturas_Mobil!$N:$N,21)</f>
      </c>
      <c r="C25" s="16130">
        <f>SUMIFS(Captura_Facturas_Mobil!$E:$E,Captura_Facturas_Mobil!$D:$D,A25,Captura_Facturas_Mobil!$N:$N,22)</f>
      </c>
      <c r="D25" s="16131">
        <f>SUMIFS(Captura_Facturas_Mobil!$E:$E,Captura_Facturas_Mobil!$D:$D,A25,Captura_Facturas_Mobil!$N:$N,23)</f>
      </c>
      <c r="E25" s="16132">
        <f>SUMIFS(Captura_Facturas_Mobil!$E:$E,Captura_Facturas_Mobil!$D:$D,A25,Captura_Facturas_Mobil!$N:$N,24)</f>
      </c>
      <c r="F25" s="16133">
        <f>SUMIFS(Captura_Facturas_Mobil!$E:$E,Captura_Facturas_Mobil!$D:$D,A25,Captura_Facturas_Mobil!$N:$N,25)</f>
      </c>
      <c r="G25" s="16134">
        <f>SUMIFS(Captura_Facturas_Mobil!$E:$E,Captura_Facturas_Mobil!$D:$D,A25,Captura_Facturas_Mobil!$N:$N,26)</f>
      </c>
      <c r="H25" s="16135">
        <f>SUM(B25:G25)</f>
      </c>
    </row>
    <row r="26" spans="1:10">
      <c r="A26" t="s" s="16136">
        <v>400</v>
      </c>
      <c r="B26" s="16137">
        <f>SUMIFS(Captura_Facturas_Mobil!$E:$E,Captura_Facturas_Mobil!$D:$D,"Maquinaria Pegaso",Captura_Facturas_Mobil!$N:$N,21)+SUMIFS(Captura_Facturas_Mobil!$E:$E,Captura_Facturas_Mobil!$D:$D,"Lerma - Tres Marías",Captura_Facturas_Mobil!$N:$N,21)+SUMIFS(Captura_Facturas_Mobil!$E:$E,Captura_Facturas_Mobil!$D:$D,"Chamapa-Lechería",Captura_Facturas_Mobil!$N:$N,21)+SUMIFS(Captura_Facturas_Mobil!$E:$E,Captura_Facturas_Mobil!$D:$D,"Bacheo Toluca",Captura_Facturas_Mobil!$N:$N,21)+SUMIFS(Captura_Facturas_Mobil!$E:$E,Captura_Facturas_Mobil!$D:$D,"Dragones",Captura_Facturas_Mobil!$N:$N,21)+SUMIFS(Captura_Facturas_Mobil!$E:$E,Captura_Facturas_Mobil!$D:$D,"Colegio Militar",Captura_Facturas_Mobil!$N:$N,21)+SUMIFS(Captura_Facturas_Mobil!$E:$E,Captura_Facturas_Mobil!$D:$D,"NO DETECTADA",Captura_Facturas_Mobil!$N:$N,21)</f>
      </c>
      <c r="C26" s="16138">
        <f>SUMIFS(Captura_Facturas_Mobil!$E:$E,Captura_Facturas_Mobil!$D:$D,"Maquinaria Pegaso",Captura_Facturas_Mobil!$N:$N,22)+SUMIFS(Captura_Facturas_Mobil!$E:$E,Captura_Facturas_Mobil!$D:$D,"Lerma - Tres Marías",Captura_Facturas_Mobil!$N:$N,22)+SUMIFS(Captura_Facturas_Mobil!$E:$E,Captura_Facturas_Mobil!$D:$D,"Chamapa-Lechería",Captura_Facturas_Mobil!$N:$N,22)+SUMIFS(Captura_Facturas_Mobil!$E:$E,Captura_Facturas_Mobil!$D:$D,"Bacheo Toluca",Captura_Facturas_Mobil!$N:$N,22)+SUMIFS(Captura_Facturas_Mobil!$E:$E,Captura_Facturas_Mobil!$D:$D,"Dragones",Captura_Facturas_Mobil!$N:$N,22)+SUMIFS(Captura_Facturas_Mobil!$E:$E,Captura_Facturas_Mobil!$D:$D,"Colegio Militar",Captura_Facturas_Mobil!$N:$N,22)+SUMIFS(Captura_Facturas_Mobil!$E:$E,Captura_Facturas_Mobil!$D:$D,"NO DETECTADA",Captura_Facturas_Mobil!$N:$N,22)</f>
      </c>
      <c r="D26" s="16139">
        <f>SUMIFS(Captura_Facturas_Mobil!$E:$E,Captura_Facturas_Mobil!$D:$D,"Maquinaria Pegaso",Captura_Facturas_Mobil!$N:$N,23)+SUMIFS(Captura_Facturas_Mobil!$E:$E,Captura_Facturas_Mobil!$D:$D,"Lerma - Tres Marías",Captura_Facturas_Mobil!$N:$N,23)+SUMIFS(Captura_Facturas_Mobil!$E:$E,Captura_Facturas_Mobil!$D:$D,"Chamapa-Lechería",Captura_Facturas_Mobil!$N:$N,23)+SUMIFS(Captura_Facturas_Mobil!$E:$E,Captura_Facturas_Mobil!$D:$D,"Bacheo Toluca",Captura_Facturas_Mobil!$N:$N,23)+SUMIFS(Captura_Facturas_Mobil!$E:$E,Captura_Facturas_Mobil!$D:$D,"Dragones",Captura_Facturas_Mobil!$N:$N,23)+SUMIFS(Captura_Facturas_Mobil!$E:$E,Captura_Facturas_Mobil!$D:$D,"Colegio Militar",Captura_Facturas_Mobil!$N:$N,23)+SUMIFS(Captura_Facturas_Mobil!$E:$E,Captura_Facturas_Mobil!$D:$D,"NO DETECTADA",Captura_Facturas_Mobil!$N:$N,23)</f>
      </c>
      <c r="E26" s="16140">
        <f>SUMIFS(Captura_Facturas_Mobil!$E:$E,Captura_Facturas_Mobil!$D:$D,"Maquinaria Pegaso",Captura_Facturas_Mobil!$N:$N,24)+SUMIFS(Captura_Facturas_Mobil!$E:$E,Captura_Facturas_Mobil!$D:$D,"Lerma - Tres Marías",Captura_Facturas_Mobil!$N:$N,24)+SUMIFS(Captura_Facturas_Mobil!$E:$E,Captura_Facturas_Mobil!$D:$D,"Chamapa-Lechería",Captura_Facturas_Mobil!$N:$N,24)+SUMIFS(Captura_Facturas_Mobil!$E:$E,Captura_Facturas_Mobil!$D:$D,"Bacheo Toluca",Captura_Facturas_Mobil!$N:$N,24)+SUMIFS(Captura_Facturas_Mobil!$E:$E,Captura_Facturas_Mobil!$D:$D,"Dragones",Captura_Facturas_Mobil!$N:$N,24)+SUMIFS(Captura_Facturas_Mobil!$E:$E,Captura_Facturas_Mobil!$D:$D,"Colegio Militar",Captura_Facturas_Mobil!$N:$N,24)+SUMIFS(Captura_Facturas_Mobil!$E:$E,Captura_Facturas_Mobil!$D:$D,"NO DETECTADA",Captura_Facturas_Mobil!$N:$N,24)</f>
      </c>
      <c r="F26" s="16141">
        <f>SUMIFS(Captura_Facturas_Mobil!$E:$E,Captura_Facturas_Mobil!$D:$D,"Maquinaria Pegaso",Captura_Facturas_Mobil!$N:$N,25)+SUMIFS(Captura_Facturas_Mobil!$E:$E,Captura_Facturas_Mobil!$D:$D,"Lerma - Tres Marías",Captura_Facturas_Mobil!$N:$N,25)+SUMIFS(Captura_Facturas_Mobil!$E:$E,Captura_Facturas_Mobil!$D:$D,"Chamapa-Lechería",Captura_Facturas_Mobil!$N:$N,25)+SUMIFS(Captura_Facturas_Mobil!$E:$E,Captura_Facturas_Mobil!$D:$D,"Bacheo Toluca",Captura_Facturas_Mobil!$N:$N,25)+SUMIFS(Captura_Facturas_Mobil!$E:$E,Captura_Facturas_Mobil!$D:$D,"Dragones",Captura_Facturas_Mobil!$N:$N,25)+SUMIFS(Captura_Facturas_Mobil!$E:$E,Captura_Facturas_Mobil!$D:$D,"Colegio Militar",Captura_Facturas_Mobil!$N:$N,25)+SUMIFS(Captura_Facturas_Mobil!$E:$E,Captura_Facturas_Mobil!$D:$D,"NO DETECTADA",Captura_Facturas_Mobil!$N:$N,25)</f>
      </c>
      <c r="G26" s="16142">
        <f>SUMIFS(Captura_Facturas_Mobil!$E:$E,Captura_Facturas_Mobil!$D:$D,"Maquinaria Pegaso",Captura_Facturas_Mobil!$N:$N,26)+SUMIFS(Captura_Facturas_Mobil!$E:$E,Captura_Facturas_Mobil!$D:$D,"Lerma - Tres Marías",Captura_Facturas_Mobil!$N:$N,26)+SUMIFS(Captura_Facturas_Mobil!$E:$E,Captura_Facturas_Mobil!$D:$D,"Chamapa-Lechería",Captura_Facturas_Mobil!$N:$N,26)+SUMIFS(Captura_Facturas_Mobil!$E:$E,Captura_Facturas_Mobil!$D:$D,"Bacheo Toluca",Captura_Facturas_Mobil!$N:$N,26)+SUMIFS(Captura_Facturas_Mobil!$E:$E,Captura_Facturas_Mobil!$D:$D,"Dragones",Captura_Facturas_Mobil!$N:$N,26)+SUMIFS(Captura_Facturas_Mobil!$E:$E,Captura_Facturas_Mobil!$D:$D,"Colegio Militar",Captura_Facturas_Mobil!$N:$N,26)+SUMIFS(Captura_Facturas_Mobil!$E:$E,Captura_Facturas_Mobil!$D:$D,"NO DETECTADA",Captura_Facturas_Mobil!$N:$N,26)</f>
      </c>
      <c r="H26" s="16143">
        <f>SUM(B26:G26)</f>
      </c>
    </row>
    <row r="27" spans="1:10">
      <c r="A27" t="s" s="16144">
        <v>124</v>
      </c>
      <c r="B27" s="16145">
        <f>SUMIFS(Captura_Facturas_Mobil!$E:$E,Captura_Facturas_Mobil!$D:$D,A27,Captura_Facturas_Mobil!$N:$N,21)</f>
      </c>
      <c r="C27" s="16146">
        <f>SUMIFS(Captura_Facturas_Mobil!$E:$E,Captura_Facturas_Mobil!$D:$D,A27,Captura_Facturas_Mobil!$N:$N,22)</f>
      </c>
      <c r="D27" s="16147">
        <f>SUMIFS(Captura_Facturas_Mobil!$E:$E,Captura_Facturas_Mobil!$D:$D,A27,Captura_Facturas_Mobil!$N:$N,23)</f>
      </c>
      <c r="E27" s="16148">
        <f>SUMIFS(Captura_Facturas_Mobil!$E:$E,Captura_Facturas_Mobil!$D:$D,A27,Captura_Facturas_Mobil!$N:$N,24)</f>
      </c>
      <c r="F27" s="16149">
        <f>SUMIFS(Captura_Facturas_Mobil!$E:$E,Captura_Facturas_Mobil!$D:$D,A27,Captura_Facturas_Mobil!$N:$N,25)</f>
      </c>
      <c r="G27" s="16150">
        <f>SUMIFS(Captura_Facturas_Mobil!$E:$E,Captura_Facturas_Mobil!$D:$D,A27,Captura_Facturas_Mobil!$N:$N,26)</f>
      </c>
      <c r="H27" s="16151">
        <f>SUM(B27:G27)</f>
      </c>
    </row>
    <row r="28" spans="1:10">
      <c r="A28" t="s" s="16152">
        <v>166</v>
      </c>
      <c r="B28" s="16153">
        <f>SUMIFS(Captura_Facturas_Mobil!$E:$E,Captura_Facturas_Mobil!$D:$D,A28,Captura_Facturas_Mobil!$N:$N,21)</f>
      </c>
      <c r="C28" s="16154">
        <f>SUMIFS(Captura_Facturas_Mobil!$E:$E,Captura_Facturas_Mobil!$D:$D,A28,Captura_Facturas_Mobil!$N:$N,22)</f>
      </c>
      <c r="D28" s="16155">
        <f>SUMIFS(Captura_Facturas_Mobil!$E:$E,Captura_Facturas_Mobil!$D:$D,A28,Captura_Facturas_Mobil!$N:$N,23)</f>
      </c>
      <c r="E28" s="16156">
        <f>SUMIFS(Captura_Facturas_Mobil!$E:$E,Captura_Facturas_Mobil!$D:$D,A28,Captura_Facturas_Mobil!$N:$N,24)</f>
      </c>
      <c r="F28" s="16157">
        <f>SUMIFS(Captura_Facturas_Mobil!$E:$E,Captura_Facturas_Mobil!$D:$D,A28,Captura_Facturas_Mobil!$N:$N,25)</f>
      </c>
      <c r="G28" s="16158">
        <f>SUMIFS(Captura_Facturas_Mobil!$E:$E,Captura_Facturas_Mobil!$D:$D,A28,Captura_Facturas_Mobil!$N:$N,26)</f>
      </c>
      <c r="H28" s="16159">
        <f>SUM(B28:G28)</f>
      </c>
    </row>
    <row r="29" spans="1:10" ht="19.95" customHeight="1">
      <c r="A29" t="s" s="25259">
        <v>721</v>
      </c>
      <c r="B29" s="25260">
        <f t="shared" ref="B29:H29" si="2">SUM(B25:B28)</f>
      </c>
      <c r="C29" s="25261">
        <f t="shared" si="2"/>
      </c>
      <c r="D29" s="25262">
        <f t="shared" si="2"/>
      </c>
      <c r="E29" s="25263">
        <f t="shared" si="2"/>
      </c>
      <c r="F29" s="25264">
        <f t="shared" si="2"/>
      </c>
      <c r="G29" s="25265">
        <f t="shared" si="2"/>
      </c>
      <c r="H29" s="25266">
        <f t="shared" si="2"/>
      </c>
    </row>
    <row r="30" spans="1:10" ht="17.399999999999999">
      <c r="A30" t="s" s="25276">
        <v>715</v>
      </c>
      <c r="B30" t="s" s="25277">
        <v>722</v>
      </c>
      <c r="C30" t="s" s="25278">
        <v>723</v>
      </c>
      <c r="D30" s="16005">
        <f>$C$3</f>
      </c>
      <c r="E30" t="s" s="15144">
        <v>725</v>
      </c>
      <c r="F30" t="s" s="15145">
        <v>726</v>
      </c>
      <c r="G30" t="s" s="15146">
        <v>727</v>
      </c>
      <c r="H30" t="s" s="15147">
        <v>721</v>
      </c>
    </row>
    <row r="31" spans="1:10" ht="19.95" customHeight="1">
      <c r="A31" t="s" s="25187">
        <v>729</v>
      </c>
      <c r="B31" t="s" s="25188">
        <v>756</v>
      </c>
      <c r="C31" t="s" s="25189">
        <v>757</v>
      </c>
      <c r="D31" t="s" s="25190">
        <v>758</v>
      </c>
      <c r="E31" t="s" s="25191">
        <v>804</v>
      </c>
      <c r="F31" t="s" s="25192">
        <v>759</v>
      </c>
      <c r="G31" t="s" s="25193">
        <v>760</v>
      </c>
      <c r="H31" t="s" s="25194">
        <v>761</v>
      </c>
      <c r="I31" t="s" s="25195">
        <v>762</v>
      </c>
      <c r="J31" t="s" s="25196">
        <v>763</v>
      </c>
    </row>
    <row r="32" spans="1:10" ht="17.399999999999999">
      <c r="A32" t="s" s="25197">
        <v>715</v>
      </c>
      <c r="B32" s="25198">
        <f>IFERROR(SUMIFS(Estados_Cuenta_Mobil!$F:$F, Estados_Cuenta_Mobil!$D:$D, A32, Estados_Cuenta_Mobil!$C:$C, $C$3), 0)</f>
      </c>
      <c r="C32" s="25199">
        <f>IFERROR(SUMIFS(Captura_Facturas_Mobil!$G:$G, Captura_Facturas_Mobil!$D:$D, A32, Captura_Facturas_Mobil!$N:$N, $C$3), 0)</f>
      </c>
      <c r="D32" s="16160">
        <f>$C$3</f>
      </c>
      <c r="E32" s="16006">
        <f>SUMIFS(Captura_Facturas_Mobil!$E:$E, Captura_Facturas_Mobil!$D:$D, A32, Captura_Facturas_Mobil!$N:$N, $C$3)</f>
      </c>
      <c r="F32" s="16007">
        <f>IFERROR(SUMIFS(Captura_Obra!$F:$F, Captura_Obra!$B:$B, A32, Captura_Obra!$M:$M, $C$3), 0)</f>
      </c>
      <c r="G32" s="16008">
        <f>E32-F32</f>
      </c>
      <c r="H32" s="16009">
        <f>IFERROR(C32/E32, $F$3)</f>
      </c>
      <c r="I32" s="16010">
        <f>F32*H32</f>
      </c>
      <c r="J32" s="16011">
        <f>B32-I32</f>
      </c>
    </row>
    <row r="33" spans="1:10" ht="36" customHeight="1">
      <c r="A33" t="s" s="16161">
        <v>0</v>
      </c>
      <c r="B33" t="s" s="16162">
        <v>756</v>
      </c>
      <c r="C33" t="s" s="16163">
        <v>757</v>
      </c>
      <c r="D33" t="s" s="16164">
        <v>768</v>
      </c>
      <c r="E33" t="s" s="16165">
        <v>804</v>
      </c>
      <c r="F33" t="s" s="16166">
        <v>759</v>
      </c>
      <c r="G33" t="s" s="16167">
        <v>760</v>
      </c>
      <c r="H33" t="s" s="16168">
        <v>761</v>
      </c>
      <c r="I33" t="s" s="16169">
        <v>762</v>
      </c>
      <c r="J33" t="s" s="16170">
        <v>763</v>
      </c>
    </row>
    <row r="34" spans="1:10">
      <c r="A34" t="s" s="16171">
        <v>1</v>
      </c>
      <c r="B34" s="16172">
        <f>IFERROR(SUMIFS(Estados_Cuenta_Mobil!$F:$F,Estados_Cuenta_Mobil!$D:$D,A34,Estados_Cuenta_Mobil!$C:$C,$C$3),0)</f>
      </c>
      <c r="C34" s="16173">
        <f>IFERROR(SUMIFS(Captura_Facturas_Mobil!$G:$G,Captura_Facturas_Mobil!$D:$D,A34,Captura_Facturas_Mobil!$N:$N,$C$3),0)</f>
      </c>
      <c r="D34" s="16174">
        <f>B34-C34</f>
      </c>
      <c r="E34" s="16175">
        <f>SUMIFS(Captura_Facturas_Mobil!$E:$E,Captura_Facturas_Mobil!$D:$D,A34,Captura_Facturas_Mobil!$N:$N,$C$3)</f>
      </c>
      <c r="F34" s="16176">
        <f>IFERROR(SUMIFS(Captura_Obra!$F:$F,Captura_Obra!$B:$B,A34,Captura_Obra!$M:$M,$C$3),0)</f>
      </c>
      <c r="G34" s="16177">
        <f>E34-F34</f>
      </c>
      <c r="H34" s="16178">
        <f>IFERROR(C34/E34,$F$3)</f>
      </c>
      <c r="I34" s="16179">
        <f>F34*H34</f>
      </c>
      <c r="J34" s="16180">
        <f>B34-I34</f>
      </c>
    </row>
    <row r="35" spans="1:10">
      <c r="A35" t="s" s="16181">
        <v>1</v>
      </c>
      <c r="B35" s="16182">
        <f>IFERROR(SUMIFS(Estados_Cuenta_Mobil!$F:$F,Estados_Cuenta_Mobil!$D:$D,A35,Estados_Cuenta_Mobil!$C:$C,$C$3),0)</f>
      </c>
      <c r="C35" s="16183">
        <f>IFERROR(SUMIFS(Captura_Facturas_Mobil!$G:$G,Captura_Facturas_Mobil!$D:$D,A35,Captura_Facturas_Mobil!$N:$N,$C$3),0)</f>
      </c>
      <c r="D35" s="16184">
        <f>B35-C35</f>
      </c>
      <c r="E35" s="16185">
        <f>SUMIFS(Captura_Facturas_Mobil!$E:$E,Captura_Facturas_Mobil!$D:$D,A35,Captura_Facturas_Mobil!$N:$N,$C$3)</f>
      </c>
      <c r="F35" s="16186">
        <f>IFERROR(SUMIFS(Captura_Obra!$F:$F,Captura_Obra!$B:$B,A35,Captura_Obra!$M:$M,$C$3),0)</f>
      </c>
      <c r="G35" s="16187">
        <f>E35-F35</f>
      </c>
      <c r="H35" s="16188">
        <f>IFERROR(C35/E35,$F$3)</f>
      </c>
      <c r="I35" s="16189">
        <f>F35*H35</f>
      </c>
      <c r="J35" s="16190">
        <f>B35-I35</f>
      </c>
    </row>
    <row r="36" spans="1:10">
      <c r="A36" t="s" s="16191">
        <v>400</v>
      </c>
      <c r="B36" s="16192">
        <f>SUMIFS(Estados_Cuenta_Mobil!$F:$F,Estados_Cuenta_Mobil!$D:$D,"Maquinaria Pegaso",Estados_Cuenta_Mobil!$C:$C,$C$3)+SUMIFS(Estados_Cuenta_Mobil!$F:$F,Estados_Cuenta_Mobil!$D:$D,"Lerma - Tres Marías",Estados_Cuenta_Mobil!$C:$C,$C$3)+SUMIFS(Estados_Cuenta_Mobil!$F:$F,Estados_Cuenta_Mobil!$D:$D,"Chamapa-Lechería",Estados_Cuenta_Mobil!$C:$C,$C$3)+SUMIFS(Estados_Cuenta_Mobil!$F:$F,Estados_Cuenta_Mobil!$D:$D,"Bacheo Toluca",Estados_Cuenta_Mobil!$C:$C,$C$3)+SUMIFS(Estados_Cuenta_Mobil!$F:$F,Estados_Cuenta_Mobil!$D:$D,"Dragones",Estados_Cuenta_Mobil!$C:$C,$C$3)+SUMIFS(Estados_Cuenta_Mobil!$F:$F,Estados_Cuenta_Mobil!$D:$D,"Colegio Militar",Estados_Cuenta_Mobil!$C:$C,$C$3)+SUMIFS(Estados_Cuenta_Mobil!$F:$F,Estados_Cuenta_Mobil!$D:$D,"NO DETECTADA",Estados_Cuenta_Mobil!$C:$C,$C$3)</f>
      </c>
      <c r="C36" s="16193">
        <f>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</f>
      </c>
      <c r="D36" s="16194">
        <f>B36-C36</f>
      </c>
      <c r="E36" s="16195">
        <f>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</f>
      </c>
      <c r="F36" s="16196">
        <f>SUMIFS(Captura_Obra!$F:$F,Captura_Obra!$B:$B,"Maquinaria Pegaso",Captura_Obra!$M:$M,$C$3)+SUMIFS(Captura_Obra!$F:$F,Captura_Obra!$B:$B,"Lerma - Tres Marías",Captura_Obra!$M:$M,$C$3)+SUMIFS(Captura_Obra!$F:$F,Captura_Obra!$B:$B,"Chamapa-Lechería",Captura_Obra!$M:$M,$C$3)+SUMIFS(Captura_Obra!$F:$F,Captura_Obra!$B:$B,"Bacheo Toluca",Captura_Obra!$M:$M,$C$3)+SUMIFS(Captura_Obra!$F:$F,Captura_Obra!$B:$B,"Dragones",Captura_Obra!$M:$M,$C$3)+SUMIFS(Captura_Obra!$F:$F,Captura_Obra!$B:$B,"Colegio Militar",Captura_Obra!$M:$M,$C$3)+SUMIFS(Captura_Obra!$F:$F,Captura_Obra!$B:$B,"NO DETECTADA",Captura_Obra!$M:$M,$C$3)</f>
      </c>
      <c r="G36" s="16197">
        <f>E36-F36</f>
      </c>
      <c r="H36" s="16198">
        <f>IFERROR((SUMIFS(Captura_Facturas_Mobil!$G:$G,Captura_Facturas_Mobil!$D:$D,"Maquinaria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DETECTADA",Captura_Facturas_Mobil!$N:$N,$C$3))/(SUMIFS(Captura_Facturas_Mobil!$E:$E,Captura_Facturas_Mobil!$D:$D,"Maquinaria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DETECTADA",Captura_Facturas_Mobil!$N:$N,$C$3)),$F$3)</f>
      </c>
      <c r="I36" s="16199">
        <f>F36*H36</f>
      </c>
      <c r="J36" s="16200">
        <f>B36-I36</f>
      </c>
    </row>
    <row r="37" spans="1:10" ht="19.95" customHeight="1">
      <c r="A37" t="s" s="25279">
        <v>124</v>
      </c>
      <c r="B37" s="25280">
        <f>IFERROR(SUMIFS(Estados_Cuenta_Mobil!$F:$F,Estados_Cuenta_Mobil!$D:$D,A37,Estados_Cuenta_Mobil!$C:$C,$C$3),0)</f>
      </c>
      <c r="C37" s="25281">
        <f>IFERROR(SUMIFS(Captura_Facturas_Mobil!$G:$G,Captura_Facturas_Mobil!$D:$D,A37,Captura_Facturas_Mobil!$N:$N,$C$3),0)</f>
      </c>
      <c r="D37" s="25282">
        <f>B37-C37</f>
      </c>
      <c r="E37" s="25283">
        <f>SUMIFS(Captura_Facturas_Mobil!$E:$E,Captura_Facturas_Mobil!$D:$D,A37,Captura_Facturas_Mobil!$N:$N,$C$3)</f>
      </c>
      <c r="F37" s="25284">
        <f>IFERROR(SUMIFS(Captura_Obra!$F:$F,Captura_Obra!$B:$B,A37,Captura_Obra!$M:$M,$C$3),0)</f>
      </c>
      <c r="G37" s="25285">
        <f>E37-F37</f>
      </c>
      <c r="H37" s="25286">
        <f>IFERROR(C37/E37,$F$3)</f>
      </c>
      <c r="I37" s="25287">
        <f>F37*H37</f>
      </c>
      <c r="J37" s="16201">
        <f>B37-I37</f>
      </c>
    </row>
    <row r="38" spans="1:10" ht="36" customHeight="1">
      <c r="A38" t="s" s="16202">
        <v>166</v>
      </c>
      <c r="B38" s="16203">
        <f>IFERROR(SUMIFS(Estados_Cuenta_Mobil!$F:$F,Estados_Cuenta_Mobil!$D:$D,A38,Estados_Cuenta_Mobil!$C:$C,$C$3),0)</f>
      </c>
      <c r="C38" s="16204">
        <f>IFERROR(SUMIFS(Captura_Facturas_Mobil!$G:$G,Captura_Facturas_Mobil!$D:$D,A38,Captura_Facturas_Mobil!$N:$N,$C$3),0)</f>
      </c>
      <c r="D38" s="16205"/>
      <c r="E38" s="16206">
        <f>SUMIFS(Captura_Facturas_Mobil!$E:$E,Captura_Facturas_Mobil!$D:$D,A38,Captura_Facturas_Mobil!$N:$N,$C$3)</f>
      </c>
      <c r="F38" s="16207">
        <f>IFERROR(SUMIFS(Captura_Obra!$F:$F,Captura_Obra!$B:$B,A38,Captura_Obra!$M:$M,$C$3),0)</f>
      </c>
      <c r="G38" s="16208"/>
      <c r="H38" s="16209">
        <f>IFERROR(C38/E38,$F$3)</f>
      </c>
      <c r="I38" s="16210">
        <f>SUM(I34:I37)</f>
      </c>
      <c r="J38" s="16211">
        <f>SUM(J34:J37)</f>
      </c>
    </row>
    <row r="39" spans="1:10">
      <c r="A39" s="16012">
        <v>21</v>
      </c>
      <c r="B39" t="s" s="16013">
        <v>1</v>
      </c>
      <c r="C39" s="16014">
        <f>SUMIFS(Captura_Facturas_Mobil!$E:$E, Captura_Facturas_Mobil!$N:$N, A39, Captura_Facturas_Mobil!$D:$D, B39)</f>
      </c>
      <c r="D39" s="16015">
        <f>SUMIFS(Captura_Facturas_Mobil!$G:$G, Captura_Facturas_Mobil!$N:$N, A39, Captura_Facturas_Mobil!$D:$D, B39)</f>
      </c>
      <c r="E39" s="16016">
        <f>SUMIFS(Captura_Obra!$F:$F, Captura_Obra!$M:$M, A39, Captura_Obra!$B:$B, B39)</f>
      </c>
      <c r="F39" s="16017">
        <f>IFERROR(D39/C39, $F$3)</f>
      </c>
      <c r="G39" s="16018">
        <f>IF(E39=0,0,E39*F39)</f>
      </c>
      <c r="H39" s="16019">
        <f>IF(C39+E39=0,"",C39-E39)</f>
      </c>
      <c r="I39" s="16020">
        <f>IF(D39+G39=0,"",D39-G39)</f>
      </c>
    </row>
    <row r="40" spans="1:10">
      <c r="A40" t="s" s="25200">
        <v>730</v>
      </c>
      <c r="B40" t="s" s="25201">
        <v>115</v>
      </c>
      <c r="C40" s="25202">
        <f>SUMIFS(Captura_Facturas_Mobil!$E:$E, Captura_Facturas_Mobil!$N:$N, A40, Captura_Facturas_Mobil!$D:$D, B40)</f>
      </c>
      <c r="D40" s="25203">
        <f>SUMIFS(Captura_Facturas_Mobil!$G:$G, Captura_Facturas_Mobil!$N:$N, A40, Captura_Facturas_Mobil!$D:$D, B40)</f>
      </c>
      <c r="E40" s="25204">
        <f>SUMIFS(Captura_Obra!$F:$F, Captura_Obra!$M:$M, A40, Captura_Obra!$B:$B, B40)</f>
      </c>
      <c r="F40" s="25205">
        <f>IFERROR(D40/C40, $F$3)</f>
      </c>
      <c r="G40" s="25206">
        <f>IF(E40=0,0,E40*F40)</f>
      </c>
      <c r="H40" s="25207">
        <f>IF(C40+E40=0,"",C40-E40)</f>
      </c>
      <c r="I40" s="25208">
        <f>IF(D40+G40=0,"",D40-G40)</f>
      </c>
    </row>
    <row r="41" spans="1:10" ht="36" customHeight="1">
      <c r="A41" t="s" s="16212">
        <v>460</v>
      </c>
      <c r="B41" t="s" s="16213">
        <v>0</v>
      </c>
      <c r="C41" t="s" s="16214">
        <v>731</v>
      </c>
      <c r="D41" t="s" s="16215">
        <v>732</v>
      </c>
      <c r="E41" t="s" s="16216">
        <v>733</v>
      </c>
      <c r="F41" t="s" s="16217">
        <v>761</v>
      </c>
      <c r="G41" t="s" s="16218">
        <v>734</v>
      </c>
      <c r="H41" t="s" s="16219">
        <v>413</v>
      </c>
      <c r="I41" t="s" s="16220">
        <v>634</v>
      </c>
    </row>
    <row r="42" spans="1:10" ht="19.95" customHeight="1">
      <c r="A42" s="25217">
        <v>21</v>
      </c>
      <c r="B42" t="s" s="25218">
        <v>1</v>
      </c>
      <c r="C42" s="25219">
        <f>SUMIFS(Captura_Facturas_Mobil!$E:$E,Captura_Facturas_Mobil!$N:$N,A42,Captura_Facturas_Mobil!$D:$D,B42)</f>
      </c>
      <c r="D42" s="25220">
        <f>SUMIFS(Captura_Facturas_Mobil!$G:$G,Captura_Facturas_Mobil!$N:$N,A42,Captura_Facturas_Mobil!$D:$D,B42)</f>
      </c>
      <c r="E42" s="25221">
        <f>SUMIFS(Captura_Obra!$F:$F,Captura_Obra!$M:$M,A42,Captura_Obra!$B:$B,B42)</f>
      </c>
      <c r="F42" s="25222">
        <f t="shared" ref="F42:F45" si="3">IFERROR(D42/C42,$F$3)</f>
      </c>
      <c r="G42" s="25223">
        <f t="shared" ref="G42:G65" si="4">IF(E42=0,0,E42*F42)</f>
      </c>
      <c r="H42" s="25224">
        <f t="shared" ref="H42:H65" si="5">IF(C42+E42=0,"",C42-E42)</f>
      </c>
      <c r="I42" s="25225">
        <f t="shared" ref="I42:I65" si="6">IF(D42+G42=0,"",D42-G42)</f>
      </c>
      <c r="J42" s="25170"/>
    </row>
    <row r="43" spans="1:10" ht="17.399999999999999">
      <c r="A43" s="25226">
        <v>21</v>
      </c>
      <c r="B43" t="s" s="25227">
        <v>115</v>
      </c>
      <c r="C43" s="25228">
        <f>SUMIFS(Captura_Facturas_Mobil!$E:$E,Captura_Facturas_Mobil!$N:$N,A43,Captura_Facturas_Mobil!$D:$D,"Planta Asfalto Pegaso")+SUMIFS(Captura_Facturas_Mobil!$E:$E,Captura_Facturas_Mobil!$N:$N,A43,Captura_Facturas_Mobil!$D:$D,"Lerma - Tres Marías")+SUMIFS(Captura_Facturas_Mobil!$E:$E,Captura_Facturas_Mobil!$N:$N,A43,Captura_Facturas_Mobil!$D:$D,"Chamapa-Lechería")+SUMIFS(Captura_Facturas_Mobil!$E:$E,Captura_Facturas_Mobil!$N:$N,A43,Captura_Facturas_Mobil!$D:$D,"Bacheo Toluca")+SUMIFS(Captura_Facturas_Mobil!$E:$E,Captura_Facturas_Mobil!$N:$N,A43,Captura_Facturas_Mobil!$D:$D,"Dragones")+SUMIFS(Captura_Facturas_Mobil!$E:$E,Captura_Facturas_Mobil!$N:$N,A43,Captura_Facturas_Mobil!$D:$D,"Colegio Militar")+SUMIFS(Captura_Facturas_Mobil!$E:$E,Captura_Facturas_Mobil!$N:$N,A43,Captura_Facturas_Mobil!$D:$D,"NO DETECTADA")</f>
      </c>
      <c r="D43" s="16221">
        <f>SUMIFS(Captura_Facturas_Mobil!$G:$G,Captura_Facturas_Mobil!$N:$N,A43,Captura_Facturas_Mobil!$D:$D,"Planta Asfalto Pegaso")+SUMIFS(Captura_Facturas_Mobil!$G:$G,Captura_Facturas_Mobil!$N:$N,A43,Captura_Facturas_Mobil!$D:$D,"Lerma - Tres Marías")+SUMIFS(Captura_Facturas_Mobil!$G:$G,Captura_Facturas_Mobil!$N:$N,A43,Captura_Facturas_Mobil!$D:$D,"Chamapa-Lechería")+SUMIFS(Captura_Facturas_Mobil!$G:$G,Captura_Facturas_Mobil!$N:$N,A43,Captura_Facturas_Mobil!$D:$D,"Bacheo Toluca")+SUMIFS(Captura_Facturas_Mobil!$G:$G,Captura_Facturas_Mobil!$N:$N,A43,Captura_Facturas_Mobil!$D:$D,"Dragones")+SUMIFS(Captura_Facturas_Mobil!$G:$G,Captura_Facturas_Mobil!$N:$N,A43,Captura_Facturas_Mobil!$D:$D,"Colegio Militar")+SUMIFS(Captura_Facturas_Mobil!$G:$G,Captura_Facturas_Mobil!$N:$N,A43,Captura_Facturas_Mobil!$D:$D,"NO DETECTADA")</f>
      </c>
      <c r="E43" s="16222">
        <f>SUMIFS(Captura_Obra!$F:$F,Captura_Obra!$M:$M,A43,Captura_Obra!$B:$B,"Planta Asfalto Pegaso")+SUMIFS(Captura_Obra!$F:$F,Captura_Obra!$M:$M,A43,Captura_Obra!$B:$B,"Lerma - Tres Marías")+SUMIFS(Captura_Obra!$F:$F,Captura_Obra!$M:$M,A43,Captura_Obra!$B:$B,"Chamapa-Lechería")+SUMIFS(Captura_Obra!$F:$F,Captura_Obra!$M:$M,A43,Captura_Obra!$B:$B,"Bacheo Toluca")+SUMIFS(Captura_Obra!$F:$F,Captura_Obra!$M:$M,A43,Captura_Obra!$B:$B,"Dragones")+SUMIFS(Captura_Obra!$F:$F,Captura_Obra!$M:$M,A43,Captura_Obra!$B:$B,"Colegio Militar")+SUMIFS(Captura_Obra!$F:$F,Captura_Obra!$M:$M,A43,Captura_Obra!$B:$B,"NO DETECTADA")</f>
      </c>
      <c r="F43" s="16223">
        <f t="shared" si="3"/>
      </c>
      <c r="G43" s="16224">
        <f t="shared" si="4"/>
      </c>
      <c r="H43" s="16225">
        <f t="shared" si="5"/>
      </c>
      <c r="I43" s="16226">
        <f t="shared" si="6"/>
      </c>
    </row>
    <row r="44" spans="1:10" ht="36" customHeight="1">
      <c r="A44" s="16227">
        <v>21</v>
      </c>
      <c r="B44" t="s" s="16228">
        <v>124</v>
      </c>
      <c r="C44" s="16229">
        <f>SUMIFS(Captura_Facturas_Mobil!$E:$E,Captura_Facturas_Mobil!$N:$N,A44,Captura_Facturas_Mobil!$D:$D,B44)</f>
      </c>
      <c r="D44" s="16230">
        <f>SUMIFS(Captura_Facturas_Mobil!$G:$G,Captura_Facturas_Mobil!$N:$N,A44,Captura_Facturas_Mobil!$D:$D,B44)</f>
      </c>
      <c r="E44" s="16231">
        <f>SUMIFS(Captura_Obra!$F:$F,Captura_Obra!$M:$M,A44,Captura_Obra!$B:$B,B44)</f>
      </c>
      <c r="F44" s="16232">
        <f t="shared" si="3"/>
      </c>
      <c r="G44" s="16233">
        <f t="shared" si="4"/>
      </c>
      <c r="H44" s="16234">
        <f t="shared" si="5"/>
      </c>
      <c r="I44" s="16235">
        <f t="shared" si="6"/>
      </c>
      <c r="J44" t="s" s="15148">
        <v>763</v>
      </c>
    </row>
    <row r="45" spans="1:10">
      <c r="A45" s="16236">
        <v>21</v>
      </c>
      <c r="B45" t="s" s="16237">
        <v>166</v>
      </c>
      <c r="C45" s="16238">
        <f>SUMIFS(Captura_Facturas_Mobil!$E:$E,Captura_Facturas_Mobil!$N:$N,A45,Captura_Facturas_Mobil!$D:$D,B45)</f>
      </c>
      <c r="D45" s="16239">
        <f>SUMIFS(Captura_Facturas_Mobil!$G:$G,Captura_Facturas_Mobil!$N:$N,A45,Captura_Facturas_Mobil!$D:$D,B45)</f>
      </c>
      <c r="E45" s="16240">
        <f>SUMIFS(Captura_Obra!$F:$F,Captura_Obra!$M:$M,A45,Captura_Obra!$B:$B,B45)</f>
      </c>
      <c r="F45" s="16241">
        <f t="shared" si="3"/>
      </c>
      <c r="G45" s="16242">
        <f t="shared" si="4"/>
      </c>
      <c r="H45" s="16243">
        <f t="shared" si="5"/>
      </c>
      <c r="I45" s="16244">
        <f t="shared" si="6"/>
      </c>
      <c r="J45" s="15149">
        <f t="shared" ref="J45:J52" si="7">B45-I45</f>
      </c>
    </row>
    <row r="46" spans="1:10">
      <c r="A46" s="16245">
        <v>22</v>
      </c>
      <c r="B46" t="s" s="16246">
        <v>1</v>
      </c>
      <c r="C46" s="16247">
        <f>SUMIFS(Captura_Facturas_Mobil!$E:$E,Captura_Facturas_Mobil!$N:$N,A46,Captura_Facturas_Mobil!$D:$D,B46)</f>
      </c>
      <c r="D46" s="16248">
        <f>SUMIFS(Captura_Facturas_Mobil!$G:$G,Captura_Facturas_Mobil!$N:$N,A46,Captura_Facturas_Mobil!$D:$D,B46)</f>
      </c>
      <c r="E46" s="16249">
        <f>SUMIFS(Captura_Obra!$F:$F,Captura_Obra!$M:$M,A46,Captura_Obra!$B:$B,B46)</f>
      </c>
      <c r="F46" s="16250">
        <f t="shared" ref="F46:F69" si="8">IFERROR(D46/C46,$F$3)</f>
      </c>
      <c r="G46" s="16251">
        <f t="shared" si="4"/>
      </c>
      <c r="H46" s="16252">
        <f t="shared" si="5"/>
      </c>
      <c r="I46" s="16253">
        <f t="shared" si="6"/>
      </c>
      <c r="J46" s="15150">
        <f t="shared" si="7"/>
      </c>
    </row>
    <row r="47" spans="1:10">
      <c r="A47" s="16254">
        <v>22</v>
      </c>
      <c r="B47" t="s" s="16255">
        <v>400</v>
      </c>
      <c r="C47" s="16256">
        <f>SUMIFS(Captura_Facturas_Mobil!$E:$E,Captura_Facturas_Mobil!$N:$N,A47,Captura_Facturas_Mobil!$D:$D,"Maquinaria Pegaso")+SUMIFS(Captura_Facturas_Mobil!$E:$E,Captura_Facturas_Mobil!$N:$N,A47,Captura_Facturas_Mobil!$D:$D,"Lerma - Tres Marías")+SUMIFS(Captura_Facturas_Mobil!$E:$E,Captura_Facturas_Mobil!$N:$N,A47,Captura_Facturas_Mobil!$D:$D,"Chamapa-Lechería")+SUMIFS(Captura_Facturas_Mobil!$E:$E,Captura_Facturas_Mobil!$N:$N,A47,Captura_Facturas_Mobil!$D:$D,"Bacheo Toluca")+SUMIFS(Captura_Facturas_Mobil!$E:$E,Captura_Facturas_Mobil!$N:$N,A47,Captura_Facturas_Mobil!$D:$D,"Dragones")+SUMIFS(Captura_Facturas_Mobil!$E:$E,Captura_Facturas_Mobil!$N:$N,A47,Captura_Facturas_Mobil!$D:$D,"Colegio Militar")+SUMIFS(Captura_Facturas_Mobil!$E:$E,Captura_Facturas_Mobil!$N:$N,A47,Captura_Facturas_Mobil!$D:$D,"NO DETECTADA")</f>
      </c>
      <c r="D47" s="16257">
        <f>SUMIFS(Captura_Facturas_Mobil!$G:$G,Captura_Facturas_Mobil!$N:$N,A47,Captura_Facturas_Mobil!$D:$D,"Maquinaria Pegaso")+SUMIFS(Captura_Facturas_Mobil!$G:$G,Captura_Facturas_Mobil!$N:$N,A47,Captura_Facturas_Mobil!$D:$D,"Lerma - Tres Marías")+SUMIFS(Captura_Facturas_Mobil!$G:$G,Captura_Facturas_Mobil!$N:$N,A47,Captura_Facturas_Mobil!$D:$D,"Chamapa-Lechería")+SUMIFS(Captura_Facturas_Mobil!$G:$G,Captura_Facturas_Mobil!$N:$N,A47,Captura_Facturas_Mobil!$D:$D,"Bacheo Toluca")+SUMIFS(Captura_Facturas_Mobil!$G:$G,Captura_Facturas_Mobil!$N:$N,A47,Captura_Facturas_Mobil!$D:$D,"Dragones")+SUMIFS(Captura_Facturas_Mobil!$G:$G,Captura_Facturas_Mobil!$N:$N,A47,Captura_Facturas_Mobil!$D:$D,"Colegio Militar")+SUMIFS(Captura_Facturas_Mobil!$G:$G,Captura_Facturas_Mobil!$N:$N,A47,Captura_Facturas_Mobil!$D:$D,"NO DETECTADA")</f>
      </c>
      <c r="E47" s="16258">
        <f>SUMIFS(Captura_Obra!$F:$F,Captura_Obra!$M:$M,A47,Captura_Obra!$B:$B,"Maquinaria Pegaso")+SUMIFS(Captura_Obra!$F:$F,Captura_Obra!$M:$M,A47,Captura_Obra!$B:$B,"Lerma - Tres Marías")+SUMIFS(Captura_Obra!$F:$F,Captura_Obra!$M:$M,A47,Captura_Obra!$B:$B,"Chamapa-Lechería")+SUMIFS(Captura_Obra!$F:$F,Captura_Obra!$M:$M,A47,Captura_Obra!$B:$B,"Bacheo Toluca")+SUMIFS(Captura_Obra!$F:$F,Captura_Obra!$M:$M,A47,Captura_Obra!$B:$B,"Dragones")+SUMIFS(Captura_Obra!$F:$F,Captura_Obra!$M:$M,A47,Captura_Obra!$B:$B,"Colegio Militar")+SUMIFS(Captura_Obra!$F:$F,Captura_Obra!$M:$M,A47,Captura_Obra!$B:$B,"NO DETECTADA")</f>
      </c>
      <c r="F47" s="16259">
        <f t="shared" si="8"/>
      </c>
      <c r="G47" s="16260">
        <f t="shared" si="4"/>
      </c>
      <c r="H47" s="16261">
        <f t="shared" si="5"/>
      </c>
      <c r="I47" s="16262">
        <f t="shared" si="6"/>
      </c>
      <c r="J47" s="15151">
        <f t="shared" si="7"/>
      </c>
    </row>
    <row r="48" spans="1:10">
      <c r="A48" s="16263">
        <v>22</v>
      </c>
      <c r="B48" t="s" s="16264">
        <v>124</v>
      </c>
      <c r="C48" s="16265">
        <f>SUMIFS(Captura_Facturas_Mobil!$E:$E,Captura_Facturas_Mobil!$N:$N,A48,Captura_Facturas_Mobil!$D:$D,B48)</f>
      </c>
      <c r="D48" s="16266">
        <f>SUMIFS(Captura_Facturas_Mobil!$G:$G,Captura_Facturas_Mobil!$N:$N,A48,Captura_Facturas_Mobil!$D:$D,B48)</f>
      </c>
      <c r="E48" s="16267">
        <f>SUMIFS(Captura_Obra!$F:$F,Captura_Obra!$M:$M,A48,Captura_Obra!$B:$B,B48)</f>
      </c>
      <c r="F48" s="16268">
        <f t="shared" si="8"/>
      </c>
      <c r="G48" s="16269">
        <f t="shared" si="4"/>
      </c>
      <c r="H48" s="16270">
        <f t="shared" si="5"/>
      </c>
      <c r="I48" s="16271">
        <f t="shared" si="6"/>
      </c>
      <c r="J48" s="15152">
        <f t="shared" si="7"/>
      </c>
    </row>
    <row r="49" spans="1:10">
      <c r="A49" s="16272">
        <v>22</v>
      </c>
      <c r="B49" t="s" s="16273">
        <v>166</v>
      </c>
      <c r="C49" s="16274">
        <f>SUMIFS(Captura_Facturas_Mobil!$E:$E,Captura_Facturas_Mobil!$N:$N,A49,Captura_Facturas_Mobil!$D:$D,B49)</f>
      </c>
      <c r="D49" s="16275">
        <f>SUMIFS(Captura_Facturas_Mobil!$G:$G,Captura_Facturas_Mobil!$N:$N,A49,Captura_Facturas_Mobil!$D:$D,B49)</f>
      </c>
      <c r="E49" s="16276">
        <f>SUMIFS(Captura_Obra!$F:$F,Captura_Obra!$M:$M,A49,Captura_Obra!$B:$B,B49)</f>
      </c>
      <c r="F49" s="16277">
        <f t="shared" si="8"/>
      </c>
      <c r="G49" s="16278">
        <f t="shared" si="4"/>
      </c>
      <c r="H49" s="16279">
        <f t="shared" si="5"/>
      </c>
      <c r="I49" s="16280">
        <f t="shared" si="6"/>
      </c>
      <c r="J49" s="15153">
        <f t="shared" si="7"/>
      </c>
    </row>
    <row r="50" spans="1:10">
      <c r="A50" s="16281">
        <v>23</v>
      </c>
      <c r="B50" t="s" s="16282">
        <v>1</v>
      </c>
      <c r="C50" s="16283">
        <f>SUMIFS(Captura_Facturas_Mobil!$E:$E,Captura_Facturas_Mobil!$N:$N,A50,Captura_Facturas_Mobil!$D:$D,B50)</f>
      </c>
      <c r="D50" s="16284">
        <f>SUMIFS(Captura_Facturas_Mobil!$G:$G,Captura_Facturas_Mobil!$N:$N,A50,Captura_Facturas_Mobil!$D:$D,B50)</f>
      </c>
      <c r="E50" s="16285">
        <f>SUMIFS(Captura_Obra!$F:$F,Captura_Obra!$M:$M,A50,Captura_Obra!$B:$B,B50)</f>
      </c>
      <c r="F50" s="16286">
        <f t="shared" si="8"/>
      </c>
      <c r="G50" s="16287">
        <f t="shared" si="4"/>
      </c>
      <c r="H50" s="16288">
        <f t="shared" si="5"/>
      </c>
      <c r="I50" s="16289">
        <f t="shared" si="6"/>
      </c>
      <c r="J50" s="15154">
        <f t="shared" si="7"/>
      </c>
    </row>
    <row r="51" spans="1:10">
      <c r="A51" s="16290">
        <v>23</v>
      </c>
      <c r="B51" t="s" s="16291">
        <v>400</v>
      </c>
      <c r="C51" s="16292">
        <f>SUMIFS(Captura_Facturas_Mobil!$E:$E,Captura_Facturas_Mobil!$N:$N,A51,Captura_Facturas_Mobil!$D:$D,"Maquinaria Pegaso")+SUMIFS(Captura_Facturas_Mobil!$E:$E,Captura_Facturas_Mobil!$N:$N,A51,Captura_Facturas_Mobil!$D:$D,"Lerma - Tres Marías")+SUMIFS(Captura_Facturas_Mobil!$E:$E,Captura_Facturas_Mobil!$N:$N,A51,Captura_Facturas_Mobil!$D:$D,"Chamapa-Lechería")+SUMIFS(Captura_Facturas_Mobil!$E:$E,Captura_Facturas_Mobil!$N:$N,A51,Captura_Facturas_Mobil!$D:$D,"Bacheo Toluca")+SUMIFS(Captura_Facturas_Mobil!$E:$E,Captura_Facturas_Mobil!$N:$N,A51,Captura_Facturas_Mobil!$D:$D,"Dragones")+SUMIFS(Captura_Facturas_Mobil!$E:$E,Captura_Facturas_Mobil!$N:$N,A51,Captura_Facturas_Mobil!$D:$D,"Colegio Militar")+SUMIFS(Captura_Facturas_Mobil!$E:$E,Captura_Facturas_Mobil!$N:$N,A51,Captura_Facturas_Mobil!$D:$D,"NO DETECTADA")</f>
      </c>
      <c r="D51" s="16293">
        <f>SUMIFS(Captura_Facturas_Mobil!$G:$G,Captura_Facturas_Mobil!$N:$N,A51,Captura_Facturas_Mobil!$D:$D,"Maquinaria Pegaso")+SUMIFS(Captura_Facturas_Mobil!$G:$G,Captura_Facturas_Mobil!$N:$N,A51,Captura_Facturas_Mobil!$D:$D,"Lerma - Tres Marías")+SUMIFS(Captura_Facturas_Mobil!$G:$G,Captura_Facturas_Mobil!$N:$N,A51,Captura_Facturas_Mobil!$D:$D,"Chamapa-Lechería")+SUMIFS(Captura_Facturas_Mobil!$G:$G,Captura_Facturas_Mobil!$N:$N,A51,Captura_Facturas_Mobil!$D:$D,"Bacheo Toluca")+SUMIFS(Captura_Facturas_Mobil!$G:$G,Captura_Facturas_Mobil!$N:$N,A51,Captura_Facturas_Mobil!$D:$D,"Dragones")+SUMIFS(Captura_Facturas_Mobil!$G:$G,Captura_Facturas_Mobil!$N:$N,A51,Captura_Facturas_Mobil!$D:$D,"Colegio Militar")+SUMIFS(Captura_Facturas_Mobil!$G:$G,Captura_Facturas_Mobil!$N:$N,A51,Captura_Facturas_Mobil!$D:$D,"NO DETECTADA")</f>
      </c>
      <c r="E51" s="16294">
        <f>SUMIFS(Captura_Obra!$F:$F,Captura_Obra!$M:$M,A51,Captura_Obra!$B:$B,"Maquinaria Pegaso")+SUMIFS(Captura_Obra!$F:$F,Captura_Obra!$M:$M,A51,Captura_Obra!$B:$B,"Lerma - Tres Marías")+SUMIFS(Captura_Obra!$F:$F,Captura_Obra!$M:$M,A51,Captura_Obra!$B:$B,"Chamapa-Lechería")+SUMIFS(Captura_Obra!$F:$F,Captura_Obra!$M:$M,A51,Captura_Obra!$B:$B,"Bacheo Toluca")+SUMIFS(Captura_Obra!$F:$F,Captura_Obra!$M:$M,A51,Captura_Obra!$B:$B,"Dragones")+SUMIFS(Captura_Obra!$F:$F,Captura_Obra!$M:$M,A51,Captura_Obra!$B:$B,"Colegio Militar")+SUMIFS(Captura_Obra!$F:$F,Captura_Obra!$M:$M,A51,Captura_Obra!$B:$B,"NO DETECTADA")</f>
      </c>
      <c r="F51" s="16295">
        <f t="shared" si="8"/>
      </c>
      <c r="G51" s="16296">
        <f t="shared" si="4"/>
      </c>
      <c r="H51" s="16297">
        <f t="shared" si="5"/>
      </c>
      <c r="I51" s="16298">
        <f t="shared" si="6"/>
      </c>
      <c r="J51" s="15155">
        <f t="shared" si="7"/>
      </c>
    </row>
    <row r="52" spans="1:10">
      <c r="A52" s="16299">
        <v>23</v>
      </c>
      <c r="B52" t="s" s="16300">
        <v>124</v>
      </c>
      <c r="C52" s="16301">
        <f>SUMIFS(Captura_Facturas_Mobil!$E:$E,Captura_Facturas_Mobil!$N:$N,A52,Captura_Facturas_Mobil!$D:$D,B52)</f>
      </c>
      <c r="D52" s="16302">
        <f>SUMIFS(Captura_Facturas_Mobil!$G:$G,Captura_Facturas_Mobil!$N:$N,A52,Captura_Facturas_Mobil!$D:$D,B52)</f>
      </c>
      <c r="E52" s="16303">
        <f>SUMIFS(Captura_Obra!$F:$F,Captura_Obra!$M:$M,A52,Captura_Obra!$B:$B,B52)</f>
      </c>
      <c r="F52" s="16304">
        <f t="shared" si="8"/>
      </c>
      <c r="G52" s="16305">
        <f t="shared" si="4"/>
      </c>
      <c r="H52" s="16306">
        <f t="shared" si="5"/>
      </c>
      <c r="I52" s="16307">
        <f t="shared" si="6"/>
      </c>
      <c r="J52" s="15156">
        <f t="shared" si="7"/>
      </c>
    </row>
    <row r="53" spans="1:10">
      <c r="A53" s="16308">
        <v>23</v>
      </c>
      <c r="B53" t="s" s="16309">
        <v>166</v>
      </c>
      <c r="C53" s="16310">
        <f>SUMIFS(Captura_Facturas_Mobil!$E:$E,Captura_Facturas_Mobil!$N:$N,A53,Captura_Facturas_Mobil!$D:$D,B53)</f>
      </c>
      <c r="D53" s="16311">
        <f>SUMIFS(Captura_Facturas_Mobil!$G:$G,Captura_Facturas_Mobil!$N:$N,A53,Captura_Facturas_Mobil!$D:$D,B53)</f>
      </c>
      <c r="E53" s="16312">
        <f>SUMIFS(Captura_Obra!$F:$F,Captura_Obra!$M:$M,A53,Captura_Obra!$B:$B,B53)</f>
      </c>
      <c r="F53" s="16313">
        <f t="shared" si="8"/>
      </c>
      <c r="G53" s="16314">
        <f t="shared" si="4"/>
      </c>
      <c r="H53" s="16315">
        <f t="shared" si="5"/>
      </c>
      <c r="I53" s="16316">
        <f t="shared" si="6"/>
      </c>
      <c r="J53" s="15157"/>
    </row>
    <row r="54" spans="1:10">
      <c r="A54" s="16317">
        <v>24</v>
      </c>
      <c r="B54" t="s" s="16318">
        <v>1</v>
      </c>
      <c r="C54" s="16319">
        <f>SUMIFS(Captura_Facturas_Mobil!$E:$E,Captura_Facturas_Mobil!$N:$N,A54,Captura_Facturas_Mobil!$D:$D,B54)</f>
      </c>
      <c r="D54" s="16320">
        <f>SUMIFS(Captura_Facturas_Mobil!$G:$G,Captura_Facturas_Mobil!$N:$N,A54,Captura_Facturas_Mobil!$D:$D,B54)</f>
      </c>
      <c r="E54" s="16321">
        <f>SUMIFS(Captura_Obra!$F:$F,Captura_Obra!$M:$M,A54,Captura_Obra!$B:$B,B54)</f>
      </c>
      <c r="F54" s="16322">
        <f t="shared" si="8"/>
      </c>
      <c r="G54" s="16323">
        <f t="shared" si="4"/>
      </c>
      <c r="H54" s="16324">
        <f t="shared" si="5"/>
      </c>
      <c r="I54" s="16325">
        <f t="shared" si="6"/>
      </c>
    </row>
    <row r="55" spans="1:10">
      <c r="A55" s="16326">
        <v>24</v>
      </c>
      <c r="B55" t="s" s="16327">
        <v>400</v>
      </c>
      <c r="C55" s="16328">
        <f>SUMIFS(Captura_Facturas_Mobil!$E:$E,Captura_Facturas_Mobil!$N:$N,A55,Captura_Facturas_Mobil!$D:$D,"Maquinaria Pegaso")+SUMIFS(Captura_Facturas_Mobil!$E:$E,Captura_Facturas_Mobil!$N:$N,A55,Captura_Facturas_Mobil!$D:$D,"Lerma - Tres Marías")+SUMIFS(Captura_Facturas_Mobil!$E:$E,Captura_Facturas_Mobil!$N:$N,A55,Captura_Facturas_Mobil!$D:$D,"Chamapa-Lechería")+SUMIFS(Captura_Facturas_Mobil!$E:$E,Captura_Facturas_Mobil!$N:$N,A55,Captura_Facturas_Mobil!$D:$D,"Bacheo Toluca")+SUMIFS(Captura_Facturas_Mobil!$E:$E,Captura_Facturas_Mobil!$N:$N,A55,Captura_Facturas_Mobil!$D:$D,"Dragones")+SUMIFS(Captura_Facturas_Mobil!$E:$E,Captura_Facturas_Mobil!$N:$N,A55,Captura_Facturas_Mobil!$D:$D,"Colegio Militar")+SUMIFS(Captura_Facturas_Mobil!$E:$E,Captura_Facturas_Mobil!$N:$N,A55,Captura_Facturas_Mobil!$D:$D,"NO DETECTADA")</f>
      </c>
      <c r="D55" s="16329">
        <f>SUMIFS(Captura_Facturas_Mobil!$G:$G,Captura_Facturas_Mobil!$N:$N,A55,Captura_Facturas_Mobil!$D:$D,"Maquinaria Pegaso")+SUMIFS(Captura_Facturas_Mobil!$G:$G,Captura_Facturas_Mobil!$N:$N,A55,Captura_Facturas_Mobil!$D:$D,"Lerma - Tres Marías")+SUMIFS(Captura_Facturas_Mobil!$G:$G,Captura_Facturas_Mobil!$N:$N,A55,Captura_Facturas_Mobil!$D:$D,"Chamapa-Lechería")+SUMIFS(Captura_Facturas_Mobil!$G:$G,Captura_Facturas_Mobil!$N:$N,A55,Captura_Facturas_Mobil!$D:$D,"Bacheo Toluca")+SUMIFS(Captura_Facturas_Mobil!$G:$G,Captura_Facturas_Mobil!$N:$N,A55,Captura_Facturas_Mobil!$D:$D,"Dragones")+SUMIFS(Captura_Facturas_Mobil!$G:$G,Captura_Facturas_Mobil!$N:$N,A55,Captura_Facturas_Mobil!$D:$D,"Colegio Militar")+SUMIFS(Captura_Facturas_Mobil!$G:$G,Captura_Facturas_Mobil!$N:$N,A55,Captura_Facturas_Mobil!$D:$D,"NO DETECTADA")</f>
      </c>
      <c r="E55" s="16330">
        <f>SUMIFS(Captura_Obra!$F:$F,Captura_Obra!$M:$M,A55,Captura_Obra!$B:$B,"Maquinaria Pegaso")+SUMIFS(Captura_Obra!$F:$F,Captura_Obra!$M:$M,A55,Captura_Obra!$B:$B,"Lerma - Tres Marías")+SUMIFS(Captura_Obra!$F:$F,Captura_Obra!$M:$M,A55,Captura_Obra!$B:$B,"Chamapa-Lechería")+SUMIFS(Captura_Obra!$F:$F,Captura_Obra!$M:$M,A55,Captura_Obra!$B:$B,"Bacheo Toluca")+SUMIFS(Captura_Obra!$F:$F,Captura_Obra!$M:$M,A55,Captura_Obra!$B:$B,"Dragones")+SUMIFS(Captura_Obra!$F:$F,Captura_Obra!$M:$M,A55,Captura_Obra!$B:$B,"Colegio Militar")+SUMIFS(Captura_Obra!$F:$F,Captura_Obra!$M:$M,A55,Captura_Obra!$B:$B,"NO DETECTADA")</f>
      </c>
      <c r="F55" s="16331">
        <f t="shared" si="8"/>
      </c>
      <c r="G55" s="16332">
        <f t="shared" si="4"/>
      </c>
      <c r="H55" s="16333">
        <f t="shared" si="5"/>
      </c>
      <c r="I55" s="16334">
        <f t="shared" si="6"/>
      </c>
    </row>
    <row r="56" spans="1:10" ht="19.95" customHeight="1">
      <c r="A56" s="25229">
        <v>24</v>
      </c>
      <c r="B56" t="s" s="25230">
        <v>124</v>
      </c>
      <c r="C56" s="25231">
        <f>SUMIFS(Captura_Facturas_Mobil!$E:$E,Captura_Facturas_Mobil!$N:$N,A56,Captura_Facturas_Mobil!$D:$D,B56)</f>
      </c>
      <c r="D56" s="25232">
        <f>SUMIFS(Captura_Facturas_Mobil!$G:$G,Captura_Facturas_Mobil!$N:$N,A56,Captura_Facturas_Mobil!$D:$D,B56)</f>
      </c>
      <c r="E56" s="25233">
        <f>SUMIFS(Captura_Obra!$F:$F,Captura_Obra!$M:$M,A56,Captura_Obra!$B:$B,B56)</f>
      </c>
      <c r="F56" s="25234">
        <f t="shared" si="8"/>
      </c>
      <c r="G56" s="25235">
        <f t="shared" si="4"/>
      </c>
      <c r="H56" s="25236">
        <f t="shared" si="5"/>
      </c>
      <c r="I56" s="25237">
        <f t="shared" si="6"/>
      </c>
    </row>
    <row r="57" spans="1:10" ht="36" customHeight="1">
      <c r="A57" s="16335">
        <v>24</v>
      </c>
      <c r="B57" t="s" s="16336">
        <v>166</v>
      </c>
      <c r="C57" s="16337">
        <f>SUMIFS(Captura_Facturas_Mobil!$E:$E,Captura_Facturas_Mobil!$N:$N,A57,Captura_Facturas_Mobil!$D:$D,B57)</f>
      </c>
      <c r="D57" s="16338">
        <f>SUMIFS(Captura_Facturas_Mobil!$G:$G,Captura_Facturas_Mobil!$N:$N,A57,Captura_Facturas_Mobil!$D:$D,B57)</f>
      </c>
      <c r="E57" s="16339">
        <f>SUMIFS(Captura_Obra!$F:$F,Captura_Obra!$M:$M,A57,Captura_Obra!$B:$B,B57)</f>
      </c>
      <c r="F57" s="16340">
        <f t="shared" si="8"/>
      </c>
      <c r="G57" s="16341">
        <f t="shared" si="4"/>
      </c>
      <c r="H57" s="16342">
        <f t="shared" si="5"/>
      </c>
      <c r="I57" s="16343">
        <f t="shared" si="6"/>
      </c>
    </row>
    <row r="58" spans="1:10">
      <c r="A58" s="16344">
        <v>25</v>
      </c>
      <c r="B58" t="s" s="16345">
        <v>1</v>
      </c>
      <c r="C58" s="16346">
        <f>SUMIFS(Captura_Facturas_Mobil!$E:$E,Captura_Facturas_Mobil!$N:$N,A58,Captura_Facturas_Mobil!$D:$D,B58)</f>
      </c>
      <c r="D58" s="16347">
        <f>SUMIFS(Captura_Facturas_Mobil!$G:$G,Captura_Facturas_Mobil!$N:$N,A58,Captura_Facturas_Mobil!$D:$D,B58)</f>
      </c>
      <c r="E58" s="16348">
        <f>SUMIFS(Captura_Obra!$F:$F,Captura_Obra!$M:$M,A58,Captura_Obra!$B:$B,B58)</f>
      </c>
      <c r="F58" s="16349">
        <f t="shared" si="8"/>
      </c>
      <c r="G58" s="16350">
        <f t="shared" si="4"/>
      </c>
      <c r="H58" s="16351">
        <f t="shared" si="5"/>
      </c>
      <c r="I58" s="16352">
        <f t="shared" si="6"/>
      </c>
    </row>
    <row r="59" spans="1:10" ht="19.95" customHeight="1">
      <c r="A59" s="25288">
        <v>25</v>
      </c>
      <c r="B59" t="s" s="25289">
        <v>400</v>
      </c>
      <c r="C59" s="25290">
        <f>SUMIFS(Captura_Facturas_Mobil!$E:$E,Captura_Facturas_Mobil!$N:$N,A59,Captura_Facturas_Mobil!$D:$D,"Maquinaria Pegaso")+SUMIFS(Captura_Facturas_Mobil!$E:$E,Captura_Facturas_Mobil!$N:$N,A59,Captura_Facturas_Mobil!$D:$D,"Lerma - Tres Marías")+SUMIFS(Captura_Facturas_Mobil!$E:$E,Captura_Facturas_Mobil!$N:$N,A59,Captura_Facturas_Mobil!$D:$D,"Chamapa-Lechería")+SUMIFS(Captura_Facturas_Mobil!$E:$E,Captura_Facturas_Mobil!$N:$N,A59,Captura_Facturas_Mobil!$D:$D,"Bacheo Toluca")+SUMIFS(Captura_Facturas_Mobil!$E:$E,Captura_Facturas_Mobil!$N:$N,A59,Captura_Facturas_Mobil!$D:$D,"Dragones")+SUMIFS(Captura_Facturas_Mobil!$E:$E,Captura_Facturas_Mobil!$N:$N,A59,Captura_Facturas_Mobil!$D:$D,"Colegio Militar")+SUMIFS(Captura_Facturas_Mobil!$E:$E,Captura_Facturas_Mobil!$N:$N,A59,Captura_Facturas_Mobil!$D:$D,"NO DETECTADA")</f>
      </c>
      <c r="D59" s="25291">
        <f>SUMIFS(Captura_Facturas_Mobil!$G:$G,Captura_Facturas_Mobil!$N:$N,A59,Captura_Facturas_Mobil!$D:$D,"Maquinaria Pegaso")+SUMIFS(Captura_Facturas_Mobil!$G:$G,Captura_Facturas_Mobil!$N:$N,A59,Captura_Facturas_Mobil!$D:$D,"Lerma - Tres Marías")+SUMIFS(Captura_Facturas_Mobil!$G:$G,Captura_Facturas_Mobil!$N:$N,A59,Captura_Facturas_Mobil!$D:$D,"Chamapa-Lechería")+SUMIFS(Captura_Facturas_Mobil!$G:$G,Captura_Facturas_Mobil!$N:$N,A59,Captura_Facturas_Mobil!$D:$D,"Bacheo Toluca")+SUMIFS(Captura_Facturas_Mobil!$G:$G,Captura_Facturas_Mobil!$N:$N,A59,Captura_Facturas_Mobil!$D:$D,"Dragones")+SUMIFS(Captura_Facturas_Mobil!$G:$G,Captura_Facturas_Mobil!$N:$N,A59,Captura_Facturas_Mobil!$D:$D,"Colegio Militar")+SUMIFS(Captura_Facturas_Mobil!$G:$G,Captura_Facturas_Mobil!$N:$N,A59,Captura_Facturas_Mobil!$D:$D,"NO DETECTADA")</f>
      </c>
      <c r="E59" s="25292">
        <f>SUMIFS(Captura_Obra!$F:$F,Captura_Obra!$M:$M,A59,Captura_Obra!$B:$B,"Maquinaria Pegaso")+SUMIFS(Captura_Obra!$F:$F,Captura_Obra!$M:$M,A59,Captura_Obra!$B:$B,"Lerma - Tres Marías")+SUMIFS(Captura_Obra!$F:$F,Captura_Obra!$M:$M,A59,Captura_Obra!$B:$B,"Chamapa-Lechería")+SUMIFS(Captura_Obra!$F:$F,Captura_Obra!$M:$M,A59,Captura_Obra!$B:$B,"Bacheo Toluca")+SUMIFS(Captura_Obra!$F:$F,Captura_Obra!$M:$M,A59,Captura_Obra!$B:$B,"Dragones")+SUMIFS(Captura_Obra!$F:$F,Captura_Obra!$M:$M,A59,Captura_Obra!$B:$B,"Colegio Militar")+SUMIFS(Captura_Obra!$F:$F,Captura_Obra!$M:$M,A59,Captura_Obra!$B:$B,"NO DETECTADA")</f>
      </c>
      <c r="F59" s="25293">
        <f t="shared" si="8"/>
      </c>
      <c r="G59" s="25294">
        <f t="shared" si="4"/>
      </c>
      <c r="H59" s="25295">
        <f t="shared" si="5"/>
      </c>
      <c r="I59" s="16353">
        <f t="shared" si="6"/>
      </c>
    </row>
    <row r="60" spans="1:10" ht="40.049999999999997" customHeight="1">
      <c r="A60" s="16354">
        <v>25</v>
      </c>
      <c r="B60" t="s" s="16355">
        <v>124</v>
      </c>
      <c r="C60" s="16356">
        <f>SUMIFS(Captura_Facturas_Mobil!$E:$E,Captura_Facturas_Mobil!$N:$N,A60,Captura_Facturas_Mobil!$D:$D,B60)</f>
      </c>
      <c r="D60" s="16357">
        <f>SUMIFS(Captura_Facturas_Mobil!$G:$G,Captura_Facturas_Mobil!$N:$N,A60,Captura_Facturas_Mobil!$D:$D,B60)</f>
      </c>
      <c r="E60" s="16358">
        <f>SUMIFS(Captura_Obra!$F:$F,Captura_Obra!$M:$M,A60,Captura_Obra!$B:$B,B60)</f>
      </c>
      <c r="F60" s="16359">
        <f t="shared" si="8"/>
      </c>
      <c r="G60" s="16360">
        <f t="shared" si="4"/>
      </c>
      <c r="H60" s="16361">
        <f t="shared" si="5"/>
      </c>
      <c r="I60" s="16362">
        <f t="shared" si="6"/>
      </c>
    </row>
    <row r="61" spans="1:10">
      <c r="A61" s="16363">
        <v>25</v>
      </c>
      <c r="B61" t="s" s="16364">
        <v>166</v>
      </c>
      <c r="C61" s="16365">
        <f>SUMIFS(Captura_Facturas_Mobil!$E:$E,Captura_Facturas_Mobil!$N:$N,A61,Captura_Facturas_Mobil!$D:$D,B61)</f>
      </c>
      <c r="D61" s="16366">
        <f>SUMIFS(Captura_Facturas_Mobil!$G:$G,Captura_Facturas_Mobil!$N:$N,A61,Captura_Facturas_Mobil!$D:$D,B61)</f>
      </c>
      <c r="E61" s="16367">
        <f>SUMIFS(Captura_Obra!$F:$F,Captura_Obra!$M:$M,A61,Captura_Obra!$B:$B,B61)</f>
      </c>
      <c r="F61" s="16368">
        <f t="shared" si="8"/>
      </c>
      <c r="G61" s="16369">
        <f t="shared" si="4"/>
      </c>
      <c r="H61" s="16370">
        <f t="shared" si="5"/>
      </c>
      <c r="I61" s="16371">
        <f t="shared" si="6"/>
      </c>
    </row>
    <row r="62" spans="1:10">
      <c r="A62" s="16372">
        <v>26</v>
      </c>
      <c r="B62" t="s" s="16373">
        <v>1</v>
      </c>
      <c r="C62" s="16374">
        <f>SUMIFS(Captura_Facturas_Mobil!$E:$E,Captura_Facturas_Mobil!$N:$N,A62,Captura_Facturas_Mobil!$D:$D,B62)</f>
      </c>
      <c r="D62" s="16375">
        <f>SUMIFS(Captura_Facturas_Mobil!$G:$G,Captura_Facturas_Mobil!$N:$N,A62,Captura_Facturas_Mobil!$D:$D,B62)</f>
      </c>
      <c r="E62" s="16376">
        <f>SUMIFS(Captura_Obra!$F:$F,Captura_Obra!$M:$M,A62,Captura_Obra!$B:$B,B62)</f>
      </c>
      <c r="F62" s="16377">
        <f t="shared" si="8"/>
      </c>
      <c r="G62" s="16378">
        <f t="shared" si="4"/>
      </c>
      <c r="H62" s="16379">
        <f t="shared" si="5"/>
      </c>
      <c r="I62" s="16380">
        <f t="shared" si="6"/>
      </c>
    </row>
    <row r="63" spans="1:10">
      <c r="A63" s="16381">
        <v>26</v>
      </c>
      <c r="B63" t="s" s="16382">
        <v>400</v>
      </c>
      <c r="C63" s="16383">
        <f>SUMIFS(Captura_Facturas_Mobil!$E:$E,Captura_Facturas_Mobil!$N:$N,A63,Captura_Facturas_Mobil!$D:$D,"Maquinaria Pegaso")+SUMIFS(Captura_Facturas_Mobil!$E:$E,Captura_Facturas_Mobil!$N:$N,A63,Captura_Facturas_Mobil!$D:$D,"Lerma - Tres Marías")+SUMIFS(Captura_Facturas_Mobil!$E:$E,Captura_Facturas_Mobil!$N:$N,A63,Captura_Facturas_Mobil!$D:$D,"Chamapa-Lechería")+SUMIFS(Captura_Facturas_Mobil!$E:$E,Captura_Facturas_Mobil!$N:$N,A63,Captura_Facturas_Mobil!$D:$D,"Bacheo Toluca")+SUMIFS(Captura_Facturas_Mobil!$E:$E,Captura_Facturas_Mobil!$N:$N,A63,Captura_Facturas_Mobil!$D:$D,"Dragones")+SUMIFS(Captura_Facturas_Mobil!$E:$E,Captura_Facturas_Mobil!$N:$N,A63,Captura_Facturas_Mobil!$D:$D,"Colegio Militar")+SUMIFS(Captura_Facturas_Mobil!$E:$E,Captura_Facturas_Mobil!$N:$N,A63,Captura_Facturas_Mobil!$D:$D,"NO DETECTADA")</f>
      </c>
      <c r="D63" s="16384">
        <f>SUMIFS(Captura_Facturas_Mobil!$G:$G,Captura_Facturas_Mobil!$N:$N,A63,Captura_Facturas_Mobil!$D:$D,"Maquinaria Pegaso")+SUMIFS(Captura_Facturas_Mobil!$G:$G,Captura_Facturas_Mobil!$N:$N,A63,Captura_Facturas_Mobil!$D:$D,"Lerma - Tres Marías")+SUMIFS(Captura_Facturas_Mobil!$G:$G,Captura_Facturas_Mobil!$N:$N,A63,Captura_Facturas_Mobil!$D:$D,"Chamapa-Lechería")+SUMIFS(Captura_Facturas_Mobil!$G:$G,Captura_Facturas_Mobil!$N:$N,A63,Captura_Facturas_Mobil!$D:$D,"Bacheo Toluca")+SUMIFS(Captura_Facturas_Mobil!$G:$G,Captura_Facturas_Mobil!$N:$N,A63,Captura_Facturas_Mobil!$D:$D,"Dragones")+SUMIFS(Captura_Facturas_Mobil!$G:$G,Captura_Facturas_Mobil!$N:$N,A63,Captura_Facturas_Mobil!$D:$D,"Colegio Militar")+SUMIFS(Captura_Facturas_Mobil!$G:$G,Captura_Facturas_Mobil!$N:$N,A63,Captura_Facturas_Mobil!$D:$D,"NO DETECTADA")</f>
      </c>
      <c r="E63" s="16385">
        <f>SUMIFS(Captura_Obra!$F:$F,Captura_Obra!$M:$M,A63,Captura_Obra!$B:$B,"Maquinaria Pegaso")+SUMIFS(Captura_Obra!$F:$F,Captura_Obra!$M:$M,A63,Captura_Obra!$B:$B,"Lerma - Tres Marías")+SUMIFS(Captura_Obra!$F:$F,Captura_Obra!$M:$M,A63,Captura_Obra!$B:$B,"Chamapa-Lechería")+SUMIFS(Captura_Obra!$F:$F,Captura_Obra!$M:$M,A63,Captura_Obra!$B:$B,"Bacheo Toluca")+SUMIFS(Captura_Obra!$F:$F,Captura_Obra!$M:$M,A63,Captura_Obra!$B:$B,"Dragones")+SUMIFS(Captura_Obra!$F:$F,Captura_Obra!$M:$M,A63,Captura_Obra!$B:$B,"Colegio Militar")+SUMIFS(Captura_Obra!$F:$F,Captura_Obra!$M:$M,A63,Captura_Obra!$B:$B,"NO DETECTADA")</f>
      </c>
      <c r="F63" s="16386">
        <f t="shared" si="8"/>
      </c>
      <c r="G63" s="16387">
        <f t="shared" si="4"/>
      </c>
      <c r="H63" s="16388">
        <f t="shared" si="5"/>
      </c>
      <c r="I63" s="16389">
        <f t="shared" si="6"/>
      </c>
    </row>
    <row r="64" spans="1:10">
      <c r="A64" s="16390">
        <v>26</v>
      </c>
      <c r="B64" t="s" s="16391">
        <v>124</v>
      </c>
      <c r="C64" s="16392">
        <f>SUMIFS(Captura_Facturas_Mobil!$E:$E,Captura_Facturas_Mobil!$N:$N,A64,Captura_Facturas_Mobil!$D:$D,B64)</f>
      </c>
      <c r="D64" s="16393">
        <f>SUMIFS(Captura_Facturas_Mobil!$G:$G,Captura_Facturas_Mobil!$N:$N,A64,Captura_Facturas_Mobil!$D:$D,B64)</f>
      </c>
      <c r="E64" s="16394">
        <f>SUMIFS(Captura_Obra!$F:$F,Captura_Obra!$M:$M,A64,Captura_Obra!$B:$B,B64)</f>
      </c>
      <c r="F64" s="16395">
        <f t="shared" si="8"/>
      </c>
      <c r="G64" s="16396">
        <f t="shared" si="4"/>
      </c>
      <c r="H64" s="16397">
        <f t="shared" si="5"/>
      </c>
      <c r="I64" s="16398">
        <f t="shared" si="6"/>
      </c>
    </row>
    <row r="65" spans="1:9">
      <c r="A65" s="16399">
        <v>26</v>
      </c>
      <c r="B65" t="s" s="16400">
        <v>166</v>
      </c>
      <c r="C65" s="16401">
        <f>SUMIFS(Captura_Facturas_Mobil!$E:$E,Captura_Facturas_Mobil!$N:$N,A65,Captura_Facturas_Mobil!$D:$D,B65)</f>
      </c>
      <c r="D65" s="16402">
        <f>SUMIFS(Captura_Facturas_Mobil!$G:$G,Captura_Facturas_Mobil!$N:$N,A65,Captura_Facturas_Mobil!$D:$D,B65)</f>
      </c>
      <c r="E65" s="16403">
        <f>SUMIFS(Captura_Obra!$F:$F,Captura_Obra!$M:$M,A65,Captura_Obra!$B:$B,B65)</f>
      </c>
      <c r="F65" s="16404">
        <f t="shared" si="8"/>
      </c>
      <c r="G65" s="16405">
        <f t="shared" si="4"/>
      </c>
      <c r="H65" s="16406">
        <f t="shared" si="5"/>
      </c>
      <c r="I65" s="16407">
        <f t="shared" si="6"/>
      </c>
    </row>
    <row r="66" spans="1:9">
      <c r="A66" t="s" s="16408">
        <v>174</v>
      </c>
      <c r="B66" t="s" s="16409">
        <v>1</v>
      </c>
      <c r="C66" s="16410">
        <f>SUMIFS(Captura_Facturas_Mobil!$E:$E,Captura_Facturas_Mobil!$N:$N,A66,Captura_Facturas_Mobil!$D:$D,B66)</f>
      </c>
      <c r="D66" s="16411">
        <f>SUMIFS(Captura_Facturas_Mobil!$G:$G,Captura_Facturas_Mobil!$N:$N,A66,Captura_Facturas_Mobil!$D:$D,B66)</f>
      </c>
      <c r="E66" s="16412">
        <f>SUMIFS(Captura_Obra!$F:$F,Captura_Obra!$M:$M,A66,Captura_Obra!$B:$B,B66)</f>
      </c>
      <c r="F66" s="16416">
        <f t="shared" si="8"/>
      </c>
      <c r="G66" s="16413">
        <f>SUBTOTAL(9,G42:G65)</f>
      </c>
      <c r="H66" s="16414">
        <f>SUBTOTAL(9,H42:H65)</f>
      </c>
      <c r="I66" s="16415">
        <f>SUBTOTAL(9,I42:I65)</f>
      </c>
    </row>
    <row r="67" spans="1:9">
      <c r="A67" s="16021">
        <v>23</v>
      </c>
      <c r="B67" t="s" s="16022">
        <v>400</v>
      </c>
      <c r="C67" s="16023">
        <f>SUMIFS(Captura_Facturas_Mobil!$E:$E,Captura_Facturas_Mobil!$N:$N,A67,Captura_Facturas_Mobil!$D:$D,"Maquinaria Pegaso")+SUMIFS(Captura_Facturas_Mobil!$E:$E,Captura_Facturas_Mobil!$N:$N,A67,Captura_Facturas_Mobil!$D:$D,"Lerma - Tres Marías")+SUMIFS(Captura_Facturas_Mobil!$E:$E,Captura_Facturas_Mobil!$N:$N,A67,Captura_Facturas_Mobil!$D:$D,"Chamapa-Lechería")+SUMIFS(Captura_Facturas_Mobil!$E:$E,Captura_Facturas_Mobil!$N:$N,A67,Captura_Facturas_Mobil!$D:$D,"Bacheo Toluca")+SUMIFS(Captura_Facturas_Mobil!$E:$E,Captura_Facturas_Mobil!$N:$N,A67,Captura_Facturas_Mobil!$D:$D,"Dragones")+SUMIFS(Captura_Facturas_Mobil!$E:$E,Captura_Facturas_Mobil!$N:$N,A67,Captura_Facturas_Mobil!$D:$D,"Colegio Militar")+SUMIFS(Captura_Facturas_Mobil!$E:$E,Captura_Facturas_Mobil!$N:$N,A67,Captura_Facturas_Mobil!$D:$D,"NO DETECTADA")</f>
      </c>
      <c r="D67" s="16024">
        <f>SUMIFS(Captura_Facturas_Mobil!$G:$G,Captura_Facturas_Mobil!$N:$N,A67,Captura_Facturas_Mobil!$D:$D,"Maquinaria Pegaso")+SUMIFS(Captura_Facturas_Mobil!$G:$G,Captura_Facturas_Mobil!$N:$N,A67,Captura_Facturas_Mobil!$D:$D,"Lerma - Tres Marías")+SUMIFS(Captura_Facturas_Mobil!$G:$G,Captura_Facturas_Mobil!$N:$N,A67,Captura_Facturas_Mobil!$D:$D,"Chamapa-Lechería")+SUMIFS(Captura_Facturas_Mobil!$G:$G,Captura_Facturas_Mobil!$N:$N,A67,Captura_Facturas_Mobil!$D:$D,"Bacheo Toluca")+SUMIFS(Captura_Facturas_Mobil!$G:$G,Captura_Facturas_Mobil!$N:$N,A67,Captura_Facturas_Mobil!$D:$D,"Dragones")+SUMIFS(Captura_Facturas_Mobil!$G:$G,Captura_Facturas_Mobil!$N:$N,A67,Captura_Facturas_Mobil!$D:$D,"Colegio Militar")+SUMIFS(Captura_Facturas_Mobil!$G:$G,Captura_Facturas_Mobil!$N:$N,A67,Captura_Facturas_Mobil!$D:$D,"NO DETECTADA")</f>
      </c>
      <c r="E67" s="16025">
        <f>SUMIFS(Captura_Obra!$F:$F,Captura_Obra!$M:$M,A67,Captura_Obra!$B:$B,"Maquinaria Pegaso")+SUMIFS(Captura_Obra!$F:$F,Captura_Obra!$M:$M,A67,Captura_Obra!$B:$B,"Lerma - Tres Marías")+SUMIFS(Captura_Obra!$F:$F,Captura_Obra!$M:$M,A67,Captura_Obra!$B:$B,"Chamapa-Lechería")+SUMIFS(Captura_Obra!$F:$F,Captura_Obra!$M:$M,A67,Captura_Obra!$B:$B,"Bacheo Toluca")+SUMIFS(Captura_Obra!$F:$F,Captura_Obra!$M:$M,A67,Captura_Obra!$B:$B,"Dragones")+SUMIFS(Captura_Obra!$F:$F,Captura_Obra!$M:$M,A67,Captura_Obra!$B:$B,"Colegio Militar")+SUMIFS(Captura_Obra!$F:$F,Captura_Obra!$M:$M,A67,Captura_Obra!$B:$B,"NO DETECTADA")</f>
      </c>
      <c r="F67" s="16026">
        <f t="shared" si="8"/>
      </c>
      <c r="G67" s="16027">
        <f>IF(C67+D67=0,"",C67-F67)</f>
      </c>
      <c r="H67" s="16028">
        <f>IF(C67+D67=0,"",IF(G67&gt;10,"⚠️ Pagamos de MÁS (o se fue a Tanque)",IF(G67&lt;-10,"🚨 Máquinas quemaron MÁS de lo pagado","✅ Cuadrado")))</f>
      </c>
      <c r="I67" s="15158"/>
    </row>
    <row r="68" spans="1:9" ht="19.95" customHeight="1">
      <c r="A68" t="s" s="25209">
        <v>736</v>
      </c>
      <c r="B68" t="s" s="25210">
        <v>124</v>
      </c>
      <c r="C68" s="25211">
        <f>SUMIFS(Captura_Facturas_Mobil!$E:$E,Captura_Facturas_Mobil!$N:$N,A68,Captura_Facturas_Mobil!$D:$D,B68)</f>
      </c>
      <c r="D68" s="25212">
        <f>SUMIFS(Captura_Facturas_Mobil!$G:$G,Captura_Facturas_Mobil!$N:$N,A68,Captura_Facturas_Mobil!$D:$D,B68)</f>
      </c>
      <c r="E68" s="25213">
        <f>SUMIFS(Captura_Obra!$F:$F,Captura_Obra!$M:$M,A68,Captura_Obra!$B:$B,B68)</f>
      </c>
      <c r="F68" s="25214">
        <f t="shared" si="8"/>
      </c>
      <c r="G68" s="25215">
        <f>IF(C68+D68=0,"",C68-F68)</f>
      </c>
      <c r="H68" s="25216">
        <f>IF(C68+D68=0,"",IF(G68&gt;10,"⚠️ Pagamos de MÁS (o se fue a Tanque)",IF(G68&lt;-10,"🚨 Máquinas quemaron MÁS de lo pagado","✅ Cuadrado")))</f>
      </c>
      <c r="I68" s="15159"/>
    </row>
    <row r="69" spans="1:9" ht="40.049999999999997" customHeight="1">
      <c r="A69" t="s" s="16417">
        <v>460</v>
      </c>
      <c r="B69" t="s" s="16418">
        <v>166</v>
      </c>
      <c r="C69" s="16419">
        <f>SUMIFS(Captura_Facturas_Mobil!$E:$E,Captura_Facturas_Mobil!$N:$N,A69,Captura_Facturas_Mobil!$D:$D,B69)</f>
      </c>
      <c r="D69" s="16420">
        <f>SUMIFS(Captura_Facturas_Mobil!$G:$G,Captura_Facturas_Mobil!$N:$N,A69,Captura_Facturas_Mobil!$D:$D,B69)</f>
      </c>
      <c r="E69" s="16421">
        <f>SUMIFS(Captura_Obra!$F:$F,Captura_Obra!$M:$M,A69,Captura_Obra!$B:$B,B69)</f>
      </c>
      <c r="F69" s="16422">
        <f t="shared" si="8"/>
      </c>
      <c r="G69" t="s" s="16423">
        <v>765</v>
      </c>
      <c r="H69" t="s" s="16424">
        <v>414</v>
      </c>
      <c r="I69" s="15160"/>
    </row>
    <row r="70" spans="1:9">
      <c r="A70" s="16425">
        <v>21</v>
      </c>
      <c r="B70" t="s" s="16426">
        <v>1</v>
      </c>
      <c r="C70" s="16427">
        <f>SUMIFS(Estados_Cuenta_Mobil!$F:$F,Estados_Cuenta_Mobil!$C:$C,A70,Estados_Cuenta_Mobil!$D:$D,B70)</f>
      </c>
      <c r="D70" s="16428">
        <f>SUMIFS(Captura_Obra!$F:$F,Captura_Obra!$M:$M,A70,Captura_Obra!$B:$B,B70)</f>
      </c>
      <c r="E70" s="16429">
        <f>IFERROR(SUMIFS(Captura_Facturas_Mobil!$G:$G,Captura_Facturas_Mobil!$N:$N,A70,Captura_Facturas_Mobil!$D:$D,B70)/SUMIFS(Captura_Facturas_Mobil!$E:$E,Captura_Facturas_Mobil!$N:$N,A70,Captura_Facturas_Mobil!$D:$D,B70),$F$3)</f>
      </c>
      <c r="F70" s="16430">
        <f t="shared" ref="F70:F93" si="9">D70*E70</f>
      </c>
      <c r="G70" s="16431">
        <f t="shared" ref="G70:G93" si="10">IF(C70+D70=0,"",C70-F70)</f>
      </c>
      <c r="H70" s="16432">
        <f t="shared" ref="H70:H93" si="11">IF(AND(C70=0,F70&gt;0),"📦 Consumo de Reserva (Tanque Vaciado)",IF(C70+D70=0,"",IF(G70&gt;10,"⚠️ Cobro excedió consumo",IF(G70&lt;-10,"🚨 Máquinas quemaron más de lo pagado","✅ Cuadrado"))))</f>
      </c>
      <c r="I70" s="15161"/>
    </row>
    <row r="71" spans="1:9">
      <c r="A71" s="16433">
        <v>21</v>
      </c>
      <c r="B71" t="s" s="16434">
        <v>115</v>
      </c>
      <c r="C71" s="16435">
        <f>SUMIFS(Estados_Cuenta_Mobil!$F:$F,Estados_Cuenta_Mobil!$C:$C,A71,Estados_Cuenta_Mobil!$D:$D,"Planta Asfalto Pegaso")+SUMIFS(Estados_Cuenta_Mobil!$F:$F,Estados_Cuenta_Mobil!$C:$C,A71,Estados_Cuenta_Mobil!$D:$D,"Lerma - Tres Marías")+SUMIFS(Estados_Cuenta_Mobil!$F:$F,Estados_Cuenta_Mobil!$C:$C,A71,Estados_Cuenta_Mobil!$D:$D,"Chamapa-Lechería")+SUMIFS(Estados_Cuenta_Mobil!$F:$F,Estados_Cuenta_Mobil!$C:$C,A71,Estados_Cuenta_Mobil!$D:$D,"Bacheo Toluca")+SUMIFS(Estados_Cuenta_Mobil!$F:$F,Estados_Cuenta_Mobil!$C:$C,A71,Estados_Cuenta_Mobil!$D:$D,"Dragones")+SUMIFS(Estados_Cuenta_Mobil!$F:$F,Estados_Cuenta_Mobil!$C:$C,A71,Estados_Cuenta_Mobil!$D:$D,"Colegio Militar")+SUMIFS(Estados_Cuenta_Mobil!$F:$F,Estados_Cuenta_Mobil!$C:$C,A71,Estados_Cuenta_Mobil!$D:$D,"NO DETECTADA")</f>
      </c>
      <c r="D71" s="16436">
        <f>SUMIFS(Captura_Obra!$F:$F,Captura_Obra!$M:$M,A71,Captura_Obra!$B:$B,"Planta Asfalto Pegaso")+SUMIFS(Captura_Obra!$F:$F,Captura_Obra!$M:$M,A71,Captura_Obra!$B:$B,"Lerma - Tres Marías")+SUMIFS(Captura_Obra!$F:$F,Captura_Obra!$M:$M,A71,Captura_Obra!$B:$B,"Chamapa-Lechería")+SUMIFS(Captura_Obra!$F:$F,Captura_Obra!$M:$M,A71,Captura_Obra!$B:$B,"Bacheo Toluca")+SUMIFS(Captura_Obra!$F:$F,Captura_Obra!$M:$M,A71,Captura_Obra!$B:$B,"Dragones")+SUMIFS(Captura_Obra!$F:$F,Captura_Obra!$M:$M,A71,Captura_Obra!$B:$B,"Colegio Militar")+SUMIFS(Captura_Obra!$F:$F,Captura_Obra!$M:$M,A71,Captura_Obra!$B:$B,"NO DETECTADA")</f>
      </c>
      <c r="E71" s="16437">
        <f>IFERROR((SUMIFS(Captura_Facturas_Mobil!$G:$G,Captura_Facturas_Mobil!$N:$N,A71,Captura_Facturas_Mobil!$D:$D,"Planta Asfalto Pegaso")+SUMIFS(Captura_Facturas_Mobil!$G:$G,Captura_Facturas_Mobil!$N:$N,A71,Captura_Facturas_Mobil!$D:$D,"Lerma - Tres Marías")+SUMIFS(Captura_Facturas_Mobil!$G:$G,Captura_Facturas_Mobil!$N:$N,A71,Captura_Facturas_Mobil!$D:$D,"Chamapa-Lechería")+SUMIFS(Captura_Facturas_Mobil!$G:$G,Captura_Facturas_Mobil!$N:$N,A71,Captura_Facturas_Mobil!$D:$D,"Bacheo Toluca")+SUMIFS(Captura_Facturas_Mobil!$G:$G,Captura_Facturas_Mobil!$N:$N,A71,Captura_Facturas_Mobil!$D:$D,"Dragones")+SUMIFS(Captura_Facturas_Mobil!$G:$G,Captura_Facturas_Mobil!$N:$N,A71,Captura_Facturas_Mobil!$D:$D,"Colegio Militar")+SUMIFS(Captura_Facturas_Mobil!$G:$G,Captura_Facturas_Mobil!$N:$N,A71,Captura_Facturas_Mobil!$D:$D,"NO DETECTADA"))/(SUMIFS(Captura_Facturas_Mobil!$E:$E,Captura_Facturas_Mobil!$N:$N,A71,Captura_Facturas_Mobil!$D:$D,"Planta Asfalto Pegaso")+SUMIFS(Captura_Facturas_Mobil!$E:$E,Captura_Facturas_Mobil!$N:$N,A71,Captura_Facturas_Mobil!$D:$D,"Lerma - Tres Marías")+SUMIFS(Captura_Facturas_Mobil!$E:$E,Captura_Facturas_Mobil!$N:$N,A71,Captura_Facturas_Mobil!$D:$D,"Chamapa-Lechería")+SUMIFS(Captura_Facturas_Mobil!$E:$E,Captura_Facturas_Mobil!$N:$N,A71,Captura_Facturas_Mobil!$D:$D,"Bacheo Toluca")+SUMIFS(Captura_Facturas_Mobil!$E:$E,Captura_Facturas_Mobil!$N:$N,A71,Captura_Facturas_Mobil!$D:$D,"Dragones")+SUMIFS(Captura_Facturas_Mobil!$E:$E,Captura_Facturas_Mobil!$N:$N,A71,Captura_Facturas_Mobil!$D:$D,"Colegio Militar")+SUMIFS(Captura_Facturas_Mobil!$E:$E,Captura_Facturas_Mobil!$N:$N,A71,Captura_Facturas_Mobil!$D:$D,"NO DETECTADA")),$F$3)</f>
      </c>
      <c r="F71" s="16438">
        <f t="shared" si="9"/>
      </c>
      <c r="G71" s="16439">
        <f t="shared" si="10"/>
      </c>
      <c r="H71" s="16440">
        <f t="shared" si="11"/>
      </c>
      <c r="I71" s="15162"/>
    </row>
    <row r="72" spans="1:9">
      <c r="A72" s="16441">
        <v>21</v>
      </c>
      <c r="B72" t="s" s="16442">
        <v>1</v>
      </c>
      <c r="C72" s="16443">
        <f>SUMIFS(Estados_Cuenta_Mobil!$F:$F,Estados_Cuenta_Mobil!$C:$C,A72,Estados_Cuenta_Mobil!$D:$D,B72)</f>
      </c>
      <c r="D72" s="16444">
        <f>SUMIFS(Captura_Obra!$F:$F,Captura_Obra!$M:$M,A72,Captura_Obra!$B:$B,B72)</f>
      </c>
      <c r="E72" s="16445">
        <f>IFERROR(SUMIFS(Captura_Facturas_Mobil!$G:$G,Captura_Facturas_Mobil!$N:$N,A72,Captura_Facturas_Mobil!$D:$D,B72)/SUMIFS(Captura_Facturas_Mobil!$E:$E,Captura_Facturas_Mobil!$N:$N,A72,Captura_Facturas_Mobil!$D:$D,B72),$F$3)</f>
      </c>
      <c r="F72" s="16446">
        <f t="shared" si="9"/>
      </c>
      <c r="G72" s="16447">
        <f t="shared" si="10"/>
      </c>
      <c r="H72" s="16448">
        <f t="shared" si="11"/>
      </c>
      <c r="I72" s="15163"/>
    </row>
    <row r="73" spans="1:9">
      <c r="A73" s="16449">
        <v>21</v>
      </c>
      <c r="B73" t="s" s="16450">
        <v>400</v>
      </c>
      <c r="C73" s="16451">
        <f>SUMIFS(Estados_Cuenta_Mobil!$F:$F,Estados_Cuenta_Mobil!$C:$C,A73,Estados_Cuenta_Mobil!$D:$D,"Maquinaria Pegaso")+SUMIFS(Estados_Cuenta_Mobil!$F:$F,Estados_Cuenta_Mobil!$C:$C,A73,Estados_Cuenta_Mobil!$D:$D,"Lerma - Tres Marías")+SUMIFS(Estados_Cuenta_Mobil!$F:$F,Estados_Cuenta_Mobil!$C:$C,A73,Estados_Cuenta_Mobil!$D:$D,"Chamapa-Lechería")+SUMIFS(Estados_Cuenta_Mobil!$F:$F,Estados_Cuenta_Mobil!$C:$C,A73,Estados_Cuenta_Mobil!$D:$D,"Bacheo Toluca")+SUMIFS(Estados_Cuenta_Mobil!$F:$F,Estados_Cuenta_Mobil!$C:$C,A73,Estados_Cuenta_Mobil!$D:$D,"Dragones")+SUMIFS(Estados_Cuenta_Mobil!$F:$F,Estados_Cuenta_Mobil!$C:$C,A73,Estados_Cuenta_Mobil!$D:$D,"Colegio Militar")+SUMIFS(Estados_Cuenta_Mobil!$F:$F,Estados_Cuenta_Mobil!$C:$C,A73,Estados_Cuenta_Mobil!$D:$D,"NO DETECTADA")</f>
      </c>
      <c r="D73" s="16452">
        <f>SUMIFS(Captura_Obra!$F:$F,Captura_Obra!$M:$M,A73,Captura_Obra!$B:$B,"Maquinaria Pegaso")+SUMIFS(Captura_Obra!$F:$F,Captura_Obra!$M:$M,A73,Captura_Obra!$B:$B,"Lerma - Tres Marías")+SUMIFS(Captura_Obra!$F:$F,Captura_Obra!$M:$M,A73,Captura_Obra!$B:$B,"Chamapa-Lechería")+SUMIFS(Captura_Obra!$F:$F,Captura_Obra!$M:$M,A73,Captura_Obra!$B:$B,"Bacheo Toluca")+SUMIFS(Captura_Obra!$F:$F,Captura_Obra!$M:$M,A73,Captura_Obra!$B:$B,"Dragones")+SUMIFS(Captura_Obra!$F:$F,Captura_Obra!$M:$M,A73,Captura_Obra!$B:$B,"Colegio Militar")+SUMIFS(Captura_Obra!$F:$F,Captura_Obra!$M:$M,A73,Captura_Obra!$B:$B,"NO DETECTADA")</f>
      </c>
      <c r="E73" s="16453">
        <f>IFERROR((SUMIFS(Captura_Facturas_Mobil!$G:$G,Captura_Facturas_Mobil!$N:$N,A73,Captura_Facturas_Mobil!$D:$D,"Maquinaria Pegaso")+SUMIFS(Captura_Facturas_Mobil!$G:$G,Captura_Facturas_Mobil!$N:$N,A73,Captura_Facturas_Mobil!$D:$D,"Lerma - Tres Marías")+SUMIFS(Captura_Facturas_Mobil!$G:$G,Captura_Facturas_Mobil!$N:$N,A73,Captura_Facturas_Mobil!$D:$D,"Chamapa-Lechería")+SUMIFS(Captura_Facturas_Mobil!$G:$G,Captura_Facturas_Mobil!$N:$N,A73,Captura_Facturas_Mobil!$D:$D,"Bacheo Toluca")+SUMIFS(Captura_Facturas_Mobil!$G:$G,Captura_Facturas_Mobil!$N:$N,A73,Captura_Facturas_Mobil!$D:$D,"Dragones")+SUMIFS(Captura_Facturas_Mobil!$G:$G,Captura_Facturas_Mobil!$N:$N,A73,Captura_Facturas_Mobil!$D:$D,"Colegio Militar")+SUMIFS(Captura_Facturas_Mobil!$G:$G,Captura_Facturas_Mobil!$N:$N,A73,Captura_Facturas_Mobil!$D:$D,"NO DETECTADA"))/(SUMIFS(Captura_Facturas_Mobil!$E:$E,Captura_Facturas_Mobil!$N:$N,A73,Captura_Facturas_Mobil!$D:$D,"Maquinaria Pegaso")+SUMIFS(Captura_Facturas_Mobil!$E:$E,Captura_Facturas_Mobil!$N:$N,A73,Captura_Facturas_Mobil!$D:$D,"Lerma - Tres Marías")+SUMIFS(Captura_Facturas_Mobil!$E:$E,Captura_Facturas_Mobil!$N:$N,A73,Captura_Facturas_Mobil!$D:$D,"Chamapa-Lechería")+SUMIFS(Captura_Facturas_Mobil!$E:$E,Captura_Facturas_Mobil!$N:$N,A73,Captura_Facturas_Mobil!$D:$D,"Bacheo Toluca")+SUMIFS(Captura_Facturas_Mobil!$E:$E,Captura_Facturas_Mobil!$N:$N,A73,Captura_Facturas_Mobil!$D:$D,"Dragones")+SUMIFS(Captura_Facturas_Mobil!$E:$E,Captura_Facturas_Mobil!$N:$N,A73,Captura_Facturas_Mobil!$D:$D,"Colegio Militar")+SUMIFS(Captura_Facturas_Mobil!$E:$E,Captura_Facturas_Mobil!$N:$N,A73,Captura_Facturas_Mobil!$D:$D,"NO DETECTADA")),$F$3)</f>
      </c>
      <c r="F73" s="16454">
        <f t="shared" si="9"/>
      </c>
      <c r="G73" s="16455">
        <f t="shared" si="10"/>
      </c>
      <c r="H73" s="16456">
        <f t="shared" si="11"/>
      </c>
      <c r="I73" s="15164"/>
    </row>
    <row r="74" spans="1:9">
      <c r="A74" s="16457">
        <v>22</v>
      </c>
      <c r="B74" t="s" s="16458">
        <v>124</v>
      </c>
      <c r="C74" s="16459">
        <f>SUMIFS(Estados_Cuenta_Mobil!$F:$F,Estados_Cuenta_Mobil!$C:$C,A74,Estados_Cuenta_Mobil!$D:$D,B74)</f>
      </c>
      <c r="D74" s="16460">
        <f>SUMIFS(Captura_Obra!$F:$F,Captura_Obra!$M:$M,A74,Captura_Obra!$B:$B,B74)</f>
      </c>
      <c r="E74" s="16461">
        <f>IFERROR(SUMIFS(Captura_Facturas_Mobil!$G:$G,Captura_Facturas_Mobil!$N:$N,A74,Captura_Facturas_Mobil!$D:$D,B74)/SUMIFS(Captura_Facturas_Mobil!$E:$E,Captura_Facturas_Mobil!$N:$N,A74,Captura_Facturas_Mobil!$D:$D,B74),$F$3)</f>
      </c>
      <c r="F74" s="16462">
        <f t="shared" si="9"/>
      </c>
      <c r="G74" s="16463">
        <f t="shared" si="10"/>
      </c>
      <c r="H74" s="16464">
        <f t="shared" si="11"/>
      </c>
      <c r="I74" s="15165"/>
    </row>
    <row r="75" spans="1:9">
      <c r="A75" s="16465">
        <v>22</v>
      </c>
      <c r="B75" t="s" s="16466">
        <v>166</v>
      </c>
      <c r="C75" s="16467">
        <f>SUMIFS(Estados_Cuenta_Mobil!$F:$F,Estados_Cuenta_Mobil!$C:$C,A75,Estados_Cuenta_Mobil!$D:$D,B75)</f>
      </c>
      <c r="D75" s="16468">
        <f>SUMIFS(Captura_Obra!$F:$F,Captura_Obra!$M:$M,A75,Captura_Obra!$B:$B,B75)</f>
      </c>
      <c r="E75" s="16469">
        <f>IFERROR(SUMIFS(Captura_Facturas_Mobil!$G:$G,Captura_Facturas_Mobil!$N:$N,A75,Captura_Facturas_Mobil!$D:$D,B75)/SUMIFS(Captura_Facturas_Mobil!$E:$E,Captura_Facturas_Mobil!$N:$N,A75,Captura_Facturas_Mobil!$D:$D,B75),$F$3)</f>
      </c>
      <c r="F75" s="16470">
        <f t="shared" si="9"/>
      </c>
      <c r="G75" s="16471">
        <f t="shared" si="10"/>
      </c>
      <c r="H75" s="16472">
        <f t="shared" si="11"/>
      </c>
      <c r="I75" s="15166"/>
    </row>
    <row r="76" spans="1:9">
      <c r="A76" s="16473">
        <v>22</v>
      </c>
      <c r="B76" t="s" s="16474">
        <v>1</v>
      </c>
      <c r="C76" s="16475">
        <f>SUMIFS(Estados_Cuenta_Mobil!$F:$F,Estados_Cuenta_Mobil!$C:$C,A76,Estados_Cuenta_Mobil!$D:$D,B76)</f>
      </c>
      <c r="D76" s="16476">
        <f>SUMIFS(Captura_Obra!$F:$F,Captura_Obra!$M:$M,A76,Captura_Obra!$B:$B,B76)</f>
      </c>
      <c r="E76" s="16477">
        <f>IFERROR(SUMIFS(Captura_Facturas_Mobil!$G:$G,Captura_Facturas_Mobil!$N:$N,A76,Captura_Facturas_Mobil!$D:$D,B76)/SUMIFS(Captura_Facturas_Mobil!$E:$E,Captura_Facturas_Mobil!$N:$N,A76,Captura_Facturas_Mobil!$D:$D,B76),$F$3)</f>
      </c>
      <c r="F76" s="16478">
        <f t="shared" si="9"/>
      </c>
      <c r="G76" s="16479">
        <f t="shared" si="10"/>
      </c>
      <c r="H76" s="16480">
        <f t="shared" si="11"/>
      </c>
      <c r="I76" s="15167"/>
    </row>
    <row r="77" spans="1:9">
      <c r="A77" s="16481">
        <v>22</v>
      </c>
      <c r="B77" t="s" s="16482">
        <v>400</v>
      </c>
      <c r="C77" s="16483">
        <f>SUMIFS(Estados_Cuenta_Mobil!$F:$F,Estados_Cuenta_Mobil!$C:$C,A77,Estados_Cuenta_Mobil!$D:$D,"Maquinaria Pegaso")+SUMIFS(Estados_Cuenta_Mobil!$F:$F,Estados_Cuenta_Mobil!$C:$C,A77,Estados_Cuenta_Mobil!$D:$D,"Lerma - Tres Marías")+SUMIFS(Estados_Cuenta_Mobil!$F:$F,Estados_Cuenta_Mobil!$C:$C,A77,Estados_Cuenta_Mobil!$D:$D,"Chamapa-Lechería")+SUMIFS(Estados_Cuenta_Mobil!$F:$F,Estados_Cuenta_Mobil!$C:$C,A77,Estados_Cuenta_Mobil!$D:$D,"Bacheo Toluca")+SUMIFS(Estados_Cuenta_Mobil!$F:$F,Estados_Cuenta_Mobil!$C:$C,A77,Estados_Cuenta_Mobil!$D:$D,"Dragones")+SUMIFS(Estados_Cuenta_Mobil!$F:$F,Estados_Cuenta_Mobil!$C:$C,A77,Estados_Cuenta_Mobil!$D:$D,"Colegio Militar")+SUMIFS(Estados_Cuenta_Mobil!$F:$F,Estados_Cuenta_Mobil!$C:$C,A77,Estados_Cuenta_Mobil!$D:$D,"NO DETECTADA")</f>
      </c>
      <c r="D77" s="16484">
        <f>SUMIFS(Captura_Obra!$F:$F,Captura_Obra!$M:$M,A77,Captura_Obra!$B:$B,"Maquinaria Pegaso")+SUMIFS(Captura_Obra!$F:$F,Captura_Obra!$M:$M,A77,Captura_Obra!$B:$B,"Lerma - Tres Marías")+SUMIFS(Captura_Obra!$F:$F,Captura_Obra!$M:$M,A77,Captura_Obra!$B:$B,"Chamapa-Lechería")+SUMIFS(Captura_Obra!$F:$F,Captura_Obra!$M:$M,A77,Captura_Obra!$B:$B,"Bacheo Toluca")+SUMIFS(Captura_Obra!$F:$F,Captura_Obra!$M:$M,A77,Captura_Obra!$B:$B,"Dragones")+SUMIFS(Captura_Obra!$F:$F,Captura_Obra!$M:$M,A77,Captura_Obra!$B:$B,"Colegio Militar")+SUMIFS(Captura_Obra!$F:$F,Captura_Obra!$M:$M,A77,Captura_Obra!$B:$B,"NO DETECTADA")</f>
      </c>
      <c r="E77" s="16485">
        <f>IFERROR((SUMIFS(Captura_Facturas_Mobil!$G:$G,Captura_Facturas_Mobil!$N:$N,A77,Captura_Facturas_Mobil!$D:$D,"Maquinaria Pegaso")+SUMIFS(Captura_Facturas_Mobil!$G:$G,Captura_Facturas_Mobil!$N:$N,A77,Captura_Facturas_Mobil!$D:$D,"Lerma - Tres Marías")+SUMIFS(Captura_Facturas_Mobil!$G:$G,Captura_Facturas_Mobil!$N:$N,A77,Captura_Facturas_Mobil!$D:$D,"Chamapa-Lechería")+SUMIFS(Captura_Facturas_Mobil!$G:$G,Captura_Facturas_Mobil!$N:$N,A77,Captura_Facturas_Mobil!$D:$D,"Bacheo Toluca")+SUMIFS(Captura_Facturas_Mobil!$G:$G,Captura_Facturas_Mobil!$N:$N,A77,Captura_Facturas_Mobil!$D:$D,"Dragones")+SUMIFS(Captura_Facturas_Mobil!$G:$G,Captura_Facturas_Mobil!$N:$N,A77,Captura_Facturas_Mobil!$D:$D,"Colegio Militar")+SUMIFS(Captura_Facturas_Mobil!$G:$G,Captura_Facturas_Mobil!$N:$N,A77,Captura_Facturas_Mobil!$D:$D,"NO DETECTADA"))/(SUMIFS(Captura_Facturas_Mobil!$E:$E,Captura_Facturas_Mobil!$N:$N,A77,Captura_Facturas_Mobil!$D:$D,"Maquinaria Pegaso")+SUMIFS(Captura_Facturas_Mobil!$E:$E,Captura_Facturas_Mobil!$N:$N,A77,Captura_Facturas_Mobil!$D:$D,"Lerma - Tres Marías")+SUMIFS(Captura_Facturas_Mobil!$E:$E,Captura_Facturas_Mobil!$N:$N,A77,Captura_Facturas_Mobil!$D:$D,"Chamapa-Lechería")+SUMIFS(Captura_Facturas_Mobil!$E:$E,Captura_Facturas_Mobil!$N:$N,A77,Captura_Facturas_Mobil!$D:$D,"Bacheo Toluca")+SUMIFS(Captura_Facturas_Mobil!$E:$E,Captura_Facturas_Mobil!$N:$N,A77,Captura_Facturas_Mobil!$D:$D,"Dragones")+SUMIFS(Captura_Facturas_Mobil!$E:$E,Captura_Facturas_Mobil!$N:$N,A77,Captura_Facturas_Mobil!$D:$D,"Colegio Militar")+SUMIFS(Captura_Facturas_Mobil!$E:$E,Captura_Facturas_Mobil!$N:$N,A77,Captura_Facturas_Mobil!$D:$D,"NO DETECTADA")),$F$3)</f>
      </c>
      <c r="F77" s="16486">
        <f t="shared" si="9"/>
      </c>
      <c r="G77" s="16487">
        <f t="shared" si="10"/>
      </c>
      <c r="H77" s="16488">
        <f t="shared" si="11"/>
      </c>
      <c r="I77" s="15168"/>
    </row>
    <row r="78" spans="1:9">
      <c r="A78" s="16489">
        <v>23</v>
      </c>
      <c r="B78" t="s" s="16490">
        <v>124</v>
      </c>
      <c r="C78" s="16491">
        <f>SUMIFS(Estados_Cuenta_Mobil!$F:$F,Estados_Cuenta_Mobil!$C:$C,A78,Estados_Cuenta_Mobil!$D:$D,B78)</f>
      </c>
      <c r="D78" s="16492">
        <f>SUMIFS(Captura_Obra!$F:$F,Captura_Obra!$M:$M,A78,Captura_Obra!$B:$B,B78)</f>
      </c>
      <c r="E78" s="16493">
        <f>IFERROR(SUMIFS(Captura_Facturas_Mobil!$G:$G,Captura_Facturas_Mobil!$N:$N,A78,Captura_Facturas_Mobil!$D:$D,B78)/SUMIFS(Captura_Facturas_Mobil!$E:$E,Captura_Facturas_Mobil!$N:$N,A78,Captura_Facturas_Mobil!$D:$D,B78),$F$3)</f>
      </c>
      <c r="F78" s="16494">
        <f t="shared" si="9"/>
      </c>
      <c r="G78" s="16495">
        <f t="shared" si="10"/>
      </c>
      <c r="H78" s="16496">
        <f t="shared" si="11"/>
      </c>
      <c r="I78" s="15169"/>
    </row>
    <row r="79" spans="1:9">
      <c r="A79" s="16497">
        <v>23</v>
      </c>
      <c r="B79" t="s" s="16498">
        <v>166</v>
      </c>
      <c r="C79" s="16499">
        <f>SUMIFS(Estados_Cuenta_Mobil!$F:$F,Estados_Cuenta_Mobil!$C:$C,A79,Estados_Cuenta_Mobil!$D:$D,B79)</f>
      </c>
      <c r="D79" s="16500">
        <f>SUMIFS(Captura_Obra!$F:$F,Captura_Obra!$M:$M,A79,Captura_Obra!$B:$B,B79)</f>
      </c>
      <c r="E79" s="16501">
        <f>IFERROR(SUMIFS(Captura_Facturas_Mobil!$G:$G,Captura_Facturas_Mobil!$N:$N,A79,Captura_Facturas_Mobil!$D:$D,B79)/SUMIFS(Captura_Facturas_Mobil!$E:$E,Captura_Facturas_Mobil!$N:$N,A79,Captura_Facturas_Mobil!$D:$D,B79),$F$3)</f>
      </c>
      <c r="F79" s="16502">
        <f t="shared" si="9"/>
      </c>
      <c r="G79" s="16503">
        <f t="shared" si="10"/>
      </c>
      <c r="H79" s="16504">
        <f t="shared" si="11"/>
      </c>
      <c r="I79" s="15170"/>
    </row>
    <row r="80" spans="1:9" ht="14.4">
      <c r="A80" s="25296">
        <v>23</v>
      </c>
      <c r="B80" t="s" s="25297">
        <v>1</v>
      </c>
      <c r="C80" s="25298">
        <f>SUMIFS(Estados_Cuenta_Mobil!$F:$F,Estados_Cuenta_Mobil!$C:$C,A80,Estados_Cuenta_Mobil!$D:$D,B80)</f>
      </c>
      <c r="D80" s="25299">
        <f>SUMIFS(Captura_Obra!$F:$F,Captura_Obra!$M:$M,A80,Captura_Obra!$B:$B,B80)</f>
      </c>
      <c r="E80" s="25300">
        <f>IFERROR(SUMIFS(Captura_Facturas_Mobil!$G:$G,Captura_Facturas_Mobil!$N:$N,A80,Captura_Facturas_Mobil!$D:$D,B80)/SUMIFS(Captura_Facturas_Mobil!$E:$E,Captura_Facturas_Mobil!$N:$N,A80,Captura_Facturas_Mobil!$D:$D,B80),$F$3)</f>
      </c>
      <c r="F80" s="25301">
        <f t="shared" si="9"/>
      </c>
      <c r="G80" s="25302">
        <f t="shared" si="10"/>
      </c>
      <c r="H80" s="25303">
        <f t="shared" si="11"/>
      </c>
      <c r="I80" s="15171"/>
    </row>
    <row r="81" spans="1:9">
      <c r="A81" s="16505">
        <v>23</v>
      </c>
      <c r="B81" t="s" s="16506">
        <v>400</v>
      </c>
      <c r="C81" s="16507">
        <f>SUMIFS(Estados_Cuenta_Mobil!$F:$F,Estados_Cuenta_Mobil!$C:$C,A81,Estados_Cuenta_Mobil!$D:$D,"Maquinaria Pegaso")+SUMIFS(Estados_Cuenta_Mobil!$F:$F,Estados_Cuenta_Mobil!$C:$C,A81,Estados_Cuenta_Mobil!$D:$D,"Lerma - Tres Marías")+SUMIFS(Estados_Cuenta_Mobil!$F:$F,Estados_Cuenta_Mobil!$C:$C,A81,Estados_Cuenta_Mobil!$D:$D,"Chamapa-Lechería")+SUMIFS(Estados_Cuenta_Mobil!$F:$F,Estados_Cuenta_Mobil!$C:$C,A81,Estados_Cuenta_Mobil!$D:$D,"Bacheo Toluca")+SUMIFS(Estados_Cuenta_Mobil!$F:$F,Estados_Cuenta_Mobil!$C:$C,A81,Estados_Cuenta_Mobil!$D:$D,"Dragones")+SUMIFS(Estados_Cuenta_Mobil!$F:$F,Estados_Cuenta_Mobil!$C:$C,A81,Estados_Cuenta_Mobil!$D:$D,"Colegio Militar")+SUMIFS(Estados_Cuenta_Mobil!$F:$F,Estados_Cuenta_Mobil!$C:$C,A81,Estados_Cuenta_Mobil!$D:$D,"NO DETECTADA")</f>
      </c>
      <c r="D81" s="16508">
        <f>SUMIFS(Captura_Obra!$F:$F,Captura_Obra!$M:$M,A81,Captura_Obra!$B:$B,"Maquinaria Pegaso")+SUMIFS(Captura_Obra!$F:$F,Captura_Obra!$M:$M,A81,Captura_Obra!$B:$B,"Lerma - Tres Marías")+SUMIFS(Captura_Obra!$F:$F,Captura_Obra!$M:$M,A81,Captura_Obra!$B:$B,"Chamapa-Lechería")+SUMIFS(Captura_Obra!$F:$F,Captura_Obra!$M:$M,A81,Captura_Obra!$B:$B,"Bacheo Toluca")+SUMIFS(Captura_Obra!$F:$F,Captura_Obra!$M:$M,A81,Captura_Obra!$B:$B,"Dragones")+SUMIFS(Captura_Obra!$F:$F,Captura_Obra!$M:$M,A81,Captura_Obra!$B:$B,"Colegio Militar")+SUMIFS(Captura_Obra!$F:$F,Captura_Obra!$M:$M,A81,Captura_Obra!$B:$B,"NO DETECTADA")</f>
      </c>
      <c r="E81" s="16509">
        <f>IFERROR((SUMIFS(Captura_Facturas_Mobil!$G:$G,Captura_Facturas_Mobil!$N:$N,A81,Captura_Facturas_Mobil!$D:$D,"Maquinaria Pegaso")+SUMIFS(Captura_Facturas_Mobil!$G:$G,Captura_Facturas_Mobil!$N:$N,A81,Captura_Facturas_Mobil!$D:$D,"Lerma - Tres Marías")+SUMIFS(Captura_Facturas_Mobil!$G:$G,Captura_Facturas_Mobil!$N:$N,A81,Captura_Facturas_Mobil!$D:$D,"Chamapa-Lechería")+SUMIFS(Captura_Facturas_Mobil!$G:$G,Captura_Facturas_Mobil!$N:$N,A81,Captura_Facturas_Mobil!$D:$D,"Bacheo Toluca")+SUMIFS(Captura_Facturas_Mobil!$G:$G,Captura_Facturas_Mobil!$N:$N,A81,Captura_Facturas_Mobil!$D:$D,"Dragones")+SUMIFS(Captura_Facturas_Mobil!$G:$G,Captura_Facturas_Mobil!$N:$N,A81,Captura_Facturas_Mobil!$D:$D,"Colegio Militar")+SUMIFS(Captura_Facturas_Mobil!$G:$G,Captura_Facturas_Mobil!$N:$N,A81,Captura_Facturas_Mobil!$D:$D,"NO DETECTADA"))/(SUMIFS(Captura_Facturas_Mobil!$E:$E,Captura_Facturas_Mobil!$N:$N,A81,Captura_Facturas_Mobil!$D:$D,"Maquinaria Pegaso")+SUMIFS(Captura_Facturas_Mobil!$E:$E,Captura_Facturas_Mobil!$N:$N,A81,Captura_Facturas_Mobil!$D:$D,"Lerma - Tres Marías")+SUMIFS(Captura_Facturas_Mobil!$E:$E,Captura_Facturas_Mobil!$N:$N,A81,Captura_Facturas_Mobil!$D:$D,"Chamapa-Lechería")+SUMIFS(Captura_Facturas_Mobil!$E:$E,Captura_Facturas_Mobil!$N:$N,A81,Captura_Facturas_Mobil!$D:$D,"Bacheo Toluca")+SUMIFS(Captura_Facturas_Mobil!$E:$E,Captura_Facturas_Mobil!$N:$N,A81,Captura_Facturas_Mobil!$D:$D,"Dragones")+SUMIFS(Captura_Facturas_Mobil!$E:$E,Captura_Facturas_Mobil!$N:$N,A81,Captura_Facturas_Mobil!$D:$D,"Colegio Militar")+SUMIFS(Captura_Facturas_Mobil!$E:$E,Captura_Facturas_Mobil!$N:$N,A81,Captura_Facturas_Mobil!$D:$D,"NO DETECTADA")),$F$3)</f>
      </c>
      <c r="F81" s="16510">
        <f t="shared" si="9"/>
      </c>
      <c r="G81" s="16511">
        <f t="shared" si="10"/>
      </c>
      <c r="H81" s="16512">
        <f t="shared" si="11"/>
      </c>
      <c r="I81" s="15172"/>
    </row>
    <row r="82" spans="1:9">
      <c r="A82" s="16513">
        <v>24</v>
      </c>
      <c r="B82" t="s" s="16514">
        <v>124</v>
      </c>
      <c r="C82" s="16515">
        <f>SUMIFS(Estados_Cuenta_Mobil!$F:$F,Estados_Cuenta_Mobil!$C:$C,A82,Estados_Cuenta_Mobil!$D:$D,B82)</f>
      </c>
      <c r="D82" s="16516">
        <f>SUMIFS(Captura_Obra!$F:$F,Captura_Obra!$M:$M,A82,Captura_Obra!$B:$B,B82)</f>
      </c>
      <c r="E82" s="16517">
        <f>IFERROR(SUMIFS(Captura_Facturas_Mobil!$G:$G,Captura_Facturas_Mobil!$N:$N,A82,Captura_Facturas_Mobil!$D:$D,B82)/SUMIFS(Captura_Facturas_Mobil!$E:$E,Captura_Facturas_Mobil!$N:$N,A82,Captura_Facturas_Mobil!$D:$D,B82),$F$3)</f>
      </c>
      <c r="F82" s="16518">
        <f t="shared" si="9"/>
      </c>
      <c r="G82" s="16519">
        <f t="shared" si="10"/>
      </c>
      <c r="H82" s="16520">
        <f t="shared" si="11"/>
      </c>
      <c r="I82" s="15173"/>
    </row>
    <row r="83" spans="1:9">
      <c r="A83" s="16521">
        <v>24</v>
      </c>
      <c r="B83" t="s" s="16522">
        <v>166</v>
      </c>
      <c r="C83" s="16523">
        <f>SUMIFS(Estados_Cuenta_Mobil!$F:$F,Estados_Cuenta_Mobil!$C:$C,A83,Estados_Cuenta_Mobil!$D:$D,B83)</f>
      </c>
      <c r="D83" s="16524">
        <f>SUMIFS(Captura_Obra!$F:$F,Captura_Obra!$M:$M,A83,Captura_Obra!$B:$B,B83)</f>
      </c>
      <c r="E83" s="16525">
        <f>IFERROR(SUMIFS(Captura_Facturas_Mobil!$G:$G,Captura_Facturas_Mobil!$N:$N,A83,Captura_Facturas_Mobil!$D:$D,B83)/SUMIFS(Captura_Facturas_Mobil!$E:$E,Captura_Facturas_Mobil!$N:$N,A83,Captura_Facturas_Mobil!$D:$D,B83),$F$3)</f>
      </c>
      <c r="F83" s="16526">
        <f t="shared" si="9"/>
      </c>
      <c r="G83" s="16527">
        <f t="shared" si="10"/>
      </c>
      <c r="H83" s="16528">
        <f t="shared" si="11"/>
      </c>
      <c r="I83" s="15174"/>
    </row>
    <row r="84" spans="1:9">
      <c r="A84" s="16529">
        <v>24</v>
      </c>
      <c r="B84" t="s" s="16530">
        <v>1</v>
      </c>
      <c r="C84" s="16531">
        <f>SUMIFS(Estados_Cuenta_Mobil!$F:$F,Estados_Cuenta_Mobil!$C:$C,A84,Estados_Cuenta_Mobil!$D:$D,B84)</f>
      </c>
      <c r="D84" s="16532">
        <f>SUMIFS(Captura_Obra!$F:$F,Captura_Obra!$M:$M,A84,Captura_Obra!$B:$B,B84)</f>
      </c>
      <c r="E84" s="16533">
        <f>IFERROR(SUMIFS(Captura_Facturas_Mobil!$G:$G,Captura_Facturas_Mobil!$N:$N,A84,Captura_Facturas_Mobil!$D:$D,B84)/SUMIFS(Captura_Facturas_Mobil!$E:$E,Captura_Facturas_Mobil!$N:$N,A84,Captura_Facturas_Mobil!$D:$D,B84),$F$3)</f>
      </c>
      <c r="F84" s="16534">
        <f t="shared" si="9"/>
      </c>
      <c r="G84" s="16535">
        <f t="shared" si="10"/>
      </c>
      <c r="H84" s="16536">
        <f t="shared" si="11"/>
      </c>
      <c r="I84" s="15175"/>
    </row>
    <row r="85" spans="1:9">
      <c r="A85" s="16537">
        <v>24</v>
      </c>
      <c r="B85" t="s" s="16538">
        <v>400</v>
      </c>
      <c r="C85" s="16539">
        <f>SUMIFS(Estados_Cuenta_Mobil!$F:$F,Estados_Cuenta_Mobil!$C:$C,A85,Estados_Cuenta_Mobil!$D:$D,"Maquinaria Pegaso")+SUMIFS(Estados_Cuenta_Mobil!$F:$F,Estados_Cuenta_Mobil!$C:$C,A85,Estados_Cuenta_Mobil!$D:$D,"Lerma - Tres Marías")+SUMIFS(Estados_Cuenta_Mobil!$F:$F,Estados_Cuenta_Mobil!$C:$C,A85,Estados_Cuenta_Mobil!$D:$D,"Chamapa-Lechería")+SUMIFS(Estados_Cuenta_Mobil!$F:$F,Estados_Cuenta_Mobil!$C:$C,A85,Estados_Cuenta_Mobil!$D:$D,"Bacheo Toluca")+SUMIFS(Estados_Cuenta_Mobil!$F:$F,Estados_Cuenta_Mobil!$C:$C,A85,Estados_Cuenta_Mobil!$D:$D,"Dragones")+SUMIFS(Estados_Cuenta_Mobil!$F:$F,Estados_Cuenta_Mobil!$C:$C,A85,Estados_Cuenta_Mobil!$D:$D,"Colegio Militar")+SUMIFS(Estados_Cuenta_Mobil!$F:$F,Estados_Cuenta_Mobil!$C:$C,A85,Estados_Cuenta_Mobil!$D:$D,"NO DETECTADA")</f>
      </c>
      <c r="D85" s="16540">
        <f>SUMIFS(Captura_Obra!$F:$F,Captura_Obra!$M:$M,A85,Captura_Obra!$B:$B,"Maquinaria Pegaso")+SUMIFS(Captura_Obra!$F:$F,Captura_Obra!$M:$M,A85,Captura_Obra!$B:$B,"Lerma - Tres Marías")+SUMIFS(Captura_Obra!$F:$F,Captura_Obra!$M:$M,A85,Captura_Obra!$B:$B,"Chamapa-Lechería")+SUMIFS(Captura_Obra!$F:$F,Captura_Obra!$M:$M,A85,Captura_Obra!$B:$B,"Bacheo Toluca")+SUMIFS(Captura_Obra!$F:$F,Captura_Obra!$M:$M,A85,Captura_Obra!$B:$B,"Dragones")+SUMIFS(Captura_Obra!$F:$F,Captura_Obra!$M:$M,A85,Captura_Obra!$B:$B,"Colegio Militar")+SUMIFS(Captura_Obra!$F:$F,Captura_Obra!$M:$M,A85,Captura_Obra!$B:$B,"NO DETECTADA")</f>
      </c>
      <c r="E85" s="16541">
        <f>IFERROR((SUMIFS(Captura_Facturas_Mobil!$G:$G,Captura_Facturas_Mobil!$N:$N,A85,Captura_Facturas_Mobil!$D:$D,"Maquinaria Pegaso")+SUMIFS(Captura_Facturas_Mobil!$G:$G,Captura_Facturas_Mobil!$N:$N,A85,Captura_Facturas_Mobil!$D:$D,"Lerma - Tres Marías")+SUMIFS(Captura_Facturas_Mobil!$G:$G,Captura_Facturas_Mobil!$N:$N,A85,Captura_Facturas_Mobil!$D:$D,"Chamapa-Lechería")+SUMIFS(Captura_Facturas_Mobil!$G:$G,Captura_Facturas_Mobil!$N:$N,A85,Captura_Facturas_Mobil!$D:$D,"Bacheo Toluca")+SUMIFS(Captura_Facturas_Mobil!$G:$G,Captura_Facturas_Mobil!$N:$N,A85,Captura_Facturas_Mobil!$D:$D,"Dragones")+SUMIFS(Captura_Facturas_Mobil!$G:$G,Captura_Facturas_Mobil!$N:$N,A85,Captura_Facturas_Mobil!$D:$D,"Colegio Militar")+SUMIFS(Captura_Facturas_Mobil!$G:$G,Captura_Facturas_Mobil!$N:$N,A85,Captura_Facturas_Mobil!$D:$D,"NO DETECTADA"))/(SUMIFS(Captura_Facturas_Mobil!$E:$E,Captura_Facturas_Mobil!$N:$N,A85,Captura_Facturas_Mobil!$D:$D,"Maquinaria Pegaso")+SUMIFS(Captura_Facturas_Mobil!$E:$E,Captura_Facturas_Mobil!$N:$N,A85,Captura_Facturas_Mobil!$D:$D,"Lerma - Tres Marías")+SUMIFS(Captura_Facturas_Mobil!$E:$E,Captura_Facturas_Mobil!$N:$N,A85,Captura_Facturas_Mobil!$D:$D,"Chamapa-Lechería")+SUMIFS(Captura_Facturas_Mobil!$E:$E,Captura_Facturas_Mobil!$N:$N,A85,Captura_Facturas_Mobil!$D:$D,"Bacheo Toluca")+SUMIFS(Captura_Facturas_Mobil!$E:$E,Captura_Facturas_Mobil!$N:$N,A85,Captura_Facturas_Mobil!$D:$D,"Dragones")+SUMIFS(Captura_Facturas_Mobil!$E:$E,Captura_Facturas_Mobil!$N:$N,A85,Captura_Facturas_Mobil!$D:$D,"Colegio Militar")+SUMIFS(Captura_Facturas_Mobil!$E:$E,Captura_Facturas_Mobil!$N:$N,A85,Captura_Facturas_Mobil!$D:$D,"NO DETECTADA")),$F$3)</f>
      </c>
      <c r="F85" s="16542">
        <f t="shared" si="9"/>
      </c>
      <c r="G85" s="16543">
        <f t="shared" si="10"/>
      </c>
      <c r="H85" s="16544">
        <f t="shared" si="11"/>
      </c>
      <c r="I85" s="15176"/>
    </row>
    <row r="86" spans="1:9">
      <c r="A86" s="16545">
        <v>25</v>
      </c>
      <c r="B86" t="s" s="16546">
        <v>124</v>
      </c>
      <c r="C86" s="16547">
        <f>SUMIFS(Estados_Cuenta_Mobil!$F:$F,Estados_Cuenta_Mobil!$C:$C,A86,Estados_Cuenta_Mobil!$D:$D,B86)</f>
      </c>
      <c r="D86" s="16548">
        <f>SUMIFS(Captura_Obra!$F:$F,Captura_Obra!$M:$M,A86,Captura_Obra!$B:$B,B86)</f>
      </c>
      <c r="E86" s="16549">
        <f>IFERROR(SUMIFS(Captura_Facturas_Mobil!$G:$G,Captura_Facturas_Mobil!$N:$N,A86,Captura_Facturas_Mobil!$D:$D,B86)/SUMIFS(Captura_Facturas_Mobil!$E:$E,Captura_Facturas_Mobil!$N:$N,A86,Captura_Facturas_Mobil!$D:$D,B86),$F$3)</f>
      </c>
      <c r="F86" s="16550">
        <f t="shared" si="9"/>
      </c>
      <c r="G86" s="16551">
        <f t="shared" si="10"/>
      </c>
      <c r="H86" s="16552">
        <f t="shared" si="11"/>
      </c>
      <c r="I86" s="15177"/>
    </row>
    <row r="87" spans="1:9">
      <c r="A87" s="16553">
        <v>25</v>
      </c>
      <c r="B87" t="s" s="16554">
        <v>166</v>
      </c>
      <c r="C87" s="16555">
        <f>SUMIFS(Estados_Cuenta_Mobil!$F:$F,Estados_Cuenta_Mobil!$C:$C,A87,Estados_Cuenta_Mobil!$D:$D,B87)</f>
      </c>
      <c r="D87" s="16556">
        <f>SUMIFS(Captura_Obra!$F:$F,Captura_Obra!$M:$M,A87,Captura_Obra!$B:$B,B87)</f>
      </c>
      <c r="E87" s="16557">
        <f>IFERROR(SUMIFS(Captura_Facturas_Mobil!$G:$G,Captura_Facturas_Mobil!$N:$N,A87,Captura_Facturas_Mobil!$D:$D,B87)/SUMIFS(Captura_Facturas_Mobil!$E:$E,Captura_Facturas_Mobil!$N:$N,A87,Captura_Facturas_Mobil!$D:$D,B87),$F$3)</f>
      </c>
      <c r="F87" s="16558">
        <f t="shared" si="9"/>
      </c>
      <c r="G87" s="16559">
        <f t="shared" si="10"/>
      </c>
      <c r="H87" s="16560">
        <f t="shared" si="11"/>
      </c>
      <c r="I87" s="15178"/>
    </row>
    <row r="88" spans="1:9">
      <c r="A88" s="16561">
        <v>25</v>
      </c>
      <c r="B88" t="s" s="16562">
        <v>1</v>
      </c>
      <c r="C88" s="16563">
        <f>SUMIFS(Estados_Cuenta_Mobil!$F:$F,Estados_Cuenta_Mobil!$C:$C,A88,Estados_Cuenta_Mobil!$D:$D,B88)</f>
      </c>
      <c r="D88" s="16564">
        <f>SUMIFS(Captura_Obra!$F:$F,Captura_Obra!$M:$M,A88,Captura_Obra!$B:$B,B88)</f>
      </c>
      <c r="E88" s="16565">
        <f>IFERROR(SUMIFS(Captura_Facturas_Mobil!$G:$G,Captura_Facturas_Mobil!$N:$N,A88,Captura_Facturas_Mobil!$D:$D,B88)/SUMIFS(Captura_Facturas_Mobil!$E:$E,Captura_Facturas_Mobil!$N:$N,A88,Captura_Facturas_Mobil!$D:$D,B88),$F$3)</f>
      </c>
      <c r="F88" s="16566">
        <f t="shared" si="9"/>
      </c>
      <c r="G88" s="16567">
        <f t="shared" si="10"/>
      </c>
      <c r="H88" s="16568">
        <f t="shared" si="11"/>
      </c>
      <c r="I88" s="15179"/>
    </row>
    <row r="89" spans="1:9">
      <c r="A89" s="16569">
        <v>25</v>
      </c>
      <c r="B89" t="s" s="16570">
        <v>400</v>
      </c>
      <c r="C89" s="16571">
        <f>SUMIFS(Estados_Cuenta_Mobil!$F:$F,Estados_Cuenta_Mobil!$C:$C,A89,Estados_Cuenta_Mobil!$D:$D,"Maquinaria Pegaso")+SUMIFS(Estados_Cuenta_Mobil!$F:$F,Estados_Cuenta_Mobil!$C:$C,A89,Estados_Cuenta_Mobil!$D:$D,"Lerma - Tres Marías")+SUMIFS(Estados_Cuenta_Mobil!$F:$F,Estados_Cuenta_Mobil!$C:$C,A89,Estados_Cuenta_Mobil!$D:$D,"Chamapa-Lechería")+SUMIFS(Estados_Cuenta_Mobil!$F:$F,Estados_Cuenta_Mobil!$C:$C,A89,Estados_Cuenta_Mobil!$D:$D,"Bacheo Toluca")+SUMIFS(Estados_Cuenta_Mobil!$F:$F,Estados_Cuenta_Mobil!$C:$C,A89,Estados_Cuenta_Mobil!$D:$D,"Dragones")+SUMIFS(Estados_Cuenta_Mobil!$F:$F,Estados_Cuenta_Mobil!$C:$C,A89,Estados_Cuenta_Mobil!$D:$D,"Colegio Militar")+SUMIFS(Estados_Cuenta_Mobil!$F:$F,Estados_Cuenta_Mobil!$C:$C,A89,Estados_Cuenta_Mobil!$D:$D,"NO DETECTADA")</f>
      </c>
      <c r="D89" s="16572">
        <f>SUMIFS(Captura_Obra!$F:$F,Captura_Obra!$M:$M,A89,Captura_Obra!$B:$B,"Maquinaria Pegaso")+SUMIFS(Captura_Obra!$F:$F,Captura_Obra!$M:$M,A89,Captura_Obra!$B:$B,"Lerma - Tres Marías")+SUMIFS(Captura_Obra!$F:$F,Captura_Obra!$M:$M,A89,Captura_Obra!$B:$B,"Chamapa-Lechería")+SUMIFS(Captura_Obra!$F:$F,Captura_Obra!$M:$M,A89,Captura_Obra!$B:$B,"Bacheo Toluca")+SUMIFS(Captura_Obra!$F:$F,Captura_Obra!$M:$M,A89,Captura_Obra!$B:$B,"Dragones")+SUMIFS(Captura_Obra!$F:$F,Captura_Obra!$M:$M,A89,Captura_Obra!$B:$B,"Colegio Militar")+SUMIFS(Captura_Obra!$F:$F,Captura_Obra!$M:$M,A89,Captura_Obra!$B:$B,"NO DETECTADA")</f>
      </c>
      <c r="E89" s="16573">
        <f>IFERROR((SUMIFS(Captura_Facturas_Mobil!$G:$G,Captura_Facturas_Mobil!$N:$N,A89,Captura_Facturas_Mobil!$D:$D,"Maquinaria Pegaso")+SUMIFS(Captura_Facturas_Mobil!$G:$G,Captura_Facturas_Mobil!$N:$N,A89,Captura_Facturas_Mobil!$D:$D,"Lerma - Tres Marías")+SUMIFS(Captura_Facturas_Mobil!$G:$G,Captura_Facturas_Mobil!$N:$N,A89,Captura_Facturas_Mobil!$D:$D,"Chamapa-Lechería")+SUMIFS(Captura_Facturas_Mobil!$G:$G,Captura_Facturas_Mobil!$N:$N,A89,Captura_Facturas_Mobil!$D:$D,"Bacheo Toluca")+SUMIFS(Captura_Facturas_Mobil!$G:$G,Captura_Facturas_Mobil!$N:$N,A89,Captura_Facturas_Mobil!$D:$D,"Dragones")+SUMIFS(Captura_Facturas_Mobil!$G:$G,Captura_Facturas_Mobil!$N:$N,A89,Captura_Facturas_Mobil!$D:$D,"Colegio Militar")+SUMIFS(Captura_Facturas_Mobil!$G:$G,Captura_Facturas_Mobil!$N:$N,A89,Captura_Facturas_Mobil!$D:$D,"NO DETECTADA"))/(SUMIFS(Captura_Facturas_Mobil!$E:$E,Captura_Facturas_Mobil!$N:$N,A89,Captura_Facturas_Mobil!$D:$D,"Maquinaria Pegaso")+SUMIFS(Captura_Facturas_Mobil!$E:$E,Captura_Facturas_Mobil!$N:$N,A89,Captura_Facturas_Mobil!$D:$D,"Lerma - Tres Marías")+SUMIFS(Captura_Facturas_Mobil!$E:$E,Captura_Facturas_Mobil!$N:$N,A89,Captura_Facturas_Mobil!$D:$D,"Chamapa-Lechería")+SUMIFS(Captura_Facturas_Mobil!$E:$E,Captura_Facturas_Mobil!$N:$N,A89,Captura_Facturas_Mobil!$D:$D,"Bacheo Toluca")+SUMIFS(Captura_Facturas_Mobil!$E:$E,Captura_Facturas_Mobil!$N:$N,A89,Captura_Facturas_Mobil!$D:$D,"Dragones")+SUMIFS(Captura_Facturas_Mobil!$E:$E,Captura_Facturas_Mobil!$N:$N,A89,Captura_Facturas_Mobil!$D:$D,"Colegio Militar")+SUMIFS(Captura_Facturas_Mobil!$E:$E,Captura_Facturas_Mobil!$N:$N,A89,Captura_Facturas_Mobil!$D:$D,"NO DETECTADA")),$F$3)</f>
      </c>
      <c r="F89" s="16574">
        <f t="shared" si="9"/>
      </c>
      <c r="G89" s="16575">
        <f t="shared" si="10"/>
      </c>
      <c r="H89" s="16576">
        <f t="shared" si="11"/>
      </c>
      <c r="I89" s="15180"/>
    </row>
    <row r="90" spans="1:9">
      <c r="A90" s="16577">
        <v>26</v>
      </c>
      <c r="B90" t="s" s="16578">
        <v>124</v>
      </c>
      <c r="C90" s="16579">
        <f>SUMIFS(Estados_Cuenta_Mobil!$F:$F,Estados_Cuenta_Mobil!$C:$C,A90,Estados_Cuenta_Mobil!$D:$D,B90)</f>
      </c>
      <c r="D90" s="16580">
        <f>SUMIFS(Captura_Obra!$F:$F,Captura_Obra!$M:$M,A90,Captura_Obra!$B:$B,B90)</f>
      </c>
      <c r="E90" s="16581">
        <f>IFERROR(SUMIFS(Captura_Facturas_Mobil!$G:$G,Captura_Facturas_Mobil!$N:$N,A90,Captura_Facturas_Mobil!$D:$D,B90)/SUMIFS(Captura_Facturas_Mobil!$E:$E,Captura_Facturas_Mobil!$N:$N,A90,Captura_Facturas_Mobil!$D:$D,B90),$F$3)</f>
      </c>
      <c r="F90" s="16582">
        <f t="shared" si="9"/>
      </c>
      <c r="G90" s="16583">
        <f t="shared" si="10"/>
      </c>
      <c r="H90" s="16584">
        <f t="shared" si="11"/>
      </c>
      <c r="I90" s="15181">
        <f t="shared" ref="I90:I117" si="12">IF(D90+G90=0, "", D90 - G90)</f>
      </c>
    </row>
    <row r="91" spans="1:9">
      <c r="A91" s="16585">
        <v>26</v>
      </c>
      <c r="B91" t="s" s="16586">
        <v>166</v>
      </c>
      <c r="C91" s="16587">
        <f>SUMIFS(Estados_Cuenta_Mobil!$F:$F,Estados_Cuenta_Mobil!$C:$C,A91,Estados_Cuenta_Mobil!$D:$D,B91)</f>
      </c>
      <c r="D91" s="16588">
        <f>SUMIFS(Captura_Obra!$F:$F,Captura_Obra!$M:$M,A91,Captura_Obra!$B:$B,B91)</f>
      </c>
      <c r="E91" s="16589">
        <f>IFERROR(SUMIFS(Captura_Facturas_Mobil!$G:$G,Captura_Facturas_Mobil!$N:$N,A91,Captura_Facturas_Mobil!$D:$D,B91)/SUMIFS(Captura_Facturas_Mobil!$E:$E,Captura_Facturas_Mobil!$N:$N,A91,Captura_Facturas_Mobil!$D:$D,B91),$F$3)</f>
      </c>
      <c r="F91" s="16590">
        <f t="shared" si="9"/>
      </c>
      <c r="G91" s="16591">
        <f t="shared" si="10"/>
      </c>
      <c r="H91" s="16592">
        <f t="shared" si="11"/>
      </c>
      <c r="I91" s="15182">
        <f t="shared" si="12"/>
      </c>
    </row>
    <row r="92" spans="1:9">
      <c r="A92" s="16593">
        <v>26</v>
      </c>
      <c r="B92" t="s" s="16594">
        <v>1</v>
      </c>
      <c r="C92" s="16595">
        <f>SUMIFS(Estados_Cuenta_Mobil!$F:$F,Estados_Cuenta_Mobil!$C:$C,A92,Estados_Cuenta_Mobil!$D:$D,B92)</f>
      </c>
      <c r="D92" s="16596">
        <f>SUMIFS(Captura_Obra!$F:$F,Captura_Obra!$M:$M,A92,Captura_Obra!$B:$B,B92)</f>
      </c>
      <c r="E92" s="16597">
        <f>IFERROR(SUMIFS(Captura_Facturas_Mobil!$G:$G,Captura_Facturas_Mobil!$N:$N,A92,Captura_Facturas_Mobil!$D:$D,B92)/SUMIFS(Captura_Facturas_Mobil!$E:$E,Captura_Facturas_Mobil!$N:$N,A92,Captura_Facturas_Mobil!$D:$D,B92),$F$3)</f>
      </c>
      <c r="F92" s="16598">
        <f t="shared" si="9"/>
      </c>
      <c r="G92" s="16599">
        <f t="shared" si="10"/>
      </c>
      <c r="H92" s="16600">
        <f t="shared" si="11"/>
      </c>
      <c r="I92" s="15183">
        <f t="shared" si="12"/>
      </c>
    </row>
    <row r="93" spans="1:9">
      <c r="A93" s="16601">
        <v>26</v>
      </c>
      <c r="B93" t="s" s="16602">
        <v>400</v>
      </c>
      <c r="C93" s="16603">
        <f>SUMIFS(Estados_Cuenta_Mobil!$F:$F,Estados_Cuenta_Mobil!$C:$C,A93,Estados_Cuenta_Mobil!$D:$D,"Maquinaria Pegaso")+SUMIFS(Estados_Cuenta_Mobil!$F:$F,Estados_Cuenta_Mobil!$C:$C,A93,Estados_Cuenta_Mobil!$D:$D,"Lerma - Tres Marías")+SUMIFS(Estados_Cuenta_Mobil!$F:$F,Estados_Cuenta_Mobil!$C:$C,A93,Estados_Cuenta_Mobil!$D:$D,"Chamapa-Lechería")+SUMIFS(Estados_Cuenta_Mobil!$F:$F,Estados_Cuenta_Mobil!$C:$C,A93,Estados_Cuenta_Mobil!$D:$D,"Bacheo Toluca")+SUMIFS(Estados_Cuenta_Mobil!$F:$F,Estados_Cuenta_Mobil!$C:$C,A93,Estados_Cuenta_Mobil!$D:$D,"Dragones")+SUMIFS(Estados_Cuenta_Mobil!$F:$F,Estados_Cuenta_Mobil!$C:$C,A93,Estados_Cuenta_Mobil!$D:$D,"Colegio Militar")+SUMIFS(Estados_Cuenta_Mobil!$F:$F,Estados_Cuenta_Mobil!$C:$C,A93,Estados_Cuenta_Mobil!$D:$D,"NO DETECTADA")</f>
      </c>
      <c r="D93" s="16604">
        <f>SUMIFS(Captura_Obra!$F:$F,Captura_Obra!$M:$M,A93,Captura_Obra!$B:$B,"Maquinaria Pegaso")+SUMIFS(Captura_Obra!$F:$F,Captura_Obra!$M:$M,A93,Captura_Obra!$B:$B,"Lerma - Tres Marías")+SUMIFS(Captura_Obra!$F:$F,Captura_Obra!$M:$M,A93,Captura_Obra!$B:$B,"Chamapa-Lechería")+SUMIFS(Captura_Obra!$F:$F,Captura_Obra!$M:$M,A93,Captura_Obra!$B:$B,"Bacheo Toluca")+SUMIFS(Captura_Obra!$F:$F,Captura_Obra!$M:$M,A93,Captura_Obra!$B:$B,"Dragones")+SUMIFS(Captura_Obra!$F:$F,Captura_Obra!$M:$M,A93,Captura_Obra!$B:$B,"Colegio Militar")+SUMIFS(Captura_Obra!$F:$F,Captura_Obra!$M:$M,A93,Captura_Obra!$B:$B,"NO DETECTADA")</f>
      </c>
      <c r="E93" s="16605">
        <f>IFERROR((SUMIFS(Captura_Facturas_Mobil!$G:$G,Captura_Facturas_Mobil!$N:$N,A93,Captura_Facturas_Mobil!$D:$D,"Maquinaria Pegaso")+SUMIFS(Captura_Facturas_Mobil!$G:$G,Captura_Facturas_Mobil!$N:$N,A93,Captura_Facturas_Mobil!$D:$D,"Lerma - Tres Marías")+SUMIFS(Captura_Facturas_Mobil!$G:$G,Captura_Facturas_Mobil!$N:$N,A93,Captura_Facturas_Mobil!$D:$D,"Chamapa-Lechería")+SUMIFS(Captura_Facturas_Mobil!$G:$G,Captura_Facturas_Mobil!$N:$N,A93,Captura_Facturas_Mobil!$D:$D,"Bacheo Toluca")+SUMIFS(Captura_Facturas_Mobil!$G:$G,Captura_Facturas_Mobil!$N:$N,A93,Captura_Facturas_Mobil!$D:$D,"Dragones")+SUMIFS(Captura_Facturas_Mobil!$G:$G,Captura_Facturas_Mobil!$N:$N,A93,Captura_Facturas_Mobil!$D:$D,"Colegio Militar")+SUMIFS(Captura_Facturas_Mobil!$G:$G,Captura_Facturas_Mobil!$N:$N,A93,Captura_Facturas_Mobil!$D:$D,"NO DETECTADA"))/(SUMIFS(Captura_Facturas_Mobil!$E:$E,Captura_Facturas_Mobil!$N:$N,A93,Captura_Facturas_Mobil!$D:$D,"Maquinaria Pegaso")+SUMIFS(Captura_Facturas_Mobil!$E:$E,Captura_Facturas_Mobil!$N:$N,A93,Captura_Facturas_Mobil!$D:$D,"Lerma - Tres Marías")+SUMIFS(Captura_Facturas_Mobil!$E:$E,Captura_Facturas_Mobil!$N:$N,A93,Captura_Facturas_Mobil!$D:$D,"Chamapa-Lechería")+SUMIFS(Captura_Facturas_Mobil!$E:$E,Captura_Facturas_Mobil!$N:$N,A93,Captura_Facturas_Mobil!$D:$D,"Bacheo Toluca")+SUMIFS(Captura_Facturas_Mobil!$E:$E,Captura_Facturas_Mobil!$N:$N,A93,Captura_Facturas_Mobil!$D:$D,"Dragones")+SUMIFS(Captura_Facturas_Mobil!$E:$E,Captura_Facturas_Mobil!$N:$N,A93,Captura_Facturas_Mobil!$D:$D,"Colegio Militar")+SUMIFS(Captura_Facturas_Mobil!$E:$E,Captura_Facturas_Mobil!$N:$N,A93,Captura_Facturas_Mobil!$D:$D,"NO DETECTADA")),$F$3)</f>
      </c>
      <c r="F93" s="16606">
        <f t="shared" si="9"/>
      </c>
      <c r="G93" s="16607">
        <f t="shared" si="10"/>
      </c>
      <c r="H93" s="16608">
        <f t="shared" si="11"/>
      </c>
      <c r="I93" s="15184">
        <f t="shared" si="12"/>
      </c>
    </row>
    <row r="94" spans="1:9">
      <c r="A94" t="s" s="16609">
        <v>174</v>
      </c>
      <c r="B94" t="s" s="16610">
        <v>124</v>
      </c>
      <c r="C94" s="16611">
        <f>SUMIFS(Estados_Cuenta_Mobil!$F:$F,Estados_Cuenta_Mobil!$C:$C,A94,Estados_Cuenta_Mobil!$D:$D,B94)</f>
      </c>
      <c r="D94" s="16612">
        <f>SUMIFS(Captura_Obra!$F:$F,Captura_Obra!$M:$M,A94,Captura_Obra!$B:$B,B94)</f>
      </c>
      <c r="E94" s="16615">
        <f>IFERROR(SUMIFS(Captura_Facturas_Mobil!$G:$G,Captura_Facturas_Mobil!$N:$N,A94,Captura_Facturas_Mobil!$D:$D,B94)/SUMIFS(Captura_Facturas_Mobil!$E:$E,Captura_Facturas_Mobil!$N:$N,A94,Captura_Facturas_Mobil!$D:$D,B94),$F$3)</f>
      </c>
      <c r="F94" s="16613">
        <f>SUBTOTAL(9,F70:F93)</f>
      </c>
      <c r="G94" s="16614">
        <f>SUBTOTAL(9,G70:G93)</f>
      </c>
      <c r="H94" s="16616"/>
      <c r="I94" s="15185">
        <f t="shared" si="12"/>
      </c>
    </row>
    <row r="95" spans="1:9" ht="14.4">
      <c r="A95" t="s" s="25240">
        <v>769</v>
      </c>
      <c r="B95" t="s" s="25241">
        <v>166</v>
      </c>
      <c r="C95" s="25242">
        <f>SUMIFS(Estados_Cuenta_Mobil!$F:$F,Estados_Cuenta_Mobil!$C:$C,A95,Estados_Cuenta_Mobil!$D:$D,B95)</f>
      </c>
      <c r="D95" s="25243">
        <f>SUMIFS(Captura_Obra!$F:$F,Captura_Obra!$M:$M,A95,Captura_Obra!$B:$B,B95)</f>
      </c>
      <c r="E95" s="25244">
        <f>IFERROR(SUMIFS(Captura_Facturas_Mobil!$G:$G,Captura_Facturas_Mobil!$N:$N,A95,Captura_Facturas_Mobil!$D:$D,B95)/SUMIFS(Captura_Facturas_Mobil!$E:$E,Captura_Facturas_Mobil!$N:$N,A95,Captura_Facturas_Mobil!$D:$D,B95),$F$3)</f>
      </c>
      <c r="F95" s="25245">
        <f>IFERROR(D95/C95, IFERROR(SUMIFS(Captura_Facturas_Mobil!$G:$G, Captura_Facturas_Mobil!$N:$N, A95)/SUMIFS(Captura_Facturas_Mobil!$E:$E, Captura_Facturas_Mobil!$N:$N, A95, Captura_Facturas_Mobil!$E:$E,"&gt;"&amp;0), 0))</f>
      </c>
      <c r="G95" s="25246"/>
      <c r="H95" s="25247"/>
      <c r="I95" s="15186">
        <f t="shared" si="12"/>
      </c>
    </row>
    <row r="96" spans="1:9">
      <c r="A96" s="15187">
        <v>24</v>
      </c>
      <c r="B96" t="s" s="15188">
        <v>478</v>
      </c>
      <c r="C96" s="15189">
        <f>SUMIFS(Captura_Facturas_Mobil!$E:$E, Captura_Facturas_Mobil!$N:$N, A96, Captura_Facturas_Mobil!$D:$D, B96)</f>
      </c>
      <c r="D96" s="15190">
        <f>SUMIFS(Captura_Facturas_Mobil!$G:$G, Captura_Facturas_Mobil!$N:$N, A96, Captura_Facturas_Mobil!$D:$D, B96)</f>
      </c>
      <c r="E96" s="15191">
        <f>SUMIFS(Captura_Obra!$F:$F, Captura_Obra!$M:$M, A96, Captura_Obra!$B:$B, B96)</f>
      </c>
      <c r="F96" s="15192">
        <f>IFERROR(D96/C96, IFERROR(SUMIFS(Captura_Facturas_Mobil!$G:$G, Captura_Facturas_Mobil!$N:$N, A96)/SUMIFS(Captura_Facturas_Mobil!$E:$E, Captura_Facturas_Mobil!$N:$N, A96, Captura_Facturas_Mobil!$E:$E,"&gt;"&amp;0), 0))</f>
      </c>
      <c r="G96" s="15193"/>
      <c r="H96" s="15194"/>
      <c r="I96" s="15195">
        <f t="shared" si="12"/>
      </c>
    </row>
    <row r="97" spans="1:9">
      <c r="A97" t="s" s="15196">
        <v>779</v>
      </c>
      <c r="B97" t="s" s="15197">
        <v>735</v>
      </c>
      <c r="C97" s="15198">
        <f>SUMIFS(Captura_Facturas_Mobil!$E:$E, Captura_Facturas_Mobil!$N:$N, A97, Captura_Facturas_Mobil!$D:$D, B97)</f>
      </c>
      <c r="D97" s="15199">
        <f>SUMIFS(Captura_Facturas_Mobil!$G:$G, Captura_Facturas_Mobil!$N:$N, A97, Captura_Facturas_Mobil!$D:$D, B97)</f>
      </c>
      <c r="E97" s="15200">
        <f>SUMIFS(Captura_Obra!$F:$F, Captura_Obra!$M:$M, A97, Captura_Obra!$B:$B, B97)</f>
      </c>
      <c r="F97" s="15201">
        <f>IFERROR(D97/C97, IFERROR(SUMIFS(Captura_Facturas_Mobil!$G:$G, Captura_Facturas_Mobil!$N:$N, A97)/SUMIFS(Captura_Facturas_Mobil!$E:$E, Captura_Facturas_Mobil!$N:$N, A97, Captura_Facturas_Mobil!$E:$E,"&gt;"&amp;0), 0))</f>
      </c>
      <c r="G97" s="15202"/>
      <c r="H97" s="15203"/>
      <c r="I97" s="15204">
        <f t="shared" si="12"/>
      </c>
    </row>
    <row r="98" spans="1:9">
      <c r="A98" s="15205">
        <v>25</v>
      </c>
      <c r="B98" t="s" s="15206">
        <v>1</v>
      </c>
      <c r="C98" s="15207">
        <f>SUMIFS(Captura_Facturas_Mobil!$E:$E, Captura_Facturas_Mobil!$N:$N, A98, Captura_Facturas_Mobil!$D:$D, B98)</f>
      </c>
      <c r="D98" s="15208">
        <f>SUMIFS(Captura_Facturas_Mobil!$G:$G, Captura_Facturas_Mobil!$N:$N, A98, Captura_Facturas_Mobil!$D:$D, B98)</f>
      </c>
      <c r="E98" s="15209">
        <f>SUMIFS(Captura_Obra!$F:$F, Captura_Obra!$M:$M, A98, Captura_Obra!$B:$B, B98)</f>
      </c>
      <c r="F98" s="15210">
        <f>IFERROR(D98/C98, IFERROR(SUMIFS(Captura_Facturas_Mobil!$G:$G, Captura_Facturas_Mobil!$N:$N, A98)/SUMIFS(Captura_Facturas_Mobil!$E:$E, Captura_Facturas_Mobil!$N:$N, A98, Captura_Facturas_Mobil!$E:$E,"&gt;"&amp;0), 0))</f>
      </c>
      <c r="G98" s="15211"/>
      <c r="H98" s="15212"/>
      <c r="I98" s="15213">
        <f t="shared" si="12"/>
      </c>
    </row>
    <row r="99" spans="1:9">
      <c r="A99" s="15214">
        <v>25</v>
      </c>
      <c r="B99" t="s" s="15215">
        <v>2</v>
      </c>
      <c r="C99" s="15216">
        <f>SUMIFS(Captura_Facturas_Mobil!$E:$E, Captura_Facturas_Mobil!$N:$N, A99, Captura_Facturas_Mobil!$D:$D, B99)</f>
      </c>
      <c r="D99" s="15217">
        <f>SUMIFS(Captura_Facturas_Mobil!$G:$G, Captura_Facturas_Mobil!$N:$N, A99, Captura_Facturas_Mobil!$D:$D, B99)</f>
      </c>
      <c r="E99" s="15218">
        <f>SUMIFS(Captura_Obra!$F:$F, Captura_Obra!$M:$M, A99, Captura_Obra!$B:$B, B99)</f>
      </c>
      <c r="F99" s="15219">
        <f>IFERROR(D99/C99, IFERROR(SUMIFS(Captura_Facturas_Mobil!$G:$G, Captura_Facturas_Mobil!$N:$N, A99)/SUMIFS(Captura_Facturas_Mobil!$E:$E, Captura_Facturas_Mobil!$N:$N, A99, Captura_Facturas_Mobil!$E:$E,"&gt;"&amp;0), 0))</f>
      </c>
      <c r="G99" s="15220"/>
      <c r="H99" s="15221"/>
      <c r="I99" s="15222">
        <f t="shared" si="12"/>
      </c>
    </row>
    <row r="100" spans="1:9">
      <c r="A100" s="15223">
        <v>25</v>
      </c>
      <c r="B100" t="s" s="15224">
        <v>3</v>
      </c>
      <c r="C100" s="15225">
        <f>SUMIFS(Captura_Facturas_Mobil!$E:$E, Captura_Facturas_Mobil!$N:$N, A100, Captura_Facturas_Mobil!$D:$D, B100)</f>
      </c>
      <c r="D100" s="15226">
        <f>SUMIFS(Captura_Facturas_Mobil!$G:$G, Captura_Facturas_Mobil!$N:$N, A100, Captura_Facturas_Mobil!$D:$D, B100)</f>
      </c>
      <c r="E100" s="15227">
        <f>SUMIFS(Captura_Obra!$F:$F, Captura_Obra!$M:$M, A100, Captura_Obra!$B:$B, B100)</f>
      </c>
      <c r="F100" s="15228">
        <f>IFERROR(D100/C100, IFERROR(SUMIFS(Captura_Facturas_Mobil!$G:$G, Captura_Facturas_Mobil!$N:$N, A100)/SUMIFS(Captura_Facturas_Mobil!$E:$E, Captura_Facturas_Mobil!$N:$N, A100, Captura_Facturas_Mobil!$E:$E,"&gt;"&amp;0), 0))</f>
      </c>
      <c r="G100" s="15229"/>
      <c r="H100" s="15230"/>
      <c r="I100" s="15231">
        <f t="shared" si="12"/>
      </c>
    </row>
    <row r="101" spans="1:9">
      <c r="A101" s="15232">
        <v>25</v>
      </c>
      <c r="B101" t="s" s="15233">
        <v>111</v>
      </c>
      <c r="C101" s="15234">
        <f>SUMIFS(Captura_Facturas_Mobil!$E:$E, Captura_Facturas_Mobil!$N:$N, A101, Captura_Facturas_Mobil!$D:$D, B101)</f>
      </c>
      <c r="D101" s="15235">
        <f>SUMIFS(Captura_Facturas_Mobil!$G:$G, Captura_Facturas_Mobil!$N:$N, A101, Captura_Facturas_Mobil!$D:$D, B101)</f>
      </c>
      <c r="E101" s="15236">
        <f>SUMIFS(Captura_Obra!$F:$F, Captura_Obra!$M:$M, A101, Captura_Obra!$B:$B, B101)</f>
      </c>
      <c r="F101" s="15237">
        <f>IFERROR(D101/C101, IFERROR(SUMIFS(Captura_Facturas_Mobil!$G:$G, Captura_Facturas_Mobil!$N:$N, A101)/SUMIFS(Captura_Facturas_Mobil!$E:$E, Captura_Facturas_Mobil!$N:$N, A101, Captura_Facturas_Mobil!$E:$E,"&gt;"&amp;0), 0))</f>
      </c>
      <c r="G101" s="15238"/>
      <c r="H101" s="15239"/>
      <c r="I101" s="15240">
        <f t="shared" si="12"/>
      </c>
    </row>
    <row r="102" spans="1:9">
      <c r="A102" s="15241">
        <v>25</v>
      </c>
      <c r="B102" t="s" s="15242">
        <v>115</v>
      </c>
      <c r="C102" s="15243">
        <f>SUMIFS(Captura_Facturas_Mobil!$E:$E, Captura_Facturas_Mobil!$N:$N, A102, Captura_Facturas_Mobil!$D:$D, B102)</f>
      </c>
      <c r="D102" s="15244">
        <f>SUMIFS(Captura_Facturas_Mobil!$G:$G, Captura_Facturas_Mobil!$N:$N, A102, Captura_Facturas_Mobil!$D:$D, B102)</f>
      </c>
      <c r="E102" s="15245">
        <f>SUMIFS(Captura_Obra!$F:$F, Captura_Obra!$M:$M, A102, Captura_Obra!$B:$B, B102)</f>
      </c>
      <c r="F102" s="15246">
        <f>IFERROR(D102/C102, IFERROR(SUMIFS(Captura_Facturas_Mobil!$G:$G, Captura_Facturas_Mobil!$N:$N, A102)/SUMIFS(Captura_Facturas_Mobil!$E:$E, Captura_Facturas_Mobil!$N:$N, A102, Captura_Facturas_Mobil!$E:$E,"&gt;"&amp;0), 0))</f>
      </c>
      <c r="G102" s="15247"/>
      <c r="H102" s="15248"/>
      <c r="I102" s="15249">
        <f t="shared" si="12"/>
      </c>
    </row>
    <row r="103" spans="1:9">
      <c r="A103" s="15250">
        <v>25</v>
      </c>
      <c r="B103" t="s" s="15251">
        <v>124</v>
      </c>
      <c r="C103" s="15252">
        <f>SUMIFS(Captura_Facturas_Mobil!$E:$E, Captura_Facturas_Mobil!$N:$N, A103, Captura_Facturas_Mobil!$D:$D, B103)</f>
      </c>
      <c r="D103" s="15253">
        <f>SUMIFS(Captura_Facturas_Mobil!$G:$G, Captura_Facturas_Mobil!$N:$N, A103, Captura_Facturas_Mobil!$D:$D, B103)</f>
      </c>
      <c r="E103" s="15254">
        <f>SUMIFS(Captura_Obra!$F:$F, Captura_Obra!$M:$M, A103, Captura_Obra!$B:$B, B103)</f>
      </c>
      <c r="F103" s="15255">
        <f>IFERROR(D103/C103, IFERROR(SUMIFS(Captura_Facturas_Mobil!$G:$G, Captura_Facturas_Mobil!$N:$N, A103)/SUMIFS(Captura_Facturas_Mobil!$E:$E, Captura_Facturas_Mobil!$N:$N, A103, Captura_Facturas_Mobil!$E:$E,"&gt;"&amp;0), 0))</f>
      </c>
      <c r="G103" s="15256"/>
      <c r="H103" s="15257"/>
      <c r="I103" s="15258">
        <f t="shared" si="12"/>
      </c>
    </row>
    <row r="104" spans="1:9">
      <c r="A104" s="15259">
        <v>25</v>
      </c>
      <c r="B104" t="s" s="15260">
        <v>159</v>
      </c>
      <c r="C104" s="15261">
        <f>SUMIFS(Captura_Facturas_Mobil!$E:$E, Captura_Facturas_Mobil!$N:$N, A104, Captura_Facturas_Mobil!$D:$D, B104)</f>
      </c>
      <c r="D104" s="15262">
        <f>SUMIFS(Captura_Facturas_Mobil!$G:$G, Captura_Facturas_Mobil!$N:$N, A104, Captura_Facturas_Mobil!$D:$D, B104)</f>
      </c>
      <c r="E104" s="15263">
        <f>SUMIFS(Captura_Obra!$F:$F, Captura_Obra!$M:$M, A104, Captura_Obra!$B:$B, B104)</f>
      </c>
      <c r="F104" s="15264">
        <f>IFERROR(D104/C104, IFERROR(SUMIFS(Captura_Facturas_Mobil!$G:$G, Captura_Facturas_Mobil!$N:$N, A104)/SUMIFS(Captura_Facturas_Mobil!$E:$E, Captura_Facturas_Mobil!$N:$N, A104, Captura_Facturas_Mobil!$E:$E,"&gt;"&amp;0), 0))</f>
      </c>
      <c r="G104" s="15265"/>
      <c r="H104" s="15266"/>
      <c r="I104" s="15267">
        <f t="shared" si="12"/>
      </c>
    </row>
    <row r="105" spans="1:9">
      <c r="A105" s="15268">
        <v>25</v>
      </c>
      <c r="B105" t="s" s="15269">
        <v>166</v>
      </c>
      <c r="C105" s="15270">
        <f>SUMIFS(Captura_Facturas_Mobil!$E:$E, Captura_Facturas_Mobil!$N:$N, A105, Captura_Facturas_Mobil!$D:$D, B105)</f>
      </c>
      <c r="D105" s="15271">
        <f>SUMIFS(Captura_Facturas_Mobil!$G:$G, Captura_Facturas_Mobil!$N:$N, A105, Captura_Facturas_Mobil!$D:$D, B105)</f>
      </c>
      <c r="E105" s="15272">
        <f>SUMIFS(Captura_Obra!$F:$F, Captura_Obra!$M:$M, A105, Captura_Obra!$B:$B, B105)</f>
      </c>
      <c r="F105" s="15273">
        <f>IFERROR(D105/C105, IFERROR(SUMIFS(Captura_Facturas_Mobil!$G:$G, Captura_Facturas_Mobil!$N:$N, A105)/SUMIFS(Captura_Facturas_Mobil!$E:$E, Captura_Facturas_Mobil!$N:$N, A105, Captura_Facturas_Mobil!$E:$E,"&gt;"&amp;0), 0))</f>
      </c>
      <c r="G105" s="15274"/>
      <c r="H105" s="15275"/>
      <c r="I105" s="15276">
        <f t="shared" si="12"/>
      </c>
    </row>
    <row r="106" spans="1:9">
      <c r="A106" s="15277">
        <v>25</v>
      </c>
      <c r="B106" t="s" s="15278">
        <v>478</v>
      </c>
      <c r="C106" s="15279">
        <f>SUMIFS(Captura_Facturas_Mobil!$E:$E, Captura_Facturas_Mobil!$N:$N, A106, Captura_Facturas_Mobil!$D:$D, B106)</f>
      </c>
      <c r="D106" s="15280">
        <f>SUMIFS(Captura_Facturas_Mobil!$G:$G, Captura_Facturas_Mobil!$N:$N, A106, Captura_Facturas_Mobil!$D:$D, B106)</f>
      </c>
      <c r="E106" s="15281">
        <f>SUMIFS(Captura_Obra!$F:$F, Captura_Obra!$M:$M, A106, Captura_Obra!$B:$B, B106)</f>
      </c>
      <c r="F106" s="15282">
        <f>IFERROR(D106/C106, IFERROR(SUMIFS(Captura_Facturas_Mobil!$G:$G, Captura_Facturas_Mobil!$N:$N, A106)/SUMIFS(Captura_Facturas_Mobil!$E:$E, Captura_Facturas_Mobil!$N:$N, A106, Captura_Facturas_Mobil!$E:$E,"&gt;"&amp;0), 0))</f>
      </c>
      <c r="G106" s="15283"/>
      <c r="H106" s="15284"/>
      <c r="I106" s="15285">
        <f t="shared" si="12"/>
      </c>
    </row>
    <row r="107" spans="1:9">
      <c r="A107" s="15286">
        <v>25</v>
      </c>
      <c r="B107" t="s" s="15287">
        <v>735</v>
      </c>
      <c r="C107" s="15288">
        <f>SUMIFS(Captura_Facturas_Mobil!$E:$E, Captura_Facturas_Mobil!$N:$N, A107, Captura_Facturas_Mobil!$D:$D, B107)</f>
      </c>
      <c r="D107" s="15289">
        <f>SUMIFS(Captura_Facturas_Mobil!$G:$G, Captura_Facturas_Mobil!$N:$N, A107, Captura_Facturas_Mobil!$D:$D, B107)</f>
      </c>
      <c r="E107" s="15290">
        <f>SUMIFS(Captura_Obra!$F:$F, Captura_Obra!$M:$M, A107, Captura_Obra!$B:$B, B107)</f>
      </c>
      <c r="F107" s="15291">
        <f>IFERROR(D107/C107, IFERROR(SUMIFS(Captura_Facturas_Mobil!$G:$G, Captura_Facturas_Mobil!$N:$N, A107)/SUMIFS(Captura_Facturas_Mobil!$E:$E, Captura_Facturas_Mobil!$N:$N, A107, Captura_Facturas_Mobil!$E:$E,"&gt;"&amp;0), 0))</f>
      </c>
      <c r="G107" s="15292"/>
      <c r="H107" s="15293"/>
      <c r="I107" s="15294">
        <f t="shared" si="12"/>
      </c>
    </row>
    <row r="108" spans="1:9">
      <c r="A108" s="15295">
        <v>26</v>
      </c>
      <c r="B108" t="s" s="15296">
        <v>1</v>
      </c>
      <c r="C108" s="15297">
        <f>SUMIFS(Captura_Facturas_Mobil!$E:$E, Captura_Facturas_Mobil!$N:$N, A108, Captura_Facturas_Mobil!$D:$D, B108)</f>
      </c>
      <c r="D108" s="15298">
        <f>SUMIFS(Captura_Facturas_Mobil!$G:$G, Captura_Facturas_Mobil!$N:$N, A108, Captura_Facturas_Mobil!$D:$D, B108)</f>
      </c>
      <c r="E108" s="15299">
        <f>SUMIFS(Captura_Obra!$F:$F, Captura_Obra!$M:$M, A108, Captura_Obra!$B:$B, B108)</f>
      </c>
      <c r="F108" s="15300">
        <f>IFERROR(D108/C108, IFERROR(SUMIFS(Captura_Facturas_Mobil!$G:$G, Captura_Facturas_Mobil!$N:$N, A108)/SUMIFS(Captura_Facturas_Mobil!$E:$E, Captura_Facturas_Mobil!$N:$N, A108, Captura_Facturas_Mobil!$E:$E,"&gt;"&amp;0), 0))</f>
      </c>
      <c r="G108" s="15301"/>
      <c r="H108" s="15302"/>
      <c r="I108" s="15303">
        <f t="shared" si="12"/>
      </c>
    </row>
    <row r="109" spans="1:9">
      <c r="A109" s="15304">
        <v>26</v>
      </c>
      <c r="B109" t="s" s="15305">
        <v>2</v>
      </c>
      <c r="C109" s="15306">
        <f>SUMIFS(Captura_Facturas_Mobil!$E:$E, Captura_Facturas_Mobil!$N:$N, A109, Captura_Facturas_Mobil!$D:$D, B109)</f>
      </c>
      <c r="D109" s="15307">
        <f>SUMIFS(Captura_Facturas_Mobil!$G:$G, Captura_Facturas_Mobil!$N:$N, A109, Captura_Facturas_Mobil!$D:$D, B109)</f>
      </c>
      <c r="E109" s="15308">
        <f>SUMIFS(Captura_Obra!$F:$F, Captura_Obra!$M:$M, A109, Captura_Obra!$B:$B, B109)</f>
      </c>
      <c r="F109" s="15309">
        <f>IFERROR(D109/C109, IFERROR(SUMIFS(Captura_Facturas_Mobil!$G:$G, Captura_Facturas_Mobil!$N:$N, A109)/SUMIFS(Captura_Facturas_Mobil!$E:$E, Captura_Facturas_Mobil!$N:$N, A109, Captura_Facturas_Mobil!$E:$E,"&gt;"&amp;0), 0))</f>
      </c>
      <c r="G109" s="15310"/>
      <c r="H109" s="15311"/>
      <c r="I109" s="15312">
        <f t="shared" si="12"/>
      </c>
    </row>
    <row r="110" spans="1:9">
      <c r="A110" s="15313">
        <v>26</v>
      </c>
      <c r="B110" t="s" s="15314">
        <v>3</v>
      </c>
      <c r="C110" s="15315">
        <f>SUMIFS(Captura_Facturas_Mobil!$E:$E, Captura_Facturas_Mobil!$N:$N, A110, Captura_Facturas_Mobil!$D:$D, B110)</f>
      </c>
      <c r="D110" s="15316">
        <f>SUMIFS(Captura_Facturas_Mobil!$G:$G, Captura_Facturas_Mobil!$N:$N, A110, Captura_Facturas_Mobil!$D:$D, B110)</f>
      </c>
      <c r="E110" s="15317">
        <f>SUMIFS(Captura_Obra!$F:$F, Captura_Obra!$M:$M, A110, Captura_Obra!$B:$B, B110)</f>
      </c>
      <c r="F110" s="15318">
        <f>IFERROR(D110/C110, IFERROR(SUMIFS(Captura_Facturas_Mobil!$G:$G, Captura_Facturas_Mobil!$N:$N, A110)/SUMIFS(Captura_Facturas_Mobil!$E:$E, Captura_Facturas_Mobil!$N:$N, A110, Captura_Facturas_Mobil!$E:$E,"&gt;"&amp;0), 0))</f>
      </c>
      <c r="G110" s="15319"/>
      <c r="H110" s="15320"/>
      <c r="I110" s="15321">
        <f t="shared" si="12"/>
      </c>
    </row>
    <row r="111" spans="1:9">
      <c r="A111" s="15322">
        <v>26</v>
      </c>
      <c r="B111" t="s" s="15323">
        <v>111</v>
      </c>
      <c r="C111" s="15324">
        <f>SUMIFS(Captura_Facturas_Mobil!$E:$E, Captura_Facturas_Mobil!$N:$N, A111, Captura_Facturas_Mobil!$D:$D, B111)</f>
      </c>
      <c r="D111" s="15325">
        <f>SUMIFS(Captura_Facturas_Mobil!$G:$G, Captura_Facturas_Mobil!$N:$N, A111, Captura_Facturas_Mobil!$D:$D, B111)</f>
      </c>
      <c r="E111" s="15326">
        <f>SUMIFS(Captura_Obra!$F:$F, Captura_Obra!$M:$M, A111, Captura_Obra!$B:$B, B111)</f>
      </c>
      <c r="F111" s="15327">
        <f>IFERROR(D111/C111, IFERROR(SUMIFS(Captura_Facturas_Mobil!$G:$G, Captura_Facturas_Mobil!$N:$N, A111)/SUMIFS(Captura_Facturas_Mobil!$E:$E, Captura_Facturas_Mobil!$N:$N, A111, Captura_Facturas_Mobil!$E:$E,"&gt;"&amp;0), 0))</f>
      </c>
      <c r="G111" s="15328"/>
      <c r="H111" s="15329"/>
      <c r="I111" s="15330">
        <f t="shared" si="12"/>
      </c>
    </row>
    <row r="112" spans="1:9">
      <c r="A112" s="15331">
        <v>26</v>
      </c>
      <c r="B112" t="s" s="15332">
        <v>115</v>
      </c>
      <c r="C112" s="15333">
        <f>SUMIFS(Captura_Facturas_Mobil!$E:$E, Captura_Facturas_Mobil!$N:$N, A112, Captura_Facturas_Mobil!$D:$D, B112)</f>
      </c>
      <c r="D112" s="15334">
        <f>SUMIFS(Captura_Facturas_Mobil!$G:$G, Captura_Facturas_Mobil!$N:$N, A112, Captura_Facturas_Mobil!$D:$D, B112)</f>
      </c>
      <c r="E112" s="15335">
        <f>SUMIFS(Captura_Obra!$F:$F, Captura_Obra!$M:$M, A112, Captura_Obra!$B:$B, B112)</f>
      </c>
      <c r="F112" s="15336">
        <f>IFERROR(D112/C112, IFERROR(SUMIFS(Captura_Facturas_Mobil!$G:$G, Captura_Facturas_Mobil!$N:$N, A112)/SUMIFS(Captura_Facturas_Mobil!$E:$E, Captura_Facturas_Mobil!$N:$N, A112, Captura_Facturas_Mobil!$E:$E,"&gt;"&amp;0), 0))</f>
      </c>
      <c r="G112" s="15337"/>
      <c r="H112" s="15338"/>
      <c r="I112" s="15339">
        <f t="shared" si="12"/>
      </c>
    </row>
    <row r="113" spans="1:9">
      <c r="A113" s="15340">
        <v>26</v>
      </c>
      <c r="B113" t="s" s="15341">
        <v>124</v>
      </c>
      <c r="C113" s="15342">
        <f>SUMIFS(Captura_Facturas_Mobil!$E:$E, Captura_Facturas_Mobil!$N:$N, A113, Captura_Facturas_Mobil!$D:$D, B113)</f>
      </c>
      <c r="D113" s="15343">
        <f>SUMIFS(Captura_Facturas_Mobil!$G:$G, Captura_Facturas_Mobil!$N:$N, A113, Captura_Facturas_Mobil!$D:$D, B113)</f>
      </c>
      <c r="E113" s="15344">
        <f>SUMIFS(Captura_Obra!$F:$F, Captura_Obra!$M:$M, A113, Captura_Obra!$B:$B, B113)</f>
      </c>
      <c r="F113" s="15345">
        <f>IFERROR(D113/C113, IFERROR(SUMIFS(Captura_Facturas_Mobil!$G:$G, Captura_Facturas_Mobil!$N:$N, A113)/SUMIFS(Captura_Facturas_Mobil!$E:$E, Captura_Facturas_Mobil!$N:$N, A113, Captura_Facturas_Mobil!$E:$E,"&gt;"&amp;0), 0))</f>
      </c>
      <c r="G113" s="15346"/>
      <c r="H113" s="15347"/>
      <c r="I113" s="15348">
        <f t="shared" si="12"/>
      </c>
    </row>
    <row r="114" spans="1:9">
      <c r="A114" s="15349">
        <v>26</v>
      </c>
      <c r="B114" t="s" s="15350">
        <v>159</v>
      </c>
      <c r="C114" s="15351">
        <f>SUMIFS(Captura_Facturas_Mobil!$E:$E, Captura_Facturas_Mobil!$N:$N, A114, Captura_Facturas_Mobil!$D:$D, B114)</f>
      </c>
      <c r="D114" s="15352">
        <f>SUMIFS(Captura_Facturas_Mobil!$G:$G, Captura_Facturas_Mobil!$N:$N, A114, Captura_Facturas_Mobil!$D:$D, B114)</f>
      </c>
      <c r="E114" s="15353">
        <f>SUMIFS(Captura_Obra!$F:$F, Captura_Obra!$M:$M, A114, Captura_Obra!$B:$B, B114)</f>
      </c>
      <c r="F114" s="15354">
        <f>IFERROR(D114/C114, IFERROR(SUMIFS(Captura_Facturas_Mobil!$G:$G, Captura_Facturas_Mobil!$N:$N, A114)/SUMIFS(Captura_Facturas_Mobil!$E:$E, Captura_Facturas_Mobil!$N:$N, A114, Captura_Facturas_Mobil!$E:$E,"&gt;"&amp;0), 0))</f>
      </c>
      <c r="G114" s="15355"/>
      <c r="H114" s="15356"/>
      <c r="I114" s="15357">
        <f t="shared" si="12"/>
      </c>
    </row>
    <row r="115" spans="1:9">
      <c r="A115" s="15358">
        <v>26</v>
      </c>
      <c r="B115" t="s" s="15359">
        <v>166</v>
      </c>
      <c r="C115" s="15360">
        <f>SUMIFS(Captura_Facturas_Mobil!$E:$E, Captura_Facturas_Mobil!$N:$N, A115, Captura_Facturas_Mobil!$D:$D, B115)</f>
      </c>
      <c r="D115" s="15361">
        <f>SUMIFS(Captura_Facturas_Mobil!$G:$G, Captura_Facturas_Mobil!$N:$N, A115, Captura_Facturas_Mobil!$D:$D, B115)</f>
      </c>
      <c r="E115" s="15362">
        <f>SUMIFS(Captura_Obra!$F:$F, Captura_Obra!$M:$M, A115, Captura_Obra!$B:$B, B115)</f>
      </c>
      <c r="F115" s="15363">
        <f>IFERROR(D115/C115, IFERROR(SUMIFS(Captura_Facturas_Mobil!$G:$G, Captura_Facturas_Mobil!$N:$N, A115)/SUMIFS(Captura_Facturas_Mobil!$E:$E, Captura_Facturas_Mobil!$N:$N, A115, Captura_Facturas_Mobil!$E:$E,"&gt;"&amp;0), 0))</f>
      </c>
      <c r="G115" s="15364"/>
      <c r="H115" s="15365"/>
      <c r="I115" s="15366">
        <f t="shared" si="12"/>
      </c>
    </row>
    <row r="116" spans="1:9">
      <c r="A116" s="15367">
        <v>26</v>
      </c>
      <c r="B116" t="s" s="15368">
        <v>478</v>
      </c>
      <c r="C116" s="15369">
        <f>SUMIFS(Captura_Facturas_Mobil!$E:$E, Captura_Facturas_Mobil!$N:$N, A116, Captura_Facturas_Mobil!$D:$D, B116)</f>
      </c>
      <c r="D116" s="15370">
        <f>SUMIFS(Captura_Facturas_Mobil!$G:$G, Captura_Facturas_Mobil!$N:$N, A116, Captura_Facturas_Mobil!$D:$D, B116)</f>
      </c>
      <c r="E116" s="15371">
        <f>SUMIFS(Captura_Obra!$F:$F, Captura_Obra!$M:$M, A116, Captura_Obra!$B:$B, B116)</f>
      </c>
      <c r="F116" s="15372">
        <f>IFERROR(D116/C116, IFERROR(SUMIFS(Captura_Facturas_Mobil!$G:$G, Captura_Facturas_Mobil!$N:$N, A116)/SUMIFS(Captura_Facturas_Mobil!$E:$E, Captura_Facturas_Mobil!$N:$N, A116, Captura_Facturas_Mobil!$E:$E,"&gt;"&amp;0), 0))</f>
      </c>
      <c r="G116" s="15373"/>
      <c r="H116" s="15374"/>
      <c r="I116" s="15375">
        <f t="shared" si="12"/>
      </c>
    </row>
    <row r="117" spans="1:9">
      <c r="A117" s="15376">
        <v>26</v>
      </c>
      <c r="B117" t="s" s="15377">
        <v>735</v>
      </c>
      <c r="C117" s="15378">
        <f>SUMIFS(Captura_Facturas_Mobil!$E:$E, Captura_Facturas_Mobil!$N:$N, A117, Captura_Facturas_Mobil!$D:$D, B117)</f>
      </c>
      <c r="D117" s="15379">
        <f>SUMIFS(Captura_Facturas_Mobil!$G:$G, Captura_Facturas_Mobil!$N:$N, A117, Captura_Facturas_Mobil!$D:$D, B117)</f>
      </c>
      <c r="E117" s="15380">
        <f>SUMIFS(Captura_Obra!$F:$F, Captura_Obra!$M:$M, A117, Captura_Obra!$B:$B, B117)</f>
      </c>
      <c r="F117" s="15381">
        <f>IFERROR(D117/C117, IFERROR(SUMIFS(Captura_Facturas_Mobil!$G:$G, Captura_Facturas_Mobil!$N:$N, A117)/SUMIFS(Captura_Facturas_Mobil!$E:$E, Captura_Facturas_Mobil!$N:$N, A117, Captura_Facturas_Mobil!$E:$E,"&gt;"&amp;0), 0))</f>
      </c>
      <c r="G117" s="15382"/>
      <c r="H117" s="15383"/>
      <c r="I117" s="15384">
        <f t="shared" si="12"/>
      </c>
    </row>
    <row r="118" spans="1:9">
      <c r="A118" t="s" s="15385">
        <v>174</v>
      </c>
      <c r="B118" s="15386"/>
      <c r="C118" s="15387">
        <f>SUBTOTAL(9, C58:C117)</f>
      </c>
      <c r="D118" s="15388">
        <f>SUBTOTAL(9, D58:D117)</f>
      </c>
      <c r="E118" s="15389">
        <f>SUBTOTAL(9, E58:E117)</f>
      </c>
      <c r="F118" s="15393"/>
      <c r="G118" s="15390">
        <f>SUBTOTAL(9, G58:G117)</f>
      </c>
      <c r="H118" s="15391">
        <f>SUBTOTAL(9, H58:H117)</f>
      </c>
      <c r="I118" s="15392">
        <f>SUBTOTAL(9, I58:I117)</f>
      </c>
    </row>
    <row r="121" spans="1:9" ht="19.95" customHeight="1">
      <c r="A121" t="s" s="25238">
        <v>736</v>
      </c>
      <c r="B121" s="25170"/>
      <c r="C121" s="25170"/>
      <c r="D121" s="25170"/>
      <c r="E121" s="25170"/>
      <c r="F121" s="25170"/>
      <c r="G121" s="25170"/>
      <c r="H121" s="25170"/>
    </row>
    <row r="122" spans="1:9" ht="40.049999999999997" customHeight="1">
      <c r="A122" t="s" s="15394">
        <v>460</v>
      </c>
      <c r="B122" t="s" s="15395">
        <v>0</v>
      </c>
      <c r="C122" t="s" s="15396">
        <v>737</v>
      </c>
      <c r="D122" t="s" s="15397">
        <v>764</v>
      </c>
      <c r="E122" t="s" s="15398">
        <v>738</v>
      </c>
      <c r="F122" t="s" s="15399">
        <v>739</v>
      </c>
      <c r="G122" t="s" s="15400">
        <v>740</v>
      </c>
      <c r="H122" t="s" s="15401">
        <v>414</v>
      </c>
    </row>
    <row r="123" spans="1:9">
      <c r="A123" s="15402">
        <v>21</v>
      </c>
      <c r="B123" t="s" s="15403">
        <v>1</v>
      </c>
      <c r="C123" s="15404">
        <f>SUMIFS(Estados_Cuenta_Mobil!$F:$F, Estados_Cuenta_Mobil!$C:$C, A123, Estados_Cuenta_Mobil!$D:$D, B123)</f>
      </c>
      <c r="D123" s="15405">
        <f>SUMIFS(Captura_Obra!$F:$F, Captura_Obra!$M:$M, A123, Captura_Obra!$B:$B, B123)</f>
      </c>
      <c r="E123" s="15406">
        <f>IFERROR(SUMIFS(Captura_Facturas_Mobil!$G:$G, Captura_Facturas_Mobil!$N:$N, A123, Captura_Facturas_Mobil!$D:$D, B123) / SUMIFS(Captura_Facturas_Mobil!$E:$E, Captura_Facturas_Mobil!$N:$N, A123, Captura_Facturas_Mobil!$D:$D, B123), IFERROR(SUMIFS(Captura_Facturas_Mobil!$G:$G, Captura_Facturas_Mobil!$N:$N, A123)/SUMIFS(Captura_Facturas_Mobil!$E:$E, Captura_Facturas_Mobil!$N:$N, A123, Captura_Facturas_Mobil!$E:$E,"&gt;"&amp;0), 27))</f>
      </c>
      <c r="F123" s="15407">
        <f t="shared" ref="F123:F154" si="13">D123 * E123</f>
      </c>
      <c r="G123" s="15408">
        <f t="shared" ref="G123:G154" si="14">IF(C123+D123=0, "", C123 - F123)</f>
      </c>
      <c r="H123" s="15409">
        <f t="shared" ref="H123:H154" si="15">IF(C123+D123=0, "", IF(G123&gt;10, "⚠️ Pagamos de MÁS (o se fue a Tanque)", IF(G123&lt;-10, "🚨 Máquinas quemaron MÁS de lo pagado", "✅ Cuadrado")))</f>
      </c>
    </row>
    <row r="124" spans="1:9">
      <c r="A124" s="15410">
        <v>21</v>
      </c>
      <c r="B124" t="s" s="15411">
        <v>2</v>
      </c>
      <c r="C124" s="15412">
        <f>SUMIFS(Estados_Cuenta_Mobil!$F:$F, Estados_Cuenta_Mobil!$C:$C, A124, Estados_Cuenta_Mobil!$D:$D, B124)</f>
      </c>
      <c r="D124" s="15413">
        <f>SUMIFS(Captura_Obra!$F:$F, Captura_Obra!$M:$M, A124, Captura_Obra!$B:$B, B124)</f>
      </c>
      <c r="E124" s="15414">
        <f>IFERROR(SUMIFS(Captura_Facturas_Mobil!$G:$G, Captura_Facturas_Mobil!$N:$N, A124, Captura_Facturas_Mobil!$D:$D, B124) / SUMIFS(Captura_Facturas_Mobil!$E:$E, Captura_Facturas_Mobil!$N:$N, A124, Captura_Facturas_Mobil!$D:$D, B124), IFERROR(SUMIFS(Captura_Facturas_Mobil!$G:$G, Captura_Facturas_Mobil!$N:$N, A124)/SUMIFS(Captura_Facturas_Mobil!$E:$E, Captura_Facturas_Mobil!$N:$N, A124, Captura_Facturas_Mobil!$E:$E,"&gt;"&amp;0), 27))</f>
      </c>
      <c r="F124" s="15415">
        <f t="shared" si="13"/>
      </c>
      <c r="G124" s="15416">
        <f t="shared" si="14"/>
      </c>
      <c r="H124" s="15417">
        <f t="shared" si="15"/>
      </c>
    </row>
    <row r="125" spans="1:9">
      <c r="A125" s="15418">
        <v>21</v>
      </c>
      <c r="B125" t="s" s="15419">
        <v>3</v>
      </c>
      <c r="C125" s="15420">
        <f>SUMIFS(Estados_Cuenta_Mobil!$F:$F, Estados_Cuenta_Mobil!$C:$C, A125, Estados_Cuenta_Mobil!$D:$D, B125)</f>
      </c>
      <c r="D125" s="15421">
        <f>SUMIFS(Captura_Obra!$F:$F, Captura_Obra!$M:$M, A125, Captura_Obra!$B:$B, B125)</f>
      </c>
      <c r="E125" s="15422">
        <f>IFERROR(SUMIFS(Captura_Facturas_Mobil!$G:$G, Captura_Facturas_Mobil!$N:$N, A125, Captura_Facturas_Mobil!$D:$D, B125) / SUMIFS(Captura_Facturas_Mobil!$E:$E, Captura_Facturas_Mobil!$N:$N, A125, Captura_Facturas_Mobil!$D:$D, B125), IFERROR(SUMIFS(Captura_Facturas_Mobil!$G:$G, Captura_Facturas_Mobil!$N:$N, A125)/SUMIFS(Captura_Facturas_Mobil!$E:$E, Captura_Facturas_Mobil!$N:$N, A125, Captura_Facturas_Mobil!$E:$E,"&gt;"&amp;0), 27))</f>
      </c>
      <c r="F125" s="15423">
        <f t="shared" si="13"/>
      </c>
      <c r="G125" s="15424">
        <f t="shared" si="14"/>
      </c>
      <c r="H125" s="15425">
        <f t="shared" si="15"/>
      </c>
    </row>
    <row r="126" spans="1:9">
      <c r="A126" s="15426">
        <v>21</v>
      </c>
      <c r="B126" t="s" s="15427">
        <v>111</v>
      </c>
      <c r="C126" s="15428">
        <f>SUMIFS(Estados_Cuenta_Mobil!$F:$F, Estados_Cuenta_Mobil!$C:$C, A126, Estados_Cuenta_Mobil!$D:$D, B126)</f>
      </c>
      <c r="D126" s="15429">
        <f>SUMIFS(Captura_Obra!$F:$F, Captura_Obra!$M:$M, A126, Captura_Obra!$B:$B, B126)</f>
      </c>
      <c r="E126" s="15430">
        <f>IFERROR(SUMIFS(Captura_Facturas_Mobil!$G:$G, Captura_Facturas_Mobil!$N:$N, A126, Captura_Facturas_Mobil!$D:$D, B126) / SUMIFS(Captura_Facturas_Mobil!$E:$E, Captura_Facturas_Mobil!$N:$N, A126, Captura_Facturas_Mobil!$D:$D, B126), IFERROR(SUMIFS(Captura_Facturas_Mobil!$G:$G, Captura_Facturas_Mobil!$N:$N, A126)/SUMIFS(Captura_Facturas_Mobil!$E:$E, Captura_Facturas_Mobil!$N:$N, A126, Captura_Facturas_Mobil!$E:$E,"&gt;"&amp;0), 27))</f>
      </c>
      <c r="F126" s="15431">
        <f t="shared" si="13"/>
      </c>
      <c r="G126" s="15432">
        <f t="shared" si="14"/>
      </c>
      <c r="H126" s="15433">
        <f t="shared" si="15"/>
      </c>
    </row>
    <row r="127" spans="1:9">
      <c r="A127" s="15434">
        <v>21</v>
      </c>
      <c r="B127" t="s" s="15435">
        <v>115</v>
      </c>
      <c r="C127" s="15436">
        <f>SUMIFS(Estados_Cuenta_Mobil!$F:$F, Estados_Cuenta_Mobil!$C:$C, A127, Estados_Cuenta_Mobil!$D:$D, B127)</f>
      </c>
      <c r="D127" s="15437">
        <f>SUMIFS(Captura_Obra!$F:$F, Captura_Obra!$M:$M, A127, Captura_Obra!$B:$B, B127)</f>
      </c>
      <c r="E127" s="15438">
        <f>IFERROR(SUMIFS(Captura_Facturas_Mobil!$G:$G, Captura_Facturas_Mobil!$N:$N, A127, Captura_Facturas_Mobil!$D:$D, B127) / SUMIFS(Captura_Facturas_Mobil!$E:$E, Captura_Facturas_Mobil!$N:$N, A127, Captura_Facturas_Mobil!$D:$D, B127), IFERROR(SUMIFS(Captura_Facturas_Mobil!$G:$G, Captura_Facturas_Mobil!$N:$N, A127)/SUMIFS(Captura_Facturas_Mobil!$E:$E, Captura_Facturas_Mobil!$N:$N, A127, Captura_Facturas_Mobil!$E:$E,"&gt;"&amp;0), 27))</f>
      </c>
      <c r="F127" s="15439">
        <f t="shared" si="13"/>
      </c>
      <c r="G127" s="15440">
        <f t="shared" si="14"/>
      </c>
      <c r="H127" s="15441">
        <f t="shared" si="15"/>
      </c>
    </row>
    <row r="128" spans="1:9">
      <c r="A128" s="15442">
        <v>21</v>
      </c>
      <c r="B128" t="s" s="15443">
        <v>124</v>
      </c>
      <c r="C128" s="15444">
        <f>SUMIFS(Estados_Cuenta_Mobil!$F:$F, Estados_Cuenta_Mobil!$C:$C, A128, Estados_Cuenta_Mobil!$D:$D, B128)</f>
      </c>
      <c r="D128" s="15445">
        <f>SUMIFS(Captura_Obra!$F:$F, Captura_Obra!$M:$M, A128, Captura_Obra!$B:$B, B128)</f>
      </c>
      <c r="E128" s="15446">
        <f>IFERROR(SUMIFS(Captura_Facturas_Mobil!$G:$G, Captura_Facturas_Mobil!$N:$N, A128, Captura_Facturas_Mobil!$D:$D, B128) / SUMIFS(Captura_Facturas_Mobil!$E:$E, Captura_Facturas_Mobil!$N:$N, A128, Captura_Facturas_Mobil!$D:$D, B128), IFERROR(SUMIFS(Captura_Facturas_Mobil!$G:$G, Captura_Facturas_Mobil!$N:$N, A128)/SUMIFS(Captura_Facturas_Mobil!$E:$E, Captura_Facturas_Mobil!$N:$N, A128, Captura_Facturas_Mobil!$E:$E,"&gt;"&amp;0), 27))</f>
      </c>
      <c r="F128" s="15447">
        <f t="shared" si="13"/>
      </c>
      <c r="G128" s="15448">
        <f t="shared" si="14"/>
      </c>
      <c r="H128" s="15449">
        <f t="shared" si="15"/>
      </c>
    </row>
    <row r="129" spans="1:8">
      <c r="A129" s="15450">
        <v>21</v>
      </c>
      <c r="B129" t="s" s="15451">
        <v>159</v>
      </c>
      <c r="C129" s="15452">
        <f>SUMIFS(Estados_Cuenta_Mobil!$F:$F, Estados_Cuenta_Mobil!$C:$C, A129, Estados_Cuenta_Mobil!$D:$D, B129)</f>
      </c>
      <c r="D129" s="15453">
        <f>SUMIFS(Captura_Obra!$F:$F, Captura_Obra!$M:$M, A129, Captura_Obra!$B:$B, B129)</f>
      </c>
      <c r="E129" s="15454">
        <f>IFERROR(SUMIFS(Captura_Facturas_Mobil!$G:$G, Captura_Facturas_Mobil!$N:$N, A129, Captura_Facturas_Mobil!$D:$D, B129) / SUMIFS(Captura_Facturas_Mobil!$E:$E, Captura_Facturas_Mobil!$N:$N, A129, Captura_Facturas_Mobil!$D:$D, B129), IFERROR(SUMIFS(Captura_Facturas_Mobil!$G:$G, Captura_Facturas_Mobil!$N:$N, A129)/SUMIFS(Captura_Facturas_Mobil!$E:$E, Captura_Facturas_Mobil!$N:$N, A129, Captura_Facturas_Mobil!$E:$E,"&gt;"&amp;0), 27))</f>
      </c>
      <c r="F129" s="15455">
        <f t="shared" si="13"/>
      </c>
      <c r="G129" s="15456">
        <f t="shared" si="14"/>
      </c>
      <c r="H129" s="15457">
        <f t="shared" si="15"/>
      </c>
    </row>
    <row r="130" spans="1:8">
      <c r="A130" s="15458">
        <v>21</v>
      </c>
      <c r="B130" t="s" s="15459">
        <v>166</v>
      </c>
      <c r="C130" s="15460">
        <f>SUMIFS(Estados_Cuenta_Mobil!$F:$F, Estados_Cuenta_Mobil!$C:$C, A130, Estados_Cuenta_Mobil!$D:$D, B130)</f>
      </c>
      <c r="D130" s="15461">
        <f>SUMIFS(Captura_Obra!$F:$F, Captura_Obra!$M:$M, A130, Captura_Obra!$B:$B, B130)</f>
      </c>
      <c r="E130" s="15462">
        <f>IFERROR(SUMIFS(Captura_Facturas_Mobil!$G:$G, Captura_Facturas_Mobil!$N:$N, A130, Captura_Facturas_Mobil!$D:$D, B130) / SUMIFS(Captura_Facturas_Mobil!$E:$E, Captura_Facturas_Mobil!$N:$N, A130, Captura_Facturas_Mobil!$D:$D, B130), IFERROR(SUMIFS(Captura_Facturas_Mobil!$G:$G, Captura_Facturas_Mobil!$N:$N, A130)/SUMIFS(Captura_Facturas_Mobil!$E:$E, Captura_Facturas_Mobil!$N:$N, A130, Captura_Facturas_Mobil!$E:$E,"&gt;"&amp;0), 27))</f>
      </c>
      <c r="F130" s="15463">
        <f t="shared" si="13"/>
      </c>
      <c r="G130" s="15464">
        <f t="shared" si="14"/>
      </c>
      <c r="H130" s="15465">
        <f t="shared" si="15"/>
      </c>
    </row>
    <row r="131" spans="1:8">
      <c r="A131" s="15466">
        <v>21</v>
      </c>
      <c r="B131" t="s" s="15467">
        <v>478</v>
      </c>
      <c r="C131" s="15468">
        <f>SUMIFS(Estados_Cuenta_Mobil!$F:$F, Estados_Cuenta_Mobil!$C:$C, A131, Estados_Cuenta_Mobil!$D:$D, B131)</f>
      </c>
      <c r="D131" s="15469">
        <f>SUMIFS(Captura_Obra!$F:$F, Captura_Obra!$M:$M, A131, Captura_Obra!$B:$B, B131)</f>
      </c>
      <c r="E131" s="15470">
        <f>IFERROR(SUMIFS(Captura_Facturas_Mobil!$G:$G, Captura_Facturas_Mobil!$N:$N, A131, Captura_Facturas_Mobil!$D:$D, B131) / SUMIFS(Captura_Facturas_Mobil!$E:$E, Captura_Facturas_Mobil!$N:$N, A131, Captura_Facturas_Mobil!$D:$D, B131), IFERROR(SUMIFS(Captura_Facturas_Mobil!$G:$G, Captura_Facturas_Mobil!$N:$N, A131)/SUMIFS(Captura_Facturas_Mobil!$E:$E, Captura_Facturas_Mobil!$N:$N, A131, Captura_Facturas_Mobil!$E:$E,"&gt;"&amp;0), 27))</f>
      </c>
      <c r="F131" s="15471">
        <f t="shared" si="13"/>
      </c>
      <c r="G131" s="15472">
        <f t="shared" si="14"/>
      </c>
      <c r="H131" s="15473">
        <f t="shared" si="15"/>
      </c>
    </row>
    <row r="132" spans="1:8">
      <c r="A132" s="15474">
        <v>21</v>
      </c>
      <c r="B132" t="s" s="15475">
        <v>735</v>
      </c>
      <c r="C132" s="15476">
        <f>SUMIFS(Estados_Cuenta_Mobil!$F:$F, Estados_Cuenta_Mobil!$C:$C, A132, Estados_Cuenta_Mobil!$D:$D, B132)</f>
      </c>
      <c r="D132" s="15477">
        <f>SUMIFS(Captura_Obra!$F:$F, Captura_Obra!$M:$M, A132, Captura_Obra!$B:$B, B132)</f>
      </c>
      <c r="E132" s="15478">
        <f>IFERROR(SUMIFS(Captura_Facturas_Mobil!$G:$G, Captura_Facturas_Mobil!$N:$N, A132, Captura_Facturas_Mobil!$D:$D, B132) / SUMIFS(Captura_Facturas_Mobil!$E:$E, Captura_Facturas_Mobil!$N:$N, A132, Captura_Facturas_Mobil!$D:$D, B132), IFERROR(SUMIFS(Captura_Facturas_Mobil!$G:$G, Captura_Facturas_Mobil!$N:$N, A132)/SUMIFS(Captura_Facturas_Mobil!$E:$E, Captura_Facturas_Mobil!$N:$N, A132, Captura_Facturas_Mobil!$E:$E,"&gt;"&amp;0), 27))</f>
      </c>
      <c r="F132" s="15479">
        <f t="shared" si="13"/>
      </c>
      <c r="G132" s="15480">
        <f t="shared" si="14"/>
      </c>
      <c r="H132" s="15481">
        <f t="shared" si="15"/>
      </c>
    </row>
    <row r="133" spans="1:8">
      <c r="A133" s="15482">
        <v>22</v>
      </c>
      <c r="B133" t="s" s="15483">
        <v>1</v>
      </c>
      <c r="C133" s="15484">
        <f>SUMIFS(Estados_Cuenta_Mobil!$F:$F, Estados_Cuenta_Mobil!$C:$C, A133, Estados_Cuenta_Mobil!$D:$D, B133)</f>
      </c>
      <c r="D133" s="15485">
        <f>SUMIFS(Captura_Obra!$F:$F, Captura_Obra!$M:$M, A133, Captura_Obra!$B:$B, B133)</f>
      </c>
      <c r="E133" s="15486">
        <f>IFERROR(SUMIFS(Captura_Facturas_Mobil!$G:$G, Captura_Facturas_Mobil!$N:$N, A133, Captura_Facturas_Mobil!$D:$D, B133) / SUMIFS(Captura_Facturas_Mobil!$E:$E, Captura_Facturas_Mobil!$N:$N, A133, Captura_Facturas_Mobil!$D:$D, B133), IFERROR(SUMIFS(Captura_Facturas_Mobil!$G:$G, Captura_Facturas_Mobil!$N:$N, A133)/SUMIFS(Captura_Facturas_Mobil!$E:$E, Captura_Facturas_Mobil!$N:$N, A133, Captura_Facturas_Mobil!$E:$E,"&gt;"&amp;0), 27))</f>
      </c>
      <c r="F133" s="15487">
        <f t="shared" si="13"/>
      </c>
      <c r="G133" s="15488">
        <f t="shared" si="14"/>
      </c>
      <c r="H133" s="15489">
        <f t="shared" si="15"/>
      </c>
    </row>
    <row r="134" spans="1:8">
      <c r="A134" s="15490">
        <v>22</v>
      </c>
      <c r="B134" t="s" s="15491">
        <v>2</v>
      </c>
      <c r="C134" s="15492">
        <f>SUMIFS(Estados_Cuenta_Mobil!$F:$F, Estados_Cuenta_Mobil!$C:$C, A134, Estados_Cuenta_Mobil!$D:$D, B134)</f>
      </c>
      <c r="D134" s="15493">
        <f>SUMIFS(Captura_Obra!$F:$F, Captura_Obra!$M:$M, A134, Captura_Obra!$B:$B, B134)</f>
      </c>
      <c r="E134" s="15494">
        <f>IFERROR(SUMIFS(Captura_Facturas_Mobil!$G:$G, Captura_Facturas_Mobil!$N:$N, A134, Captura_Facturas_Mobil!$D:$D, B134) / SUMIFS(Captura_Facturas_Mobil!$E:$E, Captura_Facturas_Mobil!$N:$N, A134, Captura_Facturas_Mobil!$D:$D, B134), IFERROR(SUMIFS(Captura_Facturas_Mobil!$G:$G, Captura_Facturas_Mobil!$N:$N, A134)/SUMIFS(Captura_Facturas_Mobil!$E:$E, Captura_Facturas_Mobil!$N:$N, A134, Captura_Facturas_Mobil!$E:$E,"&gt;"&amp;0), 27))</f>
      </c>
      <c r="F134" s="15495">
        <f t="shared" si="13"/>
      </c>
      <c r="G134" s="15496">
        <f t="shared" si="14"/>
      </c>
      <c r="H134" s="15497">
        <f t="shared" si="15"/>
      </c>
    </row>
    <row r="135" spans="1:8">
      <c r="A135" s="15498">
        <v>22</v>
      </c>
      <c r="B135" t="s" s="15499">
        <v>3</v>
      </c>
      <c r="C135" s="15500">
        <f>SUMIFS(Estados_Cuenta_Mobil!$F:$F, Estados_Cuenta_Mobil!$C:$C, A135, Estados_Cuenta_Mobil!$D:$D, B135)</f>
      </c>
      <c r="D135" s="15501">
        <f>SUMIFS(Captura_Obra!$F:$F, Captura_Obra!$M:$M, A135, Captura_Obra!$B:$B, B135)</f>
      </c>
      <c r="E135" s="15502">
        <f>IFERROR(SUMIFS(Captura_Facturas_Mobil!$G:$G, Captura_Facturas_Mobil!$N:$N, A135, Captura_Facturas_Mobil!$D:$D, B135) / SUMIFS(Captura_Facturas_Mobil!$E:$E, Captura_Facturas_Mobil!$N:$N, A135, Captura_Facturas_Mobil!$D:$D, B135), IFERROR(SUMIFS(Captura_Facturas_Mobil!$G:$G, Captura_Facturas_Mobil!$N:$N, A135)/SUMIFS(Captura_Facturas_Mobil!$E:$E, Captura_Facturas_Mobil!$N:$N, A135, Captura_Facturas_Mobil!$E:$E,"&gt;"&amp;0), 27))</f>
      </c>
      <c r="F135" s="15503">
        <f t="shared" si="13"/>
      </c>
      <c r="G135" s="15504">
        <f t="shared" si="14"/>
      </c>
      <c r="H135" s="15505">
        <f t="shared" si="15"/>
      </c>
    </row>
    <row r="136" spans="1:8">
      <c r="A136" s="15506">
        <v>22</v>
      </c>
      <c r="B136" t="s" s="15507">
        <v>111</v>
      </c>
      <c r="C136" s="15508">
        <f>SUMIFS(Estados_Cuenta_Mobil!$F:$F, Estados_Cuenta_Mobil!$C:$C, A136, Estados_Cuenta_Mobil!$D:$D, B136)</f>
      </c>
      <c r="D136" s="15509">
        <f>SUMIFS(Captura_Obra!$F:$F, Captura_Obra!$M:$M, A136, Captura_Obra!$B:$B, B136)</f>
      </c>
      <c r="E136" s="15510">
        <f>IFERROR(SUMIFS(Captura_Facturas_Mobil!$G:$G, Captura_Facturas_Mobil!$N:$N, A136, Captura_Facturas_Mobil!$D:$D, B136) / SUMIFS(Captura_Facturas_Mobil!$E:$E, Captura_Facturas_Mobil!$N:$N, A136, Captura_Facturas_Mobil!$D:$D, B136), IFERROR(SUMIFS(Captura_Facturas_Mobil!$G:$G, Captura_Facturas_Mobil!$N:$N, A136)/SUMIFS(Captura_Facturas_Mobil!$E:$E, Captura_Facturas_Mobil!$N:$N, A136, Captura_Facturas_Mobil!$E:$E,"&gt;"&amp;0), 27))</f>
      </c>
      <c r="F136" s="15511">
        <f t="shared" si="13"/>
      </c>
      <c r="G136" s="15512">
        <f t="shared" si="14"/>
      </c>
      <c r="H136" s="15513">
        <f t="shared" si="15"/>
      </c>
    </row>
    <row r="137" spans="1:8">
      <c r="A137" s="15514">
        <v>22</v>
      </c>
      <c r="B137" t="s" s="15515">
        <v>115</v>
      </c>
      <c r="C137" s="15516">
        <f>SUMIFS(Estados_Cuenta_Mobil!$F:$F, Estados_Cuenta_Mobil!$C:$C, A137, Estados_Cuenta_Mobil!$D:$D, B137)</f>
      </c>
      <c r="D137" s="15517">
        <f>SUMIFS(Captura_Obra!$F:$F, Captura_Obra!$M:$M, A137, Captura_Obra!$B:$B, B137)</f>
      </c>
      <c r="E137" s="15518">
        <f>IFERROR(SUMIFS(Captura_Facturas_Mobil!$G:$G, Captura_Facturas_Mobil!$N:$N, A137, Captura_Facturas_Mobil!$D:$D, B137) / SUMIFS(Captura_Facturas_Mobil!$E:$E, Captura_Facturas_Mobil!$N:$N, A137, Captura_Facturas_Mobil!$D:$D, B137), IFERROR(SUMIFS(Captura_Facturas_Mobil!$G:$G, Captura_Facturas_Mobil!$N:$N, A137)/SUMIFS(Captura_Facturas_Mobil!$E:$E, Captura_Facturas_Mobil!$N:$N, A137, Captura_Facturas_Mobil!$E:$E,"&gt;"&amp;0), 27))</f>
      </c>
      <c r="F137" s="15519">
        <f t="shared" si="13"/>
      </c>
      <c r="G137" s="15520">
        <f t="shared" si="14"/>
      </c>
      <c r="H137" s="15521">
        <f t="shared" si="15"/>
      </c>
    </row>
    <row r="138" spans="1:8">
      <c r="A138" s="15522">
        <v>22</v>
      </c>
      <c r="B138" t="s" s="15523">
        <v>124</v>
      </c>
      <c r="C138" s="15524">
        <f>SUMIFS(Estados_Cuenta_Mobil!$F:$F, Estados_Cuenta_Mobil!$C:$C, A138, Estados_Cuenta_Mobil!$D:$D, B138)</f>
      </c>
      <c r="D138" s="15525">
        <f>SUMIFS(Captura_Obra!$F:$F, Captura_Obra!$M:$M, A138, Captura_Obra!$B:$B, B138)</f>
      </c>
      <c r="E138" s="15526">
        <f>IFERROR(SUMIFS(Captura_Facturas_Mobil!$G:$G, Captura_Facturas_Mobil!$N:$N, A138, Captura_Facturas_Mobil!$D:$D, B138) / SUMIFS(Captura_Facturas_Mobil!$E:$E, Captura_Facturas_Mobil!$N:$N, A138, Captura_Facturas_Mobil!$D:$D, B138), IFERROR(SUMIFS(Captura_Facturas_Mobil!$G:$G, Captura_Facturas_Mobil!$N:$N, A138)/SUMIFS(Captura_Facturas_Mobil!$E:$E, Captura_Facturas_Mobil!$N:$N, A138, Captura_Facturas_Mobil!$E:$E,"&gt;"&amp;0), 27))</f>
      </c>
      <c r="F138" s="15527">
        <f t="shared" si="13"/>
      </c>
      <c r="G138" s="15528">
        <f t="shared" si="14"/>
      </c>
      <c r="H138" s="15529">
        <f t="shared" si="15"/>
      </c>
    </row>
    <row r="139" spans="1:8">
      <c r="A139" s="15530">
        <v>22</v>
      </c>
      <c r="B139" t="s" s="15531">
        <v>159</v>
      </c>
      <c r="C139" s="15532">
        <f>SUMIFS(Estados_Cuenta_Mobil!$F:$F, Estados_Cuenta_Mobil!$C:$C, A139, Estados_Cuenta_Mobil!$D:$D, B139)</f>
      </c>
      <c r="D139" s="15533">
        <f>SUMIFS(Captura_Obra!$F:$F, Captura_Obra!$M:$M, A139, Captura_Obra!$B:$B, B139)</f>
      </c>
      <c r="E139" s="15534">
        <f>IFERROR(SUMIFS(Captura_Facturas_Mobil!$G:$G, Captura_Facturas_Mobil!$N:$N, A139, Captura_Facturas_Mobil!$D:$D, B139) / SUMIFS(Captura_Facturas_Mobil!$E:$E, Captura_Facturas_Mobil!$N:$N, A139, Captura_Facturas_Mobil!$D:$D, B139), IFERROR(SUMIFS(Captura_Facturas_Mobil!$G:$G, Captura_Facturas_Mobil!$N:$N, A139)/SUMIFS(Captura_Facturas_Mobil!$E:$E, Captura_Facturas_Mobil!$N:$N, A139, Captura_Facturas_Mobil!$E:$E,"&gt;"&amp;0), 27))</f>
      </c>
      <c r="F139" s="15535">
        <f t="shared" si="13"/>
      </c>
      <c r="G139" s="15536">
        <f t="shared" si="14"/>
      </c>
      <c r="H139" s="15537">
        <f t="shared" si="15"/>
      </c>
    </row>
    <row r="140" spans="1:8">
      <c r="A140" s="15538">
        <v>22</v>
      </c>
      <c r="B140" t="s" s="15539">
        <v>166</v>
      </c>
      <c r="C140" s="15540">
        <f>SUMIFS(Estados_Cuenta_Mobil!$F:$F, Estados_Cuenta_Mobil!$C:$C, A140, Estados_Cuenta_Mobil!$D:$D, B140)</f>
      </c>
      <c r="D140" s="15541">
        <f>SUMIFS(Captura_Obra!$F:$F, Captura_Obra!$M:$M, A140, Captura_Obra!$B:$B, B140)</f>
      </c>
      <c r="E140" s="15542">
        <f>IFERROR(SUMIFS(Captura_Facturas_Mobil!$G:$G, Captura_Facturas_Mobil!$N:$N, A140, Captura_Facturas_Mobil!$D:$D, B140) / SUMIFS(Captura_Facturas_Mobil!$E:$E, Captura_Facturas_Mobil!$N:$N, A140, Captura_Facturas_Mobil!$D:$D, B140), IFERROR(SUMIFS(Captura_Facturas_Mobil!$G:$G, Captura_Facturas_Mobil!$N:$N, A140)/SUMIFS(Captura_Facturas_Mobil!$E:$E, Captura_Facturas_Mobil!$N:$N, A140, Captura_Facturas_Mobil!$E:$E,"&gt;"&amp;0), 27))</f>
      </c>
      <c r="F140" s="15543">
        <f t="shared" si="13"/>
      </c>
      <c r="G140" s="15544">
        <f t="shared" si="14"/>
      </c>
      <c r="H140" s="15545">
        <f t="shared" si="15"/>
      </c>
    </row>
    <row r="141" spans="1:8">
      <c r="A141" s="15546">
        <v>22</v>
      </c>
      <c r="B141" t="s" s="15547">
        <v>478</v>
      </c>
      <c r="C141" s="15548">
        <f>SUMIFS(Estados_Cuenta_Mobil!$F:$F, Estados_Cuenta_Mobil!$C:$C, A141, Estados_Cuenta_Mobil!$D:$D, B141)</f>
      </c>
      <c r="D141" s="15549">
        <f>SUMIFS(Captura_Obra!$F:$F, Captura_Obra!$M:$M, A141, Captura_Obra!$B:$B, B141)</f>
      </c>
      <c r="E141" s="15550">
        <f>IFERROR(SUMIFS(Captura_Facturas_Mobil!$G:$G, Captura_Facturas_Mobil!$N:$N, A141, Captura_Facturas_Mobil!$D:$D, B141) / SUMIFS(Captura_Facturas_Mobil!$E:$E, Captura_Facturas_Mobil!$N:$N, A141, Captura_Facturas_Mobil!$D:$D, B141), IFERROR(SUMIFS(Captura_Facturas_Mobil!$G:$G, Captura_Facturas_Mobil!$N:$N, A141)/SUMIFS(Captura_Facturas_Mobil!$E:$E, Captura_Facturas_Mobil!$N:$N, A141, Captura_Facturas_Mobil!$E:$E,"&gt;"&amp;0), 27))</f>
      </c>
      <c r="F141" s="15551">
        <f t="shared" si="13"/>
      </c>
      <c r="G141" s="15552">
        <f t="shared" si="14"/>
      </c>
      <c r="H141" s="15553">
        <f t="shared" si="15"/>
      </c>
    </row>
    <row r="142" spans="1:8">
      <c r="A142" s="15554">
        <v>22</v>
      </c>
      <c r="B142" t="s" s="15555">
        <v>735</v>
      </c>
      <c r="C142" s="15556">
        <f>SUMIFS(Estados_Cuenta_Mobil!$F:$F, Estados_Cuenta_Mobil!$C:$C, A142, Estados_Cuenta_Mobil!$D:$D, B142)</f>
      </c>
      <c r="D142" s="15557">
        <f>SUMIFS(Captura_Obra!$F:$F, Captura_Obra!$M:$M, A142, Captura_Obra!$B:$B, B142)</f>
      </c>
      <c r="E142" s="15558">
        <f>IFERROR(SUMIFS(Captura_Facturas_Mobil!$G:$G, Captura_Facturas_Mobil!$N:$N, A142, Captura_Facturas_Mobil!$D:$D, B142) / SUMIFS(Captura_Facturas_Mobil!$E:$E, Captura_Facturas_Mobil!$N:$N, A142, Captura_Facturas_Mobil!$D:$D, B142), IFERROR(SUMIFS(Captura_Facturas_Mobil!$G:$G, Captura_Facturas_Mobil!$N:$N, A142)/SUMIFS(Captura_Facturas_Mobil!$E:$E, Captura_Facturas_Mobil!$N:$N, A142, Captura_Facturas_Mobil!$E:$E,"&gt;"&amp;0), 27))</f>
      </c>
      <c r="F142" s="15559">
        <f t="shared" si="13"/>
      </c>
      <c r="G142" s="15560">
        <f t="shared" si="14"/>
      </c>
      <c r="H142" s="15561">
        <f t="shared" si="15"/>
      </c>
    </row>
    <row r="143" spans="1:8">
      <c r="A143" s="15562">
        <v>23</v>
      </c>
      <c r="B143" t="s" s="15563">
        <v>1</v>
      </c>
      <c r="C143" s="15564">
        <f>SUMIFS(Estados_Cuenta_Mobil!$F:$F, Estados_Cuenta_Mobil!$C:$C, A143, Estados_Cuenta_Mobil!$D:$D, B143)</f>
      </c>
      <c r="D143" s="15565">
        <f>SUMIFS(Captura_Obra!$F:$F, Captura_Obra!$M:$M, A143, Captura_Obra!$B:$B, B143)</f>
      </c>
      <c r="E143" s="15566">
        <f>IFERROR(SUMIFS(Captura_Facturas_Mobil!$G:$G, Captura_Facturas_Mobil!$N:$N, A143, Captura_Facturas_Mobil!$D:$D, B143) / SUMIFS(Captura_Facturas_Mobil!$E:$E, Captura_Facturas_Mobil!$N:$N, A143, Captura_Facturas_Mobil!$D:$D, B143), IFERROR(SUMIFS(Captura_Facturas_Mobil!$G:$G, Captura_Facturas_Mobil!$N:$N, A143)/SUMIFS(Captura_Facturas_Mobil!$E:$E, Captura_Facturas_Mobil!$N:$N, A143, Captura_Facturas_Mobil!$E:$E,"&gt;"&amp;0), 27))</f>
      </c>
      <c r="F143" s="15567">
        <f t="shared" si="13"/>
      </c>
      <c r="G143" s="15568">
        <f t="shared" si="14"/>
      </c>
      <c r="H143" s="15569">
        <f t="shared" si="15"/>
      </c>
    </row>
    <row r="144" spans="1:8">
      <c r="A144" s="15570">
        <v>23</v>
      </c>
      <c r="B144" t="s" s="15571">
        <v>2</v>
      </c>
      <c r="C144" s="15572">
        <f>SUMIFS(Estados_Cuenta_Mobil!$F:$F, Estados_Cuenta_Mobil!$C:$C, A144, Estados_Cuenta_Mobil!$D:$D, B144)</f>
      </c>
      <c r="D144" s="15573">
        <f>SUMIFS(Captura_Obra!$F:$F, Captura_Obra!$M:$M, A144, Captura_Obra!$B:$B, B144)</f>
      </c>
      <c r="E144" s="15574">
        <f>IFERROR(SUMIFS(Captura_Facturas_Mobil!$G:$G, Captura_Facturas_Mobil!$N:$N, A144, Captura_Facturas_Mobil!$D:$D, B144) / SUMIFS(Captura_Facturas_Mobil!$E:$E, Captura_Facturas_Mobil!$N:$N, A144, Captura_Facturas_Mobil!$D:$D, B144), IFERROR(SUMIFS(Captura_Facturas_Mobil!$G:$G, Captura_Facturas_Mobil!$N:$N, A144)/SUMIFS(Captura_Facturas_Mobil!$E:$E, Captura_Facturas_Mobil!$N:$N, A144, Captura_Facturas_Mobil!$E:$E,"&gt;"&amp;0), 27))</f>
      </c>
      <c r="F144" s="15575">
        <f t="shared" si="13"/>
      </c>
      <c r="G144" s="15576">
        <f t="shared" si="14"/>
      </c>
      <c r="H144" s="15577">
        <f t="shared" si="15"/>
      </c>
    </row>
    <row r="145" spans="1:8">
      <c r="A145" s="15578">
        <v>23</v>
      </c>
      <c r="B145" t="s" s="15579">
        <v>3</v>
      </c>
      <c r="C145" s="15580">
        <f>SUMIFS(Estados_Cuenta_Mobil!$F:$F, Estados_Cuenta_Mobil!$C:$C, A145, Estados_Cuenta_Mobil!$D:$D, B145)</f>
      </c>
      <c r="D145" s="15581">
        <f>SUMIFS(Captura_Obra!$F:$F, Captura_Obra!$M:$M, A145, Captura_Obra!$B:$B, B145)</f>
      </c>
      <c r="E145" s="15582">
        <f>IFERROR(SUMIFS(Captura_Facturas_Mobil!$G:$G, Captura_Facturas_Mobil!$N:$N, A145, Captura_Facturas_Mobil!$D:$D, B145) / SUMIFS(Captura_Facturas_Mobil!$E:$E, Captura_Facturas_Mobil!$N:$N, A145, Captura_Facturas_Mobil!$D:$D, B145), IFERROR(SUMIFS(Captura_Facturas_Mobil!$G:$G, Captura_Facturas_Mobil!$N:$N, A145)/SUMIFS(Captura_Facturas_Mobil!$E:$E, Captura_Facturas_Mobil!$N:$N, A145, Captura_Facturas_Mobil!$E:$E,"&gt;"&amp;0), 27))</f>
      </c>
      <c r="F145" s="15583">
        <f t="shared" si="13"/>
      </c>
      <c r="G145" s="15584">
        <f t="shared" si="14"/>
      </c>
      <c r="H145" s="15585">
        <f t="shared" si="15"/>
      </c>
    </row>
    <row r="146" spans="1:8">
      <c r="A146" s="15586">
        <v>23</v>
      </c>
      <c r="B146" t="s" s="15587">
        <v>111</v>
      </c>
      <c r="C146" s="15588">
        <f>SUMIFS(Estados_Cuenta_Mobil!$F:$F, Estados_Cuenta_Mobil!$C:$C, A146, Estados_Cuenta_Mobil!$D:$D, B146)</f>
      </c>
      <c r="D146" s="15589">
        <f>SUMIFS(Captura_Obra!$F:$F, Captura_Obra!$M:$M, A146, Captura_Obra!$B:$B, B146)</f>
      </c>
      <c r="E146" s="15590">
        <f>IFERROR(SUMIFS(Captura_Facturas_Mobil!$G:$G, Captura_Facturas_Mobil!$N:$N, A146, Captura_Facturas_Mobil!$D:$D, B146) / SUMIFS(Captura_Facturas_Mobil!$E:$E, Captura_Facturas_Mobil!$N:$N, A146, Captura_Facturas_Mobil!$D:$D, B146), IFERROR(SUMIFS(Captura_Facturas_Mobil!$G:$G, Captura_Facturas_Mobil!$N:$N, A146)/SUMIFS(Captura_Facturas_Mobil!$E:$E, Captura_Facturas_Mobil!$N:$N, A146, Captura_Facturas_Mobil!$E:$E,"&gt;"&amp;0), 27))</f>
      </c>
      <c r="F146" s="15591">
        <f t="shared" si="13"/>
      </c>
      <c r="G146" s="15592">
        <f t="shared" si="14"/>
      </c>
      <c r="H146" s="15593">
        <f t="shared" si="15"/>
      </c>
    </row>
    <row r="147" spans="1:8">
      <c r="A147" s="15594">
        <v>23</v>
      </c>
      <c r="B147" t="s" s="15595">
        <v>115</v>
      </c>
      <c r="C147" s="15596">
        <f>SUMIFS(Estados_Cuenta_Mobil!$F:$F, Estados_Cuenta_Mobil!$C:$C, A147, Estados_Cuenta_Mobil!$D:$D, B147)</f>
      </c>
      <c r="D147" s="15597">
        <f>SUMIFS(Captura_Obra!$F:$F, Captura_Obra!$M:$M, A147, Captura_Obra!$B:$B, B147)</f>
      </c>
      <c r="E147" s="15598">
        <f>IFERROR(SUMIFS(Captura_Facturas_Mobil!$G:$G, Captura_Facturas_Mobil!$N:$N, A147, Captura_Facturas_Mobil!$D:$D, B147) / SUMIFS(Captura_Facturas_Mobil!$E:$E, Captura_Facturas_Mobil!$N:$N, A147, Captura_Facturas_Mobil!$D:$D, B147), IFERROR(SUMIFS(Captura_Facturas_Mobil!$G:$G, Captura_Facturas_Mobil!$N:$N, A147)/SUMIFS(Captura_Facturas_Mobil!$E:$E, Captura_Facturas_Mobil!$N:$N, A147, Captura_Facturas_Mobil!$E:$E,"&gt;"&amp;0), 27))</f>
      </c>
      <c r="F147" s="15599">
        <f t="shared" si="13"/>
      </c>
      <c r="G147" s="15600">
        <f t="shared" si="14"/>
      </c>
      <c r="H147" s="15601">
        <f t="shared" si="15"/>
      </c>
    </row>
    <row r="148" spans="1:8">
      <c r="A148" s="15602">
        <v>23</v>
      </c>
      <c r="B148" t="s" s="15603">
        <v>124</v>
      </c>
      <c r="C148" s="15604">
        <f>SUMIFS(Estados_Cuenta_Mobil!$F:$F, Estados_Cuenta_Mobil!$C:$C, A148, Estados_Cuenta_Mobil!$D:$D, B148)</f>
      </c>
      <c r="D148" s="15605">
        <f>SUMIFS(Captura_Obra!$F:$F, Captura_Obra!$M:$M, A148, Captura_Obra!$B:$B, B148)</f>
      </c>
      <c r="E148" s="15606">
        <f>IFERROR(SUMIFS(Captura_Facturas_Mobil!$G:$G, Captura_Facturas_Mobil!$N:$N, A148, Captura_Facturas_Mobil!$D:$D, B148) / SUMIFS(Captura_Facturas_Mobil!$E:$E, Captura_Facturas_Mobil!$N:$N, A148, Captura_Facturas_Mobil!$D:$D, B148), IFERROR(SUMIFS(Captura_Facturas_Mobil!$G:$G, Captura_Facturas_Mobil!$N:$N, A148)/SUMIFS(Captura_Facturas_Mobil!$E:$E, Captura_Facturas_Mobil!$N:$N, A148, Captura_Facturas_Mobil!$E:$E,"&gt;"&amp;0), 27))</f>
      </c>
      <c r="F148" s="15607">
        <f t="shared" si="13"/>
      </c>
      <c r="G148" s="15608">
        <f t="shared" si="14"/>
      </c>
      <c r="H148" s="15609">
        <f t="shared" si="15"/>
      </c>
    </row>
    <row r="149" spans="1:8">
      <c r="A149" s="15610">
        <v>23</v>
      </c>
      <c r="B149" t="s" s="15611">
        <v>159</v>
      </c>
      <c r="C149" s="15612">
        <f>SUMIFS(Estados_Cuenta_Mobil!$F:$F, Estados_Cuenta_Mobil!$C:$C, A149, Estados_Cuenta_Mobil!$D:$D, B149)</f>
      </c>
      <c r="D149" s="15613">
        <f>SUMIFS(Captura_Obra!$F:$F, Captura_Obra!$M:$M, A149, Captura_Obra!$B:$B, B149)</f>
      </c>
      <c r="E149" s="15614">
        <f>IFERROR(SUMIFS(Captura_Facturas_Mobil!$G:$G, Captura_Facturas_Mobil!$N:$N, A149, Captura_Facturas_Mobil!$D:$D, B149) / SUMIFS(Captura_Facturas_Mobil!$E:$E, Captura_Facturas_Mobil!$N:$N, A149, Captura_Facturas_Mobil!$D:$D, B149), IFERROR(SUMIFS(Captura_Facturas_Mobil!$G:$G, Captura_Facturas_Mobil!$N:$N, A149)/SUMIFS(Captura_Facturas_Mobil!$E:$E, Captura_Facturas_Mobil!$N:$N, A149, Captura_Facturas_Mobil!$E:$E,"&gt;"&amp;0), 27))</f>
      </c>
      <c r="F149" s="15615">
        <f t="shared" si="13"/>
      </c>
      <c r="G149" s="15616">
        <f t="shared" si="14"/>
      </c>
      <c r="H149" s="15617">
        <f t="shared" si="15"/>
      </c>
    </row>
    <row r="150" spans="1:8">
      <c r="A150" s="15618">
        <v>23</v>
      </c>
      <c r="B150" t="s" s="15619">
        <v>166</v>
      </c>
      <c r="C150" s="15620">
        <f>SUMIFS(Estados_Cuenta_Mobil!$F:$F, Estados_Cuenta_Mobil!$C:$C, A150, Estados_Cuenta_Mobil!$D:$D, B150)</f>
      </c>
      <c r="D150" s="15621">
        <f>SUMIFS(Captura_Obra!$F:$F, Captura_Obra!$M:$M, A150, Captura_Obra!$B:$B, B150)</f>
      </c>
      <c r="E150" s="15622">
        <f>IFERROR(SUMIFS(Captura_Facturas_Mobil!$G:$G, Captura_Facturas_Mobil!$N:$N, A150, Captura_Facturas_Mobil!$D:$D, B150) / SUMIFS(Captura_Facturas_Mobil!$E:$E, Captura_Facturas_Mobil!$N:$N, A150, Captura_Facturas_Mobil!$D:$D, B150), IFERROR(SUMIFS(Captura_Facturas_Mobil!$G:$G, Captura_Facturas_Mobil!$N:$N, A150)/SUMIFS(Captura_Facturas_Mobil!$E:$E, Captura_Facturas_Mobil!$N:$N, A150, Captura_Facturas_Mobil!$E:$E,"&gt;"&amp;0), 27))</f>
      </c>
      <c r="F150" s="15623">
        <f t="shared" si="13"/>
      </c>
      <c r="G150" s="15624">
        <f t="shared" si="14"/>
      </c>
      <c r="H150" s="15625">
        <f t="shared" si="15"/>
      </c>
    </row>
    <row r="151" spans="1:8">
      <c r="A151" s="15626">
        <v>23</v>
      </c>
      <c r="B151" t="s" s="15627">
        <v>478</v>
      </c>
      <c r="C151" s="15628">
        <f>SUMIFS(Estados_Cuenta_Mobil!$F:$F, Estados_Cuenta_Mobil!$C:$C, A151, Estados_Cuenta_Mobil!$D:$D, B151)</f>
      </c>
      <c r="D151" s="15629">
        <f>SUMIFS(Captura_Obra!$F:$F, Captura_Obra!$M:$M, A151, Captura_Obra!$B:$B, B151)</f>
      </c>
      <c r="E151" s="15630">
        <f>IFERROR(SUMIFS(Captura_Facturas_Mobil!$G:$G, Captura_Facturas_Mobil!$N:$N, A151, Captura_Facturas_Mobil!$D:$D, B151) / SUMIFS(Captura_Facturas_Mobil!$E:$E, Captura_Facturas_Mobil!$N:$N, A151, Captura_Facturas_Mobil!$D:$D, B151), IFERROR(SUMIFS(Captura_Facturas_Mobil!$G:$G, Captura_Facturas_Mobil!$N:$N, A151)/SUMIFS(Captura_Facturas_Mobil!$E:$E, Captura_Facturas_Mobil!$N:$N, A151, Captura_Facturas_Mobil!$E:$E,"&gt;"&amp;0), 27))</f>
      </c>
      <c r="F151" s="15631">
        <f t="shared" si="13"/>
      </c>
      <c r="G151" s="15632">
        <f t="shared" si="14"/>
      </c>
      <c r="H151" s="15633">
        <f t="shared" si="15"/>
      </c>
    </row>
    <row r="152" spans="1:8">
      <c r="A152" s="15634">
        <v>23</v>
      </c>
      <c r="B152" t="s" s="15635">
        <v>735</v>
      </c>
      <c r="C152" s="15636">
        <f>SUMIFS(Estados_Cuenta_Mobil!$F:$F, Estados_Cuenta_Mobil!$C:$C, A152, Estados_Cuenta_Mobil!$D:$D, B152)</f>
      </c>
      <c r="D152" s="15637">
        <f>SUMIFS(Captura_Obra!$F:$F, Captura_Obra!$M:$M, A152, Captura_Obra!$B:$B, B152)</f>
      </c>
      <c r="E152" s="15638">
        <f>IFERROR(SUMIFS(Captura_Facturas_Mobil!$G:$G, Captura_Facturas_Mobil!$N:$N, A152, Captura_Facturas_Mobil!$D:$D, B152) / SUMIFS(Captura_Facturas_Mobil!$E:$E, Captura_Facturas_Mobil!$N:$N, A152, Captura_Facturas_Mobil!$D:$D, B152), IFERROR(SUMIFS(Captura_Facturas_Mobil!$G:$G, Captura_Facturas_Mobil!$N:$N, A152)/SUMIFS(Captura_Facturas_Mobil!$E:$E, Captura_Facturas_Mobil!$N:$N, A152, Captura_Facturas_Mobil!$E:$E,"&gt;"&amp;0), 27))</f>
      </c>
      <c r="F152" s="15639">
        <f t="shared" si="13"/>
      </c>
      <c r="G152" s="15640">
        <f t="shared" si="14"/>
      </c>
      <c r="H152" s="15641">
        <f t="shared" si="15"/>
      </c>
    </row>
    <row r="153" spans="1:8">
      <c r="A153" s="15642">
        <v>24</v>
      </c>
      <c r="B153" t="s" s="15643">
        <v>1</v>
      </c>
      <c r="C153" s="15644">
        <f>SUMIFS(Estados_Cuenta_Mobil!$F:$F, Estados_Cuenta_Mobil!$C:$C, A153, Estados_Cuenta_Mobil!$D:$D, B153)</f>
      </c>
      <c r="D153" s="15645">
        <f>SUMIFS(Captura_Obra!$F:$F, Captura_Obra!$M:$M, A153, Captura_Obra!$B:$B, B153)</f>
      </c>
      <c r="E153" s="15646">
        <f>IFERROR(SUMIFS(Captura_Facturas_Mobil!$G:$G, Captura_Facturas_Mobil!$N:$N, A153, Captura_Facturas_Mobil!$D:$D, B153) / SUMIFS(Captura_Facturas_Mobil!$E:$E, Captura_Facturas_Mobil!$N:$N, A153, Captura_Facturas_Mobil!$D:$D, B153), IFERROR(SUMIFS(Captura_Facturas_Mobil!$G:$G, Captura_Facturas_Mobil!$N:$N, A153)/SUMIFS(Captura_Facturas_Mobil!$E:$E, Captura_Facturas_Mobil!$N:$N, A153, Captura_Facturas_Mobil!$E:$E,"&gt;"&amp;0), 27))</f>
      </c>
      <c r="F153" s="15647">
        <f t="shared" si="13"/>
      </c>
      <c r="G153" s="15648">
        <f t="shared" si="14"/>
      </c>
      <c r="H153" s="15649">
        <f t="shared" si="15"/>
      </c>
    </row>
    <row r="154" spans="1:8">
      <c r="A154" s="15650">
        <v>24</v>
      </c>
      <c r="B154" t="s" s="15651">
        <v>2</v>
      </c>
      <c r="C154" s="15652">
        <f>SUMIFS(Estados_Cuenta_Mobil!$F:$F, Estados_Cuenta_Mobil!$C:$C, A154, Estados_Cuenta_Mobil!$D:$D, B154)</f>
      </c>
      <c r="D154" s="15653">
        <f>SUMIFS(Captura_Obra!$F:$F, Captura_Obra!$M:$M, A154, Captura_Obra!$B:$B, B154)</f>
      </c>
      <c r="E154" s="15654">
        <f>IFERROR(SUMIFS(Captura_Facturas_Mobil!$G:$G, Captura_Facturas_Mobil!$N:$N, A154, Captura_Facturas_Mobil!$D:$D, B154) / SUMIFS(Captura_Facturas_Mobil!$E:$E, Captura_Facturas_Mobil!$N:$N, A154, Captura_Facturas_Mobil!$D:$D, B154), IFERROR(SUMIFS(Captura_Facturas_Mobil!$G:$G, Captura_Facturas_Mobil!$N:$N, A154)/SUMIFS(Captura_Facturas_Mobil!$E:$E, Captura_Facturas_Mobil!$N:$N, A154, Captura_Facturas_Mobil!$E:$E,"&gt;"&amp;0), 27))</f>
      </c>
      <c r="F154" s="15655">
        <f t="shared" si="13"/>
      </c>
      <c r="G154" s="15656">
        <f t="shared" si="14"/>
      </c>
      <c r="H154" s="15657">
        <f t="shared" si="15"/>
      </c>
    </row>
    <row r="155" spans="1:8">
      <c r="A155" s="15658">
        <v>24</v>
      </c>
      <c r="B155" t="s" s="15659">
        <v>3</v>
      </c>
      <c r="C155" s="15660">
        <f>SUMIFS(Estados_Cuenta_Mobil!$F:$F, Estados_Cuenta_Mobil!$C:$C, A155, Estados_Cuenta_Mobil!$D:$D, B155)</f>
      </c>
      <c r="D155" s="15661">
        <f>SUMIFS(Captura_Obra!$F:$F, Captura_Obra!$M:$M, A155, Captura_Obra!$B:$B, B155)</f>
      </c>
      <c r="E155" s="15662">
        <f>IFERROR(SUMIFS(Captura_Facturas_Mobil!$G:$G, Captura_Facturas_Mobil!$N:$N, A155, Captura_Facturas_Mobil!$D:$D, B155) / SUMIFS(Captura_Facturas_Mobil!$E:$E, Captura_Facturas_Mobil!$N:$N, A155, Captura_Facturas_Mobil!$D:$D, B155), IFERROR(SUMIFS(Captura_Facturas_Mobil!$G:$G, Captura_Facturas_Mobil!$N:$N, A155)/SUMIFS(Captura_Facturas_Mobil!$E:$E, Captura_Facturas_Mobil!$N:$N, A155, Captura_Facturas_Mobil!$E:$E,"&gt;"&amp;0), 27))</f>
      </c>
      <c r="F155" s="15663">
        <f t="shared" ref="F155:F182" si="16">D155 * E155</f>
      </c>
      <c r="G155" s="15664">
        <f t="shared" ref="G155:G182" si="17">IF(C155+D155=0, "", C155 - F155)</f>
      </c>
      <c r="H155" s="15665">
        <f t="shared" ref="H155:H182" si="18">IF(C155+D155=0, "", IF(G155&gt;10, "⚠️ Pagamos de MÁS (o se fue a Tanque)", IF(G155&lt;-10, "🚨 Máquinas quemaron MÁS de lo pagado", "✅ Cuadrado")))</f>
      </c>
    </row>
    <row r="156" spans="1:8">
      <c r="A156" s="15666">
        <v>24</v>
      </c>
      <c r="B156" t="s" s="15667">
        <v>111</v>
      </c>
      <c r="C156" s="15668">
        <f>SUMIFS(Estados_Cuenta_Mobil!$F:$F, Estados_Cuenta_Mobil!$C:$C, A156, Estados_Cuenta_Mobil!$D:$D, B156)</f>
      </c>
      <c r="D156" s="15669">
        <f>SUMIFS(Captura_Obra!$F:$F, Captura_Obra!$M:$M, A156, Captura_Obra!$B:$B, B156)</f>
      </c>
      <c r="E156" s="15670">
        <f>IFERROR(SUMIFS(Captura_Facturas_Mobil!$G:$G, Captura_Facturas_Mobil!$N:$N, A156, Captura_Facturas_Mobil!$D:$D, B156) / SUMIFS(Captura_Facturas_Mobil!$E:$E, Captura_Facturas_Mobil!$N:$N, A156, Captura_Facturas_Mobil!$D:$D, B156), IFERROR(SUMIFS(Captura_Facturas_Mobil!$G:$G, Captura_Facturas_Mobil!$N:$N, A156)/SUMIFS(Captura_Facturas_Mobil!$E:$E, Captura_Facturas_Mobil!$N:$N, A156, Captura_Facturas_Mobil!$E:$E,"&gt;"&amp;0), 27))</f>
      </c>
      <c r="F156" s="15671">
        <f t="shared" si="16"/>
      </c>
      <c r="G156" s="15672">
        <f t="shared" si="17"/>
      </c>
      <c r="H156" s="15673">
        <f t="shared" si="18"/>
      </c>
    </row>
    <row r="157" spans="1:8">
      <c r="A157" s="15674">
        <v>24</v>
      </c>
      <c r="B157" t="s" s="15675">
        <v>115</v>
      </c>
      <c r="C157" s="15676">
        <f>SUMIFS(Estados_Cuenta_Mobil!$F:$F, Estados_Cuenta_Mobil!$C:$C, A157, Estados_Cuenta_Mobil!$D:$D, B157)</f>
      </c>
      <c r="D157" s="15677">
        <f>SUMIFS(Captura_Obra!$F:$F, Captura_Obra!$M:$M, A157, Captura_Obra!$B:$B, B157)</f>
      </c>
      <c r="E157" s="15678">
        <f>IFERROR(SUMIFS(Captura_Facturas_Mobil!$G:$G, Captura_Facturas_Mobil!$N:$N, A157, Captura_Facturas_Mobil!$D:$D, B157) / SUMIFS(Captura_Facturas_Mobil!$E:$E, Captura_Facturas_Mobil!$N:$N, A157, Captura_Facturas_Mobil!$D:$D, B157), IFERROR(SUMIFS(Captura_Facturas_Mobil!$G:$G, Captura_Facturas_Mobil!$N:$N, A157)/SUMIFS(Captura_Facturas_Mobil!$E:$E, Captura_Facturas_Mobil!$N:$N, A157, Captura_Facturas_Mobil!$E:$E,"&gt;"&amp;0), 27))</f>
      </c>
      <c r="F157" s="15679">
        <f t="shared" si="16"/>
      </c>
      <c r="G157" s="15680">
        <f t="shared" si="17"/>
      </c>
      <c r="H157" s="15681">
        <f t="shared" si="18"/>
      </c>
    </row>
    <row r="158" spans="1:8">
      <c r="A158" s="15682">
        <v>24</v>
      </c>
      <c r="B158" t="s" s="15683">
        <v>124</v>
      </c>
      <c r="C158" s="15684">
        <f>SUMIFS(Estados_Cuenta_Mobil!$F:$F, Estados_Cuenta_Mobil!$C:$C, A158, Estados_Cuenta_Mobil!$D:$D, B158)</f>
      </c>
      <c r="D158" s="15685">
        <f>SUMIFS(Captura_Obra!$F:$F, Captura_Obra!$M:$M, A158, Captura_Obra!$B:$B, B158)</f>
      </c>
      <c r="E158" s="15686">
        <f>IFERROR(SUMIFS(Captura_Facturas_Mobil!$G:$G, Captura_Facturas_Mobil!$N:$N, A158, Captura_Facturas_Mobil!$D:$D, B158) / SUMIFS(Captura_Facturas_Mobil!$E:$E, Captura_Facturas_Mobil!$N:$N, A158, Captura_Facturas_Mobil!$D:$D, B158), IFERROR(SUMIFS(Captura_Facturas_Mobil!$G:$G, Captura_Facturas_Mobil!$N:$N, A158)/SUMIFS(Captura_Facturas_Mobil!$E:$E, Captura_Facturas_Mobil!$N:$N, A158, Captura_Facturas_Mobil!$E:$E,"&gt;"&amp;0), 27))</f>
      </c>
      <c r="F158" s="15687">
        <f t="shared" si="16"/>
      </c>
      <c r="G158" s="15688">
        <f t="shared" si="17"/>
      </c>
      <c r="H158" s="15689">
        <f t="shared" si="18"/>
      </c>
    </row>
    <row r="159" spans="1:8">
      <c r="A159" s="15690">
        <v>24</v>
      </c>
      <c r="B159" t="s" s="15691">
        <v>159</v>
      </c>
      <c r="C159" s="15692">
        <f>SUMIFS(Estados_Cuenta_Mobil!$F:$F, Estados_Cuenta_Mobil!$C:$C, A159, Estados_Cuenta_Mobil!$D:$D, B159)</f>
      </c>
      <c r="D159" s="15693">
        <f>SUMIFS(Captura_Obra!$F:$F, Captura_Obra!$M:$M, A159, Captura_Obra!$B:$B, B159)</f>
      </c>
      <c r="E159" s="15694">
        <f>IFERROR(SUMIFS(Captura_Facturas_Mobil!$G:$G, Captura_Facturas_Mobil!$N:$N, A159, Captura_Facturas_Mobil!$D:$D, B159) / SUMIFS(Captura_Facturas_Mobil!$E:$E, Captura_Facturas_Mobil!$N:$N, A159, Captura_Facturas_Mobil!$D:$D, B159), IFERROR(SUMIFS(Captura_Facturas_Mobil!$G:$G, Captura_Facturas_Mobil!$N:$N, A159)/SUMIFS(Captura_Facturas_Mobil!$E:$E, Captura_Facturas_Mobil!$N:$N, A159, Captura_Facturas_Mobil!$E:$E,"&gt;"&amp;0), 27))</f>
      </c>
      <c r="F159" s="15695">
        <f t="shared" si="16"/>
      </c>
      <c r="G159" s="15696">
        <f t="shared" si="17"/>
      </c>
      <c r="H159" s="15697">
        <f t="shared" si="18"/>
      </c>
    </row>
    <row r="160" spans="1:8">
      <c r="A160" s="15698">
        <v>24</v>
      </c>
      <c r="B160" t="s" s="15699">
        <v>166</v>
      </c>
      <c r="C160" s="15700">
        <f>SUMIFS(Estados_Cuenta_Mobil!$F:$F, Estados_Cuenta_Mobil!$C:$C, A160, Estados_Cuenta_Mobil!$D:$D, B160)</f>
      </c>
      <c r="D160" s="15701">
        <f>SUMIFS(Captura_Obra!$F:$F, Captura_Obra!$M:$M, A160, Captura_Obra!$B:$B, B160)</f>
      </c>
      <c r="E160" s="15702">
        <f>IFERROR(SUMIFS(Captura_Facturas_Mobil!$G:$G, Captura_Facturas_Mobil!$N:$N, A160, Captura_Facturas_Mobil!$D:$D, B160) / SUMIFS(Captura_Facturas_Mobil!$E:$E, Captura_Facturas_Mobil!$N:$N, A160, Captura_Facturas_Mobil!$D:$D, B160), IFERROR(SUMIFS(Captura_Facturas_Mobil!$G:$G, Captura_Facturas_Mobil!$N:$N, A160)/SUMIFS(Captura_Facturas_Mobil!$E:$E, Captura_Facturas_Mobil!$N:$N, A160, Captura_Facturas_Mobil!$E:$E,"&gt;"&amp;0), 27))</f>
      </c>
      <c r="F160" s="15703">
        <f t="shared" si="16"/>
      </c>
      <c r="G160" s="15704">
        <f t="shared" si="17"/>
      </c>
      <c r="H160" s="15705">
        <f t="shared" si="18"/>
      </c>
    </row>
    <row r="161" spans="1:8">
      <c r="A161" s="15706">
        <v>24</v>
      </c>
      <c r="B161" t="s" s="15707">
        <v>478</v>
      </c>
      <c r="C161" s="15708">
        <f>SUMIFS(Estados_Cuenta_Mobil!$F:$F, Estados_Cuenta_Mobil!$C:$C, A161, Estados_Cuenta_Mobil!$D:$D, B161)</f>
      </c>
      <c r="D161" s="15709">
        <f>SUMIFS(Captura_Obra!$F:$F, Captura_Obra!$M:$M, A161, Captura_Obra!$B:$B, B161)</f>
      </c>
      <c r="E161" s="15710">
        <f>IFERROR(SUMIFS(Captura_Facturas_Mobil!$G:$G, Captura_Facturas_Mobil!$N:$N, A161, Captura_Facturas_Mobil!$D:$D, B161) / SUMIFS(Captura_Facturas_Mobil!$E:$E, Captura_Facturas_Mobil!$N:$N, A161, Captura_Facturas_Mobil!$D:$D, B161), IFERROR(SUMIFS(Captura_Facturas_Mobil!$G:$G, Captura_Facturas_Mobil!$N:$N, A161)/SUMIFS(Captura_Facturas_Mobil!$E:$E, Captura_Facturas_Mobil!$N:$N, A161, Captura_Facturas_Mobil!$E:$E,"&gt;"&amp;0), 27))</f>
      </c>
      <c r="F161" s="15711">
        <f t="shared" si="16"/>
      </c>
      <c r="G161" s="15712">
        <f t="shared" si="17"/>
      </c>
      <c r="H161" s="15713">
        <f t="shared" si="18"/>
      </c>
    </row>
    <row r="162" spans="1:8">
      <c r="A162" s="15714">
        <v>24</v>
      </c>
      <c r="B162" t="s" s="15715">
        <v>735</v>
      </c>
      <c r="C162" s="15716">
        <f>SUMIFS(Estados_Cuenta_Mobil!$F:$F, Estados_Cuenta_Mobil!$C:$C, A162, Estados_Cuenta_Mobil!$D:$D, B162)</f>
      </c>
      <c r="D162" s="15717">
        <f>SUMIFS(Captura_Obra!$F:$F, Captura_Obra!$M:$M, A162, Captura_Obra!$B:$B, B162)</f>
      </c>
      <c r="E162" s="15718">
        <f>IFERROR(SUMIFS(Captura_Facturas_Mobil!$G:$G, Captura_Facturas_Mobil!$N:$N, A162, Captura_Facturas_Mobil!$D:$D, B162) / SUMIFS(Captura_Facturas_Mobil!$E:$E, Captura_Facturas_Mobil!$N:$N, A162, Captura_Facturas_Mobil!$D:$D, B162), IFERROR(SUMIFS(Captura_Facturas_Mobil!$G:$G, Captura_Facturas_Mobil!$N:$N, A162)/SUMIFS(Captura_Facturas_Mobil!$E:$E, Captura_Facturas_Mobil!$N:$N, A162, Captura_Facturas_Mobil!$E:$E,"&gt;"&amp;0), 27))</f>
      </c>
      <c r="F162" s="15719">
        <f t="shared" si="16"/>
      </c>
      <c r="G162" s="15720">
        <f t="shared" si="17"/>
      </c>
      <c r="H162" s="15721">
        <f t="shared" si="18"/>
      </c>
    </row>
    <row r="163" spans="1:8">
      <c r="A163" s="15722">
        <v>25</v>
      </c>
      <c r="B163" t="s" s="15723">
        <v>1</v>
      </c>
      <c r="C163" s="15724">
        <f>SUMIFS(Estados_Cuenta_Mobil!$F:$F, Estados_Cuenta_Mobil!$C:$C, A163, Estados_Cuenta_Mobil!$D:$D, B163)</f>
      </c>
      <c r="D163" s="15725">
        <f>SUMIFS(Captura_Obra!$F:$F, Captura_Obra!$M:$M, A163, Captura_Obra!$B:$B, B163)</f>
      </c>
      <c r="E163" s="15726">
        <f>IFERROR(SUMIFS(Captura_Facturas_Mobil!$G:$G, Captura_Facturas_Mobil!$N:$N, A163, Captura_Facturas_Mobil!$D:$D, B163) / SUMIFS(Captura_Facturas_Mobil!$E:$E, Captura_Facturas_Mobil!$N:$N, A163, Captura_Facturas_Mobil!$D:$D, B163), IFERROR(SUMIFS(Captura_Facturas_Mobil!$G:$G, Captura_Facturas_Mobil!$N:$N, A163)/SUMIFS(Captura_Facturas_Mobil!$E:$E, Captura_Facturas_Mobil!$N:$N, A163, Captura_Facturas_Mobil!$E:$E,"&gt;"&amp;0), 27))</f>
      </c>
      <c r="F163" s="15727">
        <f t="shared" si="16"/>
      </c>
      <c r="G163" s="15728">
        <f t="shared" si="17"/>
      </c>
      <c r="H163" s="15729">
        <f t="shared" si="18"/>
      </c>
    </row>
    <row r="164" spans="1:8">
      <c r="A164" s="15730">
        <v>25</v>
      </c>
      <c r="B164" t="s" s="15731">
        <v>2</v>
      </c>
      <c r="C164" s="15732">
        <f>SUMIFS(Estados_Cuenta_Mobil!$F:$F, Estados_Cuenta_Mobil!$C:$C, A164, Estados_Cuenta_Mobil!$D:$D, B164)</f>
      </c>
      <c r="D164" s="15733">
        <f>SUMIFS(Captura_Obra!$F:$F, Captura_Obra!$M:$M, A164, Captura_Obra!$B:$B, B164)</f>
      </c>
      <c r="E164" s="15734">
        <f>IFERROR(SUMIFS(Captura_Facturas_Mobil!$G:$G, Captura_Facturas_Mobil!$N:$N, A164, Captura_Facturas_Mobil!$D:$D, B164) / SUMIFS(Captura_Facturas_Mobil!$E:$E, Captura_Facturas_Mobil!$N:$N, A164, Captura_Facturas_Mobil!$D:$D, B164), IFERROR(SUMIFS(Captura_Facturas_Mobil!$G:$G, Captura_Facturas_Mobil!$N:$N, A164)/SUMIFS(Captura_Facturas_Mobil!$E:$E, Captura_Facturas_Mobil!$N:$N, A164, Captura_Facturas_Mobil!$E:$E,"&gt;"&amp;0), 27))</f>
      </c>
      <c r="F164" s="15735">
        <f t="shared" si="16"/>
      </c>
      <c r="G164" s="15736">
        <f t="shared" si="17"/>
      </c>
      <c r="H164" s="15737">
        <f t="shared" si="18"/>
      </c>
    </row>
    <row r="165" spans="1:8">
      <c r="A165" s="15738">
        <v>25</v>
      </c>
      <c r="B165" t="s" s="15739">
        <v>3</v>
      </c>
      <c r="C165" s="15740">
        <f>SUMIFS(Estados_Cuenta_Mobil!$F:$F, Estados_Cuenta_Mobil!$C:$C, A165, Estados_Cuenta_Mobil!$D:$D, B165)</f>
      </c>
      <c r="D165" s="15741">
        <f>SUMIFS(Captura_Obra!$F:$F, Captura_Obra!$M:$M, A165, Captura_Obra!$B:$B, B165)</f>
      </c>
      <c r="E165" s="15742">
        <f>IFERROR(SUMIFS(Captura_Facturas_Mobil!$G:$G, Captura_Facturas_Mobil!$N:$N, A165, Captura_Facturas_Mobil!$D:$D, B165) / SUMIFS(Captura_Facturas_Mobil!$E:$E, Captura_Facturas_Mobil!$N:$N, A165, Captura_Facturas_Mobil!$D:$D, B165), IFERROR(SUMIFS(Captura_Facturas_Mobil!$G:$G, Captura_Facturas_Mobil!$N:$N, A165)/SUMIFS(Captura_Facturas_Mobil!$E:$E, Captura_Facturas_Mobil!$N:$N, A165, Captura_Facturas_Mobil!$E:$E,"&gt;"&amp;0), 27))</f>
      </c>
      <c r="F165" s="15743">
        <f t="shared" si="16"/>
      </c>
      <c r="G165" s="15744">
        <f t="shared" si="17"/>
      </c>
      <c r="H165" s="15745">
        <f t="shared" si="18"/>
      </c>
    </row>
    <row r="166" spans="1:8">
      <c r="A166" s="15746">
        <v>25</v>
      </c>
      <c r="B166" t="s" s="15747">
        <v>111</v>
      </c>
      <c r="C166" s="15748">
        <f>SUMIFS(Estados_Cuenta_Mobil!$F:$F, Estados_Cuenta_Mobil!$C:$C, A166, Estados_Cuenta_Mobil!$D:$D, B166)</f>
      </c>
      <c r="D166" s="15749">
        <f>SUMIFS(Captura_Obra!$F:$F, Captura_Obra!$M:$M, A166, Captura_Obra!$B:$B, B166)</f>
      </c>
      <c r="E166" s="15750">
        <f>IFERROR(SUMIFS(Captura_Facturas_Mobil!$G:$G, Captura_Facturas_Mobil!$N:$N, A166, Captura_Facturas_Mobil!$D:$D, B166) / SUMIFS(Captura_Facturas_Mobil!$E:$E, Captura_Facturas_Mobil!$N:$N, A166, Captura_Facturas_Mobil!$D:$D, B166), IFERROR(SUMIFS(Captura_Facturas_Mobil!$G:$G, Captura_Facturas_Mobil!$N:$N, A166)/SUMIFS(Captura_Facturas_Mobil!$E:$E, Captura_Facturas_Mobil!$N:$N, A166, Captura_Facturas_Mobil!$E:$E,"&gt;"&amp;0), 27))</f>
      </c>
      <c r="F166" s="15751">
        <f t="shared" si="16"/>
      </c>
      <c r="G166" s="15752">
        <f t="shared" si="17"/>
      </c>
      <c r="H166" s="15753">
        <f t="shared" si="18"/>
      </c>
    </row>
    <row r="167" spans="1:8">
      <c r="A167" s="15754">
        <v>25</v>
      </c>
      <c r="B167" t="s" s="15755">
        <v>115</v>
      </c>
      <c r="C167" s="15756">
        <f>SUMIFS(Estados_Cuenta_Mobil!$F:$F, Estados_Cuenta_Mobil!$C:$C, A167, Estados_Cuenta_Mobil!$D:$D, B167)</f>
      </c>
      <c r="D167" s="15757">
        <f>SUMIFS(Captura_Obra!$F:$F, Captura_Obra!$M:$M, A167, Captura_Obra!$B:$B, B167)</f>
      </c>
      <c r="E167" s="15758">
        <f>IFERROR(SUMIFS(Captura_Facturas_Mobil!$G:$G, Captura_Facturas_Mobil!$N:$N, A167, Captura_Facturas_Mobil!$D:$D, B167) / SUMIFS(Captura_Facturas_Mobil!$E:$E, Captura_Facturas_Mobil!$N:$N, A167, Captura_Facturas_Mobil!$D:$D, B167), IFERROR(SUMIFS(Captura_Facturas_Mobil!$G:$G, Captura_Facturas_Mobil!$N:$N, A167)/SUMIFS(Captura_Facturas_Mobil!$E:$E, Captura_Facturas_Mobil!$N:$N, A167, Captura_Facturas_Mobil!$E:$E,"&gt;"&amp;0), 27))</f>
      </c>
      <c r="F167" s="15759">
        <f t="shared" si="16"/>
      </c>
      <c r="G167" s="15760">
        <f t="shared" si="17"/>
      </c>
      <c r="H167" s="15761">
        <f t="shared" si="18"/>
      </c>
    </row>
    <row r="168" spans="1:8">
      <c r="A168" s="15762">
        <v>25</v>
      </c>
      <c r="B168" t="s" s="15763">
        <v>124</v>
      </c>
      <c r="C168" s="15764">
        <f>SUMIFS(Estados_Cuenta_Mobil!$F:$F, Estados_Cuenta_Mobil!$C:$C, A168, Estados_Cuenta_Mobil!$D:$D, B168)</f>
      </c>
      <c r="D168" s="15765">
        <f>SUMIFS(Captura_Obra!$F:$F, Captura_Obra!$M:$M, A168, Captura_Obra!$B:$B, B168)</f>
      </c>
      <c r="E168" s="15766">
        <f>IFERROR(SUMIFS(Captura_Facturas_Mobil!$G:$G, Captura_Facturas_Mobil!$N:$N, A168, Captura_Facturas_Mobil!$D:$D, B168) / SUMIFS(Captura_Facturas_Mobil!$E:$E, Captura_Facturas_Mobil!$N:$N, A168, Captura_Facturas_Mobil!$D:$D, B168), IFERROR(SUMIFS(Captura_Facturas_Mobil!$G:$G, Captura_Facturas_Mobil!$N:$N, A168)/SUMIFS(Captura_Facturas_Mobil!$E:$E, Captura_Facturas_Mobil!$N:$N, A168, Captura_Facturas_Mobil!$E:$E,"&gt;"&amp;0), 27))</f>
      </c>
      <c r="F168" s="15767">
        <f t="shared" si="16"/>
      </c>
      <c r="G168" s="15768">
        <f t="shared" si="17"/>
      </c>
      <c r="H168" s="15769">
        <f t="shared" si="18"/>
      </c>
    </row>
    <row r="169" spans="1:8">
      <c r="A169" s="15770">
        <v>25</v>
      </c>
      <c r="B169" t="s" s="15771">
        <v>159</v>
      </c>
      <c r="C169" s="15772">
        <f>SUMIFS(Estados_Cuenta_Mobil!$F:$F, Estados_Cuenta_Mobil!$C:$C, A169, Estados_Cuenta_Mobil!$D:$D, B169)</f>
      </c>
      <c r="D169" s="15773">
        <f>SUMIFS(Captura_Obra!$F:$F, Captura_Obra!$M:$M, A169, Captura_Obra!$B:$B, B169)</f>
      </c>
      <c r="E169" s="15774">
        <f>IFERROR(SUMIFS(Captura_Facturas_Mobil!$G:$G, Captura_Facturas_Mobil!$N:$N, A169, Captura_Facturas_Mobil!$D:$D, B169) / SUMIFS(Captura_Facturas_Mobil!$E:$E, Captura_Facturas_Mobil!$N:$N, A169, Captura_Facturas_Mobil!$D:$D, B169), IFERROR(SUMIFS(Captura_Facturas_Mobil!$G:$G, Captura_Facturas_Mobil!$N:$N, A169)/SUMIFS(Captura_Facturas_Mobil!$E:$E, Captura_Facturas_Mobil!$N:$N, A169, Captura_Facturas_Mobil!$E:$E,"&gt;"&amp;0), 27))</f>
      </c>
      <c r="F169" s="15775">
        <f t="shared" si="16"/>
      </c>
      <c r="G169" s="15776">
        <f t="shared" si="17"/>
      </c>
      <c r="H169" s="15777">
        <f t="shared" si="18"/>
      </c>
    </row>
    <row r="170" spans="1:8">
      <c r="A170" s="15778">
        <v>25</v>
      </c>
      <c r="B170" t="s" s="15779">
        <v>166</v>
      </c>
      <c r="C170" s="15780">
        <f>SUMIFS(Estados_Cuenta_Mobil!$F:$F, Estados_Cuenta_Mobil!$C:$C, A170, Estados_Cuenta_Mobil!$D:$D, B170)</f>
      </c>
      <c r="D170" s="15781">
        <f>SUMIFS(Captura_Obra!$F:$F, Captura_Obra!$M:$M, A170, Captura_Obra!$B:$B, B170)</f>
      </c>
      <c r="E170" s="15782">
        <f>IFERROR(SUMIFS(Captura_Facturas_Mobil!$G:$G, Captura_Facturas_Mobil!$N:$N, A170, Captura_Facturas_Mobil!$D:$D, B170) / SUMIFS(Captura_Facturas_Mobil!$E:$E, Captura_Facturas_Mobil!$N:$N, A170, Captura_Facturas_Mobil!$D:$D, B170), IFERROR(SUMIFS(Captura_Facturas_Mobil!$G:$G, Captura_Facturas_Mobil!$N:$N, A170)/SUMIFS(Captura_Facturas_Mobil!$E:$E, Captura_Facturas_Mobil!$N:$N, A170, Captura_Facturas_Mobil!$E:$E,"&gt;"&amp;0), 27))</f>
      </c>
      <c r="F170" s="15783">
        <f t="shared" si="16"/>
      </c>
      <c r="G170" s="15784">
        <f t="shared" si="17"/>
      </c>
      <c r="H170" s="15785">
        <f t="shared" si="18"/>
      </c>
    </row>
    <row r="171" spans="1:8">
      <c r="A171" s="15786">
        <v>25</v>
      </c>
      <c r="B171" t="s" s="15787">
        <v>478</v>
      </c>
      <c r="C171" s="15788">
        <f>SUMIFS(Estados_Cuenta_Mobil!$F:$F, Estados_Cuenta_Mobil!$C:$C, A171, Estados_Cuenta_Mobil!$D:$D, B171)</f>
      </c>
      <c r="D171" s="15789">
        <f>SUMIFS(Captura_Obra!$F:$F, Captura_Obra!$M:$M, A171, Captura_Obra!$B:$B, B171)</f>
      </c>
      <c r="E171" s="15790">
        <f>IFERROR(SUMIFS(Captura_Facturas_Mobil!$G:$G, Captura_Facturas_Mobil!$N:$N, A171, Captura_Facturas_Mobil!$D:$D, B171) / SUMIFS(Captura_Facturas_Mobil!$E:$E, Captura_Facturas_Mobil!$N:$N, A171, Captura_Facturas_Mobil!$D:$D, B171), IFERROR(SUMIFS(Captura_Facturas_Mobil!$G:$G, Captura_Facturas_Mobil!$N:$N, A171)/SUMIFS(Captura_Facturas_Mobil!$E:$E, Captura_Facturas_Mobil!$N:$N, A171, Captura_Facturas_Mobil!$E:$E,"&gt;"&amp;0), 27))</f>
      </c>
      <c r="F171" s="15791">
        <f t="shared" si="16"/>
      </c>
      <c r="G171" s="15792">
        <f t="shared" si="17"/>
      </c>
      <c r="H171" s="15793">
        <f t="shared" si="18"/>
      </c>
    </row>
    <row r="172" spans="1:8">
      <c r="A172" s="15794">
        <v>25</v>
      </c>
      <c r="B172" t="s" s="15795">
        <v>735</v>
      </c>
      <c r="C172" s="15796">
        <f>SUMIFS(Estados_Cuenta_Mobil!$F:$F, Estados_Cuenta_Mobil!$C:$C, A172, Estados_Cuenta_Mobil!$D:$D, B172)</f>
      </c>
      <c r="D172" s="15797">
        <f>SUMIFS(Captura_Obra!$F:$F, Captura_Obra!$M:$M, A172, Captura_Obra!$B:$B, B172)</f>
      </c>
      <c r="E172" s="15798">
        <f>IFERROR(SUMIFS(Captura_Facturas_Mobil!$G:$G, Captura_Facturas_Mobil!$N:$N, A172, Captura_Facturas_Mobil!$D:$D, B172) / SUMIFS(Captura_Facturas_Mobil!$E:$E, Captura_Facturas_Mobil!$N:$N, A172, Captura_Facturas_Mobil!$D:$D, B172), IFERROR(SUMIFS(Captura_Facturas_Mobil!$G:$G, Captura_Facturas_Mobil!$N:$N, A172)/SUMIFS(Captura_Facturas_Mobil!$E:$E, Captura_Facturas_Mobil!$N:$N, A172, Captura_Facturas_Mobil!$E:$E,"&gt;"&amp;0), 27))</f>
      </c>
      <c r="F172" s="15799">
        <f t="shared" si="16"/>
      </c>
      <c r="G172" s="15800">
        <f t="shared" si="17"/>
      </c>
      <c r="H172" s="15801">
        <f t="shared" si="18"/>
      </c>
    </row>
    <row r="173" spans="1:8">
      <c r="A173" s="15802">
        <v>26</v>
      </c>
      <c r="B173" t="s" s="15803">
        <v>1</v>
      </c>
      <c r="C173" s="15804">
        <f>SUMIFS(Estados_Cuenta_Mobil!$F:$F, Estados_Cuenta_Mobil!$C:$C, A173, Estados_Cuenta_Mobil!$D:$D, B173)</f>
      </c>
      <c r="D173" s="15805">
        <f>SUMIFS(Captura_Obra!$F:$F, Captura_Obra!$M:$M, A173, Captura_Obra!$B:$B, B173)</f>
      </c>
      <c r="E173" s="15806">
        <f>IFERROR(SUMIFS(Captura_Facturas_Mobil!$G:$G, Captura_Facturas_Mobil!$N:$N, A173, Captura_Facturas_Mobil!$D:$D, B173) / SUMIFS(Captura_Facturas_Mobil!$E:$E, Captura_Facturas_Mobil!$N:$N, A173, Captura_Facturas_Mobil!$D:$D, B173), IFERROR(SUMIFS(Captura_Facturas_Mobil!$G:$G, Captura_Facturas_Mobil!$N:$N, A173)/SUMIFS(Captura_Facturas_Mobil!$E:$E, Captura_Facturas_Mobil!$N:$N, A173, Captura_Facturas_Mobil!$E:$E,"&gt;"&amp;0), 27))</f>
      </c>
      <c r="F173" s="15807">
        <f t="shared" si="16"/>
      </c>
      <c r="G173" s="15808">
        <f t="shared" si="17"/>
      </c>
      <c r="H173" s="15809">
        <f t="shared" si="18"/>
      </c>
    </row>
    <row r="174" spans="1:8">
      <c r="A174" s="15810">
        <v>26</v>
      </c>
      <c r="B174" t="s" s="15811">
        <v>2</v>
      </c>
      <c r="C174" s="15812">
        <f>SUMIFS(Estados_Cuenta_Mobil!$F:$F, Estados_Cuenta_Mobil!$C:$C, A174, Estados_Cuenta_Mobil!$D:$D, B174)</f>
      </c>
      <c r="D174" s="15813">
        <f>SUMIFS(Captura_Obra!$F:$F, Captura_Obra!$M:$M, A174, Captura_Obra!$B:$B, B174)</f>
      </c>
      <c r="E174" s="15814">
        <f>IFERROR(SUMIFS(Captura_Facturas_Mobil!$G:$G, Captura_Facturas_Mobil!$N:$N, A174, Captura_Facturas_Mobil!$D:$D, B174) / SUMIFS(Captura_Facturas_Mobil!$E:$E, Captura_Facturas_Mobil!$N:$N, A174, Captura_Facturas_Mobil!$D:$D, B174), IFERROR(SUMIFS(Captura_Facturas_Mobil!$G:$G, Captura_Facturas_Mobil!$N:$N, A174)/SUMIFS(Captura_Facturas_Mobil!$E:$E, Captura_Facturas_Mobil!$N:$N, A174, Captura_Facturas_Mobil!$E:$E,"&gt;"&amp;0), 27))</f>
      </c>
      <c r="F174" s="15815">
        <f t="shared" si="16"/>
      </c>
      <c r="G174" s="15816">
        <f t="shared" si="17"/>
      </c>
      <c r="H174" s="15817">
        <f t="shared" si="18"/>
      </c>
    </row>
    <row r="175" spans="1:8">
      <c r="A175" s="15818">
        <v>26</v>
      </c>
      <c r="B175" t="s" s="15819">
        <v>3</v>
      </c>
      <c r="C175" s="15820">
        <f>SUMIFS(Estados_Cuenta_Mobil!$F:$F, Estados_Cuenta_Mobil!$C:$C, A175, Estados_Cuenta_Mobil!$D:$D, B175)</f>
      </c>
      <c r="D175" s="15821">
        <f>SUMIFS(Captura_Obra!$F:$F, Captura_Obra!$M:$M, A175, Captura_Obra!$B:$B, B175)</f>
      </c>
      <c r="E175" s="15822">
        <f>IFERROR(SUMIFS(Captura_Facturas_Mobil!$G:$G, Captura_Facturas_Mobil!$N:$N, A175, Captura_Facturas_Mobil!$D:$D, B175) / SUMIFS(Captura_Facturas_Mobil!$E:$E, Captura_Facturas_Mobil!$N:$N, A175, Captura_Facturas_Mobil!$D:$D, B175), IFERROR(SUMIFS(Captura_Facturas_Mobil!$G:$G, Captura_Facturas_Mobil!$N:$N, A175)/SUMIFS(Captura_Facturas_Mobil!$E:$E, Captura_Facturas_Mobil!$N:$N, A175, Captura_Facturas_Mobil!$E:$E,"&gt;"&amp;0), 27))</f>
      </c>
      <c r="F175" s="15823">
        <f t="shared" si="16"/>
      </c>
      <c r="G175" s="15824">
        <f t="shared" si="17"/>
      </c>
      <c r="H175" s="15825">
        <f t="shared" si="18"/>
      </c>
    </row>
    <row r="176" spans="1:8">
      <c r="A176" s="15826">
        <v>26</v>
      </c>
      <c r="B176" t="s" s="15827">
        <v>111</v>
      </c>
      <c r="C176" s="15828">
        <f>SUMIFS(Estados_Cuenta_Mobil!$F:$F, Estados_Cuenta_Mobil!$C:$C, A176, Estados_Cuenta_Mobil!$D:$D, B176)</f>
      </c>
      <c r="D176" s="15829">
        <f>SUMIFS(Captura_Obra!$F:$F, Captura_Obra!$M:$M, A176, Captura_Obra!$B:$B, B176)</f>
      </c>
      <c r="E176" s="15830">
        <f>IFERROR(SUMIFS(Captura_Facturas_Mobil!$G:$G, Captura_Facturas_Mobil!$N:$N, A176, Captura_Facturas_Mobil!$D:$D, B176) / SUMIFS(Captura_Facturas_Mobil!$E:$E, Captura_Facturas_Mobil!$N:$N, A176, Captura_Facturas_Mobil!$D:$D, B176), IFERROR(SUMIFS(Captura_Facturas_Mobil!$G:$G, Captura_Facturas_Mobil!$N:$N, A176)/SUMIFS(Captura_Facturas_Mobil!$E:$E, Captura_Facturas_Mobil!$N:$N, A176, Captura_Facturas_Mobil!$E:$E,"&gt;"&amp;0), 27))</f>
      </c>
      <c r="F176" s="15831">
        <f t="shared" si="16"/>
      </c>
      <c r="G176" s="15832">
        <f t="shared" si="17"/>
      </c>
      <c r="H176" s="15833">
        <f t="shared" si="18"/>
      </c>
    </row>
    <row r="177" spans="1:8">
      <c r="A177" s="15834">
        <v>26</v>
      </c>
      <c r="B177" t="s" s="15835">
        <v>115</v>
      </c>
      <c r="C177" s="15836">
        <f>SUMIFS(Estados_Cuenta_Mobil!$F:$F, Estados_Cuenta_Mobil!$C:$C, A177, Estados_Cuenta_Mobil!$D:$D, B177)</f>
      </c>
      <c r="D177" s="15837">
        <f>SUMIFS(Captura_Obra!$F:$F, Captura_Obra!$M:$M, A177, Captura_Obra!$B:$B, B177)</f>
      </c>
      <c r="E177" s="15838">
        <f>IFERROR(SUMIFS(Captura_Facturas_Mobil!$G:$G, Captura_Facturas_Mobil!$N:$N, A177, Captura_Facturas_Mobil!$D:$D, B177) / SUMIFS(Captura_Facturas_Mobil!$E:$E, Captura_Facturas_Mobil!$N:$N, A177, Captura_Facturas_Mobil!$D:$D, B177), IFERROR(SUMIFS(Captura_Facturas_Mobil!$G:$G, Captura_Facturas_Mobil!$N:$N, A177)/SUMIFS(Captura_Facturas_Mobil!$E:$E, Captura_Facturas_Mobil!$N:$N, A177, Captura_Facturas_Mobil!$E:$E,"&gt;"&amp;0), 27))</f>
      </c>
      <c r="F177" s="15839">
        <f t="shared" si="16"/>
      </c>
      <c r="G177" s="15840">
        <f t="shared" si="17"/>
      </c>
      <c r="H177" s="15841">
        <f t="shared" si="18"/>
      </c>
    </row>
    <row r="178" spans="1:8">
      <c r="A178" s="15842">
        <v>26</v>
      </c>
      <c r="B178" t="s" s="15843">
        <v>124</v>
      </c>
      <c r="C178" s="15844">
        <f>SUMIFS(Estados_Cuenta_Mobil!$F:$F, Estados_Cuenta_Mobil!$C:$C, A178, Estados_Cuenta_Mobil!$D:$D, B178)</f>
      </c>
      <c r="D178" s="15845">
        <f>SUMIFS(Captura_Obra!$F:$F, Captura_Obra!$M:$M, A178, Captura_Obra!$B:$B, B178)</f>
      </c>
      <c r="E178" s="15846">
        <f>IFERROR(SUMIFS(Captura_Facturas_Mobil!$G:$G, Captura_Facturas_Mobil!$N:$N, A178, Captura_Facturas_Mobil!$D:$D, B178) / SUMIFS(Captura_Facturas_Mobil!$E:$E, Captura_Facturas_Mobil!$N:$N, A178, Captura_Facturas_Mobil!$D:$D, B178), IFERROR(SUMIFS(Captura_Facturas_Mobil!$G:$G, Captura_Facturas_Mobil!$N:$N, A178)/SUMIFS(Captura_Facturas_Mobil!$E:$E, Captura_Facturas_Mobil!$N:$N, A178, Captura_Facturas_Mobil!$E:$E,"&gt;"&amp;0), 27))</f>
      </c>
      <c r="F178" s="15847">
        <f t="shared" si="16"/>
      </c>
      <c r="G178" s="15848">
        <f t="shared" si="17"/>
      </c>
      <c r="H178" s="15849">
        <f t="shared" si="18"/>
      </c>
    </row>
    <row r="179" spans="1:8">
      <c r="A179" s="15850">
        <v>26</v>
      </c>
      <c r="B179" t="s" s="15851">
        <v>159</v>
      </c>
      <c r="C179" s="15852">
        <f>SUMIFS(Estados_Cuenta_Mobil!$F:$F, Estados_Cuenta_Mobil!$C:$C, A179, Estados_Cuenta_Mobil!$D:$D, B179)</f>
      </c>
      <c r="D179" s="15853">
        <f>SUMIFS(Captura_Obra!$F:$F, Captura_Obra!$M:$M, A179, Captura_Obra!$B:$B, B179)</f>
      </c>
      <c r="E179" s="15854">
        <f>IFERROR(SUMIFS(Captura_Facturas_Mobil!$G:$G, Captura_Facturas_Mobil!$N:$N, A179, Captura_Facturas_Mobil!$D:$D, B179) / SUMIFS(Captura_Facturas_Mobil!$E:$E, Captura_Facturas_Mobil!$N:$N, A179, Captura_Facturas_Mobil!$D:$D, B179), IFERROR(SUMIFS(Captura_Facturas_Mobil!$G:$G, Captura_Facturas_Mobil!$N:$N, A179)/SUMIFS(Captura_Facturas_Mobil!$E:$E, Captura_Facturas_Mobil!$N:$N, A179, Captura_Facturas_Mobil!$E:$E,"&gt;"&amp;0), 27))</f>
      </c>
      <c r="F179" s="15855">
        <f t="shared" si="16"/>
      </c>
      <c r="G179" s="15856">
        <f t="shared" si="17"/>
      </c>
      <c r="H179" s="15857">
        <f t="shared" si="18"/>
      </c>
    </row>
    <row r="180" spans="1:8">
      <c r="A180" s="15858">
        <v>26</v>
      </c>
      <c r="B180" t="s" s="15859">
        <v>166</v>
      </c>
      <c r="C180" s="15860">
        <f>SUMIFS(Estados_Cuenta_Mobil!$F:$F, Estados_Cuenta_Mobil!$C:$C, A180, Estados_Cuenta_Mobil!$D:$D, B180)</f>
      </c>
      <c r="D180" s="15861">
        <f>SUMIFS(Captura_Obra!$F:$F, Captura_Obra!$M:$M, A180, Captura_Obra!$B:$B, B180)</f>
      </c>
      <c r="E180" s="15862">
        <f>IFERROR(SUMIFS(Captura_Facturas_Mobil!$G:$G, Captura_Facturas_Mobil!$N:$N, A180, Captura_Facturas_Mobil!$D:$D, B180) / SUMIFS(Captura_Facturas_Mobil!$E:$E, Captura_Facturas_Mobil!$N:$N, A180, Captura_Facturas_Mobil!$D:$D, B180), IFERROR(SUMIFS(Captura_Facturas_Mobil!$G:$G, Captura_Facturas_Mobil!$N:$N, A180)/SUMIFS(Captura_Facturas_Mobil!$E:$E, Captura_Facturas_Mobil!$N:$N, A180, Captura_Facturas_Mobil!$E:$E,"&gt;"&amp;0), 27))</f>
      </c>
      <c r="F180" s="15863">
        <f t="shared" si="16"/>
      </c>
      <c r="G180" s="15864">
        <f t="shared" si="17"/>
      </c>
      <c r="H180" s="15865">
        <f t="shared" si="18"/>
      </c>
    </row>
    <row r="181" spans="1:8">
      <c r="A181" s="15866">
        <v>26</v>
      </c>
      <c r="B181" t="s" s="15867">
        <v>478</v>
      </c>
      <c r="C181" s="15868">
        <f>SUMIFS(Estados_Cuenta_Mobil!$F:$F, Estados_Cuenta_Mobil!$C:$C, A181, Estados_Cuenta_Mobil!$D:$D, B181)</f>
      </c>
      <c r="D181" s="15869">
        <f>SUMIFS(Captura_Obra!$F:$F, Captura_Obra!$M:$M, A181, Captura_Obra!$B:$B, B181)</f>
      </c>
      <c r="E181" s="15870">
        <f>IFERROR(SUMIFS(Captura_Facturas_Mobil!$G:$G, Captura_Facturas_Mobil!$N:$N, A181, Captura_Facturas_Mobil!$D:$D, B181) / SUMIFS(Captura_Facturas_Mobil!$E:$E, Captura_Facturas_Mobil!$N:$N, A181, Captura_Facturas_Mobil!$D:$D, B181), IFERROR(SUMIFS(Captura_Facturas_Mobil!$G:$G, Captura_Facturas_Mobil!$N:$N, A181)/SUMIFS(Captura_Facturas_Mobil!$E:$E, Captura_Facturas_Mobil!$N:$N, A181, Captura_Facturas_Mobil!$E:$E,"&gt;"&amp;0), 27))</f>
      </c>
      <c r="F181" s="15871">
        <f t="shared" si="16"/>
      </c>
      <c r="G181" s="15872">
        <f t="shared" si="17"/>
      </c>
      <c r="H181" s="15873">
        <f t="shared" si="18"/>
      </c>
    </row>
    <row r="182" spans="1:8">
      <c r="A182" s="15874">
        <v>26</v>
      </c>
      <c r="B182" t="s" s="15875">
        <v>735</v>
      </c>
      <c r="C182" s="15876">
        <f>SUMIFS(Estados_Cuenta_Mobil!$F:$F, Estados_Cuenta_Mobil!$C:$C, A182, Estados_Cuenta_Mobil!$D:$D, B182)</f>
      </c>
      <c r="D182" s="15877">
        <f>SUMIFS(Captura_Obra!$F:$F, Captura_Obra!$M:$M, A182, Captura_Obra!$B:$B, B182)</f>
      </c>
      <c r="E182" s="15878">
        <f>IFERROR(SUMIFS(Captura_Facturas_Mobil!$G:$G, Captura_Facturas_Mobil!$N:$N, A182, Captura_Facturas_Mobil!$D:$D, B182) / SUMIFS(Captura_Facturas_Mobil!$E:$E, Captura_Facturas_Mobil!$N:$N, A182, Captura_Facturas_Mobil!$D:$D, B182), IFERROR(SUMIFS(Captura_Facturas_Mobil!$G:$G, Captura_Facturas_Mobil!$N:$N, A182)/SUMIFS(Captura_Facturas_Mobil!$E:$E, Captura_Facturas_Mobil!$N:$N, A182, Captura_Facturas_Mobil!$E:$E,"&gt;"&amp;0), 27))</f>
      </c>
      <c r="F182" s="15879">
        <f t="shared" si="16"/>
      </c>
      <c r="G182" s="15880">
        <f t="shared" si="17"/>
      </c>
      <c r="H182" s="15881">
        <f t="shared" si="18"/>
      </c>
    </row>
    <row r="183" spans="1:8">
      <c r="A183" t="s" s="15882">
        <v>174</v>
      </c>
      <c r="B183" s="15883"/>
      <c r="C183" s="15884">
        <f>SUBTOTAL(9, C123:C182)</f>
      </c>
      <c r="D183" s="15885">
        <f>SUBTOTAL(9, D123:D182)</f>
      </c>
      <c r="E183" s="15886"/>
      <c r="F183" s="15887">
        <f>SUBTOTAL(9, F123:F182)</f>
      </c>
      <c r="G183" s="15888">
        <f>SUBTOTAL(9, G123:G182)</f>
      </c>
      <c r="H183" s="15889"/>
    </row>
    <row r="184" spans="1:8" ht="14.4">
      <c r="A184" t="s" s="25239">
        <v>741</v>
      </c>
      <c r="B184" s="25170"/>
      <c r="C184" s="25170"/>
      <c r="D184" s="25170"/>
      <c r="E184" s="25170"/>
      <c r="F184" s="25170"/>
      <c r="G184" s="25170"/>
      <c r="H184" s="25170"/>
    </row>
  </sheetData>
  <autoFilter ref="A122:J184" xr:uid="{00000000-0001-0000-0C00-000000000000}"/>
  <mergeCells count="23">
    <mergeCell ref="A121:H121"/>
    <mergeCell ref="A184:H184"/>
    <mergeCell ref="A95:H95"/>
    <mergeCell ref="A1:J1"/>
    <mergeCell ref="A3:B3"/>
    <mergeCell ref="A5:F5"/>
    <mergeCell ref="A16:H16"/>
    <mergeCell ref="A29:H29"/>
    <mergeCell ref="A15:H15"/>
    <mergeCell ref="A22:H22"/>
    <mergeCell ref="A30:C30"/>
    <mergeCell ref="A37:I37"/>
    <mergeCell ref="A59:H59"/>
    <mergeCell ref="A80:H80"/>
    <mergeCell ref="D3:E3"/>
    <mergeCell ref="A23:H23"/>
    <mergeCell ref="A31:J31"/>
    <mergeCell ref="A32:C32"/>
    <mergeCell ref="A40:I40"/>
    <mergeCell ref="A68:H68"/>
    <mergeCell ref="A42:J42"/>
    <mergeCell ref="A43:C43"/>
    <mergeCell ref="A56:I5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AE91-70D8-431E-AFCA-855C82506985}">
  <sheetPr/>
  <sheetViews>
    <sheetView topLeftCell="A3" workbookViewId="0">
      <selection activeCell="D30" sqref="D30"/>
    </sheetView>
  </sheetViews>
  <sheetFormatPr baseColWidth="10" defaultRowHeight="13.8"/>
  <cols>
    <col min="1" max="1" width="14" customWidth="1"/>
    <col min="2" max="2" width="22.796875" bestFit="1" customWidth="1"/>
    <col min="3" max="3" width="15.09765625" bestFit="1" customWidth="1"/>
    <col min="4" max="4" width="28" customWidth="1"/>
    <col min="5" max="5" width="12.5" bestFit="1" customWidth="1"/>
    <col min="6" max="8" width="17" customWidth="1"/>
    <col min="9" max="9" width="20.3984375" bestFit="1" customWidth="1"/>
    <col min="10" max="10" width="14" customWidth="1"/>
    <col min="11" max="11" width="25" customWidth="1"/>
  </cols>
  <sheetData>
    <row r="1" spans="1:11" ht="17.399999999999999">
      <c r="A1" t="s" s="25314">
        <v>459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</row>
    <row r="2" spans="1:11" ht="14.4">
      <c r="A2" t="s" s="25315">
        <v>505</v>
      </c>
      <c r="B2" s="25170"/>
      <c r="C2" s="25170"/>
      <c r="D2" s="25170"/>
      <c r="E2" s="25170"/>
      <c r="F2" s="25170"/>
      <c r="G2" s="25170"/>
      <c r="H2" s="25170"/>
      <c r="I2" s="25170"/>
      <c r="J2" s="25170"/>
      <c r="K2" s="25170"/>
    </row>
    <row r="4" spans="1:11" ht="36" customHeight="1">
      <c r="A4" t="s" s="11504">
        <v>422</v>
      </c>
      <c r="B4" t="s" s="11505">
        <v>423</v>
      </c>
      <c r="C4" t="s" s="11506">
        <v>506</v>
      </c>
      <c r="D4" t="s" s="11507">
        <v>461</v>
      </c>
      <c r="E4" t="s" s="11508">
        <v>424</v>
      </c>
      <c r="F4" t="s" s="11509">
        <v>462</v>
      </c>
      <c r="G4" t="s" s="11510">
        <v>463</v>
      </c>
      <c r="H4" t="s" s="11511">
        <v>464</v>
      </c>
      <c r="I4" t="s" s="11512">
        <v>465</v>
      </c>
      <c r="J4" t="s" s="11513">
        <v>466</v>
      </c>
      <c r="K4" t="s" s="11514">
        <v>414</v>
      </c>
    </row>
    <row r="5" spans="1:11">
      <c r="A5" t="s" s="16833">
        <v>489</v>
      </c>
      <c r="B5" s="16875">
        <v>46164.75</v>
      </c>
      <c r="C5" s="16917">
        <v>21</v>
      </c>
      <c r="D5" t="s" s="16959">
        <v>3</v>
      </c>
      <c r="E5" s="17001">
        <v>41</v>
      </c>
      <c r="F5" s="17043">
        <v>31054.48</v>
      </c>
      <c r="G5" s="17085">
        <f>IFERROR(VLOOKUP(A5, Captura_Facturas_Mobil!$A:$G, 7, FALSE), 0)</f>
      </c>
      <c r="H5" s="17127">
        <f t="shared" ref="H5:H46" si="0">IFERROR(F5 - G5, F5)</f>
      </c>
      <c r="I5" s="17169">
        <f>IFERROR(VLOOKUP(A5, Captura_Facturas_Mobil!$A:$E, 5, FALSE), 0)</f>
      </c>
      <c r="J5" s="17211">
        <f t="shared" ref="J5:J46" si="1">IFERROR(IF(I5=0,"", G5/I5), "")</f>
      </c>
      <c r="K5" s="17253">
        <f t="shared" ref="K5:K46" si="2">IFERROR(IF(G5=0, "⚠️ Sin CFDI", IF(ABS(H5)&lt;1, "✅ Cuadrado", IF(H5&gt;0, "📋 CFDI menor", "📋 CFDI mayor"))), "?")</f>
      </c>
    </row>
    <row r="6" spans="1:11">
      <c r="A6" t="s" s="16842">
        <v>490</v>
      </c>
      <c r="B6" s="16884">
        <v>46164.75</v>
      </c>
      <c r="C6" s="16926">
        <v>21</v>
      </c>
      <c r="D6" t="s" s="16968">
        <v>3</v>
      </c>
      <c r="E6" s="17010">
        <v>41</v>
      </c>
      <c r="F6" s="17052">
        <v>26190.11</v>
      </c>
      <c r="G6" s="17094">
        <f>IFERROR(VLOOKUP(A6, Captura_Facturas_Mobil!$A:$G, 7, FALSE), 0)</f>
      </c>
      <c r="H6" s="17136">
        <f t="shared" si="0"/>
      </c>
      <c r="I6" s="17178">
        <f>IFERROR(VLOOKUP(A6, Captura_Facturas_Mobil!$A:$E, 5, FALSE), 0)</f>
      </c>
      <c r="J6" s="17220">
        <f t="shared" si="1"/>
      </c>
      <c r="K6" s="17262">
        <f t="shared" si="2"/>
      </c>
    </row>
    <row r="7" spans="1:11">
      <c r="A7" t="s" s="16837">
        <v>491</v>
      </c>
      <c r="B7" s="16879">
        <v>46165.75</v>
      </c>
      <c r="C7" s="16921">
        <v>21</v>
      </c>
      <c r="D7" t="s" s="16963">
        <v>3</v>
      </c>
      <c r="E7" s="17005">
        <v>41</v>
      </c>
      <c r="F7" s="17047">
        <v>20250.09</v>
      </c>
      <c r="G7" s="17089">
        <f>IFERROR(VLOOKUP(A7, Captura_Facturas_Mobil!$A:$G, 7, FALSE), 0)</f>
      </c>
      <c r="H7" s="17131">
        <f t="shared" si="0"/>
      </c>
      <c r="I7" s="17173">
        <f>IFERROR(VLOOKUP(A7, Captura_Facturas_Mobil!$A:$E, 5, FALSE), 0)</f>
      </c>
      <c r="J7" s="17215">
        <f t="shared" si="1"/>
      </c>
      <c r="K7" s="17257">
        <f t="shared" si="2"/>
      </c>
    </row>
    <row r="8" spans="1:11">
      <c r="A8" t="s" s="16847">
        <v>477</v>
      </c>
      <c r="B8" s="16889">
        <v>46171.75</v>
      </c>
      <c r="C8" s="16931">
        <v>22</v>
      </c>
      <c r="D8" t="s" s="16973">
        <v>478</v>
      </c>
      <c r="E8" s="17015">
        <v>41</v>
      </c>
      <c r="F8" s="17057">
        <v>8100.05</v>
      </c>
      <c r="G8" s="17099">
        <f>IFERROR(VLOOKUP(A8, Captura_Facturas_Mobil!$A:$G, 7, FALSE), 0)</f>
      </c>
      <c r="H8" s="17141">
        <f t="shared" si="0"/>
      </c>
      <c r="I8" s="17183">
        <f>IFERROR(VLOOKUP(A8, Captura_Facturas_Mobil!$A:$E, 5, FALSE), 0)</f>
      </c>
      <c r="J8" s="17225">
        <f t="shared" si="1"/>
      </c>
      <c r="K8" s="17267">
        <f t="shared" si="2"/>
      </c>
    </row>
    <row r="9" spans="1:11">
      <c r="A9" t="s" s="16859">
        <v>492</v>
      </c>
      <c r="B9" s="16901">
        <v>46167.75</v>
      </c>
      <c r="C9" s="16943">
        <v>22</v>
      </c>
      <c r="D9" t="s" s="16985">
        <v>3</v>
      </c>
      <c r="E9" s="17027">
        <v>41</v>
      </c>
      <c r="F9" s="17069">
        <v>16740.89</v>
      </c>
      <c r="G9" s="17111">
        <f>IFERROR(VLOOKUP(A9, Captura_Facturas_Mobil!$A:$G, 7, FALSE), 0)</f>
      </c>
      <c r="H9" s="17153">
        <f t="shared" si="0"/>
      </c>
      <c r="I9" s="17195">
        <f>IFERROR(VLOOKUP(A9, Captura_Facturas_Mobil!$A:$E, 5, FALSE), 0)</f>
      </c>
      <c r="J9" s="17237">
        <f t="shared" si="1"/>
      </c>
      <c r="K9" s="17279">
        <f t="shared" si="2"/>
      </c>
    </row>
    <row r="10" spans="1:11">
      <c r="A10" t="s" s="16868">
        <v>493</v>
      </c>
      <c r="B10" s="16910">
        <v>46168.75</v>
      </c>
      <c r="C10" s="16952">
        <v>22</v>
      </c>
      <c r="D10" t="s" s="16994">
        <v>3</v>
      </c>
      <c r="E10" s="17036">
        <v>41</v>
      </c>
      <c r="F10" s="17078">
        <v>12420.08</v>
      </c>
      <c r="G10" s="17120">
        <f>IFERROR(VLOOKUP(A10, Captura_Facturas_Mobil!$A:$G, 7, FALSE), 0)</f>
      </c>
      <c r="H10" s="17162">
        <f t="shared" si="0"/>
      </c>
      <c r="I10" s="17204">
        <f>IFERROR(VLOOKUP(A10, Captura_Facturas_Mobil!$A:$E, 5, FALSE), 0)</f>
      </c>
      <c r="J10" s="17246">
        <f t="shared" si="1"/>
      </c>
      <c r="K10" s="17288">
        <f t="shared" si="2"/>
      </c>
    </row>
    <row r="11" spans="1:11">
      <c r="A11" t="s" s="16852">
        <v>494</v>
      </c>
      <c r="B11" s="16894">
        <v>46171.75</v>
      </c>
      <c r="C11" s="16936">
        <v>22</v>
      </c>
      <c r="D11" t="s" s="16978">
        <v>3</v>
      </c>
      <c r="E11" s="17020">
        <v>41</v>
      </c>
      <c r="F11" s="17062">
        <v>20259.03</v>
      </c>
      <c r="G11" s="17104">
        <f>IFERROR(VLOOKUP(A11, Captura_Facturas_Mobil!$A:$G, 7, FALSE), 0)</f>
      </c>
      <c r="H11" s="17146">
        <f t="shared" si="0"/>
      </c>
      <c r="I11" s="17188">
        <f>IFERROR(VLOOKUP(A11, Captura_Facturas_Mobil!$A:$E, 5, FALSE), 0)</f>
      </c>
      <c r="J11" s="17230">
        <f t="shared" si="1"/>
      </c>
      <c r="K11" s="17272">
        <f t="shared" si="2"/>
      </c>
    </row>
    <row r="12" spans="1:11">
      <c r="A12" t="s" s="16846">
        <v>467</v>
      </c>
      <c r="B12" s="16888">
        <v>46175.75</v>
      </c>
      <c r="C12" s="16930">
        <v>23</v>
      </c>
      <c r="D12" t="s" s="16972">
        <v>1</v>
      </c>
      <c r="E12" s="17014">
        <v>41</v>
      </c>
      <c r="F12" s="17056">
        <v>18900.06</v>
      </c>
      <c r="G12" s="17098">
        <f>IFERROR(VLOOKUP(A12, Captura_Facturas_Mobil!$A:$G, 7, FALSE), 0)</f>
      </c>
      <c r="H12" s="17140">
        <f t="shared" si="0"/>
      </c>
      <c r="I12" s="17182">
        <f>IFERROR(VLOOKUP(A12, Captura_Facturas_Mobil!$A:$E, 5, FALSE), 0)</f>
      </c>
      <c r="J12" s="17224">
        <f t="shared" si="1"/>
      </c>
      <c r="K12" s="17266">
        <f t="shared" si="2"/>
      </c>
    </row>
    <row r="13" spans="1:11">
      <c r="A13" t="s" s="16841">
        <v>468</v>
      </c>
      <c r="B13" s="16883">
        <v>46177.75</v>
      </c>
      <c r="C13" s="16925">
        <v>23</v>
      </c>
      <c r="D13" t="s" s="16967">
        <v>1</v>
      </c>
      <c r="E13" s="17009">
        <v>41</v>
      </c>
      <c r="F13" s="17051">
        <v>13770.05</v>
      </c>
      <c r="G13" s="17093">
        <f>IFERROR(VLOOKUP(A13, Captura_Facturas_Mobil!$A:$G, 7, FALSE), 0)</f>
      </c>
      <c r="H13" s="17135">
        <f t="shared" si="0"/>
      </c>
      <c r="I13" s="17177">
        <f>IFERROR(VLOOKUP(A13, Captura_Facturas_Mobil!$A:$E, 5, FALSE), 0)</f>
      </c>
      <c r="J13" s="17219">
        <f t="shared" si="1"/>
      </c>
      <c r="K13" s="17261">
        <f t="shared" si="2"/>
      </c>
    </row>
    <row r="14" spans="1:11">
      <c r="A14" t="s" s="16836">
        <v>469</v>
      </c>
      <c r="B14" s="16878">
        <v>46178.75</v>
      </c>
      <c r="C14" s="16920">
        <v>23</v>
      </c>
      <c r="D14" t="s" s="16962">
        <v>1</v>
      </c>
      <c r="E14" s="17004">
        <v>41</v>
      </c>
      <c r="F14" s="17046">
        <v>7830.05</v>
      </c>
      <c r="G14" s="17088">
        <f>IFERROR(VLOOKUP(A14, Captura_Facturas_Mobil!$A:$G, 7, FALSE), 0)</f>
      </c>
      <c r="H14" s="17130">
        <f t="shared" si="0"/>
      </c>
      <c r="I14" s="17172">
        <f>IFERROR(VLOOKUP(A14, Captura_Facturas_Mobil!$A:$E, 5, FALSE), 0)</f>
      </c>
      <c r="J14" s="17214">
        <f t="shared" si="1"/>
      </c>
      <c r="K14" s="17256">
        <f t="shared" si="2"/>
      </c>
    </row>
    <row r="15" spans="1:11">
      <c r="A15" t="s" s="16861">
        <v>479</v>
      </c>
      <c r="B15" s="16903">
        <v>46178.75</v>
      </c>
      <c r="C15" s="16945">
        <v>23</v>
      </c>
      <c r="D15" t="s" s="16987">
        <v>124</v>
      </c>
      <c r="E15" s="17029">
        <v>39</v>
      </c>
      <c r="F15" s="17071">
        <v>16200.1</v>
      </c>
      <c r="G15" s="17113">
        <f>IFERROR(VLOOKUP(A15, Captura_Facturas_Mobil!$A:$G, 7, FALSE), 0)</f>
      </c>
      <c r="H15" s="17155">
        <f t="shared" si="0"/>
      </c>
      <c r="I15" s="17197">
        <f>IFERROR(VLOOKUP(A15, Captura_Facturas_Mobil!$A:$E, 5, FALSE), 0)</f>
      </c>
      <c r="J15" s="17239">
        <f t="shared" si="1"/>
      </c>
      <c r="K15" s="17281">
        <f t="shared" si="2"/>
      </c>
    </row>
    <row r="16" spans="1:11">
      <c r="A16" t="s" s="16870">
        <v>495</v>
      </c>
      <c r="B16" s="16912">
        <v>46174.75</v>
      </c>
      <c r="C16" s="16954">
        <v>23</v>
      </c>
      <c r="D16" t="s" s="16996">
        <v>3</v>
      </c>
      <c r="E16" s="17038">
        <v>41</v>
      </c>
      <c r="F16" s="17080">
        <v>20682.11</v>
      </c>
      <c r="G16" s="17122">
        <f>IFERROR(VLOOKUP(A16, Captura_Facturas_Mobil!$A:$G, 7, FALSE), 0)</f>
      </c>
      <c r="H16" s="17164">
        <f t="shared" si="0"/>
      </c>
      <c r="I16" s="17206">
        <f>IFERROR(VLOOKUP(A16, Captura_Facturas_Mobil!$A:$E, 5, FALSE), 0)</f>
      </c>
      <c r="J16" s="17248">
        <f t="shared" si="1"/>
      </c>
      <c r="K16" s="17290">
        <f t="shared" si="2"/>
      </c>
    </row>
    <row r="17" spans="1:11">
      <c r="A17" t="s" s="16854">
        <v>496</v>
      </c>
      <c r="B17" s="16896">
        <v>46175.75</v>
      </c>
      <c r="C17" s="16938">
        <v>23</v>
      </c>
      <c r="D17" t="s" s="16980">
        <v>3</v>
      </c>
      <c r="E17" s="17022">
        <v>41</v>
      </c>
      <c r="F17" s="17064">
        <v>18630.06</v>
      </c>
      <c r="G17" s="17106">
        <f>IFERROR(VLOOKUP(A17, Captura_Facturas_Mobil!$A:$G, 7, FALSE), 0)</f>
      </c>
      <c r="H17" s="17148">
        <f t="shared" si="0"/>
      </c>
      <c r="I17" s="17190">
        <f>IFERROR(VLOOKUP(A17, Captura_Facturas_Mobil!$A:$E, 5, FALSE), 0)</f>
      </c>
      <c r="J17" s="17232">
        <f t="shared" si="1"/>
      </c>
      <c r="K17" s="17274">
        <f t="shared" si="2"/>
      </c>
    </row>
    <row r="18" spans="1:11">
      <c r="A18" t="s" s="16872">
        <v>497</v>
      </c>
      <c r="B18" s="16914">
        <v>46176.75</v>
      </c>
      <c r="C18" s="16956">
        <v>23</v>
      </c>
      <c r="D18" t="s" s="16998">
        <v>3</v>
      </c>
      <c r="E18" s="17040">
        <v>41</v>
      </c>
      <c r="F18" s="17082">
        <v>22140.06</v>
      </c>
      <c r="G18" s="17124">
        <f>IFERROR(VLOOKUP(A18, Captura_Facturas_Mobil!$A:$G, 7, FALSE), 0)</f>
      </c>
      <c r="H18" s="17166">
        <f t="shared" si="0"/>
      </c>
      <c r="I18" s="17208">
        <f>IFERROR(VLOOKUP(A18, Captura_Facturas_Mobil!$A:$E, 5, FALSE), 0)</f>
      </c>
      <c r="J18" s="17250">
        <f t="shared" si="1"/>
      </c>
      <c r="K18" s="17292">
        <f t="shared" si="2"/>
      </c>
    </row>
    <row r="19" spans="1:11">
      <c r="A19" t="s" s="16856">
        <v>498</v>
      </c>
      <c r="B19" s="16898">
        <v>46178.75</v>
      </c>
      <c r="C19" s="16940">
        <v>23</v>
      </c>
      <c r="D19" t="s" s="16982">
        <v>3</v>
      </c>
      <c r="E19" s="17024">
        <v>41</v>
      </c>
      <c r="F19" s="17066">
        <v>18063.08</v>
      </c>
      <c r="G19" s="17108">
        <f>IFERROR(VLOOKUP(A19, Captura_Facturas_Mobil!$A:$G, 7, FALSE), 0)</f>
      </c>
      <c r="H19" s="17150">
        <f t="shared" si="0"/>
      </c>
      <c r="I19" s="17192">
        <f>IFERROR(VLOOKUP(A19, Captura_Facturas_Mobil!$A:$E, 5, FALSE), 0)</f>
      </c>
      <c r="J19" s="17234">
        <f t="shared" si="1"/>
      </c>
      <c r="K19" s="17276">
        <f t="shared" si="2"/>
      </c>
    </row>
    <row r="20" spans="1:11">
      <c r="A20" t="s" s="16874">
        <v>470</v>
      </c>
      <c r="B20" s="16916">
        <v>46181.75</v>
      </c>
      <c r="C20" s="16958">
        <v>24</v>
      </c>
      <c r="D20" t="s" s="17000">
        <v>1</v>
      </c>
      <c r="E20" s="17042">
        <v>41</v>
      </c>
      <c r="F20" s="17084">
        <v>17280.08</v>
      </c>
      <c r="G20" s="17126">
        <f>IFERROR(VLOOKUP(A20, Captura_Facturas_Mobil!$A:$G, 7, FALSE), 0)</f>
      </c>
      <c r="H20" s="17168">
        <f t="shared" si="0"/>
      </c>
      <c r="I20" s="17210">
        <f>IFERROR(VLOOKUP(A20, Captura_Facturas_Mobil!$A:$E, 5, FALSE), 0)</f>
      </c>
      <c r="J20" s="17252">
        <f t="shared" si="1"/>
      </c>
      <c r="K20" s="17294">
        <f t="shared" si="2"/>
      </c>
    </row>
    <row r="21" spans="1:11">
      <c r="A21" t="s" s="16858">
        <v>471</v>
      </c>
      <c r="B21" s="16900">
        <v>46185.75</v>
      </c>
      <c r="C21" s="16942">
        <v>24</v>
      </c>
      <c r="D21" t="s" s="16984">
        <v>1</v>
      </c>
      <c r="E21" s="17026">
        <v>41</v>
      </c>
      <c r="F21" s="17068">
        <v>14580.08</v>
      </c>
      <c r="G21" s="17110">
        <f>IFERROR(VLOOKUP(A21, Captura_Facturas_Mobil!$A:$G, 7, FALSE), 0)</f>
      </c>
      <c r="H21" s="17152">
        <f t="shared" si="0"/>
      </c>
      <c r="I21" s="17194">
        <f>IFERROR(VLOOKUP(A21, Captura_Facturas_Mobil!$A:$E, 5, FALSE), 0)</f>
      </c>
      <c r="J21" s="17236">
        <f t="shared" si="1"/>
      </c>
      <c r="K21" s="17278">
        <f t="shared" si="2"/>
      </c>
    </row>
    <row r="22" spans="1:11">
      <c r="A22" t="s" s="16865">
        <v>480</v>
      </c>
      <c r="B22" s="16907">
        <v>46181.75</v>
      </c>
      <c r="C22" s="16949">
        <v>24</v>
      </c>
      <c r="D22" t="s" s="16991">
        <v>124</v>
      </c>
      <c r="E22" s="17033">
        <v>39</v>
      </c>
      <c r="F22" s="17075">
        <v>21600.15</v>
      </c>
      <c r="G22" s="17117">
        <f>IFERROR(VLOOKUP(A22, Captura_Facturas_Mobil!$A:$G, 7, FALSE), 0)</f>
      </c>
      <c r="H22" s="17159">
        <f t="shared" si="0"/>
      </c>
      <c r="I22" s="17201">
        <f>IFERROR(VLOOKUP(A22, Captura_Facturas_Mobil!$A:$E, 5, FALSE), 0)</f>
      </c>
      <c r="J22" s="17243">
        <f t="shared" si="1"/>
      </c>
      <c r="K22" s="17285">
        <f t="shared" si="2"/>
      </c>
    </row>
    <row r="23" spans="1:11">
      <c r="A23" t="s" s="16848">
        <v>481</v>
      </c>
      <c r="B23" s="16890">
        <v>46182.75</v>
      </c>
      <c r="C23" s="16932">
        <v>24</v>
      </c>
      <c r="D23" t="s" s="16974">
        <v>124</v>
      </c>
      <c r="E23" s="17016">
        <v>39</v>
      </c>
      <c r="F23" s="17058">
        <v>16200.1</v>
      </c>
      <c r="G23" s="17100">
        <f>IFERROR(VLOOKUP(A23, Captura_Facturas_Mobil!$A:$G, 7, FALSE), 0)</f>
      </c>
      <c r="H23" s="17142">
        <f t="shared" si="0"/>
      </c>
      <c r="I23" s="17184">
        <f>IFERROR(VLOOKUP(A23, Captura_Facturas_Mobil!$A:$E, 5, FALSE), 0)</f>
      </c>
      <c r="J23" s="17226">
        <f t="shared" si="1"/>
      </c>
      <c r="K23" s="17268">
        <f t="shared" si="2"/>
      </c>
    </row>
    <row r="24" spans="1:11">
      <c r="A24" t="s" s="16862">
        <v>482</v>
      </c>
      <c r="B24" s="16904">
        <v>46184.75</v>
      </c>
      <c r="C24" s="16946">
        <v>24</v>
      </c>
      <c r="D24" t="s" s="16988">
        <v>124</v>
      </c>
      <c r="E24" s="17030">
        <v>39</v>
      </c>
      <c r="F24" s="17072">
        <v>5370.98</v>
      </c>
      <c r="G24" s="17114">
        <f>IFERROR(VLOOKUP(A24, Captura_Facturas_Mobil!$A:$G, 7, FALSE), 0)</f>
      </c>
      <c r="H24" s="17156">
        <f t="shared" si="0"/>
      </c>
      <c r="I24" s="17198">
        <f>IFERROR(VLOOKUP(A24, Captura_Facturas_Mobil!$A:$E, 5, FALSE), 0)</f>
      </c>
      <c r="J24" s="17240">
        <f t="shared" si="1"/>
      </c>
      <c r="K24" s="17282">
        <f t="shared" si="2"/>
      </c>
    </row>
    <row r="25" spans="1:11">
      <c r="A25" t="s" s="16866">
        <v>483</v>
      </c>
      <c r="B25" s="16908">
        <v>46185.75</v>
      </c>
      <c r="C25" s="16950">
        <v>24</v>
      </c>
      <c r="D25" t="s" s="16992">
        <v>124</v>
      </c>
      <c r="E25" s="17034">
        <v>39</v>
      </c>
      <c r="F25" s="17076">
        <v>13493.2</v>
      </c>
      <c r="G25" s="17118">
        <f>IFERROR(VLOOKUP(A25, Captura_Facturas_Mobil!$A:$G, 7, FALSE), 0)</f>
      </c>
      <c r="H25" s="17160">
        <f t="shared" si="0"/>
      </c>
      <c r="I25" s="17202">
        <f>IFERROR(VLOOKUP(A25, Captura_Facturas_Mobil!$A:$E, 5, FALSE), 0)</f>
      </c>
      <c r="J25" s="17244">
        <f t="shared" si="1"/>
      </c>
      <c r="K25" s="17286">
        <f t="shared" si="2"/>
      </c>
    </row>
    <row r="26" spans="1:11">
      <c r="A26" t="s" s="16849">
        <v>488</v>
      </c>
      <c r="B26" s="16891">
        <v>46181.75</v>
      </c>
      <c r="C26" s="16933">
        <v>24</v>
      </c>
      <c r="D26" t="s" s="16975">
        <v>400</v>
      </c>
      <c r="E26" s="17017">
        <v>39</v>
      </c>
      <c r="F26" s="17059">
        <v>75600.21</v>
      </c>
      <c r="G26" s="17101">
        <f>IFERROR(VLOOKUP(A26, Captura_Facturas_Mobil!$A:$G, 7, FALSE), 0)</f>
      </c>
      <c r="H26" s="17143">
        <f t="shared" si="0"/>
      </c>
      <c r="I26" s="17185">
        <f>IFERROR(VLOOKUP(A26, Captura_Facturas_Mobil!$A:$E, 5, FALSE), 0)</f>
      </c>
      <c r="J26" s="17227">
        <f t="shared" si="1"/>
      </c>
      <c r="K26" s="17269">
        <f t="shared" si="2"/>
      </c>
    </row>
    <row r="27" spans="1:11">
      <c r="A27" t="s" s="16863">
        <v>499</v>
      </c>
      <c r="B27" s="16905">
        <v>46182.75</v>
      </c>
      <c r="C27" s="16947">
        <v>24</v>
      </c>
      <c r="D27" t="s" s="16989">
        <v>3</v>
      </c>
      <c r="E27" s="17031">
        <v>41</v>
      </c>
      <c r="F27" s="17073">
        <v>18360.83</v>
      </c>
      <c r="G27" s="17115">
        <f>IFERROR(VLOOKUP(A27, Captura_Facturas_Mobil!$A:$G, 7, FALSE), 0)</f>
      </c>
      <c r="H27" s="17157">
        <f t="shared" si="0"/>
      </c>
      <c r="I27" s="17199">
        <f>IFERROR(VLOOKUP(A27, Captura_Facturas_Mobil!$A:$E, 5, FALSE), 0)</f>
      </c>
      <c r="J27" s="17241">
        <f t="shared" si="1"/>
      </c>
      <c r="K27" s="17283">
        <f t="shared" si="2"/>
      </c>
    </row>
    <row r="28" spans="1:11">
      <c r="A28" t="s" s="16867">
        <v>472</v>
      </c>
      <c r="B28" s="16909">
        <v>46188.75</v>
      </c>
      <c r="C28" s="16951">
        <v>25</v>
      </c>
      <c r="D28" t="s" s="16993">
        <v>1</v>
      </c>
      <c r="E28" s="17035">
        <v>41</v>
      </c>
      <c r="F28" s="17077">
        <v>13500.06</v>
      </c>
      <c r="G28" s="17119">
        <f>IFERROR(VLOOKUP(A28, Captura_Facturas_Mobil!$A:$G, 7, FALSE), 0)</f>
      </c>
      <c r="H28" s="17161">
        <f t="shared" si="0"/>
      </c>
      <c r="I28" s="17203">
        <f>IFERROR(VLOOKUP(A28, Captura_Facturas_Mobil!$A:$E, 5, FALSE), 0)</f>
      </c>
      <c r="J28" s="17245">
        <f t="shared" si="1"/>
      </c>
      <c r="K28" s="17287">
        <f t="shared" si="2"/>
      </c>
    </row>
    <row r="29" spans="1:11">
      <c r="A29" t="s" s="16851">
        <v>473</v>
      </c>
      <c r="B29" s="16893">
        <v>46189.75</v>
      </c>
      <c r="C29" s="16935">
        <v>25</v>
      </c>
      <c r="D29" t="s" s="16977">
        <v>1</v>
      </c>
      <c r="E29" s="17019">
        <v>41</v>
      </c>
      <c r="F29" s="17061">
        <v>13500.06</v>
      </c>
      <c r="G29" s="17103">
        <f>IFERROR(VLOOKUP(A29, Captura_Facturas_Mobil!$A:$G, 7, FALSE), 0)</f>
      </c>
      <c r="H29" s="17145">
        <f t="shared" si="0"/>
      </c>
      <c r="I29" s="17187">
        <f>IFERROR(VLOOKUP(A29, Captura_Facturas_Mobil!$A:$E, 5, FALSE), 0)</f>
      </c>
      <c r="J29" s="17229">
        <f t="shared" si="1"/>
      </c>
      <c r="K29" s="17271">
        <f t="shared" si="2"/>
      </c>
    </row>
    <row r="30" spans="1:11">
      <c r="A30" t="s" s="16845">
        <v>474</v>
      </c>
      <c r="B30" s="16887">
        <v>46190.75</v>
      </c>
      <c r="C30" s="16929">
        <v>25</v>
      </c>
      <c r="D30" t="s" s="16971">
        <v>1</v>
      </c>
      <c r="E30" s="17013">
        <v>41</v>
      </c>
      <c r="F30" s="17055">
        <v>14040.05</v>
      </c>
      <c r="G30" s="17097">
        <f>IFERROR(VLOOKUP(A30, Captura_Facturas_Mobil!$A:$G, 7, FALSE), 0)</f>
      </c>
      <c r="H30" s="17139">
        <f t="shared" si="0"/>
      </c>
      <c r="I30" s="17181">
        <f>IFERROR(VLOOKUP(A30, Captura_Facturas_Mobil!$A:$E, 5, FALSE), 0)</f>
      </c>
      <c r="J30" s="17223">
        <f t="shared" si="1"/>
      </c>
      <c r="K30" s="17265">
        <f t="shared" si="2"/>
      </c>
    </row>
    <row r="31" spans="1:11">
      <c r="A31" t="s" s="16840">
        <v>475</v>
      </c>
      <c r="B31" s="16882">
        <v>46191.75</v>
      </c>
      <c r="C31" s="16924">
        <v>25</v>
      </c>
      <c r="D31" t="s" s="16966">
        <v>1</v>
      </c>
      <c r="E31" s="17008">
        <v>41</v>
      </c>
      <c r="F31" s="17050">
        <v>13230.1</v>
      </c>
      <c r="G31" s="17092">
        <f>IFERROR(VLOOKUP(A31, Captura_Facturas_Mobil!$A:$G, 7, FALSE), 0)</f>
      </c>
      <c r="H31" s="17134">
        <f t="shared" si="0"/>
      </c>
      <c r="I31" s="17176">
        <f>IFERROR(VLOOKUP(A31, Captura_Facturas_Mobil!$A:$E, 5, FALSE), 0)</f>
      </c>
      <c r="J31" s="17218">
        <f t="shared" si="1"/>
      </c>
      <c r="K31" s="17260">
        <f t="shared" si="2"/>
      </c>
    </row>
    <row r="32" spans="1:11">
      <c r="A32" t="s" s="16835">
        <v>476</v>
      </c>
      <c r="B32" s="16877">
        <v>46192.75</v>
      </c>
      <c r="C32" s="16919">
        <v>25</v>
      </c>
      <c r="D32" t="s" s="16961">
        <v>1</v>
      </c>
      <c r="E32" s="17003">
        <v>41</v>
      </c>
      <c r="F32" s="17045">
        <v>10800.1</v>
      </c>
      <c r="G32" s="17087">
        <f>IFERROR(VLOOKUP(A32, Captura_Facturas_Mobil!$A:$G, 7, FALSE), 0)</f>
      </c>
      <c r="H32" s="17129">
        <f t="shared" si="0"/>
      </c>
      <c r="I32" s="17171">
        <f>IFERROR(VLOOKUP(A32, Captura_Facturas_Mobil!$A:$E, 5, FALSE), 0)</f>
      </c>
      <c r="J32" s="17213">
        <f t="shared" si="1"/>
      </c>
      <c r="K32" s="17255">
        <f t="shared" si="2"/>
      </c>
    </row>
    <row r="33" spans="1:11">
      <c r="A33" t="s" s="16850">
        <v>484</v>
      </c>
      <c r="B33" s="16892">
        <v>46188.75</v>
      </c>
      <c r="C33" s="16934">
        <v>25</v>
      </c>
      <c r="D33" t="s" s="16976">
        <v>124</v>
      </c>
      <c r="E33" s="17018">
        <v>39</v>
      </c>
      <c r="F33" s="17060">
        <v>21600.15</v>
      </c>
      <c r="G33" s="17102">
        <f>IFERROR(VLOOKUP(A33, Captura_Facturas_Mobil!$A:$G, 7, FALSE), 0)</f>
      </c>
      <c r="H33" s="17144">
        <f t="shared" si="0"/>
      </c>
      <c r="I33" s="17186">
        <f>IFERROR(VLOOKUP(A33, Captura_Facturas_Mobil!$A:$E, 5, FALSE), 0)</f>
      </c>
      <c r="J33" s="17228">
        <f t="shared" si="1"/>
      </c>
      <c r="K33" s="17270">
        <f t="shared" si="2"/>
      </c>
    </row>
    <row r="34" spans="1:11">
      <c r="A34" t="s" s="16844">
        <v>485</v>
      </c>
      <c r="B34" s="16886">
        <v>46190.75</v>
      </c>
      <c r="C34" s="16928">
        <v>25</v>
      </c>
      <c r="D34" t="s" s="16970">
        <v>124</v>
      </c>
      <c r="E34" s="17012">
        <v>39</v>
      </c>
      <c r="F34" s="17054">
        <v>16200.1</v>
      </c>
      <c r="G34" s="17096">
        <f>IFERROR(VLOOKUP(A34, Captura_Facturas_Mobil!$A:$G, 7, FALSE), 0)</f>
      </c>
      <c r="H34" s="17138">
        <f t="shared" si="0"/>
      </c>
      <c r="I34" s="17180">
        <f>IFERROR(VLOOKUP(A34, Captura_Facturas_Mobil!$A:$E, 5, FALSE), 0)</f>
      </c>
      <c r="J34" s="17222">
        <f t="shared" si="1"/>
      </c>
      <c r="K34" s="17264">
        <f t="shared" si="2"/>
      </c>
    </row>
    <row r="35" spans="1:11">
      <c r="A35" t="s" s="16839">
        <v>486</v>
      </c>
      <c r="B35" s="16881">
        <v>46191.75</v>
      </c>
      <c r="C35" s="16923">
        <v>25</v>
      </c>
      <c r="D35" t="s" s="16965">
        <v>124</v>
      </c>
      <c r="E35" s="17007">
        <v>39</v>
      </c>
      <c r="F35" s="17049">
        <v>13500.06</v>
      </c>
      <c r="G35" s="17091">
        <f>IFERROR(VLOOKUP(A35, Captura_Facturas_Mobil!$A:$G, 7, FALSE), 0)</f>
      </c>
      <c r="H35" s="17133">
        <f t="shared" si="0"/>
      </c>
      <c r="I35" s="17175">
        <f>IFERROR(VLOOKUP(A35, Captura_Facturas_Mobil!$A:$E, 5, FALSE), 0)</f>
      </c>
      <c r="J35" s="17217">
        <f t="shared" si="1"/>
      </c>
      <c r="K35" s="17259">
        <f t="shared" si="2"/>
      </c>
    </row>
    <row r="36" spans="1:11">
      <c r="A36" t="s" s="16834">
        <v>487</v>
      </c>
      <c r="B36" s="16876">
        <v>46193.75</v>
      </c>
      <c r="C36" s="16918">
        <v>25</v>
      </c>
      <c r="D36" t="s" s="16960">
        <v>124</v>
      </c>
      <c r="E36" s="17002">
        <v>39</v>
      </c>
      <c r="F36" s="17044">
        <v>16200.1</v>
      </c>
      <c r="G36" s="17086">
        <f>IFERROR(VLOOKUP(A36, Captura_Facturas_Mobil!$A:$G, 7, FALSE), 0)</f>
      </c>
      <c r="H36" s="17128">
        <f t="shared" si="0"/>
      </c>
      <c r="I36" s="17170">
        <f>IFERROR(VLOOKUP(A36, Captura_Facturas_Mobil!$A:$E, 5, FALSE), 0)</f>
      </c>
      <c r="J36" s="17212">
        <f t="shared" si="1"/>
      </c>
      <c r="K36" s="17254">
        <f t="shared" si="2"/>
      </c>
    </row>
    <row r="37" spans="1:11">
      <c r="A37" t="s" s="16843">
        <v>435</v>
      </c>
      <c r="B37" s="16885">
        <v>46191.75</v>
      </c>
      <c r="C37" s="16927">
        <v>25</v>
      </c>
      <c r="D37" t="s" s="16969">
        <v>400</v>
      </c>
      <c r="E37" s="17011">
        <v>39</v>
      </c>
      <c r="F37" s="17053">
        <v>108000.36</v>
      </c>
      <c r="G37" s="17095">
        <f>IFERROR(VLOOKUP(A37, Captura_Facturas_Mobil!$A:$G, 7, FALSE), 0)</f>
      </c>
      <c r="H37" s="17137">
        <f t="shared" si="0"/>
      </c>
      <c r="I37" s="17179">
        <f>IFERROR(VLOOKUP(A37, Captura_Facturas_Mobil!$A:$E, 5, FALSE), 0)</f>
      </c>
      <c r="J37" s="17221">
        <f t="shared" si="1"/>
      </c>
      <c r="K37" s="17263">
        <f t="shared" si="2"/>
      </c>
    </row>
    <row r="38" spans="1:11">
      <c r="A38" t="s" s="16838">
        <v>436</v>
      </c>
      <c r="B38" s="16880">
        <v>46191.75</v>
      </c>
      <c r="C38" s="16922">
        <v>25</v>
      </c>
      <c r="D38" t="s" s="16964">
        <v>400</v>
      </c>
      <c r="E38" s="17006">
        <v>39</v>
      </c>
      <c r="F38" s="17048">
        <v>3869.7</v>
      </c>
      <c r="G38" s="17090">
        <f>IFERROR(VLOOKUP(A38, Captura_Facturas_Mobil!$A:$G, 7, FALSE), 0)</f>
      </c>
      <c r="H38" s="17132">
        <f t="shared" si="0"/>
      </c>
      <c r="I38" s="17174">
        <f>IFERROR(VLOOKUP(A38, Captura_Facturas_Mobil!$A:$E, 5, FALSE), 0)</f>
      </c>
      <c r="J38" s="17216">
        <f t="shared" si="1"/>
      </c>
      <c r="K38" s="17258">
        <f t="shared" si="2"/>
      </c>
    </row>
    <row r="39" spans="1:11">
      <c r="A39" t="s" s="16860">
        <v>437</v>
      </c>
      <c r="B39" s="16902">
        <v>46195.75</v>
      </c>
      <c r="C39" s="16944">
        <v>26</v>
      </c>
      <c r="D39" t="s" s="16986">
        <v>1</v>
      </c>
      <c r="E39" s="17028">
        <v>41</v>
      </c>
      <c r="F39" s="17070">
        <v>17820</v>
      </c>
      <c r="G39" s="17112">
        <f>IFERROR(VLOOKUP(A39, Captura_Facturas_Mobil!$A:$G, 7, FALSE), 0)</f>
      </c>
      <c r="H39" s="17154">
        <f t="shared" si="0"/>
      </c>
      <c r="I39" s="17196">
        <f>IFERROR(VLOOKUP(A39, Captura_Facturas_Mobil!$A:$E, 5, FALSE), 0)</f>
      </c>
      <c r="J39" s="17238">
        <f t="shared" si="1"/>
      </c>
      <c r="K39" s="17280">
        <f t="shared" si="2"/>
      </c>
    </row>
    <row r="40" spans="1:11">
      <c r="A40" t="s" s="16869">
        <v>439</v>
      </c>
      <c r="B40" s="16911">
        <v>46196.75</v>
      </c>
      <c r="C40" s="16953">
        <v>26</v>
      </c>
      <c r="D40" t="s" s="16995">
        <v>1</v>
      </c>
      <c r="E40" s="17037">
        <v>41</v>
      </c>
      <c r="F40" s="17079">
        <v>1500</v>
      </c>
      <c r="G40" s="17121">
        <f>IFERROR(VLOOKUP(A40, Captura_Facturas_Mobil!$A:$G, 7, FALSE), 0)</f>
      </c>
      <c r="H40" s="17163">
        <f t="shared" si="0"/>
      </c>
      <c r="I40" s="17205">
        <f>IFERROR(VLOOKUP(A40, Captura_Facturas_Mobil!$A:$E, 5, FALSE), 0)</f>
      </c>
      <c r="J40" s="17247">
        <f t="shared" si="1"/>
      </c>
      <c r="K40" s="17289">
        <f t="shared" si="2"/>
      </c>
    </row>
    <row r="41" spans="1:11">
      <c r="A41" t="s" s="16853">
        <v>441</v>
      </c>
      <c r="B41" s="16895">
        <v>46196.75</v>
      </c>
      <c r="C41" s="16937">
        <v>26</v>
      </c>
      <c r="D41" t="s" s="16979">
        <v>1</v>
      </c>
      <c r="E41" s="17021">
        <v>41</v>
      </c>
      <c r="F41" s="17063">
        <v>1000</v>
      </c>
      <c r="G41" s="17105">
        <f>IFERROR(VLOOKUP(A41, Captura_Facturas_Mobil!$A:$G, 7, FALSE), 0)</f>
      </c>
      <c r="H41" s="17147">
        <f t="shared" si="0"/>
      </c>
      <c r="I41" s="17189">
        <f>IFERROR(VLOOKUP(A41, Captura_Facturas_Mobil!$A:$E, 5, FALSE), 0)</f>
      </c>
      <c r="J41" s="17231">
        <f t="shared" si="1"/>
      </c>
      <c r="K41" s="17273">
        <f t="shared" si="2"/>
      </c>
    </row>
    <row r="42" spans="1:11">
      <c r="A42" t="s" s="16871">
        <v>442</v>
      </c>
      <c r="B42" s="16913">
        <v>46196.75</v>
      </c>
      <c r="C42" s="16955">
        <v>26</v>
      </c>
      <c r="D42" t="s" s="16997">
        <v>1</v>
      </c>
      <c r="E42" s="17039">
        <v>41</v>
      </c>
      <c r="F42" s="17081">
        <v>1500</v>
      </c>
      <c r="G42" s="17123">
        <f>IFERROR(VLOOKUP(A42, Captura_Facturas_Mobil!$A:$G, 7, FALSE), 0)</f>
      </c>
      <c r="H42" s="17165">
        <f t="shared" si="0"/>
      </c>
      <c r="I42" s="17207">
        <f>IFERROR(VLOOKUP(A42, Captura_Facturas_Mobil!$A:$E, 5, FALSE), 0)</f>
      </c>
      <c r="J42" s="17249">
        <f t="shared" si="1"/>
      </c>
      <c r="K42" s="17291">
        <f t="shared" si="2"/>
      </c>
    </row>
    <row r="43" spans="1:11">
      <c r="A43" t="s" s="16855">
        <v>444</v>
      </c>
      <c r="B43" s="16897">
        <v>46197.75</v>
      </c>
      <c r="C43" s="16939">
        <v>26</v>
      </c>
      <c r="D43" t="s" s="16981">
        <v>1</v>
      </c>
      <c r="E43" s="17023">
        <v>41</v>
      </c>
      <c r="F43" s="17065">
        <v>14850.08</v>
      </c>
      <c r="G43" s="17107">
        <f>IFERROR(VLOOKUP(A43, Captura_Facturas_Mobil!$A:$G, 7, FALSE), 0)</f>
      </c>
      <c r="H43" s="17149">
        <f t="shared" si="0"/>
      </c>
      <c r="I43" s="17191">
        <f>IFERROR(VLOOKUP(A43, Captura_Facturas_Mobil!$A:$E, 5, FALSE), 0)</f>
      </c>
      <c r="J43" s="17233">
        <f t="shared" si="1"/>
      </c>
      <c r="K43" s="17275">
        <f t="shared" si="2"/>
      </c>
    </row>
    <row r="44" spans="1:11">
      <c r="A44" t="s" s="16873">
        <v>448</v>
      </c>
      <c r="B44" s="16915">
        <v>46198.75</v>
      </c>
      <c r="C44" s="16957">
        <v>26</v>
      </c>
      <c r="D44" t="s" s="16999">
        <v>1</v>
      </c>
      <c r="E44" s="17041">
        <v>41</v>
      </c>
      <c r="F44" s="17083">
        <v>1000</v>
      </c>
      <c r="G44" s="17125">
        <f>IFERROR(VLOOKUP(A44, Captura_Facturas_Mobil!$A:$G, 7, FALSE), 0)</f>
      </c>
      <c r="H44" s="17167">
        <f t="shared" si="0"/>
      </c>
      <c r="I44" s="17209">
        <f>IFERROR(VLOOKUP(A44, Captura_Facturas_Mobil!$A:$E, 5, FALSE), 0)</f>
      </c>
      <c r="J44" s="17251">
        <f t="shared" si="1"/>
      </c>
      <c r="K44" s="17293">
        <f t="shared" si="2"/>
      </c>
    </row>
    <row r="45" spans="1:11">
      <c r="A45" t="s" s="16857">
        <v>450</v>
      </c>
      <c r="B45" s="16899">
        <v>46198.75</v>
      </c>
      <c r="C45" s="16941">
        <v>26</v>
      </c>
      <c r="D45" t="s" s="16983">
        <v>1</v>
      </c>
      <c r="E45" s="17025">
        <v>41</v>
      </c>
      <c r="F45" s="17067">
        <v>1500.08</v>
      </c>
      <c r="G45" s="17109">
        <f>IFERROR(VLOOKUP(A45, Captura_Facturas_Mobil!$A:$G, 7, FALSE), 0)</f>
      </c>
      <c r="H45" s="17151">
        <f t="shared" si="0"/>
      </c>
      <c r="I45" s="17193">
        <f>IFERROR(VLOOKUP(A45, Captura_Facturas_Mobil!$A:$E, 5, FALSE), 0)</f>
      </c>
      <c r="J45" s="17235">
        <f t="shared" si="1"/>
      </c>
      <c r="K45" s="17277">
        <f t="shared" si="2"/>
      </c>
    </row>
    <row r="46" spans="1:11">
      <c r="A46" t="s" s="16864">
        <v>446</v>
      </c>
      <c r="B46" s="16906">
        <v>46198.75</v>
      </c>
      <c r="C46" s="16948">
        <v>26</v>
      </c>
      <c r="D46" t="s" s="16990">
        <v>1</v>
      </c>
      <c r="E46" s="17032">
        <v>41</v>
      </c>
      <c r="F46" s="17074">
        <v>14850.08</v>
      </c>
      <c r="G46" s="17116">
        <f>IFERROR(VLOOKUP(A46, Captura_Facturas_Mobil!$A:$G, 7, FALSE), 0)</f>
      </c>
      <c r="H46" s="17158">
        <f t="shared" si="0"/>
      </c>
      <c r="I46" s="17200">
        <f>IFERROR(VLOOKUP(A46, Captura_Facturas_Mobil!$A:$E, 5, FALSE), 0)</f>
      </c>
      <c r="J46" s="17242">
        <f t="shared" si="1"/>
      </c>
      <c r="K46" s="17284">
        <f t="shared" si="2"/>
      </c>
    </row>
    <row r="47" spans="1:11">
      <c r="A47" t="s" s="11515">
        <v>174</v>
      </c>
      <c r="F47" s="11516">
        <f>SUM(F5:F46)</f>
      </c>
      <c r="G47" s="11517">
        <f>SUM(G5:G46)</f>
      </c>
      <c r="H47" s="11518">
        <f>SUM(H5:H46)</f>
      </c>
      <c r="I47" s="11519">
        <f>SUM(I5:I46)</f>
      </c>
    </row>
    <row r="50" spans="1:11" ht="16.8">
      <c r="A50" t="s" s="25316">
        <v>507</v>
      </c>
      <c r="B50" s="25170"/>
      <c r="C50" s="25170"/>
      <c r="D50" s="25170"/>
      <c r="E50" s="25170"/>
      <c r="F50" s="25170"/>
      <c r="G50" s="25170"/>
      <c r="H50" s="25170"/>
      <c r="I50" s="25170"/>
      <c r="J50" s="25170"/>
      <c r="K50" s="25170"/>
    </row>
    <row r="51" spans="1:11">
      <c r="A51" t="s" s="11520">
        <v>460</v>
      </c>
      <c r="B51" t="s" s="11521">
        <v>0</v>
      </c>
      <c r="C51" t="s" s="11522">
        <v>500</v>
      </c>
      <c r="D51" t="s" s="11523">
        <v>501</v>
      </c>
      <c r="E51" t="s" s="11524">
        <v>502</v>
      </c>
      <c r="F51" t="s" s="11525">
        <v>503</v>
      </c>
      <c r="G51" t="s" s="11526">
        <v>504</v>
      </c>
      <c r="H51" t="s" s="11527">
        <v>508</v>
      </c>
      <c r="I51" t="s" s="11528">
        <v>509</v>
      </c>
    </row>
    <row r="52" spans="1:11">
      <c r="A52" s="11529">
        <v>21</v>
      </c>
      <c r="B52" t="s" s="11530">
        <v>3</v>
      </c>
      <c r="C52" s="11531">
        <f>IFERROR(SUMIFS($F$5:$F46, $C$5:$C46, A52, $D$5:$D46, B52), 0)</f>
      </c>
      <c r="D52" s="11532">
        <f>IFERROR(SUMIFS($G$5:$G46, $C$5:$C46, A52, $D$5:$D46, B52), 0)</f>
      </c>
      <c r="E52" s="11533">
        <f t="shared" ref="E52:E65" si="3">C52 - D52</f>
      </c>
      <c r="F52" s="11534">
        <f>IFERROR(SUMIFS($I$5:$I46, $C$5:$C46, A52, $D$5:$D46, B52), 0)</f>
      </c>
      <c r="G52" s="11535">
        <f t="shared" ref="G52:G65" si="4">IFERROR(IF(F52=0,"",D52/F52), "")</f>
      </c>
      <c r="H52" s="11536">
        <f>IFERROR(SUMIFS(Captura_Obra!$F:$F, Captura_Obra!$B:$B, B52, Captura_Obra!$M:$M, A52), 0)</f>
      </c>
      <c r="I52" s="11537">
        <f t="shared" ref="I52:I65" si="5">IFERROR(C52 - (H52 * IF(F52=0,0,D52/F52)), "")</f>
      </c>
    </row>
    <row r="53" spans="1:11">
      <c r="A53" s="11538">
        <v>22</v>
      </c>
      <c r="B53" t="s" s="11539">
        <v>478</v>
      </c>
      <c r="C53" s="11540">
        <f>IFERROR(SUMIFS($F$5:$F46, $C$5:$C46, A53, $D$5:$D46, B53), 0)</f>
      </c>
      <c r="D53" s="11541">
        <f>IFERROR(SUMIFS($G$5:$G46, $C$5:$C46, A53, $D$5:$D46, B53), 0)</f>
      </c>
      <c r="E53" s="11542">
        <f t="shared" si="3"/>
      </c>
      <c r="F53" s="11543">
        <f>IFERROR(SUMIFS($I$5:$I46, $C$5:$C46, A53, $D$5:$D46, B53), 0)</f>
      </c>
      <c r="G53" s="11544">
        <f t="shared" si="4"/>
      </c>
      <c r="H53" s="11545">
        <f>IFERROR(SUMIFS(Captura_Obra!$F:$F, Captura_Obra!$B:$B, B53, Captura_Obra!$M:$M, A53), 0)</f>
      </c>
      <c r="I53" s="11546">
        <f t="shared" si="5"/>
      </c>
    </row>
    <row r="54" spans="1:11">
      <c r="A54" s="11547">
        <v>22</v>
      </c>
      <c r="B54" t="s" s="11548">
        <v>3</v>
      </c>
      <c r="C54" s="11549">
        <f>IFERROR(SUMIFS($F$5:$F46, $C$5:$C46, A54, $D$5:$D46, B54), 0)</f>
      </c>
      <c r="D54" s="11550">
        <f>IFERROR(SUMIFS($G$5:$G46, $C$5:$C46, A54, $D$5:$D46, B54), 0)</f>
      </c>
      <c r="E54" s="11551">
        <f t="shared" si="3"/>
      </c>
      <c r="F54" s="11552">
        <f>IFERROR(SUMIFS($I$5:$I46, $C$5:$C46, A54, $D$5:$D46, B54), 0)</f>
      </c>
      <c r="G54" s="11553">
        <f t="shared" si="4"/>
      </c>
      <c r="H54" s="11554">
        <f>IFERROR(SUMIFS(Captura_Obra!$F:$F, Captura_Obra!$B:$B, B54, Captura_Obra!$M:$M, A54), 0)</f>
      </c>
      <c r="I54" s="11555">
        <f t="shared" si="5"/>
      </c>
    </row>
    <row r="55" spans="1:11">
      <c r="A55" s="11556">
        <v>23</v>
      </c>
      <c r="B55" t="s" s="11557">
        <v>1</v>
      </c>
      <c r="C55" s="11558">
        <f>IFERROR(SUMIFS($F$5:$F46, $C$5:$C46, A55, $D$5:$D46, B55), 0)</f>
      </c>
      <c r="D55" s="11559">
        <f>IFERROR(SUMIFS($G$5:$G46, $C$5:$C46, A55, $D$5:$D46, B55), 0)</f>
      </c>
      <c r="E55" s="11560">
        <f t="shared" si="3"/>
      </c>
      <c r="F55" s="11561">
        <f>IFERROR(SUMIFS($I$5:$I46, $C$5:$C46, A55, $D$5:$D46, B55), 0)</f>
      </c>
      <c r="G55" s="11562">
        <f t="shared" si="4"/>
      </c>
      <c r="H55" s="11563">
        <f>IFERROR(SUMIFS(Captura_Obra!$F:$F, Captura_Obra!$B:$B, B55, Captura_Obra!$M:$M, A55), 0)</f>
      </c>
      <c r="I55" s="11564">
        <f t="shared" si="5"/>
      </c>
    </row>
    <row r="56" spans="1:11">
      <c r="A56" s="11565">
        <v>23</v>
      </c>
      <c r="B56" t="s" s="11566">
        <v>124</v>
      </c>
      <c r="C56" s="11567">
        <f>IFERROR(SUMIFS($F$5:$F46, $C$5:$C46, A56, $D$5:$D46, B56), 0)</f>
      </c>
      <c r="D56" s="11568">
        <f>IFERROR(SUMIFS($G$5:$G46, $C$5:$C46, A56, $D$5:$D46, B56), 0)</f>
      </c>
      <c r="E56" s="11569">
        <f t="shared" si="3"/>
      </c>
      <c r="F56" s="11570">
        <f>IFERROR(SUMIFS($I$5:$I46, $C$5:$C46, A56, $D$5:$D46, B56), 0)</f>
      </c>
      <c r="G56" s="11571">
        <f t="shared" si="4"/>
      </c>
      <c r="H56" s="11572">
        <f>IFERROR(SUMIFS(Captura_Obra!$F:$F, Captura_Obra!$B:$B, B56, Captura_Obra!$M:$M, A56), 0)</f>
      </c>
      <c r="I56" s="11573">
        <f t="shared" si="5"/>
      </c>
    </row>
    <row r="57" spans="1:11">
      <c r="A57" s="11574">
        <v>23</v>
      </c>
      <c r="B57" t="s" s="11575">
        <v>3</v>
      </c>
      <c r="C57" s="11576">
        <f>IFERROR(SUMIFS($F$5:$F46, $C$5:$C46, A57, $D$5:$D46, B57), 0)</f>
      </c>
      <c r="D57" s="11577">
        <f>IFERROR(SUMIFS($G$5:$G46, $C$5:$C46, A57, $D$5:$D46, B57), 0)</f>
      </c>
      <c r="E57" s="11578">
        <f t="shared" si="3"/>
      </c>
      <c r="F57" s="11579">
        <f>IFERROR(SUMIFS($I$5:$I46, $C$5:$C46, A57, $D$5:$D46, B57), 0)</f>
      </c>
      <c r="G57" s="11580">
        <f t="shared" si="4"/>
      </c>
      <c r="H57" s="11581">
        <f>IFERROR(SUMIFS(Captura_Obra!$F:$F, Captura_Obra!$B:$B, B57, Captura_Obra!$M:$M, A57), 0)</f>
      </c>
      <c r="I57" s="11582">
        <f t="shared" si="5"/>
      </c>
    </row>
    <row r="58" spans="1:11">
      <c r="A58" s="11583">
        <v>24</v>
      </c>
      <c r="B58" t="s" s="11584">
        <v>1</v>
      </c>
      <c r="C58" s="11585">
        <f>IFERROR(SUMIFS($F$5:$F46, $C$5:$C46, A58, $D$5:$D46, B58), 0)</f>
      </c>
      <c r="D58" s="11586">
        <f>IFERROR(SUMIFS($G$5:$G46, $C$5:$C46, A58, $D$5:$D46, B58), 0)</f>
      </c>
      <c r="E58" s="11587">
        <f t="shared" si="3"/>
      </c>
      <c r="F58" s="11588">
        <f>IFERROR(SUMIFS($I$5:$I46, $C$5:$C46, A58, $D$5:$D46, B58), 0)</f>
      </c>
      <c r="G58" s="11589">
        <f t="shared" si="4"/>
      </c>
      <c r="H58" s="11590">
        <f>IFERROR(SUMIFS(Captura_Obra!$F:$F, Captura_Obra!$B:$B, B58, Captura_Obra!$M:$M, A58), 0)</f>
      </c>
      <c r="I58" s="11591">
        <f t="shared" si="5"/>
      </c>
    </row>
    <row r="59" spans="1:11">
      <c r="A59" s="11592">
        <v>24</v>
      </c>
      <c r="B59" t="s" s="11593">
        <v>124</v>
      </c>
      <c r="C59" s="11594">
        <f>IFERROR(SUMIFS($F$5:$F46, $C$5:$C46, A59, $D$5:$D46, B59), 0)</f>
      </c>
      <c r="D59" s="11595">
        <f>IFERROR(SUMIFS($G$5:$G46, $C$5:$C46, A59, $D$5:$D46, B59), 0)</f>
      </c>
      <c r="E59" s="11596">
        <f t="shared" si="3"/>
      </c>
      <c r="F59" s="11597">
        <f>IFERROR(SUMIFS($I$5:$I46, $C$5:$C46, A59, $D$5:$D46, B59), 0)</f>
      </c>
      <c r="G59" s="11598">
        <f t="shared" si="4"/>
      </c>
      <c r="H59" s="11599">
        <f>IFERROR(SUMIFS(Captura_Obra!$F:$F, Captura_Obra!$B:$B, B59, Captura_Obra!$M:$M, A59), 0)</f>
      </c>
      <c r="I59" s="11600">
        <f t="shared" si="5"/>
      </c>
    </row>
    <row r="60" spans="1:11">
      <c r="A60" s="11601">
        <v>24</v>
      </c>
      <c r="B60" t="s" s="11602">
        <v>115</v>
      </c>
      <c r="C60" s="11603">
        <f>IFERROR(SUMIFS($F$5:$F46, $C$5:$C46, A60, $D$5:$D46, B60), 0)</f>
      </c>
      <c r="D60" s="11604">
        <f>IFERROR(SUMIFS($G$5:$G46, $C$5:$C46, A60, $D$5:$D46, B60), 0)</f>
      </c>
      <c r="E60" s="11605">
        <f t="shared" si="3"/>
      </c>
      <c r="F60" s="11606">
        <f>IFERROR(SUMIFS($I$5:$I46, $C$5:$C46, A60, $D$5:$D46, B60), 0)</f>
      </c>
      <c r="G60" s="11607">
        <f t="shared" si="4"/>
      </c>
      <c r="H60" s="11608">
        <f>IFERROR(SUMIFS(Captura_Obra!$F:$F, Captura_Obra!$B:$B, B60, Captura_Obra!$M:$M, A60), 0)</f>
      </c>
      <c r="I60" s="11609">
        <f t="shared" si="5"/>
      </c>
    </row>
    <row r="61" spans="1:11">
      <c r="A61" s="11610">
        <v>24</v>
      </c>
      <c r="B61" t="s" s="11611">
        <v>3</v>
      </c>
      <c r="C61" s="11612">
        <f>IFERROR(SUMIFS($F$5:$F46, $C$5:$C46, A61, $D$5:$D46, B61), 0)</f>
      </c>
      <c r="D61" s="11613">
        <f>IFERROR(SUMIFS($G$5:$G46, $C$5:$C46, A61, $D$5:$D46, B61), 0)</f>
      </c>
      <c r="E61" s="11614">
        <f t="shared" si="3"/>
      </c>
      <c r="F61" s="11615">
        <f>IFERROR(SUMIFS($I$5:$I46, $C$5:$C46, A61, $D$5:$D46, B61), 0)</f>
      </c>
      <c r="G61" s="11616">
        <f t="shared" si="4"/>
      </c>
      <c r="H61" s="11617">
        <f>IFERROR(SUMIFS(Captura_Obra!$F:$F, Captura_Obra!$B:$B, B61, Captura_Obra!$M:$M, A61), 0)</f>
      </c>
      <c r="I61" s="11618">
        <f t="shared" si="5"/>
      </c>
    </row>
    <row r="62" spans="1:11">
      <c r="A62" s="11619">
        <v>25</v>
      </c>
      <c r="B62" t="s" s="11620">
        <v>1</v>
      </c>
      <c r="C62" s="11621">
        <f>IFERROR(SUMIFS($F$5:$F46, $C$5:$C46, A62, $D$5:$D46, B62), 0)</f>
      </c>
      <c r="D62" s="11622">
        <f>IFERROR(SUMIFS($G$5:$G46, $C$5:$C46, A62, $D$5:$D46, B62), 0)</f>
      </c>
      <c r="E62" s="11623">
        <f t="shared" si="3"/>
      </c>
      <c r="F62" s="11624">
        <f>IFERROR(SUMIFS($I$5:$I46, $C$5:$C46, A62, $D$5:$D46, B62), 0)</f>
      </c>
      <c r="G62" s="11625">
        <f t="shared" si="4"/>
      </c>
      <c r="H62" s="11626">
        <f>IFERROR(SUMIFS(Captura_Obra!$F:$F, Captura_Obra!$B:$B, B62, Captura_Obra!$M:$M, A62), 0)</f>
      </c>
      <c r="I62" s="11627">
        <f t="shared" si="5"/>
      </c>
    </row>
    <row r="63" spans="1:11">
      <c r="A63" s="11628">
        <v>25</v>
      </c>
      <c r="B63" t="s" s="11629">
        <v>124</v>
      </c>
      <c r="C63" s="11630">
        <f>IFERROR(SUMIFS($F$5:$F46, $C$5:$C46, A63, $D$5:$D46, B63), 0)</f>
      </c>
      <c r="D63" s="11631">
        <f>IFERROR(SUMIFS($G$5:$G46, $C$5:$C46, A63, $D$5:$D46, B63), 0)</f>
      </c>
      <c r="E63" s="11632">
        <f t="shared" si="3"/>
      </c>
      <c r="F63" s="11633">
        <f>IFERROR(SUMIFS($I$5:$I46, $C$5:$C46, A63, $D$5:$D46, B63), 0)</f>
      </c>
      <c r="G63" s="11634">
        <f t="shared" si="4"/>
      </c>
      <c r="H63" s="11635">
        <f>IFERROR(SUMIFS(Captura_Obra!$F:$F, Captura_Obra!$B:$B, B63, Captura_Obra!$M:$M, A63), 0)</f>
      </c>
      <c r="I63" s="11636">
        <f t="shared" si="5"/>
      </c>
    </row>
    <row r="64" spans="1:11">
      <c r="A64" s="11637">
        <v>25</v>
      </c>
      <c r="B64" t="s" s="11638">
        <v>115</v>
      </c>
      <c r="C64" s="11639">
        <f>IFERROR(SUMIFS($F$5:$F46, $C$5:$C46, A64, $D$5:$D46, B64), 0)</f>
      </c>
      <c r="D64" s="11640">
        <f>IFERROR(SUMIFS($G$5:$G46, $C$5:$C46, A64, $D$5:$D46, B64), 0)</f>
      </c>
      <c r="E64" s="11641">
        <f t="shared" si="3"/>
      </c>
      <c r="F64" s="11642">
        <f>IFERROR(SUMIFS($I$5:$I46, $C$5:$C46, A64, $D$5:$D46, B64), 0)</f>
      </c>
      <c r="G64" s="11643">
        <f t="shared" si="4"/>
      </c>
      <c r="H64" s="11644">
        <f>IFERROR(SUMIFS(Captura_Obra!$F:$F, Captura_Obra!$B:$B, B64, Captura_Obra!$M:$M, A64), 0)</f>
      </c>
      <c r="I64" s="11645">
        <f t="shared" si="5"/>
      </c>
    </row>
    <row r="65" spans="1:9">
      <c r="A65" s="11646">
        <v>26</v>
      </c>
      <c r="B65" t="s" s="11647">
        <v>1</v>
      </c>
      <c r="C65" s="11648">
        <f>IFERROR(SUMIFS($F$5:$F46, $C$5:$C46, A65, $D$5:$D46, B65), 0)</f>
      </c>
      <c r="D65" s="11649">
        <f>IFERROR(SUMIFS($G$5:$G46, $C$5:$C46, A65, $D$5:$D46, B65), 0)</f>
      </c>
      <c r="E65" s="11650">
        <f t="shared" si="3"/>
      </c>
      <c r="F65" s="11651">
        <f>IFERROR(SUMIFS($I$5:$I46, $C$5:$C46, A65, $D$5:$D46, B65), 0)</f>
      </c>
      <c r="G65" s="11652">
        <f t="shared" si="4"/>
      </c>
      <c r="H65" s="11653">
        <f>IFERROR(SUMIFS(Captura_Obra!$F:$F, Captura_Obra!$B:$B, B65, Captura_Obra!$M:$M, A65), 0)</f>
      </c>
      <c r="I65" s="11654">
        <f t="shared" si="5"/>
      </c>
    </row>
  </sheetData>
  <autoFilter ref="A4:K47" xr:uid="{E1A0119E-1DA9-4592-871A-C66CC2D31EAA}">
    <sortState xmlns:xlrd2="http://schemas.microsoft.com/office/spreadsheetml/2017/richdata2" ref="A5:K47">
      <sortCondition ref="C4:C47"/>
    </sortState>
  </autoFilter>
  <mergeCells count="3">
    <mergeCell ref="A1:K1"/>
    <mergeCell ref="A2:K2"/>
    <mergeCell ref="A50:K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D700-3508-4FB0-8AC1-7F2CB2C52156}">
  <sheetPr/>
  <sheetViews>
    <sheetView topLeftCell="A49" workbookViewId="0">
      <selection sqref="A1:O1"/>
    </sheetView>
  </sheetViews>
  <sheetFormatPr baseColWidth="10" defaultRowHeight="13.8"/>
  <cols>
    <col min="1" max="1" width="9" customWidth="1"/>
    <col min="2" max="2" width="13" customWidth="1"/>
    <col min="3" max="3" width="14" customWidth="1"/>
    <col min="4" max="4" width="32" customWidth="1"/>
    <col min="5" max="5" width="30" customWidth="1"/>
    <col min="6" max="7" width="14" customWidth="1"/>
    <col min="8" max="8" width="12" customWidth="1"/>
    <col min="9" max="9" width="13" customWidth="1"/>
    <col min="10" max="10" width="12" customWidth="1"/>
    <col min="11" max="11" width="25" customWidth="1"/>
    <col min="12" max="12" width="22" customWidth="1"/>
    <col min="13" max="13" width="30" customWidth="1"/>
    <col min="14" max="14" width="14" customWidth="1"/>
    <col min="15" max="15" width="40" customWidth="1"/>
  </cols>
  <sheetData>
    <row r="1" spans="1:15" ht="17.399999999999999">
      <c r="A1" t="s" s="25320">
        <v>510</v>
      </c>
      <c r="B1" s="25170"/>
      <c r="C1" s="25170"/>
      <c r="D1" s="25170"/>
      <c r="E1" s="25170"/>
      <c r="F1" s="25170"/>
      <c r="G1" s="25170"/>
      <c r="H1" s="25170"/>
      <c r="I1" s="25170"/>
      <c r="J1" s="25170"/>
      <c r="K1" s="25170"/>
      <c r="L1" s="25170"/>
      <c r="M1" s="25170"/>
      <c r="N1" s="25170"/>
      <c r="O1" s="25170"/>
    </row>
    <row r="2" spans="1:15" ht="14.4">
      <c r="A2" t="s" s="25321">
        <v>580</v>
      </c>
      <c r="B2" s="25170"/>
      <c r="C2" s="25170"/>
      <c r="D2" s="25170"/>
      <c r="E2" s="25170"/>
      <c r="F2" s="25170"/>
      <c r="G2" s="25170"/>
      <c r="H2" s="25170"/>
      <c r="I2" s="25170"/>
      <c r="J2" s="25170"/>
      <c r="K2" s="25170"/>
      <c r="L2" s="25170"/>
      <c r="M2" s="25170"/>
      <c r="N2" s="25170"/>
      <c r="O2" s="25170"/>
    </row>
    <row r="4" spans="1:15" ht="15.6">
      <c r="A4" t="s" s="25322">
        <v>581</v>
      </c>
      <c r="B4" s="25170"/>
      <c r="C4" s="25170"/>
      <c r="D4" s="25170"/>
      <c r="E4" s="25170"/>
      <c r="F4" s="25170"/>
      <c r="G4" s="25170"/>
      <c r="H4" s="25170"/>
      <c r="I4" s="25170"/>
    </row>
    <row r="5" spans="1:15" ht="31.95" customHeight="1">
      <c r="A5" t="s" s="11655">
        <v>511</v>
      </c>
      <c r="B5" t="s" s="11656">
        <v>582</v>
      </c>
      <c r="C5" t="s" s="11657">
        <v>583</v>
      </c>
      <c r="D5" t="s" s="11658">
        <v>512</v>
      </c>
      <c r="E5" t="s" s="11659">
        <v>513</v>
      </c>
      <c r="F5" t="s" s="11660">
        <v>514</v>
      </c>
      <c r="G5" t="s" s="11661">
        <v>584</v>
      </c>
      <c r="H5" t="s" s="11662">
        <v>515</v>
      </c>
      <c r="I5" t="s" s="11663">
        <v>516</v>
      </c>
      <c r="J5" t="s" s="11664">
        <v>585</v>
      </c>
    </row>
    <row r="6" spans="1:15">
      <c r="A6" t="s" s="25323">
        <v>586</v>
      </c>
      <c r="B6" s="25170"/>
      <c r="C6" s="25170"/>
      <c r="D6" s="25170"/>
      <c r="E6" s="25170"/>
      <c r="F6" s="25170"/>
      <c r="G6" s="25170"/>
      <c r="H6" s="25170"/>
      <c r="I6" s="25170"/>
      <c r="J6" s="25170"/>
    </row>
    <row r="7" spans="1:15">
      <c r="A7" s="11665">
        <v>1</v>
      </c>
      <c r="B7" t="s" s="11666">
        <v>587</v>
      </c>
      <c r="C7" s="11667"/>
      <c r="D7" t="s" s="11668">
        <v>517</v>
      </c>
      <c r="E7" t="s" s="11669">
        <v>518</v>
      </c>
      <c r="F7" t="s" s="11670">
        <v>519</v>
      </c>
      <c r="G7" t="s" s="11671">
        <v>111</v>
      </c>
      <c r="H7" s="11672">
        <v>1200</v>
      </c>
      <c r="I7" t="s" s="11673">
        <v>520</v>
      </c>
      <c r="J7" s="11674"/>
    </row>
    <row r="8" spans="1:15">
      <c r="A8" s="11675">
        <v>2</v>
      </c>
      <c r="B8" t="s" s="11676">
        <v>587</v>
      </c>
      <c r="C8" s="11677"/>
      <c r="D8" t="s" s="11678">
        <v>521</v>
      </c>
      <c r="E8" t="s" s="11679">
        <v>522</v>
      </c>
      <c r="F8" t="s" s="11680">
        <v>538</v>
      </c>
      <c r="G8" t="s" s="11681">
        <v>111</v>
      </c>
      <c r="H8" s="11682">
        <v>500</v>
      </c>
      <c r="I8" t="s" s="11683">
        <v>520</v>
      </c>
      <c r="J8" s="11684"/>
    </row>
    <row r="9" spans="1:15">
      <c r="A9" s="11685">
        <v>3</v>
      </c>
      <c r="B9" t="s" s="11686">
        <v>587</v>
      </c>
      <c r="C9" s="11687"/>
      <c r="D9" t="s" s="11688">
        <v>523</v>
      </c>
      <c r="E9" t="s" s="11689">
        <v>524</v>
      </c>
      <c r="F9" t="s" s="11690">
        <v>525</v>
      </c>
      <c r="G9" t="s" s="11691">
        <v>588</v>
      </c>
      <c r="H9" s="11692">
        <v>2500</v>
      </c>
      <c r="I9" t="s" s="11693">
        <v>520</v>
      </c>
      <c r="J9" s="11694"/>
    </row>
    <row r="10" spans="1:15" ht="41.4">
      <c r="A10" s="11695">
        <v>4</v>
      </c>
      <c r="B10" t="s" s="11696">
        <v>587</v>
      </c>
      <c r="C10" s="11697"/>
      <c r="D10" t="s" s="11698">
        <v>526</v>
      </c>
      <c r="E10" t="s" s="11699">
        <v>518</v>
      </c>
      <c r="F10" t="s" s="11700">
        <v>589</v>
      </c>
      <c r="G10" t="s" s="11701">
        <v>1</v>
      </c>
      <c r="H10" s="11702">
        <v>1500</v>
      </c>
      <c r="I10" t="s" s="11703">
        <v>520</v>
      </c>
      <c r="J10" t="s" s="11704">
        <v>590</v>
      </c>
    </row>
    <row r="11" spans="1:15">
      <c r="A11" s="11705">
        <v>5</v>
      </c>
      <c r="B11" t="s" s="11706">
        <v>587</v>
      </c>
      <c r="C11" s="11707"/>
      <c r="D11" t="s" s="11708">
        <v>527</v>
      </c>
      <c r="E11" t="s" s="11709">
        <v>528</v>
      </c>
      <c r="F11" t="s" s="11710">
        <v>529</v>
      </c>
      <c r="G11" t="s" s="11711">
        <v>115</v>
      </c>
      <c r="H11" s="11712">
        <v>1500</v>
      </c>
      <c r="I11" t="s" s="11713">
        <v>520</v>
      </c>
      <c r="J11" s="11714"/>
    </row>
    <row r="12" spans="1:15">
      <c r="A12" s="11715">
        <v>6</v>
      </c>
      <c r="B12" t="s" s="11716">
        <v>587</v>
      </c>
      <c r="C12" s="11717"/>
      <c r="D12" t="s" s="11718">
        <v>530</v>
      </c>
      <c r="E12" t="s" s="11719">
        <v>531</v>
      </c>
      <c r="F12" t="s" s="11720">
        <v>532</v>
      </c>
      <c r="G12" t="s" s="11721">
        <v>115</v>
      </c>
      <c r="H12" s="11722">
        <v>1500</v>
      </c>
      <c r="I12" t="s" s="11723">
        <v>520</v>
      </c>
      <c r="J12" s="11724"/>
    </row>
    <row r="13" spans="1:15">
      <c r="A13" s="11725">
        <v>7</v>
      </c>
      <c r="B13" t="s" s="11726">
        <v>587</v>
      </c>
      <c r="C13" s="11727"/>
      <c r="D13" t="s" s="11728">
        <v>533</v>
      </c>
      <c r="E13" t="s" s="11729">
        <v>534</v>
      </c>
      <c r="F13" t="s" s="11730">
        <v>535</v>
      </c>
      <c r="G13" t="s" s="11731">
        <v>111</v>
      </c>
      <c r="H13" s="11732">
        <v>1500</v>
      </c>
      <c r="I13" t="s" s="11733">
        <v>520</v>
      </c>
      <c r="J13" s="11734"/>
    </row>
    <row r="14" spans="1:15">
      <c r="A14" s="11735">
        <v>8</v>
      </c>
      <c r="B14" t="s" s="11736">
        <v>587</v>
      </c>
      <c r="C14" s="11737"/>
      <c r="D14" t="s" s="11738">
        <v>536</v>
      </c>
      <c r="E14" t="s" s="11739">
        <v>537</v>
      </c>
      <c r="F14" t="s" s="11740">
        <v>538</v>
      </c>
      <c r="G14" t="s" s="11741">
        <v>111</v>
      </c>
      <c r="H14" s="11742">
        <v>500</v>
      </c>
      <c r="I14" t="s" s="11743">
        <v>520</v>
      </c>
      <c r="J14" s="11744"/>
    </row>
    <row r="15" spans="1:15">
      <c r="A15" s="11745">
        <v>9</v>
      </c>
      <c r="B15" t="s" s="11746">
        <v>587</v>
      </c>
      <c r="C15" s="11747"/>
      <c r="D15" t="s" s="11748">
        <v>539</v>
      </c>
      <c r="E15" t="s" s="11749">
        <v>534</v>
      </c>
      <c r="F15" t="s" s="11750">
        <v>540</v>
      </c>
      <c r="G15" t="s" s="11751">
        <v>1</v>
      </c>
      <c r="H15" s="11752">
        <v>3000</v>
      </c>
      <c r="I15" t="s" s="11753">
        <v>541</v>
      </c>
      <c r="J15" s="11754"/>
    </row>
    <row r="16" spans="1:15">
      <c r="A16" s="11755">
        <v>10</v>
      </c>
      <c r="B16" t="s" s="11756">
        <v>587</v>
      </c>
      <c r="C16" s="11757"/>
      <c r="D16" t="s" s="11758">
        <v>542</v>
      </c>
      <c r="E16" t="s" s="11759">
        <v>543</v>
      </c>
      <c r="F16" t="s" s="11760">
        <v>544</v>
      </c>
      <c r="G16" t="s" s="11761">
        <v>1</v>
      </c>
      <c r="H16" s="11762">
        <v>2500</v>
      </c>
      <c r="I16" t="s" s="11763">
        <v>541</v>
      </c>
      <c r="J16" s="11764"/>
    </row>
    <row r="17" spans="1:10">
      <c r="A17" s="11765">
        <v>11</v>
      </c>
      <c r="B17" t="s" s="11766">
        <v>587</v>
      </c>
      <c r="C17" s="11767"/>
      <c r="D17" t="s" s="11768">
        <v>545</v>
      </c>
      <c r="E17" t="s" s="11769">
        <v>546</v>
      </c>
      <c r="F17" t="s" s="11770">
        <v>547</v>
      </c>
      <c r="G17" t="s" s="11771">
        <v>1</v>
      </c>
      <c r="H17" s="11772">
        <v>4000</v>
      </c>
      <c r="I17" t="s" s="11773">
        <v>541</v>
      </c>
      <c r="J17" s="11774"/>
    </row>
    <row r="18" spans="1:10">
      <c r="A18" s="11775">
        <v>12</v>
      </c>
      <c r="B18" t="s" s="11776">
        <v>587</v>
      </c>
      <c r="C18" s="11777"/>
      <c r="D18" t="s" s="11778">
        <v>548</v>
      </c>
      <c r="E18" t="s" s="11779">
        <v>534</v>
      </c>
      <c r="F18" t="s" s="11780">
        <v>549</v>
      </c>
      <c r="G18" t="s" s="11781">
        <v>2</v>
      </c>
      <c r="H18" s="11782">
        <v>2500</v>
      </c>
      <c r="I18" t="s" s="11783">
        <v>520</v>
      </c>
      <c r="J18" s="11784"/>
    </row>
    <row r="19" spans="1:10">
      <c r="A19" s="11785">
        <v>13</v>
      </c>
      <c r="B19" t="s" s="11786">
        <v>587</v>
      </c>
      <c r="C19" s="11787"/>
      <c r="D19" t="s" s="11788">
        <v>550</v>
      </c>
      <c r="E19" t="s" s="11789">
        <v>534</v>
      </c>
      <c r="F19" t="s" s="11790">
        <v>551</v>
      </c>
      <c r="G19" t="s" s="11791">
        <v>2</v>
      </c>
      <c r="H19" s="11792">
        <v>1500</v>
      </c>
      <c r="I19" t="s" s="11793">
        <v>520</v>
      </c>
      <c r="J19" s="11794"/>
    </row>
    <row r="20" spans="1:10">
      <c r="A20" s="11795">
        <v>14</v>
      </c>
      <c r="B20" t="s" s="11796">
        <v>587</v>
      </c>
      <c r="C20" s="11797"/>
      <c r="D20" t="s" s="11798">
        <v>552</v>
      </c>
      <c r="E20" t="s" s="11799">
        <v>546</v>
      </c>
      <c r="F20" t="s" s="11800">
        <v>553</v>
      </c>
      <c r="G20" t="s" s="11801">
        <v>2</v>
      </c>
      <c r="H20" s="11802">
        <v>3000</v>
      </c>
      <c r="I20" t="s" s="11803">
        <v>520</v>
      </c>
      <c r="J20" s="11804"/>
    </row>
    <row r="21" spans="1:10">
      <c r="A21" s="11805">
        <v>15</v>
      </c>
      <c r="B21" t="s" s="11806">
        <v>587</v>
      </c>
      <c r="C21" s="11807"/>
      <c r="D21" t="s" s="11808">
        <v>554</v>
      </c>
      <c r="E21" t="s" s="11809">
        <v>555</v>
      </c>
      <c r="F21" t="s" s="11810">
        <v>556</v>
      </c>
      <c r="G21" t="s" s="11811">
        <v>2</v>
      </c>
      <c r="H21" s="11812">
        <v>2500</v>
      </c>
      <c r="I21" t="s" s="11813">
        <v>520</v>
      </c>
      <c r="J21" s="11814"/>
    </row>
    <row r="22" spans="1:10">
      <c r="A22" s="11815">
        <v>16</v>
      </c>
      <c r="B22" t="s" s="11816">
        <v>587</v>
      </c>
      <c r="C22" s="11817"/>
      <c r="D22" t="s" s="11818">
        <v>591</v>
      </c>
      <c r="E22" t="s" s="11819">
        <v>557</v>
      </c>
      <c r="F22" t="s" s="11820">
        <v>538</v>
      </c>
      <c r="G22" t="s" s="11821">
        <v>2</v>
      </c>
      <c r="H22" s="11822">
        <v>300</v>
      </c>
      <c r="I22" t="s" s="11823">
        <v>520</v>
      </c>
      <c r="J22" s="11824"/>
    </row>
    <row r="23" spans="1:10">
      <c r="A23" s="11825">
        <v>17</v>
      </c>
      <c r="B23" t="s" s="11826">
        <v>587</v>
      </c>
      <c r="C23" s="11827"/>
      <c r="D23" t="s" s="11828">
        <v>591</v>
      </c>
      <c r="E23" t="s" s="11829">
        <v>558</v>
      </c>
      <c r="F23" t="s" s="11830">
        <v>538</v>
      </c>
      <c r="G23" t="s" s="11831">
        <v>2</v>
      </c>
      <c r="H23" s="11832">
        <v>300</v>
      </c>
      <c r="I23" t="s" s="11833">
        <v>520</v>
      </c>
      <c r="J23" s="11834"/>
    </row>
    <row r="24" spans="1:10">
      <c r="A24" s="11835">
        <v>18</v>
      </c>
      <c r="B24" t="s" s="11836">
        <v>587</v>
      </c>
      <c r="C24" s="11837"/>
      <c r="D24" t="s" s="11838">
        <v>591</v>
      </c>
      <c r="E24" t="s" s="11839">
        <v>559</v>
      </c>
      <c r="F24" t="s" s="11840">
        <v>538</v>
      </c>
      <c r="G24" t="s" s="11841">
        <v>2</v>
      </c>
      <c r="H24" s="11842">
        <v>300</v>
      </c>
      <c r="I24" t="s" s="11843">
        <v>520</v>
      </c>
      <c r="J24" s="11844"/>
    </row>
    <row r="25" spans="1:10">
      <c r="A25" s="11845">
        <v>19</v>
      </c>
      <c r="B25" t="s" s="11846">
        <v>587</v>
      </c>
      <c r="C25" s="11847"/>
      <c r="D25" t="s" s="11848">
        <v>560</v>
      </c>
      <c r="E25" t="s" s="11849">
        <v>592</v>
      </c>
      <c r="F25" t="s" s="11850">
        <v>561</v>
      </c>
      <c r="G25" t="s" s="11851">
        <v>124</v>
      </c>
      <c r="H25" s="11852">
        <v>2500</v>
      </c>
      <c r="I25" t="s" s="11853">
        <v>541</v>
      </c>
      <c r="J25" s="11854"/>
    </row>
    <row r="26" spans="1:10">
      <c r="A26" s="11855">
        <v>20</v>
      </c>
      <c r="B26" t="s" s="11856">
        <v>587</v>
      </c>
      <c r="C26" s="11857"/>
      <c r="D26" t="s" s="11858">
        <v>562</v>
      </c>
      <c r="E26" t="s" s="11859">
        <v>563</v>
      </c>
      <c r="F26" t="s" s="11860">
        <v>538</v>
      </c>
      <c r="G26" t="s" s="11861">
        <v>124</v>
      </c>
      <c r="H26" s="11862">
        <v>1000</v>
      </c>
      <c r="I26" t="s" s="11863">
        <v>541</v>
      </c>
      <c r="J26" s="11864"/>
    </row>
    <row r="27" spans="1:10">
      <c r="A27" s="11865">
        <v>21</v>
      </c>
      <c r="B27" t="s" s="11866">
        <v>587</v>
      </c>
      <c r="C27" s="11867"/>
      <c r="D27" t="s" s="11868">
        <v>564</v>
      </c>
      <c r="E27" t="s" s="11869">
        <v>565</v>
      </c>
      <c r="F27" t="s" s="11870">
        <v>566</v>
      </c>
      <c r="G27" t="s" s="11871">
        <v>567</v>
      </c>
      <c r="H27" s="11872">
        <v>2500</v>
      </c>
      <c r="I27" t="s" s="11873">
        <v>520</v>
      </c>
      <c r="J27" s="11874"/>
    </row>
    <row r="28" spans="1:10">
      <c r="A28" s="11875">
        <v>22</v>
      </c>
      <c r="B28" t="s" s="11876">
        <v>587</v>
      </c>
      <c r="C28" s="11877"/>
      <c r="D28" t="s" s="11878">
        <v>568</v>
      </c>
      <c r="E28" t="s" s="11879">
        <v>569</v>
      </c>
      <c r="F28" t="s" s="11880">
        <v>570</v>
      </c>
      <c r="G28" t="s" s="11881">
        <v>567</v>
      </c>
      <c r="H28" s="11882">
        <v>1000</v>
      </c>
      <c r="I28" t="s" s="11883">
        <v>520</v>
      </c>
      <c r="J28" s="11884"/>
    </row>
    <row r="29" spans="1:10">
      <c r="A29" s="11885">
        <v>23</v>
      </c>
      <c r="B29" t="s" s="11886">
        <v>587</v>
      </c>
      <c r="C29" s="11887"/>
      <c r="D29" t="s" s="11888">
        <v>571</v>
      </c>
      <c r="E29" t="s" s="11889">
        <v>572</v>
      </c>
      <c r="F29" t="s" s="11890">
        <v>538</v>
      </c>
      <c r="G29" t="s" s="11891">
        <v>567</v>
      </c>
      <c r="H29" s="11892">
        <v>500</v>
      </c>
      <c r="I29" t="s" s="11893">
        <v>520</v>
      </c>
      <c r="J29" s="11894"/>
    </row>
    <row r="30" spans="1:10">
      <c r="A30" s="11895">
        <v>24</v>
      </c>
      <c r="B30" t="s" s="11896">
        <v>587</v>
      </c>
      <c r="C30" s="11897"/>
      <c r="D30" t="s" s="11898">
        <v>571</v>
      </c>
      <c r="E30" t="s" s="11899">
        <v>573</v>
      </c>
      <c r="F30" t="s" s="11900">
        <v>538</v>
      </c>
      <c r="G30" t="s" s="11901">
        <v>567</v>
      </c>
      <c r="H30" s="11902">
        <v>500</v>
      </c>
      <c r="I30" t="s" s="11903">
        <v>520</v>
      </c>
      <c r="J30" s="11904"/>
    </row>
    <row r="31" spans="1:10">
      <c r="A31" s="11905">
        <v>25</v>
      </c>
      <c r="B31" t="s" s="11906">
        <v>587</v>
      </c>
      <c r="C31" s="11907"/>
      <c r="D31" t="s" s="11908">
        <v>574</v>
      </c>
      <c r="E31" t="s" s="11909">
        <v>534</v>
      </c>
      <c r="F31" t="s" s="11910">
        <v>575</v>
      </c>
      <c r="G31" t="s" s="11911">
        <v>576</v>
      </c>
      <c r="H31" s="11912">
        <v>800</v>
      </c>
      <c r="I31" t="s" s="11913">
        <v>520</v>
      </c>
      <c r="J31" s="11914"/>
    </row>
    <row r="32" spans="1:10">
      <c r="A32" s="11915">
        <v>26</v>
      </c>
      <c r="B32" t="s" s="11916">
        <v>587</v>
      </c>
      <c r="C32" s="11917"/>
      <c r="D32" t="s" s="11918">
        <v>577</v>
      </c>
      <c r="E32" t="s" s="11919">
        <v>537</v>
      </c>
      <c r="F32" t="s" s="11920">
        <v>538</v>
      </c>
      <c r="G32" t="s" s="11921">
        <v>576</v>
      </c>
      <c r="H32" s="11922">
        <v>0</v>
      </c>
      <c r="I32" t="s" s="11923">
        <v>520</v>
      </c>
      <c r="J32" s="11924"/>
    </row>
    <row r="33" spans="1:11">
      <c r="A33" s="11925">
        <v>27</v>
      </c>
      <c r="B33" t="s" s="11926">
        <v>587</v>
      </c>
      <c r="C33" s="11927"/>
      <c r="D33" t="s" s="11928">
        <v>578</v>
      </c>
      <c r="E33" t="s" s="11929">
        <v>534</v>
      </c>
      <c r="F33" t="s" s="11930">
        <v>579</v>
      </c>
      <c r="G33" t="s" s="11931">
        <v>1</v>
      </c>
      <c r="H33" s="11932">
        <v>3000</v>
      </c>
      <c r="I33" t="s" s="11933">
        <v>541</v>
      </c>
      <c r="J33" s="11934"/>
    </row>
    <row r="34" spans="1:11">
      <c r="G34" t="s" s="11935">
        <v>593</v>
      </c>
      <c r="H34" s="11936">
        <f>SUM(H7:H33)</f>
      </c>
    </row>
    <row r="35" spans="1:11">
      <c r="A35" t="s" s="25324">
        <v>594</v>
      </c>
      <c r="B35" s="25170"/>
      <c r="C35" s="25170"/>
      <c r="D35" s="25170"/>
      <c r="E35" s="25170"/>
      <c r="F35" s="25170"/>
      <c r="G35" s="25170"/>
      <c r="H35" s="25170"/>
      <c r="I35" s="25170"/>
      <c r="J35" s="25170"/>
    </row>
    <row r="36" spans="1:11">
      <c r="A36" s="11937">
        <v>28</v>
      </c>
      <c r="B36" t="s" s="11938">
        <v>595</v>
      </c>
      <c r="C36" s="11939"/>
      <c r="D36" t="s" s="11940">
        <v>596</v>
      </c>
      <c r="E36" s="11941"/>
      <c r="F36" t="s" s="11942">
        <v>538</v>
      </c>
      <c r="G36" t="s" s="11943">
        <v>597</v>
      </c>
      <c r="H36" s="11944">
        <v>1700</v>
      </c>
      <c r="I36" t="s" s="11945">
        <v>520</v>
      </c>
      <c r="J36" s="11946"/>
    </row>
    <row r="37" spans="1:11">
      <c r="A37" s="11947">
        <v>29</v>
      </c>
      <c r="B37" t="s" s="11948">
        <v>595</v>
      </c>
      <c r="C37" s="11949"/>
      <c r="D37" t="s" s="11950">
        <v>598</v>
      </c>
      <c r="E37" s="11951"/>
      <c r="F37" t="s" s="11952">
        <v>538</v>
      </c>
      <c r="G37" t="s" s="11953">
        <v>597</v>
      </c>
      <c r="H37" s="11954">
        <v>2500</v>
      </c>
      <c r="I37" t="s" s="11955">
        <v>520</v>
      </c>
      <c r="J37" s="11956"/>
    </row>
    <row r="38" spans="1:11">
      <c r="A38" s="11957">
        <v>30</v>
      </c>
      <c r="B38" t="s" s="11958">
        <v>595</v>
      </c>
      <c r="C38" s="11959"/>
      <c r="D38" t="s" s="11960">
        <v>599</v>
      </c>
      <c r="E38" s="11961"/>
      <c r="F38" t="s" s="11962">
        <v>538</v>
      </c>
      <c r="G38" t="s" s="11963">
        <v>597</v>
      </c>
      <c r="H38" s="11964">
        <v>2000</v>
      </c>
      <c r="I38" t="s" s="11965">
        <v>520</v>
      </c>
      <c r="J38" s="11966"/>
    </row>
    <row r="39" spans="1:11">
      <c r="A39" s="11967">
        <v>31</v>
      </c>
      <c r="B39" t="s" s="11968">
        <v>595</v>
      </c>
      <c r="C39" s="11969"/>
      <c r="D39" t="s" s="11970">
        <v>600</v>
      </c>
      <c r="E39" s="11971"/>
      <c r="F39" t="s" s="11972">
        <v>538</v>
      </c>
      <c r="G39" t="s" s="11973">
        <v>597</v>
      </c>
      <c r="H39" s="11974">
        <v>2000</v>
      </c>
      <c r="I39" t="s" s="11975">
        <v>520</v>
      </c>
      <c r="J39" s="11976"/>
    </row>
    <row r="40" spans="1:11">
      <c r="G40" t="s" s="11977">
        <v>601</v>
      </c>
      <c r="H40" s="11978">
        <f>SUM(H36:H39)</f>
      </c>
    </row>
    <row r="41" spans="1:11">
      <c r="A41" t="s" s="25317">
        <v>602</v>
      </c>
      <c r="B41" s="25170"/>
      <c r="C41" s="25170"/>
      <c r="D41" s="25170"/>
      <c r="E41" s="25170"/>
      <c r="F41" s="25170"/>
      <c r="G41" s="25170"/>
      <c r="H41" s="25170"/>
      <c r="I41" s="25170"/>
      <c r="J41" s="25170"/>
    </row>
    <row r="42" spans="1:11">
      <c r="A42" s="11979">
        <v>32</v>
      </c>
      <c r="B42" t="s" s="11980">
        <v>603</v>
      </c>
      <c r="C42" t="s" s="11981">
        <v>604</v>
      </c>
      <c r="D42" t="s" s="11982">
        <v>605</v>
      </c>
      <c r="E42" t="s" s="11983">
        <v>606</v>
      </c>
      <c r="F42" t="s" s="11984">
        <v>607</v>
      </c>
      <c r="G42" t="s" s="11985">
        <v>608</v>
      </c>
      <c r="H42" s="11986">
        <v>2500</v>
      </c>
      <c r="I42" t="s" s="11987">
        <v>520</v>
      </c>
      <c r="J42" s="11988"/>
    </row>
    <row r="43" spans="1:11">
      <c r="A43" s="11989">
        <v>33</v>
      </c>
      <c r="B43" t="s" s="11990">
        <v>603</v>
      </c>
      <c r="C43" t="s" s="11991">
        <v>609</v>
      </c>
      <c r="D43" t="s" s="11992">
        <v>610</v>
      </c>
      <c r="E43" t="s" s="11993">
        <v>611</v>
      </c>
      <c r="F43" t="s" s="11994">
        <v>612</v>
      </c>
      <c r="G43" t="s" s="11995">
        <v>608</v>
      </c>
      <c r="H43" s="11996">
        <v>1500</v>
      </c>
      <c r="I43" t="s" s="11997">
        <v>520</v>
      </c>
      <c r="J43" s="11998"/>
    </row>
    <row r="44" spans="1:11">
      <c r="A44" s="11999">
        <v>34</v>
      </c>
      <c r="B44" t="s" s="12000">
        <v>603</v>
      </c>
      <c r="C44" t="s" s="12001">
        <v>613</v>
      </c>
      <c r="D44" t="s" s="12002">
        <v>614</v>
      </c>
      <c r="E44" t="s" s="12003">
        <v>615</v>
      </c>
      <c r="F44" t="s" s="12004">
        <v>616</v>
      </c>
      <c r="G44" t="s" s="12005">
        <v>608</v>
      </c>
      <c r="H44" s="12006">
        <v>2000</v>
      </c>
      <c r="I44" t="s" s="12007">
        <v>520</v>
      </c>
      <c r="J44" s="12008"/>
    </row>
    <row r="45" spans="1:11">
      <c r="A45" s="12009">
        <v>35</v>
      </c>
      <c r="B45" t="s" s="12010">
        <v>603</v>
      </c>
      <c r="C45" t="s" s="12011">
        <v>617</v>
      </c>
      <c r="D45" t="s" s="12012">
        <v>618</v>
      </c>
      <c r="E45" t="s" s="12013">
        <v>615</v>
      </c>
      <c r="F45" t="s" s="12014">
        <v>619</v>
      </c>
      <c r="G45" t="s" s="12015">
        <v>620</v>
      </c>
      <c r="H45" s="12016">
        <v>1500</v>
      </c>
      <c r="I45" t="s" s="12017">
        <v>520</v>
      </c>
      <c r="J45" s="12018"/>
    </row>
    <row r="46" spans="1:11">
      <c r="A46" s="12019">
        <v>36</v>
      </c>
      <c r="B46" t="s" s="12020">
        <v>603</v>
      </c>
      <c r="C46" t="s" s="12021">
        <v>621</v>
      </c>
      <c r="D46" t="s" s="12022">
        <v>622</v>
      </c>
      <c r="E46" t="s" s="12023">
        <v>615</v>
      </c>
      <c r="F46" t="s" s="12024">
        <v>623</v>
      </c>
      <c r="G46" t="s" s="12025">
        <v>620</v>
      </c>
      <c r="H46" s="12026">
        <v>1500</v>
      </c>
      <c r="I46" t="s" s="12027">
        <v>520</v>
      </c>
      <c r="J46" s="12028"/>
    </row>
    <row r="47" spans="1:11">
      <c r="A47" s="12029">
        <v>37</v>
      </c>
      <c r="B47" t="s" s="12030">
        <v>603</v>
      </c>
      <c r="C47" t="s" s="12031">
        <v>624</v>
      </c>
      <c r="D47" t="s" s="12032">
        <v>625</v>
      </c>
      <c r="E47" t="s" s="12033">
        <v>518</v>
      </c>
      <c r="F47" t="s" s="12034">
        <v>626</v>
      </c>
      <c r="G47" t="s" s="12035">
        <v>627</v>
      </c>
      <c r="H47" s="12036">
        <v>2000</v>
      </c>
      <c r="I47" t="s" s="12037">
        <v>520</v>
      </c>
      <c r="J47" s="12038"/>
    </row>
    <row r="48" spans="1:11">
      <c r="B48">
        <v>46195</v>
      </c>
      <c r="C48" t="s">
        <v>659</v>
      </c>
      <c r="D48" t="s">
        <v>660</v>
      </c>
      <c r="E48" t="s">
        <v>661</v>
      </c>
      <c r="G48" s="12039">
        <v>1473.84</v>
      </c>
      <c r="H48" s="12040">
        <v>64.388</v>
      </c>
      <c r="I48">
        <v>22.89</v>
      </c>
      <c r="K48" t="s">
        <v>520</v>
      </c>
    </row>
    <row r="49" spans="1:15">
      <c r="B49">
        <v>46195</v>
      </c>
      <c r="C49" t="s">
        <v>662</v>
      </c>
      <c r="D49" t="s">
        <v>663</v>
      </c>
      <c r="E49" t="s">
        <v>664</v>
      </c>
      <c r="G49" s="12041">
        <v>800</v>
      </c>
      <c r="H49" s="12042">
        <v>34.95</v>
      </c>
      <c r="I49">
        <v>22.89</v>
      </c>
      <c r="K49" t="s">
        <v>520</v>
      </c>
    </row>
    <row r="50" spans="1:15">
      <c r="B50">
        <v>46195</v>
      </c>
      <c r="C50" t="s">
        <v>662</v>
      </c>
      <c r="D50" t="s">
        <v>663</v>
      </c>
      <c r="E50" t="s">
        <v>664</v>
      </c>
      <c r="G50">
        <v>500</v>
      </c>
      <c r="H50">
        <v>21.844</v>
      </c>
      <c r="I50">
        <v>22.89</v>
      </c>
      <c r="K50" t="s">
        <v>520</v>
      </c>
    </row>
    <row r="51" spans="1:15" ht="15.6">
      <c r="A51" t="s" s="25318">
        <v>628</v>
      </c>
      <c r="B51" s="25170">
        <v>46195</v>
      </c>
      <c r="C51" t="s" s="25170">
        <v>665</v>
      </c>
      <c r="D51" t="s" s="25170">
        <v>666</v>
      </c>
      <c r="E51" t="s" s="25170">
        <v>667</v>
      </c>
      <c r="F51" s="25170"/>
      <c r="G51" s="25170">
        <v>500</v>
      </c>
      <c r="H51" s="25170">
        <v>21.844</v>
      </c>
      <c r="I51" s="25170">
        <v>22.89</v>
      </c>
      <c r="J51" s="25170"/>
      <c r="K51" t="s" s="25170">
        <v>520</v>
      </c>
      <c r="L51" s="25170"/>
      <c r="M51" s="25170"/>
      <c r="N51" s="25170"/>
      <c r="O51" s="25170"/>
    </row>
    <row r="52" spans="1:15" ht="36" customHeight="1">
      <c r="A52" t="s" s="12043">
        <v>460</v>
      </c>
      <c r="B52" s="12044">
        <v>46195</v>
      </c>
      <c r="C52" t="s" s="12045">
        <v>668</v>
      </c>
      <c r="D52" t="s" s="12046">
        <v>669</v>
      </c>
      <c r="E52" t="s" s="12047">
        <v>670</v>
      </c>
      <c r="F52" t="s" s="12048">
        <v>630</v>
      </c>
      <c r="G52" s="12049">
        <v>800</v>
      </c>
      <c r="H52" s="12050">
        <v>34.95</v>
      </c>
      <c r="I52" s="12051">
        <v>22.89</v>
      </c>
      <c r="J52" t="s" s="12052">
        <v>631</v>
      </c>
      <c r="K52" t="s" s="12053">
        <v>520</v>
      </c>
      <c r="L52" t="s" s="12054">
        <v>632</v>
      </c>
      <c r="M52" t="s" s="12055">
        <v>633</v>
      </c>
      <c r="N52" t="s" s="12056">
        <v>634</v>
      </c>
      <c r="O52" t="s" s="12057">
        <v>635</v>
      </c>
    </row>
    <row r="53" spans="1:15">
      <c r="A53" s="12058">
        <v>26</v>
      </c>
      <c r="B53" s="12059">
        <v>46195</v>
      </c>
      <c r="C53" t="s" s="12060">
        <v>671</v>
      </c>
      <c r="D53" t="s" s="12061">
        <v>672</v>
      </c>
      <c r="E53" t="s" s="12062">
        <v>673</v>
      </c>
      <c r="F53" s="12063">
        <v>1500</v>
      </c>
      <c r="G53" s="12064">
        <v>500</v>
      </c>
      <c r="H53" s="12065">
        <v>21.844</v>
      </c>
      <c r="I53" s="12066">
        <v>22.89</v>
      </c>
      <c r="J53" s="12067">
        <v>500</v>
      </c>
      <c r="K53" t="s" s="12068">
        <v>520</v>
      </c>
      <c r="L53" t="s" s="12069">
        <v>520</v>
      </c>
      <c r="M53" t="s" s="12070">
        <v>636</v>
      </c>
      <c r="N53" s="12071">
        <v>-500</v>
      </c>
      <c r="O53" t="s" s="12072">
        <v>637</v>
      </c>
    </row>
    <row r="54" spans="1:15">
      <c r="A54" s="12073">
        <v>26</v>
      </c>
      <c r="B54" s="12074">
        <v>46195</v>
      </c>
      <c r="C54" t="s" s="12075">
        <v>674</v>
      </c>
      <c r="D54" t="s" s="12076">
        <v>560</v>
      </c>
      <c r="E54" t="s" s="12077">
        <v>675</v>
      </c>
      <c r="F54" s="12078">
        <v>3000</v>
      </c>
      <c r="G54" s="12079">
        <v>1000</v>
      </c>
      <c r="H54" s="12080">
        <v>43.687</v>
      </c>
      <c r="I54" s="12081">
        <v>22.89</v>
      </c>
      <c r="J54" s="12082">
        <v>1000</v>
      </c>
      <c r="K54" t="s" s="12083">
        <v>520</v>
      </c>
      <c r="L54" t="s" s="12084">
        <v>541</v>
      </c>
      <c r="M54" t="s" s="12085">
        <v>638</v>
      </c>
      <c r="N54" s="12086">
        <v>-1500</v>
      </c>
      <c r="O54" t="s" s="12087">
        <v>639</v>
      </c>
    </row>
    <row r="55" spans="1:15">
      <c r="A55" s="12088">
        <v>26</v>
      </c>
      <c r="B55" s="12089">
        <v>46195</v>
      </c>
      <c r="C55" t="s" s="12090">
        <v>676</v>
      </c>
      <c r="D55" t="s" s="12091">
        <v>677</v>
      </c>
      <c r="E55" t="s" s="12092">
        <v>678</v>
      </c>
      <c r="F55" s="12093">
        <v>4000</v>
      </c>
      <c r="G55" s="12094">
        <v>1500</v>
      </c>
      <c r="H55" s="12095">
        <v>65.531</v>
      </c>
      <c r="I55" s="12096">
        <v>22.89</v>
      </c>
      <c r="J55" s="12097">
        <v>2500</v>
      </c>
      <c r="K55" t="s" s="12098">
        <v>520</v>
      </c>
      <c r="L55" t="s" s="12099">
        <v>541</v>
      </c>
      <c r="M55" t="s" s="12100">
        <v>638</v>
      </c>
      <c r="N55" s="12101">
        <v>-2500</v>
      </c>
      <c r="O55" t="s" s="12102">
        <v>640</v>
      </c>
    </row>
    <row r="56" spans="1:15">
      <c r="A56" s="12103">
        <v>26</v>
      </c>
      <c r="B56" s="12104">
        <v>46196</v>
      </c>
      <c r="C56" t="s" s="12105">
        <v>679</v>
      </c>
      <c r="D56" t="s" s="12106">
        <v>680</v>
      </c>
      <c r="E56" t="s" s="12107">
        <v>661</v>
      </c>
      <c r="F56" s="12108">
        <v>3000</v>
      </c>
      <c r="G56" s="12109">
        <v>1290.54</v>
      </c>
      <c r="H56" s="12110">
        <v>56.38</v>
      </c>
      <c r="I56" s="12111">
        <v>22.89</v>
      </c>
      <c r="J56" s="12112">
        <v>2000</v>
      </c>
      <c r="K56" t="s" s="12113">
        <v>520</v>
      </c>
      <c r="L56" t="s" s="12114">
        <v>541</v>
      </c>
      <c r="M56" t="s" s="12115">
        <v>638</v>
      </c>
      <c r="N56" s="12116">
        <v>-2000</v>
      </c>
      <c r="O56" t="s" s="12117">
        <v>641</v>
      </c>
    </row>
    <row r="57" spans="1:15">
      <c r="A57" s="12118">
        <f t="shared" ref="A57:A88" si="0">IF(B57="","", WEEKNUM(B57,2))</f>
      </c>
      <c r="B57" s="12119">
        <v>46196</v>
      </c>
      <c r="C57" t="s" s="12120">
        <v>679</v>
      </c>
      <c r="D57" t="s" s="12121">
        <v>680</v>
      </c>
      <c r="E57" t="s" s="12122">
        <v>661</v>
      </c>
      <c r="F57" s="12123">
        <f>IFERROR(INDEX(H$6:H49, MATCH(SUBSTITUTE(C57,"-",""), INDEX(SUBSTITUTE(F$6:F49,"-",""),0), 0)), 0)</f>
      </c>
      <c r="G57" s="12124">
        <v>1000</v>
      </c>
      <c r="H57" s="12125">
        <v>43.687</v>
      </c>
      <c r="I57" s="12126">
        <v>22.89</v>
      </c>
      <c r="J57" s="12127">
        <f t="shared" ref="J57:J88" si="1">IFERROR(F57-G57, "")</f>
      </c>
      <c r="K57" t="s" s="12128">
        <v>520</v>
      </c>
      <c r="L57" s="12129">
        <f>IFERROR(INDEX(I$6:I49, MATCH(SUBSTITUTE(C57,"-",""), INDEX(SUBSTITUTE(F$6:F49,"-",""),0), 0)), "")</f>
      </c>
      <c r="M57" s="12130">
        <f t="shared" ref="M57:M88" si="2">IFERROR(IF(K57="","",IF(K57=L57,"✅ Correcta","❌ "&amp; K57 &amp;" (aut: "&amp; L57 &amp;")")), "")</f>
      </c>
      <c r="N57" s="12131">
        <f t="shared" ref="N57:N88" si="3">IFERROR(G57-F57, "")</f>
      </c>
      <c r="O57" s="12132">
        <f t="shared" ref="O57:O88" si="4">IFERROR(IF(C57="","",IF(F57=0,"⚠️ Sin Autorización (placa no en catálogo)",IF(N57=0,"✅ Cuadrado",IF(N57&gt;0,"❌ Exceso $"&amp;TEXT(N57,"#,##0.00"),"✅ OK - Saldo $"&amp;TEXT(ABS(N57),"#,##0.00"))))), "")</f>
      </c>
    </row>
    <row r="58" spans="1:15">
      <c r="A58" s="12133">
        <f t="shared" si="0"/>
      </c>
      <c r="B58" s="12134">
        <v>46196</v>
      </c>
      <c r="C58" t="s" s="12135">
        <v>681</v>
      </c>
      <c r="D58" t="s" s="12136">
        <v>552</v>
      </c>
      <c r="E58" t="s" s="12137">
        <v>661</v>
      </c>
      <c r="F58" s="12138">
        <f>IFERROR(INDEX(H$6:H49, MATCH(SUBSTITUTE(C58,"-",""), INDEX(SUBSTITUTE(F$6:F49,"-",""),0), 0)), 0)</f>
      </c>
      <c r="G58" s="12139">
        <v>3000</v>
      </c>
      <c r="H58" s="12140">
        <v>131.062</v>
      </c>
      <c r="I58" s="12141">
        <v>22.89</v>
      </c>
      <c r="J58" s="12142">
        <f t="shared" si="1"/>
      </c>
      <c r="K58" t="s" s="12143">
        <v>520</v>
      </c>
      <c r="L58" s="12144">
        <f>IFERROR(INDEX(I$6:I49, MATCH(SUBSTITUTE(C58,"-",""), INDEX(SUBSTITUTE(F$6:F49,"-",""),0), 0)), "")</f>
      </c>
      <c r="M58" s="12145">
        <f t="shared" si="2"/>
      </c>
      <c r="N58" s="12146">
        <f t="shared" si="3"/>
      </c>
      <c r="O58" s="12147">
        <f t="shared" si="4"/>
      </c>
    </row>
    <row r="59" spans="1:15">
      <c r="A59" s="12148">
        <f t="shared" si="0"/>
      </c>
      <c r="B59" s="12149">
        <v>46196</v>
      </c>
      <c r="C59" t="s" s="12150">
        <v>682</v>
      </c>
      <c r="D59" t="s" s="12151">
        <v>683</v>
      </c>
      <c r="E59" t="s" s="12152">
        <v>684</v>
      </c>
      <c r="F59" s="12153">
        <f>IFERROR(INDEX(H$6:H49, MATCH(SUBSTITUTE(C59,"-",""), INDEX(SUBSTITUTE(F$6:F49,"-",""),0), 0)), 0)</f>
      </c>
      <c r="G59" s="12154">
        <v>1850.22</v>
      </c>
      <c r="H59" s="12155">
        <v>80.831</v>
      </c>
      <c r="I59" s="12156">
        <v>22.89</v>
      </c>
      <c r="J59" s="12157">
        <f t="shared" si="1"/>
      </c>
      <c r="K59" t="s" s="12158">
        <v>520</v>
      </c>
      <c r="L59" s="12159">
        <f>IFERROR(INDEX(I$6:I49, MATCH(SUBSTITUTE(C59,"-",""), INDEX(SUBSTITUTE(F$6:F49,"-",""),0), 0)), "")</f>
      </c>
      <c r="M59" s="12160">
        <f t="shared" si="2"/>
      </c>
      <c r="N59" s="12161">
        <f t="shared" si="3"/>
      </c>
      <c r="O59" s="12162">
        <f t="shared" si="4"/>
      </c>
    </row>
    <row r="60" spans="1:15">
      <c r="A60" s="12163">
        <f t="shared" si="0"/>
      </c>
      <c r="B60" s="12164">
        <v>46196</v>
      </c>
      <c r="C60" t="s" s="12165">
        <v>685</v>
      </c>
      <c r="D60" t="s" s="12166">
        <v>596</v>
      </c>
      <c r="E60" t="s" s="12167">
        <v>686</v>
      </c>
      <c r="F60" s="12168">
        <f>IFERROR(INDEX(H$6:H49, MATCH(SUBSTITUTE(C60,"-",""), INDEX(SUBSTITUTE(F$6:F49,"-",""),0), 0)), 0)</f>
      </c>
      <c r="G60" s="12169">
        <v>1700</v>
      </c>
      <c r="H60" s="12170">
        <v>74.268</v>
      </c>
      <c r="I60" s="12171">
        <v>22.89</v>
      </c>
      <c r="J60" s="12172">
        <f t="shared" si="1"/>
      </c>
      <c r="K60" t="s" s="12173">
        <v>520</v>
      </c>
      <c r="L60" s="12174">
        <f>IFERROR(INDEX(I$6:I49, MATCH(SUBSTITUTE(C60,"-",""), INDEX(SUBSTITUTE(F$6:F49,"-",""),0), 0)), "")</f>
      </c>
      <c r="M60" s="12175">
        <f t="shared" si="2"/>
      </c>
      <c r="N60" s="12176">
        <f t="shared" si="3"/>
      </c>
      <c r="O60" s="12177">
        <f t="shared" si="4"/>
      </c>
    </row>
    <row r="61" spans="1:15">
      <c r="A61" s="12178">
        <f t="shared" si="0"/>
      </c>
      <c r="B61" s="12179">
        <v>46197</v>
      </c>
      <c r="C61" t="s" s="12180">
        <v>687</v>
      </c>
      <c r="D61" t="s" s="12181">
        <v>688</v>
      </c>
      <c r="E61" t="s" s="12182">
        <v>678</v>
      </c>
      <c r="F61" s="12183">
        <f>IFERROR(INDEX(H$6:H49, MATCH(SUBSTITUTE(C61,"-",""), INDEX(SUBSTITUTE(F$6:F49,"-",""),0), 0)), 0)</f>
      </c>
      <c r="G61" s="12184">
        <v>1532.1</v>
      </c>
      <c r="H61" s="12185">
        <v>66.933</v>
      </c>
      <c r="I61" s="12186">
        <v>22.89</v>
      </c>
      <c r="J61" s="12187">
        <f t="shared" si="1"/>
      </c>
      <c r="K61" t="s" s="12188">
        <v>520</v>
      </c>
      <c r="L61" s="12189">
        <f>IFERROR(INDEX(I$6:I49, MATCH(SUBSTITUTE(C61,"-",""), INDEX(SUBSTITUTE(F$6:F49,"-",""),0), 0)), "")</f>
      </c>
      <c r="M61" s="12190">
        <f t="shared" si="2"/>
      </c>
      <c r="N61" s="12191">
        <f t="shared" si="3"/>
      </c>
      <c r="O61" s="12192">
        <f t="shared" si="4"/>
      </c>
    </row>
    <row r="62" spans="1:15">
      <c r="A62" s="12193">
        <f t="shared" si="0"/>
      </c>
      <c r="B62" s="12194">
        <v>46197</v>
      </c>
      <c r="C62" t="s" s="12195">
        <v>689</v>
      </c>
      <c r="D62" t="s" s="12196">
        <v>690</v>
      </c>
      <c r="E62" t="s" s="12197">
        <v>686</v>
      </c>
      <c r="F62" s="12198">
        <f>IFERROR(INDEX(H$6:H49, MATCH(SUBSTITUTE(C62,"-",""), INDEX(SUBSTITUTE(F$6:F49,"-",""),0), 0)), 0)</f>
      </c>
      <c r="G62" s="12199">
        <v>2010.26</v>
      </c>
      <c r="H62" s="12200">
        <v>72.078</v>
      </c>
      <c r="I62" s="12201">
        <v>27.89</v>
      </c>
      <c r="J62" s="12202">
        <f t="shared" si="1"/>
      </c>
      <c r="K62" t="s" s="12203">
        <v>520</v>
      </c>
      <c r="L62" s="12204">
        <f>IFERROR(INDEX(I$6:I49, MATCH(SUBSTITUTE(C62,"-",""), INDEX(SUBSTITUTE(F$6:F49,"-",""),0), 0)), "")</f>
      </c>
      <c r="M62" s="12205">
        <f t="shared" si="2"/>
      </c>
      <c r="N62" s="12206">
        <f t="shared" si="3"/>
      </c>
      <c r="O62" s="12207">
        <f t="shared" si="4"/>
      </c>
    </row>
    <row r="63" spans="1:15">
      <c r="A63" s="12208">
        <f t="shared" si="0"/>
      </c>
      <c r="B63" s="12209">
        <v>46197</v>
      </c>
      <c r="C63" t="s" s="12210">
        <v>676</v>
      </c>
      <c r="D63" t="s" s="12211">
        <v>677</v>
      </c>
      <c r="E63" t="s" s="12212">
        <v>678</v>
      </c>
      <c r="F63" s="12213">
        <f>IFERROR(INDEX(H$6:H49, MATCH(SUBSTITUTE(C63,"-",""), INDEX(SUBSTITUTE(F$6:F49,"-",""),0), 0)), 0)</f>
      </c>
      <c r="G63" s="12214">
        <v>1500</v>
      </c>
      <c r="H63" s="12215">
        <v>65.531</v>
      </c>
      <c r="I63" s="12216">
        <v>22.89</v>
      </c>
      <c r="J63" s="12217">
        <f t="shared" si="1"/>
      </c>
      <c r="K63" t="s" s="12218">
        <v>520</v>
      </c>
      <c r="L63" s="12219">
        <f>IFERROR(INDEX(I$6:I49, MATCH(SUBSTITUTE(C63,"-",""), INDEX(SUBSTITUTE(F$6:F49,"-",""),0), 0)), "")</f>
      </c>
      <c r="M63" s="12220">
        <f t="shared" si="2"/>
      </c>
      <c r="N63" s="12221">
        <f t="shared" si="3"/>
      </c>
      <c r="O63" s="12222">
        <f t="shared" si="4"/>
      </c>
    </row>
    <row r="64" spans="1:15">
      <c r="A64" s="12223">
        <f t="shared" si="0"/>
      </c>
      <c r="B64" s="12224">
        <v>46197</v>
      </c>
      <c r="C64" t="s" s="12225">
        <v>691</v>
      </c>
      <c r="D64" t="s" s="12226">
        <v>692</v>
      </c>
      <c r="E64" t="s" s="12227">
        <v>693</v>
      </c>
      <c r="F64" s="12228">
        <f>IFERROR(INDEX(H$6:H49, MATCH(SUBSTITUTE(C64,"-",""), INDEX(SUBSTITUTE(F$6:F49,"-",""),0), 0)), 0)</f>
      </c>
      <c r="G64" s="12229">
        <v>8910.97</v>
      </c>
      <c r="H64" s="12230">
        <v>330.036</v>
      </c>
      <c r="I64" s="12231">
        <v>27</v>
      </c>
      <c r="J64" s="12232">
        <f t="shared" si="1"/>
      </c>
      <c r="K64" t="s" s="12233">
        <v>520</v>
      </c>
      <c r="L64" s="12234">
        <f>IFERROR(INDEX(I$6:I49, MATCH(SUBSTITUTE(C64,"-",""), INDEX(SUBSTITUTE(F$6:F49,"-",""),0), 0)), "")</f>
      </c>
      <c r="M64" s="12235">
        <f t="shared" si="2"/>
      </c>
      <c r="N64" s="12236">
        <f t="shared" si="3"/>
      </c>
      <c r="O64" s="12237">
        <f t="shared" si="4"/>
      </c>
    </row>
    <row r="65" spans="1:15">
      <c r="A65" s="12238">
        <f t="shared" si="0"/>
      </c>
      <c r="B65" s="12239">
        <v>46197</v>
      </c>
      <c r="C65" t="s" s="12240">
        <v>694</v>
      </c>
      <c r="D65" t="s" s="12241">
        <v>695</v>
      </c>
      <c r="E65" t="s" s="12242">
        <v>693</v>
      </c>
      <c r="F65" s="12243">
        <f>IFERROR(INDEX(H$6:H49, MATCH(SUBSTITUTE(C65,"-",""), INDEX(SUBSTITUTE(F$6:F49,"-",""),0), 0)), 0)</f>
      </c>
      <c r="G65" s="12244">
        <v>9990</v>
      </c>
      <c r="H65" s="12245">
        <v>370</v>
      </c>
      <c r="I65" s="12246">
        <v>27</v>
      </c>
      <c r="J65" s="12247">
        <f t="shared" si="1"/>
      </c>
      <c r="K65" t="s" s="12248">
        <v>520</v>
      </c>
      <c r="L65" s="12249">
        <f>IFERROR(INDEX(I$6:I49, MATCH(SUBSTITUTE(C65,"-",""), INDEX(SUBSTITUTE(F$6:F49,"-",""),0), 0)), "")</f>
      </c>
      <c r="M65" s="12250">
        <f t="shared" si="2"/>
      </c>
      <c r="N65" s="12251">
        <f t="shared" si="3"/>
      </c>
      <c r="O65" s="12252">
        <f t="shared" si="4"/>
      </c>
    </row>
    <row r="66" spans="1:15">
      <c r="A66" s="12253">
        <f t="shared" si="0"/>
      </c>
      <c r="B66" s="12254">
        <v>46197</v>
      </c>
      <c r="C66" t="s" s="12255">
        <v>696</v>
      </c>
      <c r="D66" t="s" s="12256">
        <v>697</v>
      </c>
      <c r="E66" t="s" s="12257">
        <v>693</v>
      </c>
      <c r="F66" s="12258">
        <f>IFERROR(INDEX(H$6:H49, MATCH(SUBSTITUTE(C66,"-",""), INDEX(SUBSTITUTE(F$6:F49,"-",""),0), 0)), 0)</f>
      </c>
      <c r="G66" s="12259">
        <v>3510</v>
      </c>
      <c r="H66" s="12260">
        <v>130</v>
      </c>
      <c r="I66" s="12261">
        <v>27</v>
      </c>
      <c r="J66" s="12262">
        <f t="shared" si="1"/>
      </c>
      <c r="K66" t="s" s="12263">
        <v>520</v>
      </c>
      <c r="L66" s="12264">
        <f>IFERROR(INDEX(I$6:I49, MATCH(SUBSTITUTE(C66,"-",""), INDEX(SUBSTITUTE(F$6:F49,"-",""),0), 0)), "")</f>
      </c>
      <c r="M66" s="12265">
        <f t="shared" si="2"/>
      </c>
      <c r="N66" s="12266">
        <f t="shared" si="3"/>
      </c>
      <c r="O66" s="12267">
        <f t="shared" si="4"/>
      </c>
    </row>
    <row r="67" spans="1:15">
      <c r="A67" s="12268">
        <f t="shared" si="0"/>
      </c>
      <c r="B67" s="12269">
        <v>46197</v>
      </c>
      <c r="C67" t="s" s="12270">
        <v>696</v>
      </c>
      <c r="D67" t="s" s="12271">
        <v>697</v>
      </c>
      <c r="E67" t="s" s="12272">
        <v>693</v>
      </c>
      <c r="F67" s="12273">
        <f>IFERROR(INDEX(H$6:H49, MATCH(SUBSTITUTE(C67,"-",""), INDEX(SUBSTITUTE(F$6:F49,"-",""),0), 0)), 0)</f>
      </c>
      <c r="G67" s="12274">
        <v>9990</v>
      </c>
      <c r="H67" s="12275">
        <v>370</v>
      </c>
      <c r="I67" s="12276">
        <v>27</v>
      </c>
      <c r="J67" s="12277">
        <f t="shared" si="1"/>
      </c>
      <c r="K67" t="s" s="12278">
        <v>520</v>
      </c>
      <c r="L67" s="12279">
        <f>IFERROR(INDEX(I$6:I49, MATCH(SUBSTITUTE(C67,"-",""), INDEX(SUBSTITUTE(F$6:F49,"-",""),0), 0)), "")</f>
      </c>
      <c r="M67" s="12280">
        <f t="shared" si="2"/>
      </c>
      <c r="N67" s="12281">
        <f t="shared" si="3"/>
      </c>
      <c r="O67" s="12282">
        <f t="shared" si="4"/>
      </c>
    </row>
    <row r="68" spans="1:15">
      <c r="A68" s="12283">
        <f t="shared" si="0"/>
      </c>
      <c r="B68" s="12284">
        <v>46197</v>
      </c>
      <c r="C68" t="s" s="12285">
        <v>698</v>
      </c>
      <c r="D68" t="s" s="12286">
        <v>699</v>
      </c>
      <c r="E68" t="s" s="12287">
        <v>693</v>
      </c>
      <c r="F68" s="12288">
        <f>IFERROR(INDEX(H$6:H49, MATCH(SUBSTITUTE(C68,"-",""), INDEX(SUBSTITUTE(F$6:F49,"-",""),0), 0)), 0)</f>
      </c>
      <c r="G68" s="12289">
        <v>8100.11</v>
      </c>
      <c r="H68" s="12290">
        <v>300.004</v>
      </c>
      <c r="I68" s="12291">
        <v>27</v>
      </c>
      <c r="J68" s="12292">
        <f t="shared" si="1"/>
      </c>
      <c r="K68" t="s" s="12293">
        <v>520</v>
      </c>
      <c r="L68" s="12294">
        <f>IFERROR(INDEX(I$6:I49, MATCH(SUBSTITUTE(C68,"-",""), INDEX(SUBSTITUTE(F$6:F49,"-",""),0), 0)), "")</f>
      </c>
      <c r="M68" s="12295">
        <f t="shared" si="2"/>
      </c>
      <c r="N68" s="12296">
        <f t="shared" si="3"/>
      </c>
      <c r="O68" s="12297">
        <f t="shared" si="4"/>
      </c>
    </row>
    <row r="69" spans="1:15">
      <c r="A69" s="12298">
        <f t="shared" si="0"/>
      </c>
      <c r="B69" s="12299">
        <v>46197</v>
      </c>
      <c r="C69" t="s" s="12300">
        <v>700</v>
      </c>
      <c r="D69" t="s" s="12301">
        <v>701</v>
      </c>
      <c r="E69" t="s" s="12302">
        <v>693</v>
      </c>
      <c r="F69" s="12303">
        <f>IFERROR(INDEX(H$6:H49, MATCH(SUBSTITUTE(C69,"-",""), INDEX(SUBSTITUTE(F$6:F49,"-",""),0), 0)), 0)</f>
      </c>
      <c r="G69" s="12304">
        <v>6858</v>
      </c>
      <c r="H69" s="12305">
        <v>254</v>
      </c>
      <c r="I69" s="12306">
        <v>27</v>
      </c>
      <c r="J69" s="12307">
        <f t="shared" si="1"/>
      </c>
      <c r="K69" t="s" s="12308">
        <v>520</v>
      </c>
      <c r="L69" s="12309">
        <f>IFERROR(INDEX(I$6:I49, MATCH(SUBSTITUTE(C69,"-",""), INDEX(SUBSTITUTE(F$6:F49,"-",""),0), 0)), "")</f>
      </c>
      <c r="M69" s="12310">
        <f t="shared" si="2"/>
      </c>
      <c r="N69" s="12311">
        <f t="shared" si="3"/>
      </c>
      <c r="O69" s="12312">
        <f t="shared" si="4"/>
      </c>
    </row>
    <row r="70" spans="1:15">
      <c r="A70" s="12313">
        <f t="shared" si="0"/>
      </c>
      <c r="B70" s="12314">
        <v>46197</v>
      </c>
      <c r="C70" t="s" s="12315">
        <v>702</v>
      </c>
      <c r="D70" t="s" s="12316">
        <v>703</v>
      </c>
      <c r="E70" t="s" s="12317">
        <v>693</v>
      </c>
      <c r="F70" s="12318">
        <f>IFERROR(INDEX(H$6:H49, MATCH(SUBSTITUTE(C70,"-",""), INDEX(SUBSTITUTE(F$6:F49,"-",""),0), 0)), 0)</f>
      </c>
      <c r="G70" s="12319">
        <v>8100</v>
      </c>
      <c r="H70" s="12320">
        <v>300</v>
      </c>
      <c r="I70" s="12321">
        <v>27</v>
      </c>
      <c r="J70" s="12322">
        <f t="shared" si="1"/>
      </c>
      <c r="K70" t="s" s="12323">
        <v>520</v>
      </c>
      <c r="L70" s="12324">
        <f>IFERROR(INDEX(I$6:I49, MATCH(SUBSTITUTE(C70,"-",""), INDEX(SUBSTITUTE(F$6:F49,"-",""),0), 0)), "")</f>
      </c>
      <c r="M70" s="12325">
        <f t="shared" si="2"/>
      </c>
      <c r="N70" s="12326">
        <f t="shared" si="3"/>
      </c>
      <c r="O70" s="12327">
        <f t="shared" si="4"/>
      </c>
    </row>
    <row r="71" spans="1:15">
      <c r="A71" s="12328">
        <f t="shared" si="0"/>
      </c>
      <c r="B71" s="12329">
        <v>46197</v>
      </c>
      <c r="C71" t="s" s="12330">
        <v>704</v>
      </c>
      <c r="D71" t="s" s="12331">
        <v>705</v>
      </c>
      <c r="E71" t="s" s="12332">
        <v>661</v>
      </c>
      <c r="F71" s="12333">
        <f>IFERROR(INDEX(H$6:H49, MATCH(SUBSTITUTE(C71,"-",""), INDEX(SUBSTITUTE(F$6:F49,"-",""),0), 0)), 0)</f>
      </c>
      <c r="G71" s="12334">
        <v>1500</v>
      </c>
      <c r="H71" s="12335">
        <v>65.531</v>
      </c>
      <c r="I71" s="12336">
        <v>22.89</v>
      </c>
      <c r="J71" s="12337">
        <f t="shared" si="1"/>
      </c>
      <c r="K71" t="s" s="12338">
        <v>520</v>
      </c>
      <c r="L71" s="12339">
        <f>IFERROR(INDEX(I$6:I49, MATCH(SUBSTITUTE(C71,"-",""), INDEX(SUBSTITUTE(F$6:F49,"-",""),0), 0)), "")</f>
      </c>
      <c r="M71" s="12340">
        <f t="shared" si="2"/>
      </c>
      <c r="N71" s="12341">
        <f t="shared" si="3"/>
      </c>
      <c r="O71" s="12342">
        <f t="shared" si="4"/>
      </c>
    </row>
    <row r="72" spans="1:15">
      <c r="A72" s="12343">
        <f t="shared" si="0"/>
      </c>
      <c r="B72" s="12344">
        <v>46198</v>
      </c>
      <c r="C72" t="s" s="12345">
        <v>706</v>
      </c>
      <c r="D72" t="s" s="12346">
        <v>707</v>
      </c>
      <c r="E72" s="12347"/>
      <c r="F72" s="12348">
        <f>IFERROR(INDEX(H$6:H49, MATCH(SUBSTITUTE(C72,"-",""), INDEX(SUBSTITUTE(F$6:F49,"-",""),0), 0)), 0)</f>
      </c>
      <c r="G72" s="12349">
        <v>400</v>
      </c>
      <c r="H72" s="12350">
        <v>17.475</v>
      </c>
      <c r="I72" s="12351">
        <v>22.89</v>
      </c>
      <c r="J72" s="12352">
        <f t="shared" si="1"/>
      </c>
      <c r="K72" t="s" s="12353">
        <v>520</v>
      </c>
      <c r="L72" s="12354">
        <f>IFERROR(INDEX(I$6:I49, MATCH(SUBSTITUTE(C72,"-",""), INDEX(SUBSTITUTE(F$6:F49,"-",""),0), 0)), "")</f>
      </c>
      <c r="M72" s="12355">
        <f t="shared" si="2"/>
      </c>
      <c r="N72" s="12356">
        <f t="shared" si="3"/>
      </c>
      <c r="O72" s="12357">
        <f t="shared" si="4"/>
      </c>
    </row>
    <row r="73" spans="1:15">
      <c r="A73" s="12358">
        <f t="shared" si="0"/>
      </c>
      <c r="B73" s="12359">
        <v>46199</v>
      </c>
      <c r="C73" t="s" s="12360">
        <v>689</v>
      </c>
      <c r="D73" t="s" s="12361">
        <v>690</v>
      </c>
      <c r="E73" t="s" s="12362">
        <v>686</v>
      </c>
      <c r="F73" s="12363">
        <f>IFERROR(INDEX(H$6:H49, MATCH(SUBSTITUTE(C73,"-",""), INDEX(SUBSTITUTE(F$6:F49,"-",""),0), 0)), 0)</f>
      </c>
      <c r="G73" s="12364">
        <v>386.67</v>
      </c>
      <c r="H73" s="12365">
        <v>13.864</v>
      </c>
      <c r="I73" s="12366">
        <v>27.89</v>
      </c>
      <c r="J73" s="12367">
        <f t="shared" si="1"/>
      </c>
      <c r="K73" t="s" s="12368">
        <v>520</v>
      </c>
      <c r="L73" s="12369">
        <f>IFERROR(INDEX(I$6:I49, MATCH(SUBSTITUTE(C73,"-",""), INDEX(SUBSTITUTE(F$6:F49,"-",""),0), 0)), "")</f>
      </c>
      <c r="M73" s="12370">
        <f t="shared" si="2"/>
      </c>
      <c r="N73" s="12371">
        <f t="shared" si="3"/>
      </c>
      <c r="O73" s="12372">
        <f t="shared" si="4"/>
      </c>
    </row>
    <row r="74" spans="1:15">
      <c r="A74" s="12373">
        <f t="shared" si="0"/>
      </c>
      <c r="B74" s="12374">
        <v>46200</v>
      </c>
      <c r="C74" t="s" s="12375">
        <v>668</v>
      </c>
      <c r="D74" t="s" s="12376">
        <v>669</v>
      </c>
      <c r="E74" t="s" s="12377">
        <v>670</v>
      </c>
      <c r="F74" s="12378">
        <f>IFERROR(INDEX(H$6:H49, MATCH(SUBSTITUTE(C74,"-",""), INDEX(SUBSTITUTE(F$6:F49,"-",""),0), 0)), 0)</f>
      </c>
      <c r="G74" s="12379">
        <v>300</v>
      </c>
      <c r="H74" s="12380">
        <v>13.106</v>
      </c>
      <c r="I74" s="12381">
        <v>22.89</v>
      </c>
      <c r="J74" s="12382">
        <f t="shared" si="1"/>
      </c>
      <c r="K74" t="s" s="12383">
        <v>520</v>
      </c>
      <c r="L74" s="12384">
        <f>IFERROR(INDEX(I$6:I49, MATCH(SUBSTITUTE(C74,"-",""), INDEX(SUBSTITUTE(F$6:F49,"-",""),0), 0)), "")</f>
      </c>
      <c r="M74" s="12385">
        <f t="shared" si="2"/>
      </c>
      <c r="N74" s="12386">
        <f t="shared" si="3"/>
      </c>
      <c r="O74" s="12387">
        <f t="shared" si="4"/>
      </c>
    </row>
    <row r="75" spans="1:15">
      <c r="A75" s="12388">
        <f t="shared" si="0"/>
      </c>
      <c r="B75" s="12389">
        <v>46201</v>
      </c>
      <c r="C75" t="s" s="12390">
        <v>668</v>
      </c>
      <c r="D75" t="s" s="12391">
        <v>669</v>
      </c>
      <c r="E75" t="s" s="12392">
        <v>670</v>
      </c>
      <c r="F75" s="12393">
        <f>IFERROR(INDEX(H$6:H49, MATCH(SUBSTITUTE(C75,"-",""), INDEX(SUBSTITUTE(F$6:F49,"-",""),0), 0)), 0)</f>
      </c>
      <c r="G75" s="12394">
        <v>1000</v>
      </c>
      <c r="H75" s="12395">
        <v>43.687</v>
      </c>
      <c r="I75" s="12396">
        <v>22.89</v>
      </c>
      <c r="J75" s="12397">
        <f t="shared" si="1"/>
      </c>
      <c r="K75" t="s" s="12398">
        <v>520</v>
      </c>
      <c r="L75" s="12399">
        <f>IFERROR(INDEX(I$6:I49, MATCH(SUBSTITUTE(C75,"-",""), INDEX(SUBSTITUTE(F$6:F49,"-",""),0), 0)), "")</f>
      </c>
      <c r="M75" s="12400">
        <f t="shared" si="2"/>
      </c>
      <c r="N75" s="12401">
        <f t="shared" si="3"/>
      </c>
      <c r="O75" s="12402">
        <f t="shared" si="4"/>
      </c>
    </row>
    <row r="76" spans="1:15">
      <c r="A76" s="12403">
        <f t="shared" si="0"/>
      </c>
      <c r="B76" s="12404"/>
      <c r="C76" s="12405"/>
      <c r="D76" s="12406"/>
      <c r="E76" s="12407"/>
      <c r="F76" s="12408">
        <f>IFERROR(INDEX(H$6:H49, MATCH(SUBSTITUTE(C76,"-",""), INDEX(SUBSTITUTE(F$6:F49,"-",""),0), 0)), 0)</f>
      </c>
      <c r="G76" s="12409"/>
      <c r="H76" s="12410"/>
      <c r="I76" s="12411"/>
      <c r="J76" s="12412">
        <f t="shared" si="1"/>
      </c>
      <c r="K76" t="s" s="12413">
        <v>520</v>
      </c>
      <c r="L76" s="12414">
        <f>IFERROR(INDEX(I$6:I49, MATCH(SUBSTITUTE(C76,"-",""), INDEX(SUBSTITUTE(F$6:F49,"-",""),0), 0)), "")</f>
      </c>
      <c r="M76" s="12415">
        <f t="shared" si="2"/>
      </c>
      <c r="N76" s="12416">
        <f t="shared" si="3"/>
      </c>
      <c r="O76" s="12417">
        <f t="shared" si="4"/>
      </c>
    </row>
    <row r="77" spans="1:15">
      <c r="A77" s="12418">
        <f t="shared" si="0"/>
      </c>
      <c r="B77" s="12419"/>
      <c r="C77" s="12420"/>
      <c r="D77" s="12421"/>
      <c r="E77" s="12422"/>
      <c r="F77" s="12423">
        <f>IFERROR(INDEX(H$6:H49, MATCH(SUBSTITUTE(C77,"-",""), INDEX(SUBSTITUTE(F$6:F49,"-",""),0), 0)), 0)</f>
      </c>
      <c r="G77" s="12424">
        <v>80002.71</v>
      </c>
      <c r="H77" t="s" s="12425">
        <v>708</v>
      </c>
      <c r="I77" s="12426"/>
      <c r="J77" s="12427">
        <f t="shared" si="1"/>
      </c>
      <c r="K77" t="s" s="12428">
        <v>520</v>
      </c>
      <c r="L77" s="12429">
        <f>IFERROR(INDEX(I$6:I49, MATCH(SUBSTITUTE(C77,"-",""), INDEX(SUBSTITUTE(F$6:F49,"-",""),0), 0)), "")</f>
      </c>
      <c r="M77" s="12430">
        <f t="shared" si="2"/>
      </c>
      <c r="N77" s="12431">
        <f t="shared" si="3"/>
      </c>
      <c r="O77" s="12432">
        <f t="shared" si="4"/>
      </c>
    </row>
    <row r="78" spans="1:15">
      <c r="A78" s="12433">
        <f t="shared" si="0"/>
      </c>
      <c r="B78" s="12434"/>
      <c r="C78" s="12435"/>
      <c r="D78" s="12436"/>
      <c r="E78" s="12437"/>
      <c r="F78" s="12438">
        <f>IFERROR(INDEX(H$6:H49, MATCH(SUBSTITUTE(C78,"-",""), INDEX(SUBSTITUTE(F$6:F49,"-",""),0), 0)), 0)</f>
      </c>
      <c r="G78" s="12439"/>
      <c r="H78" s="12440"/>
      <c r="I78" s="12441"/>
      <c r="J78" s="12442">
        <f t="shared" si="1"/>
      </c>
      <c r="K78" t="s" s="12443">
        <v>520</v>
      </c>
      <c r="L78" s="12444">
        <f>IFERROR(INDEX(I$6:I49, MATCH(SUBSTITUTE(C78,"-",""), INDEX(SUBSTITUTE(F$6:F49,"-",""),0), 0)), "")</f>
      </c>
      <c r="M78" s="12445">
        <f t="shared" si="2"/>
      </c>
      <c r="N78" s="12446">
        <f t="shared" si="3"/>
      </c>
      <c r="O78" s="12447">
        <f t="shared" si="4"/>
      </c>
    </row>
    <row r="79" spans="1:15">
      <c r="A79" s="12448">
        <f t="shared" si="0"/>
      </c>
      <c r="B79" s="12449"/>
      <c r="C79" s="12450"/>
      <c r="D79" s="12451"/>
      <c r="E79" s="12452"/>
      <c r="F79" s="12453">
        <f>IFERROR(INDEX(H$6:H49, MATCH(SUBSTITUTE(C79,"-",""), INDEX(SUBSTITUTE(F$6:F49,"-",""),0), 0)), 0)</f>
      </c>
      <c r="G79" s="12454"/>
      <c r="H79" s="12455"/>
      <c r="I79" s="12456"/>
      <c r="J79" s="12457">
        <f t="shared" si="1"/>
      </c>
      <c r="K79" t="s" s="12458">
        <v>520</v>
      </c>
      <c r="L79" s="12459">
        <f>IFERROR(INDEX(I$6:I49, MATCH(SUBSTITUTE(C79,"-",""), INDEX(SUBSTITUTE(F$6:F49,"-",""),0), 0)), "")</f>
      </c>
      <c r="M79" s="12460">
        <f t="shared" si="2"/>
      </c>
      <c r="N79" s="12461">
        <f t="shared" si="3"/>
      </c>
      <c r="O79" s="12462">
        <f t="shared" si="4"/>
      </c>
    </row>
    <row r="80" spans="1:15">
      <c r="A80" s="12463">
        <f t="shared" si="0"/>
      </c>
      <c r="B80" s="12464"/>
      <c r="C80" s="12465"/>
      <c r="D80" s="12466"/>
      <c r="E80" s="12467"/>
      <c r="F80" s="12468">
        <f>IFERROR(INDEX(H$6:H49, MATCH(SUBSTITUTE(C80,"-",""), INDEX(SUBSTITUTE(F$6:F49,"-",""),0), 0)), 0)</f>
      </c>
      <c r="G80" s="12469"/>
      <c r="H80" s="12470"/>
      <c r="I80" s="12471"/>
      <c r="J80" s="12472">
        <f t="shared" si="1"/>
      </c>
      <c r="K80" t="s" s="12473">
        <v>520</v>
      </c>
      <c r="L80" s="12474">
        <f>IFERROR(INDEX(I$6:I49, MATCH(SUBSTITUTE(C80,"-",""), INDEX(SUBSTITUTE(F$6:F49,"-",""),0), 0)), "")</f>
      </c>
      <c r="M80" s="12475">
        <f t="shared" si="2"/>
      </c>
      <c r="N80" s="12476">
        <f t="shared" si="3"/>
      </c>
      <c r="O80" s="12477">
        <f t="shared" si="4"/>
      </c>
    </row>
    <row r="81" spans="1:15">
      <c r="A81" s="12478">
        <f t="shared" si="0"/>
      </c>
      <c r="B81" s="12479"/>
      <c r="C81" s="12480"/>
      <c r="D81" s="12481"/>
      <c r="E81" s="12482"/>
      <c r="F81" s="12483">
        <f>IFERROR(INDEX(H$6:H49, MATCH(SUBSTITUTE(C81,"-",""), INDEX(SUBSTITUTE(F$6:F49,"-",""),0), 0)), 0)</f>
      </c>
      <c r="G81" s="12484"/>
      <c r="H81" s="12485"/>
      <c r="I81" s="12486"/>
      <c r="J81" s="12487">
        <f t="shared" si="1"/>
      </c>
      <c r="K81" t="s" s="12488">
        <v>520</v>
      </c>
      <c r="L81" s="12489">
        <f>IFERROR(INDEX(I$6:I49, MATCH(SUBSTITUTE(C81,"-",""), INDEX(SUBSTITUTE(F$6:F49,"-",""),0), 0)), "")</f>
      </c>
      <c r="M81" s="12490">
        <f t="shared" si="2"/>
      </c>
      <c r="N81" s="12491">
        <f t="shared" si="3"/>
      </c>
      <c r="O81" s="12492">
        <f t="shared" si="4"/>
      </c>
    </row>
    <row r="82" spans="1:15">
      <c r="A82" s="12493">
        <f t="shared" si="0"/>
      </c>
      <c r="B82" s="12494"/>
      <c r="C82" s="12495"/>
      <c r="D82" s="12496"/>
      <c r="E82" s="12497"/>
      <c r="F82" s="12498">
        <f>IFERROR(INDEX(H$6:H49, MATCH(SUBSTITUTE(C82,"-",""), INDEX(SUBSTITUTE(F$6:F49,"-",""),0), 0)), 0)</f>
      </c>
      <c r="G82" s="12499"/>
      <c r="H82" s="12500"/>
      <c r="I82" s="12501"/>
      <c r="J82" s="12502">
        <f t="shared" si="1"/>
      </c>
      <c r="K82" t="s" s="12503">
        <v>520</v>
      </c>
      <c r="L82" s="12504">
        <f>IFERROR(INDEX(I$6:I49, MATCH(SUBSTITUTE(C82,"-",""), INDEX(SUBSTITUTE(F$6:F49,"-",""),0), 0)), "")</f>
      </c>
      <c r="M82" s="12505">
        <f t="shared" si="2"/>
      </c>
      <c r="N82" s="12506">
        <f t="shared" si="3"/>
      </c>
      <c r="O82" s="12507">
        <f t="shared" si="4"/>
      </c>
    </row>
    <row r="83" spans="1:15">
      <c r="A83" s="12508">
        <f t="shared" si="0"/>
      </c>
      <c r="B83" s="12509"/>
      <c r="C83" s="12510"/>
      <c r="D83" s="12511"/>
      <c r="E83" s="12512"/>
      <c r="F83" s="12513">
        <f>IFERROR(INDEX(H$6:H49, MATCH(SUBSTITUTE(C83,"-",""), INDEX(SUBSTITUTE(F$6:F49,"-",""),0), 0)), 0)</f>
      </c>
      <c r="G83" s="12514"/>
      <c r="H83" s="12515"/>
      <c r="I83" s="12516"/>
      <c r="J83" s="12517">
        <f t="shared" si="1"/>
      </c>
      <c r="K83" t="s" s="12518">
        <v>520</v>
      </c>
      <c r="L83" s="12519">
        <f>IFERROR(INDEX(I$6:I49, MATCH(SUBSTITUTE(C83,"-",""), INDEX(SUBSTITUTE(F$6:F49,"-",""),0), 0)), "")</f>
      </c>
      <c r="M83" s="12520">
        <f t="shared" si="2"/>
      </c>
      <c r="N83" s="12521">
        <f t="shared" si="3"/>
      </c>
      <c r="O83" s="12522">
        <f t="shared" si="4"/>
      </c>
    </row>
    <row r="84" spans="1:15">
      <c r="A84" s="12523">
        <f t="shared" si="0"/>
      </c>
      <c r="B84" s="12524"/>
      <c r="C84" s="12525"/>
      <c r="D84" s="12526"/>
      <c r="E84" s="12527"/>
      <c r="F84" s="12528">
        <f>IFERROR(INDEX(H$6:H49, MATCH(SUBSTITUTE(C84,"-",""), INDEX(SUBSTITUTE(F$6:F49,"-",""),0), 0)), 0)</f>
      </c>
      <c r="G84" s="12529"/>
      <c r="H84" s="12530"/>
      <c r="I84" s="12531"/>
      <c r="J84" s="12532">
        <f t="shared" si="1"/>
      </c>
      <c r="K84" t="s" s="12533">
        <v>520</v>
      </c>
      <c r="L84" s="12534">
        <f>IFERROR(INDEX(I$6:I49, MATCH(SUBSTITUTE(C84,"-",""), INDEX(SUBSTITUTE(F$6:F49,"-",""),0), 0)), "")</f>
      </c>
      <c r="M84" s="12535">
        <f t="shared" si="2"/>
      </c>
      <c r="N84" s="12536">
        <f t="shared" si="3"/>
      </c>
      <c r="O84" s="12537">
        <f t="shared" si="4"/>
      </c>
    </row>
    <row r="85" spans="1:15">
      <c r="A85" s="12538">
        <f t="shared" si="0"/>
      </c>
      <c r="B85" s="12539"/>
      <c r="C85" s="12540"/>
      <c r="D85" s="12541">
        <f>IFERROR(INDEX(D$6:D49, MATCH(SUBSTITUTE(C85,"-",""), INDEX(SUBSTITUTE(F$6:F49,"-",""),0), 0)), "")</f>
      </c>
      <c r="E85" s="12542">
        <f>IFERROR(INDEX(G$6:G49, MATCH(SUBSTITUTE(C85,"-",""), INDEX(SUBSTITUTE(F$6:F49,"-",""),0), 0)), "")</f>
      </c>
      <c r="F85" s="12543">
        <f>IFERROR(INDEX(H$6:H49, MATCH(SUBSTITUTE(C85,"-",""), INDEX(SUBSTITUTE(F$6:F49,"-",""),0), 0)), 0)</f>
      </c>
      <c r="G85" s="12544"/>
      <c r="H85" s="12545"/>
      <c r="I85" s="12546"/>
      <c r="J85" s="12547">
        <f t="shared" si="1"/>
      </c>
      <c r="K85" s="12548"/>
      <c r="L85" s="12549">
        <f>IFERROR(INDEX(I$6:I49, MATCH(SUBSTITUTE(C85,"-",""), INDEX(SUBSTITUTE(F$6:F49,"-",""),0), 0)), "")</f>
      </c>
      <c r="M85" s="12550">
        <f t="shared" si="2"/>
      </c>
      <c r="N85" s="12551">
        <f t="shared" si="3"/>
      </c>
      <c r="O85" s="12552">
        <f t="shared" si="4"/>
      </c>
    </row>
    <row r="86" spans="1:15">
      <c r="A86" s="12553">
        <f t="shared" si="0"/>
      </c>
      <c r="B86" s="12554"/>
      <c r="C86" s="12555"/>
      <c r="D86" s="12556">
        <f>IFERROR(INDEX(D$6:D49, MATCH(SUBSTITUTE(C86,"-",""), INDEX(SUBSTITUTE(F$6:F49,"-",""),0), 0)), "")</f>
      </c>
      <c r="E86" s="12557">
        <f>IFERROR(INDEX(G$6:G49, MATCH(SUBSTITUTE(C86,"-",""), INDEX(SUBSTITUTE(F$6:F49,"-",""),0), 0)), "")</f>
      </c>
      <c r="F86" s="12558">
        <f>IFERROR(INDEX(H$6:H49, MATCH(SUBSTITUTE(C86,"-",""), INDEX(SUBSTITUTE(F$6:F49,"-",""),0), 0)), 0)</f>
      </c>
      <c r="G86" s="12559"/>
      <c r="H86" s="12560"/>
      <c r="I86" s="12561"/>
      <c r="J86" s="12562">
        <f t="shared" si="1"/>
      </c>
      <c r="K86" s="12563"/>
      <c r="L86" s="12564">
        <f>IFERROR(INDEX(I$6:I49, MATCH(SUBSTITUTE(C86,"-",""), INDEX(SUBSTITUTE(F$6:F49,"-",""),0), 0)), "")</f>
      </c>
      <c r="M86" s="12565">
        <f t="shared" si="2"/>
      </c>
      <c r="N86" s="12566">
        <f t="shared" si="3"/>
      </c>
      <c r="O86" s="12567">
        <f t="shared" si="4"/>
      </c>
    </row>
    <row r="87" spans="1:15">
      <c r="A87" s="12568">
        <f t="shared" si="0"/>
      </c>
      <c r="B87" s="12569"/>
      <c r="C87" s="12570"/>
      <c r="D87" s="12571">
        <f>IFERROR(INDEX(D$6:D49, MATCH(SUBSTITUTE(C87,"-",""), INDEX(SUBSTITUTE(F$6:F49,"-",""),0), 0)), "")</f>
      </c>
      <c r="E87" s="12572">
        <f>IFERROR(INDEX(G$6:G49, MATCH(SUBSTITUTE(C87,"-",""), INDEX(SUBSTITUTE(F$6:F49,"-",""),0), 0)), "")</f>
      </c>
      <c r="F87" s="12573">
        <f>IFERROR(INDEX(H$6:H49, MATCH(SUBSTITUTE(C87,"-",""), INDEX(SUBSTITUTE(F$6:F49,"-",""),0), 0)), 0)</f>
      </c>
      <c r="G87" s="12574"/>
      <c r="H87" s="12575"/>
      <c r="I87" s="12576"/>
      <c r="J87" s="12577">
        <f t="shared" si="1"/>
      </c>
      <c r="K87" s="12578"/>
      <c r="L87" s="12579">
        <f>IFERROR(INDEX(I$6:I49, MATCH(SUBSTITUTE(C87,"-",""), INDEX(SUBSTITUTE(F$6:F49,"-",""),0), 0)), "")</f>
      </c>
      <c r="M87" s="12580">
        <f t="shared" si="2"/>
      </c>
      <c r="N87" s="12581">
        <f t="shared" si="3"/>
      </c>
      <c r="O87" s="12582">
        <f t="shared" si="4"/>
      </c>
    </row>
    <row r="88" spans="1:15">
      <c r="A88" s="12583">
        <f t="shared" si="0"/>
      </c>
      <c r="B88" s="12584"/>
      <c r="C88" s="12585"/>
      <c r="D88" s="12586">
        <f>IFERROR(INDEX(D$6:D49, MATCH(SUBSTITUTE(C88,"-",""), INDEX(SUBSTITUTE(F$6:F49,"-",""),0), 0)), "")</f>
      </c>
      <c r="E88" s="12587">
        <f>IFERROR(INDEX(G$6:G49, MATCH(SUBSTITUTE(C88,"-",""), INDEX(SUBSTITUTE(F$6:F49,"-",""),0), 0)), "")</f>
      </c>
      <c r="F88" s="12588">
        <f>IFERROR(INDEX(H$6:H49, MATCH(SUBSTITUTE(C88,"-",""), INDEX(SUBSTITUTE(F$6:F49,"-",""),0), 0)), 0)</f>
      </c>
      <c r="G88" s="12589"/>
      <c r="H88" s="12590"/>
      <c r="I88" s="12591"/>
      <c r="J88" s="12592">
        <f t="shared" si="1"/>
      </c>
      <c r="K88" s="12593"/>
      <c r="L88" s="12594">
        <f>IFERROR(INDEX(I$6:I49, MATCH(SUBSTITUTE(C88,"-",""), INDEX(SUBSTITUTE(F$6:F49,"-",""),0), 0)), "")</f>
      </c>
      <c r="M88" s="12595">
        <f t="shared" si="2"/>
      </c>
      <c r="N88" s="12596">
        <f t="shared" si="3"/>
      </c>
      <c r="O88" s="12597">
        <f t="shared" si="4"/>
      </c>
    </row>
    <row r="89" spans="1:15">
      <c r="A89" s="12598">
        <f t="shared" ref="A89:A120" si="5">IF(B89="","", WEEKNUM(B89,2))</f>
      </c>
      <c r="B89" s="12599"/>
      <c r="C89" s="12600"/>
      <c r="D89" s="12601">
        <f>IFERROR(INDEX(D$6:D49, MATCH(SUBSTITUTE(C89,"-",""), INDEX(SUBSTITUTE(F$6:F49,"-",""),0), 0)), "")</f>
      </c>
      <c r="E89" s="12602">
        <f>IFERROR(INDEX(G$6:G49, MATCH(SUBSTITUTE(C89,"-",""), INDEX(SUBSTITUTE(F$6:F49,"-",""),0), 0)), "")</f>
      </c>
      <c r="F89" s="12603">
        <f>IFERROR(INDEX(H$6:H49, MATCH(SUBSTITUTE(C89,"-",""), INDEX(SUBSTITUTE(F$6:F49,"-",""),0), 0)), 0)</f>
      </c>
      <c r="G89" s="12604"/>
      <c r="H89" s="12605"/>
      <c r="I89" s="12606"/>
      <c r="J89" s="12607">
        <f t="shared" ref="J89:J120" si="6">IFERROR(F89-G89, "")</f>
      </c>
      <c r="K89" s="12608"/>
      <c r="L89" s="12609">
        <f>IFERROR(INDEX(I$6:I49, MATCH(SUBSTITUTE(C89,"-",""), INDEX(SUBSTITUTE(F$6:F49,"-",""),0), 0)), "")</f>
      </c>
      <c r="M89" s="12610">
        <f t="shared" ref="M89:M120" si="7">IFERROR(IF(K89="","",IF(K89=L89,"✅ Correcta","❌ "&amp; K89 &amp;" (aut: "&amp; L89 &amp;")")), "")</f>
      </c>
      <c r="N89" s="12611">
        <f t="shared" ref="N89:N120" si="8">IFERROR(G89-F89, "")</f>
      </c>
      <c r="O89" s="12612">
        <f t="shared" ref="O89:O120" si="9">IFERROR(IF(C89="","",IF(F89=0,"⚠️ Sin Autorización (placa no en catálogo)",IF(N89=0,"✅ Cuadrado",IF(N89&gt;0,"❌ Exceso $"&amp;TEXT(N89,"#,##0.00"),"✅ OK - Saldo $"&amp;TEXT(ABS(N89),"#,##0.00"))))), "")</f>
      </c>
    </row>
    <row r="90" spans="1:15">
      <c r="A90" s="12613">
        <f t="shared" si="5"/>
      </c>
      <c r="B90" s="12614"/>
      <c r="C90" s="12615"/>
      <c r="D90" s="12616">
        <f>IFERROR(INDEX(D$6:D49, MATCH(SUBSTITUTE(C90,"-",""), INDEX(SUBSTITUTE(F$6:F49,"-",""),0), 0)), "")</f>
      </c>
      <c r="E90" s="12617">
        <f>IFERROR(INDEX(G$6:G49, MATCH(SUBSTITUTE(C90,"-",""), INDEX(SUBSTITUTE(F$6:F49,"-",""),0), 0)), "")</f>
      </c>
      <c r="F90" s="12618">
        <f>IFERROR(INDEX(H$6:H49, MATCH(SUBSTITUTE(C90,"-",""), INDEX(SUBSTITUTE(F$6:F49,"-",""),0), 0)), 0)</f>
      </c>
      <c r="G90" s="12619"/>
      <c r="H90" s="12620"/>
      <c r="I90" s="12621"/>
      <c r="J90" s="12622">
        <f t="shared" si="6"/>
      </c>
      <c r="K90" s="12623"/>
      <c r="L90" s="12624">
        <f>IFERROR(INDEX(I$6:I49, MATCH(SUBSTITUTE(C90,"-",""), INDEX(SUBSTITUTE(F$6:F49,"-",""),0), 0)), "")</f>
      </c>
      <c r="M90" s="12625">
        <f t="shared" si="7"/>
      </c>
      <c r="N90" s="12626">
        <f t="shared" si="8"/>
      </c>
      <c r="O90" s="12627">
        <f t="shared" si="9"/>
      </c>
    </row>
    <row r="91" spans="1:15">
      <c r="A91" s="12628">
        <f t="shared" si="5"/>
      </c>
      <c r="B91" s="12629"/>
      <c r="C91" s="12630"/>
      <c r="D91" s="12631">
        <f>IFERROR(INDEX(D$6:D49, MATCH(SUBSTITUTE(C91,"-",""), INDEX(SUBSTITUTE(F$6:F49,"-",""),0), 0)), "")</f>
      </c>
      <c r="E91" s="12632">
        <f>IFERROR(INDEX(G$6:G49, MATCH(SUBSTITUTE(C91,"-",""), INDEX(SUBSTITUTE(F$6:F49,"-",""),0), 0)), "")</f>
      </c>
      <c r="F91" s="12633">
        <f>IFERROR(INDEX(H$6:H49, MATCH(SUBSTITUTE(C91,"-",""), INDEX(SUBSTITUTE(F$6:F49,"-",""),0), 0)), 0)</f>
      </c>
      <c r="G91" s="12634"/>
      <c r="H91" s="12635"/>
      <c r="I91" s="12636"/>
      <c r="J91" s="12637">
        <f t="shared" si="6"/>
      </c>
      <c r="K91" s="12638"/>
      <c r="L91" s="12639">
        <f>IFERROR(INDEX(I$6:I49, MATCH(SUBSTITUTE(C91,"-",""), INDEX(SUBSTITUTE(F$6:F49,"-",""),0), 0)), "")</f>
      </c>
      <c r="M91" s="12640">
        <f t="shared" si="7"/>
      </c>
      <c r="N91" s="12641">
        <f t="shared" si="8"/>
      </c>
      <c r="O91" s="12642">
        <f t="shared" si="9"/>
      </c>
    </row>
    <row r="92" spans="1:15">
      <c r="A92" s="12643">
        <f t="shared" si="5"/>
      </c>
      <c r="B92" s="12644"/>
      <c r="C92" s="12645"/>
      <c r="D92" s="12646">
        <f>IFERROR(INDEX(D$6:D49, MATCH(SUBSTITUTE(C92,"-",""), INDEX(SUBSTITUTE(F$6:F49,"-",""),0), 0)), "")</f>
      </c>
      <c r="E92" s="12647">
        <f>IFERROR(INDEX(G$6:G49, MATCH(SUBSTITUTE(C92,"-",""), INDEX(SUBSTITUTE(F$6:F49,"-",""),0), 0)), "")</f>
      </c>
      <c r="F92" s="12648">
        <f>IFERROR(INDEX(H$6:H49, MATCH(SUBSTITUTE(C92,"-",""), INDEX(SUBSTITUTE(F$6:F49,"-",""),0), 0)), 0)</f>
      </c>
      <c r="G92" s="12649"/>
      <c r="H92" s="12650"/>
      <c r="I92" s="12651"/>
      <c r="J92" s="12652">
        <f t="shared" si="6"/>
      </c>
      <c r="K92" s="12653"/>
      <c r="L92" s="12654">
        <f>IFERROR(INDEX(I$6:I49, MATCH(SUBSTITUTE(C92,"-",""), INDEX(SUBSTITUTE(F$6:F49,"-",""),0), 0)), "")</f>
      </c>
      <c r="M92" s="12655">
        <f t="shared" si="7"/>
      </c>
      <c r="N92" s="12656">
        <f t="shared" si="8"/>
      </c>
      <c r="O92" s="12657">
        <f t="shared" si="9"/>
      </c>
    </row>
    <row r="93" spans="1:15">
      <c r="A93" s="12658">
        <f t="shared" si="5"/>
      </c>
      <c r="B93" s="12659"/>
      <c r="C93" s="12660"/>
      <c r="D93" s="12661">
        <f>IFERROR(INDEX(D$6:D49, MATCH(SUBSTITUTE(C93,"-",""), INDEX(SUBSTITUTE(F$6:F49,"-",""),0), 0)), "")</f>
      </c>
      <c r="E93" s="12662">
        <f>IFERROR(INDEX(G$6:G49, MATCH(SUBSTITUTE(C93,"-",""), INDEX(SUBSTITUTE(F$6:F49,"-",""),0), 0)), "")</f>
      </c>
      <c r="F93" s="12663">
        <f>IFERROR(INDEX(H$6:H49, MATCH(SUBSTITUTE(C93,"-",""), INDEX(SUBSTITUTE(F$6:F49,"-",""),0), 0)), 0)</f>
      </c>
      <c r="G93" s="12664"/>
      <c r="H93" s="12665"/>
      <c r="I93" s="12666"/>
      <c r="J93" s="12667">
        <f t="shared" si="6"/>
      </c>
      <c r="K93" s="12668"/>
      <c r="L93" s="12669">
        <f>IFERROR(INDEX(I$6:I49, MATCH(SUBSTITUTE(C93,"-",""), INDEX(SUBSTITUTE(F$6:F49,"-",""),0), 0)), "")</f>
      </c>
      <c r="M93" s="12670">
        <f t="shared" si="7"/>
      </c>
      <c r="N93" s="12671">
        <f t="shared" si="8"/>
      </c>
      <c r="O93" s="12672">
        <f t="shared" si="9"/>
      </c>
    </row>
    <row r="94" spans="1:15">
      <c r="A94" s="12673">
        <f t="shared" si="5"/>
      </c>
      <c r="B94" s="12674"/>
      <c r="C94" s="12675"/>
      <c r="D94" s="12676">
        <f>IFERROR(INDEX(D$6:D49, MATCH(SUBSTITUTE(C94,"-",""), INDEX(SUBSTITUTE(F$6:F49,"-",""),0), 0)), "")</f>
      </c>
      <c r="E94" s="12677">
        <f>IFERROR(INDEX(G$6:G49, MATCH(SUBSTITUTE(C94,"-",""), INDEX(SUBSTITUTE(F$6:F49,"-",""),0), 0)), "")</f>
      </c>
      <c r="F94" s="12678">
        <f>IFERROR(INDEX(H$6:H49, MATCH(SUBSTITUTE(C94,"-",""), INDEX(SUBSTITUTE(F$6:F49,"-",""),0), 0)), 0)</f>
      </c>
      <c r="G94" s="12679"/>
      <c r="H94" s="12680"/>
      <c r="I94" s="12681"/>
      <c r="J94" s="12682">
        <f t="shared" si="6"/>
      </c>
      <c r="K94" s="12683"/>
      <c r="L94" s="12684">
        <f>IFERROR(INDEX(I$6:I49, MATCH(SUBSTITUTE(C94,"-",""), INDEX(SUBSTITUTE(F$6:F49,"-",""),0), 0)), "")</f>
      </c>
      <c r="M94" s="12685">
        <f t="shared" si="7"/>
      </c>
      <c r="N94" s="12686">
        <f t="shared" si="8"/>
      </c>
      <c r="O94" s="12687">
        <f t="shared" si="9"/>
      </c>
    </row>
    <row r="95" spans="1:15">
      <c r="A95" s="12688">
        <f t="shared" si="5"/>
      </c>
      <c r="B95" s="12689"/>
      <c r="C95" s="12690"/>
      <c r="D95" s="12691">
        <f>IFERROR(INDEX(D$6:D49, MATCH(SUBSTITUTE(C95,"-",""), INDEX(SUBSTITUTE(F$6:F49,"-",""),0), 0)), "")</f>
      </c>
      <c r="E95" s="12692">
        <f>IFERROR(INDEX(G$6:G49, MATCH(SUBSTITUTE(C95,"-",""), INDEX(SUBSTITUTE(F$6:F49,"-",""),0), 0)), "")</f>
      </c>
      <c r="F95" s="12693">
        <f>IFERROR(INDEX(H$6:H49, MATCH(SUBSTITUTE(C95,"-",""), INDEX(SUBSTITUTE(F$6:F49,"-",""),0), 0)), 0)</f>
      </c>
      <c r="G95" s="12694"/>
      <c r="H95" s="12695"/>
      <c r="I95" s="12696"/>
      <c r="J95" s="12697">
        <f t="shared" si="6"/>
      </c>
      <c r="K95" s="12698"/>
      <c r="L95" s="12699">
        <f>IFERROR(INDEX(I$6:I49, MATCH(SUBSTITUTE(C95,"-",""), INDEX(SUBSTITUTE(F$6:F49,"-",""),0), 0)), "")</f>
      </c>
      <c r="M95" s="12700">
        <f t="shared" si="7"/>
      </c>
      <c r="N95" s="12701">
        <f t="shared" si="8"/>
      </c>
      <c r="O95" s="12702">
        <f t="shared" si="9"/>
      </c>
    </row>
    <row r="96" spans="1:15">
      <c r="A96" s="12703">
        <f t="shared" si="5"/>
      </c>
      <c r="B96" s="12704"/>
      <c r="C96" s="12705"/>
      <c r="D96" s="12706">
        <f>IFERROR(INDEX(D$6:D49, MATCH(SUBSTITUTE(C96,"-",""), INDEX(SUBSTITUTE(F$6:F49,"-",""),0), 0)), "")</f>
      </c>
      <c r="E96" s="12707">
        <f>IFERROR(INDEX(G$6:G49, MATCH(SUBSTITUTE(C96,"-",""), INDEX(SUBSTITUTE(F$6:F49,"-",""),0), 0)), "")</f>
      </c>
      <c r="F96" s="12708">
        <f>IFERROR(INDEX(H$6:H49, MATCH(SUBSTITUTE(C96,"-",""), INDEX(SUBSTITUTE(F$6:F49,"-",""),0), 0)), 0)</f>
      </c>
      <c r="G96" s="12709"/>
      <c r="H96" s="12710"/>
      <c r="I96" s="12711"/>
      <c r="J96" s="12712">
        <f t="shared" si="6"/>
      </c>
      <c r="K96" s="12713"/>
      <c r="L96" s="12714">
        <f>IFERROR(INDEX(I$6:I49, MATCH(SUBSTITUTE(C96,"-",""), INDEX(SUBSTITUTE(F$6:F49,"-",""),0), 0)), "")</f>
      </c>
      <c r="M96" s="12715">
        <f t="shared" si="7"/>
      </c>
      <c r="N96" s="12716">
        <f t="shared" si="8"/>
      </c>
      <c r="O96" s="12717">
        <f t="shared" si="9"/>
      </c>
    </row>
    <row r="97" spans="1:15">
      <c r="A97" s="12718">
        <f t="shared" si="5"/>
      </c>
      <c r="B97" s="12719"/>
      <c r="C97" s="12720"/>
      <c r="D97" s="12721">
        <f>IFERROR(INDEX(D$6:D49, MATCH(SUBSTITUTE(C97,"-",""), INDEX(SUBSTITUTE(F$6:F49,"-",""),0), 0)), "")</f>
      </c>
      <c r="E97" s="12722">
        <f>IFERROR(INDEX(G$6:G49, MATCH(SUBSTITUTE(C97,"-",""), INDEX(SUBSTITUTE(F$6:F49,"-",""),0), 0)), "")</f>
      </c>
      <c r="F97" s="12723">
        <f>IFERROR(INDEX(H$6:H49, MATCH(SUBSTITUTE(C97,"-",""), INDEX(SUBSTITUTE(F$6:F49,"-",""),0), 0)), 0)</f>
      </c>
      <c r="G97" s="12724"/>
      <c r="H97" s="12725"/>
      <c r="I97" s="12726"/>
      <c r="J97" s="12727">
        <f t="shared" si="6"/>
      </c>
      <c r="K97" s="12728"/>
      <c r="L97" s="12729">
        <f>IFERROR(INDEX(I$6:I49, MATCH(SUBSTITUTE(C97,"-",""), INDEX(SUBSTITUTE(F$6:F49,"-",""),0), 0)), "")</f>
      </c>
      <c r="M97" s="12730">
        <f t="shared" si="7"/>
      </c>
      <c r="N97" s="12731">
        <f t="shared" si="8"/>
      </c>
      <c r="O97" s="12732">
        <f t="shared" si="9"/>
      </c>
    </row>
    <row r="98" spans="1:15">
      <c r="A98" s="12733">
        <f t="shared" si="5"/>
      </c>
      <c r="B98" s="12734"/>
      <c r="C98" s="12735"/>
      <c r="D98" s="12736">
        <f>IFERROR(INDEX(D$6:D49, MATCH(SUBSTITUTE(C98,"-",""), INDEX(SUBSTITUTE(F$6:F49,"-",""),0), 0)), "")</f>
      </c>
      <c r="E98" s="12737">
        <f>IFERROR(INDEX(G$6:G49, MATCH(SUBSTITUTE(C98,"-",""), INDEX(SUBSTITUTE(F$6:F49,"-",""),0), 0)), "")</f>
      </c>
      <c r="F98" s="12738">
        <f>IFERROR(INDEX(H$6:H49, MATCH(SUBSTITUTE(C98,"-",""), INDEX(SUBSTITUTE(F$6:F49,"-",""),0), 0)), 0)</f>
      </c>
      <c r="G98" s="12739"/>
      <c r="H98" s="12740"/>
      <c r="I98" s="12741"/>
      <c r="J98" s="12742">
        <f t="shared" si="6"/>
      </c>
      <c r="K98" s="12743"/>
      <c r="L98" s="12744">
        <f>IFERROR(INDEX(I$6:I49, MATCH(SUBSTITUTE(C98,"-",""), INDEX(SUBSTITUTE(F$6:F49,"-",""),0), 0)), "")</f>
      </c>
      <c r="M98" s="12745">
        <f t="shared" si="7"/>
      </c>
      <c r="N98" s="12746">
        <f t="shared" si="8"/>
      </c>
      <c r="O98" s="12747">
        <f t="shared" si="9"/>
      </c>
    </row>
    <row r="99" spans="1:15">
      <c r="A99" s="12748">
        <f t="shared" si="5"/>
      </c>
      <c r="B99" s="12749"/>
      <c r="C99" s="12750"/>
      <c r="D99" s="12751">
        <f>IFERROR(INDEX(D$6:D49, MATCH(SUBSTITUTE(C99,"-",""), INDEX(SUBSTITUTE(F$6:F49,"-",""),0), 0)), "")</f>
      </c>
      <c r="E99" s="12752">
        <f>IFERROR(INDEX(G$6:G49, MATCH(SUBSTITUTE(C99,"-",""), INDEX(SUBSTITUTE(F$6:F49,"-",""),0), 0)), "")</f>
      </c>
      <c r="F99" s="12753">
        <f>IFERROR(INDEX(H$6:H49, MATCH(SUBSTITUTE(C99,"-",""), INDEX(SUBSTITUTE(F$6:F49,"-",""),0), 0)), 0)</f>
      </c>
      <c r="G99" s="12754"/>
      <c r="H99" s="12755"/>
      <c r="I99" s="12756"/>
      <c r="J99" s="12757">
        <f t="shared" si="6"/>
      </c>
      <c r="K99" s="12758"/>
      <c r="L99" s="12759">
        <f>IFERROR(INDEX(I$6:I49, MATCH(SUBSTITUTE(C99,"-",""), INDEX(SUBSTITUTE(F$6:F49,"-",""),0), 0)), "")</f>
      </c>
      <c r="M99" s="12760">
        <f t="shared" si="7"/>
      </c>
      <c r="N99" s="12761">
        <f t="shared" si="8"/>
      </c>
      <c r="O99" s="12762">
        <f t="shared" si="9"/>
      </c>
    </row>
    <row r="100" spans="1:15">
      <c r="A100" s="12763">
        <f t="shared" si="5"/>
      </c>
      <c r="B100" s="12764"/>
      <c r="C100" s="12765"/>
      <c r="D100" s="12766">
        <f>IFERROR(INDEX(D$6:D49, MATCH(SUBSTITUTE(C100,"-",""), INDEX(SUBSTITUTE(F$6:F49,"-",""),0), 0)), "")</f>
      </c>
      <c r="E100" s="12767">
        <f>IFERROR(INDEX(G$6:G49, MATCH(SUBSTITUTE(C100,"-",""), INDEX(SUBSTITUTE(F$6:F49,"-",""),0), 0)), "")</f>
      </c>
      <c r="F100" s="12768">
        <f>IFERROR(INDEX(H$6:H49, MATCH(SUBSTITUTE(C100,"-",""), INDEX(SUBSTITUTE(F$6:F49,"-",""),0), 0)), 0)</f>
      </c>
      <c r="G100" s="12769"/>
      <c r="H100" s="12770"/>
      <c r="I100" s="12771"/>
      <c r="J100" s="12772">
        <f t="shared" si="6"/>
      </c>
      <c r="K100" s="12773"/>
      <c r="L100" s="12774">
        <f>IFERROR(INDEX(I$6:I49, MATCH(SUBSTITUTE(C100,"-",""), INDEX(SUBSTITUTE(F$6:F49,"-",""),0), 0)), "")</f>
      </c>
      <c r="M100" s="12775">
        <f t="shared" si="7"/>
      </c>
      <c r="N100" s="12776">
        <f t="shared" si="8"/>
      </c>
      <c r="O100" s="12777">
        <f t="shared" si="9"/>
      </c>
    </row>
    <row r="101" spans="1:15">
      <c r="A101" s="12778">
        <f t="shared" si="5"/>
      </c>
      <c r="B101" s="12779"/>
      <c r="C101" s="12780"/>
      <c r="D101" s="12781">
        <f>IFERROR(INDEX(D$6:D49, MATCH(SUBSTITUTE(C101,"-",""), INDEX(SUBSTITUTE(F$6:F49,"-",""),0), 0)), "")</f>
      </c>
      <c r="E101" s="12782">
        <f>IFERROR(INDEX(G$6:G49, MATCH(SUBSTITUTE(C101,"-",""), INDEX(SUBSTITUTE(F$6:F49,"-",""),0), 0)), "")</f>
      </c>
      <c r="F101" s="12783">
        <f>IFERROR(INDEX(H$6:H49, MATCH(SUBSTITUTE(C101,"-",""), INDEX(SUBSTITUTE(F$6:F49,"-",""),0), 0)), 0)</f>
      </c>
      <c r="G101" s="12784"/>
      <c r="H101" s="12785"/>
      <c r="I101" s="12786"/>
      <c r="J101" s="12787">
        <f t="shared" si="6"/>
      </c>
      <c r="K101" s="12788"/>
      <c r="L101" s="12789">
        <f>IFERROR(INDEX(I$6:I49, MATCH(SUBSTITUTE(C101,"-",""), INDEX(SUBSTITUTE(F$6:F49,"-",""),0), 0)), "")</f>
      </c>
      <c r="M101" s="12790">
        <f t="shared" si="7"/>
      </c>
      <c r="N101" s="12791">
        <f t="shared" si="8"/>
      </c>
      <c r="O101" s="12792">
        <f t="shared" si="9"/>
      </c>
    </row>
    <row r="102" spans="1:15">
      <c r="A102" s="12793">
        <f t="shared" si="5"/>
      </c>
      <c r="B102" s="12794"/>
      <c r="C102" s="12795"/>
      <c r="D102" s="12796">
        <f>IFERROR(INDEX(D$6:D49, MATCH(SUBSTITUTE(C102,"-",""), INDEX(SUBSTITUTE(F$6:F49,"-",""),0), 0)), "")</f>
      </c>
      <c r="E102" s="12797">
        <f>IFERROR(INDEX(G$6:G49, MATCH(SUBSTITUTE(C102,"-",""), INDEX(SUBSTITUTE(F$6:F49,"-",""),0), 0)), "")</f>
      </c>
      <c r="F102" s="12798">
        <f>IFERROR(INDEX(H$6:H49, MATCH(SUBSTITUTE(C102,"-",""), INDEX(SUBSTITUTE(F$6:F49,"-",""),0), 0)), 0)</f>
      </c>
      <c r="G102" s="12799"/>
      <c r="H102" s="12800"/>
      <c r="I102" s="12801"/>
      <c r="J102" s="12802">
        <f t="shared" si="6"/>
      </c>
      <c r="K102" s="12803"/>
      <c r="L102" s="12804">
        <f>IFERROR(INDEX(I$6:I49, MATCH(SUBSTITUTE(C102,"-",""), INDEX(SUBSTITUTE(F$6:F49,"-",""),0), 0)), "")</f>
      </c>
      <c r="M102" s="12805">
        <f t="shared" si="7"/>
      </c>
      <c r="N102" s="12806">
        <f t="shared" si="8"/>
      </c>
      <c r="O102" s="12807">
        <f t="shared" si="9"/>
      </c>
    </row>
    <row r="103" spans="1:15">
      <c r="A103" s="12808">
        <f t="shared" si="5"/>
      </c>
      <c r="B103" s="12809"/>
      <c r="C103" s="12810"/>
      <c r="D103" s="12811">
        <f>IFERROR(INDEX(D$6:D49, MATCH(SUBSTITUTE(C103,"-",""), INDEX(SUBSTITUTE(F$6:F49,"-",""),0), 0)), "")</f>
      </c>
      <c r="E103" s="12812">
        <f>IFERROR(INDEX(G$6:G49, MATCH(SUBSTITUTE(C103,"-",""), INDEX(SUBSTITUTE(F$6:F49,"-",""),0), 0)), "")</f>
      </c>
      <c r="F103" s="12813">
        <f>IFERROR(INDEX(H$6:H49, MATCH(SUBSTITUTE(C103,"-",""), INDEX(SUBSTITUTE(F$6:F49,"-",""),0), 0)), 0)</f>
      </c>
      <c r="G103" s="12814"/>
      <c r="H103" s="12815"/>
      <c r="I103" s="12816"/>
      <c r="J103" s="12817">
        <f t="shared" si="6"/>
      </c>
      <c r="K103" s="12818"/>
      <c r="L103" s="12819">
        <f>IFERROR(INDEX(I$6:I49, MATCH(SUBSTITUTE(C103,"-",""), INDEX(SUBSTITUTE(F$6:F49,"-",""),0), 0)), "")</f>
      </c>
      <c r="M103" s="12820">
        <f t="shared" si="7"/>
      </c>
      <c r="N103" s="12821">
        <f t="shared" si="8"/>
      </c>
      <c r="O103" s="12822">
        <f t="shared" si="9"/>
      </c>
    </row>
    <row r="104" spans="1:15">
      <c r="A104" s="12823">
        <f t="shared" si="5"/>
      </c>
      <c r="B104" s="12824"/>
      <c r="C104" s="12825"/>
      <c r="D104" s="12826">
        <f>IFERROR(INDEX(D$6:D49, MATCH(SUBSTITUTE(C104,"-",""), INDEX(SUBSTITUTE(F$6:F49,"-",""),0), 0)), "")</f>
      </c>
      <c r="E104" s="12827">
        <f>IFERROR(INDEX(G$6:G49, MATCH(SUBSTITUTE(C104,"-",""), INDEX(SUBSTITUTE(F$6:F49,"-",""),0), 0)), "")</f>
      </c>
      <c r="F104" s="12828">
        <f>IFERROR(INDEX(H$6:H49, MATCH(SUBSTITUTE(C104,"-",""), INDEX(SUBSTITUTE(F$6:F49,"-",""),0), 0)), 0)</f>
      </c>
      <c r="G104" s="12829"/>
      <c r="H104" s="12830"/>
      <c r="I104" s="12831"/>
      <c r="J104" s="12832">
        <f t="shared" si="6"/>
      </c>
      <c r="K104" s="12833"/>
      <c r="L104" s="12834">
        <f>IFERROR(INDEX(I$6:I49, MATCH(SUBSTITUTE(C104,"-",""), INDEX(SUBSTITUTE(F$6:F49,"-",""),0), 0)), "")</f>
      </c>
      <c r="M104" s="12835">
        <f t="shared" si="7"/>
      </c>
      <c r="N104" s="12836">
        <f t="shared" si="8"/>
      </c>
      <c r="O104" s="12837">
        <f t="shared" si="9"/>
      </c>
    </row>
    <row r="105" spans="1:15">
      <c r="A105" s="12838">
        <f t="shared" si="5"/>
      </c>
      <c r="B105" s="12839"/>
      <c r="C105" s="12840"/>
      <c r="D105" s="12841">
        <f>IFERROR(INDEX(D$6:D49, MATCH(SUBSTITUTE(C105,"-",""), INDEX(SUBSTITUTE(F$6:F49,"-",""),0), 0)), "")</f>
      </c>
      <c r="E105" s="12842">
        <f>IFERROR(INDEX(G$6:G49, MATCH(SUBSTITUTE(C105,"-",""), INDEX(SUBSTITUTE(F$6:F49,"-",""),0), 0)), "")</f>
      </c>
      <c r="F105" s="12843">
        <f>IFERROR(INDEX(H$6:H49, MATCH(SUBSTITUTE(C105,"-",""), INDEX(SUBSTITUTE(F$6:F49,"-",""),0), 0)), 0)</f>
      </c>
      <c r="G105" s="12844"/>
      <c r="H105" s="12845"/>
      <c r="I105" s="12846"/>
      <c r="J105" s="12847">
        <f t="shared" si="6"/>
      </c>
      <c r="K105" s="12848"/>
      <c r="L105" s="12849">
        <f>IFERROR(INDEX(I$6:I49, MATCH(SUBSTITUTE(C105,"-",""), INDEX(SUBSTITUTE(F$6:F49,"-",""),0), 0)), "")</f>
      </c>
      <c r="M105" s="12850">
        <f t="shared" si="7"/>
      </c>
      <c r="N105" s="12851">
        <f t="shared" si="8"/>
      </c>
      <c r="O105" s="12852">
        <f t="shared" si="9"/>
      </c>
    </row>
    <row r="106" spans="1:15">
      <c r="A106" s="12853">
        <f t="shared" si="5"/>
      </c>
      <c r="B106" s="12854"/>
      <c r="C106" s="12855"/>
      <c r="D106" s="12856">
        <f>IFERROR(INDEX(D$6:D49, MATCH(SUBSTITUTE(C106,"-",""), INDEX(SUBSTITUTE(F$6:F49,"-",""),0), 0)), "")</f>
      </c>
      <c r="E106" s="12857">
        <f>IFERROR(INDEX(G$6:G49, MATCH(SUBSTITUTE(C106,"-",""), INDEX(SUBSTITUTE(F$6:F49,"-",""),0), 0)), "")</f>
      </c>
      <c r="F106" s="12858">
        <f>IFERROR(INDEX(H$6:H49, MATCH(SUBSTITUTE(C106,"-",""), INDEX(SUBSTITUTE(F$6:F49,"-",""),0), 0)), 0)</f>
      </c>
      <c r="G106" s="12859"/>
      <c r="H106" s="12860"/>
      <c r="I106" s="12861"/>
      <c r="J106" s="12862">
        <f t="shared" si="6"/>
      </c>
      <c r="K106" s="12863"/>
      <c r="L106" s="12864">
        <f>IFERROR(INDEX(I$6:I49, MATCH(SUBSTITUTE(C106,"-",""), INDEX(SUBSTITUTE(F$6:F49,"-",""),0), 0)), "")</f>
      </c>
      <c r="M106" s="12865">
        <f t="shared" si="7"/>
      </c>
      <c r="N106" s="12866">
        <f t="shared" si="8"/>
      </c>
      <c r="O106" s="12867">
        <f t="shared" si="9"/>
      </c>
    </row>
    <row r="107" spans="1:15">
      <c r="A107" s="12868">
        <f t="shared" si="5"/>
      </c>
      <c r="B107" s="12869"/>
      <c r="C107" s="12870"/>
      <c r="D107" s="12871">
        <f>IFERROR(INDEX(D$6:D49, MATCH(SUBSTITUTE(C107,"-",""), INDEX(SUBSTITUTE(F$6:F49,"-",""),0), 0)), "")</f>
      </c>
      <c r="E107" s="12872">
        <f>IFERROR(INDEX(G$6:G49, MATCH(SUBSTITUTE(C107,"-",""), INDEX(SUBSTITUTE(F$6:F49,"-",""),0), 0)), "")</f>
      </c>
      <c r="F107" s="12873">
        <f>IFERROR(INDEX(H$6:H49, MATCH(SUBSTITUTE(C107,"-",""), INDEX(SUBSTITUTE(F$6:F49,"-",""),0), 0)), 0)</f>
      </c>
      <c r="G107" s="12874"/>
      <c r="H107" s="12875"/>
      <c r="I107" s="12876"/>
      <c r="J107" s="12877">
        <f t="shared" si="6"/>
      </c>
      <c r="K107" s="12878"/>
      <c r="L107" s="12879">
        <f>IFERROR(INDEX(I$6:I49, MATCH(SUBSTITUTE(C107,"-",""), INDEX(SUBSTITUTE(F$6:F49,"-",""),0), 0)), "")</f>
      </c>
      <c r="M107" s="12880">
        <f t="shared" si="7"/>
      </c>
      <c r="N107" s="12881">
        <f t="shared" si="8"/>
      </c>
      <c r="O107" s="12882">
        <f t="shared" si="9"/>
      </c>
    </row>
    <row r="108" spans="1:15">
      <c r="A108" s="12883">
        <f t="shared" si="5"/>
      </c>
      <c r="B108" s="12884"/>
      <c r="C108" s="12885"/>
      <c r="D108" s="12886">
        <f>IFERROR(INDEX(D$6:D49, MATCH(SUBSTITUTE(C108,"-",""), INDEX(SUBSTITUTE(F$6:F49,"-",""),0), 0)), "")</f>
      </c>
      <c r="E108" s="12887">
        <f>IFERROR(INDEX(G$6:G49, MATCH(SUBSTITUTE(C108,"-",""), INDEX(SUBSTITUTE(F$6:F49,"-",""),0), 0)), "")</f>
      </c>
      <c r="F108" s="12888">
        <f>IFERROR(INDEX(H$6:H49, MATCH(SUBSTITUTE(C108,"-",""), INDEX(SUBSTITUTE(F$6:F49,"-",""),0), 0)), 0)</f>
      </c>
      <c r="G108" s="12889"/>
      <c r="H108" s="12890"/>
      <c r="I108" s="12891"/>
      <c r="J108" s="12892">
        <f t="shared" si="6"/>
      </c>
      <c r="K108" s="12893"/>
      <c r="L108" s="12894">
        <f>IFERROR(INDEX(I$6:I49, MATCH(SUBSTITUTE(C108,"-",""), INDEX(SUBSTITUTE(F$6:F49,"-",""),0), 0)), "")</f>
      </c>
      <c r="M108" s="12895">
        <f t="shared" si="7"/>
      </c>
      <c r="N108" s="12896">
        <f t="shared" si="8"/>
      </c>
      <c r="O108" s="12897">
        <f t="shared" si="9"/>
      </c>
    </row>
    <row r="109" spans="1:15">
      <c r="A109" s="12898">
        <f t="shared" si="5"/>
      </c>
      <c r="B109" s="12899"/>
      <c r="C109" s="12900"/>
      <c r="D109" s="12901">
        <f>IFERROR(INDEX(D$6:D49, MATCH(SUBSTITUTE(C109,"-",""), INDEX(SUBSTITUTE(F$6:F49,"-",""),0), 0)), "")</f>
      </c>
      <c r="E109" s="12902">
        <f>IFERROR(INDEX(G$6:G49, MATCH(SUBSTITUTE(C109,"-",""), INDEX(SUBSTITUTE(F$6:F49,"-",""),0), 0)), "")</f>
      </c>
      <c r="F109" s="12903">
        <f>IFERROR(INDEX(H$6:H49, MATCH(SUBSTITUTE(C109,"-",""), INDEX(SUBSTITUTE(F$6:F49,"-",""),0), 0)), 0)</f>
      </c>
      <c r="G109" s="12904"/>
      <c r="H109" s="12905"/>
      <c r="I109" s="12906"/>
      <c r="J109" s="12907">
        <f t="shared" si="6"/>
      </c>
      <c r="K109" s="12908"/>
      <c r="L109" s="12909">
        <f>IFERROR(INDEX(I$6:I49, MATCH(SUBSTITUTE(C109,"-",""), INDEX(SUBSTITUTE(F$6:F49,"-",""),0), 0)), "")</f>
      </c>
      <c r="M109" s="12910">
        <f t="shared" si="7"/>
      </c>
      <c r="N109" s="12911">
        <f t="shared" si="8"/>
      </c>
      <c r="O109" s="12912">
        <f t="shared" si="9"/>
      </c>
    </row>
    <row r="110" spans="1:15">
      <c r="A110" s="12913">
        <f t="shared" si="5"/>
      </c>
      <c r="B110" s="12914"/>
      <c r="C110" s="12915"/>
      <c r="D110" s="12916">
        <f>IFERROR(INDEX(D$6:D49, MATCH(SUBSTITUTE(C110,"-",""), INDEX(SUBSTITUTE(F$6:F49,"-",""),0), 0)), "")</f>
      </c>
      <c r="E110" s="12917">
        <f>IFERROR(INDEX(G$6:G49, MATCH(SUBSTITUTE(C110,"-",""), INDEX(SUBSTITUTE(F$6:F49,"-",""),0), 0)), "")</f>
      </c>
      <c r="F110" s="12918">
        <f>IFERROR(INDEX(H$6:H49, MATCH(SUBSTITUTE(C110,"-",""), INDEX(SUBSTITUTE(F$6:F49,"-",""),0), 0)), 0)</f>
      </c>
      <c r="G110" s="12919"/>
      <c r="H110" s="12920"/>
      <c r="I110" s="12921"/>
      <c r="J110" s="12922">
        <f t="shared" si="6"/>
      </c>
      <c r="K110" s="12923"/>
      <c r="L110" s="12924">
        <f>IFERROR(INDEX(I$6:I49, MATCH(SUBSTITUTE(C110,"-",""), INDEX(SUBSTITUTE(F$6:F49,"-",""),0), 0)), "")</f>
      </c>
      <c r="M110" s="12925">
        <f t="shared" si="7"/>
      </c>
      <c r="N110" s="12926">
        <f t="shared" si="8"/>
      </c>
      <c r="O110" s="12927">
        <f t="shared" si="9"/>
      </c>
    </row>
    <row r="111" spans="1:15">
      <c r="A111" s="12928">
        <f t="shared" si="5"/>
      </c>
      <c r="B111" s="12929"/>
      <c r="C111" s="12930"/>
      <c r="D111" s="12931">
        <f>IFERROR(INDEX(D$6:D49, MATCH(SUBSTITUTE(C111,"-",""), INDEX(SUBSTITUTE(F$6:F49,"-",""),0), 0)), "")</f>
      </c>
      <c r="E111" s="12932">
        <f>IFERROR(INDEX(G$6:G49, MATCH(SUBSTITUTE(C111,"-",""), INDEX(SUBSTITUTE(F$6:F49,"-",""),0), 0)), "")</f>
      </c>
      <c r="F111" s="12933">
        <f>IFERROR(INDEX(H$6:H49, MATCH(SUBSTITUTE(C111,"-",""), INDEX(SUBSTITUTE(F$6:F49,"-",""),0), 0)), 0)</f>
      </c>
      <c r="G111" s="12934"/>
      <c r="H111" s="12935"/>
      <c r="I111" s="12936"/>
      <c r="J111" s="12937">
        <f t="shared" si="6"/>
      </c>
      <c r="K111" s="12938"/>
      <c r="L111" s="12939">
        <f>IFERROR(INDEX(I$6:I49, MATCH(SUBSTITUTE(C111,"-",""), INDEX(SUBSTITUTE(F$6:F49,"-",""),0), 0)), "")</f>
      </c>
      <c r="M111" s="12940">
        <f t="shared" si="7"/>
      </c>
      <c r="N111" s="12941">
        <f t="shared" si="8"/>
      </c>
      <c r="O111" s="12942">
        <f t="shared" si="9"/>
      </c>
    </row>
    <row r="112" spans="1:15">
      <c r="A112" s="12943">
        <f t="shared" si="5"/>
      </c>
      <c r="B112" s="12944"/>
      <c r="C112" s="12945"/>
      <c r="D112" s="12946">
        <f>IFERROR(INDEX(D$6:D49, MATCH(SUBSTITUTE(C112,"-",""), INDEX(SUBSTITUTE(F$6:F49,"-",""),0), 0)), "")</f>
      </c>
      <c r="E112" s="12947">
        <f>IFERROR(INDEX(G$6:G49, MATCH(SUBSTITUTE(C112,"-",""), INDEX(SUBSTITUTE(F$6:F49,"-",""),0), 0)), "")</f>
      </c>
      <c r="F112" s="12948">
        <f>IFERROR(INDEX(H$6:H49, MATCH(SUBSTITUTE(C112,"-",""), INDEX(SUBSTITUTE(F$6:F49,"-",""),0), 0)), 0)</f>
      </c>
      <c r="G112" s="12949"/>
      <c r="H112" s="12950"/>
      <c r="I112" s="12951"/>
      <c r="J112" s="12952">
        <f t="shared" si="6"/>
      </c>
      <c r="K112" s="12953"/>
      <c r="L112" s="12954">
        <f>IFERROR(INDEX(I$6:I49, MATCH(SUBSTITUTE(C112,"-",""), INDEX(SUBSTITUTE(F$6:F49,"-",""),0), 0)), "")</f>
      </c>
      <c r="M112" s="12955">
        <f t="shared" si="7"/>
      </c>
      <c r="N112" s="12956">
        <f t="shared" si="8"/>
      </c>
      <c r="O112" s="12957">
        <f t="shared" si="9"/>
      </c>
    </row>
    <row r="113" spans="1:15">
      <c r="A113" s="12958">
        <f t="shared" si="5"/>
      </c>
      <c r="B113" s="12959"/>
      <c r="C113" s="12960"/>
      <c r="D113" s="12961">
        <f>IFERROR(INDEX(D$6:D49, MATCH(SUBSTITUTE(C113,"-",""), INDEX(SUBSTITUTE(F$6:F49,"-",""),0), 0)), "")</f>
      </c>
      <c r="E113" s="12962">
        <f>IFERROR(INDEX(G$6:G49, MATCH(SUBSTITUTE(C113,"-",""), INDEX(SUBSTITUTE(F$6:F49,"-",""),0), 0)), "")</f>
      </c>
      <c r="F113" s="12963">
        <f>IFERROR(INDEX(H$6:H49, MATCH(SUBSTITUTE(C113,"-",""), INDEX(SUBSTITUTE(F$6:F49,"-",""),0), 0)), 0)</f>
      </c>
      <c r="G113" s="12964"/>
      <c r="H113" s="12965"/>
      <c r="I113" s="12966"/>
      <c r="J113" s="12967">
        <f t="shared" si="6"/>
      </c>
      <c r="K113" s="12968"/>
      <c r="L113" s="12969">
        <f>IFERROR(INDEX(I$6:I49, MATCH(SUBSTITUTE(C113,"-",""), INDEX(SUBSTITUTE(F$6:F49,"-",""),0), 0)), "")</f>
      </c>
      <c r="M113" s="12970">
        <f t="shared" si="7"/>
      </c>
      <c r="N113" s="12971">
        <f t="shared" si="8"/>
      </c>
      <c r="O113" s="12972">
        <f t="shared" si="9"/>
      </c>
    </row>
    <row r="114" spans="1:15">
      <c r="A114" s="12973">
        <f t="shared" si="5"/>
      </c>
      <c r="B114" s="12974"/>
      <c r="C114" s="12975"/>
      <c r="D114" s="12976">
        <f>IFERROR(INDEX(D$6:D49, MATCH(SUBSTITUTE(C114,"-",""), INDEX(SUBSTITUTE(F$6:F49,"-",""),0), 0)), "")</f>
      </c>
      <c r="E114" s="12977">
        <f>IFERROR(INDEX(G$6:G49, MATCH(SUBSTITUTE(C114,"-",""), INDEX(SUBSTITUTE(F$6:F49,"-",""),0), 0)), "")</f>
      </c>
      <c r="F114" s="12978">
        <f>IFERROR(INDEX(H$6:H49, MATCH(SUBSTITUTE(C114,"-",""), INDEX(SUBSTITUTE(F$6:F49,"-",""),0), 0)), 0)</f>
      </c>
      <c r="G114" s="12979"/>
      <c r="H114" s="12980"/>
      <c r="I114" s="12981"/>
      <c r="J114" s="12982">
        <f t="shared" si="6"/>
      </c>
      <c r="K114" s="12983"/>
      <c r="L114" s="12984">
        <f>IFERROR(INDEX(I$6:I49, MATCH(SUBSTITUTE(C114,"-",""), INDEX(SUBSTITUTE(F$6:F49,"-",""),0), 0)), "")</f>
      </c>
      <c r="M114" s="12985">
        <f t="shared" si="7"/>
      </c>
      <c r="N114" s="12986">
        <f t="shared" si="8"/>
      </c>
      <c r="O114" s="12987">
        <f t="shared" si="9"/>
      </c>
    </row>
    <row r="115" spans="1:15">
      <c r="A115" s="12988">
        <f t="shared" si="5"/>
      </c>
      <c r="B115" s="12989"/>
      <c r="C115" s="12990"/>
      <c r="D115" s="12991">
        <f>IFERROR(INDEX(D$6:D49, MATCH(SUBSTITUTE(C115,"-",""), INDEX(SUBSTITUTE(F$6:F49,"-",""),0), 0)), "")</f>
      </c>
      <c r="E115" s="12992">
        <f>IFERROR(INDEX(G$6:G49, MATCH(SUBSTITUTE(C115,"-",""), INDEX(SUBSTITUTE(F$6:F49,"-",""),0), 0)), "")</f>
      </c>
      <c r="F115" s="12993">
        <f>IFERROR(INDEX(H$6:H49, MATCH(SUBSTITUTE(C115,"-",""), INDEX(SUBSTITUTE(F$6:F49,"-",""),0), 0)), 0)</f>
      </c>
      <c r="G115" s="12994"/>
      <c r="H115" s="12995"/>
      <c r="I115" s="12996"/>
      <c r="J115" s="12997">
        <f t="shared" si="6"/>
      </c>
      <c r="K115" s="12998"/>
      <c r="L115" s="12999">
        <f>IFERROR(INDEX(I$6:I49, MATCH(SUBSTITUTE(C115,"-",""), INDEX(SUBSTITUTE(F$6:F49,"-",""),0), 0)), "")</f>
      </c>
      <c r="M115" s="13000">
        <f t="shared" si="7"/>
      </c>
      <c r="N115" s="13001">
        <f t="shared" si="8"/>
      </c>
      <c r="O115" s="13002">
        <f t="shared" si="9"/>
      </c>
    </row>
    <row r="116" spans="1:15">
      <c r="A116" s="13003">
        <f t="shared" si="5"/>
      </c>
      <c r="B116" s="13004"/>
      <c r="C116" s="13005"/>
      <c r="D116" s="13006">
        <f>IFERROR(INDEX(D$6:D49, MATCH(SUBSTITUTE(C116,"-",""), INDEX(SUBSTITUTE(F$6:F49,"-",""),0), 0)), "")</f>
      </c>
      <c r="E116" s="13007">
        <f>IFERROR(INDEX(G$6:G49, MATCH(SUBSTITUTE(C116,"-",""), INDEX(SUBSTITUTE(F$6:F49,"-",""),0), 0)), "")</f>
      </c>
      <c r="F116" s="13008">
        <f>IFERROR(INDEX(H$6:H49, MATCH(SUBSTITUTE(C116,"-",""), INDEX(SUBSTITUTE(F$6:F49,"-",""),0), 0)), 0)</f>
      </c>
      <c r="G116" s="13009"/>
      <c r="H116" s="13010"/>
      <c r="I116" s="13011"/>
      <c r="J116" s="13012">
        <f t="shared" si="6"/>
      </c>
      <c r="K116" s="13013"/>
      <c r="L116" s="13014">
        <f>IFERROR(INDEX(I$6:I49, MATCH(SUBSTITUTE(C116,"-",""), INDEX(SUBSTITUTE(F$6:F49,"-",""),0), 0)), "")</f>
      </c>
      <c r="M116" s="13015">
        <f t="shared" si="7"/>
      </c>
      <c r="N116" s="13016">
        <f t="shared" si="8"/>
      </c>
      <c r="O116" s="13017">
        <f t="shared" si="9"/>
      </c>
    </row>
    <row r="117" spans="1:15">
      <c r="A117" s="13018">
        <f t="shared" si="5"/>
      </c>
      <c r="B117" s="13019"/>
      <c r="C117" s="13020"/>
      <c r="D117" s="13021">
        <f>IFERROR(INDEX(D$6:D49, MATCH(SUBSTITUTE(C117,"-",""), INDEX(SUBSTITUTE(F$6:F49,"-",""),0), 0)), "")</f>
      </c>
      <c r="E117" s="13022">
        <f>IFERROR(INDEX(G$6:G49, MATCH(SUBSTITUTE(C117,"-",""), INDEX(SUBSTITUTE(F$6:F49,"-",""),0), 0)), "")</f>
      </c>
      <c r="F117" s="13023">
        <f>IFERROR(INDEX(H$6:H49, MATCH(SUBSTITUTE(C117,"-",""), INDEX(SUBSTITUTE(F$6:F49,"-",""),0), 0)), 0)</f>
      </c>
      <c r="G117" s="13024"/>
      <c r="H117" s="13025"/>
      <c r="I117" s="13026"/>
      <c r="J117" s="13027">
        <f t="shared" si="6"/>
      </c>
      <c r="K117" s="13028"/>
      <c r="L117" s="13029">
        <f>IFERROR(INDEX(I$6:I49, MATCH(SUBSTITUTE(C117,"-",""), INDEX(SUBSTITUTE(F$6:F49,"-",""),0), 0)), "")</f>
      </c>
      <c r="M117" s="13030">
        <f t="shared" si="7"/>
      </c>
      <c r="N117" s="13031">
        <f t="shared" si="8"/>
      </c>
      <c r="O117" s="13032">
        <f t="shared" si="9"/>
      </c>
    </row>
    <row r="118" spans="1:15">
      <c r="A118" s="13033">
        <f t="shared" si="5"/>
      </c>
      <c r="B118" s="13034"/>
      <c r="C118" s="13035"/>
      <c r="D118" s="13036">
        <f>IFERROR(INDEX(D$6:D49, MATCH(SUBSTITUTE(C118,"-",""), INDEX(SUBSTITUTE(F$6:F49,"-",""),0), 0)), "")</f>
      </c>
      <c r="E118" s="13037">
        <f>IFERROR(INDEX(G$6:G49, MATCH(SUBSTITUTE(C118,"-",""), INDEX(SUBSTITUTE(F$6:F49,"-",""),0), 0)), "")</f>
      </c>
      <c r="F118" s="13038">
        <f>IFERROR(INDEX(H$6:H49, MATCH(SUBSTITUTE(C118,"-",""), INDEX(SUBSTITUTE(F$6:F49,"-",""),0), 0)), 0)</f>
      </c>
      <c r="G118" s="13039"/>
      <c r="H118" s="13040"/>
      <c r="I118" s="13041"/>
      <c r="J118" s="13042">
        <f t="shared" si="6"/>
      </c>
      <c r="K118" s="13043"/>
      <c r="L118" s="13044">
        <f>IFERROR(INDEX(I$6:I49, MATCH(SUBSTITUTE(C118,"-",""), INDEX(SUBSTITUTE(F$6:F49,"-",""),0), 0)), "")</f>
      </c>
      <c r="M118" s="13045">
        <f t="shared" si="7"/>
      </c>
      <c r="N118" s="13046">
        <f t="shared" si="8"/>
      </c>
      <c r="O118" s="13047">
        <f t="shared" si="9"/>
      </c>
    </row>
    <row r="119" spans="1:15">
      <c r="A119" s="13048">
        <f t="shared" si="5"/>
      </c>
      <c r="B119" s="13049"/>
      <c r="C119" s="13050"/>
      <c r="D119" s="13051">
        <f>IFERROR(INDEX(D$6:D49, MATCH(SUBSTITUTE(C119,"-",""), INDEX(SUBSTITUTE(F$6:F49,"-",""),0), 0)), "")</f>
      </c>
      <c r="E119" s="13052">
        <f>IFERROR(INDEX(G$6:G49, MATCH(SUBSTITUTE(C119,"-",""), INDEX(SUBSTITUTE(F$6:F49,"-",""),0), 0)), "")</f>
      </c>
      <c r="F119" s="13053">
        <f>IFERROR(INDEX(H$6:H49, MATCH(SUBSTITUTE(C119,"-",""), INDEX(SUBSTITUTE(F$6:F49,"-",""),0), 0)), 0)</f>
      </c>
      <c r="G119" s="13054"/>
      <c r="H119" s="13055"/>
      <c r="I119" s="13056"/>
      <c r="J119" s="13057">
        <f t="shared" si="6"/>
      </c>
      <c r="K119" s="13058"/>
      <c r="L119" s="13059">
        <f>IFERROR(INDEX(I$6:I49, MATCH(SUBSTITUTE(C119,"-",""), INDEX(SUBSTITUTE(F$6:F49,"-",""),0), 0)), "")</f>
      </c>
      <c r="M119" s="13060">
        <f t="shared" si="7"/>
      </c>
      <c r="N119" s="13061">
        <f t="shared" si="8"/>
      </c>
      <c r="O119" s="13062">
        <f t="shared" si="9"/>
      </c>
    </row>
    <row r="120" spans="1:15">
      <c r="A120" s="13063">
        <f t="shared" si="5"/>
      </c>
      <c r="B120" s="13064"/>
      <c r="C120" s="13065"/>
      <c r="D120" s="13066">
        <f>IFERROR(INDEX(D$6:D49, MATCH(SUBSTITUTE(C120,"-",""), INDEX(SUBSTITUTE(F$6:F49,"-",""),0), 0)), "")</f>
      </c>
      <c r="E120" s="13067">
        <f>IFERROR(INDEX(G$6:G49, MATCH(SUBSTITUTE(C120,"-",""), INDEX(SUBSTITUTE(F$6:F49,"-",""),0), 0)), "")</f>
      </c>
      <c r="F120" s="13068">
        <f>IFERROR(INDEX(H$6:H49, MATCH(SUBSTITUTE(C120,"-",""), INDEX(SUBSTITUTE(F$6:F49,"-",""),0), 0)), 0)</f>
      </c>
      <c r="G120" s="13069"/>
      <c r="H120" s="13070"/>
      <c r="I120" s="13071"/>
      <c r="J120" s="13072">
        <f t="shared" si="6"/>
      </c>
      <c r="K120" s="13073"/>
      <c r="L120" s="13074">
        <f>IFERROR(INDEX(I$6:I49, MATCH(SUBSTITUTE(C120,"-",""), INDEX(SUBSTITUTE(F$6:F49,"-",""),0), 0)), "")</f>
      </c>
      <c r="M120" s="13075">
        <f t="shared" si="7"/>
      </c>
      <c r="N120" s="13076">
        <f t="shared" si="8"/>
      </c>
      <c r="O120" s="13077">
        <f t="shared" si="9"/>
      </c>
    </row>
    <row r="121" spans="1:15">
      <c r="A121" s="13078">
        <f t="shared" ref="A121:A152" si="10">IF(B121="","", WEEKNUM(B121,2))</f>
      </c>
      <c r="B121" s="13079"/>
      <c r="C121" s="13080"/>
      <c r="D121" s="13081">
        <f>IFERROR(INDEX(D$6:D49, MATCH(SUBSTITUTE(C121,"-",""), INDEX(SUBSTITUTE(F$6:F49,"-",""),0), 0)), "")</f>
      </c>
      <c r="E121" s="13082">
        <f>IFERROR(INDEX(G$6:G49, MATCH(SUBSTITUTE(C121,"-",""), INDEX(SUBSTITUTE(F$6:F49,"-",""),0), 0)), "")</f>
      </c>
      <c r="F121" s="13083">
        <f>IFERROR(INDEX(H$6:H49, MATCH(SUBSTITUTE(C121,"-",""), INDEX(SUBSTITUTE(F$6:F49,"-",""),0), 0)), 0)</f>
      </c>
      <c r="G121" s="13084"/>
      <c r="H121" s="13085"/>
      <c r="I121" s="13086"/>
      <c r="J121" s="13087">
        <f t="shared" ref="J121:J152" si="11">IFERROR(F121-G121, "")</f>
      </c>
      <c r="K121" s="13088"/>
      <c r="L121" s="13089">
        <f>IFERROR(INDEX(I$6:I49, MATCH(SUBSTITUTE(C121,"-",""), INDEX(SUBSTITUTE(F$6:F49,"-",""),0), 0)), "")</f>
      </c>
      <c r="M121" s="13090">
        <f t="shared" ref="M121:M152" si="12">IFERROR(IF(K121="","",IF(K121=L121,"✅ Correcta","❌ "&amp; K121 &amp;" (aut: "&amp; L121 &amp;")")), "")</f>
      </c>
      <c r="N121" s="13091">
        <f t="shared" ref="N121:N152" si="13">IFERROR(G121-F121, "")</f>
      </c>
      <c r="O121" s="13092">
        <f t="shared" ref="O121:O152" si="14">IFERROR(IF(C121="","",IF(F121=0,"⚠️ Sin Autorización (placa no en catálogo)",IF(N121=0,"✅ Cuadrado",IF(N121&gt;0,"❌ Exceso $"&amp;TEXT(N121,"#,##0.00"),"✅ OK - Saldo $"&amp;TEXT(ABS(N121),"#,##0.00"))))), "")</f>
      </c>
    </row>
    <row r="122" spans="1:15">
      <c r="A122" s="13093">
        <f t="shared" si="10"/>
      </c>
      <c r="B122" s="13094"/>
      <c r="C122" s="13095"/>
      <c r="D122" s="13096">
        <f>IFERROR(INDEX(D$6:D49, MATCH(SUBSTITUTE(C122,"-",""), INDEX(SUBSTITUTE(F$6:F49,"-",""),0), 0)), "")</f>
      </c>
      <c r="E122" s="13097">
        <f>IFERROR(INDEX(G$6:G49, MATCH(SUBSTITUTE(C122,"-",""), INDEX(SUBSTITUTE(F$6:F49,"-",""),0), 0)), "")</f>
      </c>
      <c r="F122" s="13098">
        <f>IFERROR(INDEX(H$6:H49, MATCH(SUBSTITUTE(C122,"-",""), INDEX(SUBSTITUTE(F$6:F49,"-",""),0), 0)), 0)</f>
      </c>
      <c r="G122" s="13099"/>
      <c r="H122" s="13100"/>
      <c r="I122" s="13101"/>
      <c r="J122" s="13102">
        <f t="shared" si="11"/>
      </c>
      <c r="K122" s="13103"/>
      <c r="L122" s="13104">
        <f>IFERROR(INDEX(I$6:I49, MATCH(SUBSTITUTE(C122,"-",""), INDEX(SUBSTITUTE(F$6:F49,"-",""),0), 0)), "")</f>
      </c>
      <c r="M122" s="13105">
        <f t="shared" si="12"/>
      </c>
      <c r="N122" s="13106">
        <f t="shared" si="13"/>
      </c>
      <c r="O122" s="13107">
        <f t="shared" si="14"/>
      </c>
    </row>
    <row r="123" spans="1:15">
      <c r="A123" s="13108">
        <f t="shared" si="10"/>
      </c>
      <c r="B123" s="13109"/>
      <c r="C123" s="13110"/>
      <c r="D123" s="13111">
        <f>IFERROR(INDEX(D$6:D49, MATCH(SUBSTITUTE(C123,"-",""), INDEX(SUBSTITUTE(F$6:F49,"-",""),0), 0)), "")</f>
      </c>
      <c r="E123" s="13112">
        <f>IFERROR(INDEX(G$6:G49, MATCH(SUBSTITUTE(C123,"-",""), INDEX(SUBSTITUTE(F$6:F49,"-",""),0), 0)), "")</f>
      </c>
      <c r="F123" s="13113">
        <f>IFERROR(INDEX(H$6:H49, MATCH(SUBSTITUTE(C123,"-",""), INDEX(SUBSTITUTE(F$6:F49,"-",""),0), 0)), 0)</f>
      </c>
      <c r="G123" s="13114"/>
      <c r="H123" s="13115"/>
      <c r="I123" s="13116"/>
      <c r="J123" s="13117">
        <f t="shared" si="11"/>
      </c>
      <c r="K123" s="13118"/>
      <c r="L123" s="13119">
        <f>IFERROR(INDEX(I$6:I49, MATCH(SUBSTITUTE(C123,"-",""), INDEX(SUBSTITUTE(F$6:F49,"-",""),0), 0)), "")</f>
      </c>
      <c r="M123" s="13120">
        <f t="shared" si="12"/>
      </c>
      <c r="N123" s="13121">
        <f t="shared" si="13"/>
      </c>
      <c r="O123" s="13122">
        <f t="shared" si="14"/>
      </c>
    </row>
    <row r="124" spans="1:15">
      <c r="A124" s="13123">
        <f t="shared" si="10"/>
      </c>
      <c r="B124" s="13124"/>
      <c r="C124" s="13125"/>
      <c r="D124" s="13126">
        <f>IFERROR(INDEX(D$6:D49, MATCH(SUBSTITUTE(C124,"-",""), INDEX(SUBSTITUTE(F$6:F49,"-",""),0), 0)), "")</f>
      </c>
      <c r="E124" s="13127">
        <f>IFERROR(INDEX(G$6:G49, MATCH(SUBSTITUTE(C124,"-",""), INDEX(SUBSTITUTE(F$6:F49,"-",""),0), 0)), "")</f>
      </c>
      <c r="F124" s="13128">
        <f>IFERROR(INDEX(H$6:H49, MATCH(SUBSTITUTE(C124,"-",""), INDEX(SUBSTITUTE(F$6:F49,"-",""),0), 0)), 0)</f>
      </c>
      <c r="G124" s="13129"/>
      <c r="H124" s="13130"/>
      <c r="I124" s="13131"/>
      <c r="J124" s="13132">
        <f t="shared" si="11"/>
      </c>
      <c r="K124" s="13133"/>
      <c r="L124" s="13134">
        <f>IFERROR(INDEX(I$6:I49, MATCH(SUBSTITUTE(C124,"-",""), INDEX(SUBSTITUTE(F$6:F49,"-",""),0), 0)), "")</f>
      </c>
      <c r="M124" s="13135">
        <f t="shared" si="12"/>
      </c>
      <c r="N124" s="13136">
        <f t="shared" si="13"/>
      </c>
      <c r="O124" s="13137">
        <f t="shared" si="14"/>
      </c>
    </row>
    <row r="125" spans="1:15">
      <c r="A125" s="13138">
        <f t="shared" si="10"/>
      </c>
      <c r="B125" s="13139"/>
      <c r="C125" s="13140"/>
      <c r="D125" s="13141">
        <f>IFERROR(INDEX(D$6:D49, MATCH(SUBSTITUTE(C125,"-",""), INDEX(SUBSTITUTE(F$6:F49,"-",""),0), 0)), "")</f>
      </c>
      <c r="E125" s="13142">
        <f>IFERROR(INDEX(G$6:G49, MATCH(SUBSTITUTE(C125,"-",""), INDEX(SUBSTITUTE(F$6:F49,"-",""),0), 0)), "")</f>
      </c>
      <c r="F125" s="13143">
        <f>IFERROR(INDEX(H$6:H49, MATCH(SUBSTITUTE(C125,"-",""), INDEX(SUBSTITUTE(F$6:F49,"-",""),0), 0)), 0)</f>
      </c>
      <c r="G125" s="13144"/>
      <c r="H125" s="13145"/>
      <c r="I125" s="13146"/>
      <c r="J125" s="13147">
        <f t="shared" si="11"/>
      </c>
      <c r="K125" s="13148"/>
      <c r="L125" s="13149">
        <f>IFERROR(INDEX(I$6:I49, MATCH(SUBSTITUTE(C125,"-",""), INDEX(SUBSTITUTE(F$6:F49,"-",""),0), 0)), "")</f>
      </c>
      <c r="M125" s="13150">
        <f t="shared" si="12"/>
      </c>
      <c r="N125" s="13151">
        <f t="shared" si="13"/>
      </c>
      <c r="O125" s="13152">
        <f t="shared" si="14"/>
      </c>
    </row>
    <row r="126" spans="1:15">
      <c r="A126" s="13153">
        <f t="shared" si="10"/>
      </c>
      <c r="B126" s="13154"/>
      <c r="C126" s="13155"/>
      <c r="D126" s="13156">
        <f>IFERROR(INDEX(D$6:D49, MATCH(SUBSTITUTE(C126,"-",""), INDEX(SUBSTITUTE(F$6:F49,"-",""),0), 0)), "")</f>
      </c>
      <c r="E126" s="13157">
        <f>IFERROR(INDEX(G$6:G49, MATCH(SUBSTITUTE(C126,"-",""), INDEX(SUBSTITUTE(F$6:F49,"-",""),0), 0)), "")</f>
      </c>
      <c r="F126" s="13158">
        <f>IFERROR(INDEX(H$6:H49, MATCH(SUBSTITUTE(C126,"-",""), INDEX(SUBSTITUTE(F$6:F49,"-",""),0), 0)), 0)</f>
      </c>
      <c r="G126" s="13159"/>
      <c r="H126" s="13160"/>
      <c r="I126" s="13161"/>
      <c r="J126" s="13162">
        <f t="shared" si="11"/>
      </c>
      <c r="K126" s="13163"/>
      <c r="L126" s="13164">
        <f>IFERROR(INDEX(I$6:I49, MATCH(SUBSTITUTE(C126,"-",""), INDEX(SUBSTITUTE(F$6:F49,"-",""),0), 0)), "")</f>
      </c>
      <c r="M126" s="13165">
        <f t="shared" si="12"/>
      </c>
      <c r="N126" s="13166">
        <f t="shared" si="13"/>
      </c>
      <c r="O126" s="13167">
        <f t="shared" si="14"/>
      </c>
    </row>
    <row r="127" spans="1:15">
      <c r="A127" s="13168">
        <f t="shared" si="10"/>
      </c>
      <c r="B127" s="13169"/>
      <c r="C127" s="13170"/>
      <c r="D127" s="13171">
        <f>IFERROR(INDEX(D$6:D49, MATCH(SUBSTITUTE(C127,"-",""), INDEX(SUBSTITUTE(F$6:F49,"-",""),0), 0)), "")</f>
      </c>
      <c r="E127" s="13172">
        <f>IFERROR(INDEX(G$6:G49, MATCH(SUBSTITUTE(C127,"-",""), INDEX(SUBSTITUTE(F$6:F49,"-",""),0), 0)), "")</f>
      </c>
      <c r="F127" s="13173">
        <f>IFERROR(INDEX(H$6:H49, MATCH(SUBSTITUTE(C127,"-",""), INDEX(SUBSTITUTE(F$6:F49,"-",""),0), 0)), 0)</f>
      </c>
      <c r="G127" s="13174"/>
      <c r="H127" s="13175"/>
      <c r="I127" s="13176"/>
      <c r="J127" s="13177">
        <f t="shared" si="11"/>
      </c>
      <c r="K127" s="13178"/>
      <c r="L127" s="13179">
        <f>IFERROR(INDEX(I$6:I49, MATCH(SUBSTITUTE(C127,"-",""), INDEX(SUBSTITUTE(F$6:F49,"-",""),0), 0)), "")</f>
      </c>
      <c r="M127" s="13180">
        <f t="shared" si="12"/>
      </c>
      <c r="N127" s="13181">
        <f t="shared" si="13"/>
      </c>
      <c r="O127" s="13182">
        <f t="shared" si="14"/>
      </c>
    </row>
    <row r="128" spans="1:15">
      <c r="A128" s="13183">
        <f t="shared" si="10"/>
      </c>
      <c r="B128" s="13184"/>
      <c r="C128" s="13185"/>
      <c r="D128" s="13186">
        <f>IFERROR(INDEX(D$6:D49, MATCH(SUBSTITUTE(C128,"-",""), INDEX(SUBSTITUTE(F$6:F49,"-",""),0), 0)), "")</f>
      </c>
      <c r="E128" s="13187">
        <f>IFERROR(INDEX(G$6:G49, MATCH(SUBSTITUTE(C128,"-",""), INDEX(SUBSTITUTE(F$6:F49,"-",""),0), 0)), "")</f>
      </c>
      <c r="F128" s="13188">
        <f>IFERROR(INDEX(H$6:H49, MATCH(SUBSTITUTE(C128,"-",""), INDEX(SUBSTITUTE(F$6:F49,"-",""),0), 0)), 0)</f>
      </c>
      <c r="G128" s="13189"/>
      <c r="H128" s="13190"/>
      <c r="I128" s="13191"/>
      <c r="J128" s="13192">
        <f t="shared" si="11"/>
      </c>
      <c r="K128" s="13193"/>
      <c r="L128" s="13194">
        <f>IFERROR(INDEX(I$6:I49, MATCH(SUBSTITUTE(C128,"-",""), INDEX(SUBSTITUTE(F$6:F49,"-",""),0), 0)), "")</f>
      </c>
      <c r="M128" s="13195">
        <f t="shared" si="12"/>
      </c>
      <c r="N128" s="13196">
        <f t="shared" si="13"/>
      </c>
      <c r="O128" s="13197">
        <f t="shared" si="14"/>
      </c>
    </row>
    <row r="129" spans="1:15">
      <c r="A129" s="13198">
        <f t="shared" si="10"/>
      </c>
      <c r="B129" s="13199"/>
      <c r="C129" s="13200"/>
      <c r="D129" s="13201">
        <f>IFERROR(INDEX(D$6:D49, MATCH(SUBSTITUTE(C129,"-",""), INDEX(SUBSTITUTE(F$6:F49,"-",""),0), 0)), "")</f>
      </c>
      <c r="E129" s="13202">
        <f>IFERROR(INDEX(G$6:G49, MATCH(SUBSTITUTE(C129,"-",""), INDEX(SUBSTITUTE(F$6:F49,"-",""),0), 0)), "")</f>
      </c>
      <c r="F129" s="13203">
        <f>IFERROR(INDEX(H$6:H49, MATCH(SUBSTITUTE(C129,"-",""), INDEX(SUBSTITUTE(F$6:F49,"-",""),0), 0)), 0)</f>
      </c>
      <c r="G129" s="13204"/>
      <c r="H129" s="13205"/>
      <c r="I129" s="13206"/>
      <c r="J129" s="13207">
        <f t="shared" si="11"/>
      </c>
      <c r="K129" s="13208"/>
      <c r="L129" s="13209">
        <f>IFERROR(INDEX(I$6:I49, MATCH(SUBSTITUTE(C129,"-",""), INDEX(SUBSTITUTE(F$6:F49,"-",""),0), 0)), "")</f>
      </c>
      <c r="M129" s="13210">
        <f t="shared" si="12"/>
      </c>
      <c r="N129" s="13211">
        <f t="shared" si="13"/>
      </c>
      <c r="O129" s="13212">
        <f t="shared" si="14"/>
      </c>
    </row>
    <row r="130" spans="1:15">
      <c r="A130" s="13213">
        <f t="shared" si="10"/>
      </c>
      <c r="B130" s="13214"/>
      <c r="C130" s="13215"/>
      <c r="D130" s="13216">
        <f>IFERROR(INDEX(D$6:D49, MATCH(SUBSTITUTE(C130,"-",""), INDEX(SUBSTITUTE(F$6:F49,"-",""),0), 0)), "")</f>
      </c>
      <c r="E130" s="13217">
        <f>IFERROR(INDEX(G$6:G49, MATCH(SUBSTITUTE(C130,"-",""), INDEX(SUBSTITUTE(F$6:F49,"-",""),0), 0)), "")</f>
      </c>
      <c r="F130" s="13218">
        <f>IFERROR(INDEX(H$6:H49, MATCH(SUBSTITUTE(C130,"-",""), INDEX(SUBSTITUTE(F$6:F49,"-",""),0), 0)), 0)</f>
      </c>
      <c r="G130" s="13219"/>
      <c r="H130" s="13220"/>
      <c r="I130" s="13221"/>
      <c r="J130" s="13222">
        <f t="shared" si="11"/>
      </c>
      <c r="K130" s="13223"/>
      <c r="L130" s="13224">
        <f>IFERROR(INDEX(I$6:I49, MATCH(SUBSTITUTE(C130,"-",""), INDEX(SUBSTITUTE(F$6:F49,"-",""),0), 0)), "")</f>
      </c>
      <c r="M130" s="13225">
        <f t="shared" si="12"/>
      </c>
      <c r="N130" s="13226">
        <f t="shared" si="13"/>
      </c>
      <c r="O130" s="13227">
        <f t="shared" si="14"/>
      </c>
    </row>
    <row r="131" spans="1:15">
      <c r="A131" s="13228">
        <f t="shared" si="10"/>
      </c>
      <c r="B131" s="13229"/>
      <c r="C131" s="13230"/>
      <c r="D131" s="13231">
        <f>IFERROR(INDEX(D$6:D49, MATCH(SUBSTITUTE(C131,"-",""), INDEX(SUBSTITUTE(F$6:F49,"-",""),0), 0)), "")</f>
      </c>
      <c r="E131" s="13232">
        <f>IFERROR(INDEX(G$6:G49, MATCH(SUBSTITUTE(C131,"-",""), INDEX(SUBSTITUTE(F$6:F49,"-",""),0), 0)), "")</f>
      </c>
      <c r="F131" s="13233">
        <f>IFERROR(INDEX(H$6:H49, MATCH(SUBSTITUTE(C131,"-",""), INDEX(SUBSTITUTE(F$6:F49,"-",""),0), 0)), 0)</f>
      </c>
      <c r="G131" s="13234"/>
      <c r="H131" s="13235"/>
      <c r="I131" s="13236"/>
      <c r="J131" s="13237">
        <f t="shared" si="11"/>
      </c>
      <c r="K131" s="13238"/>
      <c r="L131" s="13239">
        <f>IFERROR(INDEX(I$6:I49, MATCH(SUBSTITUTE(C131,"-",""), INDEX(SUBSTITUTE(F$6:F49,"-",""),0), 0)), "")</f>
      </c>
      <c r="M131" s="13240">
        <f t="shared" si="12"/>
      </c>
      <c r="N131" s="13241">
        <f t="shared" si="13"/>
      </c>
      <c r="O131" s="13242">
        <f t="shared" si="14"/>
      </c>
    </row>
    <row r="132" spans="1:15">
      <c r="A132" s="13243">
        <f t="shared" si="10"/>
      </c>
      <c r="B132" s="13244"/>
      <c r="C132" s="13245"/>
      <c r="D132" s="13246">
        <f>IFERROR(INDEX(D$6:D49, MATCH(SUBSTITUTE(C132,"-",""), INDEX(SUBSTITUTE(F$6:F49,"-",""),0), 0)), "")</f>
      </c>
      <c r="E132" s="13247">
        <f>IFERROR(INDEX(G$6:G49, MATCH(SUBSTITUTE(C132,"-",""), INDEX(SUBSTITUTE(F$6:F49,"-",""),0), 0)), "")</f>
      </c>
      <c r="F132" s="13248">
        <f>IFERROR(INDEX(H$6:H49, MATCH(SUBSTITUTE(C132,"-",""), INDEX(SUBSTITUTE(F$6:F49,"-",""),0), 0)), 0)</f>
      </c>
      <c r="G132" s="13249"/>
      <c r="H132" s="13250"/>
      <c r="I132" s="13251"/>
      <c r="J132" s="13252">
        <f t="shared" si="11"/>
      </c>
      <c r="K132" s="13253"/>
      <c r="L132" s="13254">
        <f>IFERROR(INDEX(I$6:I49, MATCH(SUBSTITUTE(C132,"-",""), INDEX(SUBSTITUTE(F$6:F49,"-",""),0), 0)), "")</f>
      </c>
      <c r="M132" s="13255">
        <f t="shared" si="12"/>
      </c>
      <c r="N132" s="13256">
        <f t="shared" si="13"/>
      </c>
      <c r="O132" s="13257">
        <f t="shared" si="14"/>
      </c>
    </row>
    <row r="133" spans="1:15">
      <c r="A133" s="13258">
        <f t="shared" si="10"/>
      </c>
      <c r="B133" s="13259"/>
      <c r="C133" s="13260"/>
      <c r="D133" s="13261">
        <f>IFERROR(INDEX(D$6:D49, MATCH(SUBSTITUTE(C133,"-",""), INDEX(SUBSTITUTE(F$6:F49,"-",""),0), 0)), "")</f>
      </c>
      <c r="E133" s="13262">
        <f>IFERROR(INDEX(G$6:G49, MATCH(SUBSTITUTE(C133,"-",""), INDEX(SUBSTITUTE(F$6:F49,"-",""),0), 0)), "")</f>
      </c>
      <c r="F133" s="13263">
        <f>IFERROR(INDEX(H$6:H49, MATCH(SUBSTITUTE(C133,"-",""), INDEX(SUBSTITUTE(F$6:F49,"-",""),0), 0)), 0)</f>
      </c>
      <c r="G133" s="13264"/>
      <c r="H133" s="13265"/>
      <c r="I133" s="13266"/>
      <c r="J133" s="13267">
        <f t="shared" si="11"/>
      </c>
      <c r="K133" s="13268"/>
      <c r="L133" s="13269">
        <f>IFERROR(INDEX(I$6:I49, MATCH(SUBSTITUTE(C133,"-",""), INDEX(SUBSTITUTE(F$6:F49,"-",""),0), 0)), "")</f>
      </c>
      <c r="M133" s="13270">
        <f t="shared" si="12"/>
      </c>
      <c r="N133" s="13271">
        <f t="shared" si="13"/>
      </c>
      <c r="O133" s="13272">
        <f t="shared" si="14"/>
      </c>
    </row>
    <row r="134" spans="1:15">
      <c r="A134" s="13273">
        <f t="shared" si="10"/>
      </c>
      <c r="B134" s="13274"/>
      <c r="C134" s="13275"/>
      <c r="D134" s="13276">
        <f>IFERROR(INDEX(D$6:D49, MATCH(SUBSTITUTE(C134,"-",""), INDEX(SUBSTITUTE(F$6:F49,"-",""),0), 0)), "")</f>
      </c>
      <c r="E134" s="13277">
        <f>IFERROR(INDEX(G$6:G49, MATCH(SUBSTITUTE(C134,"-",""), INDEX(SUBSTITUTE(F$6:F49,"-",""),0), 0)), "")</f>
      </c>
      <c r="F134" s="13278">
        <f>IFERROR(INDEX(H$6:H49, MATCH(SUBSTITUTE(C134,"-",""), INDEX(SUBSTITUTE(F$6:F49,"-",""),0), 0)), 0)</f>
      </c>
      <c r="G134" s="13279"/>
      <c r="H134" s="13280"/>
      <c r="I134" s="13281"/>
      <c r="J134" s="13282">
        <f t="shared" si="11"/>
      </c>
      <c r="K134" s="13283"/>
      <c r="L134" s="13284">
        <f>IFERROR(INDEX(I$6:I49, MATCH(SUBSTITUTE(C134,"-",""), INDEX(SUBSTITUTE(F$6:F49,"-",""),0), 0)), "")</f>
      </c>
      <c r="M134" s="13285">
        <f t="shared" si="12"/>
      </c>
      <c r="N134" s="13286">
        <f t="shared" si="13"/>
      </c>
      <c r="O134" s="13287">
        <f t="shared" si="14"/>
      </c>
    </row>
    <row r="135" spans="1:15">
      <c r="A135" s="13288">
        <f t="shared" si="10"/>
      </c>
      <c r="B135" s="13289"/>
      <c r="C135" s="13290"/>
      <c r="D135" s="13291">
        <f>IFERROR(INDEX(D$6:D49, MATCH(SUBSTITUTE(C135,"-",""), INDEX(SUBSTITUTE(F$6:F49,"-",""),0), 0)), "")</f>
      </c>
      <c r="E135" s="13292">
        <f>IFERROR(INDEX(G$6:G49, MATCH(SUBSTITUTE(C135,"-",""), INDEX(SUBSTITUTE(F$6:F49,"-",""),0), 0)), "")</f>
      </c>
      <c r="F135" s="13293">
        <f>IFERROR(INDEX(H$6:H49, MATCH(SUBSTITUTE(C135,"-",""), INDEX(SUBSTITUTE(F$6:F49,"-",""),0), 0)), 0)</f>
      </c>
      <c r="G135" s="13294"/>
      <c r="H135" s="13295"/>
      <c r="I135" s="13296"/>
      <c r="J135" s="13297">
        <f t="shared" si="11"/>
      </c>
      <c r="K135" s="13298"/>
      <c r="L135" s="13299">
        <f>IFERROR(INDEX(I$6:I49, MATCH(SUBSTITUTE(C135,"-",""), INDEX(SUBSTITUTE(F$6:F49,"-",""),0), 0)), "")</f>
      </c>
      <c r="M135" s="13300">
        <f t="shared" si="12"/>
      </c>
      <c r="N135" s="13301">
        <f t="shared" si="13"/>
      </c>
      <c r="O135" s="13302">
        <f t="shared" si="14"/>
      </c>
    </row>
    <row r="136" spans="1:15">
      <c r="A136" s="13303">
        <f t="shared" si="10"/>
      </c>
      <c r="B136" s="13304"/>
      <c r="C136" s="13305"/>
      <c r="D136" s="13306">
        <f>IFERROR(INDEX(D$6:D49, MATCH(SUBSTITUTE(C136,"-",""), INDEX(SUBSTITUTE(F$6:F49,"-",""),0), 0)), "")</f>
      </c>
      <c r="E136" s="13307">
        <f>IFERROR(INDEX(G$6:G49, MATCH(SUBSTITUTE(C136,"-",""), INDEX(SUBSTITUTE(F$6:F49,"-",""),0), 0)), "")</f>
      </c>
      <c r="F136" s="13308">
        <f>IFERROR(INDEX(H$6:H49, MATCH(SUBSTITUTE(C136,"-",""), INDEX(SUBSTITUTE(F$6:F49,"-",""),0), 0)), 0)</f>
      </c>
      <c r="G136" s="13309"/>
      <c r="H136" s="13310"/>
      <c r="I136" s="13311"/>
      <c r="J136" s="13312">
        <f t="shared" si="11"/>
      </c>
      <c r="K136" s="13313"/>
      <c r="L136" s="13314">
        <f>IFERROR(INDEX(I$6:I49, MATCH(SUBSTITUTE(C136,"-",""), INDEX(SUBSTITUTE(F$6:F49,"-",""),0), 0)), "")</f>
      </c>
      <c r="M136" s="13315">
        <f t="shared" si="12"/>
      </c>
      <c r="N136" s="13316">
        <f t="shared" si="13"/>
      </c>
      <c r="O136" s="13317">
        <f t="shared" si="14"/>
      </c>
    </row>
    <row r="137" spans="1:15">
      <c r="A137" s="13318">
        <f t="shared" si="10"/>
      </c>
      <c r="B137" s="13319"/>
      <c r="C137" s="13320"/>
      <c r="D137" s="13321">
        <f>IFERROR(INDEX(D$6:D49, MATCH(SUBSTITUTE(C137,"-",""), INDEX(SUBSTITUTE(F$6:F49,"-",""),0), 0)), "")</f>
      </c>
      <c r="E137" s="13322">
        <f>IFERROR(INDEX(G$6:G49, MATCH(SUBSTITUTE(C137,"-",""), INDEX(SUBSTITUTE(F$6:F49,"-",""),0), 0)), "")</f>
      </c>
      <c r="F137" s="13323">
        <f>IFERROR(INDEX(H$6:H49, MATCH(SUBSTITUTE(C137,"-",""), INDEX(SUBSTITUTE(F$6:F49,"-",""),0), 0)), 0)</f>
      </c>
      <c r="G137" s="13324"/>
      <c r="H137" s="13325"/>
      <c r="I137" s="13326"/>
      <c r="J137" s="13327">
        <f t="shared" si="11"/>
      </c>
      <c r="K137" s="13328"/>
      <c r="L137" s="13329">
        <f>IFERROR(INDEX(I$6:I49, MATCH(SUBSTITUTE(C137,"-",""), INDEX(SUBSTITUTE(F$6:F49,"-",""),0), 0)), "")</f>
      </c>
      <c r="M137" s="13330">
        <f t="shared" si="12"/>
      </c>
      <c r="N137" s="13331">
        <f t="shared" si="13"/>
      </c>
      <c r="O137" s="13332">
        <f t="shared" si="14"/>
      </c>
    </row>
    <row r="138" spans="1:15">
      <c r="A138" s="13333">
        <f t="shared" si="10"/>
      </c>
      <c r="B138" s="13334"/>
      <c r="C138" s="13335"/>
      <c r="D138" s="13336">
        <f>IFERROR(INDEX(D$6:D49, MATCH(SUBSTITUTE(C138,"-",""), INDEX(SUBSTITUTE(F$6:F49,"-",""),0), 0)), "")</f>
      </c>
      <c r="E138" s="13337">
        <f>IFERROR(INDEX(G$6:G49, MATCH(SUBSTITUTE(C138,"-",""), INDEX(SUBSTITUTE(F$6:F49,"-",""),0), 0)), "")</f>
      </c>
      <c r="F138" s="13338">
        <f>IFERROR(INDEX(H$6:H49, MATCH(SUBSTITUTE(C138,"-",""), INDEX(SUBSTITUTE(F$6:F49,"-",""),0), 0)), 0)</f>
      </c>
      <c r="G138" s="13339"/>
      <c r="H138" s="13340"/>
      <c r="I138" s="13341"/>
      <c r="J138" s="13342">
        <f t="shared" si="11"/>
      </c>
      <c r="K138" s="13343"/>
      <c r="L138" s="13344">
        <f>IFERROR(INDEX(I$6:I49, MATCH(SUBSTITUTE(C138,"-",""), INDEX(SUBSTITUTE(F$6:F49,"-",""),0), 0)), "")</f>
      </c>
      <c r="M138" s="13345">
        <f t="shared" si="12"/>
      </c>
      <c r="N138" s="13346">
        <f t="shared" si="13"/>
      </c>
      <c r="O138" s="13347">
        <f t="shared" si="14"/>
      </c>
    </row>
    <row r="139" spans="1:15">
      <c r="A139" s="13348">
        <f t="shared" si="10"/>
      </c>
      <c r="B139" s="13349"/>
      <c r="C139" s="13350"/>
      <c r="D139" s="13351">
        <f>IFERROR(INDEX(D$6:D49, MATCH(SUBSTITUTE(C139,"-",""), INDEX(SUBSTITUTE(F$6:F49,"-",""),0), 0)), "")</f>
      </c>
      <c r="E139" s="13352">
        <f>IFERROR(INDEX(G$6:G49, MATCH(SUBSTITUTE(C139,"-",""), INDEX(SUBSTITUTE(F$6:F49,"-",""),0), 0)), "")</f>
      </c>
      <c r="F139" s="13353">
        <f>IFERROR(INDEX(H$6:H49, MATCH(SUBSTITUTE(C139,"-",""), INDEX(SUBSTITUTE(F$6:F49,"-",""),0), 0)), 0)</f>
      </c>
      <c r="G139" s="13354"/>
      <c r="H139" s="13355"/>
      <c r="I139" s="13356"/>
      <c r="J139" s="13357">
        <f t="shared" si="11"/>
      </c>
      <c r="K139" s="13358"/>
      <c r="L139" s="13359">
        <f>IFERROR(INDEX(I$6:I49, MATCH(SUBSTITUTE(C139,"-",""), INDEX(SUBSTITUTE(F$6:F49,"-",""),0), 0)), "")</f>
      </c>
      <c r="M139" s="13360">
        <f t="shared" si="12"/>
      </c>
      <c r="N139" s="13361">
        <f t="shared" si="13"/>
      </c>
      <c r="O139" s="13362">
        <f t="shared" si="14"/>
      </c>
    </row>
    <row r="140" spans="1:15">
      <c r="A140" s="13363">
        <f t="shared" si="10"/>
      </c>
      <c r="B140" s="13364"/>
      <c r="C140" s="13365"/>
      <c r="D140" s="13366">
        <f>IFERROR(INDEX(D$6:D49, MATCH(SUBSTITUTE(C140,"-",""), INDEX(SUBSTITUTE(F$6:F49,"-",""),0), 0)), "")</f>
      </c>
      <c r="E140" s="13367">
        <f>IFERROR(INDEX(G$6:G49, MATCH(SUBSTITUTE(C140,"-",""), INDEX(SUBSTITUTE(F$6:F49,"-",""),0), 0)), "")</f>
      </c>
      <c r="F140" s="13368">
        <f>IFERROR(INDEX(H$6:H49, MATCH(SUBSTITUTE(C140,"-",""), INDEX(SUBSTITUTE(F$6:F49,"-",""),0), 0)), 0)</f>
      </c>
      <c r="G140" s="13369"/>
      <c r="H140" s="13370"/>
      <c r="I140" s="13371"/>
      <c r="J140" s="13372">
        <f t="shared" si="11"/>
      </c>
      <c r="K140" s="13373"/>
      <c r="L140" s="13374">
        <f>IFERROR(INDEX(I$6:I49, MATCH(SUBSTITUTE(C140,"-",""), INDEX(SUBSTITUTE(F$6:F49,"-",""),0), 0)), "")</f>
      </c>
      <c r="M140" s="13375">
        <f t="shared" si="12"/>
      </c>
      <c r="N140" s="13376">
        <f t="shared" si="13"/>
      </c>
      <c r="O140" s="13377">
        <f t="shared" si="14"/>
      </c>
    </row>
    <row r="141" spans="1:15">
      <c r="A141" s="13378">
        <f t="shared" si="10"/>
      </c>
      <c r="B141" s="13379"/>
      <c r="C141" s="13380"/>
      <c r="D141" s="13381">
        <f>IFERROR(INDEX(D$6:D49, MATCH(SUBSTITUTE(C141,"-",""), INDEX(SUBSTITUTE(F$6:F49,"-",""),0), 0)), "")</f>
      </c>
      <c r="E141" s="13382">
        <f>IFERROR(INDEX(G$6:G49, MATCH(SUBSTITUTE(C141,"-",""), INDEX(SUBSTITUTE(F$6:F49,"-",""),0), 0)), "")</f>
      </c>
      <c r="F141" s="13383">
        <f>IFERROR(INDEX(H$6:H49, MATCH(SUBSTITUTE(C141,"-",""), INDEX(SUBSTITUTE(F$6:F49,"-",""),0), 0)), 0)</f>
      </c>
      <c r="G141" s="13384"/>
      <c r="H141" s="13385"/>
      <c r="I141" s="13386"/>
      <c r="J141" s="13387">
        <f t="shared" si="11"/>
      </c>
      <c r="K141" s="13388"/>
      <c r="L141" s="13389">
        <f>IFERROR(INDEX(I$6:I49, MATCH(SUBSTITUTE(C141,"-",""), INDEX(SUBSTITUTE(F$6:F49,"-",""),0), 0)), "")</f>
      </c>
      <c r="M141" s="13390">
        <f t="shared" si="12"/>
      </c>
      <c r="N141" s="13391">
        <f t="shared" si="13"/>
      </c>
      <c r="O141" s="13392">
        <f t="shared" si="14"/>
      </c>
    </row>
    <row r="142" spans="1:15">
      <c r="A142" s="13393">
        <f t="shared" si="10"/>
      </c>
      <c r="B142" s="13394"/>
      <c r="C142" s="13395"/>
      <c r="D142" s="13396">
        <f>IFERROR(INDEX(D$6:D49, MATCH(SUBSTITUTE(C142,"-",""), INDEX(SUBSTITUTE(F$6:F49,"-",""),0), 0)), "")</f>
      </c>
      <c r="E142" s="13397">
        <f>IFERROR(INDEX(G$6:G49, MATCH(SUBSTITUTE(C142,"-",""), INDEX(SUBSTITUTE(F$6:F49,"-",""),0), 0)), "")</f>
      </c>
      <c r="F142" s="13398">
        <f>IFERROR(INDEX(H$6:H49, MATCH(SUBSTITUTE(C142,"-",""), INDEX(SUBSTITUTE(F$6:F49,"-",""),0), 0)), 0)</f>
      </c>
      <c r="G142" s="13399"/>
      <c r="H142" s="13400"/>
      <c r="I142" s="13401"/>
      <c r="J142" s="13402">
        <f t="shared" si="11"/>
      </c>
      <c r="K142" s="13403"/>
      <c r="L142" s="13404">
        <f>IFERROR(INDEX(I$6:I49, MATCH(SUBSTITUTE(C142,"-",""), INDEX(SUBSTITUTE(F$6:F49,"-",""),0), 0)), "")</f>
      </c>
      <c r="M142" s="13405">
        <f t="shared" si="12"/>
      </c>
      <c r="N142" s="13406">
        <f t="shared" si="13"/>
      </c>
      <c r="O142" s="13407">
        <f t="shared" si="14"/>
      </c>
    </row>
    <row r="143" spans="1:15">
      <c r="A143" s="13408">
        <f t="shared" si="10"/>
      </c>
      <c r="B143" s="13409"/>
      <c r="C143" s="13410"/>
      <c r="D143" s="13411">
        <f>IFERROR(INDEX(D$6:D49, MATCH(SUBSTITUTE(C143,"-",""), INDEX(SUBSTITUTE(F$6:F49,"-",""),0), 0)), "")</f>
      </c>
      <c r="E143" s="13412">
        <f>IFERROR(INDEX(G$6:G49, MATCH(SUBSTITUTE(C143,"-",""), INDEX(SUBSTITUTE(F$6:F49,"-",""),0), 0)), "")</f>
      </c>
      <c r="F143" s="13413">
        <f>IFERROR(INDEX(H$6:H49, MATCH(SUBSTITUTE(C143,"-",""), INDEX(SUBSTITUTE(F$6:F49,"-",""),0), 0)), 0)</f>
      </c>
      <c r="G143" s="13414"/>
      <c r="H143" s="13415"/>
      <c r="I143" s="13416"/>
      <c r="J143" s="13417">
        <f t="shared" si="11"/>
      </c>
      <c r="K143" s="13418"/>
      <c r="L143" s="13419">
        <f>IFERROR(INDEX(I$6:I49, MATCH(SUBSTITUTE(C143,"-",""), INDEX(SUBSTITUTE(F$6:F49,"-",""),0), 0)), "")</f>
      </c>
      <c r="M143" s="13420">
        <f t="shared" si="12"/>
      </c>
      <c r="N143" s="13421">
        <f t="shared" si="13"/>
      </c>
      <c r="O143" s="13422">
        <f t="shared" si="14"/>
      </c>
    </row>
    <row r="144" spans="1:15">
      <c r="A144" s="13423">
        <f t="shared" si="10"/>
      </c>
      <c r="B144" s="13424"/>
      <c r="C144" s="13425"/>
      <c r="D144" s="13426">
        <f>IFERROR(INDEX(D$6:D49, MATCH(SUBSTITUTE(C144,"-",""), INDEX(SUBSTITUTE(F$6:F49,"-",""),0), 0)), "")</f>
      </c>
      <c r="E144" s="13427">
        <f>IFERROR(INDEX(G$6:G49, MATCH(SUBSTITUTE(C144,"-",""), INDEX(SUBSTITUTE(F$6:F49,"-",""),0), 0)), "")</f>
      </c>
      <c r="F144" s="13428">
        <f>IFERROR(INDEX(H$6:H49, MATCH(SUBSTITUTE(C144,"-",""), INDEX(SUBSTITUTE(F$6:F49,"-",""),0), 0)), 0)</f>
      </c>
      <c r="G144" s="13429"/>
      <c r="H144" s="13430"/>
      <c r="I144" s="13431"/>
      <c r="J144" s="13432">
        <f t="shared" si="11"/>
      </c>
      <c r="K144" s="13433"/>
      <c r="L144" s="13434">
        <f>IFERROR(INDEX(I$6:I49, MATCH(SUBSTITUTE(C144,"-",""), INDEX(SUBSTITUTE(F$6:F49,"-",""),0), 0)), "")</f>
      </c>
      <c r="M144" s="13435">
        <f t="shared" si="12"/>
      </c>
      <c r="N144" s="13436">
        <f t="shared" si="13"/>
      </c>
      <c r="O144" s="13437">
        <f t="shared" si="14"/>
      </c>
    </row>
    <row r="145" spans="1:15">
      <c r="A145" s="13438">
        <f t="shared" si="10"/>
      </c>
      <c r="B145" s="13439"/>
      <c r="C145" s="13440"/>
      <c r="D145" s="13441">
        <f>IFERROR(INDEX(D$6:D49, MATCH(SUBSTITUTE(C145,"-",""), INDEX(SUBSTITUTE(F$6:F49,"-",""),0), 0)), "")</f>
      </c>
      <c r="E145" s="13442">
        <f>IFERROR(INDEX(G$6:G49, MATCH(SUBSTITUTE(C145,"-",""), INDEX(SUBSTITUTE(F$6:F49,"-",""),0), 0)), "")</f>
      </c>
      <c r="F145" s="13443">
        <f>IFERROR(INDEX(H$6:H49, MATCH(SUBSTITUTE(C145,"-",""), INDEX(SUBSTITUTE(F$6:F49,"-",""),0), 0)), 0)</f>
      </c>
      <c r="G145" s="13444"/>
      <c r="H145" s="13445"/>
      <c r="I145" s="13446"/>
      <c r="J145" s="13447">
        <f t="shared" si="11"/>
      </c>
      <c r="K145" s="13448"/>
      <c r="L145" s="13449">
        <f>IFERROR(INDEX(I$6:I49, MATCH(SUBSTITUTE(C145,"-",""), INDEX(SUBSTITUTE(F$6:F49,"-",""),0), 0)), "")</f>
      </c>
      <c r="M145" s="13450">
        <f t="shared" si="12"/>
      </c>
      <c r="N145" s="13451">
        <f t="shared" si="13"/>
      </c>
      <c r="O145" s="13452">
        <f t="shared" si="14"/>
      </c>
    </row>
    <row r="146" spans="1:15">
      <c r="A146" s="13453">
        <f t="shared" si="10"/>
      </c>
      <c r="B146" s="13454"/>
      <c r="C146" s="13455"/>
      <c r="D146" s="13456">
        <f>IFERROR(INDEX(D$6:D49, MATCH(SUBSTITUTE(C146,"-",""), INDEX(SUBSTITUTE(F$6:F49,"-",""),0), 0)), "")</f>
      </c>
      <c r="E146" s="13457">
        <f>IFERROR(INDEX(G$6:G49, MATCH(SUBSTITUTE(C146,"-",""), INDEX(SUBSTITUTE(F$6:F49,"-",""),0), 0)), "")</f>
      </c>
      <c r="F146" s="13458">
        <f>IFERROR(INDEX(H$6:H49, MATCH(SUBSTITUTE(C146,"-",""), INDEX(SUBSTITUTE(F$6:F49,"-",""),0), 0)), 0)</f>
      </c>
      <c r="G146" s="13459"/>
      <c r="H146" s="13460"/>
      <c r="I146" s="13461"/>
      <c r="J146" s="13462">
        <f t="shared" si="11"/>
      </c>
      <c r="K146" s="13463"/>
      <c r="L146" s="13464">
        <f>IFERROR(INDEX(I$6:I49, MATCH(SUBSTITUTE(C146,"-",""), INDEX(SUBSTITUTE(F$6:F49,"-",""),0), 0)), "")</f>
      </c>
      <c r="M146" s="13465">
        <f t="shared" si="12"/>
      </c>
      <c r="N146" s="13466">
        <f t="shared" si="13"/>
      </c>
      <c r="O146" s="13467">
        <f t="shared" si="14"/>
      </c>
    </row>
    <row r="147" spans="1:15">
      <c r="A147" s="13468">
        <f t="shared" si="10"/>
      </c>
      <c r="B147" s="13469"/>
      <c r="C147" s="13470"/>
      <c r="D147" s="13471">
        <f>IFERROR(INDEX(D$6:D49, MATCH(SUBSTITUTE(C147,"-",""), INDEX(SUBSTITUTE(F$6:F49,"-",""),0), 0)), "")</f>
      </c>
      <c r="E147" s="13472">
        <f>IFERROR(INDEX(G$6:G49, MATCH(SUBSTITUTE(C147,"-",""), INDEX(SUBSTITUTE(F$6:F49,"-",""),0), 0)), "")</f>
      </c>
      <c r="F147" s="13473">
        <f>IFERROR(INDEX(H$6:H49, MATCH(SUBSTITUTE(C147,"-",""), INDEX(SUBSTITUTE(F$6:F49,"-",""),0), 0)), 0)</f>
      </c>
      <c r="G147" s="13474"/>
      <c r="H147" s="13475"/>
      <c r="I147" s="13476"/>
      <c r="J147" s="13477">
        <f t="shared" si="11"/>
      </c>
      <c r="K147" s="13478"/>
      <c r="L147" s="13479">
        <f>IFERROR(INDEX(I$6:I49, MATCH(SUBSTITUTE(C147,"-",""), INDEX(SUBSTITUTE(F$6:F49,"-",""),0), 0)), "")</f>
      </c>
      <c r="M147" s="13480">
        <f t="shared" si="12"/>
      </c>
      <c r="N147" s="13481">
        <f t="shared" si="13"/>
      </c>
      <c r="O147" s="13482">
        <f t="shared" si="14"/>
      </c>
    </row>
    <row r="148" spans="1:15">
      <c r="A148" s="13483">
        <f t="shared" si="10"/>
      </c>
      <c r="B148" s="13484"/>
      <c r="C148" s="13485"/>
      <c r="D148" s="13486">
        <f>IFERROR(INDEX(D$6:D49, MATCH(SUBSTITUTE(C148,"-",""), INDEX(SUBSTITUTE(F$6:F49,"-",""),0), 0)), "")</f>
      </c>
      <c r="E148" s="13487">
        <f>IFERROR(INDEX(G$6:G49, MATCH(SUBSTITUTE(C148,"-",""), INDEX(SUBSTITUTE(F$6:F49,"-",""),0), 0)), "")</f>
      </c>
      <c r="F148" s="13488">
        <f>IFERROR(INDEX(H$6:H49, MATCH(SUBSTITUTE(C148,"-",""), INDEX(SUBSTITUTE(F$6:F49,"-",""),0), 0)), 0)</f>
      </c>
      <c r="G148" s="13489"/>
      <c r="H148" s="13490"/>
      <c r="I148" s="13491"/>
      <c r="J148" s="13492">
        <f t="shared" si="11"/>
      </c>
      <c r="K148" s="13493"/>
      <c r="L148" s="13494">
        <f>IFERROR(INDEX(I$6:I49, MATCH(SUBSTITUTE(C148,"-",""), INDEX(SUBSTITUTE(F$6:F49,"-",""),0), 0)), "")</f>
      </c>
      <c r="M148" s="13495">
        <f t="shared" si="12"/>
      </c>
      <c r="N148" s="13496">
        <f t="shared" si="13"/>
      </c>
      <c r="O148" s="13497">
        <f t="shared" si="14"/>
      </c>
    </row>
    <row r="149" spans="1:15">
      <c r="A149" s="13498">
        <f t="shared" si="10"/>
      </c>
      <c r="B149" s="13499"/>
      <c r="C149" s="13500"/>
      <c r="D149" s="13501">
        <f>IFERROR(INDEX(D$6:D49, MATCH(SUBSTITUTE(C149,"-",""), INDEX(SUBSTITUTE(F$6:F49,"-",""),0), 0)), "")</f>
      </c>
      <c r="E149" s="13502">
        <f>IFERROR(INDEX(G$6:G49, MATCH(SUBSTITUTE(C149,"-",""), INDEX(SUBSTITUTE(F$6:F49,"-",""),0), 0)), "")</f>
      </c>
      <c r="F149" s="13503">
        <f>IFERROR(INDEX(H$6:H49, MATCH(SUBSTITUTE(C149,"-",""), INDEX(SUBSTITUTE(F$6:F49,"-",""),0), 0)), 0)</f>
      </c>
      <c r="G149" s="13504"/>
      <c r="H149" s="13505"/>
      <c r="I149" s="13506"/>
      <c r="J149" s="13507">
        <f t="shared" si="11"/>
      </c>
      <c r="K149" s="13508"/>
      <c r="L149" s="13509">
        <f>IFERROR(INDEX(I$6:I49, MATCH(SUBSTITUTE(C149,"-",""), INDEX(SUBSTITUTE(F$6:F49,"-",""),0), 0)), "")</f>
      </c>
      <c r="M149" s="13510">
        <f t="shared" si="12"/>
      </c>
      <c r="N149" s="13511">
        <f t="shared" si="13"/>
      </c>
      <c r="O149" s="13512">
        <f t="shared" si="14"/>
      </c>
    </row>
    <row r="150" spans="1:15">
      <c r="A150" s="13513">
        <f t="shared" si="10"/>
      </c>
      <c r="B150" s="13514"/>
      <c r="C150" s="13515"/>
      <c r="D150" s="13516">
        <f>IFERROR(INDEX(D$6:D49, MATCH(SUBSTITUTE(C150,"-",""), INDEX(SUBSTITUTE(F$6:F49,"-",""),0), 0)), "")</f>
      </c>
      <c r="E150" s="13517">
        <f>IFERROR(INDEX(G$6:G49, MATCH(SUBSTITUTE(C150,"-",""), INDEX(SUBSTITUTE(F$6:F49,"-",""),0), 0)), "")</f>
      </c>
      <c r="F150" s="13518">
        <f>IFERROR(INDEX(H$6:H49, MATCH(SUBSTITUTE(C150,"-",""), INDEX(SUBSTITUTE(F$6:F49,"-",""),0), 0)), 0)</f>
      </c>
      <c r="G150" s="13519"/>
      <c r="H150" s="13520"/>
      <c r="I150" s="13521"/>
      <c r="J150" s="13522">
        <f t="shared" si="11"/>
      </c>
      <c r="K150" s="13523"/>
      <c r="L150" s="13524">
        <f>IFERROR(INDEX(I$6:I49, MATCH(SUBSTITUTE(C150,"-",""), INDEX(SUBSTITUTE(F$6:F49,"-",""),0), 0)), "")</f>
      </c>
      <c r="M150" s="13525">
        <f t="shared" si="12"/>
      </c>
      <c r="N150" s="13526">
        <f t="shared" si="13"/>
      </c>
      <c r="O150" s="13527">
        <f t="shared" si="14"/>
      </c>
    </row>
    <row r="151" spans="1:15">
      <c r="A151" s="13528">
        <f t="shared" si="10"/>
      </c>
      <c r="B151" s="13529"/>
      <c r="C151" s="13530"/>
      <c r="D151" s="13531">
        <f>IFERROR(INDEX(D$6:D49, MATCH(SUBSTITUTE(C151,"-",""), INDEX(SUBSTITUTE(F$6:F49,"-",""),0), 0)), "")</f>
      </c>
      <c r="E151" s="13532">
        <f>IFERROR(INDEX(G$6:G49, MATCH(SUBSTITUTE(C151,"-",""), INDEX(SUBSTITUTE(F$6:F49,"-",""),0), 0)), "")</f>
      </c>
      <c r="F151" s="13533">
        <f>IFERROR(INDEX(H$6:H49, MATCH(SUBSTITUTE(C151,"-",""), INDEX(SUBSTITUTE(F$6:F49,"-",""),0), 0)), 0)</f>
      </c>
      <c r="G151" s="13534"/>
      <c r="H151" s="13535"/>
      <c r="I151" s="13536"/>
      <c r="J151" s="13537">
        <f t="shared" si="11"/>
      </c>
      <c r="K151" s="13538"/>
      <c r="L151" s="13539">
        <f>IFERROR(INDEX(I$6:I49, MATCH(SUBSTITUTE(C151,"-",""), INDEX(SUBSTITUTE(F$6:F49,"-",""),0), 0)), "")</f>
      </c>
      <c r="M151" s="13540">
        <f t="shared" si="12"/>
      </c>
      <c r="N151" s="13541">
        <f t="shared" si="13"/>
      </c>
      <c r="O151" s="13542">
        <f t="shared" si="14"/>
      </c>
    </row>
    <row r="152" spans="1:15">
      <c r="A152" s="13543">
        <f t="shared" si="10"/>
      </c>
      <c r="B152" s="13544"/>
      <c r="C152" s="13545"/>
      <c r="D152" s="13546">
        <f>IFERROR(INDEX(D$6:D49, MATCH(SUBSTITUTE(C152,"-",""), INDEX(SUBSTITUTE(F$6:F49,"-",""),0), 0)), "")</f>
      </c>
      <c r="E152" s="13547">
        <f>IFERROR(INDEX(G$6:G49, MATCH(SUBSTITUTE(C152,"-",""), INDEX(SUBSTITUTE(F$6:F49,"-",""),0), 0)), "")</f>
      </c>
      <c r="F152" s="13548">
        <f>IFERROR(INDEX(H$6:H49, MATCH(SUBSTITUTE(C152,"-",""), INDEX(SUBSTITUTE(F$6:F49,"-",""),0), 0)), 0)</f>
      </c>
      <c r="G152" s="13549"/>
      <c r="H152" s="13550"/>
      <c r="I152" s="13551"/>
      <c r="J152" s="13552">
        <f t="shared" si="11"/>
      </c>
      <c r="K152" s="13553"/>
      <c r="L152" s="13554">
        <f>IFERROR(INDEX(I$6:I49, MATCH(SUBSTITUTE(C152,"-",""), INDEX(SUBSTITUTE(F$6:F49,"-",""),0), 0)), "")</f>
      </c>
      <c r="M152" s="13555">
        <f t="shared" si="12"/>
      </c>
      <c r="N152" s="13556">
        <f t="shared" si="13"/>
      </c>
      <c r="O152" s="13557">
        <f t="shared" si="14"/>
      </c>
    </row>
    <row r="153" spans="1:15">
      <c r="A153" s="13558">
        <f t="shared" ref="A153:A184" si="15">IF(B153="","", WEEKNUM(B153,2))</f>
      </c>
      <c r="B153" s="13559"/>
      <c r="C153" s="13560"/>
      <c r="D153" s="13561">
        <f>IFERROR(INDEX(D$6:D49, MATCH(SUBSTITUTE(C153,"-",""), INDEX(SUBSTITUTE(F$6:F49,"-",""),0), 0)), "")</f>
      </c>
      <c r="E153" s="13562">
        <f>IFERROR(INDEX(G$6:G49, MATCH(SUBSTITUTE(C153,"-",""), INDEX(SUBSTITUTE(F$6:F49,"-",""),0), 0)), "")</f>
      </c>
      <c r="F153" s="13563">
        <f>IFERROR(INDEX(H$6:H49, MATCH(SUBSTITUTE(C153,"-",""), INDEX(SUBSTITUTE(F$6:F49,"-",""),0), 0)), 0)</f>
      </c>
      <c r="G153" s="13564"/>
      <c r="H153" s="13565"/>
      <c r="I153" s="13566"/>
      <c r="J153" s="13567">
        <f t="shared" ref="J153:J184" si="16">IFERROR(F153-G153, "")</f>
      </c>
      <c r="K153" s="13568"/>
      <c r="L153" s="13569">
        <f>IFERROR(INDEX(I$6:I49, MATCH(SUBSTITUTE(C153,"-",""), INDEX(SUBSTITUTE(F$6:F49,"-",""),0), 0)), "")</f>
      </c>
      <c r="M153" s="13570">
        <f t="shared" ref="M153:M184" si="17">IFERROR(IF(K153="","",IF(K153=L153,"✅ Correcta","❌ "&amp; K153 &amp;" (aut: "&amp; L153 &amp;")")), "")</f>
      </c>
      <c r="N153" s="13571">
        <f t="shared" ref="N153:N184" si="18">IFERROR(G153-F153, "")</f>
      </c>
      <c r="O153" s="13572">
        <f t="shared" ref="O153:O184" si="19">IFERROR(IF(C153="","",IF(F153=0,"⚠️ Sin Autorización (placa no en catálogo)",IF(N153=0,"✅ Cuadrado",IF(N153&gt;0,"❌ Exceso $"&amp;TEXT(N153,"#,##0.00"),"✅ OK - Saldo $"&amp;TEXT(ABS(N153),"#,##0.00"))))), "")</f>
      </c>
    </row>
    <row r="154" spans="1:15">
      <c r="A154" s="13573">
        <f t="shared" si="15"/>
      </c>
      <c r="B154" s="13574"/>
      <c r="C154" s="13575"/>
      <c r="D154" s="13576">
        <f>IFERROR(INDEX(D$6:D49, MATCH(SUBSTITUTE(C154,"-",""), INDEX(SUBSTITUTE(F$6:F49,"-",""),0), 0)), "")</f>
      </c>
      <c r="E154" s="13577">
        <f>IFERROR(INDEX(G$6:G49, MATCH(SUBSTITUTE(C154,"-",""), INDEX(SUBSTITUTE(F$6:F49,"-",""),0), 0)), "")</f>
      </c>
      <c r="F154" s="13578">
        <f>IFERROR(INDEX(H$6:H49, MATCH(SUBSTITUTE(C154,"-",""), INDEX(SUBSTITUTE(F$6:F49,"-",""),0), 0)), 0)</f>
      </c>
      <c r="G154" s="13579"/>
      <c r="H154" s="13580"/>
      <c r="I154" s="13581"/>
      <c r="J154" s="13582">
        <f t="shared" si="16"/>
      </c>
      <c r="K154" s="13583"/>
      <c r="L154" s="13584">
        <f>IFERROR(INDEX(I$6:I49, MATCH(SUBSTITUTE(C154,"-",""), INDEX(SUBSTITUTE(F$6:F49,"-",""),0), 0)), "")</f>
      </c>
      <c r="M154" s="13585">
        <f t="shared" si="17"/>
      </c>
      <c r="N154" s="13586">
        <f t="shared" si="18"/>
      </c>
      <c r="O154" s="13587">
        <f t="shared" si="19"/>
      </c>
    </row>
    <row r="155" spans="1:15">
      <c r="A155" s="13588">
        <f t="shared" si="15"/>
      </c>
      <c r="B155" s="13589"/>
      <c r="C155" s="13590"/>
      <c r="D155" s="13591">
        <f>IFERROR(INDEX(D$6:D49, MATCH(SUBSTITUTE(C155,"-",""), INDEX(SUBSTITUTE(F$6:F49,"-",""),0), 0)), "")</f>
      </c>
      <c r="E155" s="13592">
        <f>IFERROR(INDEX(G$6:G49, MATCH(SUBSTITUTE(C155,"-",""), INDEX(SUBSTITUTE(F$6:F49,"-",""),0), 0)), "")</f>
      </c>
      <c r="F155" s="13593">
        <f>IFERROR(INDEX(H$6:H49, MATCH(SUBSTITUTE(C155,"-",""), INDEX(SUBSTITUTE(F$6:F49,"-",""),0), 0)), 0)</f>
      </c>
      <c r="G155" s="13594"/>
      <c r="H155" s="13595"/>
      <c r="I155" s="13596"/>
      <c r="J155" s="13597">
        <f t="shared" si="16"/>
      </c>
      <c r="K155" s="13598"/>
      <c r="L155" s="13599">
        <f>IFERROR(INDEX(I$6:I49, MATCH(SUBSTITUTE(C155,"-",""), INDEX(SUBSTITUTE(F$6:F49,"-",""),0), 0)), "")</f>
      </c>
      <c r="M155" s="13600">
        <f t="shared" si="17"/>
      </c>
      <c r="N155" s="13601">
        <f t="shared" si="18"/>
      </c>
      <c r="O155" s="13602">
        <f t="shared" si="19"/>
      </c>
    </row>
    <row r="156" spans="1:15">
      <c r="A156" s="13603">
        <f t="shared" si="15"/>
      </c>
      <c r="B156" s="13604"/>
      <c r="C156" s="13605"/>
      <c r="D156" s="13606">
        <f>IFERROR(INDEX(D$6:D49, MATCH(SUBSTITUTE(C156,"-",""), INDEX(SUBSTITUTE(F$6:F49,"-",""),0), 0)), "")</f>
      </c>
      <c r="E156" s="13607">
        <f>IFERROR(INDEX(G$6:G49, MATCH(SUBSTITUTE(C156,"-",""), INDEX(SUBSTITUTE(F$6:F49,"-",""),0), 0)), "")</f>
      </c>
      <c r="F156" s="13608">
        <f>IFERROR(INDEX(H$6:H49, MATCH(SUBSTITUTE(C156,"-",""), INDEX(SUBSTITUTE(F$6:F49,"-",""),0), 0)), 0)</f>
      </c>
      <c r="G156" s="13609"/>
      <c r="H156" s="13610"/>
      <c r="I156" s="13611"/>
      <c r="J156" s="13612">
        <f t="shared" si="16"/>
      </c>
      <c r="K156" s="13613"/>
      <c r="L156" s="13614">
        <f>IFERROR(INDEX(I$6:I49, MATCH(SUBSTITUTE(C156,"-",""), INDEX(SUBSTITUTE(F$6:F49,"-",""),0), 0)), "")</f>
      </c>
      <c r="M156" s="13615">
        <f t="shared" si="17"/>
      </c>
      <c r="N156" s="13616">
        <f t="shared" si="18"/>
      </c>
      <c r="O156" s="13617">
        <f t="shared" si="19"/>
      </c>
    </row>
    <row r="157" spans="1:15">
      <c r="A157" s="13618">
        <f t="shared" si="15"/>
      </c>
      <c r="B157" s="13619"/>
      <c r="C157" s="13620"/>
      <c r="D157" s="13621">
        <f>IFERROR(INDEX(D$6:D49, MATCH(SUBSTITUTE(C157,"-",""), INDEX(SUBSTITUTE(F$6:F49,"-",""),0), 0)), "")</f>
      </c>
      <c r="E157" s="13622">
        <f>IFERROR(INDEX(G$6:G49, MATCH(SUBSTITUTE(C157,"-",""), INDEX(SUBSTITUTE(F$6:F49,"-",""),0), 0)), "")</f>
      </c>
      <c r="F157" s="13623">
        <f>IFERROR(INDEX(H$6:H49, MATCH(SUBSTITUTE(C157,"-",""), INDEX(SUBSTITUTE(F$6:F49,"-",""),0), 0)), 0)</f>
      </c>
      <c r="G157" s="13624"/>
      <c r="H157" s="13625"/>
      <c r="I157" s="13626"/>
      <c r="J157" s="13627">
        <f t="shared" si="16"/>
      </c>
      <c r="K157" s="13628"/>
      <c r="L157" s="13629">
        <f>IFERROR(INDEX(I$6:I49, MATCH(SUBSTITUTE(C157,"-",""), INDEX(SUBSTITUTE(F$6:F49,"-",""),0), 0)), "")</f>
      </c>
      <c r="M157" s="13630">
        <f t="shared" si="17"/>
      </c>
      <c r="N157" s="13631">
        <f t="shared" si="18"/>
      </c>
      <c r="O157" s="13632">
        <f t="shared" si="19"/>
      </c>
    </row>
    <row r="158" spans="1:15">
      <c r="A158" s="13633">
        <f t="shared" si="15"/>
      </c>
      <c r="B158" s="13634"/>
      <c r="C158" s="13635"/>
      <c r="D158" s="13636">
        <f>IFERROR(INDEX(D$6:D49, MATCH(SUBSTITUTE(C158,"-",""), INDEX(SUBSTITUTE(F$6:F49,"-",""),0), 0)), "")</f>
      </c>
      <c r="E158" s="13637">
        <f>IFERROR(INDEX(G$6:G49, MATCH(SUBSTITUTE(C158,"-",""), INDEX(SUBSTITUTE(F$6:F49,"-",""),0), 0)), "")</f>
      </c>
      <c r="F158" s="13638">
        <f>IFERROR(INDEX(H$6:H49, MATCH(SUBSTITUTE(C158,"-",""), INDEX(SUBSTITUTE(F$6:F49,"-",""),0), 0)), 0)</f>
      </c>
      <c r="G158" s="13639"/>
      <c r="H158" s="13640"/>
      <c r="I158" s="13641"/>
      <c r="J158" s="13642">
        <f t="shared" si="16"/>
      </c>
      <c r="K158" s="13643"/>
      <c r="L158" s="13644">
        <f>IFERROR(INDEX(I$6:I49, MATCH(SUBSTITUTE(C158,"-",""), INDEX(SUBSTITUTE(F$6:F49,"-",""),0), 0)), "")</f>
      </c>
      <c r="M158" s="13645">
        <f t="shared" si="17"/>
      </c>
      <c r="N158" s="13646">
        <f t="shared" si="18"/>
      </c>
      <c r="O158" s="13647">
        <f t="shared" si="19"/>
      </c>
    </row>
    <row r="159" spans="1:15">
      <c r="A159" s="13648">
        <f t="shared" si="15"/>
      </c>
      <c r="B159" s="13649"/>
      <c r="C159" s="13650"/>
      <c r="D159" s="13651">
        <f>IFERROR(INDEX(D$6:D49, MATCH(SUBSTITUTE(C159,"-",""), INDEX(SUBSTITUTE(F$6:F49,"-",""),0), 0)), "")</f>
      </c>
      <c r="E159" s="13652">
        <f>IFERROR(INDEX(G$6:G49, MATCH(SUBSTITUTE(C159,"-",""), INDEX(SUBSTITUTE(F$6:F49,"-",""),0), 0)), "")</f>
      </c>
      <c r="F159" s="13653">
        <f>IFERROR(INDEX(H$6:H49, MATCH(SUBSTITUTE(C159,"-",""), INDEX(SUBSTITUTE(F$6:F49,"-",""),0), 0)), 0)</f>
      </c>
      <c r="G159" s="13654"/>
      <c r="H159" s="13655"/>
      <c r="I159" s="13656"/>
      <c r="J159" s="13657">
        <f t="shared" si="16"/>
      </c>
      <c r="K159" s="13658"/>
      <c r="L159" s="13659">
        <f>IFERROR(INDEX(I$6:I49, MATCH(SUBSTITUTE(C159,"-",""), INDEX(SUBSTITUTE(F$6:F49,"-",""),0), 0)), "")</f>
      </c>
      <c r="M159" s="13660">
        <f t="shared" si="17"/>
      </c>
      <c r="N159" s="13661">
        <f t="shared" si="18"/>
      </c>
      <c r="O159" s="13662">
        <f t="shared" si="19"/>
      </c>
    </row>
    <row r="160" spans="1:15">
      <c r="A160" s="13663">
        <f t="shared" si="15"/>
      </c>
      <c r="B160" s="13664"/>
      <c r="C160" s="13665"/>
      <c r="D160" s="13666">
        <f>IFERROR(INDEX(D$6:D49, MATCH(SUBSTITUTE(C160,"-",""), INDEX(SUBSTITUTE(F$6:F49,"-",""),0), 0)), "")</f>
      </c>
      <c r="E160" s="13667">
        <f>IFERROR(INDEX(G$6:G49, MATCH(SUBSTITUTE(C160,"-",""), INDEX(SUBSTITUTE(F$6:F49,"-",""),0), 0)), "")</f>
      </c>
      <c r="F160" s="13668">
        <f>IFERROR(INDEX(H$6:H49, MATCH(SUBSTITUTE(C160,"-",""), INDEX(SUBSTITUTE(F$6:F49,"-",""),0), 0)), 0)</f>
      </c>
      <c r="G160" s="13669"/>
      <c r="H160" s="13670"/>
      <c r="I160" s="13671"/>
      <c r="J160" s="13672">
        <f t="shared" si="16"/>
      </c>
      <c r="K160" s="13673"/>
      <c r="L160" s="13674">
        <f>IFERROR(INDEX(I$6:I49, MATCH(SUBSTITUTE(C160,"-",""), INDEX(SUBSTITUTE(F$6:F49,"-",""),0), 0)), "")</f>
      </c>
      <c r="M160" s="13675">
        <f t="shared" si="17"/>
      </c>
      <c r="N160" s="13676">
        <f t="shared" si="18"/>
      </c>
      <c r="O160" s="13677">
        <f t="shared" si="19"/>
      </c>
    </row>
    <row r="161" spans="1:15">
      <c r="A161" s="13678">
        <f t="shared" si="15"/>
      </c>
      <c r="B161" s="13679"/>
      <c r="C161" s="13680"/>
      <c r="D161" s="13681">
        <f>IFERROR(INDEX(D$6:D49, MATCH(SUBSTITUTE(C161,"-",""), INDEX(SUBSTITUTE(F$6:F49,"-",""),0), 0)), "")</f>
      </c>
      <c r="E161" s="13682">
        <f>IFERROR(INDEX(G$6:G49, MATCH(SUBSTITUTE(C161,"-",""), INDEX(SUBSTITUTE(F$6:F49,"-",""),0), 0)), "")</f>
      </c>
      <c r="F161" s="13683">
        <f>IFERROR(INDEX(H$6:H49, MATCH(SUBSTITUTE(C161,"-",""), INDEX(SUBSTITUTE(F$6:F49,"-",""),0), 0)), 0)</f>
      </c>
      <c r="G161" s="13684"/>
      <c r="H161" s="13685"/>
      <c r="I161" s="13686"/>
      <c r="J161" s="13687">
        <f t="shared" si="16"/>
      </c>
      <c r="K161" s="13688"/>
      <c r="L161" s="13689">
        <f>IFERROR(INDEX(I$6:I49, MATCH(SUBSTITUTE(C161,"-",""), INDEX(SUBSTITUTE(F$6:F49,"-",""),0), 0)), "")</f>
      </c>
      <c r="M161" s="13690">
        <f t="shared" si="17"/>
      </c>
      <c r="N161" s="13691">
        <f t="shared" si="18"/>
      </c>
      <c r="O161" s="13692">
        <f t="shared" si="19"/>
      </c>
    </row>
    <row r="162" spans="1:15">
      <c r="A162" s="13693">
        <f t="shared" si="15"/>
      </c>
      <c r="B162" s="13694"/>
      <c r="C162" s="13695"/>
      <c r="D162" s="13696">
        <f>IFERROR(INDEX(D$6:D49, MATCH(SUBSTITUTE(C162,"-",""), INDEX(SUBSTITUTE(F$6:F49,"-",""),0), 0)), "")</f>
      </c>
      <c r="E162" s="13697">
        <f>IFERROR(INDEX(G$6:G49, MATCH(SUBSTITUTE(C162,"-",""), INDEX(SUBSTITUTE(F$6:F49,"-",""),0), 0)), "")</f>
      </c>
      <c r="F162" s="13698">
        <f>IFERROR(INDEX(H$6:H49, MATCH(SUBSTITUTE(C162,"-",""), INDEX(SUBSTITUTE(F$6:F49,"-",""),0), 0)), 0)</f>
      </c>
      <c r="G162" s="13699"/>
      <c r="H162" s="13700"/>
      <c r="I162" s="13701"/>
      <c r="J162" s="13702">
        <f t="shared" si="16"/>
      </c>
      <c r="K162" s="13703"/>
      <c r="L162" s="13704">
        <f>IFERROR(INDEX(I$6:I49, MATCH(SUBSTITUTE(C162,"-",""), INDEX(SUBSTITUTE(F$6:F49,"-",""),0), 0)), "")</f>
      </c>
      <c r="M162" s="13705">
        <f t="shared" si="17"/>
      </c>
      <c r="N162" s="13706">
        <f t="shared" si="18"/>
      </c>
      <c r="O162" s="13707">
        <f t="shared" si="19"/>
      </c>
    </row>
    <row r="163" spans="1:15">
      <c r="A163" s="13708">
        <f t="shared" si="15"/>
      </c>
      <c r="B163" s="13709"/>
      <c r="C163" s="13710"/>
      <c r="D163" s="13711">
        <f>IFERROR(INDEX(D$6:D49, MATCH(SUBSTITUTE(C163,"-",""), INDEX(SUBSTITUTE(F$6:F49,"-",""),0), 0)), "")</f>
      </c>
      <c r="E163" s="13712">
        <f>IFERROR(INDEX(G$6:G49, MATCH(SUBSTITUTE(C163,"-",""), INDEX(SUBSTITUTE(F$6:F49,"-",""),0), 0)), "")</f>
      </c>
      <c r="F163" s="13713">
        <f>IFERROR(INDEX(H$6:H49, MATCH(SUBSTITUTE(C163,"-",""), INDEX(SUBSTITUTE(F$6:F49,"-",""),0), 0)), 0)</f>
      </c>
      <c r="G163" s="13714"/>
      <c r="H163" s="13715"/>
      <c r="I163" s="13716"/>
      <c r="J163" s="13717">
        <f t="shared" si="16"/>
      </c>
      <c r="K163" s="13718"/>
      <c r="L163" s="13719">
        <f>IFERROR(INDEX(I$6:I49, MATCH(SUBSTITUTE(C163,"-",""), INDEX(SUBSTITUTE(F$6:F49,"-",""),0), 0)), "")</f>
      </c>
      <c r="M163" s="13720">
        <f t="shared" si="17"/>
      </c>
      <c r="N163" s="13721">
        <f t="shared" si="18"/>
      </c>
      <c r="O163" s="13722">
        <f t="shared" si="19"/>
      </c>
    </row>
    <row r="164" spans="1:15">
      <c r="A164" s="13723">
        <f t="shared" si="15"/>
      </c>
      <c r="B164" s="13724"/>
      <c r="C164" s="13725"/>
      <c r="D164" s="13726">
        <f>IFERROR(INDEX(D$6:D49, MATCH(SUBSTITUTE(C164,"-",""), INDEX(SUBSTITUTE(F$6:F49,"-",""),0), 0)), "")</f>
      </c>
      <c r="E164" s="13727">
        <f>IFERROR(INDEX(G$6:G49, MATCH(SUBSTITUTE(C164,"-",""), INDEX(SUBSTITUTE(F$6:F49,"-",""),0), 0)), "")</f>
      </c>
      <c r="F164" s="13728">
        <f>IFERROR(INDEX(H$6:H49, MATCH(SUBSTITUTE(C164,"-",""), INDEX(SUBSTITUTE(F$6:F49,"-",""),0), 0)), 0)</f>
      </c>
      <c r="G164" s="13729"/>
      <c r="H164" s="13730"/>
      <c r="I164" s="13731"/>
      <c r="J164" s="13732">
        <f t="shared" si="16"/>
      </c>
      <c r="K164" s="13733"/>
      <c r="L164" s="13734">
        <f>IFERROR(INDEX(I$6:I49, MATCH(SUBSTITUTE(C164,"-",""), INDEX(SUBSTITUTE(F$6:F49,"-",""),0), 0)), "")</f>
      </c>
      <c r="M164" s="13735">
        <f t="shared" si="17"/>
      </c>
      <c r="N164" s="13736">
        <f t="shared" si="18"/>
      </c>
      <c r="O164" s="13737">
        <f t="shared" si="19"/>
      </c>
    </row>
    <row r="165" spans="1:15">
      <c r="A165" s="13738">
        <f t="shared" si="15"/>
      </c>
      <c r="B165" s="13739"/>
      <c r="C165" s="13740"/>
      <c r="D165" s="13741">
        <f>IFERROR(INDEX(D$6:D49, MATCH(SUBSTITUTE(C165,"-",""), INDEX(SUBSTITUTE(F$6:F49,"-",""),0), 0)), "")</f>
      </c>
      <c r="E165" s="13742">
        <f>IFERROR(INDEX(G$6:G49, MATCH(SUBSTITUTE(C165,"-",""), INDEX(SUBSTITUTE(F$6:F49,"-",""),0), 0)), "")</f>
      </c>
      <c r="F165" s="13743">
        <f>IFERROR(INDEX(H$6:H49, MATCH(SUBSTITUTE(C165,"-",""), INDEX(SUBSTITUTE(F$6:F49,"-",""),0), 0)), 0)</f>
      </c>
      <c r="G165" s="13744"/>
      <c r="H165" s="13745"/>
      <c r="I165" s="13746"/>
      <c r="J165" s="13747">
        <f t="shared" si="16"/>
      </c>
      <c r="K165" s="13748"/>
      <c r="L165" s="13749">
        <f>IFERROR(INDEX(I$6:I49, MATCH(SUBSTITUTE(C165,"-",""), INDEX(SUBSTITUTE(F$6:F49,"-",""),0), 0)), "")</f>
      </c>
      <c r="M165" s="13750">
        <f t="shared" si="17"/>
      </c>
      <c r="N165" s="13751">
        <f t="shared" si="18"/>
      </c>
      <c r="O165" s="13752">
        <f t="shared" si="19"/>
      </c>
    </row>
    <row r="166" spans="1:15">
      <c r="A166" s="13753">
        <f t="shared" si="15"/>
      </c>
      <c r="B166" s="13754"/>
      <c r="C166" s="13755"/>
      <c r="D166" s="13756">
        <f>IFERROR(INDEX(D$6:D49, MATCH(SUBSTITUTE(C166,"-",""), INDEX(SUBSTITUTE(F$6:F49,"-",""),0), 0)), "")</f>
      </c>
      <c r="E166" s="13757">
        <f>IFERROR(INDEX(G$6:G49, MATCH(SUBSTITUTE(C166,"-",""), INDEX(SUBSTITUTE(F$6:F49,"-",""),0), 0)), "")</f>
      </c>
      <c r="F166" s="13758">
        <f>IFERROR(INDEX(H$6:H49, MATCH(SUBSTITUTE(C166,"-",""), INDEX(SUBSTITUTE(F$6:F49,"-",""),0), 0)), 0)</f>
      </c>
      <c r="G166" s="13759"/>
      <c r="H166" s="13760"/>
      <c r="I166" s="13761"/>
      <c r="J166" s="13762">
        <f t="shared" si="16"/>
      </c>
      <c r="K166" s="13763"/>
      <c r="L166" s="13764">
        <f>IFERROR(INDEX(I$6:I49, MATCH(SUBSTITUTE(C166,"-",""), INDEX(SUBSTITUTE(F$6:F49,"-",""),0), 0)), "")</f>
      </c>
      <c r="M166" s="13765">
        <f t="shared" si="17"/>
      </c>
      <c r="N166" s="13766">
        <f t="shared" si="18"/>
      </c>
      <c r="O166" s="13767">
        <f t="shared" si="19"/>
      </c>
    </row>
    <row r="167" spans="1:15">
      <c r="A167" s="13768">
        <f t="shared" si="15"/>
      </c>
      <c r="B167" s="13769"/>
      <c r="C167" s="13770"/>
      <c r="D167" s="13771">
        <f>IFERROR(INDEX(D$6:D49, MATCH(SUBSTITUTE(C167,"-",""), INDEX(SUBSTITUTE(F$6:F49,"-",""),0), 0)), "")</f>
      </c>
      <c r="E167" s="13772">
        <f>IFERROR(INDEX(G$6:G49, MATCH(SUBSTITUTE(C167,"-",""), INDEX(SUBSTITUTE(F$6:F49,"-",""),0), 0)), "")</f>
      </c>
      <c r="F167" s="13773">
        <f>IFERROR(INDEX(H$6:H49, MATCH(SUBSTITUTE(C167,"-",""), INDEX(SUBSTITUTE(F$6:F49,"-",""),0), 0)), 0)</f>
      </c>
      <c r="G167" s="13774"/>
      <c r="H167" s="13775"/>
      <c r="I167" s="13776"/>
      <c r="J167" s="13777">
        <f t="shared" si="16"/>
      </c>
      <c r="K167" s="13778"/>
      <c r="L167" s="13779">
        <f>IFERROR(INDEX(I$6:I49, MATCH(SUBSTITUTE(C167,"-",""), INDEX(SUBSTITUTE(F$6:F49,"-",""),0), 0)), "")</f>
      </c>
      <c r="M167" s="13780">
        <f t="shared" si="17"/>
      </c>
      <c r="N167" s="13781">
        <f t="shared" si="18"/>
      </c>
      <c r="O167" s="13782">
        <f t="shared" si="19"/>
      </c>
    </row>
    <row r="168" spans="1:15">
      <c r="A168" s="13783">
        <f t="shared" si="15"/>
      </c>
      <c r="B168" s="13784"/>
      <c r="C168" s="13785"/>
      <c r="D168" s="13786">
        <f>IFERROR(INDEX(D$6:D49, MATCH(SUBSTITUTE(C168,"-",""), INDEX(SUBSTITUTE(F$6:F49,"-",""),0), 0)), "")</f>
      </c>
      <c r="E168" s="13787">
        <f>IFERROR(INDEX(G$6:G49, MATCH(SUBSTITUTE(C168,"-",""), INDEX(SUBSTITUTE(F$6:F49,"-",""),0), 0)), "")</f>
      </c>
      <c r="F168" s="13788">
        <f>IFERROR(INDEX(H$6:H49, MATCH(SUBSTITUTE(C168,"-",""), INDEX(SUBSTITUTE(F$6:F49,"-",""),0), 0)), 0)</f>
      </c>
      <c r="G168" s="13789"/>
      <c r="H168" s="13790"/>
      <c r="I168" s="13791"/>
      <c r="J168" s="13792">
        <f t="shared" si="16"/>
      </c>
      <c r="K168" s="13793"/>
      <c r="L168" s="13794">
        <f>IFERROR(INDEX(I$6:I49, MATCH(SUBSTITUTE(C168,"-",""), INDEX(SUBSTITUTE(F$6:F49,"-",""),0), 0)), "")</f>
      </c>
      <c r="M168" s="13795">
        <f t="shared" si="17"/>
      </c>
      <c r="N168" s="13796">
        <f t="shared" si="18"/>
      </c>
      <c r="O168" s="13797">
        <f t="shared" si="19"/>
      </c>
    </row>
    <row r="169" spans="1:15">
      <c r="A169" s="13798">
        <f t="shared" si="15"/>
      </c>
      <c r="B169" s="13799"/>
      <c r="C169" s="13800"/>
      <c r="D169" s="13801">
        <f>IFERROR(INDEX(D$6:D49, MATCH(SUBSTITUTE(C169,"-",""), INDEX(SUBSTITUTE(F$6:F49,"-",""),0), 0)), "")</f>
      </c>
      <c r="E169" s="13802">
        <f>IFERROR(INDEX(G$6:G49, MATCH(SUBSTITUTE(C169,"-",""), INDEX(SUBSTITUTE(F$6:F49,"-",""),0), 0)), "")</f>
      </c>
      <c r="F169" s="13803">
        <f>IFERROR(INDEX(H$6:H49, MATCH(SUBSTITUTE(C169,"-",""), INDEX(SUBSTITUTE(F$6:F49,"-",""),0), 0)), 0)</f>
      </c>
      <c r="G169" s="13804"/>
      <c r="H169" s="13805"/>
      <c r="I169" s="13806"/>
      <c r="J169" s="13807">
        <f t="shared" si="16"/>
      </c>
      <c r="K169" s="13808"/>
      <c r="L169" s="13809">
        <f>IFERROR(INDEX(I$6:I49, MATCH(SUBSTITUTE(C169,"-",""), INDEX(SUBSTITUTE(F$6:F49,"-",""),0), 0)), "")</f>
      </c>
      <c r="M169" s="13810">
        <f t="shared" si="17"/>
      </c>
      <c r="N169" s="13811">
        <f t="shared" si="18"/>
      </c>
      <c r="O169" s="13812">
        <f t="shared" si="19"/>
      </c>
    </row>
    <row r="170" spans="1:15">
      <c r="A170" s="13813">
        <f t="shared" si="15"/>
      </c>
      <c r="B170" s="13814"/>
      <c r="C170" s="13815"/>
      <c r="D170" s="13816">
        <f>IFERROR(INDEX(D$6:D49, MATCH(SUBSTITUTE(C170,"-",""), INDEX(SUBSTITUTE(F$6:F49,"-",""),0), 0)), "")</f>
      </c>
      <c r="E170" s="13817">
        <f>IFERROR(INDEX(G$6:G49, MATCH(SUBSTITUTE(C170,"-",""), INDEX(SUBSTITUTE(F$6:F49,"-",""),0), 0)), "")</f>
      </c>
      <c r="F170" s="13818">
        <f>IFERROR(INDEX(H$6:H49, MATCH(SUBSTITUTE(C170,"-",""), INDEX(SUBSTITUTE(F$6:F49,"-",""),0), 0)), 0)</f>
      </c>
      <c r="G170" s="13819"/>
      <c r="H170" s="13820"/>
      <c r="I170" s="13821"/>
      <c r="J170" s="13822">
        <f t="shared" si="16"/>
      </c>
      <c r="K170" s="13823"/>
      <c r="L170" s="13824">
        <f>IFERROR(INDEX(I$6:I49, MATCH(SUBSTITUTE(C170,"-",""), INDEX(SUBSTITUTE(F$6:F49,"-",""),0), 0)), "")</f>
      </c>
      <c r="M170" s="13825">
        <f t="shared" si="17"/>
      </c>
      <c r="N170" s="13826">
        <f t="shared" si="18"/>
      </c>
      <c r="O170" s="13827">
        <f t="shared" si="19"/>
      </c>
    </row>
    <row r="171" spans="1:15">
      <c r="A171" s="13828">
        <f t="shared" si="15"/>
      </c>
      <c r="B171" s="13829"/>
      <c r="C171" s="13830"/>
      <c r="D171" s="13831">
        <f>IFERROR(INDEX(D$6:D49, MATCH(SUBSTITUTE(C171,"-",""), INDEX(SUBSTITUTE(F$6:F49,"-",""),0), 0)), "")</f>
      </c>
      <c r="E171" s="13832">
        <f>IFERROR(INDEX(G$6:G49, MATCH(SUBSTITUTE(C171,"-",""), INDEX(SUBSTITUTE(F$6:F49,"-",""),0), 0)), "")</f>
      </c>
      <c r="F171" s="13833">
        <f>IFERROR(INDEX(H$6:H49, MATCH(SUBSTITUTE(C171,"-",""), INDEX(SUBSTITUTE(F$6:F49,"-",""),0), 0)), 0)</f>
      </c>
      <c r="G171" s="13834"/>
      <c r="H171" s="13835"/>
      <c r="I171" s="13836"/>
      <c r="J171" s="13837">
        <f t="shared" si="16"/>
      </c>
      <c r="K171" s="13838"/>
      <c r="L171" s="13839">
        <f>IFERROR(INDEX(I$6:I49, MATCH(SUBSTITUTE(C171,"-",""), INDEX(SUBSTITUTE(F$6:F49,"-",""),0), 0)), "")</f>
      </c>
      <c r="M171" s="13840">
        <f t="shared" si="17"/>
      </c>
      <c r="N171" s="13841">
        <f t="shared" si="18"/>
      </c>
      <c r="O171" s="13842">
        <f t="shared" si="19"/>
      </c>
    </row>
    <row r="172" spans="1:15">
      <c r="A172" s="13843">
        <f t="shared" si="15"/>
      </c>
      <c r="B172" s="13844"/>
      <c r="C172" s="13845"/>
      <c r="D172" s="13846">
        <f>IFERROR(INDEX(D$6:D49, MATCH(SUBSTITUTE(C172,"-",""), INDEX(SUBSTITUTE(F$6:F49,"-",""),0), 0)), "")</f>
      </c>
      <c r="E172" s="13847">
        <f>IFERROR(INDEX(G$6:G49, MATCH(SUBSTITUTE(C172,"-",""), INDEX(SUBSTITUTE(F$6:F49,"-",""),0), 0)), "")</f>
      </c>
      <c r="F172" s="13848">
        <f>IFERROR(INDEX(H$6:H49, MATCH(SUBSTITUTE(C172,"-",""), INDEX(SUBSTITUTE(F$6:F49,"-",""),0), 0)), 0)</f>
      </c>
      <c r="G172" s="13849"/>
      <c r="H172" s="13850"/>
      <c r="I172" s="13851"/>
      <c r="J172" s="13852">
        <f t="shared" si="16"/>
      </c>
      <c r="K172" s="13853"/>
      <c r="L172" s="13854">
        <f>IFERROR(INDEX(I$6:I49, MATCH(SUBSTITUTE(C172,"-",""), INDEX(SUBSTITUTE(F$6:F49,"-",""),0), 0)), "")</f>
      </c>
      <c r="M172" s="13855">
        <f t="shared" si="17"/>
      </c>
      <c r="N172" s="13856">
        <f t="shared" si="18"/>
      </c>
      <c r="O172" s="13857">
        <f t="shared" si="19"/>
      </c>
    </row>
    <row r="173" spans="1:15">
      <c r="A173" s="13858">
        <f t="shared" si="15"/>
      </c>
      <c r="B173" s="13859"/>
      <c r="C173" s="13860"/>
      <c r="D173" s="13861">
        <f>IFERROR(INDEX(D$6:D49, MATCH(SUBSTITUTE(C173,"-",""), INDEX(SUBSTITUTE(F$6:F49,"-",""),0), 0)), "")</f>
      </c>
      <c r="E173" s="13862">
        <f>IFERROR(INDEX(G$6:G49, MATCH(SUBSTITUTE(C173,"-",""), INDEX(SUBSTITUTE(F$6:F49,"-",""),0), 0)), "")</f>
      </c>
      <c r="F173" s="13863">
        <f>IFERROR(INDEX(H$6:H49, MATCH(SUBSTITUTE(C173,"-",""), INDEX(SUBSTITUTE(F$6:F49,"-",""),0), 0)), 0)</f>
      </c>
      <c r="G173" s="13864"/>
      <c r="H173" s="13865"/>
      <c r="I173" s="13866"/>
      <c r="J173" s="13867">
        <f t="shared" si="16"/>
      </c>
      <c r="K173" s="13868"/>
      <c r="L173" s="13869">
        <f>IFERROR(INDEX(I$6:I49, MATCH(SUBSTITUTE(C173,"-",""), INDEX(SUBSTITUTE(F$6:F49,"-",""),0), 0)), "")</f>
      </c>
      <c r="M173" s="13870">
        <f t="shared" si="17"/>
      </c>
      <c r="N173" s="13871">
        <f t="shared" si="18"/>
      </c>
      <c r="O173" s="13872">
        <f t="shared" si="19"/>
      </c>
    </row>
    <row r="174" spans="1:15">
      <c r="A174" s="13873">
        <f t="shared" si="15"/>
      </c>
      <c r="B174" s="13874"/>
      <c r="C174" s="13875"/>
      <c r="D174" s="13876">
        <f>IFERROR(INDEX(D$6:D49, MATCH(SUBSTITUTE(C174,"-",""), INDEX(SUBSTITUTE(F$6:F49,"-",""),0), 0)), "")</f>
      </c>
      <c r="E174" s="13877">
        <f>IFERROR(INDEX(G$6:G49, MATCH(SUBSTITUTE(C174,"-",""), INDEX(SUBSTITUTE(F$6:F49,"-",""),0), 0)), "")</f>
      </c>
      <c r="F174" s="13878">
        <f>IFERROR(INDEX(H$6:H49, MATCH(SUBSTITUTE(C174,"-",""), INDEX(SUBSTITUTE(F$6:F49,"-",""),0), 0)), 0)</f>
      </c>
      <c r="G174" s="13879"/>
      <c r="H174" s="13880"/>
      <c r="I174" s="13881"/>
      <c r="J174" s="13882">
        <f t="shared" si="16"/>
      </c>
      <c r="K174" s="13883"/>
      <c r="L174" s="13884">
        <f>IFERROR(INDEX(I$6:I49, MATCH(SUBSTITUTE(C174,"-",""), INDEX(SUBSTITUTE(F$6:F49,"-",""),0), 0)), "")</f>
      </c>
      <c r="M174" s="13885">
        <f t="shared" si="17"/>
      </c>
      <c r="N174" s="13886">
        <f t="shared" si="18"/>
      </c>
      <c r="O174" s="13887">
        <f t="shared" si="19"/>
      </c>
    </row>
    <row r="175" spans="1:15">
      <c r="A175" s="13888">
        <f t="shared" si="15"/>
      </c>
      <c r="B175" s="13889"/>
      <c r="C175" s="13890"/>
      <c r="D175" s="13891">
        <f>IFERROR(INDEX(D$6:D49, MATCH(SUBSTITUTE(C175,"-",""), INDEX(SUBSTITUTE(F$6:F49,"-",""),0), 0)), "")</f>
      </c>
      <c r="E175" s="13892">
        <f>IFERROR(INDEX(G$6:G49, MATCH(SUBSTITUTE(C175,"-",""), INDEX(SUBSTITUTE(F$6:F49,"-",""),0), 0)), "")</f>
      </c>
      <c r="F175" s="13893">
        <f>IFERROR(INDEX(H$6:H49, MATCH(SUBSTITUTE(C175,"-",""), INDEX(SUBSTITUTE(F$6:F49,"-",""),0), 0)), 0)</f>
      </c>
      <c r="G175" s="13894"/>
      <c r="H175" s="13895"/>
      <c r="I175" s="13896"/>
      <c r="J175" s="13897">
        <f t="shared" si="16"/>
      </c>
      <c r="K175" s="13898"/>
      <c r="L175" s="13899">
        <f>IFERROR(INDEX(I$6:I49, MATCH(SUBSTITUTE(C175,"-",""), INDEX(SUBSTITUTE(F$6:F49,"-",""),0), 0)), "")</f>
      </c>
      <c r="M175" s="13900">
        <f t="shared" si="17"/>
      </c>
      <c r="N175" s="13901">
        <f t="shared" si="18"/>
      </c>
      <c r="O175" s="13902">
        <f t="shared" si="19"/>
      </c>
    </row>
    <row r="176" spans="1:15">
      <c r="A176" s="13903">
        <f t="shared" si="15"/>
      </c>
      <c r="B176" s="13904"/>
      <c r="C176" s="13905"/>
      <c r="D176" s="13906">
        <f>IFERROR(INDEX(D$6:D49, MATCH(SUBSTITUTE(C176,"-",""), INDEX(SUBSTITUTE(F$6:F49,"-",""),0), 0)), "")</f>
      </c>
      <c r="E176" s="13907">
        <f>IFERROR(INDEX(G$6:G49, MATCH(SUBSTITUTE(C176,"-",""), INDEX(SUBSTITUTE(F$6:F49,"-",""),0), 0)), "")</f>
      </c>
      <c r="F176" s="13908">
        <f>IFERROR(INDEX(H$6:H49, MATCH(SUBSTITUTE(C176,"-",""), INDEX(SUBSTITUTE(F$6:F49,"-",""),0), 0)), 0)</f>
      </c>
      <c r="G176" s="13909"/>
      <c r="H176" s="13910"/>
      <c r="I176" s="13911"/>
      <c r="J176" s="13912">
        <f t="shared" si="16"/>
      </c>
      <c r="K176" s="13913"/>
      <c r="L176" s="13914">
        <f>IFERROR(INDEX(I$6:I49, MATCH(SUBSTITUTE(C176,"-",""), INDEX(SUBSTITUTE(F$6:F49,"-",""),0), 0)), "")</f>
      </c>
      <c r="M176" s="13915">
        <f t="shared" si="17"/>
      </c>
      <c r="N176" s="13916">
        <f t="shared" si="18"/>
      </c>
      <c r="O176" s="13917">
        <f t="shared" si="19"/>
      </c>
    </row>
    <row r="177" spans="1:15">
      <c r="A177" s="13918">
        <f t="shared" si="15"/>
      </c>
      <c r="B177" s="13919"/>
      <c r="C177" s="13920"/>
      <c r="D177" s="13921">
        <f>IFERROR(INDEX(D$6:D49, MATCH(SUBSTITUTE(C177,"-",""), INDEX(SUBSTITUTE(F$6:F49,"-",""),0), 0)), "")</f>
      </c>
      <c r="E177" s="13922">
        <f>IFERROR(INDEX(G$6:G49, MATCH(SUBSTITUTE(C177,"-",""), INDEX(SUBSTITUTE(F$6:F49,"-",""),0), 0)), "")</f>
      </c>
      <c r="F177" s="13923">
        <f>IFERROR(INDEX(H$6:H49, MATCH(SUBSTITUTE(C177,"-",""), INDEX(SUBSTITUTE(F$6:F49,"-",""),0), 0)), 0)</f>
      </c>
      <c r="G177" s="13924"/>
      <c r="H177" s="13925"/>
      <c r="I177" s="13926"/>
      <c r="J177" s="13927">
        <f t="shared" si="16"/>
      </c>
      <c r="K177" s="13928"/>
      <c r="L177" s="13929">
        <f>IFERROR(INDEX(I$6:I49, MATCH(SUBSTITUTE(C177,"-",""), INDEX(SUBSTITUTE(F$6:F49,"-",""),0), 0)), "")</f>
      </c>
      <c r="M177" s="13930">
        <f t="shared" si="17"/>
      </c>
      <c r="N177" s="13931">
        <f t="shared" si="18"/>
      </c>
      <c r="O177" s="13932">
        <f t="shared" si="19"/>
      </c>
    </row>
    <row r="178" spans="1:15">
      <c r="A178" s="13933">
        <f t="shared" si="15"/>
      </c>
      <c r="B178" s="13934"/>
      <c r="C178" s="13935"/>
      <c r="D178" s="13936">
        <f>IFERROR(INDEX(D$6:D49, MATCH(SUBSTITUTE(C178,"-",""), INDEX(SUBSTITUTE(F$6:F49,"-",""),0), 0)), "")</f>
      </c>
      <c r="E178" s="13937">
        <f>IFERROR(INDEX(G$6:G49, MATCH(SUBSTITUTE(C178,"-",""), INDEX(SUBSTITUTE(F$6:F49,"-",""),0), 0)), "")</f>
      </c>
      <c r="F178" s="13938">
        <f>IFERROR(INDEX(H$6:H49, MATCH(SUBSTITUTE(C178,"-",""), INDEX(SUBSTITUTE(F$6:F49,"-",""),0), 0)), 0)</f>
      </c>
      <c r="G178" s="13939"/>
      <c r="H178" s="13940"/>
      <c r="I178" s="13941"/>
      <c r="J178" s="13942">
        <f t="shared" si="16"/>
      </c>
      <c r="K178" s="13943"/>
      <c r="L178" s="13944">
        <f>IFERROR(INDEX(I$6:I49, MATCH(SUBSTITUTE(C178,"-",""), INDEX(SUBSTITUTE(F$6:F49,"-",""),0), 0)), "")</f>
      </c>
      <c r="M178" s="13945">
        <f t="shared" si="17"/>
      </c>
      <c r="N178" s="13946">
        <f t="shared" si="18"/>
      </c>
      <c r="O178" s="13947">
        <f t="shared" si="19"/>
      </c>
    </row>
    <row r="179" spans="1:15">
      <c r="A179" s="13948">
        <f t="shared" si="15"/>
      </c>
      <c r="B179" s="13949"/>
      <c r="C179" s="13950"/>
      <c r="D179" s="13951">
        <f>IFERROR(INDEX(D$6:D49, MATCH(SUBSTITUTE(C179,"-",""), INDEX(SUBSTITUTE(F$6:F49,"-",""),0), 0)), "")</f>
      </c>
      <c r="E179" s="13952">
        <f>IFERROR(INDEX(G$6:G49, MATCH(SUBSTITUTE(C179,"-",""), INDEX(SUBSTITUTE(F$6:F49,"-",""),0), 0)), "")</f>
      </c>
      <c r="F179" s="13953">
        <f>IFERROR(INDEX(H$6:H49, MATCH(SUBSTITUTE(C179,"-",""), INDEX(SUBSTITUTE(F$6:F49,"-",""),0), 0)), 0)</f>
      </c>
      <c r="G179" s="13954"/>
      <c r="H179" s="13955"/>
      <c r="I179" s="13956"/>
      <c r="J179" s="13957">
        <f t="shared" si="16"/>
      </c>
      <c r="K179" s="13958"/>
      <c r="L179" s="13959">
        <f>IFERROR(INDEX(I$6:I49, MATCH(SUBSTITUTE(C179,"-",""), INDEX(SUBSTITUTE(F$6:F49,"-",""),0), 0)), "")</f>
      </c>
      <c r="M179" s="13960">
        <f t="shared" si="17"/>
      </c>
      <c r="N179" s="13961">
        <f t="shared" si="18"/>
      </c>
      <c r="O179" s="13962">
        <f t="shared" si="19"/>
      </c>
    </row>
    <row r="180" spans="1:15">
      <c r="A180" s="13963">
        <f t="shared" si="15"/>
      </c>
      <c r="B180" s="13964"/>
      <c r="C180" s="13965"/>
      <c r="D180" s="13966">
        <f>IFERROR(INDEX(D$6:D49, MATCH(SUBSTITUTE(C180,"-",""), INDEX(SUBSTITUTE(F$6:F49,"-",""),0), 0)), "")</f>
      </c>
      <c r="E180" s="13967">
        <f>IFERROR(INDEX(G$6:G49, MATCH(SUBSTITUTE(C180,"-",""), INDEX(SUBSTITUTE(F$6:F49,"-",""),0), 0)), "")</f>
      </c>
      <c r="F180" s="13968">
        <f>IFERROR(INDEX(H$6:H49, MATCH(SUBSTITUTE(C180,"-",""), INDEX(SUBSTITUTE(F$6:F49,"-",""),0), 0)), 0)</f>
      </c>
      <c r="G180" s="13969"/>
      <c r="H180" s="13970"/>
      <c r="I180" s="13971"/>
      <c r="J180" s="13972">
        <f t="shared" si="16"/>
      </c>
      <c r="K180" s="13973"/>
      <c r="L180" s="13974">
        <f>IFERROR(INDEX(I$6:I49, MATCH(SUBSTITUTE(C180,"-",""), INDEX(SUBSTITUTE(F$6:F49,"-",""),0), 0)), "")</f>
      </c>
      <c r="M180" s="13975">
        <f t="shared" si="17"/>
      </c>
      <c r="N180" s="13976">
        <f t="shared" si="18"/>
      </c>
      <c r="O180" s="13977">
        <f t="shared" si="19"/>
      </c>
    </row>
    <row r="181" spans="1:15">
      <c r="A181" s="13978">
        <f t="shared" si="15"/>
      </c>
      <c r="B181" s="13979"/>
      <c r="C181" s="13980"/>
      <c r="D181" s="13981">
        <f>IFERROR(INDEX(D$6:D49, MATCH(SUBSTITUTE(C181,"-",""), INDEX(SUBSTITUTE(F$6:F49,"-",""),0), 0)), "")</f>
      </c>
      <c r="E181" s="13982">
        <f>IFERROR(INDEX(G$6:G49, MATCH(SUBSTITUTE(C181,"-",""), INDEX(SUBSTITUTE(F$6:F49,"-",""),0), 0)), "")</f>
      </c>
      <c r="F181" s="13983">
        <f>IFERROR(INDEX(H$6:H49, MATCH(SUBSTITUTE(C181,"-",""), INDEX(SUBSTITUTE(F$6:F49,"-",""),0), 0)), 0)</f>
      </c>
      <c r="G181" s="13984"/>
      <c r="H181" s="13985"/>
      <c r="I181" s="13986"/>
      <c r="J181" s="13987">
        <f t="shared" si="16"/>
      </c>
      <c r="K181" s="13988"/>
      <c r="L181" s="13989">
        <f>IFERROR(INDEX(I$6:I49, MATCH(SUBSTITUTE(C181,"-",""), INDEX(SUBSTITUTE(F$6:F49,"-",""),0), 0)), "")</f>
      </c>
      <c r="M181" s="13990">
        <f t="shared" si="17"/>
      </c>
      <c r="N181" s="13991">
        <f t="shared" si="18"/>
      </c>
      <c r="O181" s="13992">
        <f t="shared" si="19"/>
      </c>
    </row>
    <row r="182" spans="1:15">
      <c r="A182" s="13993">
        <f t="shared" si="15"/>
      </c>
      <c r="B182" s="13994"/>
      <c r="C182" s="13995"/>
      <c r="D182" s="13996">
        <f>IFERROR(INDEX(D$6:D49, MATCH(SUBSTITUTE(C182,"-",""), INDEX(SUBSTITUTE(F$6:F49,"-",""),0), 0)), "")</f>
      </c>
      <c r="E182" s="13997">
        <f>IFERROR(INDEX(G$6:G49, MATCH(SUBSTITUTE(C182,"-",""), INDEX(SUBSTITUTE(F$6:F49,"-",""),0), 0)), "")</f>
      </c>
      <c r="F182" s="13998">
        <f>IFERROR(INDEX(H$6:H49, MATCH(SUBSTITUTE(C182,"-",""), INDEX(SUBSTITUTE(F$6:F49,"-",""),0), 0)), 0)</f>
      </c>
      <c r="G182" s="13999"/>
      <c r="H182" s="14000"/>
      <c r="I182" s="14001"/>
      <c r="J182" s="14002">
        <f t="shared" si="16"/>
      </c>
      <c r="K182" s="14003"/>
      <c r="L182" s="14004">
        <f>IFERROR(INDEX(I$6:I49, MATCH(SUBSTITUTE(C182,"-",""), INDEX(SUBSTITUTE(F$6:F49,"-",""),0), 0)), "")</f>
      </c>
      <c r="M182" s="14005">
        <f t="shared" si="17"/>
      </c>
      <c r="N182" s="14006">
        <f t="shared" si="18"/>
      </c>
      <c r="O182" s="14007">
        <f t="shared" si="19"/>
      </c>
    </row>
    <row r="183" spans="1:15">
      <c r="A183" s="14008">
        <f t="shared" si="15"/>
      </c>
      <c r="B183" s="14009"/>
      <c r="C183" s="14010"/>
      <c r="D183" s="14011">
        <f>IFERROR(INDEX(D$6:D49, MATCH(SUBSTITUTE(C183,"-",""), INDEX(SUBSTITUTE(F$6:F49,"-",""),0), 0)), "")</f>
      </c>
      <c r="E183" s="14012">
        <f>IFERROR(INDEX(G$6:G49, MATCH(SUBSTITUTE(C183,"-",""), INDEX(SUBSTITUTE(F$6:F49,"-",""),0), 0)), "")</f>
      </c>
      <c r="F183" s="14013">
        <f>IFERROR(INDEX(H$6:H49, MATCH(SUBSTITUTE(C183,"-",""), INDEX(SUBSTITUTE(F$6:F49,"-",""),0), 0)), 0)</f>
      </c>
      <c r="G183" s="14014"/>
      <c r="H183" s="14015"/>
      <c r="I183" s="14016"/>
      <c r="J183" s="14017">
        <f t="shared" si="16"/>
      </c>
      <c r="K183" s="14018"/>
      <c r="L183" s="14019">
        <f>IFERROR(INDEX(I$6:I49, MATCH(SUBSTITUTE(C183,"-",""), INDEX(SUBSTITUTE(F$6:F49,"-",""),0), 0)), "")</f>
      </c>
      <c r="M183" s="14020">
        <f t="shared" si="17"/>
      </c>
      <c r="N183" s="14021">
        <f t="shared" si="18"/>
      </c>
      <c r="O183" s="14022">
        <f t="shared" si="19"/>
      </c>
    </row>
    <row r="184" spans="1:15">
      <c r="A184" s="14023">
        <f t="shared" si="15"/>
      </c>
      <c r="B184" s="14024"/>
      <c r="C184" s="14025"/>
      <c r="D184" s="14026">
        <f>IFERROR(INDEX(D$6:D49, MATCH(SUBSTITUTE(C184,"-",""), INDEX(SUBSTITUTE(F$6:F49,"-",""),0), 0)), "")</f>
      </c>
      <c r="E184" s="14027">
        <f>IFERROR(INDEX(G$6:G49, MATCH(SUBSTITUTE(C184,"-",""), INDEX(SUBSTITUTE(F$6:F49,"-",""),0), 0)), "")</f>
      </c>
      <c r="F184" s="14028">
        <f>IFERROR(INDEX(H$6:H49, MATCH(SUBSTITUTE(C184,"-",""), INDEX(SUBSTITUTE(F$6:F49,"-",""),0), 0)), 0)</f>
      </c>
      <c r="G184" s="14029"/>
      <c r="H184" s="14030"/>
      <c r="I184" s="14031"/>
      <c r="J184" s="14032">
        <f t="shared" si="16"/>
      </c>
      <c r="K184" s="14033"/>
      <c r="L184" s="14034">
        <f>IFERROR(INDEX(I$6:I49, MATCH(SUBSTITUTE(C184,"-",""), INDEX(SUBSTITUTE(F$6:F49,"-",""),0), 0)), "")</f>
      </c>
      <c r="M184" s="14035">
        <f t="shared" si="17"/>
      </c>
      <c r="N184" s="14036">
        <f t="shared" si="18"/>
      </c>
      <c r="O184" s="14037">
        <f t="shared" si="19"/>
      </c>
    </row>
    <row r="185" spans="1:15">
      <c r="A185" s="14038">
        <f t="shared" ref="A185:A206" si="20">IF(B185="","", WEEKNUM(B185,2))</f>
      </c>
      <c r="B185" s="14039"/>
      <c r="C185" s="14040"/>
      <c r="D185" s="14041">
        <f>IFERROR(INDEX(D$6:D49, MATCH(SUBSTITUTE(C185,"-",""), INDEX(SUBSTITUTE(F$6:F49,"-",""),0), 0)), "")</f>
      </c>
      <c r="E185" s="14042">
        <f>IFERROR(INDEX(G$6:G49, MATCH(SUBSTITUTE(C185,"-",""), INDEX(SUBSTITUTE(F$6:F49,"-",""),0), 0)), "")</f>
      </c>
      <c r="F185" s="14043">
        <f>IFERROR(INDEX(H$6:H49, MATCH(SUBSTITUTE(C185,"-",""), INDEX(SUBSTITUTE(F$6:F49,"-",""),0), 0)), 0)</f>
      </c>
      <c r="G185" s="14044"/>
      <c r="H185" s="14045"/>
      <c r="I185" s="14046"/>
      <c r="J185" s="14047">
        <f t="shared" ref="J185:J206" si="21">IFERROR(F185-G185, "")</f>
      </c>
      <c r="K185" s="14048"/>
      <c r="L185" s="14049">
        <f>IFERROR(INDEX(I$6:I49, MATCH(SUBSTITUTE(C185,"-",""), INDEX(SUBSTITUTE(F$6:F49,"-",""),0), 0)), "")</f>
      </c>
      <c r="M185" s="14050">
        <f t="shared" ref="M185:M206" si="22">IFERROR(IF(K185="","",IF(K185=L185,"✅ Correcta","❌ "&amp; K185 &amp;" (aut: "&amp; L185 &amp;")")), "")</f>
      </c>
      <c r="N185" s="14051">
        <f t="shared" ref="N185:N206" si="23">IFERROR(G185-F185, "")</f>
      </c>
      <c r="O185" s="14052">
        <f t="shared" ref="O185:O206" si="24">IFERROR(IF(C185="","",IF(F185=0,"⚠️ Sin Autorización (placa no en catálogo)",IF(N185=0,"✅ Cuadrado",IF(N185&gt;0,"❌ Exceso $"&amp;TEXT(N185,"#,##0.00"),"✅ OK - Saldo $"&amp;TEXT(ABS(N185),"#,##0.00"))))), "")</f>
      </c>
    </row>
    <row r="186" spans="1:15">
      <c r="A186" s="14053">
        <f t="shared" si="20"/>
      </c>
      <c r="B186" s="14054"/>
      <c r="C186" s="14055"/>
      <c r="D186" s="14056">
        <f>IFERROR(INDEX(D$6:D49, MATCH(SUBSTITUTE(C186,"-",""), INDEX(SUBSTITUTE(F$6:F49,"-",""),0), 0)), "")</f>
      </c>
      <c r="E186" s="14057">
        <f>IFERROR(INDEX(G$6:G49, MATCH(SUBSTITUTE(C186,"-",""), INDEX(SUBSTITUTE(F$6:F49,"-",""),0), 0)), "")</f>
      </c>
      <c r="F186" s="14058">
        <f>IFERROR(INDEX(H$6:H49, MATCH(SUBSTITUTE(C186,"-",""), INDEX(SUBSTITUTE(F$6:F49,"-",""),0), 0)), 0)</f>
      </c>
      <c r="G186" s="14059"/>
      <c r="H186" s="14060"/>
      <c r="I186" s="14061"/>
      <c r="J186" s="14062">
        <f t="shared" si="21"/>
      </c>
      <c r="K186" s="14063"/>
      <c r="L186" s="14064">
        <f>IFERROR(INDEX(I$6:I49, MATCH(SUBSTITUTE(C186,"-",""), INDEX(SUBSTITUTE(F$6:F49,"-",""),0), 0)), "")</f>
      </c>
      <c r="M186" s="14065">
        <f t="shared" si="22"/>
      </c>
      <c r="N186" s="14066">
        <f t="shared" si="23"/>
      </c>
      <c r="O186" s="14067">
        <f t="shared" si="24"/>
      </c>
    </row>
    <row r="187" spans="1:15">
      <c r="A187" s="14068">
        <f t="shared" si="20"/>
      </c>
      <c r="B187" s="14069"/>
      <c r="C187" s="14070"/>
      <c r="D187" s="14071">
        <f>IFERROR(INDEX(D$6:D49, MATCH(SUBSTITUTE(C187,"-",""), INDEX(SUBSTITUTE(F$6:F49,"-",""),0), 0)), "")</f>
      </c>
      <c r="E187" s="14072">
        <f>IFERROR(INDEX(G$6:G49, MATCH(SUBSTITUTE(C187,"-",""), INDEX(SUBSTITUTE(F$6:F49,"-",""),0), 0)), "")</f>
      </c>
      <c r="F187" s="14073">
        <f>IFERROR(INDEX(H$6:H49, MATCH(SUBSTITUTE(C187,"-",""), INDEX(SUBSTITUTE(F$6:F49,"-",""),0), 0)), 0)</f>
      </c>
      <c r="G187" s="14074"/>
      <c r="H187" s="14075"/>
      <c r="I187" s="14076"/>
      <c r="J187" s="14077">
        <f t="shared" si="21"/>
      </c>
      <c r="K187" s="14078"/>
      <c r="L187" s="14079">
        <f>IFERROR(INDEX(I$6:I49, MATCH(SUBSTITUTE(C187,"-",""), INDEX(SUBSTITUTE(F$6:F49,"-",""),0), 0)), "")</f>
      </c>
      <c r="M187" s="14080">
        <f t="shared" si="22"/>
      </c>
      <c r="N187" s="14081">
        <f t="shared" si="23"/>
      </c>
      <c r="O187" s="14082">
        <f t="shared" si="24"/>
      </c>
    </row>
    <row r="188" spans="1:15">
      <c r="A188" s="14083">
        <f t="shared" si="20"/>
      </c>
      <c r="B188" s="14084"/>
      <c r="C188" s="14085"/>
      <c r="D188" s="14086">
        <f>IFERROR(INDEX(D$6:D49, MATCH(SUBSTITUTE(C188,"-",""), INDEX(SUBSTITUTE(F$6:F49,"-",""),0), 0)), "")</f>
      </c>
      <c r="E188" s="14087">
        <f>IFERROR(INDEX(G$6:G49, MATCH(SUBSTITUTE(C188,"-",""), INDEX(SUBSTITUTE(F$6:F49,"-",""),0), 0)), "")</f>
      </c>
      <c r="F188" s="14088">
        <f>IFERROR(INDEX(H$6:H49, MATCH(SUBSTITUTE(C188,"-",""), INDEX(SUBSTITUTE(F$6:F49,"-",""),0), 0)), 0)</f>
      </c>
      <c r="G188" s="14089"/>
      <c r="H188" s="14090"/>
      <c r="I188" s="14091"/>
      <c r="J188" s="14092">
        <f t="shared" si="21"/>
      </c>
      <c r="K188" s="14093"/>
      <c r="L188" s="14094">
        <f>IFERROR(INDEX(I$6:I49, MATCH(SUBSTITUTE(C188,"-",""), INDEX(SUBSTITUTE(F$6:F49,"-",""),0), 0)), "")</f>
      </c>
      <c r="M188" s="14095">
        <f t="shared" si="22"/>
      </c>
      <c r="N188" s="14096">
        <f t="shared" si="23"/>
      </c>
      <c r="O188" s="14097">
        <f t="shared" si="24"/>
      </c>
    </row>
    <row r="189" spans="1:15">
      <c r="A189" s="14098">
        <f t="shared" si="20"/>
      </c>
      <c r="B189" s="14099"/>
      <c r="C189" s="14100"/>
      <c r="D189" s="14101">
        <f>IFERROR(INDEX(D$6:D49, MATCH(SUBSTITUTE(C189,"-",""), INDEX(SUBSTITUTE(F$6:F49,"-",""),0), 0)), "")</f>
      </c>
      <c r="E189" s="14102">
        <f>IFERROR(INDEX(G$6:G49, MATCH(SUBSTITUTE(C189,"-",""), INDEX(SUBSTITUTE(F$6:F49,"-",""),0), 0)), "")</f>
      </c>
      <c r="F189" s="14103">
        <f>IFERROR(INDEX(H$6:H49, MATCH(SUBSTITUTE(C189,"-",""), INDEX(SUBSTITUTE(F$6:F49,"-",""),0), 0)), 0)</f>
      </c>
      <c r="G189" s="14104"/>
      <c r="H189" s="14105"/>
      <c r="I189" s="14106"/>
      <c r="J189" s="14107">
        <f t="shared" si="21"/>
      </c>
      <c r="K189" s="14108"/>
      <c r="L189" s="14109">
        <f>IFERROR(INDEX(I$6:I49, MATCH(SUBSTITUTE(C189,"-",""), INDEX(SUBSTITUTE(F$6:F49,"-",""),0), 0)), "")</f>
      </c>
      <c r="M189" s="14110">
        <f t="shared" si="22"/>
      </c>
      <c r="N189" s="14111">
        <f t="shared" si="23"/>
      </c>
      <c r="O189" s="14112">
        <f t="shared" si="24"/>
      </c>
    </row>
    <row r="190" spans="1:15">
      <c r="A190" s="14113">
        <f t="shared" si="20"/>
      </c>
      <c r="B190" s="14114"/>
      <c r="C190" s="14115"/>
      <c r="D190" s="14116">
        <f>IFERROR(INDEX(D$6:D49, MATCH(SUBSTITUTE(C190,"-",""), INDEX(SUBSTITUTE(F$6:F49,"-",""),0), 0)), "")</f>
      </c>
      <c r="E190" s="14117">
        <f>IFERROR(INDEX(G$6:G49, MATCH(SUBSTITUTE(C190,"-",""), INDEX(SUBSTITUTE(F$6:F49,"-",""),0), 0)), "")</f>
      </c>
      <c r="F190" s="14118">
        <f>IFERROR(INDEX(H$6:H49, MATCH(SUBSTITUTE(C190,"-",""), INDEX(SUBSTITUTE(F$6:F49,"-",""),0), 0)), 0)</f>
      </c>
      <c r="G190" s="14119"/>
      <c r="H190" s="14120"/>
      <c r="I190" s="14121"/>
      <c r="J190" s="14122">
        <f t="shared" si="21"/>
      </c>
      <c r="K190" s="14123"/>
      <c r="L190" s="14124">
        <f>IFERROR(INDEX(I$6:I49, MATCH(SUBSTITUTE(C190,"-",""), INDEX(SUBSTITUTE(F$6:F49,"-",""),0), 0)), "")</f>
      </c>
      <c r="M190" s="14125">
        <f t="shared" si="22"/>
      </c>
      <c r="N190" s="14126">
        <f t="shared" si="23"/>
      </c>
      <c r="O190" s="14127">
        <f t="shared" si="24"/>
      </c>
    </row>
    <row r="191" spans="1:15">
      <c r="A191" s="14128">
        <f t="shared" si="20"/>
      </c>
      <c r="B191" s="14129"/>
      <c r="C191" s="14130"/>
      <c r="D191" s="14131">
        <f>IFERROR(INDEX(D$6:D49, MATCH(SUBSTITUTE(C191,"-",""), INDEX(SUBSTITUTE(F$6:F49,"-",""),0), 0)), "")</f>
      </c>
      <c r="E191" s="14132">
        <f>IFERROR(INDEX(G$6:G49, MATCH(SUBSTITUTE(C191,"-",""), INDEX(SUBSTITUTE(F$6:F49,"-",""),0), 0)), "")</f>
      </c>
      <c r="F191" s="14133">
        <f>IFERROR(INDEX(H$6:H49, MATCH(SUBSTITUTE(C191,"-",""), INDEX(SUBSTITUTE(F$6:F49,"-",""),0), 0)), 0)</f>
      </c>
      <c r="G191" s="14134"/>
      <c r="H191" s="14135"/>
      <c r="I191" s="14136"/>
      <c r="J191" s="14137">
        <f t="shared" si="21"/>
      </c>
      <c r="K191" s="14138"/>
      <c r="L191" s="14139">
        <f>IFERROR(INDEX(I$6:I49, MATCH(SUBSTITUTE(C191,"-",""), INDEX(SUBSTITUTE(F$6:F49,"-",""),0), 0)), "")</f>
      </c>
      <c r="M191" s="14140">
        <f t="shared" si="22"/>
      </c>
      <c r="N191" s="14141">
        <f t="shared" si="23"/>
      </c>
      <c r="O191" s="14142">
        <f t="shared" si="24"/>
      </c>
    </row>
    <row r="192" spans="1:15">
      <c r="A192" s="14143">
        <f t="shared" si="20"/>
      </c>
      <c r="B192" s="14144"/>
      <c r="C192" s="14145"/>
      <c r="D192" s="14146">
        <f>IFERROR(INDEX(D$6:D49, MATCH(SUBSTITUTE(C192,"-",""), INDEX(SUBSTITUTE(F$6:F49,"-",""),0), 0)), "")</f>
      </c>
      <c r="E192" s="14147">
        <f>IFERROR(INDEX(G$6:G49, MATCH(SUBSTITUTE(C192,"-",""), INDEX(SUBSTITUTE(F$6:F49,"-",""),0), 0)), "")</f>
      </c>
      <c r="F192" s="14148">
        <f>IFERROR(INDEX(H$6:H49, MATCH(SUBSTITUTE(C192,"-",""), INDEX(SUBSTITUTE(F$6:F49,"-",""),0), 0)), 0)</f>
      </c>
      <c r="G192" s="14149"/>
      <c r="H192" s="14150"/>
      <c r="I192" s="14151"/>
      <c r="J192" s="14152">
        <f t="shared" si="21"/>
      </c>
      <c r="K192" s="14153"/>
      <c r="L192" s="14154">
        <f>IFERROR(INDEX(I$6:I49, MATCH(SUBSTITUTE(C192,"-",""), INDEX(SUBSTITUTE(F$6:F49,"-",""),0), 0)), "")</f>
      </c>
      <c r="M192" s="14155">
        <f t="shared" si="22"/>
      </c>
      <c r="N192" s="14156">
        <f t="shared" si="23"/>
      </c>
      <c r="O192" s="14157">
        <f t="shared" si="24"/>
      </c>
    </row>
    <row r="193" spans="1:15">
      <c r="A193" s="14158">
        <f t="shared" si="20"/>
      </c>
      <c r="B193" s="14159"/>
      <c r="C193" s="14160"/>
      <c r="D193" s="14161">
        <f>IFERROR(INDEX(D$6:D49, MATCH(SUBSTITUTE(C193,"-",""), INDEX(SUBSTITUTE(F$6:F49,"-",""),0), 0)), "")</f>
      </c>
      <c r="E193" s="14162">
        <f>IFERROR(INDEX(G$6:G49, MATCH(SUBSTITUTE(C193,"-",""), INDEX(SUBSTITUTE(F$6:F49,"-",""),0), 0)), "")</f>
      </c>
      <c r="F193" s="14163">
        <f>IFERROR(INDEX(H$6:H49, MATCH(SUBSTITUTE(C193,"-",""), INDEX(SUBSTITUTE(F$6:F49,"-",""),0), 0)), 0)</f>
      </c>
      <c r="G193" s="14164"/>
      <c r="H193" s="14165"/>
      <c r="I193" s="14166"/>
      <c r="J193" s="14167">
        <f t="shared" si="21"/>
      </c>
      <c r="K193" s="14168"/>
      <c r="L193" s="14169">
        <f>IFERROR(INDEX(I$6:I49, MATCH(SUBSTITUTE(C193,"-",""), INDEX(SUBSTITUTE(F$6:F49,"-",""),0), 0)), "")</f>
      </c>
      <c r="M193" s="14170">
        <f t="shared" si="22"/>
      </c>
      <c r="N193" s="14171">
        <f t="shared" si="23"/>
      </c>
      <c r="O193" s="14172">
        <f t="shared" si="24"/>
      </c>
    </row>
    <row r="194" spans="1:15">
      <c r="A194" s="14173">
        <f t="shared" si="20"/>
      </c>
      <c r="B194" s="14174"/>
      <c r="C194" s="14175"/>
      <c r="D194" s="14176">
        <f>IFERROR(INDEX(D$6:D49, MATCH(SUBSTITUTE(C194,"-",""), INDEX(SUBSTITUTE(F$6:F49,"-",""),0), 0)), "")</f>
      </c>
      <c r="E194" s="14177">
        <f>IFERROR(INDEX(G$6:G49, MATCH(SUBSTITUTE(C194,"-",""), INDEX(SUBSTITUTE(F$6:F49,"-",""),0), 0)), "")</f>
      </c>
      <c r="F194" s="14178">
        <f>IFERROR(INDEX(H$6:H49, MATCH(SUBSTITUTE(C194,"-",""), INDEX(SUBSTITUTE(F$6:F49,"-",""),0), 0)), 0)</f>
      </c>
      <c r="G194" s="14179"/>
      <c r="H194" s="14180"/>
      <c r="I194" s="14181"/>
      <c r="J194" s="14182">
        <f t="shared" si="21"/>
      </c>
      <c r="K194" s="14183"/>
      <c r="L194" s="14184">
        <f>IFERROR(INDEX(I$6:I49, MATCH(SUBSTITUTE(C194,"-",""), INDEX(SUBSTITUTE(F$6:F49,"-",""),0), 0)), "")</f>
      </c>
      <c r="M194" s="14185">
        <f t="shared" si="22"/>
      </c>
      <c r="N194" s="14186">
        <f t="shared" si="23"/>
      </c>
      <c r="O194" s="14187">
        <f t="shared" si="24"/>
      </c>
    </row>
    <row r="195" spans="1:15">
      <c r="A195" s="14188">
        <f t="shared" si="20"/>
      </c>
      <c r="B195" s="14189"/>
      <c r="C195" s="14190"/>
      <c r="D195" s="14191">
        <f>IFERROR(INDEX(D$6:D49, MATCH(SUBSTITUTE(C195,"-",""), INDEX(SUBSTITUTE(F$6:F49,"-",""),0), 0)), "")</f>
      </c>
      <c r="E195" s="14192">
        <f>IFERROR(INDEX(G$6:G49, MATCH(SUBSTITUTE(C195,"-",""), INDEX(SUBSTITUTE(F$6:F49,"-",""),0), 0)), "")</f>
      </c>
      <c r="F195" s="14193">
        <f>IFERROR(INDEX(H$6:H49, MATCH(SUBSTITUTE(C195,"-",""), INDEX(SUBSTITUTE(F$6:F49,"-",""),0), 0)), 0)</f>
      </c>
      <c r="G195" s="14194"/>
      <c r="H195" s="14195"/>
      <c r="I195" s="14196"/>
      <c r="J195" s="14197">
        <f t="shared" si="21"/>
      </c>
      <c r="K195" s="14198"/>
      <c r="L195" s="14199">
        <f>IFERROR(INDEX(I$6:I49, MATCH(SUBSTITUTE(C195,"-",""), INDEX(SUBSTITUTE(F$6:F49,"-",""),0), 0)), "")</f>
      </c>
      <c r="M195" s="14200">
        <f t="shared" si="22"/>
      </c>
      <c r="N195" s="14201">
        <f t="shared" si="23"/>
      </c>
      <c r="O195" s="14202">
        <f t="shared" si="24"/>
      </c>
    </row>
    <row r="196" spans="1:15">
      <c r="A196" s="14203">
        <f t="shared" si="20"/>
      </c>
      <c r="B196" s="14204"/>
      <c r="C196" s="14205"/>
      <c r="D196" s="14206">
        <f>IFERROR(INDEX(D$6:D49, MATCH(SUBSTITUTE(C196,"-",""), INDEX(SUBSTITUTE(F$6:F49,"-",""),0), 0)), "")</f>
      </c>
      <c r="E196" s="14207">
        <f>IFERROR(INDEX(G$6:G49, MATCH(SUBSTITUTE(C196,"-",""), INDEX(SUBSTITUTE(F$6:F49,"-",""),0), 0)), "")</f>
      </c>
      <c r="F196" s="14208">
        <f>IFERROR(INDEX(H$6:H49, MATCH(SUBSTITUTE(C196,"-",""), INDEX(SUBSTITUTE(F$6:F49,"-",""),0), 0)), 0)</f>
      </c>
      <c r="G196" s="14209"/>
      <c r="H196" s="14210"/>
      <c r="I196" s="14211"/>
      <c r="J196" s="14212">
        <f t="shared" si="21"/>
      </c>
      <c r="K196" s="14213"/>
      <c r="L196" s="14214">
        <f>IFERROR(INDEX(I$6:I49, MATCH(SUBSTITUTE(C196,"-",""), INDEX(SUBSTITUTE(F$6:F49,"-",""),0), 0)), "")</f>
      </c>
      <c r="M196" s="14215">
        <f t="shared" si="22"/>
      </c>
      <c r="N196" s="14216">
        <f t="shared" si="23"/>
      </c>
      <c r="O196" s="14217">
        <f t="shared" si="24"/>
      </c>
    </row>
    <row r="197" spans="1:15">
      <c r="A197" s="14218">
        <f t="shared" si="20"/>
      </c>
      <c r="B197" s="14219"/>
      <c r="C197" s="14220"/>
      <c r="D197" s="14221">
        <f>IFERROR(INDEX(D$6:D49, MATCH(SUBSTITUTE(C197,"-",""), INDEX(SUBSTITUTE(F$6:F49,"-",""),0), 0)), "")</f>
      </c>
      <c r="E197" s="14222">
        <f>IFERROR(INDEX(G$6:G49, MATCH(SUBSTITUTE(C197,"-",""), INDEX(SUBSTITUTE(F$6:F49,"-",""),0), 0)), "")</f>
      </c>
      <c r="F197" s="14223">
        <f>IFERROR(INDEX(H$6:H49, MATCH(SUBSTITUTE(C197,"-",""), INDEX(SUBSTITUTE(F$6:F49,"-",""),0), 0)), 0)</f>
      </c>
      <c r="G197" s="14224"/>
      <c r="H197" s="14225"/>
      <c r="I197" s="14226"/>
      <c r="J197" s="14227">
        <f t="shared" si="21"/>
      </c>
      <c r="K197" s="14228"/>
      <c r="L197" s="14229">
        <f>IFERROR(INDEX(I$6:I49, MATCH(SUBSTITUTE(C197,"-",""), INDEX(SUBSTITUTE(F$6:F49,"-",""),0), 0)), "")</f>
      </c>
      <c r="M197" s="14230">
        <f t="shared" si="22"/>
      </c>
      <c r="N197" s="14231">
        <f t="shared" si="23"/>
      </c>
      <c r="O197" s="14232">
        <f t="shared" si="24"/>
      </c>
    </row>
    <row r="198" spans="1:15">
      <c r="A198" s="14233">
        <f t="shared" si="20"/>
      </c>
      <c r="B198" s="14234"/>
      <c r="C198" s="14235"/>
      <c r="D198" s="14236">
        <f>IFERROR(INDEX(D$6:D49, MATCH(SUBSTITUTE(C198,"-",""), INDEX(SUBSTITUTE(F$6:F49,"-",""),0), 0)), "")</f>
      </c>
      <c r="E198" s="14237">
        <f>IFERROR(INDEX(G$6:G49, MATCH(SUBSTITUTE(C198,"-",""), INDEX(SUBSTITUTE(F$6:F49,"-",""),0), 0)), "")</f>
      </c>
      <c r="F198" s="14238">
        <f>IFERROR(INDEX(H$6:H49, MATCH(SUBSTITUTE(C198,"-",""), INDEX(SUBSTITUTE(F$6:F49,"-",""),0), 0)), 0)</f>
      </c>
      <c r="G198" s="14239"/>
      <c r="H198" s="14240"/>
      <c r="I198" s="14241"/>
      <c r="J198" s="14242">
        <f t="shared" si="21"/>
      </c>
      <c r="K198" s="14243"/>
      <c r="L198" s="14244">
        <f>IFERROR(INDEX(I$6:I49, MATCH(SUBSTITUTE(C198,"-",""), INDEX(SUBSTITUTE(F$6:F49,"-",""),0), 0)), "")</f>
      </c>
      <c r="M198" s="14245">
        <f t="shared" si="22"/>
      </c>
      <c r="N198" s="14246">
        <f t="shared" si="23"/>
      </c>
      <c r="O198" s="14247">
        <f t="shared" si="24"/>
      </c>
    </row>
    <row r="199" spans="1:15">
      <c r="A199" s="14248">
        <f t="shared" si="20"/>
      </c>
      <c r="B199" s="14249"/>
      <c r="C199" s="14250"/>
      <c r="D199" s="14251">
        <f>IFERROR(INDEX(D$6:D49, MATCH(SUBSTITUTE(C199,"-",""), INDEX(SUBSTITUTE(F$6:F49,"-",""),0), 0)), "")</f>
      </c>
      <c r="E199" s="14252">
        <f>IFERROR(INDEX(G$6:G49, MATCH(SUBSTITUTE(C199,"-",""), INDEX(SUBSTITUTE(F$6:F49,"-",""),0), 0)), "")</f>
      </c>
      <c r="F199" s="14253">
        <f>IFERROR(INDEX(H$6:H49, MATCH(SUBSTITUTE(C199,"-",""), INDEX(SUBSTITUTE(F$6:F49,"-",""),0), 0)), 0)</f>
      </c>
      <c r="G199" s="14254"/>
      <c r="H199" s="14255"/>
      <c r="I199" s="14256"/>
      <c r="J199" s="14257">
        <f t="shared" si="21"/>
      </c>
      <c r="K199" s="14258"/>
      <c r="L199" s="14259">
        <f>IFERROR(INDEX(I$6:I49, MATCH(SUBSTITUTE(C199,"-",""), INDEX(SUBSTITUTE(F$6:F49,"-",""),0), 0)), "")</f>
      </c>
      <c r="M199" s="14260">
        <f t="shared" si="22"/>
      </c>
      <c r="N199" s="14261">
        <f t="shared" si="23"/>
      </c>
      <c r="O199" s="14262">
        <f t="shared" si="24"/>
      </c>
    </row>
    <row r="200" spans="1:15">
      <c r="A200" s="14263">
        <f t="shared" si="20"/>
      </c>
      <c r="B200" s="14264"/>
      <c r="C200" s="14265"/>
      <c r="D200" s="14266">
        <f>IFERROR(INDEX(D$6:D49, MATCH(SUBSTITUTE(C200,"-",""), INDEX(SUBSTITUTE(F$6:F49,"-",""),0), 0)), "")</f>
      </c>
      <c r="E200" s="14267">
        <f>IFERROR(INDEX(G$6:G49, MATCH(SUBSTITUTE(C200,"-",""), INDEX(SUBSTITUTE(F$6:F49,"-",""),0), 0)), "")</f>
      </c>
      <c r="F200" s="14268">
        <f>IFERROR(INDEX(H$6:H49, MATCH(SUBSTITUTE(C200,"-",""), INDEX(SUBSTITUTE(F$6:F49,"-",""),0), 0)), 0)</f>
      </c>
      <c r="G200" s="14269"/>
      <c r="H200" s="14270"/>
      <c r="I200" s="14271"/>
      <c r="J200" s="14272">
        <f t="shared" si="21"/>
      </c>
      <c r="K200" s="14273"/>
      <c r="L200" s="14274">
        <f>IFERROR(INDEX(I$6:I49, MATCH(SUBSTITUTE(C200,"-",""), INDEX(SUBSTITUTE(F$6:F49,"-",""),0), 0)), "")</f>
      </c>
      <c r="M200" s="14275">
        <f t="shared" si="22"/>
      </c>
      <c r="N200" s="14276">
        <f t="shared" si="23"/>
      </c>
      <c r="O200" s="14277">
        <f t="shared" si="24"/>
      </c>
    </row>
    <row r="201" spans="1:15">
      <c r="A201" s="14278">
        <f t="shared" si="20"/>
      </c>
      <c r="B201" s="14279"/>
      <c r="C201" s="14280"/>
      <c r="D201" s="14281">
        <f>IFERROR(INDEX(D$6:D49, MATCH(SUBSTITUTE(C201,"-",""), INDEX(SUBSTITUTE(F$6:F49,"-",""),0), 0)), "")</f>
      </c>
      <c r="E201" s="14282">
        <f>IFERROR(INDEX(G$6:G49, MATCH(SUBSTITUTE(C201,"-",""), INDEX(SUBSTITUTE(F$6:F49,"-",""),0), 0)), "")</f>
      </c>
      <c r="F201" s="14283">
        <f>IFERROR(INDEX(H$6:H49, MATCH(SUBSTITUTE(C201,"-",""), INDEX(SUBSTITUTE(F$6:F49,"-",""),0), 0)), 0)</f>
      </c>
      <c r="G201" s="14284"/>
      <c r="H201" s="14285"/>
      <c r="I201" s="14286"/>
      <c r="J201" s="14287">
        <f t="shared" si="21"/>
      </c>
      <c r="K201" s="14288"/>
      <c r="L201" s="14289">
        <f>IFERROR(INDEX(I$6:I49, MATCH(SUBSTITUTE(C201,"-",""), INDEX(SUBSTITUTE(F$6:F49,"-",""),0), 0)), "")</f>
      </c>
      <c r="M201" s="14290">
        <f t="shared" si="22"/>
      </c>
      <c r="N201" s="14291">
        <f t="shared" si="23"/>
      </c>
      <c r="O201" s="14292">
        <f t="shared" si="24"/>
      </c>
    </row>
    <row r="202" spans="1:15">
      <c r="A202" s="14293">
        <f t="shared" si="20"/>
      </c>
      <c r="B202" s="14294"/>
      <c r="C202" s="14295"/>
      <c r="D202" s="14296">
        <f>IFERROR(INDEX(D$6:D49, MATCH(SUBSTITUTE(C202,"-",""), INDEX(SUBSTITUTE(F$6:F49,"-",""),0), 0)), "")</f>
      </c>
      <c r="E202" s="14297">
        <f>IFERROR(INDEX(G$6:G49, MATCH(SUBSTITUTE(C202,"-",""), INDEX(SUBSTITUTE(F$6:F49,"-",""),0), 0)), "")</f>
      </c>
      <c r="F202" s="14298">
        <f>IFERROR(INDEX(H$6:H49, MATCH(SUBSTITUTE(C202,"-",""), INDEX(SUBSTITUTE(F$6:F49,"-",""),0), 0)), 0)</f>
      </c>
      <c r="G202" s="14299"/>
      <c r="H202" s="14300"/>
      <c r="I202" s="14301"/>
      <c r="J202" s="14302">
        <f t="shared" si="21"/>
      </c>
      <c r="K202" s="14303"/>
      <c r="L202" s="14304">
        <f>IFERROR(INDEX(I$6:I49, MATCH(SUBSTITUTE(C202,"-",""), INDEX(SUBSTITUTE(F$6:F49,"-",""),0), 0)), "")</f>
      </c>
      <c r="M202" s="14305">
        <f t="shared" si="22"/>
      </c>
      <c r="N202" s="14306">
        <f t="shared" si="23"/>
      </c>
      <c r="O202" s="14307">
        <f t="shared" si="24"/>
      </c>
    </row>
    <row r="203" spans="1:15">
      <c r="A203" s="14308">
        <f t="shared" si="20"/>
      </c>
      <c r="B203" s="14309"/>
      <c r="C203" s="14310"/>
      <c r="D203" s="14311">
        <f>IFERROR(INDEX(D$6:D49, MATCH(SUBSTITUTE(C203,"-",""), INDEX(SUBSTITUTE(F$6:F49,"-",""),0), 0)), "")</f>
      </c>
      <c r="E203" s="14312">
        <f>IFERROR(INDEX(G$6:G49, MATCH(SUBSTITUTE(C203,"-",""), INDEX(SUBSTITUTE(F$6:F49,"-",""),0), 0)), "")</f>
      </c>
      <c r="F203" s="14313">
        <f>IFERROR(INDEX(H$6:H49, MATCH(SUBSTITUTE(C203,"-",""), INDEX(SUBSTITUTE(F$6:F49,"-",""),0), 0)), 0)</f>
      </c>
      <c r="G203" s="14314"/>
      <c r="H203" s="14315"/>
      <c r="I203" s="14316"/>
      <c r="J203" s="14317">
        <f t="shared" si="21"/>
      </c>
      <c r="K203" s="14318"/>
      <c r="L203" s="14319">
        <f>IFERROR(INDEX(I$6:I49, MATCH(SUBSTITUTE(C203,"-",""), INDEX(SUBSTITUTE(F$6:F49,"-",""),0), 0)), "")</f>
      </c>
      <c r="M203" s="14320">
        <f t="shared" si="22"/>
      </c>
      <c r="N203" s="14321">
        <f t="shared" si="23"/>
      </c>
      <c r="O203" s="14322">
        <f t="shared" si="24"/>
      </c>
    </row>
    <row r="204" spans="1:15">
      <c r="A204" s="14323">
        <f t="shared" si="20"/>
      </c>
      <c r="B204" s="14324"/>
      <c r="C204" s="14325"/>
      <c r="D204" s="14326">
        <f>IFERROR(INDEX(D$6:D49, MATCH(SUBSTITUTE(C204,"-",""), INDEX(SUBSTITUTE(F$6:F49,"-",""),0), 0)), "")</f>
      </c>
      <c r="E204" s="14327">
        <f>IFERROR(INDEX(G$6:G49, MATCH(SUBSTITUTE(C204,"-",""), INDEX(SUBSTITUTE(F$6:F49,"-",""),0), 0)), "")</f>
      </c>
      <c r="F204" s="14328">
        <f>IFERROR(INDEX(H$6:H49, MATCH(SUBSTITUTE(C204,"-",""), INDEX(SUBSTITUTE(F$6:F49,"-",""),0), 0)), 0)</f>
      </c>
      <c r="G204" s="14329"/>
      <c r="H204" s="14330"/>
      <c r="I204" s="14331"/>
      <c r="J204" s="14332">
        <f t="shared" si="21"/>
      </c>
      <c r="K204" s="14333"/>
      <c r="L204" s="14334">
        <f>IFERROR(INDEX(I$6:I49, MATCH(SUBSTITUTE(C204,"-",""), INDEX(SUBSTITUTE(F$6:F49,"-",""),0), 0)), "")</f>
      </c>
      <c r="M204" s="14335">
        <f t="shared" si="22"/>
      </c>
      <c r="N204" s="14336">
        <f t="shared" si="23"/>
      </c>
      <c r="O204" s="14337">
        <f t="shared" si="24"/>
      </c>
    </row>
    <row r="205" spans="1:15">
      <c r="A205" s="14338">
        <f t="shared" si="20"/>
      </c>
      <c r="B205" s="14339"/>
      <c r="C205" s="14340"/>
      <c r="D205" s="14341">
        <f>IFERROR(INDEX(D$6:D49, MATCH(SUBSTITUTE(C205,"-",""), INDEX(SUBSTITUTE(F$6:F49,"-",""),0), 0)), "")</f>
      </c>
      <c r="E205" s="14342">
        <f>IFERROR(INDEX(G$6:G49, MATCH(SUBSTITUTE(C205,"-",""), INDEX(SUBSTITUTE(F$6:F49,"-",""),0), 0)), "")</f>
      </c>
      <c r="F205" s="14343">
        <f>IFERROR(INDEX(H$6:H49, MATCH(SUBSTITUTE(C205,"-",""), INDEX(SUBSTITUTE(F$6:F49,"-",""),0), 0)), 0)</f>
      </c>
      <c r="G205" s="14344"/>
      <c r="H205" s="14345"/>
      <c r="I205" s="14346"/>
      <c r="J205" s="14347">
        <f t="shared" si="21"/>
      </c>
      <c r="K205" s="14348"/>
      <c r="L205" s="14349">
        <f>IFERROR(INDEX(I$6:I49, MATCH(SUBSTITUTE(C205,"-",""), INDEX(SUBSTITUTE(F$6:F49,"-",""),0), 0)), "")</f>
      </c>
      <c r="M205" s="14350">
        <f t="shared" si="22"/>
      </c>
      <c r="N205" s="14351">
        <f t="shared" si="23"/>
      </c>
      <c r="O205" s="14352">
        <f t="shared" si="24"/>
      </c>
    </row>
    <row r="206" spans="1:15">
      <c r="A206" s="14353">
        <f t="shared" si="20"/>
      </c>
      <c r="B206" s="14354"/>
      <c r="C206" s="14355"/>
      <c r="D206" s="14356">
        <f>IFERROR(INDEX(D$6:D49, MATCH(SUBSTITUTE(C206,"-",""), INDEX(SUBSTITUTE(F$6:F49,"-",""),0), 0)), "")</f>
      </c>
      <c r="E206" s="14357">
        <f>IFERROR(INDEX(G$6:G49, MATCH(SUBSTITUTE(C206,"-",""), INDEX(SUBSTITUTE(F$6:F49,"-",""),0), 0)), "")</f>
      </c>
      <c r="F206" s="14358">
        <f>IFERROR(INDEX(H$6:H49, MATCH(SUBSTITUTE(C206,"-",""), INDEX(SUBSTITUTE(F$6:F49,"-",""),0), 0)), 0)</f>
      </c>
      <c r="G206" s="14359"/>
      <c r="H206" s="14360"/>
      <c r="I206" s="14361"/>
      <c r="J206" s="14362">
        <f t="shared" si="21"/>
      </c>
      <c r="K206" s="14363"/>
      <c r="L206" s="14364">
        <f>IFERROR(INDEX(I$6:I49, MATCH(SUBSTITUTE(C206,"-",""), INDEX(SUBSTITUTE(F$6:F49,"-",""),0), 0)), "")</f>
      </c>
      <c r="M206" s="14365">
        <f t="shared" si="22"/>
      </c>
      <c r="N206" s="14366">
        <f t="shared" si="23"/>
      </c>
      <c r="O206" s="14367">
        <f t="shared" si="24"/>
      </c>
    </row>
    <row r="210" spans="1:11" ht="15.6">
      <c r="A210" t="s" s="25319">
        <v>642</v>
      </c>
      <c r="B210" s="25170"/>
      <c r="C210" s="25170"/>
      <c r="D210" s="25170"/>
      <c r="E210" s="25170"/>
      <c r="F210" s="25170"/>
      <c r="G210" s="25170"/>
      <c r="H210" s="25170"/>
      <c r="I210" s="25170"/>
      <c r="J210" s="25170"/>
      <c r="K210" s="25170"/>
    </row>
    <row r="211" spans="1:11" ht="27.6">
      <c r="A211" t="s" s="14368">
        <v>643</v>
      </c>
      <c r="B211" t="s" s="14369">
        <v>644</v>
      </c>
      <c r="C211" t="s" s="14370">
        <v>425</v>
      </c>
      <c r="D211" t="s" s="14371">
        <v>645</v>
      </c>
      <c r="E211" t="s" s="14372">
        <v>646</v>
      </c>
      <c r="F211" t="s" s="14373">
        <v>647</v>
      </c>
      <c r="G211" t="s" s="14374">
        <v>629</v>
      </c>
      <c r="H211" t="s" s="14375">
        <v>648</v>
      </c>
      <c r="I211" t="s" s="14376">
        <v>649</v>
      </c>
      <c r="J211" t="s" s="14377">
        <v>414</v>
      </c>
    </row>
    <row r="212" spans="1:11">
      <c r="A212" s="14378">
        <v>1</v>
      </c>
      <c r="B212" t="s" s="14379">
        <v>650</v>
      </c>
      <c r="C212" t="s" s="14380">
        <v>651</v>
      </c>
      <c r="D212" t="s" s="14381">
        <v>652</v>
      </c>
      <c r="E212" s="14382">
        <v>550</v>
      </c>
      <c r="F212" s="14383">
        <v>2750</v>
      </c>
      <c r="G212" s="14384">
        <v>46195.75</v>
      </c>
      <c r="H212" s="14385">
        <v>660</v>
      </c>
      <c r="I212" s="14386">
        <v>2030</v>
      </c>
      <c r="J212" s="14387">
        <f>IF(F212=0,"",IF(H212=0,"⏳ Pendiente",IF(H212&lt;=F212,"✅ OK","❌ Excede autorizado")))</f>
      </c>
    </row>
    <row r="213" spans="1:11">
      <c r="A213" s="14388">
        <v>2</v>
      </c>
      <c r="B213" t="s" s="14389">
        <v>653</v>
      </c>
      <c r="C213" t="s" s="14390">
        <v>654</v>
      </c>
      <c r="D213" t="s" s="14391">
        <v>655</v>
      </c>
      <c r="E213" s="14392">
        <v>500</v>
      </c>
      <c r="F213" s="14393">
        <v>2500</v>
      </c>
      <c r="G213" s="14394"/>
      <c r="H213" s="14395"/>
      <c r="I213" s="14396"/>
      <c r="J213" s="14397">
        <f>IF(F213=0,"",IF(H213=0,"⏳ Pendiente",IF(H213&lt;=F213,"✅ OK","❌ Excede autorizado")))</f>
      </c>
    </row>
    <row r="214" spans="1:11">
      <c r="A214" s="14398">
        <v>3</v>
      </c>
      <c r="B214" t="s" s="14399">
        <v>656</v>
      </c>
      <c r="C214" t="s" s="14400">
        <v>2</v>
      </c>
      <c r="D214" t="s" s="14401">
        <v>657</v>
      </c>
      <c r="E214" s="14402">
        <v>400</v>
      </c>
      <c r="F214" s="14403">
        <v>2000</v>
      </c>
      <c r="G214" s="14404"/>
      <c r="H214" s="14405"/>
      <c r="I214" s="14406"/>
      <c r="J214" s="14407">
        <f>IF(F214=0,"",IF(H214=0,"⏳ Pendiente",IF(H214&lt;=F214,"✅ OK","❌ Excede autorizado")))</f>
      </c>
    </row>
    <row r="215" spans="1:11">
      <c r="A215" s="14408">
        <v>4</v>
      </c>
      <c r="B215" t="s" s="14409">
        <v>656</v>
      </c>
      <c r="C215" t="s" s="14410">
        <v>115</v>
      </c>
      <c r="D215" s="14411"/>
      <c r="E215" s="14412">
        <v>1600</v>
      </c>
      <c r="F215" s="14413">
        <v>1600</v>
      </c>
      <c r="G215" s="14414"/>
      <c r="H215" s="14415"/>
      <c r="I215" s="14416"/>
      <c r="J215" s="14417">
        <f>IF(F215=0,"",IF(H215=0,"⏳ Pendiente",IF(H215&lt;=F215,"✅ OK","❌ Excede autorizado")))</f>
      </c>
    </row>
    <row r="216" spans="1:11">
      <c r="A216" s="14418">
        <v>5</v>
      </c>
      <c r="B216" t="s" s="14419">
        <v>656</v>
      </c>
      <c r="C216" t="s" s="14420">
        <v>111</v>
      </c>
      <c r="D216" s="14421"/>
      <c r="E216" s="14422">
        <v>100</v>
      </c>
      <c r="F216" s="14423">
        <v>500</v>
      </c>
      <c r="G216" s="14424"/>
      <c r="H216" s="14425"/>
      <c r="I216" s="14426"/>
      <c r="J216" s="14427">
        <f>IF(F216=0,"",IF(H216=0,"⏳ Pendiente",IF(H216&lt;=F216,"✅ OK","❌ Excede autorizado")))</f>
      </c>
    </row>
    <row r="217" spans="1:11">
      <c r="E217" t="s" s="14428">
        <v>658</v>
      </c>
      <c r="F217" s="14429">
        <f>SUM(F212:F216)</f>
      </c>
    </row>
  </sheetData>
  <mergeCells count="8">
    <mergeCell ref="A41:J41"/>
    <mergeCell ref="A51:O51"/>
    <mergeCell ref="A210:K210"/>
    <mergeCell ref="A1:O1"/>
    <mergeCell ref="A2:O2"/>
    <mergeCell ref="A4:I4"/>
    <mergeCell ref="A6:J6"/>
    <mergeCell ref="A35:J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DA11-ECDA-417B-A8AC-04D63D746D0F}">
  <sheetPr/>
  <sheetViews>
    <sheetView workbookViewId="0" tabSelected="1">
      <selection activeCell="F38" sqref="F38"/>
    </sheetView>
  </sheetViews>
  <sheetFormatPr baseColWidth="10" defaultRowHeight="13.8"/>
  <cols>
    <col min="1" max="1" width="28" customWidth="1"/>
    <col min="2" max="4" width="22" customWidth="1"/>
    <col min="5" max="5" width="36.5" bestFit="1" customWidth="1"/>
    <col min="6" max="6" width="26.796875" bestFit="1" customWidth="1"/>
    <col min="7" max="8" width="22" bestFit="1" customWidth="1"/>
    <col min="9" max="9" width="22" customWidth="1"/>
  </cols>
  <sheetData>
    <row r="1" spans="1:13" ht="34.950000000000003" customHeight="1">
      <c r="A1" t="s" s="25348">
        <v>770</v>
      </c>
      <c r="B1" s="25170"/>
      <c r="C1" s="25170"/>
      <c r="D1" s="25170"/>
      <c r="E1" s="25170"/>
      <c r="F1" s="25170"/>
      <c r="G1" s="25170"/>
      <c r="H1" s="25170"/>
    </row>
    <row r="2" spans="1:13">
      <c r="M2" s="17666">
        <f>DATE(2026,1,1)-WEEKDAY(DATE(2026,1,1),2)+1 + ($B$3-1)*7</f>
      </c>
    </row>
    <row r="3" spans="1:13" ht="22.05" customHeight="1">
      <c r="A3" t="s" s="16617">
        <v>771</v>
      </c>
      <c r="B3" s="16618">
        <v>26</v>
      </c>
      <c r="D3" t="s" s="16619">
        <v>772</v>
      </c>
      <c r="E3" s="16620">
        <v>27</v>
      </c>
      <c r="F3" t="s" s="25349">
        <v>773</v>
      </c>
      <c r="G3" s="25170"/>
      <c r="H3" s="25170"/>
      <c r="M3" s="17667">
        <f>M2+6</f>
      </c>
    </row>
    <row r="5" spans="1:13">
      <c r="A5" s="16621"/>
      <c r="B5" s="16622"/>
      <c r="C5" s="16623"/>
      <c r="D5" s="16624"/>
      <c r="E5" s="16625"/>
      <c r="F5" s="16626"/>
      <c r="G5" s="16627"/>
      <c r="H5" s="16628"/>
      <c r="I5" s="16629"/>
      <c r="J5" s="16630"/>
      <c r="K5" s="16631"/>
      <c r="L5" s="16632"/>
    </row>
    <row r="6" spans="1:13" ht="19.95" customHeight="1">
      <c r="A6" t="s" s="25350">
        <v>802</v>
      </c>
      <c r="B6" s="25351"/>
      <c r="C6" s="25352"/>
      <c r="D6" s="25353"/>
      <c r="E6" s="25354"/>
      <c r="F6" s="25355"/>
      <c r="G6" s="25356"/>
      <c r="H6" s="17484"/>
      <c r="I6" s="17485"/>
      <c r="J6" s="17486"/>
      <c r="K6" s="17487"/>
      <c r="L6" s="17488"/>
    </row>
    <row r="7" spans="1:13" ht="34.950000000000003" customHeight="1">
      <c r="A7" t="s" s="17489">
        <v>425</v>
      </c>
      <c r="B7" t="s" s="17490">
        <v>803</v>
      </c>
      <c r="C7" t="s" s="17491">
        <v>804</v>
      </c>
      <c r="D7" t="s" s="17492">
        <v>805</v>
      </c>
      <c r="E7" t="s" s="17493">
        <v>806</v>
      </c>
      <c r="F7" t="s" s="17494">
        <v>807</v>
      </c>
      <c r="G7" t="s" s="17495">
        <v>808</v>
      </c>
      <c r="H7" t="s" s="17496">
        <v>809</v>
      </c>
      <c r="I7" t="s" s="17497">
        <v>810</v>
      </c>
      <c r="J7" s="17498"/>
      <c r="K7" s="17499"/>
      <c r="L7" s="17500"/>
    </row>
    <row r="8" spans="1:13">
      <c r="A8" t="s" s="17501">
        <v>1</v>
      </c>
      <c r="B8" s="17502">
        <f>SUMIFS(Captura_Facturas_Mobil!$E:$E, Captura_Facturas_Mobil!$D:$D, A8, Captura_Facturas_Mobil!$N:$N, "&gt;=25", Captura_Facturas_Mobil!$N:$N, "&lt;"&amp;$B$3) - SUMIFS(Captura_Obra!$F:$F, Captura_Obra!$B:$B, A8, Captura_Obra!$M:$M, "&gt;=25", Captura_Obra!$M:$M, "&lt;"&amp;$B$3)</f>
      </c>
      <c r="C8" s="17503">
        <f>SUMIFS(Captura_Facturas_Mobil!$E:$E, Captura_Facturas_Mobil!$D:$D, A8, Captura_Facturas_Mobil!$N:$N, $B$3)</f>
      </c>
      <c r="D8" s="17504">
        <f>SUMIFS(Captura_Obra!$F:$F, Captura_Obra!$B:$B, A8, Captura_Obra!$M:$M, $B$3)</f>
      </c>
      <c r="E8" s="17505">
        <f>(B8+C8)-D8</f>
      </c>
      <c r="F8" s="17506">
        <f>B8+C8-D8</f>
      </c>
      <c r="G8" s="17507">
        <f>IFERROR(D8/(B8+C8), 0)</f>
      </c>
      <c r="H8" s="17508">
        <f>SUMIFS(Captura_Horas!$G:$G, Captura_Horas!$C:$C, A8, Captura_Horas!$J:$J, $B$3)</f>
      </c>
      <c r="I8" s="17509">
        <f>IFERROR(D8/H8, 0)</f>
      </c>
      <c r="J8" s="17510"/>
      <c r="K8" s="17511"/>
      <c r="L8" s="17512"/>
    </row>
    <row r="9" spans="1:13">
      <c r="A9" t="s" s="17513">
        <v>400</v>
      </c>
      <c r="B9" s="17502">
        <f>SUMIFS(Captura_Pegaso!$G:$G, Captura_Pegaso!$M:$M, $B$3)</f>
      </c>
      <c r="C9" s="17503">
        <f>SUMIFS(Captura_Facturas_Mobil!$E:$E, Captura_Facturas_Mobil!$D:$D, A9, Captura_Facturas_Mobil!$N:$N, $B$3)</f>
      </c>
      <c r="D9" s="17514">
        <f>SUMIFS(Captura_Obra!$F:$F, Captura_Obra!$B:$B, "Maquinaria Pegaso", Captura_Obra!$M:$M, $B$3)+SUMIFS(Captura_Obra!$F:$F, Captura_Obra!$B:$B, "Lerma - Tres Marías", Captura_Obra!$M:$M, $B$3)+SUMIFS(Captura_Obra!$F:$F, Captura_Obra!$B:$B, "Chamapa-Lechería", Captura_Obra!$M:$M, $B$3)+SUMIFS(Captura_Obra!$F:$F, Captura_Obra!$B:$B, "Bacheo Toluca", Captura_Obra!$M:$M, $B$3)+SUMIFS(Captura_Obra!$F:$F, Captura_Obra!$B:$B, "Dragones", Captura_Obra!$M:$M, $B$3)+SUMIFS(Captura_Obra!$F:$F, Captura_Obra!$B:$B, "Colegio Militar", Captura_Obra!$M:$M, $B$3)+SUMIFS(Captura_Obra!$F:$F, Captura_Obra!$B:$B, "NO DETECTADA", Captura_Obra!$M:$M, $B$3)</f>
      </c>
      <c r="E9" s="17505">
        <f t="shared" ref="E9:E10" si="0">(B9+C9)-D9</f>
      </c>
      <c r="F9" s="17515">
        <f>B9+C9-D9</f>
      </c>
      <c r="G9" s="17516">
        <f>IFERROR(D9/(B9+C9), 0)</f>
      </c>
      <c r="H9" s="17517">
        <f>SUMIFS(Captura_Horas!$G:$G, Captura_Horas!$C:$C, "Maquinaria Pegaso", Captura_Horas!$J:$J, $B$3)+SUMIFS(Captura_Horas!$G:$G, Captura_Horas!$C:$C, "Lerma - Tres Marías", Captura_Horas!$J:$J, $B$3)+SUMIFS(Captura_Horas!$G:$G, Captura_Horas!$C:$C, "Chamapa-Lechería", Captura_Horas!$J:$J, $B$3)+SUMIFS(Captura_Horas!$G:$G, Captura_Horas!$C:$C, "Bacheo Toluca", Captura_Horas!$J:$J, $B$3)+SUMIFS(Captura_Horas!$G:$G, Captura_Horas!$C:$C, "Dragones", Captura_Horas!$J:$J, $B$3)+SUMIFS(Captura_Horas!$G:$G, Captura_Horas!$C:$C, "Colegio Militar", Captura_Horas!$J:$J, $B$3)+SUMIFS(Captura_Horas!$G:$G, Captura_Horas!$C:$C, "NO DETECTADA", Captura_Horas!$J:$J, $B$3)</f>
      </c>
      <c r="I9" s="17518">
        <f>IFERROR(D9/H9, 0)</f>
      </c>
      <c r="J9" s="17519"/>
      <c r="K9" s="17520"/>
      <c r="L9" s="17521"/>
    </row>
    <row r="10" spans="1:13">
      <c r="A10" t="s" s="17522">
        <v>124</v>
      </c>
      <c r="B10" s="17502">
        <f>SUMIFS(Captura_Facturas_Mobil!$E:$E, Captura_Facturas_Mobil!$D:$D, A10, Captura_Facturas_Mobil!$N:$N, "&gt;=25", Captura_Facturas_Mobil!$N:$N, "&lt;"&amp;$B$3) - SUMIFS(Captura_Obra!$F:$F, Captura_Obra!$B:$B, A10, Captura_Obra!$M:$M, "&gt;=25", Captura_Obra!$M:$M, "&lt;"&amp;$B$3)</f>
      </c>
      <c r="C10" s="17503">
        <f>SUMIFS(Captura_Facturas_Mobil!$E:$E, Captura_Facturas_Mobil!$D:$D, A10, Captura_Facturas_Mobil!$N:$N, $B$3)</f>
      </c>
      <c r="D10" s="17523">
        <f>SUMIFS(Captura_Obra!$F:$F, Captura_Obra!$B:$B, A10, Captura_Obra!$M:$M, $B$3)</f>
      </c>
      <c r="E10" s="17505">
        <f t="shared" si="0"/>
      </c>
      <c r="F10" s="17524">
        <f>B10+C10-D10</f>
      </c>
      <c r="G10" s="17525">
        <f>IFERROR(D10/(B10+C10), 0)</f>
      </c>
      <c r="H10" s="17526">
        <f>SUMIFS(Captura_Horas!$G:$G, Captura_Horas!$C:$C, A10, Captura_Horas!$J:$J, $B$3)</f>
      </c>
      <c r="I10" s="17527">
        <f>IFERROR(D10/H10, 0)</f>
      </c>
      <c r="J10" s="17528"/>
      <c r="K10" s="17529"/>
      <c r="L10" s="17530"/>
    </row>
    <row r="11" spans="1:13">
      <c r="A11" t="s" s="17531">
        <v>174</v>
      </c>
      <c r="B11" s="17532">
        <f>SUM(B8:B10)</f>
      </c>
      <c r="C11" s="17533">
        <f>SUM(C8:C10)</f>
      </c>
      <c r="D11" s="17534">
        <f>SUM(D8:D10)</f>
      </c>
      <c r="E11" s="17535">
        <f>SUM(E8:E10)</f>
      </c>
      <c r="F11" s="17536">
        <f>SUM(F8:F10)</f>
      </c>
      <c r="G11" s="17537">
        <f>IFERROR(D11/(B11+C11), 0)</f>
      </c>
      <c r="H11" s="17538">
        <f>SUM(H8:H10)</f>
      </c>
      <c r="I11" s="17539">
        <f>IFERROR(D11/H11, 0)</f>
      </c>
      <c r="J11" s="17540"/>
      <c r="K11" s="17541"/>
      <c r="L11" s="17542"/>
    </row>
    <row r="12" spans="1:13">
      <c r="A12" s="17543"/>
      <c r="B12" s="17544"/>
      <c r="C12" s="17545"/>
      <c r="D12" s="17546"/>
      <c r="E12" s="17547"/>
      <c r="F12" s="17548"/>
      <c r="G12" s="17549"/>
      <c r="H12" s="17550"/>
      <c r="I12" s="17551"/>
      <c r="J12" s="17552"/>
      <c r="K12" s="17553"/>
      <c r="L12" s="17554"/>
    </row>
    <row r="13" spans="1:13">
      <c r="A13" s="17555"/>
      <c r="B13" s="17556"/>
      <c r="C13" s="17557"/>
      <c r="D13" s="17558"/>
      <c r="E13" s="17559"/>
      <c r="F13" s="17560"/>
      <c r="G13" s="17561"/>
      <c r="H13" s="17562"/>
      <c r="I13" s="17563"/>
      <c r="J13" s="17564"/>
      <c r="K13" s="17565"/>
      <c r="L13" s="17566"/>
    </row>
    <row r="14" spans="1:13" ht="19.95" customHeight="1">
      <c r="A14" t="s" s="25357">
        <v>797</v>
      </c>
      <c r="B14" s="25358"/>
      <c r="C14" s="25359"/>
      <c r="D14" s="25360"/>
      <c r="E14" s="25361"/>
      <c r="F14" s="25362"/>
      <c r="G14" s="25363"/>
      <c r="H14" s="17567"/>
      <c r="I14" s="17568"/>
      <c r="J14" s="17569"/>
      <c r="K14" s="17570"/>
      <c r="L14" s="17571"/>
    </row>
    <row r="15" spans="1:13" ht="34.950000000000003" customHeight="1">
      <c r="A15" t="s" s="17572">
        <v>425</v>
      </c>
      <c r="B15" t="s" s="17573">
        <v>811</v>
      </c>
      <c r="C15" t="s" s="17574">
        <v>812</v>
      </c>
      <c r="D15" t="s" s="17575">
        <v>813</v>
      </c>
      <c r="E15" t="s" s="17576">
        <v>774</v>
      </c>
      <c r="F15" s="17577"/>
      <c r="G15" s="17578"/>
      <c r="H15" s="17579"/>
      <c r="I15" s="17580"/>
      <c r="J15" s="17581"/>
      <c r="K15" s="17582"/>
      <c r="L15" s="17583"/>
    </row>
    <row r="16" spans="1:13" ht="17.399999999999999" customHeight="1">
      <c r="A16" t="s" s="17584">
        <v>1</v>
      </c>
      <c r="B16" s="17585">
        <f>SUMIFS(Captura_Facturas_Mobil!$G:$G, Captura_Facturas_Mobil!$D:$D, A16, Captura_Facturas_Mobil!$N:$N, $B$3)</f>
      </c>
      <c r="C16" s="17586">
        <f>D8 * $E$3</f>
      </c>
      <c r="D16" s="17587">
        <f>B16-C16</f>
      </c>
      <c r="E16" s="17588">
        <f>IF(F8&lt;0,"🚨 Consumo excedió combustible disponible",IF(AND(B16=0,C16&gt;0),"📦 Consumo de Reserva (Tanque Vaciado)",IF(B16+C16=0,"",IF(D16&gt;100,"⚠️ Combustible en almacén","✅ Operación Cuadrada"))))</f>
      </c>
      <c r="F16" s="17589"/>
      <c r="G16" s="17590"/>
      <c r="H16" s="17591"/>
      <c r="I16" s="17592"/>
      <c r="J16" s="17593"/>
      <c r="K16" s="17594"/>
      <c r="L16" s="17595"/>
    </row>
    <row r="17" spans="1:12" ht="14.4">
      <c r="A17" t="s" s="17596">
        <v>400</v>
      </c>
      <c r="B17" s="17585">
        <f>SUMIFS(Captura_Facturas_Mobil!$G:$G, Captura_Facturas_Mobil!$D:$D, A17, Captura_Facturas_Mobil!$N:$N, $B$3)</f>
      </c>
      <c r="C17" s="17597">
        <f>D9 * $E$3</f>
      </c>
      <c r="D17" s="17598">
        <f>B17-C17</f>
      </c>
      <c r="E17" s="17599">
        <f>IF(F9&lt;0,"🚨 Consumo excedió combustible disponible",IF(AND(B17=0,C17&gt;0),"📦 Consumo de Reserva (Tanque Vaciado)",IF(B17+C17=0,"",IF(D17&gt;100,"⚠️ Combustible en almacén","✅ Operación Cuadrada"))))</f>
      </c>
      <c r="F17" s="17600"/>
      <c r="G17" s="17601"/>
      <c r="H17" s="17602"/>
      <c r="I17" s="17603"/>
      <c r="J17" s="17604"/>
      <c r="K17" s="17605"/>
      <c r="L17" s="17606"/>
    </row>
    <row r="18" spans="1:12" ht="14.4">
      <c r="A18" t="s" s="17607">
        <v>124</v>
      </c>
      <c r="B18" s="17585">
        <f>SUMIFS(Captura_Facturas_Mobil!$G:$G, Captura_Facturas_Mobil!$D:$D, A18, Captura_Facturas_Mobil!$N:$N, $B$3)</f>
      </c>
      <c r="C18" s="17608">
        <f>D10 * $E$3</f>
      </c>
      <c r="D18" s="17609">
        <f>B18-C18</f>
      </c>
      <c r="E18" s="17610">
        <f>IF(F10&lt;0,"🚨 Consumo excedió combustible disponible",IF(AND(B18=0,C18&gt;0),"📦 Consumo de Reserva (Tanque Vaciado)",IF(B18+C18=0,"",IF(D18&gt;100,"⚠️ Combustible en almacén","✅ Operación Cuadrada"))))</f>
      </c>
      <c r="F18" s="17611"/>
      <c r="G18" s="17612"/>
      <c r="H18" s="17613"/>
      <c r="I18" s="17614"/>
      <c r="J18" s="17615"/>
      <c r="K18" s="17616"/>
      <c r="L18" s="17617"/>
    </row>
    <row r="19" spans="1:12">
      <c r="A19" t="s" s="17618">
        <v>174</v>
      </c>
      <c r="B19" s="17619">
        <f>SUM(B16:B18)</f>
      </c>
      <c r="C19" s="17620">
        <f>SUM(C16:C18)</f>
      </c>
      <c r="D19" s="17621">
        <f>SUM(D16:D18)</f>
      </c>
      <c r="E19" s="17622"/>
      <c r="F19" s="17623"/>
      <c r="G19" s="17624"/>
      <c r="H19" s="17625"/>
      <c r="I19" s="17626"/>
      <c r="J19" s="17627"/>
      <c r="K19" s="17628"/>
      <c r="L19" s="17629"/>
    </row>
    <row r="20" spans="1:12">
      <c r="A20" s="17630"/>
      <c r="B20" s="17631"/>
      <c r="C20" s="17632"/>
      <c r="D20" s="17633"/>
      <c r="E20" s="17634"/>
      <c r="F20" s="17635"/>
      <c r="G20" s="17636"/>
      <c r="H20" s="17637"/>
      <c r="I20" s="17638"/>
      <c r="J20" s="17639"/>
      <c r="K20" s="17640"/>
      <c r="L20" s="17641"/>
    </row>
    <row r="21" spans="1:12">
      <c r="A21" s="17642"/>
      <c r="B21" s="17643"/>
      <c r="C21" s="17644"/>
      <c r="D21" s="17645"/>
      <c r="E21" s="17646"/>
      <c r="F21" s="17647"/>
      <c r="G21" s="17648"/>
      <c r="H21" s="17649"/>
      <c r="I21" s="17650"/>
      <c r="J21" s="17651"/>
      <c r="K21" s="17652"/>
      <c r="L21" s="17653"/>
    </row>
    <row r="22" spans="1:12">
      <c r="A22" s="16633"/>
      <c r="B22" s="16634"/>
      <c r="C22" s="16635"/>
      <c r="D22" s="16636"/>
      <c r="E22" s="16637"/>
      <c r="F22" s="16638"/>
      <c r="G22" s="16639"/>
      <c r="H22" s="16640"/>
      <c r="I22" s="16641"/>
      <c r="J22" s="16642"/>
      <c r="K22" s="16643"/>
      <c r="L22" s="16644"/>
    </row>
    <row r="23" spans="1:12">
      <c r="A23" s="16645"/>
      <c r="B23" s="16646"/>
      <c r="C23" s="16647"/>
      <c r="D23" s="16648"/>
      <c r="E23" s="16649"/>
      <c r="F23" s="16650"/>
      <c r="G23" s="16651"/>
      <c r="H23" s="16652"/>
      <c r="I23" s="16653"/>
      <c r="J23" s="16654"/>
      <c r="K23" s="16655"/>
      <c r="L23" s="16656"/>
    </row>
    <row r="24" spans="1:12" ht="19.95" customHeight="1">
      <c r="A24" t="s" s="25364">
        <v>780</v>
      </c>
      <c r="B24" s="25365"/>
      <c r="C24" s="25366"/>
      <c r="D24" s="25367"/>
      <c r="E24" s="25368"/>
      <c r="F24" s="25369"/>
      <c r="G24" s="25370"/>
      <c r="H24" s="25371"/>
      <c r="I24" s="25372"/>
      <c r="J24" s="16657"/>
      <c r="K24" s="16658"/>
      <c r="L24" s="16659"/>
    </row>
    <row r="25" spans="1:12" ht="34.950000000000003" customHeight="1">
      <c r="A25" t="s" s="16660">
        <v>183</v>
      </c>
      <c r="B25" t="s" s="16661">
        <v>192</v>
      </c>
      <c r="C25" t="s" s="16662">
        <v>184</v>
      </c>
      <c r="D25" t="s" s="16663">
        <v>185</v>
      </c>
      <c r="E25" t="s" s="16664">
        <v>186</v>
      </c>
      <c r="F25" t="s" s="16665">
        <v>191</v>
      </c>
      <c r="G25" t="s" s="16666">
        <v>193</v>
      </c>
      <c r="H25" t="s" s="16667">
        <v>194</v>
      </c>
      <c r="I25" t="s" s="16668">
        <v>781</v>
      </c>
      <c r="J25" s="16669"/>
      <c r="K25" s="16670"/>
      <c r="L25" s="16671"/>
    </row>
    <row r="26" spans="1:12">
      <c r="A26" s="16672">
        <v>46167</v>
      </c>
      <c r="B26" s="16673">
        <f>Captura_Jalisco!K5</f>
      </c>
      <c r="C26" s="16674">
        <f>SUMIFS(Captura_Jalisco!$G:$G, Captura_Jalisco!$B:$B, "Salida", Captura_Jalisco!$A:$A, "&gt;="&amp;A26, Captura_Jalisco!$A:$A, "&lt;="&amp;(A26+6))</f>
      </c>
      <c r="D26" s="16675">
        <f>$E$3</f>
      </c>
      <c r="E26" s="16676">
        <f>C26*D26</f>
      </c>
      <c r="F26" s="16677">
        <f>SUMIFS(Captura_Jalisco!$N:$N, Captura_Jalisco!$A:$A, "&gt;="&amp;A26, Captura_Jalisco!$A:$A, "&lt;="&amp;(A26+6))</f>
      </c>
      <c r="G26" s="16678">
        <f>B26-E26-F26</f>
      </c>
      <c r="H26" s="16818">
        <v>25056</v>
      </c>
      <c r="I26" s="16679">
        <f>C26</f>
      </c>
      <c r="J26" s="16680"/>
      <c r="K26" s="16681"/>
      <c r="L26" s="16682"/>
    </row>
    <row r="27" spans="1:12">
      <c r="A27" s="16683">
        <v>46174</v>
      </c>
      <c r="B27" s="16684">
        <f>G26+H26</f>
      </c>
      <c r="C27" s="16685">
        <f>SUMIFS(Captura_Jalisco!$G:$G, Captura_Jalisco!$B:$B, "Salida", Captura_Jalisco!$A:$A, "&gt;="&amp;A27, Captura_Jalisco!$A:$A, "&lt;="&amp;(A27+6))</f>
      </c>
      <c r="D27" s="16686">
        <f>$E$3</f>
      </c>
      <c r="E27" s="16687">
        <f>C27*D27</f>
      </c>
      <c r="F27" s="16688">
        <f>SUMIFS(Captura_Jalisco!$N:$N, Captura_Jalisco!$A:$A, "&gt;="&amp;A27, Captura_Jalisco!$A:$A, "&lt;="&amp;(A27+6))</f>
      </c>
      <c r="G27" s="16689">
        <f>B27-E27-F27</f>
      </c>
      <c r="H27" s="16690">
        <v>31320</v>
      </c>
      <c r="I27" s="16691">
        <f>I26+C27</f>
      </c>
      <c r="J27" s="16692"/>
      <c r="K27" s="16693"/>
      <c r="L27" s="16694"/>
    </row>
    <row r="28" spans="1:12">
      <c r="A28" s="16695">
        <v>46181</v>
      </c>
      <c r="B28" s="16819">
        <f t="shared" ref="B28:B30" si="1">G27+H27</f>
      </c>
      <c r="C28" s="16696">
        <f>SUMIFS(Captura_Jalisco!$G:$G, Captura_Jalisco!$B:$B, "Salida", Captura_Jalisco!$A:$A, "&gt;="&amp;A28, Captura_Jalisco!$A:$A, "&lt;="&amp;(A28+6))</f>
      </c>
      <c r="D28" s="16697">
        <f>$E$3</f>
      </c>
      <c r="E28" s="16698">
        <f>C28*D28</f>
      </c>
      <c r="F28" s="16699">
        <f>SUMIFS(Captura_Jalisco!$N:$N, Captura_Jalisco!$A:$A, "&gt;="&amp;A28, Captura_Jalisco!$A:$A, "&lt;="&amp;(A28+6))</f>
      </c>
      <c r="G28" s="16700">
        <f>B28-E28-F28</f>
      </c>
      <c r="H28" s="16701">
        <v>0</v>
      </c>
      <c r="I28" s="16702">
        <f>I27+C28</f>
      </c>
      <c r="J28" s="16703"/>
      <c r="K28" s="16704"/>
      <c r="L28" s="16705"/>
    </row>
    <row r="29" spans="1:12">
      <c r="A29" s="16706">
        <v>46188</v>
      </c>
      <c r="B29" s="16684">
        <f t="shared" si="1"/>
      </c>
      <c r="C29" s="16707">
        <f>SUMIFS(Captura_Jalisco!$G:$G, Captura_Jalisco!$B:$B, "Salida", Captura_Jalisco!$A:$A, "&gt;="&amp;A29, Captura_Jalisco!$A:$A, "&lt;="&amp;(A29+6))</f>
      </c>
      <c r="D29" s="16708">
        <f>$E$3</f>
      </c>
      <c r="E29" s="16709">
        <f>C29*D29</f>
      </c>
      <c r="F29" s="16710">
        <v>5660</v>
      </c>
      <c r="G29" s="16711">
        <f>B29-E29-F29</f>
      </c>
      <c r="H29" s="16712">
        <v>40500</v>
      </c>
      <c r="I29" s="16713">
        <f>I28+C29</f>
      </c>
      <c r="J29" s="16714"/>
      <c r="K29" s="16715"/>
      <c r="L29" s="16716"/>
    </row>
    <row r="30" spans="1:12">
      <c r="A30" s="16717">
        <v>46195</v>
      </c>
      <c r="B30" s="16820">
        <f t="shared" si="1"/>
      </c>
      <c r="C30" s="16718">
        <f>SUMIFS(Captura_Jalisco!$G:$G, Captura_Jalisco!$B:$B, "Salida", Captura_Jalisco!$A:$A, "&gt;="&amp;A30, Captura_Jalisco!$A:$A, "&lt;="&amp;(A30+6))</f>
      </c>
      <c r="D30" s="16719">
        <f>$E$3</f>
      </c>
      <c r="E30" s="16720">
        <f>C30*D30</f>
      </c>
      <c r="F30" s="16721">
        <v>3000</v>
      </c>
      <c r="G30" s="16722">
        <f>B30-E30-F30</f>
      </c>
      <c r="H30" s="16723">
        <v>0</v>
      </c>
      <c r="I30" s="16724">
        <f>I29+C30</f>
      </c>
      <c r="J30" s="16725"/>
      <c r="K30" s="16726"/>
      <c r="L30" s="16727"/>
    </row>
    <row r="31" spans="1:12">
      <c r="A31" t="s" s="16728">
        <v>187</v>
      </c>
      <c r="B31" s="16729">
        <f>B26</f>
      </c>
      <c r="C31" s="16730">
        <f>SUM(C26:C30)</f>
      </c>
      <c r="D31" s="16731"/>
      <c r="E31" s="16732">
        <f>SUM(E26:E30)</f>
      </c>
      <c r="F31" s="16733">
        <f>SUM(F26:F30)</f>
      </c>
      <c r="G31" s="16734">
        <f>G30</f>
      </c>
      <c r="H31" s="16735">
        <f>SUM(H26:H30)</f>
      </c>
      <c r="I31" s="16736">
        <f>I30</f>
      </c>
      <c r="J31" s="16737"/>
      <c r="K31" s="16738"/>
      <c r="L31" s="16739"/>
    </row>
    <row r="32" spans="1:12">
      <c r="A32" s="16740"/>
      <c r="B32" s="16741"/>
      <c r="C32" s="16742"/>
      <c r="D32" s="16743"/>
      <c r="E32" s="16744"/>
      <c r="F32" s="16745"/>
      <c r="G32" s="16746"/>
      <c r="H32" s="16747"/>
      <c r="I32" s="16748"/>
      <c r="J32" s="16749"/>
      <c r="K32" s="16750"/>
      <c r="L32" s="16751"/>
    </row>
    <row r="33" spans="1:12">
      <c r="A33" s="16752"/>
      <c r="B33" s="16753"/>
      <c r="C33" s="16754"/>
      <c r="D33" s="16755"/>
      <c r="E33" s="16756"/>
      <c r="F33" s="16757"/>
      <c r="G33" s="16758"/>
      <c r="H33" s="16759"/>
      <c r="I33" s="16760"/>
      <c r="J33" s="16761"/>
      <c r="K33" s="16762"/>
      <c r="L33" s="16763"/>
    </row>
    <row r="34" spans="1:12" ht="19.95" customHeight="1">
      <c r="A34" t="s" s="25342">
        <v>782</v>
      </c>
      <c r="B34" s="25343"/>
      <c r="C34" s="25344"/>
      <c r="D34" s="25345"/>
      <c r="E34" s="25346"/>
      <c r="F34" s="25347"/>
      <c r="G34" s="16764"/>
      <c r="H34" s="16765"/>
      <c r="I34" s="16766"/>
      <c r="J34" s="16767"/>
      <c r="K34" s="16768"/>
      <c r="L34" s="16769"/>
    </row>
    <row r="35" spans="1:12" ht="34.950000000000003" customHeight="1">
      <c r="A35" t="s" s="16770">
        <v>460</v>
      </c>
      <c r="B35" t="s" s="16771">
        <v>783</v>
      </c>
      <c r="C35" t="s" s="16772">
        <v>784</v>
      </c>
      <c r="D35" t="s" s="16773">
        <v>785</v>
      </c>
      <c r="E35" t="s" s="16774">
        <v>786</v>
      </c>
      <c r="F35" t="s" s="16775">
        <v>787</v>
      </c>
      <c r="G35" s="16776"/>
      <c r="H35" s="16777"/>
      <c r="I35" s="16778"/>
      <c r="J35" s="16779"/>
      <c r="K35" s="16780"/>
      <c r="L35" s="16781"/>
    </row>
    <row r="36" spans="1:12">
      <c r="A36" t="s" s="16782">
        <v>788</v>
      </c>
      <c r="B36" s="16783">
        <v>0</v>
      </c>
      <c r="C36" s="16784">
        <f>SUMIFS(Captura_Pegaso!$G:$G, Captura_Pegaso!$B:$B, "Entrada", Captura_Pegaso!$M:$M, 25)</f>
      </c>
      <c r="D36" s="16785">
        <f>SUMIFS(Captura_Obra!$F:$F, Captura_Obra!$M:$M, 25, Captura_Obra!$B:$B, "Maquinaria Pegaso")+SUMIFS(Captura_Obra!$F:$F, Captura_Obra!$M:$M, 25, Captura_Obra!$B:$B, "Lerma - Tres Marías")+SUMIFS(Captura_Obra!$F:$F, Captura_Obra!$M:$M, 25, Captura_Obra!$B:$B, "Chamapa-Lechería")+SUMIFS(Captura_Obra!$F:$F, Captura_Obra!$M:$M, 25, Captura_Obra!$B:$B, "Bacheo Toluca")+SUMIFS(Captura_Obra!$F:$F, Captura_Obra!$M:$M, 25, Captura_Obra!$B:$B, "Dragones")+SUMIFS(Captura_Obra!$F:$F, Captura_Obra!$M:$M, 25, Captura_Obra!$B:$B, "Colegio Militar")+SUMIFS(Captura_Obra!$F:$F, Captura_Obra!$M:$M, 25, Captura_Obra!$B:$B, "NO DETECTADA")</f>
      </c>
      <c r="E36" s="16786">
        <f>B36+C36-D36</f>
      </c>
      <c r="F36" s="16787">
        <f>IF(E36&lt;=50, "📭 VACÍO (Reserva Agotada)", "🔋 Con Reserva (" &amp; TEXT(E36, "#,##0") &amp; " L)")</f>
      </c>
      <c r="G36" s="16788"/>
      <c r="H36" s="16789"/>
      <c r="I36" s="16790"/>
      <c r="J36" s="16791"/>
      <c r="K36" s="16792"/>
      <c r="L36" s="16793"/>
    </row>
    <row r="37" spans="1:12">
      <c r="A37" t="s" s="16794">
        <v>789</v>
      </c>
      <c r="B37" s="16795">
        <v>6036.15</v>
      </c>
      <c r="C37" s="16796">
        <v>0</v>
      </c>
      <c r="D37" s="16797">
        <f>SUMIFS(Captura_Obra!$F:$F, Captura_Obra!$M:$M, 26, Captura_Obra!$B:$B, "Maquinaria Pegaso")+SUMIFS(Captura_Obra!$F:$F, Captura_Obra!$M:$M, 26, Captura_Obra!$B:$B, "Lerma - Tres Marías")+SUMIFS(Captura_Obra!$F:$F, Captura_Obra!$M:$M, 26, Captura_Obra!$B:$B, "Chamapa-Lechería")+SUMIFS(Captura_Obra!$F:$F, Captura_Obra!$M:$M, 26, Captura_Obra!$B:$B, "Bacheo Toluca")+SUMIFS(Captura_Obra!$F:$F, Captura_Obra!$M:$M, 26, Captura_Obra!$B:$B, "Dragones")+SUMIFS(Captura_Obra!$F:$F, Captura_Obra!$M:$M, 26, Captura_Obra!$B:$B, "Colegio Militar")+SUMIFS(Captura_Obra!$F:$F, Captura_Obra!$M:$M, 26, Captura_Obra!$B:$B, "NO DETECTADA")</f>
      </c>
      <c r="E37" s="16798">
        <f>B37+C37-D37</f>
      </c>
      <c r="F37" s="16799">
        <f>IF(E37&lt;=50, "📭 VACÍO (Reserva Agotada)", "🔋 Con Reserva (" &amp; TEXT(E37, "#,##0") &amp; " L)")</f>
      </c>
      <c r="G37" s="16800"/>
      <c r="H37" s="16801"/>
      <c r="I37" s="16802"/>
      <c r="J37" s="16803"/>
      <c r="K37" s="16804"/>
      <c r="L37" s="16805"/>
    </row>
    <row r="38" spans="1:12">
      <c r="A38" t="s" s="16821">
        <v>790</v>
      </c>
      <c r="B38" s="16822">
        <f>E37</f>
      </c>
      <c r="C38" s="16823">
        <f>SUMIFS(Captura_Pegaso!$G:$G, Captura_Pegaso!$B:$B, "Entrada", Captura_Pegaso!$M:$M, 27)</f>
      </c>
      <c r="D38" s="16824">
        <f>SUMIFS(Captura_Obra!$F:$F, Captura_Obra!$M:$M, 27, Captura_Obra!$B:$B, "Maquinaria Pegaso")+SUMIFS(Captura_Obra!$F:$F, Captura_Obra!$M:$M, 27, Captura_Obra!$B:$B, "Lerma - Tres Marías")+SUMIFS(Captura_Obra!$F:$F, Captura_Obra!$M:$M, 27, Captura_Obra!$B:$B, "Chamapa-Lechería")+SUMIFS(Captura_Obra!$F:$F, Captura_Obra!$M:$M, 27, Captura_Obra!$B:$B, "Bacheo Toluca")+SUMIFS(Captura_Obra!$F:$F, Captura_Obra!$M:$M, 27, Captura_Obra!$B:$B, "Dragones")+SUMIFS(Captura_Obra!$F:$F, Captura_Obra!$M:$M, 27, Captura_Obra!$B:$B, "Colegio Militar")+SUMIFS(Captura_Obra!$F:$F, Captura_Obra!$M:$M, 27, Captura_Obra!$B:$B, "NO DETECTADA")</f>
      </c>
      <c r="E38" s="16825">
        <f>B38+C38-D38</f>
      </c>
      <c r="F38" s="16826">
        <f>IF(E38&lt;=50, "📭 VACÍO (Reserva Agotada)", "🔋 Con Reserva (" &amp; TEXT(E38, "#,##0") &amp; " L)")</f>
      </c>
      <c r="G38" s="16806"/>
      <c r="H38" s="16807"/>
      <c r="I38" s="16808"/>
      <c r="J38" s="16809"/>
      <c r="K38" s="16810"/>
      <c r="L38" s="16811"/>
    </row>
    <row r="39" spans="1:12">
      <c r="A39" s="16827"/>
      <c r="B39" s="16828"/>
      <c r="C39" s="16829"/>
      <c r="D39" s="16830"/>
      <c r="E39" s="16831"/>
      <c r="F39" s="16832"/>
      <c r="G39" s="16812"/>
      <c r="H39" s="16813"/>
      <c r="I39" s="16814"/>
      <c r="J39" s="16815"/>
      <c r="K39" s="16816"/>
      <c r="L39" s="16817"/>
    </row>
    <row r="40" spans="1:12">
      <c r="A40" s="17295"/>
      <c r="B40" s="17296"/>
      <c r="C40" s="17297"/>
      <c r="D40" s="17298"/>
      <c r="E40" s="17299"/>
      <c r="F40" s="17300"/>
      <c r="G40" s="17301"/>
      <c r="H40" s="17302"/>
      <c r="I40" s="17303"/>
      <c r="J40" s="17304"/>
      <c r="K40" s="17305"/>
      <c r="L40" s="17306"/>
    </row>
    <row r="41" spans="1:12" ht="19.95" customHeight="1">
      <c r="A41" t="s" s="25334">
        <v>796</v>
      </c>
      <c r="B41" s="25335"/>
      <c r="C41" s="25336"/>
      <c r="D41" s="25337"/>
      <c r="E41" s="25338"/>
      <c r="F41" s="25339"/>
      <c r="G41" s="25340"/>
      <c r="H41" s="25341"/>
      <c r="I41" s="17307"/>
      <c r="J41" s="17308"/>
      <c r="K41" s="17309"/>
      <c r="L41" s="17310"/>
    </row>
    <row r="42" spans="1:12" ht="25.05" customHeight="1">
      <c r="A42" t="s" s="25325">
        <v>824</v>
      </c>
      <c r="B42" t="s" s="25326">
        <v>791</v>
      </c>
      <c r="C42" t="s" s="25327">
        <v>792</v>
      </c>
      <c r="D42" t="s" s="25328">
        <v>793</v>
      </c>
      <c r="E42" t="s" s="25329">
        <v>794</v>
      </c>
      <c r="F42" t="s" s="25330">
        <v>788</v>
      </c>
      <c r="G42" t="s" s="25331">
        <v>789</v>
      </c>
      <c r="H42" t="s" s="25332">
        <v>795</v>
      </c>
      <c r="I42" s="25333"/>
      <c r="J42" s="17311"/>
      <c r="K42" s="17312"/>
      <c r="L42" s="17313"/>
    </row>
    <row r="43" spans="1:12" ht="28.8">
      <c r="A43" t="s" s="17668">
        <v>425</v>
      </c>
      <c r="B43" t="s" s="17669">
        <v>134</v>
      </c>
      <c r="C43" t="s" s="17670">
        <v>825</v>
      </c>
      <c r="D43" t="s" s="17671">
        <v>826</v>
      </c>
      <c r="E43" t="s" s="17672">
        <v>827</v>
      </c>
      <c r="F43" t="s" s="17673">
        <v>828</v>
      </c>
      <c r="G43" t="s" s="17674">
        <v>829</v>
      </c>
      <c r="H43" t="s" s="17675">
        <v>830</v>
      </c>
      <c r="I43" t="s" s="17676">
        <v>831</v>
      </c>
      <c r="J43" t="s" s="17677">
        <v>832</v>
      </c>
      <c r="K43" s="17314"/>
      <c r="L43" s="17315"/>
    </row>
    <row r="44" spans="1:12">
      <c r="A44" t="s" s="17655">
        <v>1</v>
      </c>
      <c r="B44" s="17678">
        <f>SUMIFS(Solicitudes!$F:$F, Solicitudes!$B:$B, A44, Solicitudes!$K:$K, $B$3)</f>
      </c>
      <c r="C44" s="17679">
        <f>IF($B$3=26, 2750, 0)</f>
      </c>
      <c r="D44" s="17680">
        <f>SUMIFS(Captura_Obra!$F:$F, Captura_Obra!$B:$B, A44, Captura_Obra!$M:$M, $B$3)</f>
      </c>
      <c r="E44" s="17681">
        <f>STDEV(SUMIFS(Captura_Obra!$F:$F,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</c>
      <c r="F44" s="17682">
        <f t="shared" ref="F44:F49" si="2">IF(B44&gt;0, (D44-B44)/B44, 0)</f>
      </c>
      <c r="G44" s="17683">
        <f t="shared" ref="G44:G49" si="3">IF(C44&gt;0, (D44-C44)/C44, 0)</f>
      </c>
      <c r="H44" s="17684">
        <f>AVERAGE(SUMIFS(Solicitudes!$F:$F, Solicitudes!$B:$B, A44, Solicitudes!$C:$C, $M$2+0), SUMIFS(Solicitudes!$F:$F, Solicitudes!$B:$B, A44, Solicitudes!$C:$C, $M$2+1), SUMIFS(Solicitudes!$F:$F, Solicitudes!$B:$B, A44, Solicitudes!$C:$C, $M$2+2), SUMIFS(Solicitudes!$F:$F, Solicitudes!$B:$B, A44, Solicitudes!$C:$C, $M$2+3), SUMIFS(Solicitudes!$F:$F, Solicitudes!$B:$B, A44, Solicitudes!$C:$C, $M$2+4), SUMIFS(Solicitudes!$F:$F, Solicitudes!$B:$B, A44, Solicitudes!$C:$C, $M$2+5), SUMIFS(Solicitudes!$F:$F, Solicitudes!$B:$B, A44, Solicitudes!$C:$C, $M$2+6))</f>
      </c>
      <c r="I44" s="17685">
        <f t="shared" ref="I44:I49" si="4">IF(C44&gt;0, C44/6, 0)</f>
      </c>
      <c r="J44" s="17686">
        <f>AVERAGE(SUMIFS(Captura_Obra!$F:$F,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</c>
      <c r="K44" s="17316"/>
      <c r="L44" s="17317"/>
    </row>
    <row r="45" spans="1:12">
      <c r="A45" t="s" s="17656">
        <v>124</v>
      </c>
      <c r="B45" s="17687">
        <f>SUMIFS(Solicitudes!$F:$F, Solicitudes!$B:$B, "*Huixquilucan*", Solicitudes!$K:$K, $B$3)</f>
      </c>
      <c r="C45" s="17688">
        <f>IF($B$3=26, 2500, 0)</f>
      </c>
      <c r="D45" s="17689">
        <f>SUMIFS(Captura_Obra!$F:$F, Captura_Obra!$B:$B, A45, Captura_Obra!$M:$M, $B$3)</f>
      </c>
      <c r="E45" s="17690">
        <f>STDEV(SUMIFS(Captura_Obra!$F:$F,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</c>
      <c r="F45" s="17691">
        <f t="shared" si="2"/>
      </c>
      <c r="G45" s="17692">
        <f t="shared" si="3"/>
      </c>
      <c r="H45" s="17693">
        <f>AVERAGE(SUMIFS(Solicitudes!$F:$F, Solicitudes!$B:$B, "*Huixquilucan*", Solicitudes!$C:$C, $M$2+0), SUMIFS(Solicitudes!$F:$F, Solicitudes!$B:$B, "*Huixquilucan*", Solicitudes!$C:$C, $M$2+1), SUMIFS(Solicitudes!$F:$F, Solicitudes!$B:$B, "*Huixquilucan*", Solicitudes!$C:$C, $M$2+2), SUMIFS(Solicitudes!$F:$F, Solicitudes!$B:$B, "*Huixquilucan*", Solicitudes!$C:$C, $M$2+3), SUMIFS(Solicitudes!$F:$F, Solicitudes!$B:$B, "*Huixquilucan*", Solicitudes!$C:$C, $M$2+4), SUMIFS(Solicitudes!$F:$F, Solicitudes!$B:$B, "*Huixquilucan*", Solicitudes!$C:$C, $M$2+5), SUMIFS(Solicitudes!$F:$F, Solicitudes!$B:$B, "*Huixquilucan*", Solicitudes!$C:$C, $M$2+6))</f>
      </c>
      <c r="I45" s="17694">
        <f t="shared" si="4"/>
      </c>
      <c r="J45" s="17695">
        <f>AVERAGE(SUMIFS(Captura_Obra!$F:$F,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</c>
      <c r="K45" s="17318"/>
      <c r="L45" s="17319"/>
    </row>
    <row r="46" spans="1:12">
      <c r="A46" t="s" s="17657">
        <v>2</v>
      </c>
      <c r="B46" s="17696">
        <f>SUMIFS(Solicitudes!$F:$F, Solicitudes!$B:$B, A46, Solicitudes!$K:$K, $B$3)</f>
      </c>
      <c r="C46" s="17697">
        <f>IF($B$3=26, 2000, 0)</f>
      </c>
      <c r="D46" s="17698">
        <f>SUMIFS(Captura_Obra!$F:$F, Captura_Obra!$B:$B, A46, Captura_Obra!$M:$M, $B$3)</f>
      </c>
      <c r="E46" s="17699">
        <f>STDEV(SUMIFS(Captura_Obra!$F:$F,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</c>
      <c r="F46" s="17700">
        <f t="shared" si="2"/>
      </c>
      <c r="G46" s="17701">
        <f t="shared" si="3"/>
      </c>
      <c r="H46" s="17702">
        <f>AVERAGE(SUMIFS(Solicitudes!$F:$F, Solicitudes!$B:$B, A46, Solicitudes!$C:$C, $M$2+0), SUMIFS(Solicitudes!$F:$F, Solicitudes!$B:$B, A46, Solicitudes!$C:$C, $M$2+1), SUMIFS(Solicitudes!$F:$F, Solicitudes!$B:$B, A46, Solicitudes!$C:$C, $M$2+2), SUMIFS(Solicitudes!$F:$F, Solicitudes!$B:$B, A46, Solicitudes!$C:$C, $M$2+3), SUMIFS(Solicitudes!$F:$F, Solicitudes!$B:$B, A46, Solicitudes!$C:$C, $M$2+4), SUMIFS(Solicitudes!$F:$F, Solicitudes!$B:$B, A46, Solicitudes!$C:$C, $M$2+5), SUMIFS(Solicitudes!$F:$F, Solicitudes!$B:$B, A46, Solicitudes!$C:$C, $M$2+6))</f>
      </c>
      <c r="I46" s="17703">
        <f t="shared" si="4"/>
      </c>
      <c r="J46" s="17704">
        <f>AVERAGE(SUMIFS(Captura_Obra!$F:$F,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</c>
      <c r="K46" s="17320"/>
      <c r="L46" s="17321"/>
    </row>
    <row r="47" spans="1:12">
      <c r="A47" t="s" s="17658">
        <v>400</v>
      </c>
      <c r="B47" s="17705">
        <f>SUMIFS(Solicitudes!$F:$F, Solicitudes!$B:$B, A47, Solicitudes!$K:$K, $B$3)</f>
      </c>
      <c r="C47" s="17706">
        <f>IF($B$3=26, 1600, 0)</f>
      </c>
      <c r="D47" s="17707">
        <f>SUMIFS(Captura_Obra!$F:$F, Captura_Obra!$B:$B, A47, Captura_Obra!$M:$M, $B$3)</f>
      </c>
      <c r="E47" s="17708">
        <f>STDEV(SUMIFS(Captura_Obra!$F:$F,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</c>
      <c r="F47" s="17709">
        <f t="shared" si="2"/>
      </c>
      <c r="G47" s="17710">
        <f t="shared" si="3"/>
      </c>
      <c r="H47" s="17711">
        <f>AVERAGE(SUMIFS(Solicitudes!$F:$F, Solicitudes!$B:$B, A47, Solicitudes!$C:$C, $M$2+0), SUMIFS(Solicitudes!$F:$F, Solicitudes!$B:$B, A47, Solicitudes!$C:$C, $M$2+1), SUMIFS(Solicitudes!$F:$F, Solicitudes!$B:$B, A47, Solicitudes!$C:$C, $M$2+2), SUMIFS(Solicitudes!$F:$F, Solicitudes!$B:$B, A47, Solicitudes!$C:$C, $M$2+3), SUMIFS(Solicitudes!$F:$F, Solicitudes!$B:$B, A47, Solicitudes!$C:$C, $M$2+4), SUMIFS(Solicitudes!$F:$F, Solicitudes!$B:$B, A47, Solicitudes!$C:$C, $M$2+5), SUMIFS(Solicitudes!$F:$F, Solicitudes!$B:$B, A47, Solicitudes!$C:$C, $M$2+6))</f>
      </c>
      <c r="I47" s="17712">
        <f t="shared" si="4"/>
      </c>
      <c r="J47" s="17713">
        <f>AVERAGE(SUMIFS(Captura_Obra!$F:$F,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</c>
      <c r="K47" s="17322"/>
      <c r="L47" s="17323"/>
    </row>
    <row r="48" spans="1:12">
      <c r="A48" t="s" s="17659">
        <v>111</v>
      </c>
      <c r="B48" s="17714">
        <f>SUMIFS(Solicitudes!$F:$F, Solicitudes!$B:$B, A48, Solicitudes!$K:$K, $B$3)</f>
      </c>
      <c r="C48" s="17715">
        <f>IF($B$3=26, 500, 0)</f>
      </c>
      <c r="D48" s="17716">
        <f>SUMIFS(Captura_Obra!$F:$F, Captura_Obra!$B:$B, A48, Captura_Obra!$M:$M, $B$3)</f>
      </c>
      <c r="E48" s="17717">
        <f>STDEV(SUMIFS(Captura_Obra!$F:$F,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</c>
      <c r="F48" s="17718">
        <f t="shared" si="2"/>
      </c>
      <c r="G48" s="17719">
        <f t="shared" si="3"/>
      </c>
      <c r="H48" s="17720">
        <f>AVERAGE(SUMIFS(Solicitudes!$F:$F, Solicitudes!$B:$B, A48, Solicitudes!$C:$C, $M$2+0), SUMIFS(Solicitudes!$F:$F, Solicitudes!$B:$B, A48, Solicitudes!$C:$C, $M$2+1), SUMIFS(Solicitudes!$F:$F, Solicitudes!$B:$B, A48, Solicitudes!$C:$C, $M$2+2), SUMIFS(Solicitudes!$F:$F, Solicitudes!$B:$B, A48, Solicitudes!$C:$C, $M$2+3), SUMIFS(Solicitudes!$F:$F, Solicitudes!$B:$B, A48, Solicitudes!$C:$C, $M$2+4), SUMIFS(Solicitudes!$F:$F, Solicitudes!$B:$B, A48, Solicitudes!$C:$C, $M$2+5), SUMIFS(Solicitudes!$F:$F, Solicitudes!$B:$B, A48, Solicitudes!$C:$C, $M$2+6))</f>
      </c>
      <c r="I48" s="17721">
        <f t="shared" si="4"/>
      </c>
      <c r="J48" s="17722">
        <f>AVERAGE(SUMIFS(Captura_Obra!$F:$F,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</c>
      <c r="K48" s="17324"/>
      <c r="L48" s="17325"/>
    </row>
    <row r="49" spans="1:12">
      <c r="A49" t="s" s="17660">
        <v>174</v>
      </c>
      <c r="B49" s="17661">
        <f t="shared" ref="B49:D49" si="5">SUM(B44:B48)</f>
      </c>
      <c r="C49" s="17662">
        <f t="shared" si="5"/>
      </c>
      <c r="D49" s="17663">
        <f t="shared" si="5"/>
      </c>
      <c r="E49" s="17723">
        <f>STDEV(SUMIFS(Captura_Obra!$F:$F,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</c>
      <c r="F49" s="17724">
        <f t="shared" si="2"/>
      </c>
      <c r="G49" s="17725">
        <f t="shared" si="3"/>
      </c>
      <c r="H49" s="17664">
        <f>AVERAGE(SUMIFS(Solicitudes!$F:$F, Solicitudes!$C:$C, $M$2+0), SUMIFS(Solicitudes!$F:$F, Solicitudes!$C:$C, $M$2+1), SUMIFS(Solicitudes!$F:$F, Solicitudes!$C:$C, $M$2+2), SUMIFS(Solicitudes!$F:$F, Solicitudes!$C:$C, $M$2+3), SUMIFS(Solicitudes!$F:$F, Solicitudes!$C:$C, $M$2+4), SUMIFS(Solicitudes!$F:$F, Solicitudes!$C:$C, $M$2+5), SUMIFS(Solicitudes!$F:$F, Solicitudes!$C:$C, $M$2+6))</f>
      </c>
      <c r="I49" s="17665">
        <f t="shared" si="4"/>
      </c>
      <c r="J49" s="17726">
        <f>AVERAGE(SUMIFS(Captura_Obra!$F:$F,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</c>
      <c r="K49" s="17326"/>
      <c r="L49" s="17327"/>
    </row>
    <row r="50" spans="1:12">
      <c r="A50" s="17328"/>
      <c r="B50" s="17329"/>
      <c r="C50" s="17330"/>
      <c r="D50" s="17331"/>
      <c r="E50" s="17332"/>
      <c r="F50" s="17333"/>
      <c r="G50" s="17334"/>
      <c r="H50" s="17335"/>
      <c r="I50" s="17336"/>
      <c r="J50" s="17337"/>
      <c r="K50" s="17338"/>
      <c r="L50" s="17339"/>
    </row>
    <row r="51" spans="1:12">
      <c r="A51" s="17340"/>
      <c r="B51" s="17341"/>
      <c r="C51" s="17342"/>
      <c r="D51" s="17343"/>
      <c r="E51" s="17344"/>
      <c r="F51" s="17345"/>
      <c r="G51" s="17346"/>
      <c r="H51" s="17347"/>
      <c r="I51" s="17348"/>
      <c r="J51" s="17349"/>
      <c r="K51" s="17350"/>
      <c r="L51" s="17351"/>
    </row>
    <row r="52" spans="1:12">
      <c r="A52" s="17352"/>
      <c r="B52" s="17353"/>
      <c r="C52" s="17354"/>
      <c r="D52" s="17355"/>
      <c r="E52" s="17356"/>
      <c r="F52" s="17357"/>
      <c r="G52" s="17358"/>
      <c r="H52" s="17359"/>
      <c r="I52" s="17360"/>
      <c r="J52" s="17361"/>
      <c r="K52" s="17362"/>
      <c r="L52" s="17363"/>
    </row>
    <row r="53" spans="1:12">
      <c r="A53" s="17364"/>
      <c r="B53" s="17365"/>
      <c r="C53" s="17366"/>
      <c r="D53" s="17367"/>
      <c r="E53" s="17368"/>
      <c r="F53" s="17369"/>
      <c r="G53" s="17370"/>
      <c r="H53" s="17371"/>
      <c r="I53" s="17372"/>
      <c r="J53" s="17373"/>
      <c r="K53" s="17374"/>
      <c r="L53" s="17375"/>
    </row>
    <row r="54" spans="1:12">
      <c r="A54" s="17376"/>
      <c r="B54" s="17377"/>
      <c r="C54" s="17378"/>
      <c r="D54" s="17379"/>
      <c r="E54" s="17380"/>
      <c r="F54" s="17381"/>
      <c r="G54" s="17382"/>
      <c r="H54" s="17383"/>
      <c r="I54" s="17384"/>
      <c r="J54" s="17385"/>
      <c r="K54" s="17386"/>
      <c r="L54" s="17387"/>
    </row>
    <row r="55" spans="1:12">
      <c r="A55" s="17388"/>
      <c r="B55" s="17389"/>
      <c r="C55" s="17390"/>
      <c r="D55" s="17391"/>
      <c r="E55" s="17392"/>
      <c r="F55" s="17393"/>
      <c r="G55" s="17394"/>
      <c r="H55" s="17395"/>
      <c r="I55" s="17396"/>
      <c r="J55" s="17397"/>
      <c r="K55" s="17398"/>
      <c r="L55" s="17399"/>
    </row>
    <row r="56" spans="1:12">
      <c r="A56" s="17400"/>
      <c r="B56" s="17401"/>
      <c r="C56" s="17402"/>
      <c r="D56" s="17403"/>
      <c r="E56" s="17404"/>
      <c r="F56" s="17405"/>
      <c r="G56" s="17406"/>
      <c r="H56" s="17407"/>
      <c r="I56" s="17408"/>
      <c r="J56" s="17409"/>
      <c r="K56" s="17410"/>
      <c r="L56" s="17411"/>
    </row>
    <row r="57" spans="1:12">
      <c r="A57" s="17412"/>
      <c r="B57" s="17413"/>
      <c r="C57" s="17414"/>
      <c r="D57" s="17415"/>
      <c r="E57" s="17416"/>
      <c r="F57" s="17417"/>
      <c r="G57" s="17418"/>
      <c r="H57" s="17419"/>
      <c r="I57" s="17420"/>
      <c r="J57" s="17421"/>
      <c r="K57" s="17422"/>
      <c r="L57" s="17423"/>
    </row>
    <row r="58" spans="1:12">
      <c r="A58" s="17424"/>
      <c r="B58" s="17425"/>
      <c r="C58" s="17426"/>
      <c r="D58" s="17427"/>
      <c r="E58" s="17428"/>
      <c r="F58" s="17429"/>
      <c r="G58" s="17430"/>
      <c r="H58" s="17431"/>
      <c r="I58" s="17432"/>
      <c r="J58" s="17433"/>
      <c r="K58" s="17434"/>
      <c r="L58" s="17435"/>
    </row>
    <row r="59" spans="1:12">
      <c r="A59" s="17436"/>
      <c r="B59" s="17437"/>
      <c r="C59" s="17438"/>
      <c r="D59" s="17439"/>
      <c r="E59" s="17440"/>
      <c r="F59" s="17441"/>
      <c r="G59" s="17442"/>
      <c r="H59" s="17443"/>
      <c r="I59" s="17444"/>
      <c r="J59" s="17445"/>
      <c r="K59" s="17446"/>
      <c r="L59" s="17447"/>
    </row>
    <row r="60" spans="1:12">
      <c r="A60" s="17448"/>
      <c r="B60" s="17449"/>
      <c r="C60" s="17450"/>
      <c r="D60" s="17451"/>
      <c r="E60" s="17452"/>
      <c r="F60" s="17453"/>
      <c r="G60" s="17454"/>
      <c r="H60" s="17455"/>
      <c r="I60" s="17456"/>
      <c r="J60" s="17457"/>
      <c r="K60" s="17458"/>
      <c r="L60" s="17459"/>
    </row>
    <row r="61" spans="1:12">
      <c r="A61" s="17460"/>
      <c r="B61" s="17461"/>
      <c r="C61" s="17462"/>
      <c r="D61" s="17463"/>
      <c r="E61" s="17464"/>
      <c r="F61" s="17465"/>
      <c r="G61" s="17466"/>
      <c r="H61" s="17467"/>
      <c r="I61" s="17468"/>
      <c r="J61" s="17469"/>
      <c r="K61" s="17470"/>
      <c r="L61" s="17471"/>
    </row>
    <row r="62" spans="1:12">
      <c r="A62" s="17472"/>
      <c r="B62" s="17473"/>
      <c r="C62" s="17474"/>
      <c r="D62" s="17475"/>
      <c r="E62" s="17476"/>
      <c r="F62" s="17477"/>
      <c r="G62" s="17478"/>
      <c r="H62" s="17479"/>
      <c r="I62" s="17480"/>
      <c r="J62" s="17481"/>
      <c r="K62" s="17482"/>
      <c r="L62" s="17483"/>
    </row>
  </sheetData>
  <mergeCells count="8">
    <mergeCell ref="A42:I42"/>
    <mergeCell ref="A41:H41"/>
    <mergeCell ref="A34:F34"/>
    <mergeCell ref="A1:H1"/>
    <mergeCell ref="F3:H3"/>
    <mergeCell ref="A6:G6"/>
    <mergeCell ref="A14:G14"/>
    <mergeCell ref="A24:I2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F99E-3F84-443F-86BA-825FB9B6FEE7}">
  <dimension ref="A1:K666"/>
  <sheetViews>
    <sheetView topLeftCell="A220" workbookViewId="0"/>
  </sheetViews>
  <sheetFormatPr baseColWidth="10" defaultRowHeight="14.4"/>
  <cols>
    <col min="1" max="1" width="15" customWidth="1"/>
    <col min="2" max="2" width="10" customWidth="1"/>
    <col min="3" max="3" width="12" customWidth="1"/>
    <col min="4" max="4" width="30" customWidth="1"/>
    <col min="5" max="5" width="20" customWidth="1"/>
    <col min="6" max="6" width="30" customWidth="1"/>
    <col min="7" max="7" width="12" customWidth="1"/>
    <col min="8" max="9" width="15" customWidth="1"/>
    <col min="10" max="10" width="12" customWidth="1"/>
    <col min="11" max="11" width="40" customWidth="1"/>
  </cols>
  <sheetData>
    <row r="1" spans="1:11" ht="13.8">
      <c r="A1" s="17727" t="s">
        <v>839</v>
      </c>
      <c r="B1" s="17728" t="s">
        <v>840</v>
      </c>
      <c r="C1" s="17729" t="s">
        <v>841</v>
      </c>
      <c r="D1" s="17730" t="s">
        <v>842</v>
      </c>
      <c r="E1" s="17731" t="s">
        <v>843</v>
      </c>
      <c r="F1" s="17732" t="s">
        <v>844</v>
      </c>
      <c r="G1" s="17733" t="s">
        <v>845</v>
      </c>
      <c r="H1" s="17734" t="s">
        <v>846</v>
      </c>
      <c r="I1" s="17735" t="s">
        <v>847</v>
      </c>
      <c r="J1" s="17736" t="s">
        <v>848</v>
      </c>
      <c r="K1" s="17737" t="s">
        <v>849</v>
      </c>
    </row>
    <row r="2" spans="1:11" ht="13.8">
      <c r="A2" s="17738" t="str">
        <f t="shared" ref="A2:A65" si="0">"TK-"&amp;TEXT(ROW()-1, "00000")</f>
        <v>TK-00001</v>
      </c>
      <c r="B2" s="17739">
        <v>24</v>
      </c>
      <c r="C2" s="17740">
        <v>46181</v>
      </c>
      <c r="D2" s="17741" t="s">
        <v>1</v>
      </c>
      <c r="E2" s="17742" t="s">
        <v>850</v>
      </c>
      <c r="F2" s="17743" t="s">
        <v>851</v>
      </c>
      <c r="G2" s="17744">
        <v>200</v>
      </c>
      <c r="H2" s="17745">
        <v>27</v>
      </c>
      <c r="I2" s="17746">
        <f t="shared" ref="I2:I65" si="1">G2*H2</f>
        <v>5400</v>
      </c>
      <c r="J2" s="17747" t="s">
        <v>852</v>
      </c>
      <c r="K2" s="17748">
        <v>27</v>
      </c>
    </row>
    <row r="3" spans="1:11" ht="13.8">
      <c r="A3" s="17749" t="str">
        <f t="shared" si="0"/>
        <v>TK-00002</v>
      </c>
      <c r="B3" s="17750">
        <v>24</v>
      </c>
      <c r="C3" s="17751">
        <v>46181</v>
      </c>
      <c r="D3" s="17752" t="s">
        <v>1</v>
      </c>
      <c r="E3" s="17753" t="s">
        <v>850</v>
      </c>
      <c r="F3" s="17754" t="s">
        <v>853</v>
      </c>
      <c r="G3" s="17755">
        <v>300</v>
      </c>
      <c r="H3" s="17756">
        <v>27</v>
      </c>
      <c r="I3" s="17757">
        <f t="shared" si="1"/>
        <v>8100</v>
      </c>
      <c r="J3" s="17758" t="s">
        <v>852</v>
      </c>
      <c r="K3" s="17759">
        <v>27</v>
      </c>
    </row>
    <row r="4" spans="1:11" ht="13.8">
      <c r="A4" s="17760" t="str">
        <f t="shared" si="0"/>
        <v>TK-00003</v>
      </c>
      <c r="B4" s="17761">
        <v>24</v>
      </c>
      <c r="C4" s="17762">
        <v>46181</v>
      </c>
      <c r="D4" s="17763" t="s">
        <v>1</v>
      </c>
      <c r="E4" s="17764" t="s">
        <v>850</v>
      </c>
      <c r="F4" s="17765" t="s">
        <v>854</v>
      </c>
      <c r="G4" s="17766">
        <v>30</v>
      </c>
      <c r="H4" s="17767">
        <v>27</v>
      </c>
      <c r="I4" s="17768">
        <f t="shared" si="1"/>
        <v>810</v>
      </c>
      <c r="J4" s="17769" t="s">
        <v>852</v>
      </c>
      <c r="K4" s="17770">
        <v>27</v>
      </c>
    </row>
    <row r="5" spans="1:11" ht="13.8">
      <c r="A5" s="17771" t="str">
        <f t="shared" si="0"/>
        <v>TK-00004</v>
      </c>
      <c r="B5" s="17772">
        <v>24</v>
      </c>
      <c r="C5" s="17773">
        <v>46181</v>
      </c>
      <c r="D5" s="17774" t="s">
        <v>1</v>
      </c>
      <c r="E5" s="17775" t="s">
        <v>850</v>
      </c>
      <c r="F5" s="17776" t="s">
        <v>855</v>
      </c>
      <c r="G5" s="17777">
        <v>20</v>
      </c>
      <c r="H5" s="17778">
        <v>27</v>
      </c>
      <c r="I5" s="17779">
        <f t="shared" si="1"/>
        <v>540</v>
      </c>
      <c r="J5" s="17780" t="s">
        <v>852</v>
      </c>
      <c r="K5" s="17781">
        <v>27</v>
      </c>
    </row>
    <row r="6" spans="1:11" ht="13.8">
      <c r="A6" s="17782" t="str">
        <f t="shared" si="0"/>
        <v>TK-00005</v>
      </c>
      <c r="B6" s="17783">
        <v>24</v>
      </c>
      <c r="C6" s="17784">
        <v>46181</v>
      </c>
      <c r="D6" s="17785" t="s">
        <v>1</v>
      </c>
      <c r="E6" s="17786" t="s">
        <v>850</v>
      </c>
      <c r="F6" s="17787" t="s">
        <v>856</v>
      </c>
      <c r="G6" s="17788">
        <v>30</v>
      </c>
      <c r="H6" s="17789">
        <v>27</v>
      </c>
      <c r="I6" s="17790">
        <f t="shared" si="1"/>
        <v>810</v>
      </c>
      <c r="J6" s="17791" t="s">
        <v>852</v>
      </c>
      <c r="K6" s="17792">
        <v>27</v>
      </c>
    </row>
    <row r="7" spans="1:11" ht="13.8">
      <c r="A7" s="17793" t="str">
        <f t="shared" si="0"/>
        <v>TK-00006</v>
      </c>
      <c r="B7" s="17794">
        <v>24</v>
      </c>
      <c r="C7" s="17795">
        <v>46181</v>
      </c>
      <c r="D7" s="17796" t="s">
        <v>1</v>
      </c>
      <c r="E7" s="17797" t="s">
        <v>850</v>
      </c>
      <c r="F7" s="17798" t="s">
        <v>857</v>
      </c>
      <c r="G7" s="17799">
        <v>30</v>
      </c>
      <c r="H7" s="17800">
        <v>27</v>
      </c>
      <c r="I7" s="17801">
        <f t="shared" si="1"/>
        <v>810</v>
      </c>
      <c r="J7" s="17802" t="s">
        <v>852</v>
      </c>
      <c r="K7" s="17803">
        <v>27</v>
      </c>
    </row>
    <row r="8" spans="1:11" ht="13.8">
      <c r="A8" s="17804" t="str">
        <f t="shared" si="0"/>
        <v>TK-00007</v>
      </c>
      <c r="B8" s="17805">
        <v>24</v>
      </c>
      <c r="C8" s="17806">
        <v>46181</v>
      </c>
      <c r="D8" s="17807" t="s">
        <v>1</v>
      </c>
      <c r="E8" s="17808" t="s">
        <v>850</v>
      </c>
      <c r="F8" s="17809" t="s">
        <v>858</v>
      </c>
      <c r="G8" s="17810">
        <v>30</v>
      </c>
      <c r="H8" s="17811">
        <v>27</v>
      </c>
      <c r="I8" s="17812">
        <f t="shared" si="1"/>
        <v>810</v>
      </c>
      <c r="J8" s="17813" t="s">
        <v>852</v>
      </c>
      <c r="K8" s="17814">
        <v>27</v>
      </c>
    </row>
    <row r="9" spans="1:11" ht="13.8">
      <c r="A9" s="17815" t="str">
        <f t="shared" si="0"/>
        <v>TK-00008</v>
      </c>
      <c r="B9" s="17816">
        <v>24</v>
      </c>
      <c r="C9" s="17817">
        <v>46181</v>
      </c>
      <c r="D9" s="17818" t="s">
        <v>2</v>
      </c>
      <c r="E9" s="17819" t="s">
        <v>850</v>
      </c>
      <c r="F9" s="17820" t="s">
        <v>854</v>
      </c>
      <c r="G9" s="17821">
        <v>50</v>
      </c>
      <c r="H9" s="17822">
        <v>27</v>
      </c>
      <c r="I9" s="17823">
        <f t="shared" si="1"/>
        <v>1350</v>
      </c>
      <c r="J9" s="17824" t="s">
        <v>852</v>
      </c>
      <c r="K9" s="17825">
        <v>27</v>
      </c>
    </row>
    <row r="10" spans="1:11" ht="13.8">
      <c r="A10" s="17826" t="str">
        <f t="shared" si="0"/>
        <v>TK-00009</v>
      </c>
      <c r="B10" s="17827">
        <v>24</v>
      </c>
      <c r="C10" s="17828">
        <v>46181</v>
      </c>
      <c r="D10" s="17829" t="s">
        <v>2</v>
      </c>
      <c r="E10" s="17830" t="s">
        <v>850</v>
      </c>
      <c r="F10" s="17831" t="s">
        <v>856</v>
      </c>
      <c r="G10" s="17832">
        <v>50</v>
      </c>
      <c r="H10" s="17833">
        <v>27</v>
      </c>
      <c r="I10" s="17834">
        <f t="shared" si="1"/>
        <v>1350</v>
      </c>
      <c r="J10" s="17835" t="s">
        <v>852</v>
      </c>
      <c r="K10" s="17836">
        <v>27</v>
      </c>
    </row>
    <row r="11" spans="1:11" ht="13.8">
      <c r="A11" s="17837" t="str">
        <f t="shared" si="0"/>
        <v>TK-00010</v>
      </c>
      <c r="B11" s="17838">
        <v>24</v>
      </c>
      <c r="C11" s="17839">
        <v>46181</v>
      </c>
      <c r="D11" s="17840" t="s">
        <v>2</v>
      </c>
      <c r="E11" s="17841" t="s">
        <v>850</v>
      </c>
      <c r="F11" s="17842" t="s">
        <v>859</v>
      </c>
      <c r="G11" s="17843">
        <v>60</v>
      </c>
      <c r="H11" s="17844">
        <v>27</v>
      </c>
      <c r="I11" s="17845">
        <f t="shared" si="1"/>
        <v>1620</v>
      </c>
      <c r="J11" s="17846" t="s">
        <v>852</v>
      </c>
      <c r="K11" s="17847">
        <v>27</v>
      </c>
    </row>
    <row r="12" spans="1:11" ht="13.8">
      <c r="A12" s="17848" t="str">
        <f t="shared" si="0"/>
        <v>TK-00011</v>
      </c>
      <c r="B12" s="17849">
        <v>24</v>
      </c>
      <c r="C12" s="17850"/>
      <c r="D12" s="17851" t="s">
        <v>111</v>
      </c>
      <c r="E12" s="17852" t="s">
        <v>850</v>
      </c>
      <c r="F12" s="17853" t="s">
        <v>854</v>
      </c>
      <c r="G12" s="17854">
        <v>100</v>
      </c>
      <c r="H12" s="17855">
        <v>27</v>
      </c>
      <c r="I12" s="17856">
        <f t="shared" si="1"/>
        <v>2700</v>
      </c>
      <c r="J12" s="17857" t="s">
        <v>852</v>
      </c>
      <c r="K12" s="17858">
        <v>27</v>
      </c>
    </row>
    <row r="13" spans="1:11" ht="13.8">
      <c r="A13" s="17859" t="str">
        <f t="shared" si="0"/>
        <v>TK-00012</v>
      </c>
      <c r="B13" s="17860">
        <v>24</v>
      </c>
      <c r="C13" s="17861">
        <v>46181</v>
      </c>
      <c r="D13" s="17862" t="s">
        <v>3</v>
      </c>
      <c r="E13" s="17863" t="s">
        <v>850</v>
      </c>
      <c r="F13" s="17864" t="s">
        <v>860</v>
      </c>
      <c r="G13" s="17865">
        <v>250</v>
      </c>
      <c r="H13" s="17866">
        <v>27</v>
      </c>
      <c r="I13" s="17867">
        <f t="shared" si="1"/>
        <v>6750</v>
      </c>
      <c r="J13" s="17868" t="s">
        <v>852</v>
      </c>
      <c r="K13" s="17869">
        <v>27</v>
      </c>
    </row>
    <row r="14" spans="1:11" ht="13.8">
      <c r="A14" s="17870" t="str">
        <f t="shared" si="0"/>
        <v>TK-00013</v>
      </c>
      <c r="B14" s="17871">
        <v>24</v>
      </c>
      <c r="C14" s="17872">
        <v>46181</v>
      </c>
      <c r="D14" s="17873" t="s">
        <v>3</v>
      </c>
      <c r="E14" s="17874" t="s">
        <v>850</v>
      </c>
      <c r="F14" s="17875" t="s">
        <v>861</v>
      </c>
      <c r="G14" s="17876">
        <v>150</v>
      </c>
      <c r="H14" s="17877">
        <v>27</v>
      </c>
      <c r="I14" s="17878">
        <f t="shared" si="1"/>
        <v>4050</v>
      </c>
      <c r="J14" s="17879" t="s">
        <v>852</v>
      </c>
      <c r="K14" s="17880">
        <v>27</v>
      </c>
    </row>
    <row r="15" spans="1:11" ht="13.8">
      <c r="A15" s="17881" t="str">
        <f t="shared" si="0"/>
        <v>TK-00014</v>
      </c>
      <c r="B15" s="17882">
        <v>24</v>
      </c>
      <c r="C15" s="17883">
        <v>46181</v>
      </c>
      <c r="D15" s="17884" t="s">
        <v>3</v>
      </c>
      <c r="E15" s="17885" t="s">
        <v>850</v>
      </c>
      <c r="F15" s="17886" t="s">
        <v>862</v>
      </c>
      <c r="G15" s="17887">
        <v>40</v>
      </c>
      <c r="H15" s="17888">
        <v>27</v>
      </c>
      <c r="I15" s="17889">
        <f t="shared" si="1"/>
        <v>1080</v>
      </c>
      <c r="J15" s="17890" t="s">
        <v>852</v>
      </c>
      <c r="K15" s="17891">
        <v>27</v>
      </c>
    </row>
    <row r="16" spans="1:11" ht="13.8">
      <c r="A16" s="17892" t="str">
        <f t="shared" si="0"/>
        <v>TK-00015</v>
      </c>
      <c r="B16" s="17893">
        <v>24</v>
      </c>
      <c r="C16" s="17894">
        <v>46181</v>
      </c>
      <c r="D16" s="17895" t="s">
        <v>3</v>
      </c>
      <c r="E16" s="17896" t="s">
        <v>850</v>
      </c>
      <c r="F16" s="17897" t="s">
        <v>863</v>
      </c>
      <c r="G16" s="17898">
        <v>60</v>
      </c>
      <c r="H16" s="17899">
        <v>27</v>
      </c>
      <c r="I16" s="17900">
        <f t="shared" si="1"/>
        <v>1620</v>
      </c>
      <c r="J16" s="17901" t="s">
        <v>852</v>
      </c>
      <c r="K16" s="17902">
        <v>27</v>
      </c>
    </row>
    <row r="17" spans="1:11" ht="13.8">
      <c r="A17" s="17903" t="str">
        <f t="shared" si="0"/>
        <v>TK-00016</v>
      </c>
      <c r="B17" s="17904">
        <v>24</v>
      </c>
      <c r="C17" s="17905">
        <v>46181</v>
      </c>
      <c r="D17" s="17906" t="s">
        <v>3</v>
      </c>
      <c r="E17" s="17907" t="s">
        <v>850</v>
      </c>
      <c r="F17" s="17908" t="s">
        <v>864</v>
      </c>
      <c r="G17" s="17909">
        <v>100</v>
      </c>
      <c r="H17" s="17910">
        <v>27</v>
      </c>
      <c r="I17" s="17911">
        <f t="shared" si="1"/>
        <v>2700</v>
      </c>
      <c r="J17" s="17912" t="s">
        <v>852</v>
      </c>
      <c r="K17" s="17913">
        <v>27</v>
      </c>
    </row>
    <row r="18" spans="1:11" ht="13.8">
      <c r="A18" s="17914" t="str">
        <f t="shared" si="0"/>
        <v>TK-00017</v>
      </c>
      <c r="B18" s="17915">
        <v>24</v>
      </c>
      <c r="C18" s="17916">
        <v>46181</v>
      </c>
      <c r="D18" s="17917" t="s">
        <v>3</v>
      </c>
      <c r="E18" s="17918" t="s">
        <v>850</v>
      </c>
      <c r="F18" s="17919" t="s">
        <v>865</v>
      </c>
      <c r="G18" s="17920">
        <v>100</v>
      </c>
      <c r="H18" s="17921">
        <v>27</v>
      </c>
      <c r="I18" s="17922">
        <f t="shared" si="1"/>
        <v>2700</v>
      </c>
      <c r="J18" s="17923" t="s">
        <v>852</v>
      </c>
      <c r="K18" s="17924">
        <v>27</v>
      </c>
    </row>
    <row r="19" spans="1:11" ht="13.8">
      <c r="A19" s="17925" t="str">
        <f t="shared" si="0"/>
        <v>TK-00018</v>
      </c>
      <c r="B19" s="17926">
        <v>24</v>
      </c>
      <c r="C19" s="17927">
        <v>46181</v>
      </c>
      <c r="D19" s="17928" t="s">
        <v>3</v>
      </c>
      <c r="E19" s="17929" t="s">
        <v>850</v>
      </c>
      <c r="F19" s="17930" t="s">
        <v>858</v>
      </c>
      <c r="G19" s="17931">
        <v>20</v>
      </c>
      <c r="H19" s="17932">
        <v>27</v>
      </c>
      <c r="I19" s="17933">
        <f t="shared" si="1"/>
        <v>540</v>
      </c>
      <c r="J19" s="17934" t="s">
        <v>852</v>
      </c>
      <c r="K19" s="17935">
        <v>27</v>
      </c>
    </row>
    <row r="20" spans="1:11" ht="13.8">
      <c r="A20" s="17936" t="str">
        <f t="shared" si="0"/>
        <v>TK-00019</v>
      </c>
      <c r="B20" s="17937">
        <v>24</v>
      </c>
      <c r="C20" s="17938">
        <v>46181</v>
      </c>
      <c r="D20" s="17939" t="s">
        <v>3</v>
      </c>
      <c r="E20" s="17940" t="s">
        <v>850</v>
      </c>
      <c r="F20" s="17941" t="s">
        <v>866</v>
      </c>
      <c r="G20" s="17942">
        <v>50</v>
      </c>
      <c r="H20" s="17943">
        <v>27</v>
      </c>
      <c r="I20" s="17944">
        <f t="shared" si="1"/>
        <v>1350</v>
      </c>
      <c r="J20" s="17945" t="s">
        <v>852</v>
      </c>
      <c r="K20" s="17946">
        <v>27</v>
      </c>
    </row>
    <row r="21" spans="1:11" ht="13.8">
      <c r="A21" s="17947" t="str">
        <f t="shared" si="0"/>
        <v>TK-00020</v>
      </c>
      <c r="B21" s="17948">
        <v>24</v>
      </c>
      <c r="C21" s="17949">
        <v>46181</v>
      </c>
      <c r="D21" s="17950" t="s">
        <v>3</v>
      </c>
      <c r="E21" s="17951" t="s">
        <v>850</v>
      </c>
      <c r="F21" s="17952" t="s">
        <v>867</v>
      </c>
      <c r="G21" s="17953">
        <v>50</v>
      </c>
      <c r="H21" s="17954">
        <v>27</v>
      </c>
      <c r="I21" s="17955">
        <f t="shared" si="1"/>
        <v>1350</v>
      </c>
      <c r="J21" s="17956" t="s">
        <v>852</v>
      </c>
      <c r="K21" s="17957">
        <v>27</v>
      </c>
    </row>
    <row r="22" spans="1:11" ht="13.8">
      <c r="A22" s="17958" t="str">
        <f t="shared" si="0"/>
        <v>TK-00021</v>
      </c>
      <c r="B22" s="17959">
        <v>24</v>
      </c>
      <c r="C22" s="17960">
        <v>46181</v>
      </c>
      <c r="D22" s="17961" t="s">
        <v>3</v>
      </c>
      <c r="E22" s="17962" t="s">
        <v>850</v>
      </c>
      <c r="F22" s="17963" t="s">
        <v>868</v>
      </c>
      <c r="G22" s="17964">
        <v>50</v>
      </c>
      <c r="H22" s="17965">
        <v>27</v>
      </c>
      <c r="I22" s="17966">
        <f t="shared" si="1"/>
        <v>1350</v>
      </c>
      <c r="J22" s="17967" t="s">
        <v>852</v>
      </c>
      <c r="K22" s="17968">
        <v>27</v>
      </c>
    </row>
    <row r="23" spans="1:11" ht="13.8">
      <c r="A23" s="17969" t="str">
        <f t="shared" si="0"/>
        <v>TK-00022</v>
      </c>
      <c r="B23" s="17970">
        <v>24</v>
      </c>
      <c r="C23" s="17971">
        <v>46181</v>
      </c>
      <c r="D23" s="17972" t="s">
        <v>3</v>
      </c>
      <c r="E23" s="17973" t="s">
        <v>850</v>
      </c>
      <c r="F23" s="17974" t="s">
        <v>869</v>
      </c>
      <c r="G23" s="17975">
        <v>20</v>
      </c>
      <c r="H23" s="17976">
        <v>27</v>
      </c>
      <c r="I23" s="17977">
        <f t="shared" si="1"/>
        <v>540</v>
      </c>
      <c r="J23" s="17978" t="s">
        <v>852</v>
      </c>
      <c r="K23" s="17979">
        <v>27</v>
      </c>
    </row>
    <row r="24" spans="1:11" ht="13.8">
      <c r="A24" s="17980" t="str">
        <f t="shared" si="0"/>
        <v>TK-00023</v>
      </c>
      <c r="B24" s="17981">
        <v>24</v>
      </c>
      <c r="C24" s="17982">
        <v>46181</v>
      </c>
      <c r="D24" s="17983" t="s">
        <v>3</v>
      </c>
      <c r="E24" s="17984" t="s">
        <v>850</v>
      </c>
      <c r="F24" s="17985" t="s">
        <v>870</v>
      </c>
      <c r="G24" s="17986">
        <v>50</v>
      </c>
      <c r="H24" s="17987">
        <v>27</v>
      </c>
      <c r="I24" s="17988">
        <f t="shared" si="1"/>
        <v>1350</v>
      </c>
      <c r="J24" s="17989" t="s">
        <v>852</v>
      </c>
      <c r="K24" s="17990">
        <v>27</v>
      </c>
    </row>
    <row r="25" spans="1:11" ht="13.8">
      <c r="A25" s="17991" t="str">
        <f t="shared" si="0"/>
        <v>TK-00024</v>
      </c>
      <c r="B25" s="17992">
        <v>24</v>
      </c>
      <c r="C25" s="17993">
        <v>46181</v>
      </c>
      <c r="D25" s="17994" t="s">
        <v>3</v>
      </c>
      <c r="E25" s="17995" t="s">
        <v>850</v>
      </c>
      <c r="F25" s="17996" t="s">
        <v>871</v>
      </c>
      <c r="G25" s="17997">
        <v>40</v>
      </c>
      <c r="H25" s="17998">
        <v>27</v>
      </c>
      <c r="I25" s="17999">
        <f t="shared" si="1"/>
        <v>1080</v>
      </c>
      <c r="J25" s="18000" t="s">
        <v>852</v>
      </c>
      <c r="K25" s="18001">
        <v>27</v>
      </c>
    </row>
    <row r="26" spans="1:11" ht="13.8">
      <c r="A26" s="18002" t="str">
        <f t="shared" si="0"/>
        <v>TK-00025</v>
      </c>
      <c r="B26" s="18003">
        <v>24</v>
      </c>
      <c r="C26" s="18004">
        <v>46181</v>
      </c>
      <c r="D26" s="18005" t="s">
        <v>3</v>
      </c>
      <c r="E26" s="18006" t="s">
        <v>850</v>
      </c>
      <c r="F26" s="18007" t="s">
        <v>872</v>
      </c>
      <c r="G26" s="18008">
        <v>10</v>
      </c>
      <c r="H26" s="18009">
        <v>27</v>
      </c>
      <c r="I26" s="18010">
        <f t="shared" si="1"/>
        <v>270</v>
      </c>
      <c r="J26" s="18011" t="s">
        <v>852</v>
      </c>
      <c r="K26" s="18012">
        <v>27</v>
      </c>
    </row>
    <row r="27" spans="1:11" ht="13.8">
      <c r="A27" s="18013" t="str">
        <f t="shared" si="0"/>
        <v>TK-00026</v>
      </c>
      <c r="B27" s="18014">
        <v>24</v>
      </c>
      <c r="C27" s="18015">
        <v>46182</v>
      </c>
      <c r="D27" s="18016" t="s">
        <v>3</v>
      </c>
      <c r="E27" s="18017" t="s">
        <v>850</v>
      </c>
      <c r="F27" s="18018" t="s">
        <v>860</v>
      </c>
      <c r="G27" s="18019">
        <v>250</v>
      </c>
      <c r="H27" s="18020">
        <v>27</v>
      </c>
      <c r="I27" s="18021">
        <f t="shared" si="1"/>
        <v>6750</v>
      </c>
      <c r="J27" s="18022" t="s">
        <v>852</v>
      </c>
      <c r="K27" s="18023">
        <v>27</v>
      </c>
    </row>
    <row r="28" spans="1:11" ht="13.8">
      <c r="A28" s="18024" t="str">
        <f t="shared" si="0"/>
        <v>TK-00027</v>
      </c>
      <c r="B28" s="18025">
        <v>24</v>
      </c>
      <c r="C28" s="18026">
        <v>46182</v>
      </c>
      <c r="D28" s="18027" t="s">
        <v>3</v>
      </c>
      <c r="E28" s="18028" t="s">
        <v>850</v>
      </c>
      <c r="F28" s="18029" t="s">
        <v>862</v>
      </c>
      <c r="G28" s="18030">
        <v>40</v>
      </c>
      <c r="H28" s="18031">
        <v>27</v>
      </c>
      <c r="I28" s="18032">
        <f t="shared" si="1"/>
        <v>1080</v>
      </c>
      <c r="J28" s="18033" t="s">
        <v>852</v>
      </c>
      <c r="K28" s="18034">
        <v>27</v>
      </c>
    </row>
    <row r="29" spans="1:11" ht="13.8">
      <c r="A29" s="18035" t="str">
        <f t="shared" si="0"/>
        <v>TK-00028</v>
      </c>
      <c r="B29" s="18036">
        <v>24</v>
      </c>
      <c r="C29" s="18037">
        <v>46182</v>
      </c>
      <c r="D29" s="18038" t="s">
        <v>3</v>
      </c>
      <c r="E29" s="18039" t="s">
        <v>850</v>
      </c>
      <c r="F29" s="18040" t="s">
        <v>863</v>
      </c>
      <c r="G29" s="18041">
        <v>60</v>
      </c>
      <c r="H29" s="18042">
        <v>27</v>
      </c>
      <c r="I29" s="18043">
        <f t="shared" si="1"/>
        <v>1620</v>
      </c>
      <c r="J29" s="18044" t="s">
        <v>852</v>
      </c>
      <c r="K29" s="18045">
        <v>27</v>
      </c>
    </row>
    <row r="30" spans="1:11" ht="13.8">
      <c r="A30" s="18046" t="str">
        <f t="shared" si="0"/>
        <v>TK-00029</v>
      </c>
      <c r="B30" s="18047">
        <v>24</v>
      </c>
      <c r="C30" s="18048">
        <v>46182</v>
      </c>
      <c r="D30" s="18049" t="s">
        <v>3</v>
      </c>
      <c r="E30" s="18050" t="s">
        <v>850</v>
      </c>
      <c r="F30" s="18051" t="s">
        <v>864</v>
      </c>
      <c r="G30" s="18052">
        <v>100</v>
      </c>
      <c r="H30" s="18053">
        <v>27</v>
      </c>
      <c r="I30" s="18054">
        <f t="shared" si="1"/>
        <v>2700</v>
      </c>
      <c r="J30" s="18055" t="s">
        <v>852</v>
      </c>
      <c r="K30" s="18056">
        <v>27</v>
      </c>
    </row>
    <row r="31" spans="1:11" ht="13.8">
      <c r="A31" s="18057" t="str">
        <f t="shared" si="0"/>
        <v>TK-00030</v>
      </c>
      <c r="B31" s="18058">
        <v>24</v>
      </c>
      <c r="C31" s="18059">
        <v>46182</v>
      </c>
      <c r="D31" s="18060" t="s">
        <v>3</v>
      </c>
      <c r="E31" s="18061" t="s">
        <v>850</v>
      </c>
      <c r="F31" s="18062" t="s">
        <v>865</v>
      </c>
      <c r="G31" s="18063">
        <v>100</v>
      </c>
      <c r="H31" s="18064">
        <v>27</v>
      </c>
      <c r="I31" s="18065">
        <f t="shared" si="1"/>
        <v>2700</v>
      </c>
      <c r="J31" s="18066" t="s">
        <v>852</v>
      </c>
      <c r="K31" s="18067">
        <v>27</v>
      </c>
    </row>
    <row r="32" spans="1:11" ht="13.8">
      <c r="A32" s="18068" t="str">
        <f t="shared" si="0"/>
        <v>TK-00031</v>
      </c>
      <c r="B32" s="18069">
        <v>24</v>
      </c>
      <c r="C32" s="18070">
        <v>46182</v>
      </c>
      <c r="D32" s="18071" t="s">
        <v>3</v>
      </c>
      <c r="E32" s="18072" t="s">
        <v>850</v>
      </c>
      <c r="F32" s="18073" t="s">
        <v>858</v>
      </c>
      <c r="G32" s="18074">
        <v>20</v>
      </c>
      <c r="H32" s="18075">
        <v>27</v>
      </c>
      <c r="I32" s="18076">
        <f t="shared" si="1"/>
        <v>540</v>
      </c>
      <c r="J32" s="18077" t="s">
        <v>852</v>
      </c>
      <c r="K32" s="18078">
        <v>27</v>
      </c>
    </row>
    <row r="33" spans="1:11" ht="13.8">
      <c r="A33" s="18079" t="str">
        <f t="shared" si="0"/>
        <v>TK-00032</v>
      </c>
      <c r="B33" s="18080">
        <v>24</v>
      </c>
      <c r="C33" s="18081">
        <v>46182</v>
      </c>
      <c r="D33" s="18082" t="s">
        <v>3</v>
      </c>
      <c r="E33" s="18083" t="s">
        <v>850</v>
      </c>
      <c r="F33" s="18084" t="s">
        <v>866</v>
      </c>
      <c r="G33" s="18085">
        <v>50</v>
      </c>
      <c r="H33" s="18086">
        <v>27</v>
      </c>
      <c r="I33" s="18087">
        <f t="shared" si="1"/>
        <v>1350</v>
      </c>
      <c r="J33" s="18088" t="s">
        <v>852</v>
      </c>
      <c r="K33" s="18089">
        <v>27</v>
      </c>
    </row>
    <row r="34" spans="1:11" ht="13.8">
      <c r="A34" s="18090" t="str">
        <f t="shared" si="0"/>
        <v>TK-00033</v>
      </c>
      <c r="B34" s="18091">
        <v>24</v>
      </c>
      <c r="C34" s="18092">
        <v>46182</v>
      </c>
      <c r="D34" s="18093" t="s">
        <v>3</v>
      </c>
      <c r="E34" s="18094" t="s">
        <v>850</v>
      </c>
      <c r="F34" s="18095" t="s">
        <v>867</v>
      </c>
      <c r="G34" s="18096">
        <v>50</v>
      </c>
      <c r="H34" s="18097">
        <v>27</v>
      </c>
      <c r="I34" s="18098">
        <f t="shared" si="1"/>
        <v>1350</v>
      </c>
      <c r="J34" s="18099" t="s">
        <v>852</v>
      </c>
      <c r="K34" s="18100">
        <v>27</v>
      </c>
    </row>
    <row r="35" spans="1:11" ht="13.8">
      <c r="A35" s="18101" t="str">
        <f t="shared" si="0"/>
        <v>TK-00034</v>
      </c>
      <c r="B35" s="18102">
        <v>24</v>
      </c>
      <c r="C35" s="18103">
        <v>46182</v>
      </c>
      <c r="D35" s="18104" t="s">
        <v>3</v>
      </c>
      <c r="E35" s="18105" t="s">
        <v>850</v>
      </c>
      <c r="F35" s="18106" t="s">
        <v>868</v>
      </c>
      <c r="G35" s="18107">
        <v>50</v>
      </c>
      <c r="H35" s="18108">
        <v>27</v>
      </c>
      <c r="I35" s="18109">
        <f t="shared" si="1"/>
        <v>1350</v>
      </c>
      <c r="J35" s="18110" t="s">
        <v>852</v>
      </c>
      <c r="K35" s="18111">
        <v>27</v>
      </c>
    </row>
    <row r="36" spans="1:11" ht="13.8">
      <c r="A36" s="18112" t="str">
        <f t="shared" si="0"/>
        <v>TK-00035</v>
      </c>
      <c r="B36" s="18113">
        <v>24</v>
      </c>
      <c r="C36" s="18114">
        <v>46182</v>
      </c>
      <c r="D36" s="18115" t="s">
        <v>3</v>
      </c>
      <c r="E36" s="18116" t="s">
        <v>850</v>
      </c>
      <c r="F36" s="18117" t="s">
        <v>870</v>
      </c>
      <c r="G36" s="18118">
        <v>40</v>
      </c>
      <c r="H36" s="18119">
        <v>27</v>
      </c>
      <c r="I36" s="18120">
        <f t="shared" si="1"/>
        <v>1080</v>
      </c>
      <c r="J36" s="18121" t="s">
        <v>852</v>
      </c>
      <c r="K36" s="18122">
        <v>27</v>
      </c>
    </row>
    <row r="37" spans="1:11" ht="13.8">
      <c r="A37" s="18123" t="str">
        <f t="shared" si="0"/>
        <v>TK-00036</v>
      </c>
      <c r="B37" s="18124">
        <v>24</v>
      </c>
      <c r="C37" s="18125">
        <v>46182</v>
      </c>
      <c r="D37" s="18126" t="s">
        <v>3</v>
      </c>
      <c r="E37" s="18127" t="s">
        <v>850</v>
      </c>
      <c r="F37" s="18128" t="s">
        <v>871</v>
      </c>
      <c r="G37" s="18129">
        <v>30</v>
      </c>
      <c r="H37" s="18130">
        <v>27</v>
      </c>
      <c r="I37" s="18131">
        <f t="shared" si="1"/>
        <v>810</v>
      </c>
      <c r="J37" s="18132" t="s">
        <v>852</v>
      </c>
      <c r="K37" s="18133">
        <v>27</v>
      </c>
    </row>
    <row r="38" spans="1:11" ht="13.8">
      <c r="A38" s="18134" t="str">
        <f t="shared" si="0"/>
        <v>TK-00037</v>
      </c>
      <c r="B38" s="18135">
        <v>24</v>
      </c>
      <c r="C38" s="18136">
        <v>46182</v>
      </c>
      <c r="D38" s="18137" t="s">
        <v>2</v>
      </c>
      <c r="E38" s="18138" t="s">
        <v>850</v>
      </c>
      <c r="F38" s="18139" t="s">
        <v>854</v>
      </c>
      <c r="G38" s="18140">
        <v>50</v>
      </c>
      <c r="H38" s="18141">
        <v>27</v>
      </c>
      <c r="I38" s="18142">
        <f t="shared" si="1"/>
        <v>1350</v>
      </c>
      <c r="J38" s="18143" t="s">
        <v>852</v>
      </c>
      <c r="K38" s="18144">
        <v>27</v>
      </c>
    </row>
    <row r="39" spans="1:11" ht="13.8">
      <c r="A39" s="18145" t="str">
        <f t="shared" si="0"/>
        <v>TK-00038</v>
      </c>
      <c r="B39" s="18146">
        <v>24</v>
      </c>
      <c r="C39" s="18147">
        <v>46182</v>
      </c>
      <c r="D39" s="18148" t="s">
        <v>2</v>
      </c>
      <c r="E39" s="18149" t="s">
        <v>850</v>
      </c>
      <c r="F39" s="18150" t="s">
        <v>856</v>
      </c>
      <c r="G39" s="18151">
        <v>50</v>
      </c>
      <c r="H39" s="18152">
        <v>27</v>
      </c>
      <c r="I39" s="18153">
        <f t="shared" si="1"/>
        <v>1350</v>
      </c>
      <c r="J39" s="18154" t="s">
        <v>852</v>
      </c>
      <c r="K39" s="18155">
        <v>27</v>
      </c>
    </row>
    <row r="40" spans="1:11" ht="13.8">
      <c r="A40" s="18156" t="str">
        <f t="shared" si="0"/>
        <v>TK-00039</v>
      </c>
      <c r="B40" s="18157">
        <v>24</v>
      </c>
      <c r="C40" s="18158">
        <v>46182</v>
      </c>
      <c r="D40" s="18159" t="s">
        <v>2</v>
      </c>
      <c r="E40" s="18160" t="s">
        <v>850</v>
      </c>
      <c r="F40" s="18161" t="s">
        <v>859</v>
      </c>
      <c r="G40" s="18162">
        <v>60</v>
      </c>
      <c r="H40" s="18163">
        <v>27</v>
      </c>
      <c r="I40" s="18164">
        <f t="shared" si="1"/>
        <v>1620</v>
      </c>
      <c r="J40" s="18165" t="s">
        <v>852</v>
      </c>
      <c r="K40" s="18166">
        <v>27</v>
      </c>
    </row>
    <row r="41" spans="1:11" ht="13.8">
      <c r="A41" s="18167" t="str">
        <f t="shared" si="0"/>
        <v>TK-00040</v>
      </c>
      <c r="B41" s="18168">
        <v>24</v>
      </c>
      <c r="C41" s="18169">
        <v>46182</v>
      </c>
      <c r="D41" s="18170" t="s">
        <v>2</v>
      </c>
      <c r="E41" s="18171" t="s">
        <v>850</v>
      </c>
      <c r="F41" s="18172" t="s">
        <v>873</v>
      </c>
      <c r="G41" s="18173">
        <v>50</v>
      </c>
      <c r="H41" s="18174">
        <v>27</v>
      </c>
      <c r="I41" s="18175">
        <f t="shared" si="1"/>
        <v>1350</v>
      </c>
      <c r="J41" s="18176" t="s">
        <v>852</v>
      </c>
      <c r="K41" s="18177">
        <v>27</v>
      </c>
    </row>
    <row r="42" spans="1:11" ht="13.8">
      <c r="A42" s="18178" t="str">
        <f t="shared" si="0"/>
        <v>TK-00041</v>
      </c>
      <c r="B42" s="18179">
        <v>24</v>
      </c>
      <c r="C42" s="18180"/>
      <c r="D42" s="18181" t="s">
        <v>111</v>
      </c>
      <c r="E42" s="18182" t="s">
        <v>850</v>
      </c>
      <c r="F42" s="18183" t="s">
        <v>854</v>
      </c>
      <c r="G42" s="18184">
        <v>100</v>
      </c>
      <c r="H42" s="18185">
        <v>27</v>
      </c>
      <c r="I42" s="18186">
        <f t="shared" si="1"/>
        <v>2700</v>
      </c>
      <c r="J42" s="18187" t="s">
        <v>852</v>
      </c>
      <c r="K42" s="18188">
        <v>27</v>
      </c>
    </row>
    <row r="43" spans="1:11" ht="13.8">
      <c r="A43" s="18189" t="str">
        <f t="shared" si="0"/>
        <v>TK-00042</v>
      </c>
      <c r="B43" s="18190">
        <v>24</v>
      </c>
      <c r="C43" s="18191">
        <v>46183</v>
      </c>
      <c r="D43" s="18192" t="s">
        <v>1</v>
      </c>
      <c r="E43" s="18193" t="s">
        <v>850</v>
      </c>
      <c r="F43" s="18194" t="s">
        <v>853</v>
      </c>
      <c r="G43" s="18195">
        <v>250</v>
      </c>
      <c r="H43" s="18196">
        <v>27</v>
      </c>
      <c r="I43" s="18197">
        <f t="shared" si="1"/>
        <v>6750</v>
      </c>
      <c r="J43" s="18198" t="s">
        <v>852</v>
      </c>
      <c r="K43" s="18199">
        <v>27</v>
      </c>
    </row>
    <row r="44" spans="1:11" ht="13.8">
      <c r="A44" s="18200" t="str">
        <f t="shared" si="0"/>
        <v>TK-00043</v>
      </c>
      <c r="B44" s="18201">
        <v>24</v>
      </c>
      <c r="C44" s="18202">
        <v>46183</v>
      </c>
      <c r="D44" s="18203" t="s">
        <v>1</v>
      </c>
      <c r="E44" s="18204" t="s">
        <v>850</v>
      </c>
      <c r="F44" s="18205" t="s">
        <v>854</v>
      </c>
      <c r="G44" s="18206">
        <v>30</v>
      </c>
      <c r="H44" s="18207">
        <v>27</v>
      </c>
      <c r="I44" s="18208">
        <f t="shared" si="1"/>
        <v>810</v>
      </c>
      <c r="J44" s="18209" t="s">
        <v>852</v>
      </c>
      <c r="K44" s="18210">
        <v>27</v>
      </c>
    </row>
    <row r="45" spans="1:11" ht="13.8">
      <c r="A45" s="18211" t="str">
        <f t="shared" si="0"/>
        <v>TK-00044</v>
      </c>
      <c r="B45" s="18212">
        <v>24</v>
      </c>
      <c r="C45" s="18213">
        <v>46183</v>
      </c>
      <c r="D45" s="18214" t="s">
        <v>1</v>
      </c>
      <c r="E45" s="18215" t="s">
        <v>850</v>
      </c>
      <c r="F45" s="18216" t="s">
        <v>855</v>
      </c>
      <c r="G45" s="18217">
        <v>20</v>
      </c>
      <c r="H45" s="18218">
        <v>27</v>
      </c>
      <c r="I45" s="18219">
        <f t="shared" si="1"/>
        <v>540</v>
      </c>
      <c r="J45" s="18220" t="s">
        <v>852</v>
      </c>
      <c r="K45" s="18221">
        <v>27</v>
      </c>
    </row>
    <row r="46" spans="1:11" ht="13.8">
      <c r="A46" s="18222" t="str">
        <f t="shared" si="0"/>
        <v>TK-00045</v>
      </c>
      <c r="B46" s="18223">
        <v>24</v>
      </c>
      <c r="C46" s="18224">
        <v>46183</v>
      </c>
      <c r="D46" s="18225" t="s">
        <v>1</v>
      </c>
      <c r="E46" s="18226" t="s">
        <v>850</v>
      </c>
      <c r="F46" s="18227" t="s">
        <v>870</v>
      </c>
      <c r="G46" s="18228">
        <v>20</v>
      </c>
      <c r="H46" s="18229">
        <v>27</v>
      </c>
      <c r="I46" s="18230">
        <f t="shared" si="1"/>
        <v>540</v>
      </c>
      <c r="J46" s="18231" t="s">
        <v>852</v>
      </c>
      <c r="K46" s="18232">
        <v>27</v>
      </c>
    </row>
    <row r="47" spans="1:11" ht="13.8">
      <c r="A47" s="18233" t="str">
        <f t="shared" si="0"/>
        <v>TK-00046</v>
      </c>
      <c r="B47" s="18234">
        <v>24</v>
      </c>
      <c r="C47" s="18235">
        <v>46184</v>
      </c>
      <c r="D47" s="18236" t="s">
        <v>2</v>
      </c>
      <c r="E47" s="18237" t="s">
        <v>850</v>
      </c>
      <c r="F47" s="18238" t="s">
        <v>859</v>
      </c>
      <c r="G47" s="18239">
        <v>80</v>
      </c>
      <c r="H47" s="18240">
        <v>27</v>
      </c>
      <c r="I47" s="18241">
        <f t="shared" si="1"/>
        <v>2160</v>
      </c>
      <c r="J47" s="18242" t="s">
        <v>852</v>
      </c>
      <c r="K47" s="18243">
        <v>27</v>
      </c>
    </row>
    <row r="48" spans="1:11" ht="13.8">
      <c r="A48" s="18244" t="str">
        <f t="shared" si="0"/>
        <v>TK-00047</v>
      </c>
      <c r="B48" s="18245">
        <v>24</v>
      </c>
      <c r="C48" s="18246">
        <v>46184</v>
      </c>
      <c r="D48" s="18247" t="s">
        <v>2</v>
      </c>
      <c r="E48" s="18248" t="s">
        <v>850</v>
      </c>
      <c r="F48" s="18249" t="s">
        <v>869</v>
      </c>
      <c r="G48" s="18250">
        <v>80</v>
      </c>
      <c r="H48" s="18251">
        <v>27</v>
      </c>
      <c r="I48" s="18252">
        <f t="shared" si="1"/>
        <v>2160</v>
      </c>
      <c r="J48" s="18253" t="s">
        <v>852</v>
      </c>
      <c r="K48" s="18254">
        <v>27</v>
      </c>
    </row>
    <row r="49" spans="1:11" ht="13.8">
      <c r="A49" s="18255" t="str">
        <f t="shared" si="0"/>
        <v>TK-00048</v>
      </c>
      <c r="B49" s="18256">
        <v>24</v>
      </c>
      <c r="C49" s="18257">
        <v>46184</v>
      </c>
      <c r="D49" s="18258" t="s">
        <v>2</v>
      </c>
      <c r="E49" s="18259" t="s">
        <v>850</v>
      </c>
      <c r="F49" s="18260" t="s">
        <v>854</v>
      </c>
      <c r="G49" s="18261">
        <v>70</v>
      </c>
      <c r="H49" s="18262">
        <v>27</v>
      </c>
      <c r="I49" s="18263">
        <f t="shared" si="1"/>
        <v>1890</v>
      </c>
      <c r="J49" s="18264" t="s">
        <v>852</v>
      </c>
      <c r="K49" s="18265">
        <v>27</v>
      </c>
    </row>
    <row r="50" spans="1:11" ht="13.8">
      <c r="A50" s="18266" t="str">
        <f t="shared" si="0"/>
        <v>TK-00049</v>
      </c>
      <c r="B50" s="18267">
        <v>24</v>
      </c>
      <c r="C50" s="18268">
        <v>46184</v>
      </c>
      <c r="D50" s="18269" t="s">
        <v>2</v>
      </c>
      <c r="E50" s="18270" t="s">
        <v>850</v>
      </c>
      <c r="F50" s="18271" t="s">
        <v>873</v>
      </c>
      <c r="G50" s="18272">
        <v>40</v>
      </c>
      <c r="H50" s="18273">
        <v>27</v>
      </c>
      <c r="I50" s="18274">
        <f t="shared" si="1"/>
        <v>1080</v>
      </c>
      <c r="J50" s="18275" t="s">
        <v>852</v>
      </c>
      <c r="K50" s="18276">
        <v>27</v>
      </c>
    </row>
    <row r="51" spans="1:11" ht="13.8">
      <c r="A51" s="18277" t="str">
        <f t="shared" si="0"/>
        <v>TK-00050</v>
      </c>
      <c r="B51" s="18278">
        <v>24</v>
      </c>
      <c r="C51" s="18279">
        <v>46184</v>
      </c>
      <c r="D51" s="18280" t="s">
        <v>2</v>
      </c>
      <c r="E51" s="18281" t="s">
        <v>850</v>
      </c>
      <c r="F51" s="18282" t="s">
        <v>851</v>
      </c>
      <c r="G51" s="18283">
        <v>150</v>
      </c>
      <c r="H51" s="18284">
        <v>27</v>
      </c>
      <c r="I51" s="18285">
        <f t="shared" si="1"/>
        <v>4050</v>
      </c>
      <c r="J51" s="18286" t="s">
        <v>852</v>
      </c>
      <c r="K51" s="18287">
        <v>27</v>
      </c>
    </row>
    <row r="52" spans="1:11" ht="13.8">
      <c r="A52" s="18288" t="str">
        <f t="shared" si="0"/>
        <v>TK-00051</v>
      </c>
      <c r="B52" s="18289">
        <v>24</v>
      </c>
      <c r="C52" s="18290">
        <v>46184</v>
      </c>
      <c r="D52" s="18291" t="s">
        <v>2</v>
      </c>
      <c r="E52" s="18292" t="s">
        <v>850</v>
      </c>
      <c r="F52" s="18293" t="s">
        <v>858</v>
      </c>
      <c r="G52" s="18294">
        <v>30</v>
      </c>
      <c r="H52" s="18295">
        <v>27</v>
      </c>
      <c r="I52" s="18296">
        <f t="shared" si="1"/>
        <v>810</v>
      </c>
      <c r="J52" s="18297" t="s">
        <v>852</v>
      </c>
      <c r="K52" s="18298">
        <v>27</v>
      </c>
    </row>
    <row r="53" spans="1:11" ht="13.8">
      <c r="A53" s="18299" t="str">
        <f t="shared" si="0"/>
        <v>TK-00052</v>
      </c>
      <c r="B53" s="18300">
        <v>24</v>
      </c>
      <c r="C53" s="18301">
        <v>46184</v>
      </c>
      <c r="D53" s="18302" t="s">
        <v>2</v>
      </c>
      <c r="E53" s="18303" t="s">
        <v>850</v>
      </c>
      <c r="F53" s="18304" t="s">
        <v>872</v>
      </c>
      <c r="G53" s="18305">
        <v>10</v>
      </c>
      <c r="H53" s="18306">
        <v>27</v>
      </c>
      <c r="I53" s="18307">
        <f t="shared" si="1"/>
        <v>270</v>
      </c>
      <c r="J53" s="18308" t="s">
        <v>852</v>
      </c>
      <c r="K53" s="18309">
        <v>27</v>
      </c>
    </row>
    <row r="54" spans="1:11" ht="13.8">
      <c r="A54" s="18310" t="str">
        <f t="shared" si="0"/>
        <v>TK-00053</v>
      </c>
      <c r="B54" s="18311">
        <v>24</v>
      </c>
      <c r="C54" s="18312"/>
      <c r="D54" s="18313" t="s">
        <v>111</v>
      </c>
      <c r="E54" s="18314" t="s">
        <v>850</v>
      </c>
      <c r="F54" s="18315" t="s">
        <v>854</v>
      </c>
      <c r="G54" s="18316">
        <v>50</v>
      </c>
      <c r="H54" s="18317">
        <v>27</v>
      </c>
      <c r="I54" s="18318">
        <f t="shared" si="1"/>
        <v>1350</v>
      </c>
      <c r="J54" s="18319" t="s">
        <v>852</v>
      </c>
      <c r="K54" s="18320">
        <v>27</v>
      </c>
    </row>
    <row r="55" spans="1:11" ht="13.8">
      <c r="A55" s="18321" t="str">
        <f t="shared" si="0"/>
        <v>TK-00054</v>
      </c>
      <c r="B55" s="18322">
        <v>24</v>
      </c>
      <c r="C55" s="18323"/>
      <c r="D55" s="18324" t="s">
        <v>111</v>
      </c>
      <c r="E55" s="18325" t="s">
        <v>850</v>
      </c>
      <c r="F55" s="18326" t="s">
        <v>874</v>
      </c>
      <c r="G55" s="18327">
        <v>10</v>
      </c>
      <c r="H55" s="18328">
        <v>27</v>
      </c>
      <c r="I55" s="18329">
        <f t="shared" si="1"/>
        <v>270</v>
      </c>
      <c r="J55" s="18330" t="s">
        <v>852</v>
      </c>
      <c r="K55" s="18331">
        <v>27</v>
      </c>
    </row>
    <row r="56" spans="1:11" ht="13.8">
      <c r="A56" s="18332" t="str">
        <f t="shared" si="0"/>
        <v>TK-00055</v>
      </c>
      <c r="B56" s="18333">
        <v>24</v>
      </c>
      <c r="C56" s="18334"/>
      <c r="D56" s="18335" t="s">
        <v>111</v>
      </c>
      <c r="E56" s="18336" t="s">
        <v>850</v>
      </c>
      <c r="F56" s="18337" t="s">
        <v>858</v>
      </c>
      <c r="G56" s="18338">
        <v>10</v>
      </c>
      <c r="H56" s="18339">
        <v>27</v>
      </c>
      <c r="I56" s="18340">
        <f t="shared" si="1"/>
        <v>270</v>
      </c>
      <c r="J56" s="18341" t="s">
        <v>852</v>
      </c>
      <c r="K56" s="18342">
        <v>27</v>
      </c>
    </row>
    <row r="57" spans="1:11" ht="13.8">
      <c r="A57" s="18343" t="str">
        <f t="shared" si="0"/>
        <v>TK-00056</v>
      </c>
      <c r="B57" s="18344">
        <v>24</v>
      </c>
      <c r="C57" s="18345">
        <v>46185</v>
      </c>
      <c r="D57" s="18346" t="s">
        <v>1</v>
      </c>
      <c r="E57" s="18347" t="s">
        <v>850</v>
      </c>
      <c r="F57" s="18348" t="s">
        <v>853</v>
      </c>
      <c r="G57" s="18349">
        <v>250</v>
      </c>
      <c r="H57" s="18350">
        <v>27</v>
      </c>
      <c r="I57" s="18351">
        <f t="shared" si="1"/>
        <v>6750</v>
      </c>
      <c r="J57" s="18352" t="s">
        <v>852</v>
      </c>
      <c r="K57" s="18353">
        <v>27</v>
      </c>
    </row>
    <row r="58" spans="1:11" ht="13.8">
      <c r="A58" s="18354" t="str">
        <f t="shared" si="0"/>
        <v>TK-00057</v>
      </c>
      <c r="B58" s="18355">
        <v>24</v>
      </c>
      <c r="C58" s="18356">
        <v>46185</v>
      </c>
      <c r="D58" s="18357" t="s">
        <v>1</v>
      </c>
      <c r="E58" s="18358" t="s">
        <v>850</v>
      </c>
      <c r="F58" s="18359" t="s">
        <v>851</v>
      </c>
      <c r="G58" s="18360">
        <v>150</v>
      </c>
      <c r="H58" s="18361">
        <v>27</v>
      </c>
      <c r="I58" s="18362">
        <f t="shared" si="1"/>
        <v>4050</v>
      </c>
      <c r="J58" s="18363" t="s">
        <v>852</v>
      </c>
      <c r="K58" s="18364">
        <v>27</v>
      </c>
    </row>
    <row r="59" spans="1:11" ht="13.8">
      <c r="A59" s="18365" t="str">
        <f t="shared" si="0"/>
        <v>TK-00058</v>
      </c>
      <c r="B59" s="18366">
        <v>24</v>
      </c>
      <c r="C59" s="18367">
        <v>46185</v>
      </c>
      <c r="D59" s="18368" t="s">
        <v>1</v>
      </c>
      <c r="E59" s="18369" t="s">
        <v>850</v>
      </c>
      <c r="F59" s="18370" t="s">
        <v>857</v>
      </c>
      <c r="G59" s="18371">
        <v>40</v>
      </c>
      <c r="H59" s="18372">
        <v>27</v>
      </c>
      <c r="I59" s="18373">
        <f t="shared" si="1"/>
        <v>1080</v>
      </c>
      <c r="J59" s="18374" t="s">
        <v>852</v>
      </c>
      <c r="K59" s="18375">
        <v>27</v>
      </c>
    </row>
    <row r="60" spans="1:11" ht="13.8">
      <c r="A60" s="18376" t="str">
        <f t="shared" si="0"/>
        <v>TK-00059</v>
      </c>
      <c r="B60" s="18377">
        <v>24</v>
      </c>
      <c r="C60" s="18378">
        <v>46185</v>
      </c>
      <c r="D60" s="18379" t="s">
        <v>1</v>
      </c>
      <c r="E60" s="18380" t="s">
        <v>850</v>
      </c>
      <c r="F60" s="18381" t="s">
        <v>856</v>
      </c>
      <c r="G60" s="18382">
        <v>30</v>
      </c>
      <c r="H60" s="18383">
        <v>27</v>
      </c>
      <c r="I60" s="18384">
        <f t="shared" si="1"/>
        <v>810</v>
      </c>
      <c r="J60" s="18385" t="s">
        <v>852</v>
      </c>
      <c r="K60" s="18386">
        <v>27</v>
      </c>
    </row>
    <row r="61" spans="1:11" ht="13.8">
      <c r="A61" s="18387" t="str">
        <f t="shared" si="0"/>
        <v>TK-00060</v>
      </c>
      <c r="B61" s="18388">
        <v>24</v>
      </c>
      <c r="C61" s="18389">
        <v>46185</v>
      </c>
      <c r="D61" s="18390" t="s">
        <v>1</v>
      </c>
      <c r="E61" s="18391" t="s">
        <v>850</v>
      </c>
      <c r="F61" s="18392" t="s">
        <v>854</v>
      </c>
      <c r="G61" s="18393">
        <v>30</v>
      </c>
      <c r="H61" s="18394">
        <v>27</v>
      </c>
      <c r="I61" s="18395">
        <f t="shared" si="1"/>
        <v>810</v>
      </c>
      <c r="J61" s="18396" t="s">
        <v>852</v>
      </c>
      <c r="K61" s="18397">
        <v>27</v>
      </c>
    </row>
    <row r="62" spans="1:11" ht="13.8">
      <c r="A62" s="18398" t="str">
        <f t="shared" si="0"/>
        <v>TK-00061</v>
      </c>
      <c r="B62" s="18399">
        <v>24</v>
      </c>
      <c r="C62" s="18400">
        <v>46185</v>
      </c>
      <c r="D62" s="18401" t="s">
        <v>1</v>
      </c>
      <c r="E62" s="18402" t="s">
        <v>850</v>
      </c>
      <c r="F62" s="18403" t="s">
        <v>855</v>
      </c>
      <c r="G62" s="18404">
        <v>20</v>
      </c>
      <c r="H62" s="18405">
        <v>27</v>
      </c>
      <c r="I62" s="18406">
        <f t="shared" si="1"/>
        <v>540</v>
      </c>
      <c r="J62" s="18407" t="s">
        <v>852</v>
      </c>
      <c r="K62" s="18408">
        <v>27</v>
      </c>
    </row>
    <row r="63" spans="1:11" ht="13.8">
      <c r="A63" s="18409" t="str">
        <f t="shared" si="0"/>
        <v>TK-00062</v>
      </c>
      <c r="B63" s="18410">
        <v>24</v>
      </c>
      <c r="C63" s="18411">
        <v>46185</v>
      </c>
      <c r="D63" s="18412" t="s">
        <v>1</v>
      </c>
      <c r="E63" s="18413" t="s">
        <v>850</v>
      </c>
      <c r="F63" s="18414" t="s">
        <v>870</v>
      </c>
      <c r="G63" s="18415">
        <v>20</v>
      </c>
      <c r="H63" s="18416">
        <v>27</v>
      </c>
      <c r="I63" s="18417">
        <f t="shared" si="1"/>
        <v>540</v>
      </c>
      <c r="J63" s="18418" t="s">
        <v>852</v>
      </c>
      <c r="K63" s="18419">
        <v>27</v>
      </c>
    </row>
    <row r="64" spans="1:11" ht="13.8">
      <c r="A64" s="18420" t="str">
        <f t="shared" si="0"/>
        <v>TK-00063</v>
      </c>
      <c r="B64" s="18421">
        <v>24</v>
      </c>
      <c r="C64" s="18422">
        <v>46185</v>
      </c>
      <c r="D64" s="18423" t="s">
        <v>3</v>
      </c>
      <c r="E64" s="18424" t="s">
        <v>850</v>
      </c>
      <c r="F64" s="18425" t="s">
        <v>860</v>
      </c>
      <c r="G64" s="18426">
        <v>250</v>
      </c>
      <c r="H64" s="18427">
        <v>27</v>
      </c>
      <c r="I64" s="18428">
        <f t="shared" si="1"/>
        <v>6750</v>
      </c>
      <c r="J64" s="18429" t="s">
        <v>852</v>
      </c>
      <c r="K64" s="18430">
        <v>27</v>
      </c>
    </row>
    <row r="65" spans="1:11" ht="13.8">
      <c r="A65" s="18431" t="str">
        <f t="shared" si="0"/>
        <v>TK-00064</v>
      </c>
      <c r="B65" s="18432">
        <v>24</v>
      </c>
      <c r="C65" s="18433">
        <v>46185</v>
      </c>
      <c r="D65" s="18434" t="s">
        <v>3</v>
      </c>
      <c r="E65" s="18435" t="s">
        <v>850</v>
      </c>
      <c r="F65" s="18436" t="s">
        <v>862</v>
      </c>
      <c r="G65" s="18437">
        <v>40</v>
      </c>
      <c r="H65" s="18438">
        <v>27</v>
      </c>
      <c r="I65" s="18439">
        <f t="shared" si="1"/>
        <v>1080</v>
      </c>
      <c r="J65" s="18440" t="s">
        <v>852</v>
      </c>
      <c r="K65" s="18441">
        <v>27</v>
      </c>
    </row>
    <row r="66" spans="1:11" ht="13.8">
      <c r="A66" s="18442" t="str">
        <f t="shared" ref="A66:A129" si="2">"TK-"&amp;TEXT(ROW()-1, "00000")</f>
        <v>TK-00065</v>
      </c>
      <c r="B66" s="18443">
        <v>24</v>
      </c>
      <c r="C66" s="18444">
        <v>46185</v>
      </c>
      <c r="D66" s="18445" t="s">
        <v>3</v>
      </c>
      <c r="E66" s="18446" t="s">
        <v>850</v>
      </c>
      <c r="F66" s="18447" t="s">
        <v>863</v>
      </c>
      <c r="G66" s="18448">
        <v>60</v>
      </c>
      <c r="H66" s="18449">
        <v>27</v>
      </c>
      <c r="I66" s="18450">
        <f t="shared" ref="I66:I129" si="3">G66*H66</f>
        <v>1620</v>
      </c>
      <c r="J66" s="18451" t="s">
        <v>852</v>
      </c>
      <c r="K66" s="18452">
        <v>27</v>
      </c>
    </row>
    <row r="67" spans="1:11" ht="13.8">
      <c r="A67" s="18453" t="str">
        <f t="shared" si="2"/>
        <v>TK-00066</v>
      </c>
      <c r="B67" s="18454">
        <v>24</v>
      </c>
      <c r="C67" s="18455">
        <v>46185</v>
      </c>
      <c r="D67" s="18456" t="s">
        <v>3</v>
      </c>
      <c r="E67" s="18457" t="s">
        <v>850</v>
      </c>
      <c r="F67" s="18458" t="s">
        <v>865</v>
      </c>
      <c r="G67" s="18459">
        <v>100</v>
      </c>
      <c r="H67" s="18460">
        <v>27</v>
      </c>
      <c r="I67" s="18461">
        <f t="shared" si="3"/>
        <v>2700</v>
      </c>
      <c r="J67" s="18462" t="s">
        <v>852</v>
      </c>
      <c r="K67" s="18463">
        <v>27</v>
      </c>
    </row>
    <row r="68" spans="1:11" ht="13.8">
      <c r="A68" s="18464" t="str">
        <f t="shared" si="2"/>
        <v>TK-00067</v>
      </c>
      <c r="B68" s="18465">
        <v>24</v>
      </c>
      <c r="C68" s="18466">
        <v>46185</v>
      </c>
      <c r="D68" s="18467" t="s">
        <v>3</v>
      </c>
      <c r="E68" s="18468" t="s">
        <v>850</v>
      </c>
      <c r="F68" s="18469" t="s">
        <v>858</v>
      </c>
      <c r="G68" s="18470">
        <v>20</v>
      </c>
      <c r="H68" s="18471">
        <v>27</v>
      </c>
      <c r="I68" s="18472">
        <f t="shared" si="3"/>
        <v>540</v>
      </c>
      <c r="J68" s="18473" t="s">
        <v>852</v>
      </c>
      <c r="K68" s="18474">
        <v>27</v>
      </c>
    </row>
    <row r="69" spans="1:11" ht="13.8">
      <c r="A69" s="18475" t="str">
        <f t="shared" si="2"/>
        <v>TK-00068</v>
      </c>
      <c r="B69" s="18476">
        <v>24</v>
      </c>
      <c r="C69" s="18477">
        <v>46185</v>
      </c>
      <c r="D69" s="18478" t="s">
        <v>3</v>
      </c>
      <c r="E69" s="18479" t="s">
        <v>850</v>
      </c>
      <c r="F69" s="18480" t="s">
        <v>866</v>
      </c>
      <c r="G69" s="18481">
        <v>50</v>
      </c>
      <c r="H69" s="18482">
        <v>27</v>
      </c>
      <c r="I69" s="18483">
        <f t="shared" si="3"/>
        <v>1350</v>
      </c>
      <c r="J69" s="18484" t="s">
        <v>852</v>
      </c>
      <c r="K69" s="18485">
        <v>27</v>
      </c>
    </row>
    <row r="70" spans="1:11" ht="13.8">
      <c r="A70" s="18486" t="str">
        <f t="shared" si="2"/>
        <v>TK-00069</v>
      </c>
      <c r="B70" s="18487">
        <v>24</v>
      </c>
      <c r="C70" s="18488">
        <v>46185</v>
      </c>
      <c r="D70" s="18489" t="s">
        <v>3</v>
      </c>
      <c r="E70" s="18490" t="s">
        <v>850</v>
      </c>
      <c r="F70" s="18491" t="s">
        <v>867</v>
      </c>
      <c r="G70" s="18492">
        <v>50</v>
      </c>
      <c r="H70" s="18493">
        <v>27</v>
      </c>
      <c r="I70" s="18494">
        <f t="shared" si="3"/>
        <v>1350</v>
      </c>
      <c r="J70" s="18495" t="s">
        <v>852</v>
      </c>
      <c r="K70" s="18496">
        <v>27</v>
      </c>
    </row>
    <row r="71" spans="1:11" ht="13.8">
      <c r="A71" s="18497" t="str">
        <f t="shared" si="2"/>
        <v>TK-00070</v>
      </c>
      <c r="B71" s="18498">
        <v>24</v>
      </c>
      <c r="C71" s="18499">
        <v>46185</v>
      </c>
      <c r="D71" s="18500" t="s">
        <v>3</v>
      </c>
      <c r="E71" s="18501" t="s">
        <v>850</v>
      </c>
      <c r="F71" s="18502" t="s">
        <v>868</v>
      </c>
      <c r="G71" s="18503">
        <v>50</v>
      </c>
      <c r="H71" s="18504">
        <v>27</v>
      </c>
      <c r="I71" s="18505">
        <f t="shared" si="3"/>
        <v>1350</v>
      </c>
      <c r="J71" s="18506" t="s">
        <v>852</v>
      </c>
      <c r="K71" s="18507">
        <v>27</v>
      </c>
    </row>
    <row r="72" spans="1:11" ht="13.8">
      <c r="A72" s="18508" t="str">
        <f t="shared" si="2"/>
        <v>TK-00071</v>
      </c>
      <c r="B72" s="18509">
        <v>25</v>
      </c>
      <c r="C72" s="18510">
        <v>46188</v>
      </c>
      <c r="D72" s="18511" t="s">
        <v>1</v>
      </c>
      <c r="E72" s="18512" t="s">
        <v>850</v>
      </c>
      <c r="F72" s="18513" t="s">
        <v>860</v>
      </c>
      <c r="G72" s="18514">
        <v>250</v>
      </c>
      <c r="H72" s="18515">
        <v>27</v>
      </c>
      <c r="I72" s="18516">
        <f t="shared" si="3"/>
        <v>6750</v>
      </c>
      <c r="J72" s="18517" t="s">
        <v>852</v>
      </c>
      <c r="K72" s="18518">
        <v>27</v>
      </c>
    </row>
    <row r="73" spans="1:11" ht="13.8">
      <c r="A73" s="18519" t="str">
        <f t="shared" si="2"/>
        <v>TK-00072</v>
      </c>
      <c r="B73" s="18520">
        <v>25</v>
      </c>
      <c r="C73" s="18521">
        <v>46188</v>
      </c>
      <c r="D73" s="18522" t="s">
        <v>1</v>
      </c>
      <c r="E73" s="18523" t="s">
        <v>850</v>
      </c>
      <c r="F73" s="18524" t="s">
        <v>865</v>
      </c>
      <c r="G73" s="18525">
        <v>100</v>
      </c>
      <c r="H73" s="18526">
        <v>27</v>
      </c>
      <c r="I73" s="18527">
        <f t="shared" si="3"/>
        <v>2700</v>
      </c>
      <c r="J73" s="18528" t="s">
        <v>852</v>
      </c>
      <c r="K73" s="18529">
        <v>27</v>
      </c>
    </row>
    <row r="74" spans="1:11" ht="13.8">
      <c r="A74" s="18530" t="str">
        <f t="shared" si="2"/>
        <v>TK-00073</v>
      </c>
      <c r="B74" s="18531">
        <v>25</v>
      </c>
      <c r="C74" s="18532">
        <v>46188</v>
      </c>
      <c r="D74" s="18533" t="s">
        <v>1</v>
      </c>
      <c r="E74" s="18534" t="s">
        <v>850</v>
      </c>
      <c r="F74" s="18535" t="s">
        <v>866</v>
      </c>
      <c r="G74" s="18536">
        <v>50</v>
      </c>
      <c r="H74" s="18537">
        <v>27</v>
      </c>
      <c r="I74" s="18538">
        <f t="shared" si="3"/>
        <v>1350</v>
      </c>
      <c r="J74" s="18539" t="s">
        <v>852</v>
      </c>
      <c r="K74" s="18540">
        <v>27</v>
      </c>
    </row>
    <row r="75" spans="1:11" ht="13.8">
      <c r="A75" s="18541" t="str">
        <f t="shared" si="2"/>
        <v>TK-00074</v>
      </c>
      <c r="B75" s="18542">
        <v>25</v>
      </c>
      <c r="C75" s="18543">
        <v>46188</v>
      </c>
      <c r="D75" s="18544" t="s">
        <v>1</v>
      </c>
      <c r="E75" s="18545" t="s">
        <v>850</v>
      </c>
      <c r="F75" s="18546" t="s">
        <v>858</v>
      </c>
      <c r="G75" s="18547">
        <v>20</v>
      </c>
      <c r="H75" s="18548">
        <v>27</v>
      </c>
      <c r="I75" s="18549">
        <f t="shared" si="3"/>
        <v>540</v>
      </c>
      <c r="J75" s="18550" t="s">
        <v>852</v>
      </c>
      <c r="K75" s="18551">
        <v>27</v>
      </c>
    </row>
    <row r="76" spans="1:11" ht="13.8">
      <c r="A76" s="18552" t="str">
        <f t="shared" si="2"/>
        <v>TK-00075</v>
      </c>
      <c r="B76" s="18553">
        <v>25</v>
      </c>
      <c r="C76" s="18554">
        <v>46188</v>
      </c>
      <c r="D76" s="18555" t="s">
        <v>1</v>
      </c>
      <c r="E76" s="18556" t="s">
        <v>850</v>
      </c>
      <c r="F76" s="18557" t="s">
        <v>867</v>
      </c>
      <c r="G76" s="18558">
        <v>50</v>
      </c>
      <c r="H76" s="18559">
        <v>27</v>
      </c>
      <c r="I76" s="18560">
        <f t="shared" si="3"/>
        <v>1350</v>
      </c>
      <c r="J76" s="18561" t="s">
        <v>852</v>
      </c>
      <c r="K76" s="18562">
        <v>27</v>
      </c>
    </row>
    <row r="77" spans="1:11" ht="13.8">
      <c r="A77" s="18563" t="str">
        <f t="shared" si="2"/>
        <v>TK-00076</v>
      </c>
      <c r="B77" s="18564">
        <v>25</v>
      </c>
      <c r="C77" s="18565">
        <v>46188</v>
      </c>
      <c r="D77" s="18566" t="s">
        <v>1</v>
      </c>
      <c r="E77" s="18567" t="s">
        <v>850</v>
      </c>
      <c r="F77" s="18568" t="s">
        <v>862</v>
      </c>
      <c r="G77" s="18569">
        <v>40</v>
      </c>
      <c r="H77" s="18570">
        <v>27</v>
      </c>
      <c r="I77" s="18571">
        <f t="shared" si="3"/>
        <v>1080</v>
      </c>
      <c r="J77" s="18572" t="s">
        <v>852</v>
      </c>
      <c r="K77" s="18573">
        <v>27</v>
      </c>
    </row>
    <row r="78" spans="1:11" ht="13.8">
      <c r="A78" s="18574" t="str">
        <f t="shared" si="2"/>
        <v>TK-00077</v>
      </c>
      <c r="B78" s="18575">
        <v>25</v>
      </c>
      <c r="C78" s="18576">
        <v>46188</v>
      </c>
      <c r="D78" s="18577" t="s">
        <v>1</v>
      </c>
      <c r="E78" s="18578" t="s">
        <v>850</v>
      </c>
      <c r="F78" s="18579" t="s">
        <v>854</v>
      </c>
      <c r="G78" s="18580">
        <v>60</v>
      </c>
      <c r="H78" s="18581">
        <v>27</v>
      </c>
      <c r="I78" s="18582">
        <f t="shared" si="3"/>
        <v>1620</v>
      </c>
      <c r="J78" s="18583" t="s">
        <v>852</v>
      </c>
      <c r="K78" s="18584">
        <v>27</v>
      </c>
    </row>
    <row r="79" spans="1:11" ht="13.8">
      <c r="A79" s="18585" t="str">
        <f t="shared" si="2"/>
        <v>TK-00078</v>
      </c>
      <c r="B79" s="18586">
        <v>25</v>
      </c>
      <c r="C79" s="18587">
        <v>46188</v>
      </c>
      <c r="D79" s="18588" t="s">
        <v>1</v>
      </c>
      <c r="E79" s="18589" t="s">
        <v>850</v>
      </c>
      <c r="F79" s="18590" t="s">
        <v>868</v>
      </c>
      <c r="G79" s="18591">
        <v>50</v>
      </c>
      <c r="H79" s="18592">
        <v>27</v>
      </c>
      <c r="I79" s="18593">
        <f t="shared" si="3"/>
        <v>1350</v>
      </c>
      <c r="J79" s="18594" t="s">
        <v>852</v>
      </c>
      <c r="K79" s="18595">
        <v>27</v>
      </c>
    </row>
    <row r="80" spans="1:11" ht="13.8">
      <c r="A80" s="18596" t="str">
        <f t="shared" si="2"/>
        <v>TK-00079</v>
      </c>
      <c r="B80" s="18597">
        <v>25</v>
      </c>
      <c r="C80" s="18598">
        <v>46188</v>
      </c>
      <c r="D80" s="18599" t="s">
        <v>2</v>
      </c>
      <c r="E80" s="18600" t="s">
        <v>850</v>
      </c>
      <c r="F80" s="18601" t="s">
        <v>851</v>
      </c>
      <c r="G80" s="18602">
        <v>90</v>
      </c>
      <c r="H80" s="18603">
        <v>27</v>
      </c>
      <c r="I80" s="18604">
        <f t="shared" si="3"/>
        <v>2430</v>
      </c>
      <c r="J80" s="18605" t="s">
        <v>852</v>
      </c>
      <c r="K80" s="18606">
        <v>27</v>
      </c>
    </row>
    <row r="81" spans="1:11" ht="13.8">
      <c r="A81" s="18607" t="str">
        <f t="shared" si="2"/>
        <v>TK-00080</v>
      </c>
      <c r="B81" s="18608">
        <v>25</v>
      </c>
      <c r="C81" s="18609">
        <v>46188</v>
      </c>
      <c r="D81" s="18610" t="s">
        <v>2</v>
      </c>
      <c r="E81" s="18611" t="s">
        <v>850</v>
      </c>
      <c r="F81" s="18612" t="s">
        <v>856</v>
      </c>
      <c r="G81" s="18613">
        <v>40</v>
      </c>
      <c r="H81" s="18614">
        <v>27</v>
      </c>
      <c r="I81" s="18615">
        <f t="shared" si="3"/>
        <v>1080</v>
      </c>
      <c r="J81" s="18616" t="s">
        <v>852</v>
      </c>
      <c r="K81" s="18617">
        <v>27</v>
      </c>
    </row>
    <row r="82" spans="1:11" ht="13.8">
      <c r="A82" s="18618" t="str">
        <f t="shared" si="2"/>
        <v>TK-00081</v>
      </c>
      <c r="B82" s="18619">
        <v>25</v>
      </c>
      <c r="C82" s="18620">
        <v>46188</v>
      </c>
      <c r="D82" s="18621" t="s">
        <v>2</v>
      </c>
      <c r="E82" s="18622" t="s">
        <v>850</v>
      </c>
      <c r="F82" s="18623" t="s">
        <v>855</v>
      </c>
      <c r="G82" s="18624">
        <v>40</v>
      </c>
      <c r="H82" s="18625">
        <v>27</v>
      </c>
      <c r="I82" s="18626">
        <f t="shared" si="3"/>
        <v>1080</v>
      </c>
      <c r="J82" s="18627" t="s">
        <v>852</v>
      </c>
      <c r="K82" s="18628">
        <v>27</v>
      </c>
    </row>
    <row r="83" spans="1:11" ht="13.8">
      <c r="A83" s="18629" t="str">
        <f t="shared" si="2"/>
        <v>TK-00082</v>
      </c>
      <c r="B83" s="18630">
        <v>25</v>
      </c>
      <c r="C83" s="18631"/>
      <c r="D83" s="18632" t="s">
        <v>111</v>
      </c>
      <c r="E83" s="18633" t="s">
        <v>850</v>
      </c>
      <c r="F83" s="18634" t="s">
        <v>854</v>
      </c>
      <c r="G83" s="18635">
        <v>70</v>
      </c>
      <c r="H83" s="18636">
        <v>27</v>
      </c>
      <c r="I83" s="18637">
        <f t="shared" si="3"/>
        <v>1890</v>
      </c>
      <c r="J83" s="18638" t="s">
        <v>852</v>
      </c>
      <c r="K83" s="18639">
        <v>27</v>
      </c>
    </row>
    <row r="84" spans="1:11" ht="13.8">
      <c r="A84" s="18640" t="str">
        <f t="shared" si="2"/>
        <v>TK-00083</v>
      </c>
      <c r="B84" s="18641">
        <v>25</v>
      </c>
      <c r="C84" s="18642"/>
      <c r="D84" s="18643" t="s">
        <v>111</v>
      </c>
      <c r="E84" s="18644" t="s">
        <v>850</v>
      </c>
      <c r="F84" s="18645" t="s">
        <v>853</v>
      </c>
      <c r="G84" s="18646">
        <v>200</v>
      </c>
      <c r="H84" s="18647">
        <v>27</v>
      </c>
      <c r="I84" s="18648">
        <f t="shared" si="3"/>
        <v>5400</v>
      </c>
      <c r="J84" s="18649" t="s">
        <v>852</v>
      </c>
      <c r="K84" s="18650">
        <v>27</v>
      </c>
    </row>
    <row r="85" spans="1:11" ht="13.8">
      <c r="A85" s="18651" t="str">
        <f t="shared" si="2"/>
        <v>TK-00084</v>
      </c>
      <c r="B85" s="18652">
        <v>25</v>
      </c>
      <c r="C85" s="18653"/>
      <c r="D85" s="18654" t="s">
        <v>111</v>
      </c>
      <c r="E85" s="18655" t="s">
        <v>850</v>
      </c>
      <c r="F85" s="18656" t="s">
        <v>873</v>
      </c>
      <c r="G85" s="18657">
        <v>40</v>
      </c>
      <c r="H85" s="18658">
        <v>27</v>
      </c>
      <c r="I85" s="18659">
        <f t="shared" si="3"/>
        <v>1080</v>
      </c>
      <c r="J85" s="18660" t="s">
        <v>852</v>
      </c>
      <c r="K85" s="18661">
        <v>27</v>
      </c>
    </row>
    <row r="86" spans="1:11" ht="13.8">
      <c r="A86" s="18662" t="str">
        <f t="shared" si="2"/>
        <v>TK-00085</v>
      </c>
      <c r="B86" s="18663">
        <v>25</v>
      </c>
      <c r="C86" s="18664">
        <v>46189</v>
      </c>
      <c r="D86" s="18665" t="s">
        <v>2</v>
      </c>
      <c r="E86" s="18666" t="s">
        <v>850</v>
      </c>
      <c r="F86" s="18667" t="s">
        <v>858</v>
      </c>
      <c r="G86" s="18668">
        <v>25</v>
      </c>
      <c r="H86" s="18669">
        <v>27</v>
      </c>
      <c r="I86" s="18670">
        <f t="shared" si="3"/>
        <v>675</v>
      </c>
      <c r="J86" s="18671" t="s">
        <v>852</v>
      </c>
      <c r="K86" s="18672">
        <v>27</v>
      </c>
    </row>
    <row r="87" spans="1:11" ht="13.8">
      <c r="A87" s="18673" t="str">
        <f t="shared" si="2"/>
        <v>TK-00086</v>
      </c>
      <c r="B87" s="18674">
        <v>25</v>
      </c>
      <c r="C87" s="18675">
        <v>46189</v>
      </c>
      <c r="D87" s="18676" t="s">
        <v>2</v>
      </c>
      <c r="E87" s="18677" t="s">
        <v>850</v>
      </c>
      <c r="F87" s="18678" t="s">
        <v>859</v>
      </c>
      <c r="G87" s="18679">
        <v>60</v>
      </c>
      <c r="H87" s="18680">
        <v>27</v>
      </c>
      <c r="I87" s="18681">
        <f t="shared" si="3"/>
        <v>1620</v>
      </c>
      <c r="J87" s="18682" t="s">
        <v>852</v>
      </c>
      <c r="K87" s="18683">
        <v>27</v>
      </c>
    </row>
    <row r="88" spans="1:11" ht="13.8">
      <c r="A88" s="18684" t="str">
        <f t="shared" si="2"/>
        <v>TK-00087</v>
      </c>
      <c r="B88" s="18685">
        <v>25</v>
      </c>
      <c r="C88" s="18686">
        <v>46189</v>
      </c>
      <c r="D88" s="18687" t="s">
        <v>2</v>
      </c>
      <c r="E88" s="18688" t="s">
        <v>850</v>
      </c>
      <c r="F88" s="18689" t="s">
        <v>866</v>
      </c>
      <c r="G88" s="18690">
        <v>50</v>
      </c>
      <c r="H88" s="18691">
        <v>27</v>
      </c>
      <c r="I88" s="18692">
        <f t="shared" si="3"/>
        <v>1350</v>
      </c>
      <c r="J88" s="18693" t="s">
        <v>852</v>
      </c>
      <c r="K88" s="18694">
        <v>27</v>
      </c>
    </row>
    <row r="89" spans="1:11" ht="13.8">
      <c r="A89" s="18695" t="str">
        <f t="shared" si="2"/>
        <v>TK-00088</v>
      </c>
      <c r="B89" s="18696">
        <v>25</v>
      </c>
      <c r="C89" s="18697">
        <v>46189</v>
      </c>
      <c r="D89" s="18698" t="s">
        <v>2</v>
      </c>
      <c r="E89" s="18699" t="s">
        <v>850</v>
      </c>
      <c r="F89" s="18700" t="s">
        <v>853</v>
      </c>
      <c r="G89" s="18701">
        <v>250</v>
      </c>
      <c r="H89" s="18702">
        <v>27</v>
      </c>
      <c r="I89" s="18703">
        <f t="shared" si="3"/>
        <v>6750</v>
      </c>
      <c r="J89" s="18704" t="s">
        <v>852</v>
      </c>
      <c r="K89" s="18705">
        <v>27</v>
      </c>
    </row>
    <row r="90" spans="1:11" ht="13.8">
      <c r="A90" s="18706" t="str">
        <f t="shared" si="2"/>
        <v>TK-00089</v>
      </c>
      <c r="B90" s="18707">
        <v>25</v>
      </c>
      <c r="C90" s="18708">
        <v>46189</v>
      </c>
      <c r="D90" s="18709" t="s">
        <v>2</v>
      </c>
      <c r="E90" s="18710" t="s">
        <v>850</v>
      </c>
      <c r="F90" s="18711" t="s">
        <v>855</v>
      </c>
      <c r="G90" s="18712">
        <v>70</v>
      </c>
      <c r="H90" s="18713">
        <v>27</v>
      </c>
      <c r="I90" s="18714">
        <f t="shared" si="3"/>
        <v>1890</v>
      </c>
      <c r="J90" s="18715" t="s">
        <v>852</v>
      </c>
      <c r="K90" s="18716">
        <v>27</v>
      </c>
    </row>
    <row r="91" spans="1:11" ht="13.8">
      <c r="A91" s="18717" t="str">
        <f t="shared" si="2"/>
        <v>TK-00090</v>
      </c>
      <c r="B91" s="18718">
        <v>25</v>
      </c>
      <c r="C91" s="18719">
        <v>46189</v>
      </c>
      <c r="D91" s="18720" t="s">
        <v>2</v>
      </c>
      <c r="E91" s="18721" t="s">
        <v>850</v>
      </c>
      <c r="F91" s="18722" t="s">
        <v>854</v>
      </c>
      <c r="G91" s="18723">
        <v>50</v>
      </c>
      <c r="H91" s="18724">
        <v>27</v>
      </c>
      <c r="I91" s="18725">
        <f t="shared" si="3"/>
        <v>1350</v>
      </c>
      <c r="J91" s="18726" t="s">
        <v>852</v>
      </c>
      <c r="K91" s="18727">
        <v>27</v>
      </c>
    </row>
    <row r="92" spans="1:11" ht="13.8">
      <c r="A92" s="18728" t="str">
        <f t="shared" si="2"/>
        <v>TK-00091</v>
      </c>
      <c r="B92" s="18729">
        <v>25</v>
      </c>
      <c r="C92" s="18730">
        <v>46189</v>
      </c>
      <c r="D92" s="18731" t="s">
        <v>1</v>
      </c>
      <c r="E92" s="18732" t="s">
        <v>850</v>
      </c>
      <c r="F92" s="18733" t="s">
        <v>860</v>
      </c>
      <c r="G92" s="18734">
        <v>250</v>
      </c>
      <c r="H92" s="18735">
        <v>27</v>
      </c>
      <c r="I92" s="18736">
        <f t="shared" si="3"/>
        <v>6750</v>
      </c>
      <c r="J92" s="18737" t="s">
        <v>852</v>
      </c>
      <c r="K92" s="18738">
        <v>27</v>
      </c>
    </row>
    <row r="93" spans="1:11" ht="13.8">
      <c r="A93" s="18739" t="str">
        <f t="shared" si="2"/>
        <v>TK-00092</v>
      </c>
      <c r="B93" s="18740">
        <v>25</v>
      </c>
      <c r="C93" s="18741">
        <v>46189</v>
      </c>
      <c r="D93" s="18742" t="s">
        <v>1</v>
      </c>
      <c r="E93" s="18743" t="s">
        <v>850</v>
      </c>
      <c r="F93" s="18744" t="s">
        <v>865</v>
      </c>
      <c r="G93" s="18745">
        <v>200</v>
      </c>
      <c r="H93" s="18746">
        <v>27</v>
      </c>
      <c r="I93" s="18747">
        <f t="shared" si="3"/>
        <v>5400</v>
      </c>
      <c r="J93" s="18748" t="s">
        <v>852</v>
      </c>
      <c r="K93" s="18749">
        <v>27</v>
      </c>
    </row>
    <row r="94" spans="1:11" ht="13.8">
      <c r="A94" s="18750" t="str">
        <f t="shared" si="2"/>
        <v>TK-00093</v>
      </c>
      <c r="B94" s="18751">
        <v>25</v>
      </c>
      <c r="C94" s="18752">
        <v>46189</v>
      </c>
      <c r="D94" s="18753" t="s">
        <v>1</v>
      </c>
      <c r="E94" s="18754" t="s">
        <v>850</v>
      </c>
      <c r="F94" s="18755" t="s">
        <v>858</v>
      </c>
      <c r="G94" s="18756">
        <v>20</v>
      </c>
      <c r="H94" s="18757">
        <v>27</v>
      </c>
      <c r="I94" s="18758">
        <f t="shared" si="3"/>
        <v>540</v>
      </c>
      <c r="J94" s="18759" t="s">
        <v>852</v>
      </c>
      <c r="K94" s="18760">
        <v>27</v>
      </c>
    </row>
    <row r="95" spans="1:11" ht="13.8">
      <c r="A95" s="18761" t="str">
        <f t="shared" si="2"/>
        <v>TK-00094</v>
      </c>
      <c r="B95" s="18762">
        <v>25</v>
      </c>
      <c r="C95" s="18763">
        <v>46189</v>
      </c>
      <c r="D95" s="18764" t="s">
        <v>1</v>
      </c>
      <c r="E95" s="18765" t="s">
        <v>850</v>
      </c>
      <c r="F95" s="18766" t="s">
        <v>866</v>
      </c>
      <c r="G95" s="18767">
        <v>50</v>
      </c>
      <c r="H95" s="18768">
        <v>27</v>
      </c>
      <c r="I95" s="18769">
        <f t="shared" si="3"/>
        <v>1350</v>
      </c>
      <c r="J95" s="18770" t="s">
        <v>852</v>
      </c>
      <c r="K95" s="18771">
        <v>27</v>
      </c>
    </row>
    <row r="96" spans="1:11" ht="13.8">
      <c r="A96" s="18772" t="str">
        <f t="shared" si="2"/>
        <v>TK-00095</v>
      </c>
      <c r="B96" s="18773">
        <v>25</v>
      </c>
      <c r="C96" s="18774">
        <v>46189</v>
      </c>
      <c r="D96" s="18775" t="s">
        <v>1</v>
      </c>
      <c r="E96" s="18776" t="s">
        <v>850</v>
      </c>
      <c r="F96" s="18777" t="s">
        <v>856</v>
      </c>
      <c r="G96" s="18778">
        <v>50</v>
      </c>
      <c r="H96" s="18779">
        <v>27</v>
      </c>
      <c r="I96" s="18780">
        <f t="shared" si="3"/>
        <v>1350</v>
      </c>
      <c r="J96" s="18781" t="s">
        <v>852</v>
      </c>
      <c r="K96" s="18782">
        <v>27</v>
      </c>
    </row>
    <row r="97" spans="1:11" ht="13.8">
      <c r="A97" s="18783" t="str">
        <f t="shared" si="2"/>
        <v>TK-00096</v>
      </c>
      <c r="B97" s="18784">
        <v>25</v>
      </c>
      <c r="C97" s="18785">
        <v>46189</v>
      </c>
      <c r="D97" s="18786" t="s">
        <v>1</v>
      </c>
      <c r="E97" s="18787" t="s">
        <v>850</v>
      </c>
      <c r="F97" s="18788" t="s">
        <v>862</v>
      </c>
      <c r="G97" s="18789">
        <v>40</v>
      </c>
      <c r="H97" s="18790">
        <v>27</v>
      </c>
      <c r="I97" s="18791">
        <f t="shared" si="3"/>
        <v>1080</v>
      </c>
      <c r="J97" s="18792" t="s">
        <v>852</v>
      </c>
      <c r="K97" s="18793">
        <v>27</v>
      </c>
    </row>
    <row r="98" spans="1:11" ht="13.8">
      <c r="A98" s="18794" t="str">
        <f t="shared" si="2"/>
        <v>TK-00097</v>
      </c>
      <c r="B98" s="18795">
        <v>25</v>
      </c>
      <c r="C98" s="18796">
        <v>46189</v>
      </c>
      <c r="D98" s="18797" t="s">
        <v>1</v>
      </c>
      <c r="E98" s="18798" t="s">
        <v>850</v>
      </c>
      <c r="F98" s="18799" t="s">
        <v>854</v>
      </c>
      <c r="G98" s="18800">
        <v>50</v>
      </c>
      <c r="H98" s="18801">
        <v>27</v>
      </c>
      <c r="I98" s="18802">
        <f t="shared" si="3"/>
        <v>1350</v>
      </c>
      <c r="J98" s="18803" t="s">
        <v>852</v>
      </c>
      <c r="K98" s="18804">
        <v>27</v>
      </c>
    </row>
    <row r="99" spans="1:11" ht="13.8">
      <c r="A99" s="18805" t="str">
        <f t="shared" si="2"/>
        <v>TK-00098</v>
      </c>
      <c r="B99" s="18806">
        <v>25</v>
      </c>
      <c r="C99" s="18807">
        <v>46189</v>
      </c>
      <c r="D99" s="18808" t="s">
        <v>1</v>
      </c>
      <c r="E99" s="18809" t="s">
        <v>850</v>
      </c>
      <c r="F99" s="18810" t="s">
        <v>868</v>
      </c>
      <c r="G99" s="18811">
        <v>50</v>
      </c>
      <c r="H99" s="18812">
        <v>27</v>
      </c>
      <c r="I99" s="18813">
        <f t="shared" si="3"/>
        <v>1350</v>
      </c>
      <c r="J99" s="18814" t="s">
        <v>852</v>
      </c>
      <c r="K99" s="18815">
        <v>27</v>
      </c>
    </row>
    <row r="100" spans="1:11" ht="13.8">
      <c r="A100" s="18816" t="str">
        <f t="shared" si="2"/>
        <v>TK-00099</v>
      </c>
      <c r="B100" s="18817">
        <v>25</v>
      </c>
      <c r="C100" s="18818">
        <v>46190</v>
      </c>
      <c r="D100" s="18819" t="s">
        <v>2</v>
      </c>
      <c r="E100" s="18820" t="s">
        <v>850</v>
      </c>
      <c r="F100" s="18821" t="s">
        <v>875</v>
      </c>
      <c r="G100" s="18822">
        <v>50</v>
      </c>
      <c r="H100" s="18823">
        <v>27</v>
      </c>
      <c r="I100" s="18824">
        <f t="shared" si="3"/>
        <v>1350</v>
      </c>
      <c r="J100" s="18825" t="s">
        <v>852</v>
      </c>
      <c r="K100" s="18826">
        <v>27</v>
      </c>
    </row>
    <row r="101" spans="1:11" ht="13.8">
      <c r="A101" s="18827" t="str">
        <f t="shared" si="2"/>
        <v>TK-00100</v>
      </c>
      <c r="B101" s="18828">
        <v>25</v>
      </c>
      <c r="C101" s="18829">
        <v>46190</v>
      </c>
      <c r="D101" s="18830" t="s">
        <v>2</v>
      </c>
      <c r="E101" s="18831" t="s">
        <v>850</v>
      </c>
      <c r="F101" s="18832" t="s">
        <v>856</v>
      </c>
      <c r="G101" s="18833">
        <v>30</v>
      </c>
      <c r="H101" s="18834">
        <v>27</v>
      </c>
      <c r="I101" s="18835">
        <f t="shared" si="3"/>
        <v>810</v>
      </c>
      <c r="J101" s="18836" t="s">
        <v>852</v>
      </c>
      <c r="K101" s="18837">
        <v>27</v>
      </c>
    </row>
    <row r="102" spans="1:11" ht="13.8">
      <c r="A102" s="18838" t="str">
        <f t="shared" si="2"/>
        <v>TK-00101</v>
      </c>
      <c r="B102" s="18839">
        <v>25</v>
      </c>
      <c r="C102" s="18840">
        <v>46190</v>
      </c>
      <c r="D102" s="18841" t="s">
        <v>2</v>
      </c>
      <c r="E102" s="18842" t="s">
        <v>850</v>
      </c>
      <c r="F102" s="18843" t="s">
        <v>873</v>
      </c>
      <c r="G102" s="18844">
        <v>50</v>
      </c>
      <c r="H102" s="18845">
        <v>27</v>
      </c>
      <c r="I102" s="18846">
        <f t="shared" si="3"/>
        <v>1350</v>
      </c>
      <c r="J102" s="18847" t="s">
        <v>852</v>
      </c>
      <c r="K102" s="18848">
        <v>27</v>
      </c>
    </row>
    <row r="103" spans="1:11" ht="13.8">
      <c r="A103" s="18849" t="str">
        <f t="shared" si="2"/>
        <v>TK-00102</v>
      </c>
      <c r="B103" s="18850">
        <v>25</v>
      </c>
      <c r="C103" s="18851">
        <v>46190</v>
      </c>
      <c r="D103" s="18852" t="s">
        <v>2</v>
      </c>
      <c r="E103" s="18853" t="s">
        <v>850</v>
      </c>
      <c r="F103" s="18854" t="s">
        <v>851</v>
      </c>
      <c r="G103" s="18855">
        <v>130</v>
      </c>
      <c r="H103" s="18856">
        <v>27</v>
      </c>
      <c r="I103" s="18857">
        <f t="shared" si="3"/>
        <v>3510</v>
      </c>
      <c r="J103" s="18858" t="s">
        <v>852</v>
      </c>
      <c r="K103" s="18859">
        <v>27</v>
      </c>
    </row>
    <row r="104" spans="1:11" ht="13.8">
      <c r="A104" s="18860" t="str">
        <f t="shared" si="2"/>
        <v>TK-00103</v>
      </c>
      <c r="B104" s="18861">
        <v>25</v>
      </c>
      <c r="C104" s="18862">
        <v>46190</v>
      </c>
      <c r="D104" s="18863" t="s">
        <v>2</v>
      </c>
      <c r="E104" s="18864" t="s">
        <v>850</v>
      </c>
      <c r="F104" s="18865" t="s">
        <v>858</v>
      </c>
      <c r="G104" s="18866">
        <v>20</v>
      </c>
      <c r="H104" s="18867">
        <v>27</v>
      </c>
      <c r="I104" s="18868">
        <f t="shared" si="3"/>
        <v>540</v>
      </c>
      <c r="J104" s="18869" t="s">
        <v>852</v>
      </c>
      <c r="K104" s="18870">
        <v>27</v>
      </c>
    </row>
    <row r="105" spans="1:11" ht="13.8">
      <c r="A105" s="18871" t="str">
        <f t="shared" si="2"/>
        <v>TK-00104</v>
      </c>
      <c r="B105" s="18872">
        <v>25</v>
      </c>
      <c r="C105" s="18873">
        <v>46190</v>
      </c>
      <c r="D105" s="18874" t="s">
        <v>2</v>
      </c>
      <c r="E105" s="18875" t="s">
        <v>850</v>
      </c>
      <c r="F105" s="18876" t="s">
        <v>872</v>
      </c>
      <c r="G105" s="18877">
        <v>160</v>
      </c>
      <c r="H105" s="18878">
        <v>27</v>
      </c>
      <c r="I105" s="18879">
        <f t="shared" si="3"/>
        <v>4320</v>
      </c>
      <c r="J105" s="18880" t="s">
        <v>852</v>
      </c>
      <c r="K105" s="18881">
        <v>27</v>
      </c>
    </row>
    <row r="106" spans="1:11" ht="13.8">
      <c r="A106" s="18882" t="str">
        <f t="shared" si="2"/>
        <v>TK-00105</v>
      </c>
      <c r="B106" s="18883">
        <v>25</v>
      </c>
      <c r="C106" s="18884">
        <v>46190</v>
      </c>
      <c r="D106" s="18885" t="s">
        <v>2</v>
      </c>
      <c r="E106" s="18886" t="s">
        <v>850</v>
      </c>
      <c r="F106" s="18887" t="s">
        <v>859</v>
      </c>
      <c r="G106" s="18888">
        <v>70</v>
      </c>
      <c r="H106" s="18889">
        <v>27</v>
      </c>
      <c r="I106" s="18890">
        <f t="shared" si="3"/>
        <v>1890</v>
      </c>
      <c r="J106" s="18891" t="s">
        <v>852</v>
      </c>
      <c r="K106" s="18892">
        <v>27</v>
      </c>
    </row>
    <row r="107" spans="1:11" ht="13.8">
      <c r="A107" s="18893" t="str">
        <f t="shared" si="2"/>
        <v>TK-00106</v>
      </c>
      <c r="B107" s="18894">
        <v>25</v>
      </c>
      <c r="C107" s="18895">
        <v>46190</v>
      </c>
      <c r="D107" s="18896" t="s">
        <v>2</v>
      </c>
      <c r="E107" s="18897" t="s">
        <v>850</v>
      </c>
      <c r="F107" s="18898" t="s">
        <v>853</v>
      </c>
      <c r="G107" s="18899">
        <v>250</v>
      </c>
      <c r="H107" s="18900">
        <v>27</v>
      </c>
      <c r="I107" s="18901">
        <f t="shared" si="3"/>
        <v>6750</v>
      </c>
      <c r="J107" s="18902" t="s">
        <v>852</v>
      </c>
      <c r="K107" s="18903">
        <v>27</v>
      </c>
    </row>
    <row r="108" spans="1:11" ht="13.8">
      <c r="A108" s="18904" t="str">
        <f t="shared" si="2"/>
        <v>TK-00107</v>
      </c>
      <c r="B108" s="18905">
        <v>25</v>
      </c>
      <c r="C108" s="18906">
        <v>46190</v>
      </c>
      <c r="D108" s="18907" t="s">
        <v>2</v>
      </c>
      <c r="E108" s="18908" t="s">
        <v>850</v>
      </c>
      <c r="F108" s="18909" t="s">
        <v>875</v>
      </c>
      <c r="G108" s="18910">
        <v>150</v>
      </c>
      <c r="H108" s="18911">
        <v>27</v>
      </c>
      <c r="I108" s="18912">
        <f t="shared" si="3"/>
        <v>4050</v>
      </c>
      <c r="J108" s="18913" t="s">
        <v>852</v>
      </c>
      <c r="K108" s="18914">
        <v>27</v>
      </c>
    </row>
    <row r="109" spans="1:11" ht="13.8">
      <c r="A109" s="18915" t="str">
        <f t="shared" si="2"/>
        <v>TK-00108</v>
      </c>
      <c r="B109" s="18916">
        <v>25</v>
      </c>
      <c r="C109" s="18917">
        <v>46190</v>
      </c>
      <c r="D109" s="18918" t="s">
        <v>1</v>
      </c>
      <c r="E109" s="18919" t="s">
        <v>850</v>
      </c>
      <c r="F109" s="18920" t="s">
        <v>860</v>
      </c>
      <c r="G109" s="18921">
        <v>250</v>
      </c>
      <c r="H109" s="18922">
        <v>27</v>
      </c>
      <c r="I109" s="18923">
        <f t="shared" si="3"/>
        <v>6750</v>
      </c>
      <c r="J109" s="18924" t="s">
        <v>852</v>
      </c>
      <c r="K109" s="18925">
        <v>27</v>
      </c>
    </row>
    <row r="110" spans="1:11" ht="13.8">
      <c r="A110" s="18926" t="str">
        <f t="shared" si="2"/>
        <v>TK-00109</v>
      </c>
      <c r="B110" s="18927">
        <v>25</v>
      </c>
      <c r="C110" s="18928">
        <v>46190</v>
      </c>
      <c r="D110" s="18929" t="s">
        <v>1</v>
      </c>
      <c r="E110" s="18930" t="s">
        <v>850</v>
      </c>
      <c r="F110" s="18931" t="s">
        <v>865</v>
      </c>
      <c r="G110" s="18932">
        <v>100</v>
      </c>
      <c r="H110" s="18933">
        <v>27</v>
      </c>
      <c r="I110" s="18934">
        <f t="shared" si="3"/>
        <v>2700</v>
      </c>
      <c r="J110" s="18935" t="s">
        <v>852</v>
      </c>
      <c r="K110" s="18936">
        <v>27</v>
      </c>
    </row>
    <row r="111" spans="1:11" ht="13.8">
      <c r="A111" s="18937" t="str">
        <f t="shared" si="2"/>
        <v>TK-00110</v>
      </c>
      <c r="B111" s="18938">
        <v>25</v>
      </c>
      <c r="C111" s="18939">
        <v>46190</v>
      </c>
      <c r="D111" s="18940" t="s">
        <v>1</v>
      </c>
      <c r="E111" s="18941" t="s">
        <v>850</v>
      </c>
      <c r="F111" s="18942" t="s">
        <v>858</v>
      </c>
      <c r="G111" s="18943">
        <v>20</v>
      </c>
      <c r="H111" s="18944">
        <v>27</v>
      </c>
      <c r="I111" s="18945">
        <f t="shared" si="3"/>
        <v>540</v>
      </c>
      <c r="J111" s="18946" t="s">
        <v>852</v>
      </c>
      <c r="K111" s="18947">
        <v>27</v>
      </c>
    </row>
    <row r="112" spans="1:11" ht="13.8">
      <c r="A112" s="18948" t="str">
        <f t="shared" si="2"/>
        <v>TK-00111</v>
      </c>
      <c r="B112" s="18949">
        <v>25</v>
      </c>
      <c r="C112" s="18950">
        <v>46190</v>
      </c>
      <c r="D112" s="18951" t="s">
        <v>1</v>
      </c>
      <c r="E112" s="18952" t="s">
        <v>850</v>
      </c>
      <c r="F112" s="18953" t="s">
        <v>866</v>
      </c>
      <c r="G112" s="18954">
        <v>50</v>
      </c>
      <c r="H112" s="18955">
        <v>27</v>
      </c>
      <c r="I112" s="18956">
        <f t="shared" si="3"/>
        <v>1350</v>
      </c>
      <c r="J112" s="18957" t="s">
        <v>852</v>
      </c>
      <c r="K112" s="18958">
        <v>27</v>
      </c>
    </row>
    <row r="113" spans="1:11" ht="13.8">
      <c r="A113" s="18959" t="str">
        <f t="shared" si="2"/>
        <v>TK-00112</v>
      </c>
      <c r="B113" s="18960">
        <v>25</v>
      </c>
      <c r="C113" s="18961">
        <v>46190</v>
      </c>
      <c r="D113" s="18962" t="s">
        <v>1</v>
      </c>
      <c r="E113" s="18963" t="s">
        <v>850</v>
      </c>
      <c r="F113" s="18964" t="s">
        <v>856</v>
      </c>
      <c r="G113" s="18965">
        <v>50</v>
      </c>
      <c r="H113" s="18966">
        <v>27</v>
      </c>
      <c r="I113" s="18967">
        <f t="shared" si="3"/>
        <v>1350</v>
      </c>
      <c r="J113" s="18968" t="s">
        <v>852</v>
      </c>
      <c r="K113" s="18969">
        <v>27</v>
      </c>
    </row>
    <row r="114" spans="1:11" ht="13.8">
      <c r="A114" s="18970" t="str">
        <f t="shared" si="2"/>
        <v>TK-00113</v>
      </c>
      <c r="B114" s="18971">
        <v>25</v>
      </c>
      <c r="C114" s="18972">
        <v>46190</v>
      </c>
      <c r="D114" s="18973" t="s">
        <v>1</v>
      </c>
      <c r="E114" s="18974" t="s">
        <v>850</v>
      </c>
      <c r="F114" s="18975" t="s">
        <v>862</v>
      </c>
      <c r="G114" s="18976">
        <v>30</v>
      </c>
      <c r="H114" s="18977">
        <v>27</v>
      </c>
      <c r="I114" s="18978">
        <f t="shared" si="3"/>
        <v>810</v>
      </c>
      <c r="J114" s="18979" t="s">
        <v>852</v>
      </c>
      <c r="K114" s="18980">
        <v>27</v>
      </c>
    </row>
    <row r="115" spans="1:11" ht="13.8">
      <c r="A115" s="18981" t="str">
        <f t="shared" si="2"/>
        <v>TK-00114</v>
      </c>
      <c r="B115" s="18982">
        <v>25</v>
      </c>
      <c r="C115" s="18983">
        <v>46190</v>
      </c>
      <c r="D115" s="18984" t="s">
        <v>1</v>
      </c>
      <c r="E115" s="18985" t="s">
        <v>850</v>
      </c>
      <c r="F115" s="18986" t="s">
        <v>854</v>
      </c>
      <c r="G115" s="18987">
        <v>80</v>
      </c>
      <c r="H115" s="18988">
        <v>27</v>
      </c>
      <c r="I115" s="18989">
        <f t="shared" si="3"/>
        <v>2160</v>
      </c>
      <c r="J115" s="18990" t="s">
        <v>852</v>
      </c>
      <c r="K115" s="18991">
        <v>27</v>
      </c>
    </row>
    <row r="116" spans="1:11" ht="13.8">
      <c r="A116" s="18992" t="str">
        <f t="shared" si="2"/>
        <v>TK-00115</v>
      </c>
      <c r="B116" s="18993">
        <v>25</v>
      </c>
      <c r="C116" s="18994">
        <v>46190</v>
      </c>
      <c r="D116" s="18995" t="s">
        <v>1</v>
      </c>
      <c r="E116" s="18996" t="s">
        <v>850</v>
      </c>
      <c r="F116" s="18997" t="s">
        <v>868</v>
      </c>
      <c r="G116" s="18998">
        <v>50</v>
      </c>
      <c r="H116" s="18999">
        <v>27</v>
      </c>
      <c r="I116" s="19000">
        <f t="shared" si="3"/>
        <v>1350</v>
      </c>
      <c r="J116" s="19001" t="s">
        <v>852</v>
      </c>
      <c r="K116" s="19002">
        <v>27</v>
      </c>
    </row>
    <row r="117" spans="1:11" ht="13.8">
      <c r="A117" s="19003" t="str">
        <f t="shared" si="2"/>
        <v>TK-00116</v>
      </c>
      <c r="B117" s="19004">
        <v>25</v>
      </c>
      <c r="C117" s="19005">
        <v>46190</v>
      </c>
      <c r="D117" s="19006" t="s">
        <v>111</v>
      </c>
      <c r="E117" s="19007" t="s">
        <v>850</v>
      </c>
      <c r="F117" s="19008" t="s">
        <v>854</v>
      </c>
      <c r="G117" s="19009">
        <v>70</v>
      </c>
      <c r="H117" s="19010">
        <v>27</v>
      </c>
      <c r="I117" s="19011">
        <f t="shared" si="3"/>
        <v>1890</v>
      </c>
      <c r="J117" s="19012" t="s">
        <v>852</v>
      </c>
      <c r="K117" s="19013">
        <v>27</v>
      </c>
    </row>
    <row r="118" spans="1:11" ht="13.8">
      <c r="A118" s="19014" t="str">
        <f t="shared" si="2"/>
        <v>TK-00117</v>
      </c>
      <c r="B118" s="19015">
        <v>25</v>
      </c>
      <c r="C118" s="19016">
        <v>46190</v>
      </c>
      <c r="D118" s="19017" t="s">
        <v>111</v>
      </c>
      <c r="E118" s="19018" t="s">
        <v>850</v>
      </c>
      <c r="F118" s="19019" t="s">
        <v>854</v>
      </c>
      <c r="G118" s="19020">
        <v>70</v>
      </c>
      <c r="H118" s="19021">
        <v>27</v>
      </c>
      <c r="I118" s="19022">
        <f t="shared" si="3"/>
        <v>1890</v>
      </c>
      <c r="J118" s="19023" t="s">
        <v>852</v>
      </c>
      <c r="K118" s="19024">
        <v>27</v>
      </c>
    </row>
    <row r="119" spans="1:11" ht="13.8">
      <c r="A119" s="19025" t="str">
        <f t="shared" si="2"/>
        <v>TK-00118</v>
      </c>
      <c r="B119" s="19026">
        <v>25</v>
      </c>
      <c r="C119" s="19027">
        <v>46190</v>
      </c>
      <c r="D119" s="19028" t="s">
        <v>111</v>
      </c>
      <c r="E119" s="19029" t="s">
        <v>850</v>
      </c>
      <c r="F119" s="19030" t="s">
        <v>853</v>
      </c>
      <c r="G119" s="19031">
        <v>200</v>
      </c>
      <c r="H119" s="19032">
        <v>27</v>
      </c>
      <c r="I119" s="19033">
        <f t="shared" si="3"/>
        <v>5400</v>
      </c>
      <c r="J119" s="19034" t="s">
        <v>852</v>
      </c>
      <c r="K119" s="19035">
        <v>27</v>
      </c>
    </row>
    <row r="120" spans="1:11" ht="13.8">
      <c r="A120" s="19036" t="str">
        <f t="shared" si="2"/>
        <v>TK-00119</v>
      </c>
      <c r="B120" s="19037">
        <v>25</v>
      </c>
      <c r="C120" s="19038">
        <v>46190</v>
      </c>
      <c r="D120" s="19039" t="s">
        <v>111</v>
      </c>
      <c r="E120" s="19040" t="s">
        <v>850</v>
      </c>
      <c r="F120" s="19041" t="s">
        <v>873</v>
      </c>
      <c r="G120" s="19042">
        <v>20</v>
      </c>
      <c r="H120" s="19043">
        <v>27</v>
      </c>
      <c r="I120" s="19044">
        <f t="shared" si="3"/>
        <v>540</v>
      </c>
      <c r="J120" s="19045" t="s">
        <v>852</v>
      </c>
      <c r="K120" s="19046">
        <v>27</v>
      </c>
    </row>
    <row r="121" spans="1:11" ht="13.8">
      <c r="A121" s="19047" t="str">
        <f t="shared" si="2"/>
        <v>TK-00120</v>
      </c>
      <c r="B121" s="19048">
        <v>25</v>
      </c>
      <c r="C121" s="19049">
        <v>46191</v>
      </c>
      <c r="D121" s="19050" t="s">
        <v>1</v>
      </c>
      <c r="E121" s="19051" t="s">
        <v>850</v>
      </c>
      <c r="F121" s="19052" t="s">
        <v>860</v>
      </c>
      <c r="G121" s="19053">
        <v>250</v>
      </c>
      <c r="H121" s="19054">
        <v>27</v>
      </c>
      <c r="I121" s="19055">
        <f t="shared" si="3"/>
        <v>6750</v>
      </c>
      <c r="J121" s="19056" t="s">
        <v>852</v>
      </c>
      <c r="K121" s="19057">
        <v>27</v>
      </c>
    </row>
    <row r="122" spans="1:11" ht="13.8">
      <c r="A122" s="19058" t="str">
        <f t="shared" si="2"/>
        <v>TK-00121</v>
      </c>
      <c r="B122" s="19059">
        <v>25</v>
      </c>
      <c r="C122" s="19060">
        <v>46191</v>
      </c>
      <c r="D122" s="19061" t="s">
        <v>1</v>
      </c>
      <c r="E122" s="19062" t="s">
        <v>850</v>
      </c>
      <c r="F122" s="19063" t="s">
        <v>865</v>
      </c>
      <c r="G122" s="19064">
        <v>100</v>
      </c>
      <c r="H122" s="19065">
        <v>27</v>
      </c>
      <c r="I122" s="19066">
        <f t="shared" si="3"/>
        <v>2700</v>
      </c>
      <c r="J122" s="19067" t="s">
        <v>852</v>
      </c>
      <c r="K122" s="19068">
        <v>27</v>
      </c>
    </row>
    <row r="123" spans="1:11" ht="13.8">
      <c r="A123" s="19069" t="str">
        <f t="shared" si="2"/>
        <v>TK-00122</v>
      </c>
      <c r="B123" s="19070">
        <v>25</v>
      </c>
      <c r="C123" s="19071">
        <v>46191</v>
      </c>
      <c r="D123" s="19072" t="s">
        <v>1</v>
      </c>
      <c r="E123" s="19073" t="s">
        <v>850</v>
      </c>
      <c r="F123" s="19074" t="s">
        <v>858</v>
      </c>
      <c r="G123" s="19075">
        <v>20</v>
      </c>
      <c r="H123" s="19076">
        <v>27</v>
      </c>
      <c r="I123" s="19077">
        <f t="shared" si="3"/>
        <v>540</v>
      </c>
      <c r="J123" s="19078" t="s">
        <v>852</v>
      </c>
      <c r="K123" s="19079">
        <v>27</v>
      </c>
    </row>
    <row r="124" spans="1:11" ht="13.8">
      <c r="A124" s="19080" t="str">
        <f t="shared" si="2"/>
        <v>TK-00123</v>
      </c>
      <c r="B124" s="19081">
        <v>25</v>
      </c>
      <c r="C124" s="19082">
        <v>46191</v>
      </c>
      <c r="D124" s="19083" t="s">
        <v>1</v>
      </c>
      <c r="E124" s="19084" t="s">
        <v>850</v>
      </c>
      <c r="F124" s="19085" t="s">
        <v>866</v>
      </c>
      <c r="G124" s="19086">
        <v>40</v>
      </c>
      <c r="H124" s="19087">
        <v>27</v>
      </c>
      <c r="I124" s="19088">
        <f t="shared" si="3"/>
        <v>1080</v>
      </c>
      <c r="J124" s="19089" t="s">
        <v>852</v>
      </c>
      <c r="K124" s="19090">
        <v>27</v>
      </c>
    </row>
    <row r="125" spans="1:11" ht="13.8">
      <c r="A125" s="19091" t="str">
        <f t="shared" si="2"/>
        <v>TK-00124</v>
      </c>
      <c r="B125" s="19092">
        <v>25</v>
      </c>
      <c r="C125" s="19093">
        <v>46191</v>
      </c>
      <c r="D125" s="19094" t="s">
        <v>1</v>
      </c>
      <c r="E125" s="19095" t="s">
        <v>850</v>
      </c>
      <c r="F125" s="19096" t="s">
        <v>856</v>
      </c>
      <c r="G125" s="19097">
        <v>40</v>
      </c>
      <c r="H125" s="19098">
        <v>27</v>
      </c>
      <c r="I125" s="19099">
        <f t="shared" si="3"/>
        <v>1080</v>
      </c>
      <c r="J125" s="19100" t="s">
        <v>852</v>
      </c>
      <c r="K125" s="19101">
        <v>27</v>
      </c>
    </row>
    <row r="126" spans="1:11" ht="13.8">
      <c r="A126" s="19102" t="str">
        <f t="shared" si="2"/>
        <v>TK-00125</v>
      </c>
      <c r="B126" s="19103">
        <v>25</v>
      </c>
      <c r="C126" s="19104">
        <v>46191</v>
      </c>
      <c r="D126" s="19105" t="s">
        <v>1</v>
      </c>
      <c r="E126" s="19106" t="s">
        <v>850</v>
      </c>
      <c r="F126" s="19107" t="s">
        <v>862</v>
      </c>
      <c r="G126" s="19108">
        <v>30</v>
      </c>
      <c r="H126" s="19109">
        <v>27</v>
      </c>
      <c r="I126" s="19110">
        <f t="shared" si="3"/>
        <v>810</v>
      </c>
      <c r="J126" s="19111" t="s">
        <v>852</v>
      </c>
      <c r="K126" s="19112">
        <v>27</v>
      </c>
    </row>
    <row r="127" spans="1:11" ht="13.8">
      <c r="A127" s="19113" t="str">
        <f t="shared" si="2"/>
        <v>TK-00126</v>
      </c>
      <c r="B127" s="19114">
        <v>25</v>
      </c>
      <c r="C127" s="19115">
        <v>46191</v>
      </c>
      <c r="D127" s="19116" t="s">
        <v>1</v>
      </c>
      <c r="E127" s="19117" t="s">
        <v>850</v>
      </c>
      <c r="F127" s="19118" t="s">
        <v>854</v>
      </c>
      <c r="G127" s="19119">
        <v>70</v>
      </c>
      <c r="H127" s="19120">
        <v>27</v>
      </c>
      <c r="I127" s="19121">
        <f t="shared" si="3"/>
        <v>1890</v>
      </c>
      <c r="J127" s="19122" t="s">
        <v>852</v>
      </c>
      <c r="K127" s="19123">
        <v>27</v>
      </c>
    </row>
    <row r="128" spans="1:11" ht="13.8">
      <c r="A128" s="19124" t="str">
        <f t="shared" si="2"/>
        <v>TK-00127</v>
      </c>
      <c r="B128" s="19125">
        <v>25</v>
      </c>
      <c r="C128" s="19126">
        <v>46191</v>
      </c>
      <c r="D128" s="19127" t="s">
        <v>1</v>
      </c>
      <c r="E128" s="19128" t="s">
        <v>850</v>
      </c>
      <c r="F128" s="19129" t="s">
        <v>868</v>
      </c>
      <c r="G128" s="19130">
        <v>40</v>
      </c>
      <c r="H128" s="19131">
        <v>27</v>
      </c>
      <c r="I128" s="19132">
        <f t="shared" si="3"/>
        <v>1080</v>
      </c>
      <c r="J128" s="19133" t="s">
        <v>852</v>
      </c>
      <c r="K128" s="19134">
        <v>27</v>
      </c>
    </row>
    <row r="129" spans="1:11" ht="13.8">
      <c r="A129" s="19135" t="str">
        <f t="shared" si="2"/>
        <v>TK-00128</v>
      </c>
      <c r="B129" s="19136">
        <v>25</v>
      </c>
      <c r="C129" s="19137">
        <v>46191</v>
      </c>
      <c r="D129" s="19138" t="s">
        <v>2</v>
      </c>
      <c r="E129" s="19139" t="s">
        <v>850</v>
      </c>
      <c r="F129" s="19140" t="s">
        <v>869</v>
      </c>
      <c r="G129" s="19141">
        <v>80</v>
      </c>
      <c r="H129" s="19142">
        <v>27</v>
      </c>
      <c r="I129" s="19143">
        <f t="shared" si="3"/>
        <v>2160</v>
      </c>
      <c r="J129" s="19144" t="s">
        <v>852</v>
      </c>
      <c r="K129" s="19145">
        <v>27</v>
      </c>
    </row>
    <row r="130" spans="1:11" ht="13.8">
      <c r="A130" s="19146" t="str">
        <f t="shared" ref="A130:A193" si="4">"TK-"&amp;TEXT(ROW()-1, "00000")</f>
        <v>TK-00129</v>
      </c>
      <c r="B130" s="19147">
        <v>26</v>
      </c>
      <c r="C130" s="19148">
        <v>38887</v>
      </c>
      <c r="D130" s="19149" t="s">
        <v>124</v>
      </c>
      <c r="E130" s="19150" t="s">
        <v>850</v>
      </c>
      <c r="F130" s="19151" t="s">
        <v>870</v>
      </c>
      <c r="G130" s="19152">
        <v>100</v>
      </c>
      <c r="H130" s="19153">
        <v>27</v>
      </c>
      <c r="I130" s="19154">
        <f t="shared" ref="I130:I193" si="5">G130*H130</f>
        <v>2700</v>
      </c>
      <c r="J130" s="19155" t="s">
        <v>852</v>
      </c>
      <c r="K130" s="19156">
        <v>27</v>
      </c>
    </row>
    <row r="131" spans="1:11" ht="13.8">
      <c r="A131" s="19157" t="str">
        <f t="shared" si="4"/>
        <v>TK-00130</v>
      </c>
      <c r="B131" s="19158">
        <v>26</v>
      </c>
      <c r="C131" s="19159">
        <v>38887</v>
      </c>
      <c r="D131" s="19160" t="s">
        <v>124</v>
      </c>
      <c r="E131" s="19161" t="s">
        <v>850</v>
      </c>
      <c r="F131" s="19162" t="s">
        <v>876</v>
      </c>
      <c r="G131" s="19163">
        <v>200</v>
      </c>
      <c r="H131" s="19164">
        <v>27</v>
      </c>
      <c r="I131" s="19165">
        <f t="shared" si="5"/>
        <v>5400</v>
      </c>
      <c r="J131" s="19166" t="s">
        <v>852</v>
      </c>
      <c r="K131" s="19167">
        <v>27</v>
      </c>
    </row>
    <row r="132" spans="1:11" ht="13.8">
      <c r="A132" s="19168" t="str">
        <f t="shared" si="4"/>
        <v>TK-00131</v>
      </c>
      <c r="B132" s="19169">
        <v>26</v>
      </c>
      <c r="C132" s="19170">
        <v>38887</v>
      </c>
      <c r="D132" s="19171" t="s">
        <v>124</v>
      </c>
      <c r="E132" s="19172" t="s">
        <v>850</v>
      </c>
      <c r="F132" s="19173" t="s">
        <v>877</v>
      </c>
      <c r="G132" s="19174">
        <v>100</v>
      </c>
      <c r="H132" s="19175">
        <v>27</v>
      </c>
      <c r="I132" s="19176">
        <f t="shared" si="5"/>
        <v>2700</v>
      </c>
      <c r="J132" s="19177" t="s">
        <v>852</v>
      </c>
      <c r="K132" s="19178">
        <v>27</v>
      </c>
    </row>
    <row r="133" spans="1:11" ht="13.8">
      <c r="A133" s="19179" t="str">
        <f t="shared" si="4"/>
        <v>TK-00132</v>
      </c>
      <c r="B133" s="19180">
        <v>26</v>
      </c>
      <c r="C133" s="19181">
        <v>38887</v>
      </c>
      <c r="D133" s="19182" t="s">
        <v>124</v>
      </c>
      <c r="E133" s="19183" t="s">
        <v>850</v>
      </c>
      <c r="F133" s="19184" t="s">
        <v>878</v>
      </c>
      <c r="G133" s="19185">
        <v>100</v>
      </c>
      <c r="H133" s="19186">
        <v>27</v>
      </c>
      <c r="I133" s="19187">
        <f t="shared" si="5"/>
        <v>2700</v>
      </c>
      <c r="J133" s="19188" t="s">
        <v>852</v>
      </c>
      <c r="K133" s="19189">
        <v>27</v>
      </c>
    </row>
    <row r="134" spans="1:11" ht="13.8">
      <c r="A134" s="19190" t="str">
        <f t="shared" si="4"/>
        <v>TK-00133</v>
      </c>
      <c r="B134" s="19191">
        <v>26</v>
      </c>
      <c r="C134" s="19192">
        <v>38887</v>
      </c>
      <c r="D134" s="19193" t="s">
        <v>2</v>
      </c>
      <c r="E134" s="19194" t="s">
        <v>850</v>
      </c>
      <c r="F134" s="19195" t="s">
        <v>854</v>
      </c>
      <c r="G134" s="19196">
        <v>80</v>
      </c>
      <c r="H134" s="19197">
        <v>27</v>
      </c>
      <c r="I134" s="19198">
        <f t="shared" si="5"/>
        <v>2160</v>
      </c>
      <c r="J134" s="19199" t="s">
        <v>852</v>
      </c>
      <c r="K134" s="19200">
        <v>27</v>
      </c>
    </row>
    <row r="135" spans="1:11" ht="13.8">
      <c r="A135" s="19201" t="str">
        <f t="shared" si="4"/>
        <v>TK-00134</v>
      </c>
      <c r="B135" s="19202">
        <v>26</v>
      </c>
      <c r="C135" s="19203">
        <v>38887</v>
      </c>
      <c r="D135" s="19204" t="s">
        <v>2</v>
      </c>
      <c r="E135" s="19205" t="s">
        <v>850</v>
      </c>
      <c r="F135" s="19206" t="s">
        <v>866</v>
      </c>
      <c r="G135" s="19207">
        <v>50</v>
      </c>
      <c r="H135" s="19208">
        <v>27</v>
      </c>
      <c r="I135" s="19209">
        <f t="shared" si="5"/>
        <v>1350</v>
      </c>
      <c r="J135" s="19210" t="s">
        <v>852</v>
      </c>
      <c r="K135" s="19211">
        <v>27</v>
      </c>
    </row>
    <row r="136" spans="1:11" ht="13.8">
      <c r="A136" s="19212" t="str">
        <f t="shared" si="4"/>
        <v>TK-00135</v>
      </c>
      <c r="B136" s="19213">
        <v>26</v>
      </c>
      <c r="C136" s="19214">
        <v>38887</v>
      </c>
      <c r="D136" s="19215" t="s">
        <v>2</v>
      </c>
      <c r="E136" s="19216" t="s">
        <v>850</v>
      </c>
      <c r="F136" s="19217" t="s">
        <v>867</v>
      </c>
      <c r="G136" s="19218">
        <v>30</v>
      </c>
      <c r="H136" s="19219">
        <v>27</v>
      </c>
      <c r="I136" s="19220">
        <f t="shared" si="5"/>
        <v>810</v>
      </c>
      <c r="J136" s="19221" t="s">
        <v>852</v>
      </c>
      <c r="K136" s="19222">
        <v>27</v>
      </c>
    </row>
    <row r="137" spans="1:11" ht="13.8">
      <c r="A137" s="19223" t="str">
        <f t="shared" si="4"/>
        <v>TK-00136</v>
      </c>
      <c r="B137" s="19224">
        <v>26</v>
      </c>
      <c r="C137" s="19225">
        <v>38887</v>
      </c>
      <c r="D137" s="19226" t="s">
        <v>2</v>
      </c>
      <c r="E137" s="19227" t="s">
        <v>850</v>
      </c>
      <c r="F137" s="19228" t="s">
        <v>855</v>
      </c>
      <c r="G137" s="19229">
        <v>50</v>
      </c>
      <c r="H137" s="19230">
        <v>27</v>
      </c>
      <c r="I137" s="19231">
        <f t="shared" si="5"/>
        <v>1350</v>
      </c>
      <c r="J137" s="19232" t="s">
        <v>852</v>
      </c>
      <c r="K137" s="19233">
        <v>27</v>
      </c>
    </row>
    <row r="138" spans="1:11" ht="13.8">
      <c r="A138" s="19234" t="str">
        <f t="shared" si="4"/>
        <v>TK-00137</v>
      </c>
      <c r="B138" s="19235">
        <v>26</v>
      </c>
      <c r="C138" s="19236">
        <v>38887</v>
      </c>
      <c r="D138" s="19237" t="s">
        <v>2</v>
      </c>
      <c r="E138" s="19238" t="s">
        <v>850</v>
      </c>
      <c r="F138" s="19239" t="s">
        <v>875</v>
      </c>
      <c r="G138" s="19240">
        <v>50</v>
      </c>
      <c r="H138" s="19241">
        <v>27</v>
      </c>
      <c r="I138" s="19242">
        <f t="shared" si="5"/>
        <v>1350</v>
      </c>
      <c r="J138" s="19243" t="s">
        <v>852</v>
      </c>
      <c r="K138" s="19244">
        <v>27</v>
      </c>
    </row>
    <row r="139" spans="1:11" ht="13.8">
      <c r="A139" s="19245" t="str">
        <f t="shared" si="4"/>
        <v>TK-00138</v>
      </c>
      <c r="B139" s="19246">
        <v>26</v>
      </c>
      <c r="C139" s="19247">
        <v>38887</v>
      </c>
      <c r="D139" s="19248" t="s">
        <v>2</v>
      </c>
      <c r="E139" s="19249" t="s">
        <v>850</v>
      </c>
      <c r="F139" s="19250" t="s">
        <v>853</v>
      </c>
      <c r="G139" s="19251">
        <v>200</v>
      </c>
      <c r="H139" s="19252">
        <v>27</v>
      </c>
      <c r="I139" s="19253">
        <f t="shared" si="5"/>
        <v>5400</v>
      </c>
      <c r="J139" s="19254" t="s">
        <v>852</v>
      </c>
      <c r="K139" s="19255">
        <v>27</v>
      </c>
    </row>
    <row r="140" spans="1:11" ht="13.8">
      <c r="A140" s="19256" t="str">
        <f t="shared" si="4"/>
        <v>TK-00139</v>
      </c>
      <c r="B140" s="19257">
        <v>26</v>
      </c>
      <c r="C140" s="19258">
        <v>38887</v>
      </c>
      <c r="D140" s="19259" t="s">
        <v>2</v>
      </c>
      <c r="E140" s="19260" t="s">
        <v>850</v>
      </c>
      <c r="F140" s="19261" t="s">
        <v>851</v>
      </c>
      <c r="G140" s="19262">
        <v>130</v>
      </c>
      <c r="H140" s="19263">
        <v>27</v>
      </c>
      <c r="I140" s="19264">
        <f t="shared" si="5"/>
        <v>3510</v>
      </c>
      <c r="J140" s="19265" t="s">
        <v>852</v>
      </c>
      <c r="K140" s="19266">
        <v>27</v>
      </c>
    </row>
    <row r="141" spans="1:11" ht="13.8">
      <c r="A141" s="19267" t="str">
        <f t="shared" si="4"/>
        <v>TK-00140</v>
      </c>
      <c r="B141" s="19268">
        <v>26</v>
      </c>
      <c r="C141" s="19269">
        <v>38887</v>
      </c>
      <c r="D141" s="19270" t="s">
        <v>2</v>
      </c>
      <c r="E141" s="19271" t="s">
        <v>850</v>
      </c>
      <c r="F141" s="19272" t="s">
        <v>858</v>
      </c>
      <c r="G141" s="19273">
        <v>20</v>
      </c>
      <c r="H141" s="19274">
        <v>27</v>
      </c>
      <c r="I141" s="19275">
        <f t="shared" si="5"/>
        <v>540</v>
      </c>
      <c r="J141" s="19276" t="s">
        <v>852</v>
      </c>
      <c r="K141" s="19277">
        <v>27</v>
      </c>
    </row>
    <row r="142" spans="1:11" ht="13.8">
      <c r="A142" s="19278" t="str">
        <f t="shared" si="4"/>
        <v>TK-00141</v>
      </c>
      <c r="B142" s="19279">
        <v>26</v>
      </c>
      <c r="C142" s="19280">
        <v>38887</v>
      </c>
      <c r="D142" s="19281" t="s">
        <v>2</v>
      </c>
      <c r="E142" s="19282" t="s">
        <v>850</v>
      </c>
      <c r="F142" s="19283" t="s">
        <v>872</v>
      </c>
      <c r="G142" s="19284">
        <v>10</v>
      </c>
      <c r="H142" s="19285">
        <v>27</v>
      </c>
      <c r="I142" s="19286">
        <f t="shared" si="5"/>
        <v>270</v>
      </c>
      <c r="J142" s="19287" t="s">
        <v>852</v>
      </c>
      <c r="K142" s="19288">
        <v>27</v>
      </c>
    </row>
    <row r="143" spans="1:11" ht="13.8">
      <c r="A143" s="19289" t="str">
        <f t="shared" si="4"/>
        <v>TK-00142</v>
      </c>
      <c r="B143" s="19290">
        <v>26</v>
      </c>
      <c r="C143" s="19291">
        <v>38887</v>
      </c>
      <c r="D143" s="19292" t="s">
        <v>2</v>
      </c>
      <c r="E143" s="19293" t="s">
        <v>850</v>
      </c>
      <c r="F143" s="19294" t="s">
        <v>859</v>
      </c>
      <c r="G143" s="19295">
        <v>80</v>
      </c>
      <c r="H143" s="19296">
        <v>27</v>
      </c>
      <c r="I143" s="19297">
        <f t="shared" si="5"/>
        <v>2160</v>
      </c>
      <c r="J143" s="19298" t="s">
        <v>852</v>
      </c>
      <c r="K143" s="19299">
        <v>27</v>
      </c>
    </row>
    <row r="144" spans="1:11" ht="13.8">
      <c r="A144" s="19300" t="str">
        <f t="shared" si="4"/>
        <v>TK-00143</v>
      </c>
      <c r="B144" s="19301">
        <v>25</v>
      </c>
      <c r="C144" s="19302">
        <v>46192</v>
      </c>
      <c r="D144" s="19303" t="s">
        <v>1</v>
      </c>
      <c r="E144" s="19304" t="s">
        <v>850</v>
      </c>
      <c r="F144" s="19305" t="s">
        <v>865</v>
      </c>
      <c r="G144" s="19306">
        <v>100</v>
      </c>
      <c r="H144" s="19307">
        <v>27</v>
      </c>
      <c r="I144" s="19308">
        <f t="shared" si="5"/>
        <v>2700</v>
      </c>
      <c r="J144" s="19309" t="s">
        <v>852</v>
      </c>
      <c r="K144" s="19310">
        <v>27</v>
      </c>
    </row>
    <row r="145" spans="1:11" ht="13.8">
      <c r="A145" s="19311" t="str">
        <f t="shared" si="4"/>
        <v>TK-00144</v>
      </c>
      <c r="B145" s="19312">
        <v>25</v>
      </c>
      <c r="C145" s="19313">
        <v>46192</v>
      </c>
      <c r="D145" s="19314" t="s">
        <v>1</v>
      </c>
      <c r="E145" s="19315" t="s">
        <v>850</v>
      </c>
      <c r="F145" s="19316" t="s">
        <v>858</v>
      </c>
      <c r="G145" s="19317">
        <v>20</v>
      </c>
      <c r="H145" s="19318">
        <v>27</v>
      </c>
      <c r="I145" s="19319">
        <f t="shared" si="5"/>
        <v>540</v>
      </c>
      <c r="J145" s="19320" t="s">
        <v>852</v>
      </c>
      <c r="K145" s="19321">
        <v>27</v>
      </c>
    </row>
    <row r="146" spans="1:11" ht="13.8">
      <c r="A146" s="19322" t="str">
        <f t="shared" si="4"/>
        <v>TK-00145</v>
      </c>
      <c r="B146" s="19323">
        <v>25</v>
      </c>
      <c r="C146" s="19324">
        <v>46192</v>
      </c>
      <c r="D146" s="19325" t="s">
        <v>1</v>
      </c>
      <c r="E146" s="19326" t="s">
        <v>850</v>
      </c>
      <c r="F146" s="19327" t="s">
        <v>879</v>
      </c>
      <c r="G146" s="19328">
        <v>60</v>
      </c>
      <c r="H146" s="19329">
        <v>27</v>
      </c>
      <c r="I146" s="19330">
        <f t="shared" si="5"/>
        <v>1620</v>
      </c>
      <c r="J146" s="19331" t="s">
        <v>852</v>
      </c>
      <c r="K146" s="19332">
        <v>27</v>
      </c>
    </row>
    <row r="147" spans="1:11" ht="13.8">
      <c r="A147" s="19333" t="str">
        <f t="shared" si="4"/>
        <v>TK-00146</v>
      </c>
      <c r="B147" s="19334">
        <v>25</v>
      </c>
      <c r="C147" s="19335">
        <v>46192</v>
      </c>
      <c r="D147" s="19336" t="s">
        <v>1</v>
      </c>
      <c r="E147" s="19337" t="s">
        <v>850</v>
      </c>
      <c r="F147" s="19338" t="s">
        <v>856</v>
      </c>
      <c r="G147" s="19339">
        <v>80</v>
      </c>
      <c r="H147" s="19340">
        <v>27</v>
      </c>
      <c r="I147" s="19341">
        <f t="shared" si="5"/>
        <v>2160</v>
      </c>
      <c r="J147" s="19342" t="s">
        <v>852</v>
      </c>
      <c r="K147" s="19343">
        <v>27</v>
      </c>
    </row>
    <row r="148" spans="1:11" ht="13.8">
      <c r="A148" s="19344" t="str">
        <f t="shared" si="4"/>
        <v>TK-00147</v>
      </c>
      <c r="B148" s="19345">
        <v>25</v>
      </c>
      <c r="C148" s="19346">
        <v>46192</v>
      </c>
      <c r="D148" s="19347" t="s">
        <v>1</v>
      </c>
      <c r="E148" s="19348" t="s">
        <v>850</v>
      </c>
      <c r="F148" s="19349" t="s">
        <v>862</v>
      </c>
      <c r="G148" s="19350">
        <v>40</v>
      </c>
      <c r="H148" s="19351">
        <v>27</v>
      </c>
      <c r="I148" s="19352">
        <f t="shared" si="5"/>
        <v>1080</v>
      </c>
      <c r="J148" s="19353" t="s">
        <v>852</v>
      </c>
      <c r="K148" s="19354">
        <v>27</v>
      </c>
    </row>
    <row r="149" spans="1:11" ht="13.8">
      <c r="A149" s="19355" t="str">
        <f t="shared" si="4"/>
        <v>TK-00148</v>
      </c>
      <c r="B149" s="19356">
        <v>25</v>
      </c>
      <c r="C149" s="19357">
        <v>46192</v>
      </c>
      <c r="D149" s="19358" t="s">
        <v>1</v>
      </c>
      <c r="E149" s="19359" t="s">
        <v>850</v>
      </c>
      <c r="F149" s="19360" t="s">
        <v>854</v>
      </c>
      <c r="G149" s="19361">
        <v>80</v>
      </c>
      <c r="H149" s="19362">
        <v>27</v>
      </c>
      <c r="I149" s="19363">
        <f t="shared" si="5"/>
        <v>2160</v>
      </c>
      <c r="J149" s="19364" t="s">
        <v>852</v>
      </c>
      <c r="K149" s="19365">
        <v>27</v>
      </c>
    </row>
    <row r="150" spans="1:11" ht="13.8">
      <c r="A150" s="19366" t="str">
        <f t="shared" si="4"/>
        <v>TK-00149</v>
      </c>
      <c r="B150" s="19367">
        <v>25</v>
      </c>
      <c r="C150" s="19368">
        <v>46192</v>
      </c>
      <c r="D150" s="19369" t="s">
        <v>1</v>
      </c>
      <c r="E150" s="19370" t="s">
        <v>850</v>
      </c>
      <c r="F150" s="19371" t="s">
        <v>859</v>
      </c>
      <c r="G150" s="19372">
        <v>50</v>
      </c>
      <c r="H150" s="19373">
        <v>27</v>
      </c>
      <c r="I150" s="19374">
        <f t="shared" si="5"/>
        <v>1350</v>
      </c>
      <c r="J150" s="19375" t="s">
        <v>852</v>
      </c>
      <c r="K150" s="19376">
        <v>27</v>
      </c>
    </row>
    <row r="151" spans="1:11" ht="13.8">
      <c r="A151" s="19377" t="str">
        <f t="shared" si="4"/>
        <v>TK-00150</v>
      </c>
      <c r="B151" s="19378">
        <v>25</v>
      </c>
      <c r="C151" s="19379"/>
      <c r="D151" s="19380" t="s">
        <v>111</v>
      </c>
      <c r="E151" s="19381" t="s">
        <v>850</v>
      </c>
      <c r="F151" s="19382" t="s">
        <v>854</v>
      </c>
      <c r="G151" s="19383">
        <v>60</v>
      </c>
      <c r="H151" s="19384">
        <v>27</v>
      </c>
      <c r="I151" s="19385">
        <f t="shared" si="5"/>
        <v>1620</v>
      </c>
      <c r="J151" s="19386" t="s">
        <v>852</v>
      </c>
      <c r="K151" s="19387">
        <v>27</v>
      </c>
    </row>
    <row r="152" spans="1:11" ht="13.8">
      <c r="A152" s="19388" t="str">
        <f t="shared" si="4"/>
        <v>TK-00151</v>
      </c>
      <c r="B152" s="19389">
        <v>25</v>
      </c>
      <c r="C152" s="19390"/>
      <c r="D152" s="19391" t="s">
        <v>111</v>
      </c>
      <c r="E152" s="19392" t="s">
        <v>850</v>
      </c>
      <c r="F152" s="19393" t="s">
        <v>854</v>
      </c>
      <c r="G152" s="19394">
        <v>50</v>
      </c>
      <c r="H152" s="19395">
        <v>27</v>
      </c>
      <c r="I152" s="19396">
        <f t="shared" si="5"/>
        <v>1350</v>
      </c>
      <c r="J152" s="19397" t="s">
        <v>852</v>
      </c>
      <c r="K152" s="19398">
        <v>27</v>
      </c>
    </row>
    <row r="153" spans="1:11" ht="13.8">
      <c r="A153" s="19399" t="str">
        <f t="shared" si="4"/>
        <v>TK-00152</v>
      </c>
      <c r="B153" s="19400">
        <v>26</v>
      </c>
      <c r="C153" s="19401">
        <v>46195</v>
      </c>
      <c r="D153" s="19402" t="s">
        <v>2</v>
      </c>
      <c r="E153" s="19403" t="s">
        <v>850</v>
      </c>
      <c r="F153" s="19404" t="s">
        <v>880</v>
      </c>
      <c r="G153" s="19405">
        <v>240</v>
      </c>
      <c r="H153" s="19406">
        <v>27</v>
      </c>
      <c r="I153" s="19407">
        <f t="shared" si="5"/>
        <v>6480</v>
      </c>
      <c r="J153" s="19408" t="s">
        <v>852</v>
      </c>
      <c r="K153" s="19409">
        <v>27</v>
      </c>
    </row>
    <row r="154" spans="1:11" ht="13.8">
      <c r="A154" s="19410" t="str">
        <f t="shared" si="4"/>
        <v>TK-00153</v>
      </c>
      <c r="B154" s="19411">
        <v>26</v>
      </c>
      <c r="C154" s="19412">
        <v>46195</v>
      </c>
      <c r="D154" s="19413" t="s">
        <v>2</v>
      </c>
      <c r="E154" s="19414" t="s">
        <v>850</v>
      </c>
      <c r="F154" s="19415" t="s">
        <v>881</v>
      </c>
      <c r="G154" s="19416">
        <v>20</v>
      </c>
      <c r="H154" s="19417">
        <v>27</v>
      </c>
      <c r="I154" s="19418">
        <f t="shared" si="5"/>
        <v>540</v>
      </c>
      <c r="J154" s="19419" t="s">
        <v>852</v>
      </c>
      <c r="K154" s="19420">
        <v>27</v>
      </c>
    </row>
    <row r="155" spans="1:11" ht="13.8">
      <c r="A155" s="19421" t="str">
        <f t="shared" si="4"/>
        <v>TK-00154</v>
      </c>
      <c r="B155" s="19422">
        <v>26</v>
      </c>
      <c r="C155" s="19423">
        <v>46195</v>
      </c>
      <c r="D155" s="19424" t="s">
        <v>2</v>
      </c>
      <c r="E155" s="19425" t="s">
        <v>850</v>
      </c>
      <c r="F155" s="19426" t="s">
        <v>882</v>
      </c>
      <c r="G155" s="19427">
        <v>30</v>
      </c>
      <c r="H155" s="19428">
        <v>27</v>
      </c>
      <c r="I155" s="19429">
        <f t="shared" si="5"/>
        <v>810</v>
      </c>
      <c r="J155" s="19430" t="s">
        <v>852</v>
      </c>
      <c r="K155" s="19431">
        <v>27</v>
      </c>
    </row>
    <row r="156" spans="1:11" ht="13.8">
      <c r="A156" s="19432" t="str">
        <f t="shared" si="4"/>
        <v>TK-00155</v>
      </c>
      <c r="B156" s="19433">
        <v>26</v>
      </c>
      <c r="C156" s="19434">
        <v>46195</v>
      </c>
      <c r="D156" s="19435" t="s">
        <v>2</v>
      </c>
      <c r="E156" s="19436" t="s">
        <v>850</v>
      </c>
      <c r="F156" s="19437" t="s">
        <v>883</v>
      </c>
      <c r="G156" s="19438">
        <v>80</v>
      </c>
      <c r="H156" s="19439">
        <v>27</v>
      </c>
      <c r="I156" s="19440">
        <f t="shared" si="5"/>
        <v>2160</v>
      </c>
      <c r="J156" s="19441" t="s">
        <v>852</v>
      </c>
      <c r="K156" s="19442">
        <v>27</v>
      </c>
    </row>
    <row r="157" spans="1:11" ht="13.8">
      <c r="A157" s="19443" t="str">
        <f t="shared" si="4"/>
        <v>TK-00156</v>
      </c>
      <c r="B157" s="19444">
        <v>26</v>
      </c>
      <c r="C157" s="19445">
        <v>46195</v>
      </c>
      <c r="D157" s="19446" t="s">
        <v>2</v>
      </c>
      <c r="E157" s="19447" t="s">
        <v>850</v>
      </c>
      <c r="F157" s="19448" t="s">
        <v>884</v>
      </c>
      <c r="G157" s="19449">
        <v>40</v>
      </c>
      <c r="H157" s="19450">
        <v>27</v>
      </c>
      <c r="I157" s="19451">
        <f t="shared" si="5"/>
        <v>1080</v>
      </c>
      <c r="J157" s="19452" t="s">
        <v>852</v>
      </c>
      <c r="K157" s="19453">
        <v>27</v>
      </c>
    </row>
    <row r="158" spans="1:11" ht="13.8">
      <c r="A158" s="19454" t="str">
        <f t="shared" si="4"/>
        <v>TK-00157</v>
      </c>
      <c r="B158" s="19455">
        <v>26</v>
      </c>
      <c r="C158" s="19456">
        <v>46195</v>
      </c>
      <c r="D158" s="19457" t="s">
        <v>2</v>
      </c>
      <c r="E158" s="19458" t="s">
        <v>850</v>
      </c>
      <c r="F158" s="19459" t="s">
        <v>885</v>
      </c>
      <c r="G158" s="19460">
        <v>24</v>
      </c>
      <c r="H158" s="19461">
        <v>27</v>
      </c>
      <c r="I158" s="19462">
        <f t="shared" si="5"/>
        <v>648</v>
      </c>
      <c r="J158" s="19463" t="s">
        <v>852</v>
      </c>
      <c r="K158" s="19464">
        <v>27</v>
      </c>
    </row>
    <row r="159" spans="1:11" ht="13.8">
      <c r="A159" s="19465" t="str">
        <f t="shared" si="4"/>
        <v>TK-00158</v>
      </c>
      <c r="B159" s="19466">
        <v>26</v>
      </c>
      <c r="C159" s="19467">
        <v>46195</v>
      </c>
      <c r="D159" s="19468" t="s">
        <v>2</v>
      </c>
      <c r="E159" s="19469" t="s">
        <v>850</v>
      </c>
      <c r="F159" s="19470" t="s">
        <v>886</v>
      </c>
      <c r="G159" s="19471">
        <v>60</v>
      </c>
      <c r="H159" s="19472">
        <v>27</v>
      </c>
      <c r="I159" s="19473">
        <f t="shared" si="5"/>
        <v>1620</v>
      </c>
      <c r="J159" s="19474" t="s">
        <v>852</v>
      </c>
      <c r="K159" s="19475">
        <v>27</v>
      </c>
    </row>
    <row r="160" spans="1:11" ht="13.8">
      <c r="A160" s="19476" t="str">
        <f t="shared" si="4"/>
        <v>TK-00159</v>
      </c>
      <c r="B160" s="19477">
        <v>26</v>
      </c>
      <c r="C160" s="19478">
        <v>46195</v>
      </c>
      <c r="D160" s="19479" t="s">
        <v>2</v>
      </c>
      <c r="E160" s="19480" t="s">
        <v>850</v>
      </c>
      <c r="F160" s="19481" t="s">
        <v>887</v>
      </c>
      <c r="G160" s="19482">
        <v>24</v>
      </c>
      <c r="H160" s="19483">
        <v>27</v>
      </c>
      <c r="I160" s="19484">
        <f t="shared" si="5"/>
        <v>648</v>
      </c>
      <c r="J160" s="19485" t="s">
        <v>852</v>
      </c>
      <c r="K160" s="19486">
        <v>27</v>
      </c>
    </row>
    <row r="161" spans="1:11" ht="13.8">
      <c r="A161" s="19487" t="str">
        <f t="shared" si="4"/>
        <v>TK-00160</v>
      </c>
      <c r="B161" s="19488">
        <v>26</v>
      </c>
      <c r="C161" s="19489">
        <v>46195</v>
      </c>
      <c r="D161" s="19490" t="s">
        <v>2</v>
      </c>
      <c r="E161" s="19491" t="s">
        <v>850</v>
      </c>
      <c r="F161" s="19492" t="s">
        <v>888</v>
      </c>
      <c r="G161" s="19493">
        <v>60</v>
      </c>
      <c r="H161" s="19494">
        <v>27</v>
      </c>
      <c r="I161" s="19495">
        <f t="shared" si="5"/>
        <v>1620</v>
      </c>
      <c r="J161" s="19496" t="s">
        <v>852</v>
      </c>
      <c r="K161" s="19497">
        <v>27</v>
      </c>
    </row>
    <row r="162" spans="1:11" ht="13.8">
      <c r="A162" s="19498" t="str">
        <f t="shared" si="4"/>
        <v>TK-00161</v>
      </c>
      <c r="B162" s="19499">
        <v>26</v>
      </c>
      <c r="C162" s="19500">
        <v>46196</v>
      </c>
      <c r="D162" s="19501" t="s">
        <v>2</v>
      </c>
      <c r="E162" s="19502" t="s">
        <v>850</v>
      </c>
      <c r="F162" s="19503" t="s">
        <v>880</v>
      </c>
      <c r="G162" s="19504">
        <v>240</v>
      </c>
      <c r="H162" s="19505">
        <v>27</v>
      </c>
      <c r="I162" s="19506">
        <f t="shared" si="5"/>
        <v>6480</v>
      </c>
      <c r="J162" s="19507" t="s">
        <v>852</v>
      </c>
      <c r="K162" s="19508">
        <v>27</v>
      </c>
    </row>
    <row r="163" spans="1:11" ht="13.8">
      <c r="A163" s="19509" t="str">
        <f t="shared" si="4"/>
        <v>TK-00162</v>
      </c>
      <c r="B163" s="19510">
        <v>26</v>
      </c>
      <c r="C163" s="19511">
        <v>46196</v>
      </c>
      <c r="D163" s="19512" t="s">
        <v>2</v>
      </c>
      <c r="E163" s="19513" t="s">
        <v>850</v>
      </c>
      <c r="F163" s="19514" t="s">
        <v>881</v>
      </c>
      <c r="G163" s="19515">
        <v>20</v>
      </c>
      <c r="H163" s="19516">
        <v>27</v>
      </c>
      <c r="I163" s="19517">
        <f t="shared" si="5"/>
        <v>540</v>
      </c>
      <c r="J163" s="19518" t="s">
        <v>852</v>
      </c>
      <c r="K163" s="19519">
        <v>27</v>
      </c>
    </row>
    <row r="164" spans="1:11" ht="13.8">
      <c r="A164" s="19520" t="str">
        <f t="shared" si="4"/>
        <v>TK-00163</v>
      </c>
      <c r="B164" s="19521">
        <v>26</v>
      </c>
      <c r="C164" s="19522">
        <v>46196</v>
      </c>
      <c r="D164" s="19523" t="s">
        <v>2</v>
      </c>
      <c r="E164" s="19524" t="s">
        <v>850</v>
      </c>
      <c r="F164" s="19525" t="s">
        <v>882</v>
      </c>
      <c r="G164" s="19526">
        <v>30</v>
      </c>
      <c r="H164" s="19527">
        <v>27</v>
      </c>
      <c r="I164" s="19528">
        <f t="shared" si="5"/>
        <v>810</v>
      </c>
      <c r="J164" s="19529" t="s">
        <v>852</v>
      </c>
      <c r="K164" s="19530">
        <v>27</v>
      </c>
    </row>
    <row r="165" spans="1:11" ht="13.8">
      <c r="A165" s="19531" t="str">
        <f t="shared" si="4"/>
        <v>TK-00164</v>
      </c>
      <c r="B165" s="19532">
        <v>26</v>
      </c>
      <c r="C165" s="19533">
        <v>46196</v>
      </c>
      <c r="D165" s="19534" t="s">
        <v>2</v>
      </c>
      <c r="E165" s="19535" t="s">
        <v>850</v>
      </c>
      <c r="F165" s="19536" t="s">
        <v>883</v>
      </c>
      <c r="G165" s="19537">
        <v>80</v>
      </c>
      <c r="H165" s="19538">
        <v>27</v>
      </c>
      <c r="I165" s="19539">
        <f t="shared" si="5"/>
        <v>2160</v>
      </c>
      <c r="J165" s="19540" t="s">
        <v>852</v>
      </c>
      <c r="K165" s="19541">
        <v>27</v>
      </c>
    </row>
    <row r="166" spans="1:11" ht="13.8">
      <c r="A166" s="19542" t="str">
        <f t="shared" si="4"/>
        <v>TK-00165</v>
      </c>
      <c r="B166" s="19543">
        <v>26</v>
      </c>
      <c r="C166" s="19544">
        <v>46196</v>
      </c>
      <c r="D166" s="19545" t="s">
        <v>2</v>
      </c>
      <c r="E166" s="19546" t="s">
        <v>850</v>
      </c>
      <c r="F166" s="19547" t="s">
        <v>884</v>
      </c>
      <c r="G166" s="19548">
        <v>40</v>
      </c>
      <c r="H166" s="19549">
        <v>27</v>
      </c>
      <c r="I166" s="19550">
        <f t="shared" si="5"/>
        <v>1080</v>
      </c>
      <c r="J166" s="19551" t="s">
        <v>852</v>
      </c>
      <c r="K166" s="19552">
        <v>27</v>
      </c>
    </row>
    <row r="167" spans="1:11" ht="13.8">
      <c r="A167" s="19553" t="str">
        <f t="shared" si="4"/>
        <v>TK-00166</v>
      </c>
      <c r="B167" s="19554">
        <v>26</v>
      </c>
      <c r="C167" s="19555">
        <v>46196</v>
      </c>
      <c r="D167" s="19556" t="s">
        <v>2</v>
      </c>
      <c r="E167" s="19557" t="s">
        <v>850</v>
      </c>
      <c r="F167" s="19558" t="s">
        <v>885</v>
      </c>
      <c r="G167" s="19559">
        <v>24</v>
      </c>
      <c r="H167" s="19560">
        <v>27</v>
      </c>
      <c r="I167" s="19561">
        <f t="shared" si="5"/>
        <v>648</v>
      </c>
      <c r="J167" s="19562" t="s">
        <v>852</v>
      </c>
      <c r="K167" s="19563">
        <v>27</v>
      </c>
    </row>
    <row r="168" spans="1:11" ht="13.8">
      <c r="A168" s="19564" t="str">
        <f t="shared" si="4"/>
        <v>TK-00167</v>
      </c>
      <c r="B168" s="19565">
        <v>26</v>
      </c>
      <c r="C168" s="19566">
        <v>46196</v>
      </c>
      <c r="D168" s="19567" t="s">
        <v>2</v>
      </c>
      <c r="E168" s="19568" t="s">
        <v>850</v>
      </c>
      <c r="F168" s="19569" t="s">
        <v>886</v>
      </c>
      <c r="G168" s="19570">
        <v>60</v>
      </c>
      <c r="H168" s="19571">
        <v>27</v>
      </c>
      <c r="I168" s="19572">
        <f t="shared" si="5"/>
        <v>1620</v>
      </c>
      <c r="J168" s="19573" t="s">
        <v>852</v>
      </c>
      <c r="K168" s="19574">
        <v>27</v>
      </c>
    </row>
    <row r="169" spans="1:11" ht="13.8">
      <c r="A169" s="19575" t="str">
        <f t="shared" si="4"/>
        <v>TK-00168</v>
      </c>
      <c r="B169" s="19576">
        <v>26</v>
      </c>
      <c r="C169" s="19577">
        <v>46196</v>
      </c>
      <c r="D169" s="19578" t="s">
        <v>2</v>
      </c>
      <c r="E169" s="19579" t="s">
        <v>850</v>
      </c>
      <c r="F169" s="19580" t="s">
        <v>887</v>
      </c>
      <c r="G169" s="19581">
        <v>24</v>
      </c>
      <c r="H169" s="19582">
        <v>27</v>
      </c>
      <c r="I169" s="19583">
        <f t="shared" si="5"/>
        <v>648</v>
      </c>
      <c r="J169" s="19584" t="s">
        <v>852</v>
      </c>
      <c r="K169" s="19585">
        <v>27</v>
      </c>
    </row>
    <row r="170" spans="1:11" ht="13.8">
      <c r="A170" s="19586" t="str">
        <f t="shared" si="4"/>
        <v>TK-00169</v>
      </c>
      <c r="B170" s="19587">
        <v>26</v>
      </c>
      <c r="C170" s="19588">
        <v>46196</v>
      </c>
      <c r="D170" s="19589" t="s">
        <v>2</v>
      </c>
      <c r="E170" s="19590" t="s">
        <v>850</v>
      </c>
      <c r="F170" s="19591" t="s">
        <v>888</v>
      </c>
      <c r="G170" s="19592">
        <v>60</v>
      </c>
      <c r="H170" s="19593">
        <v>27</v>
      </c>
      <c r="I170" s="19594">
        <f t="shared" si="5"/>
        <v>1620</v>
      </c>
      <c r="J170" s="19595" t="s">
        <v>852</v>
      </c>
      <c r="K170" s="19596">
        <v>27</v>
      </c>
    </row>
    <row r="171" spans="1:11" ht="13.8">
      <c r="A171" s="19597" t="str">
        <f t="shared" si="4"/>
        <v>TK-00170</v>
      </c>
      <c r="B171" s="19598">
        <v>26</v>
      </c>
      <c r="C171" s="19599">
        <v>46197</v>
      </c>
      <c r="D171" s="19600" t="s">
        <v>2</v>
      </c>
      <c r="E171" s="19601" t="s">
        <v>850</v>
      </c>
      <c r="F171" s="19602" t="s">
        <v>880</v>
      </c>
      <c r="G171" s="19603">
        <v>240</v>
      </c>
      <c r="H171" s="19604">
        <v>27</v>
      </c>
      <c r="I171" s="19605">
        <f t="shared" si="5"/>
        <v>6480</v>
      </c>
      <c r="J171" s="19606" t="s">
        <v>852</v>
      </c>
      <c r="K171" s="19607">
        <v>27</v>
      </c>
    </row>
    <row r="172" spans="1:11" ht="13.8">
      <c r="A172" s="19608" t="str">
        <f t="shared" si="4"/>
        <v>TK-00171</v>
      </c>
      <c r="B172" s="19609">
        <v>26</v>
      </c>
      <c r="C172" s="19610">
        <v>46197</v>
      </c>
      <c r="D172" s="19611" t="s">
        <v>2</v>
      </c>
      <c r="E172" s="19612" t="s">
        <v>850</v>
      </c>
      <c r="F172" s="19613" t="s">
        <v>881</v>
      </c>
      <c r="G172" s="19614">
        <v>20</v>
      </c>
      <c r="H172" s="19615">
        <v>27</v>
      </c>
      <c r="I172" s="19616">
        <f t="shared" si="5"/>
        <v>540</v>
      </c>
      <c r="J172" s="19617" t="s">
        <v>852</v>
      </c>
      <c r="K172" s="19618">
        <v>27</v>
      </c>
    </row>
    <row r="173" spans="1:11" ht="13.8">
      <c r="A173" s="19619" t="str">
        <f t="shared" si="4"/>
        <v>TK-00172</v>
      </c>
      <c r="B173" s="19620">
        <v>26</v>
      </c>
      <c r="C173" s="19621">
        <v>46197</v>
      </c>
      <c r="D173" s="19622" t="s">
        <v>2</v>
      </c>
      <c r="E173" s="19623" t="s">
        <v>850</v>
      </c>
      <c r="F173" s="19624" t="s">
        <v>882</v>
      </c>
      <c r="G173" s="19625">
        <v>30</v>
      </c>
      <c r="H173" s="19626">
        <v>27</v>
      </c>
      <c r="I173" s="19627">
        <f t="shared" si="5"/>
        <v>810</v>
      </c>
      <c r="J173" s="19628" t="s">
        <v>852</v>
      </c>
      <c r="K173" s="19629">
        <v>27</v>
      </c>
    </row>
    <row r="174" spans="1:11" ht="13.8">
      <c r="A174" s="19630" t="str">
        <f t="shared" si="4"/>
        <v>TK-00173</v>
      </c>
      <c r="B174" s="19631">
        <v>26</v>
      </c>
      <c r="C174" s="19632">
        <v>46197</v>
      </c>
      <c r="D174" s="19633" t="s">
        <v>2</v>
      </c>
      <c r="E174" s="19634" t="s">
        <v>850</v>
      </c>
      <c r="F174" s="19635" t="s">
        <v>883</v>
      </c>
      <c r="G174" s="19636">
        <v>80</v>
      </c>
      <c r="H174" s="19637">
        <v>27</v>
      </c>
      <c r="I174" s="19638">
        <f t="shared" si="5"/>
        <v>2160</v>
      </c>
      <c r="J174" s="19639" t="s">
        <v>852</v>
      </c>
      <c r="K174" s="19640">
        <v>27</v>
      </c>
    </row>
    <row r="175" spans="1:11" ht="13.8">
      <c r="A175" s="19641" t="str">
        <f t="shared" si="4"/>
        <v>TK-00174</v>
      </c>
      <c r="B175" s="19642">
        <v>26</v>
      </c>
      <c r="C175" s="19643">
        <v>46197</v>
      </c>
      <c r="D175" s="19644" t="s">
        <v>2</v>
      </c>
      <c r="E175" s="19645" t="s">
        <v>850</v>
      </c>
      <c r="F175" s="19646" t="s">
        <v>884</v>
      </c>
      <c r="G175" s="19647">
        <v>40</v>
      </c>
      <c r="H175" s="19648">
        <v>27</v>
      </c>
      <c r="I175" s="19649">
        <f t="shared" si="5"/>
        <v>1080</v>
      </c>
      <c r="J175" s="19650" t="s">
        <v>852</v>
      </c>
      <c r="K175" s="19651">
        <v>27</v>
      </c>
    </row>
    <row r="176" spans="1:11" ht="13.8">
      <c r="A176" s="19652" t="str">
        <f t="shared" si="4"/>
        <v>TK-00175</v>
      </c>
      <c r="B176" s="19653">
        <v>26</v>
      </c>
      <c r="C176" s="19654">
        <v>46197</v>
      </c>
      <c r="D176" s="19655" t="s">
        <v>2</v>
      </c>
      <c r="E176" s="19656" t="s">
        <v>850</v>
      </c>
      <c r="F176" s="19657" t="s">
        <v>885</v>
      </c>
      <c r="G176" s="19658">
        <v>24</v>
      </c>
      <c r="H176" s="19659">
        <v>27</v>
      </c>
      <c r="I176" s="19660">
        <f t="shared" si="5"/>
        <v>648</v>
      </c>
      <c r="J176" s="19661" t="s">
        <v>852</v>
      </c>
      <c r="K176" s="19662">
        <v>27</v>
      </c>
    </row>
    <row r="177" spans="1:11" ht="13.8">
      <c r="A177" s="19663" t="str">
        <f t="shared" si="4"/>
        <v>TK-00176</v>
      </c>
      <c r="B177" s="19664">
        <v>26</v>
      </c>
      <c r="C177" s="19665">
        <v>46197</v>
      </c>
      <c r="D177" s="19666" t="s">
        <v>2</v>
      </c>
      <c r="E177" s="19667" t="s">
        <v>850</v>
      </c>
      <c r="F177" s="19668" t="s">
        <v>886</v>
      </c>
      <c r="G177" s="19669">
        <v>60</v>
      </c>
      <c r="H177" s="19670">
        <v>27</v>
      </c>
      <c r="I177" s="19671">
        <f t="shared" si="5"/>
        <v>1620</v>
      </c>
      <c r="J177" s="19672" t="s">
        <v>852</v>
      </c>
      <c r="K177" s="19673">
        <v>27</v>
      </c>
    </row>
    <row r="178" spans="1:11" ht="13.8">
      <c r="A178" s="19674" t="str">
        <f t="shared" si="4"/>
        <v>TK-00177</v>
      </c>
      <c r="B178" s="19675">
        <v>26</v>
      </c>
      <c r="C178" s="19676">
        <v>46197</v>
      </c>
      <c r="D178" s="19677" t="s">
        <v>2</v>
      </c>
      <c r="E178" s="19678" t="s">
        <v>850</v>
      </c>
      <c r="F178" s="19679" t="s">
        <v>887</v>
      </c>
      <c r="G178" s="19680">
        <v>24</v>
      </c>
      <c r="H178" s="19681">
        <v>27</v>
      </c>
      <c r="I178" s="19682">
        <f t="shared" si="5"/>
        <v>648</v>
      </c>
      <c r="J178" s="19683" t="s">
        <v>852</v>
      </c>
      <c r="K178" s="19684">
        <v>27</v>
      </c>
    </row>
    <row r="179" spans="1:11" ht="13.8">
      <c r="A179" s="19685" t="str">
        <f t="shared" si="4"/>
        <v>TK-00178</v>
      </c>
      <c r="B179" s="19686">
        <v>26</v>
      </c>
      <c r="C179" s="19687">
        <v>46197</v>
      </c>
      <c r="D179" s="19688" t="s">
        <v>2</v>
      </c>
      <c r="E179" s="19689" t="s">
        <v>850</v>
      </c>
      <c r="F179" s="19690" t="s">
        <v>888</v>
      </c>
      <c r="G179" s="19691">
        <v>60</v>
      </c>
      <c r="H179" s="19692">
        <v>27</v>
      </c>
      <c r="I179" s="19693">
        <f t="shared" si="5"/>
        <v>1620</v>
      </c>
      <c r="J179" s="19694" t="s">
        <v>852</v>
      </c>
      <c r="K179" s="19695">
        <v>27</v>
      </c>
    </row>
    <row r="180" spans="1:11" ht="13.8">
      <c r="A180" s="19696" t="str">
        <f t="shared" si="4"/>
        <v>TK-00179</v>
      </c>
      <c r="B180" s="19697">
        <v>26</v>
      </c>
      <c r="C180" s="19698">
        <v>46198</v>
      </c>
      <c r="D180" s="19699" t="s">
        <v>2</v>
      </c>
      <c r="E180" s="19700" t="s">
        <v>850</v>
      </c>
      <c r="F180" s="19701" t="s">
        <v>880</v>
      </c>
      <c r="G180" s="19702">
        <v>240</v>
      </c>
      <c r="H180" s="19703">
        <v>27</v>
      </c>
      <c r="I180" s="19704">
        <f t="shared" si="5"/>
        <v>6480</v>
      </c>
      <c r="J180" s="19705" t="s">
        <v>852</v>
      </c>
      <c r="K180" s="19706">
        <v>27</v>
      </c>
    </row>
    <row r="181" spans="1:11" ht="13.8">
      <c r="A181" s="19707" t="str">
        <f t="shared" si="4"/>
        <v>TK-00180</v>
      </c>
      <c r="B181" s="19708">
        <v>26</v>
      </c>
      <c r="C181" s="19709">
        <v>46198</v>
      </c>
      <c r="D181" s="19710" t="s">
        <v>2</v>
      </c>
      <c r="E181" s="19711" t="s">
        <v>850</v>
      </c>
      <c r="F181" s="19712" t="s">
        <v>881</v>
      </c>
      <c r="G181" s="19713">
        <v>20</v>
      </c>
      <c r="H181" s="19714">
        <v>27</v>
      </c>
      <c r="I181" s="19715">
        <f t="shared" si="5"/>
        <v>540</v>
      </c>
      <c r="J181" s="19716" t="s">
        <v>852</v>
      </c>
      <c r="K181" s="19717">
        <v>27</v>
      </c>
    </row>
    <row r="182" spans="1:11" ht="13.8">
      <c r="A182" s="19718" t="str">
        <f t="shared" si="4"/>
        <v>TK-00181</v>
      </c>
      <c r="B182" s="19719">
        <v>26</v>
      </c>
      <c r="C182" s="19720">
        <v>46198</v>
      </c>
      <c r="D182" s="19721" t="s">
        <v>2</v>
      </c>
      <c r="E182" s="19722" t="s">
        <v>850</v>
      </c>
      <c r="F182" s="19723" t="s">
        <v>882</v>
      </c>
      <c r="G182" s="19724">
        <v>30</v>
      </c>
      <c r="H182" s="19725">
        <v>27</v>
      </c>
      <c r="I182" s="19726">
        <f t="shared" si="5"/>
        <v>810</v>
      </c>
      <c r="J182" s="19727" t="s">
        <v>852</v>
      </c>
      <c r="K182" s="19728">
        <v>27</v>
      </c>
    </row>
    <row r="183" spans="1:11" ht="13.8">
      <c r="A183" s="19729" t="str">
        <f t="shared" si="4"/>
        <v>TK-00182</v>
      </c>
      <c r="B183" s="19730">
        <v>26</v>
      </c>
      <c r="C183" s="19731">
        <v>46198</v>
      </c>
      <c r="D183" s="19732" t="s">
        <v>2</v>
      </c>
      <c r="E183" s="19733" t="s">
        <v>850</v>
      </c>
      <c r="F183" s="19734" t="s">
        <v>883</v>
      </c>
      <c r="G183" s="19735">
        <v>80</v>
      </c>
      <c r="H183" s="19736">
        <v>27</v>
      </c>
      <c r="I183" s="19737">
        <f t="shared" si="5"/>
        <v>2160</v>
      </c>
      <c r="J183" s="19738" t="s">
        <v>852</v>
      </c>
      <c r="K183" s="19739">
        <v>27</v>
      </c>
    </row>
    <row r="184" spans="1:11" ht="13.8">
      <c r="A184" s="19740" t="str">
        <f t="shared" si="4"/>
        <v>TK-00183</v>
      </c>
      <c r="B184" s="19741">
        <v>26</v>
      </c>
      <c r="C184" s="19742">
        <v>46198</v>
      </c>
      <c r="D184" s="19743" t="s">
        <v>2</v>
      </c>
      <c r="E184" s="19744" t="s">
        <v>850</v>
      </c>
      <c r="F184" s="19745" t="s">
        <v>884</v>
      </c>
      <c r="G184" s="19746">
        <v>40</v>
      </c>
      <c r="H184" s="19747">
        <v>27</v>
      </c>
      <c r="I184" s="19748">
        <f t="shared" si="5"/>
        <v>1080</v>
      </c>
      <c r="J184" s="19749" t="s">
        <v>852</v>
      </c>
      <c r="K184" s="19750">
        <v>27</v>
      </c>
    </row>
    <row r="185" spans="1:11" ht="13.8">
      <c r="A185" s="19751" t="str">
        <f t="shared" si="4"/>
        <v>TK-00184</v>
      </c>
      <c r="B185" s="19752">
        <v>26</v>
      </c>
      <c r="C185" s="19753">
        <v>46198</v>
      </c>
      <c r="D185" s="19754" t="s">
        <v>2</v>
      </c>
      <c r="E185" s="19755" t="s">
        <v>850</v>
      </c>
      <c r="F185" s="19756" t="s">
        <v>885</v>
      </c>
      <c r="G185" s="19757">
        <v>24</v>
      </c>
      <c r="H185" s="19758">
        <v>27</v>
      </c>
      <c r="I185" s="19759">
        <f t="shared" si="5"/>
        <v>648</v>
      </c>
      <c r="J185" s="19760" t="s">
        <v>852</v>
      </c>
      <c r="K185" s="19761">
        <v>27</v>
      </c>
    </row>
    <row r="186" spans="1:11" ht="13.8">
      <c r="A186" s="19762" t="str">
        <f t="shared" si="4"/>
        <v>TK-00185</v>
      </c>
      <c r="B186" s="19763">
        <v>26</v>
      </c>
      <c r="C186" s="19764">
        <v>46198</v>
      </c>
      <c r="D186" s="19765" t="s">
        <v>2</v>
      </c>
      <c r="E186" s="19766" t="s">
        <v>850</v>
      </c>
      <c r="F186" s="19767" t="s">
        <v>886</v>
      </c>
      <c r="G186" s="19768">
        <v>60</v>
      </c>
      <c r="H186" s="19769">
        <v>27</v>
      </c>
      <c r="I186" s="19770">
        <f t="shared" si="5"/>
        <v>1620</v>
      </c>
      <c r="J186" s="19771" t="s">
        <v>852</v>
      </c>
      <c r="K186" s="19772">
        <v>27</v>
      </c>
    </row>
    <row r="187" spans="1:11" ht="13.8">
      <c r="A187" s="19773" t="str">
        <f t="shared" si="4"/>
        <v>TK-00186</v>
      </c>
      <c r="B187" s="19774">
        <v>26</v>
      </c>
      <c r="C187" s="19775">
        <v>46198</v>
      </c>
      <c r="D187" s="19776" t="s">
        <v>2</v>
      </c>
      <c r="E187" s="19777" t="s">
        <v>850</v>
      </c>
      <c r="F187" s="19778" t="s">
        <v>887</v>
      </c>
      <c r="G187" s="19779">
        <v>24</v>
      </c>
      <c r="H187" s="19780">
        <v>27</v>
      </c>
      <c r="I187" s="19781">
        <f t="shared" si="5"/>
        <v>648</v>
      </c>
      <c r="J187" s="19782" t="s">
        <v>852</v>
      </c>
      <c r="K187" s="19783">
        <v>27</v>
      </c>
    </row>
    <row r="188" spans="1:11" ht="13.8">
      <c r="A188" s="19784" t="str">
        <f t="shared" si="4"/>
        <v>TK-00187</v>
      </c>
      <c r="B188" s="19785">
        <v>26</v>
      </c>
      <c r="C188" s="19786">
        <v>46198</v>
      </c>
      <c r="D188" s="19787" t="s">
        <v>2</v>
      </c>
      <c r="E188" s="19788" t="s">
        <v>850</v>
      </c>
      <c r="F188" s="19789" t="s">
        <v>888</v>
      </c>
      <c r="G188" s="19790">
        <v>60</v>
      </c>
      <c r="H188" s="19791">
        <v>27</v>
      </c>
      <c r="I188" s="19792">
        <f t="shared" si="5"/>
        <v>1620</v>
      </c>
      <c r="J188" s="19793" t="s">
        <v>852</v>
      </c>
      <c r="K188" s="19794">
        <v>27</v>
      </c>
    </row>
    <row r="189" spans="1:11" ht="13.8">
      <c r="A189" s="19795" t="str">
        <f t="shared" si="4"/>
        <v>TK-00188</v>
      </c>
      <c r="B189" s="19796">
        <v>26</v>
      </c>
      <c r="C189" s="19797">
        <v>46199</v>
      </c>
      <c r="D189" s="19798" t="s">
        <v>2</v>
      </c>
      <c r="E189" s="19799" t="s">
        <v>850</v>
      </c>
      <c r="F189" s="19800" t="s">
        <v>880</v>
      </c>
      <c r="G189" s="19801">
        <v>240</v>
      </c>
      <c r="H189" s="19802">
        <v>27</v>
      </c>
      <c r="I189" s="19803">
        <f t="shared" si="5"/>
        <v>6480</v>
      </c>
      <c r="J189" s="19804" t="s">
        <v>852</v>
      </c>
      <c r="K189" s="19805">
        <v>27</v>
      </c>
    </row>
    <row r="190" spans="1:11" ht="13.8">
      <c r="A190" s="19806" t="str">
        <f t="shared" si="4"/>
        <v>TK-00189</v>
      </c>
      <c r="B190" s="19807">
        <v>26</v>
      </c>
      <c r="C190" s="19808">
        <v>46199</v>
      </c>
      <c r="D190" s="19809" t="s">
        <v>2</v>
      </c>
      <c r="E190" s="19810" t="s">
        <v>850</v>
      </c>
      <c r="F190" s="19811" t="s">
        <v>881</v>
      </c>
      <c r="G190" s="19812">
        <v>20</v>
      </c>
      <c r="H190" s="19813">
        <v>27</v>
      </c>
      <c r="I190" s="19814">
        <f t="shared" si="5"/>
        <v>540</v>
      </c>
      <c r="J190" s="19815" t="s">
        <v>852</v>
      </c>
      <c r="K190" s="19816">
        <v>27</v>
      </c>
    </row>
    <row r="191" spans="1:11" ht="13.8">
      <c r="A191" s="19817" t="str">
        <f t="shared" si="4"/>
        <v>TK-00190</v>
      </c>
      <c r="B191" s="19818">
        <v>26</v>
      </c>
      <c r="C191" s="19819">
        <v>46199</v>
      </c>
      <c r="D191" s="19820" t="s">
        <v>2</v>
      </c>
      <c r="E191" s="19821" t="s">
        <v>850</v>
      </c>
      <c r="F191" s="19822" t="s">
        <v>882</v>
      </c>
      <c r="G191" s="19823">
        <v>30</v>
      </c>
      <c r="H191" s="19824">
        <v>27</v>
      </c>
      <c r="I191" s="19825">
        <f t="shared" si="5"/>
        <v>810</v>
      </c>
      <c r="J191" s="19826" t="s">
        <v>852</v>
      </c>
      <c r="K191" s="19827">
        <v>27</v>
      </c>
    </row>
    <row r="192" spans="1:11" ht="13.8">
      <c r="A192" s="19828" t="str">
        <f t="shared" si="4"/>
        <v>TK-00191</v>
      </c>
      <c r="B192" s="19829">
        <v>26</v>
      </c>
      <c r="C192" s="19830">
        <v>46199</v>
      </c>
      <c r="D192" s="19831" t="s">
        <v>2</v>
      </c>
      <c r="E192" s="19832" t="s">
        <v>850</v>
      </c>
      <c r="F192" s="19833" t="s">
        <v>883</v>
      </c>
      <c r="G192" s="19834">
        <v>80</v>
      </c>
      <c r="H192" s="19835">
        <v>27</v>
      </c>
      <c r="I192" s="19836">
        <f t="shared" si="5"/>
        <v>2160</v>
      </c>
      <c r="J192" s="19837" t="s">
        <v>852</v>
      </c>
      <c r="K192" s="19838">
        <v>27</v>
      </c>
    </row>
    <row r="193" spans="1:11" ht="13.8">
      <c r="A193" s="19839" t="str">
        <f t="shared" si="4"/>
        <v>TK-00192</v>
      </c>
      <c r="B193" s="19840">
        <v>26</v>
      </c>
      <c r="C193" s="19841">
        <v>46199</v>
      </c>
      <c r="D193" s="19842" t="s">
        <v>2</v>
      </c>
      <c r="E193" s="19843" t="s">
        <v>850</v>
      </c>
      <c r="F193" s="19844" t="s">
        <v>884</v>
      </c>
      <c r="G193" s="19845">
        <v>40</v>
      </c>
      <c r="H193" s="19846">
        <v>27</v>
      </c>
      <c r="I193" s="19847">
        <f t="shared" si="5"/>
        <v>1080</v>
      </c>
      <c r="J193" s="19848" t="s">
        <v>852</v>
      </c>
      <c r="K193" s="19849">
        <v>27</v>
      </c>
    </row>
    <row r="194" spans="1:11" ht="13.8">
      <c r="A194" s="19850" t="str">
        <f t="shared" ref="A194:A257" si="6">"TK-"&amp;TEXT(ROW()-1, "00000")</f>
        <v>TK-00193</v>
      </c>
      <c r="B194" s="19851">
        <v>26</v>
      </c>
      <c r="C194" s="19852">
        <v>46199</v>
      </c>
      <c r="D194" s="19853" t="s">
        <v>2</v>
      </c>
      <c r="E194" s="19854" t="s">
        <v>850</v>
      </c>
      <c r="F194" s="19855" t="s">
        <v>885</v>
      </c>
      <c r="G194" s="19856">
        <v>24</v>
      </c>
      <c r="H194" s="19857">
        <v>27</v>
      </c>
      <c r="I194" s="19858">
        <f t="shared" ref="I194:I257" si="7">G194*H194</f>
        <v>648</v>
      </c>
      <c r="J194" s="19859" t="s">
        <v>852</v>
      </c>
      <c r="K194" s="19860">
        <v>27</v>
      </c>
    </row>
    <row r="195" spans="1:11" ht="13.8">
      <c r="A195" s="19861" t="str">
        <f t="shared" si="6"/>
        <v>TK-00194</v>
      </c>
      <c r="B195" s="19862">
        <v>26</v>
      </c>
      <c r="C195" s="19863">
        <v>46199</v>
      </c>
      <c r="D195" s="19864" t="s">
        <v>2</v>
      </c>
      <c r="E195" s="19865" t="s">
        <v>850</v>
      </c>
      <c r="F195" s="19866" t="s">
        <v>886</v>
      </c>
      <c r="G195" s="19867">
        <v>60</v>
      </c>
      <c r="H195" s="19868">
        <v>27</v>
      </c>
      <c r="I195" s="19869">
        <f t="shared" si="7"/>
        <v>1620</v>
      </c>
      <c r="J195" s="19870" t="s">
        <v>852</v>
      </c>
      <c r="K195" s="19871">
        <v>27</v>
      </c>
    </row>
    <row r="196" spans="1:11" ht="13.8">
      <c r="A196" s="19872" t="str">
        <f t="shared" si="6"/>
        <v>TK-00195</v>
      </c>
      <c r="B196" s="19873">
        <v>26</v>
      </c>
      <c r="C196" s="19874">
        <v>46199</v>
      </c>
      <c r="D196" s="19875" t="s">
        <v>2</v>
      </c>
      <c r="E196" s="19876" t="s">
        <v>850</v>
      </c>
      <c r="F196" s="19877" t="s">
        <v>887</v>
      </c>
      <c r="G196" s="19878">
        <v>24</v>
      </c>
      <c r="H196" s="19879">
        <v>27</v>
      </c>
      <c r="I196" s="19880">
        <f t="shared" si="7"/>
        <v>648</v>
      </c>
      <c r="J196" s="19881" t="s">
        <v>852</v>
      </c>
      <c r="K196" s="19882">
        <v>27</v>
      </c>
    </row>
    <row r="197" spans="1:11" ht="13.8">
      <c r="A197" s="19883" t="str">
        <f t="shared" si="6"/>
        <v>TK-00196</v>
      </c>
      <c r="B197" s="19884">
        <v>26</v>
      </c>
      <c r="C197" s="19885">
        <v>46199</v>
      </c>
      <c r="D197" s="19886" t="s">
        <v>2</v>
      </c>
      <c r="E197" s="19887" t="s">
        <v>850</v>
      </c>
      <c r="F197" s="19888" t="s">
        <v>888</v>
      </c>
      <c r="G197" s="19889">
        <v>60</v>
      </c>
      <c r="H197" s="19890">
        <v>27</v>
      </c>
      <c r="I197" s="19891">
        <f t="shared" si="7"/>
        <v>1620</v>
      </c>
      <c r="J197" s="19892" t="s">
        <v>852</v>
      </c>
      <c r="K197" s="19893">
        <v>27</v>
      </c>
    </row>
    <row r="198" spans="1:11" ht="13.8">
      <c r="A198" s="19894" t="str">
        <f t="shared" si="6"/>
        <v>TK-00197</v>
      </c>
      <c r="B198" s="19895">
        <v>26</v>
      </c>
      <c r="C198" s="19896">
        <v>46195</v>
      </c>
      <c r="D198" s="19897" t="s">
        <v>124</v>
      </c>
      <c r="E198" s="19898" t="s">
        <v>850</v>
      </c>
      <c r="F198" s="19899" t="s">
        <v>889</v>
      </c>
      <c r="G198" s="19900">
        <v>300</v>
      </c>
      <c r="H198" s="19901">
        <v>27</v>
      </c>
      <c r="I198" s="19902">
        <f t="shared" si="7"/>
        <v>8100</v>
      </c>
      <c r="J198" s="19903" t="s">
        <v>852</v>
      </c>
      <c r="K198" s="19904">
        <v>27</v>
      </c>
    </row>
    <row r="199" spans="1:11" ht="13.8">
      <c r="A199" s="19905" t="str">
        <f t="shared" si="6"/>
        <v>TK-00198</v>
      </c>
      <c r="B199" s="19906">
        <v>26</v>
      </c>
      <c r="C199" s="19907">
        <v>46195</v>
      </c>
      <c r="D199" s="19908" t="s">
        <v>124</v>
      </c>
      <c r="E199" s="19909" t="s">
        <v>850</v>
      </c>
      <c r="F199" s="19910" t="s">
        <v>890</v>
      </c>
      <c r="G199" s="19911">
        <v>100</v>
      </c>
      <c r="H199" s="19912">
        <v>27</v>
      </c>
      <c r="I199" s="19913">
        <f t="shared" si="7"/>
        <v>2700</v>
      </c>
      <c r="J199" s="19914" t="s">
        <v>852</v>
      </c>
      <c r="K199" s="19915">
        <v>27</v>
      </c>
    </row>
    <row r="200" spans="1:11" ht="13.8">
      <c r="A200" s="19916" t="str">
        <f t="shared" si="6"/>
        <v>TK-00199</v>
      </c>
      <c r="B200" s="19917">
        <v>26</v>
      </c>
      <c r="C200" s="19918">
        <v>46195</v>
      </c>
      <c r="D200" s="19919" t="s">
        <v>124</v>
      </c>
      <c r="E200" s="19920" t="s">
        <v>850</v>
      </c>
      <c r="F200" s="19921" t="s">
        <v>891</v>
      </c>
      <c r="G200" s="19922">
        <v>100</v>
      </c>
      <c r="H200" s="19923">
        <v>27</v>
      </c>
      <c r="I200" s="19924">
        <f t="shared" si="7"/>
        <v>2700</v>
      </c>
      <c r="J200" s="19925" t="s">
        <v>852</v>
      </c>
      <c r="K200" s="19926">
        <v>27</v>
      </c>
    </row>
    <row r="201" spans="1:11" ht="13.8">
      <c r="A201" s="19927" t="str">
        <f t="shared" si="6"/>
        <v>TK-00200</v>
      </c>
      <c r="B201" s="19928">
        <v>26</v>
      </c>
      <c r="C201" s="19929">
        <v>46195</v>
      </c>
      <c r="D201" s="19930" t="s">
        <v>124</v>
      </c>
      <c r="E201" s="19931" t="s">
        <v>850</v>
      </c>
      <c r="F201" s="19932" t="s">
        <v>892</v>
      </c>
      <c r="G201" s="19933">
        <v>100</v>
      </c>
      <c r="H201" s="19934">
        <v>27</v>
      </c>
      <c r="I201" s="19935">
        <f t="shared" si="7"/>
        <v>2700</v>
      </c>
      <c r="J201" s="19936" t="s">
        <v>852</v>
      </c>
      <c r="K201" s="19937">
        <v>27</v>
      </c>
    </row>
    <row r="202" spans="1:11" ht="13.8">
      <c r="A202" s="19938" t="str">
        <f t="shared" si="6"/>
        <v>TK-00201</v>
      </c>
      <c r="B202" s="19939">
        <v>26</v>
      </c>
      <c r="C202" s="19940">
        <v>46196</v>
      </c>
      <c r="D202" s="19941" t="s">
        <v>124</v>
      </c>
      <c r="E202" s="19942" t="s">
        <v>850</v>
      </c>
      <c r="F202" s="19943" t="s">
        <v>889</v>
      </c>
      <c r="G202" s="19944">
        <v>300</v>
      </c>
      <c r="H202" s="19945">
        <v>27</v>
      </c>
      <c r="I202" s="19946">
        <f t="shared" si="7"/>
        <v>8100</v>
      </c>
      <c r="J202" s="19947" t="s">
        <v>852</v>
      </c>
      <c r="K202" s="19948">
        <v>27</v>
      </c>
    </row>
    <row r="203" spans="1:11" ht="13.8">
      <c r="A203" s="19949" t="str">
        <f t="shared" si="6"/>
        <v>TK-00202</v>
      </c>
      <c r="B203" s="19950">
        <v>26</v>
      </c>
      <c r="C203" s="19951">
        <v>46196</v>
      </c>
      <c r="D203" s="19952" t="s">
        <v>124</v>
      </c>
      <c r="E203" s="19953" t="s">
        <v>850</v>
      </c>
      <c r="F203" s="19954" t="s">
        <v>890</v>
      </c>
      <c r="G203" s="19955">
        <v>100</v>
      </c>
      <c r="H203" s="19956">
        <v>27</v>
      </c>
      <c r="I203" s="19957">
        <f t="shared" si="7"/>
        <v>2700</v>
      </c>
      <c r="J203" s="19958" t="s">
        <v>852</v>
      </c>
      <c r="K203" s="19959">
        <v>27</v>
      </c>
    </row>
    <row r="204" spans="1:11" ht="13.8">
      <c r="A204" s="19960" t="str">
        <f t="shared" si="6"/>
        <v>TK-00203</v>
      </c>
      <c r="B204" s="19961">
        <v>26</v>
      </c>
      <c r="C204" s="19962">
        <v>46197</v>
      </c>
      <c r="D204" s="19963" t="s">
        <v>124</v>
      </c>
      <c r="E204" s="19964" t="s">
        <v>850</v>
      </c>
      <c r="F204" s="19965" t="s">
        <v>889</v>
      </c>
      <c r="G204" s="19966">
        <v>300</v>
      </c>
      <c r="H204" s="19967">
        <v>27</v>
      </c>
      <c r="I204" s="19968">
        <f t="shared" si="7"/>
        <v>8100</v>
      </c>
      <c r="J204" s="19969" t="s">
        <v>852</v>
      </c>
      <c r="K204" s="19970">
        <v>27</v>
      </c>
    </row>
    <row r="205" spans="1:11" ht="13.8">
      <c r="A205" s="19971" t="str">
        <f t="shared" si="6"/>
        <v>TK-00204</v>
      </c>
      <c r="B205" s="19972">
        <v>26</v>
      </c>
      <c r="C205" s="19973">
        <v>46197</v>
      </c>
      <c r="D205" s="19974" t="s">
        <v>124</v>
      </c>
      <c r="E205" s="19975" t="s">
        <v>850</v>
      </c>
      <c r="F205" s="19976" t="s">
        <v>890</v>
      </c>
      <c r="G205" s="19977">
        <v>100</v>
      </c>
      <c r="H205" s="19978">
        <v>27</v>
      </c>
      <c r="I205" s="19979">
        <f t="shared" si="7"/>
        <v>2700</v>
      </c>
      <c r="J205" s="19980" t="s">
        <v>852</v>
      </c>
      <c r="K205" s="19981">
        <v>27</v>
      </c>
    </row>
    <row r="206" spans="1:11" ht="13.8">
      <c r="A206" s="19982" t="str">
        <f t="shared" si="6"/>
        <v>TK-00205</v>
      </c>
      <c r="B206" s="19983">
        <v>26</v>
      </c>
      <c r="C206" s="19984">
        <v>46197</v>
      </c>
      <c r="D206" s="19985" t="s">
        <v>124</v>
      </c>
      <c r="E206" s="19986" t="s">
        <v>850</v>
      </c>
      <c r="F206" s="19987" t="s">
        <v>892</v>
      </c>
      <c r="G206" s="19988">
        <v>100</v>
      </c>
      <c r="H206" s="19989">
        <v>27</v>
      </c>
      <c r="I206" s="19990">
        <f t="shared" si="7"/>
        <v>2700</v>
      </c>
      <c r="J206" s="19991" t="s">
        <v>852</v>
      </c>
      <c r="K206" s="19992">
        <v>27</v>
      </c>
    </row>
    <row r="207" spans="1:11" ht="13.8">
      <c r="A207" s="19993" t="str">
        <f t="shared" si="6"/>
        <v>TK-00206</v>
      </c>
      <c r="B207" s="19994">
        <v>26</v>
      </c>
      <c r="C207" s="19995">
        <v>46198</v>
      </c>
      <c r="D207" s="19996" t="s">
        <v>124</v>
      </c>
      <c r="E207" s="19997" t="s">
        <v>850</v>
      </c>
      <c r="F207" s="19998" t="s">
        <v>889</v>
      </c>
      <c r="G207" s="19999">
        <v>300</v>
      </c>
      <c r="H207" s="20000">
        <v>27</v>
      </c>
      <c r="I207" s="20001">
        <f t="shared" si="7"/>
        <v>8100</v>
      </c>
      <c r="J207" s="20002" t="s">
        <v>852</v>
      </c>
      <c r="K207" s="20003">
        <v>27</v>
      </c>
    </row>
    <row r="208" spans="1:11" ht="13.8">
      <c r="A208" s="20004" t="str">
        <f t="shared" si="6"/>
        <v>TK-00207</v>
      </c>
      <c r="B208" s="20005">
        <v>26</v>
      </c>
      <c r="C208" s="20006">
        <v>46198</v>
      </c>
      <c r="D208" s="20007" t="s">
        <v>124</v>
      </c>
      <c r="E208" s="20008" t="s">
        <v>850</v>
      </c>
      <c r="F208" s="20009" t="s">
        <v>890</v>
      </c>
      <c r="G208" s="20010">
        <v>100</v>
      </c>
      <c r="H208" s="20011">
        <v>27</v>
      </c>
      <c r="I208" s="20012">
        <f t="shared" si="7"/>
        <v>2700</v>
      </c>
      <c r="J208" s="20013" t="s">
        <v>852</v>
      </c>
      <c r="K208" s="20014">
        <v>27</v>
      </c>
    </row>
    <row r="209" spans="1:11" ht="13.8">
      <c r="A209" s="20015" t="str">
        <f t="shared" si="6"/>
        <v>TK-00208</v>
      </c>
      <c r="B209" s="20016">
        <v>26</v>
      </c>
      <c r="C209" s="20017">
        <v>46198</v>
      </c>
      <c r="D209" s="20018" t="s">
        <v>124</v>
      </c>
      <c r="E209" s="20019" t="s">
        <v>850</v>
      </c>
      <c r="F209" s="20020" t="s">
        <v>891</v>
      </c>
      <c r="G209" s="20021">
        <v>100</v>
      </c>
      <c r="H209" s="20022">
        <v>27</v>
      </c>
      <c r="I209" s="20023">
        <f t="shared" si="7"/>
        <v>2700</v>
      </c>
      <c r="J209" s="20024" t="s">
        <v>852</v>
      </c>
      <c r="K209" s="20025">
        <v>27</v>
      </c>
    </row>
    <row r="210" spans="1:11" ht="13.8">
      <c r="A210" s="20026" t="str">
        <f t="shared" si="6"/>
        <v>TK-00209</v>
      </c>
      <c r="B210" s="20027">
        <v>26</v>
      </c>
      <c r="C210" s="20028">
        <v>46199</v>
      </c>
      <c r="D210" s="20029" t="s">
        <v>124</v>
      </c>
      <c r="E210" s="20030" t="s">
        <v>850</v>
      </c>
      <c r="F210" s="20031" t="s">
        <v>889</v>
      </c>
      <c r="G210" s="20032">
        <v>300</v>
      </c>
      <c r="H210" s="20033">
        <v>27</v>
      </c>
      <c r="I210" s="20034">
        <f t="shared" si="7"/>
        <v>8100</v>
      </c>
      <c r="J210" s="20035" t="s">
        <v>852</v>
      </c>
      <c r="K210" s="20036">
        <v>27</v>
      </c>
    </row>
    <row r="211" spans="1:11" ht="13.8">
      <c r="A211" s="20037" t="str">
        <f t="shared" si="6"/>
        <v>TK-00210</v>
      </c>
      <c r="B211" s="20038">
        <v>26</v>
      </c>
      <c r="C211" s="20039">
        <v>46199</v>
      </c>
      <c r="D211" s="20040" t="s">
        <v>124</v>
      </c>
      <c r="E211" s="20041" t="s">
        <v>850</v>
      </c>
      <c r="F211" s="20042" t="s">
        <v>890</v>
      </c>
      <c r="G211" s="20043">
        <v>100</v>
      </c>
      <c r="H211" s="20044">
        <v>27</v>
      </c>
      <c r="I211" s="20045">
        <f t="shared" si="7"/>
        <v>2700</v>
      </c>
      <c r="J211" s="20046" t="s">
        <v>852</v>
      </c>
      <c r="K211" s="20047">
        <v>27</v>
      </c>
    </row>
    <row r="212" spans="1:11" ht="13.8">
      <c r="A212" s="20048" t="str">
        <f t="shared" si="6"/>
        <v>TK-00211</v>
      </c>
      <c r="B212" s="20049">
        <v>26</v>
      </c>
      <c r="C212" s="20050">
        <v>46199</v>
      </c>
      <c r="D212" s="20051" t="s">
        <v>124</v>
      </c>
      <c r="E212" s="20052" t="s">
        <v>850</v>
      </c>
      <c r="F212" s="20053" t="s">
        <v>892</v>
      </c>
      <c r="G212" s="20054">
        <v>100</v>
      </c>
      <c r="H212" s="20055">
        <v>27</v>
      </c>
      <c r="I212" s="20056">
        <f t="shared" si="7"/>
        <v>2700</v>
      </c>
      <c r="J212" s="20057" t="s">
        <v>852</v>
      </c>
      <c r="K212" s="20058">
        <v>27</v>
      </c>
    </row>
    <row r="213" spans="1:11" ht="13.8">
      <c r="A213" s="20059" t="str">
        <f t="shared" si="6"/>
        <v>TK-00212</v>
      </c>
      <c r="B213" s="20060">
        <v>26</v>
      </c>
      <c r="C213" s="20061">
        <v>46200</v>
      </c>
      <c r="D213" s="20062" t="s">
        <v>124</v>
      </c>
      <c r="E213" s="20063" t="s">
        <v>850</v>
      </c>
      <c r="F213" s="20064" t="s">
        <v>890</v>
      </c>
      <c r="G213" s="20065">
        <v>100</v>
      </c>
      <c r="H213" s="20066">
        <v>27</v>
      </c>
      <c r="I213" s="20067">
        <f t="shared" si="7"/>
        <v>2700</v>
      </c>
      <c r="J213" s="20068" t="s">
        <v>852</v>
      </c>
      <c r="K213" s="20069">
        <v>27</v>
      </c>
    </row>
    <row r="214" spans="1:11" ht="13.8">
      <c r="A214" s="20070" t="str">
        <f t="shared" si="6"/>
        <v>TK-00213</v>
      </c>
      <c r="B214" s="20071">
        <v>26</v>
      </c>
      <c r="C214" s="20072">
        <v>46195</v>
      </c>
      <c r="D214" s="20073" t="s">
        <v>1</v>
      </c>
      <c r="E214" s="20074" t="s">
        <v>850</v>
      </c>
      <c r="F214" s="20075" t="s">
        <v>880</v>
      </c>
      <c r="G214" s="20076">
        <v>250</v>
      </c>
      <c r="H214" s="20077">
        <v>27</v>
      </c>
      <c r="I214" s="20078">
        <f t="shared" si="7"/>
        <v>6750</v>
      </c>
      <c r="J214" s="20079" t="s">
        <v>852</v>
      </c>
      <c r="K214" s="20080">
        <v>27</v>
      </c>
    </row>
    <row r="215" spans="1:11" ht="13.8">
      <c r="A215" s="20081" t="str">
        <f t="shared" si="6"/>
        <v>TK-00214</v>
      </c>
      <c r="B215" s="20082">
        <v>26</v>
      </c>
      <c r="C215" s="20083">
        <v>46195</v>
      </c>
      <c r="D215" s="20084" t="s">
        <v>1</v>
      </c>
      <c r="E215" s="20085" t="s">
        <v>850</v>
      </c>
      <c r="F215" s="20086" t="s">
        <v>883</v>
      </c>
      <c r="G215" s="20087">
        <v>120</v>
      </c>
      <c r="H215" s="20088">
        <v>27</v>
      </c>
      <c r="I215" s="20089">
        <f t="shared" si="7"/>
        <v>3240</v>
      </c>
      <c r="J215" s="20090" t="s">
        <v>852</v>
      </c>
      <c r="K215" s="20091">
        <v>27</v>
      </c>
    </row>
    <row r="216" spans="1:11" ht="13.8">
      <c r="A216" s="20092" t="str">
        <f t="shared" si="6"/>
        <v>TK-00215</v>
      </c>
      <c r="B216" s="20093">
        <v>26</v>
      </c>
      <c r="C216" s="20094">
        <v>46195</v>
      </c>
      <c r="D216" s="20095" t="s">
        <v>1</v>
      </c>
      <c r="E216" s="20096" t="s">
        <v>850</v>
      </c>
      <c r="F216" s="20097" t="s">
        <v>893</v>
      </c>
      <c r="G216" s="20098">
        <v>50</v>
      </c>
      <c r="H216" s="20099">
        <v>27</v>
      </c>
      <c r="I216" s="20100">
        <f t="shared" si="7"/>
        <v>1350</v>
      </c>
      <c r="J216" s="20101" t="s">
        <v>852</v>
      </c>
      <c r="K216" s="20102">
        <v>27</v>
      </c>
    </row>
    <row r="217" spans="1:11" ht="13.8">
      <c r="A217" s="20103" t="str">
        <f t="shared" si="6"/>
        <v>TK-00216</v>
      </c>
      <c r="B217" s="20104">
        <v>26</v>
      </c>
      <c r="C217" s="20105">
        <v>46195</v>
      </c>
      <c r="D217" s="20106" t="s">
        <v>1</v>
      </c>
      <c r="E217" s="20107" t="s">
        <v>850</v>
      </c>
      <c r="F217" s="20108" t="s">
        <v>893</v>
      </c>
      <c r="G217" s="20109">
        <v>50</v>
      </c>
      <c r="H217" s="20110">
        <v>27</v>
      </c>
      <c r="I217" s="20111">
        <f t="shared" si="7"/>
        <v>1350</v>
      </c>
      <c r="J217" s="20112" t="s">
        <v>852</v>
      </c>
      <c r="K217" s="20113">
        <v>27</v>
      </c>
    </row>
    <row r="218" spans="1:11" ht="13.8">
      <c r="A218" s="20114" t="str">
        <f t="shared" si="6"/>
        <v>TK-00217</v>
      </c>
      <c r="B218" s="20115">
        <v>26</v>
      </c>
      <c r="C218" s="20116">
        <v>46195</v>
      </c>
      <c r="D218" s="20117" t="s">
        <v>1</v>
      </c>
      <c r="E218" s="20118" t="s">
        <v>850</v>
      </c>
      <c r="F218" s="20119" t="s">
        <v>894</v>
      </c>
      <c r="G218" s="20120">
        <v>50</v>
      </c>
      <c r="H218" s="20121">
        <v>27</v>
      </c>
      <c r="I218" s="20122">
        <f t="shared" si="7"/>
        <v>1350</v>
      </c>
      <c r="J218" s="20123" t="s">
        <v>852</v>
      </c>
      <c r="K218" s="20124">
        <v>27</v>
      </c>
    </row>
    <row r="219" spans="1:11" ht="13.8">
      <c r="A219" s="20125" t="str">
        <f t="shared" si="6"/>
        <v>TK-00218</v>
      </c>
      <c r="B219" s="20126">
        <v>26</v>
      </c>
      <c r="C219" s="20127">
        <v>46195</v>
      </c>
      <c r="D219" s="20128" t="s">
        <v>1</v>
      </c>
      <c r="E219" s="20129" t="s">
        <v>850</v>
      </c>
      <c r="F219" s="20130" t="s">
        <v>895</v>
      </c>
      <c r="G219" s="20131">
        <v>30</v>
      </c>
      <c r="H219" s="20132">
        <v>27</v>
      </c>
      <c r="I219" s="20133">
        <f t="shared" si="7"/>
        <v>810</v>
      </c>
      <c r="J219" s="20134" t="s">
        <v>852</v>
      </c>
      <c r="K219" s="20135">
        <v>27</v>
      </c>
    </row>
    <row r="220" spans="1:11" ht="13.8">
      <c r="A220" s="20136" t="str">
        <f t="shared" si="6"/>
        <v>TK-00219</v>
      </c>
      <c r="B220" s="20137">
        <v>26</v>
      </c>
      <c r="C220" s="20138">
        <v>46195</v>
      </c>
      <c r="D220" s="20139" t="s">
        <v>1</v>
      </c>
      <c r="E220" s="20140" t="s">
        <v>850</v>
      </c>
      <c r="F220" s="20141" t="s">
        <v>882</v>
      </c>
      <c r="G220" s="20142">
        <v>60</v>
      </c>
      <c r="H220" s="20143">
        <v>27</v>
      </c>
      <c r="I220" s="20144">
        <f t="shared" si="7"/>
        <v>1620</v>
      </c>
      <c r="J220" s="20145" t="s">
        <v>852</v>
      </c>
      <c r="K220" s="20146">
        <v>27</v>
      </c>
    </row>
    <row r="221" spans="1:11" ht="13.8">
      <c r="A221" s="20147" t="str">
        <f t="shared" si="6"/>
        <v>TK-00220</v>
      </c>
      <c r="B221" s="20148">
        <v>26</v>
      </c>
      <c r="C221" s="20149">
        <v>46195</v>
      </c>
      <c r="D221" s="20150" t="s">
        <v>1</v>
      </c>
      <c r="E221" s="20151" t="s">
        <v>850</v>
      </c>
      <c r="F221" s="20152" t="s">
        <v>888</v>
      </c>
      <c r="G221" s="20153">
        <v>50</v>
      </c>
      <c r="H221" s="20154">
        <v>27</v>
      </c>
      <c r="I221" s="20155">
        <f t="shared" si="7"/>
        <v>1350</v>
      </c>
      <c r="J221" s="20156" t="s">
        <v>852</v>
      </c>
      <c r="K221" s="20157">
        <v>27</v>
      </c>
    </row>
    <row r="222" spans="1:11" ht="13.8">
      <c r="A222" s="20158" t="str">
        <f t="shared" si="6"/>
        <v>TK-00221</v>
      </c>
      <c r="B222" s="20159">
        <v>26</v>
      </c>
      <c r="C222" s="20160">
        <v>46196</v>
      </c>
      <c r="D222" s="20161" t="s">
        <v>1</v>
      </c>
      <c r="E222" s="20162" t="s">
        <v>850</v>
      </c>
      <c r="F222" s="20163" t="s">
        <v>883</v>
      </c>
      <c r="G222" s="20164">
        <v>120</v>
      </c>
      <c r="H222" s="20165">
        <v>27</v>
      </c>
      <c r="I222" s="20166">
        <f t="shared" si="7"/>
        <v>3240</v>
      </c>
      <c r="J222" s="20167" t="s">
        <v>852</v>
      </c>
      <c r="K222" s="20168">
        <v>27</v>
      </c>
    </row>
    <row r="223" spans="1:11" ht="13.8">
      <c r="A223" s="20169" t="str">
        <f t="shared" si="6"/>
        <v>TK-00222</v>
      </c>
      <c r="B223" s="20170">
        <v>26</v>
      </c>
      <c r="C223" s="20171">
        <v>46196</v>
      </c>
      <c r="D223" s="20172" t="s">
        <v>1</v>
      </c>
      <c r="E223" s="20173" t="s">
        <v>850</v>
      </c>
      <c r="F223" s="20174" t="s">
        <v>893</v>
      </c>
      <c r="G223" s="20175">
        <v>40</v>
      </c>
      <c r="H223" s="20176">
        <v>27</v>
      </c>
      <c r="I223" s="20177">
        <f t="shared" si="7"/>
        <v>1080</v>
      </c>
      <c r="J223" s="20178" t="s">
        <v>852</v>
      </c>
      <c r="K223" s="20179">
        <v>27</v>
      </c>
    </row>
    <row r="224" spans="1:11" ht="13.8">
      <c r="A224" s="20180" t="str">
        <f t="shared" si="6"/>
        <v>TK-00223</v>
      </c>
      <c r="B224" s="20181">
        <v>26</v>
      </c>
      <c r="C224" s="20182">
        <v>46196</v>
      </c>
      <c r="D224" s="20183" t="s">
        <v>1</v>
      </c>
      <c r="E224" s="20184" t="s">
        <v>850</v>
      </c>
      <c r="F224" s="20185" t="s">
        <v>893</v>
      </c>
      <c r="G224" s="20186">
        <v>40</v>
      </c>
      <c r="H224" s="20187">
        <v>27</v>
      </c>
      <c r="I224" s="20188">
        <f t="shared" si="7"/>
        <v>1080</v>
      </c>
      <c r="J224" s="20189" t="s">
        <v>852</v>
      </c>
      <c r="K224" s="20190">
        <v>27</v>
      </c>
    </row>
    <row r="225" spans="1:11" ht="13.8">
      <c r="A225" s="20191" t="str">
        <f t="shared" si="6"/>
        <v>TK-00224</v>
      </c>
      <c r="B225" s="20192">
        <v>26</v>
      </c>
      <c r="C225" s="20193">
        <v>46196</v>
      </c>
      <c r="D225" s="20194" t="s">
        <v>1</v>
      </c>
      <c r="E225" s="20195" t="s">
        <v>850</v>
      </c>
      <c r="F225" s="20196" t="s">
        <v>894</v>
      </c>
      <c r="G225" s="20197">
        <v>50</v>
      </c>
      <c r="H225" s="20198">
        <v>27</v>
      </c>
      <c r="I225" s="20199">
        <f t="shared" si="7"/>
        <v>1350</v>
      </c>
      <c r="J225" s="20200" t="s">
        <v>852</v>
      </c>
      <c r="K225" s="20201">
        <v>27</v>
      </c>
    </row>
    <row r="226" spans="1:11" ht="13.8">
      <c r="A226" s="20202" t="str">
        <f t="shared" si="6"/>
        <v>TK-00225</v>
      </c>
      <c r="B226" s="20203">
        <v>26</v>
      </c>
      <c r="C226" s="20204">
        <v>46196</v>
      </c>
      <c r="D226" s="20205" t="s">
        <v>1</v>
      </c>
      <c r="E226" s="20206" t="s">
        <v>850</v>
      </c>
      <c r="F226" s="20207" t="s">
        <v>895</v>
      </c>
      <c r="G226" s="20208">
        <v>30</v>
      </c>
      <c r="H226" s="20209">
        <v>27</v>
      </c>
      <c r="I226" s="20210">
        <f t="shared" si="7"/>
        <v>810</v>
      </c>
      <c r="J226" s="20211" t="s">
        <v>852</v>
      </c>
      <c r="K226" s="20212">
        <v>27</v>
      </c>
    </row>
    <row r="227" spans="1:11" ht="13.8">
      <c r="A227" s="20213" t="str">
        <f t="shared" si="6"/>
        <v>TK-00226</v>
      </c>
      <c r="B227" s="20214">
        <v>26</v>
      </c>
      <c r="C227" s="20215">
        <v>46196</v>
      </c>
      <c r="D227" s="20216" t="s">
        <v>1</v>
      </c>
      <c r="E227" s="20217" t="s">
        <v>850</v>
      </c>
      <c r="F227" s="20218" t="s">
        <v>882</v>
      </c>
      <c r="G227" s="20219">
        <v>50</v>
      </c>
      <c r="H227" s="20220">
        <v>27</v>
      </c>
      <c r="I227" s="20221">
        <f t="shared" si="7"/>
        <v>1350</v>
      </c>
      <c r="J227" s="20222" t="s">
        <v>852</v>
      </c>
      <c r="K227" s="20223">
        <v>27</v>
      </c>
    </row>
    <row r="228" spans="1:11" ht="13.8">
      <c r="A228" s="20224" t="str">
        <f t="shared" si="6"/>
        <v>TK-00227</v>
      </c>
      <c r="B228" s="20225">
        <v>26</v>
      </c>
      <c r="C228" s="20226">
        <v>46196</v>
      </c>
      <c r="D228" s="20227" t="s">
        <v>1</v>
      </c>
      <c r="E228" s="20228" t="s">
        <v>850</v>
      </c>
      <c r="F228" s="20229" t="s">
        <v>888</v>
      </c>
      <c r="G228" s="20230">
        <v>50</v>
      </c>
      <c r="H228" s="20231">
        <v>27</v>
      </c>
      <c r="I228" s="20232">
        <f t="shared" si="7"/>
        <v>1350</v>
      </c>
      <c r="J228" s="20233" t="s">
        <v>852</v>
      </c>
      <c r="K228" s="20234">
        <v>27</v>
      </c>
    </row>
    <row r="229" spans="1:11" ht="13.8">
      <c r="A229" s="20235" t="str">
        <f t="shared" si="6"/>
        <v>TK-00228</v>
      </c>
      <c r="B229" s="20236">
        <v>26</v>
      </c>
      <c r="C229" s="20237">
        <v>46197</v>
      </c>
      <c r="D229" s="20238" t="s">
        <v>1</v>
      </c>
      <c r="E229" s="20239" t="s">
        <v>850</v>
      </c>
      <c r="F229" s="20240" t="s">
        <v>880</v>
      </c>
      <c r="G229" s="20241">
        <v>250</v>
      </c>
      <c r="H229" s="20242">
        <v>27</v>
      </c>
      <c r="I229" s="20243">
        <f t="shared" si="7"/>
        <v>6750</v>
      </c>
      <c r="J229" s="20244" t="s">
        <v>852</v>
      </c>
      <c r="K229" s="20245">
        <v>27</v>
      </c>
    </row>
    <row r="230" spans="1:11" ht="13.8">
      <c r="A230" s="20246" t="str">
        <f t="shared" si="6"/>
        <v>TK-00229</v>
      </c>
      <c r="B230" s="20247">
        <v>26</v>
      </c>
      <c r="C230" s="20248">
        <v>46197</v>
      </c>
      <c r="D230" s="20249" t="s">
        <v>1</v>
      </c>
      <c r="E230" s="20250" t="s">
        <v>850</v>
      </c>
      <c r="F230" s="20251" t="s">
        <v>883</v>
      </c>
      <c r="G230" s="20252">
        <v>120</v>
      </c>
      <c r="H230" s="20253">
        <v>27</v>
      </c>
      <c r="I230" s="20254">
        <f t="shared" si="7"/>
        <v>3240</v>
      </c>
      <c r="J230" s="20255" t="s">
        <v>852</v>
      </c>
      <c r="K230" s="20256">
        <v>27</v>
      </c>
    </row>
    <row r="231" spans="1:11" ht="13.8">
      <c r="A231" s="20257" t="str">
        <f t="shared" si="6"/>
        <v>TK-00230</v>
      </c>
      <c r="B231" s="20258">
        <v>26</v>
      </c>
      <c r="C231" s="20259">
        <v>46197</v>
      </c>
      <c r="D231" s="20260" t="s">
        <v>1</v>
      </c>
      <c r="E231" s="20261" t="s">
        <v>850</v>
      </c>
      <c r="F231" s="20262" t="s">
        <v>893</v>
      </c>
      <c r="G231" s="20263">
        <v>40</v>
      </c>
      <c r="H231" s="20264">
        <v>27</v>
      </c>
      <c r="I231" s="20265">
        <f t="shared" si="7"/>
        <v>1080</v>
      </c>
      <c r="J231" s="20266" t="s">
        <v>852</v>
      </c>
      <c r="K231" s="20267">
        <v>27</v>
      </c>
    </row>
    <row r="232" spans="1:11" ht="13.8">
      <c r="A232" s="20268" t="str">
        <f t="shared" si="6"/>
        <v>TK-00231</v>
      </c>
      <c r="B232" s="20269">
        <v>26</v>
      </c>
      <c r="C232" s="20270">
        <v>46197</v>
      </c>
      <c r="D232" s="20271" t="s">
        <v>1</v>
      </c>
      <c r="E232" s="20272" t="s">
        <v>850</v>
      </c>
      <c r="F232" s="20273" t="s">
        <v>893</v>
      </c>
      <c r="G232" s="20274">
        <v>40</v>
      </c>
      <c r="H232" s="20275">
        <v>27</v>
      </c>
      <c r="I232" s="20276">
        <f t="shared" si="7"/>
        <v>1080</v>
      </c>
      <c r="J232" s="20277" t="s">
        <v>852</v>
      </c>
      <c r="K232" s="20278">
        <v>27</v>
      </c>
    </row>
    <row r="233" spans="1:11" ht="13.8">
      <c r="A233" s="20279" t="str">
        <f t="shared" si="6"/>
        <v>TK-00232</v>
      </c>
      <c r="B233" s="20280">
        <v>26</v>
      </c>
      <c r="C233" s="20281">
        <v>46197</v>
      </c>
      <c r="D233" s="20282" t="s">
        <v>1</v>
      </c>
      <c r="E233" s="20283" t="s">
        <v>850</v>
      </c>
      <c r="F233" s="20284" t="s">
        <v>894</v>
      </c>
      <c r="G233" s="20285">
        <v>50</v>
      </c>
      <c r="H233" s="20286">
        <v>27</v>
      </c>
      <c r="I233" s="20287">
        <f t="shared" si="7"/>
        <v>1350</v>
      </c>
      <c r="J233" s="20288" t="s">
        <v>852</v>
      </c>
      <c r="K233" s="20289">
        <v>27</v>
      </c>
    </row>
    <row r="234" spans="1:11" ht="13.8">
      <c r="A234" s="20290" t="str">
        <f t="shared" si="6"/>
        <v>TK-00233</v>
      </c>
      <c r="B234" s="20291">
        <v>26</v>
      </c>
      <c r="C234" s="20292">
        <v>46197</v>
      </c>
      <c r="D234" s="20293" t="s">
        <v>1</v>
      </c>
      <c r="E234" s="20294" t="s">
        <v>850</v>
      </c>
      <c r="F234" s="20295" t="s">
        <v>895</v>
      </c>
      <c r="G234" s="20296">
        <v>20</v>
      </c>
      <c r="H234" s="20297">
        <v>27</v>
      </c>
      <c r="I234" s="20298">
        <f t="shared" si="7"/>
        <v>540</v>
      </c>
      <c r="J234" s="20299" t="s">
        <v>852</v>
      </c>
      <c r="K234" s="20300">
        <v>27</v>
      </c>
    </row>
    <row r="235" spans="1:11" ht="13.8">
      <c r="A235" s="20301" t="str">
        <f t="shared" si="6"/>
        <v>TK-00234</v>
      </c>
      <c r="B235" s="20302">
        <v>26</v>
      </c>
      <c r="C235" s="20303">
        <v>46197</v>
      </c>
      <c r="D235" s="20304" t="s">
        <v>1</v>
      </c>
      <c r="E235" s="20305" t="s">
        <v>850</v>
      </c>
      <c r="F235" s="20306" t="s">
        <v>882</v>
      </c>
      <c r="G235" s="20307">
        <v>50</v>
      </c>
      <c r="H235" s="20308">
        <v>27</v>
      </c>
      <c r="I235" s="20309">
        <f t="shared" si="7"/>
        <v>1350</v>
      </c>
      <c r="J235" s="20310" t="s">
        <v>852</v>
      </c>
      <c r="K235" s="20311">
        <v>27</v>
      </c>
    </row>
    <row r="236" spans="1:11" ht="13.8">
      <c r="A236" s="20312" t="str">
        <f t="shared" si="6"/>
        <v>TK-00235</v>
      </c>
      <c r="B236" s="20313">
        <v>26</v>
      </c>
      <c r="C236" s="20314">
        <v>46197</v>
      </c>
      <c r="D236" s="20315" t="s">
        <v>1</v>
      </c>
      <c r="E236" s="20316" t="s">
        <v>850</v>
      </c>
      <c r="F236" s="20317" t="s">
        <v>888</v>
      </c>
      <c r="G236" s="20318">
        <v>50</v>
      </c>
      <c r="H236" s="20319">
        <v>27</v>
      </c>
      <c r="I236" s="20320">
        <f t="shared" si="7"/>
        <v>1350</v>
      </c>
      <c r="J236" s="20321" t="s">
        <v>852</v>
      </c>
      <c r="K236" s="20322">
        <v>27</v>
      </c>
    </row>
    <row r="237" spans="1:11" ht="13.8">
      <c r="A237" s="20323" t="str">
        <f t="shared" si="6"/>
        <v>TK-00236</v>
      </c>
      <c r="B237" s="20324">
        <v>26</v>
      </c>
      <c r="C237" s="20325">
        <v>46198</v>
      </c>
      <c r="D237" s="20326" t="s">
        <v>1</v>
      </c>
      <c r="E237" s="20327" t="s">
        <v>850</v>
      </c>
      <c r="F237" s="20328" t="s">
        <v>880</v>
      </c>
      <c r="G237" s="20329">
        <v>250</v>
      </c>
      <c r="H237" s="20330">
        <v>27</v>
      </c>
      <c r="I237" s="20331">
        <f t="shared" si="7"/>
        <v>6750</v>
      </c>
      <c r="J237" s="20332" t="s">
        <v>852</v>
      </c>
      <c r="K237" s="20333">
        <v>27</v>
      </c>
    </row>
    <row r="238" spans="1:11" ht="13.8">
      <c r="A238" s="20334" t="str">
        <f t="shared" si="6"/>
        <v>TK-00237</v>
      </c>
      <c r="B238" s="20335">
        <v>26</v>
      </c>
      <c r="C238" s="20336">
        <v>46198</v>
      </c>
      <c r="D238" s="20337" t="s">
        <v>1</v>
      </c>
      <c r="E238" s="20338" t="s">
        <v>850</v>
      </c>
      <c r="F238" s="20339" t="s">
        <v>883</v>
      </c>
      <c r="G238" s="20340">
        <v>120</v>
      </c>
      <c r="H238" s="20341">
        <v>27</v>
      </c>
      <c r="I238" s="20342">
        <f t="shared" si="7"/>
        <v>3240</v>
      </c>
      <c r="J238" s="20343" t="s">
        <v>852</v>
      </c>
      <c r="K238" s="20344">
        <v>27</v>
      </c>
    </row>
    <row r="239" spans="1:11" ht="13.8">
      <c r="A239" s="20345" t="str">
        <f t="shared" si="6"/>
        <v>TK-00238</v>
      </c>
      <c r="B239" s="20346">
        <v>26</v>
      </c>
      <c r="C239" s="20347">
        <v>46198</v>
      </c>
      <c r="D239" s="20348" t="s">
        <v>1</v>
      </c>
      <c r="E239" s="20349" t="s">
        <v>850</v>
      </c>
      <c r="F239" s="20350" t="s">
        <v>893</v>
      </c>
      <c r="G239" s="20351">
        <v>40</v>
      </c>
      <c r="H239" s="20352">
        <v>27</v>
      </c>
      <c r="I239" s="20353">
        <f t="shared" si="7"/>
        <v>1080</v>
      </c>
      <c r="J239" s="20354" t="s">
        <v>852</v>
      </c>
      <c r="K239" s="20355">
        <v>27</v>
      </c>
    </row>
    <row r="240" spans="1:11" ht="13.8">
      <c r="A240" s="20356" t="str">
        <f t="shared" si="6"/>
        <v>TK-00239</v>
      </c>
      <c r="B240" s="20357">
        <v>26</v>
      </c>
      <c r="C240" s="20358">
        <v>46198</v>
      </c>
      <c r="D240" s="20359" t="s">
        <v>1</v>
      </c>
      <c r="E240" s="20360" t="s">
        <v>850</v>
      </c>
      <c r="F240" s="20361" t="s">
        <v>893</v>
      </c>
      <c r="G240" s="20362">
        <v>40</v>
      </c>
      <c r="H240" s="20363">
        <v>27</v>
      </c>
      <c r="I240" s="20364">
        <f t="shared" si="7"/>
        <v>1080</v>
      </c>
      <c r="J240" s="20365" t="s">
        <v>852</v>
      </c>
      <c r="K240" s="20366">
        <v>27</v>
      </c>
    </row>
    <row r="241" spans="1:11" ht="13.8">
      <c r="A241" s="20367" t="str">
        <f t="shared" si="6"/>
        <v>TK-00240</v>
      </c>
      <c r="B241" s="20368">
        <v>26</v>
      </c>
      <c r="C241" s="20369">
        <v>46198</v>
      </c>
      <c r="D241" s="20370" t="s">
        <v>1</v>
      </c>
      <c r="E241" s="20371" t="s">
        <v>850</v>
      </c>
      <c r="F241" s="20372" t="s">
        <v>894</v>
      </c>
      <c r="G241" s="20373">
        <v>50</v>
      </c>
      <c r="H241" s="20374">
        <v>27</v>
      </c>
      <c r="I241" s="20375">
        <f t="shared" si="7"/>
        <v>1350</v>
      </c>
      <c r="J241" s="20376" t="s">
        <v>852</v>
      </c>
      <c r="K241" s="20377">
        <v>27</v>
      </c>
    </row>
    <row r="242" spans="1:11" ht="13.8">
      <c r="A242" s="20378" t="str">
        <f t="shared" si="6"/>
        <v>TK-00241</v>
      </c>
      <c r="B242" s="20379">
        <v>26</v>
      </c>
      <c r="C242" s="20380">
        <v>46198</v>
      </c>
      <c r="D242" s="20381" t="s">
        <v>1</v>
      </c>
      <c r="E242" s="20382" t="s">
        <v>850</v>
      </c>
      <c r="F242" s="20383" t="s">
        <v>895</v>
      </c>
      <c r="G242" s="20384">
        <v>20</v>
      </c>
      <c r="H242" s="20385">
        <v>27</v>
      </c>
      <c r="I242" s="20386">
        <f t="shared" si="7"/>
        <v>540</v>
      </c>
      <c r="J242" s="20387" t="s">
        <v>852</v>
      </c>
      <c r="K242" s="20388">
        <v>27</v>
      </c>
    </row>
    <row r="243" spans="1:11" ht="13.8">
      <c r="A243" s="20389" t="str">
        <f t="shared" si="6"/>
        <v>TK-00242</v>
      </c>
      <c r="B243" s="20390">
        <v>26</v>
      </c>
      <c r="C243" s="20391">
        <v>46198</v>
      </c>
      <c r="D243" s="20392" t="s">
        <v>1</v>
      </c>
      <c r="E243" s="20393" t="s">
        <v>850</v>
      </c>
      <c r="F243" s="20394" t="s">
        <v>882</v>
      </c>
      <c r="G243" s="20395">
        <v>50</v>
      </c>
      <c r="H243" s="20396">
        <v>27</v>
      </c>
      <c r="I243" s="20397">
        <f t="shared" si="7"/>
        <v>1350</v>
      </c>
      <c r="J243" s="20398" t="s">
        <v>852</v>
      </c>
      <c r="K243" s="20399">
        <v>27</v>
      </c>
    </row>
    <row r="244" spans="1:11" ht="13.8">
      <c r="A244" s="20400" t="str">
        <f t="shared" si="6"/>
        <v>TK-00243</v>
      </c>
      <c r="B244" s="20401">
        <v>26</v>
      </c>
      <c r="C244" s="20402">
        <v>46198</v>
      </c>
      <c r="D244" s="20403" t="s">
        <v>1</v>
      </c>
      <c r="E244" s="20404" t="s">
        <v>850</v>
      </c>
      <c r="F244" s="20405" t="s">
        <v>888</v>
      </c>
      <c r="G244" s="20406">
        <v>50</v>
      </c>
      <c r="H244" s="20407">
        <v>27</v>
      </c>
      <c r="I244" s="20408">
        <f t="shared" si="7"/>
        <v>1350</v>
      </c>
      <c r="J244" s="20409" t="s">
        <v>852</v>
      </c>
      <c r="K244" s="20410">
        <v>27</v>
      </c>
    </row>
    <row r="245" spans="1:11" ht="13.8">
      <c r="A245" s="20411" t="str">
        <f t="shared" si="6"/>
        <v>TK-00244</v>
      </c>
      <c r="B245" s="20412">
        <v>26</v>
      </c>
      <c r="C245" s="20413">
        <v>46199</v>
      </c>
      <c r="D245" s="20414" t="s">
        <v>1</v>
      </c>
      <c r="E245" s="20415" t="s">
        <v>850</v>
      </c>
      <c r="F245" s="20416" t="s">
        <v>880</v>
      </c>
      <c r="G245" s="20417">
        <v>250</v>
      </c>
      <c r="H245" s="20418">
        <v>27</v>
      </c>
      <c r="I245" s="20419">
        <f t="shared" si="7"/>
        <v>6750</v>
      </c>
      <c r="J245" s="20420" t="s">
        <v>852</v>
      </c>
      <c r="K245" s="20421">
        <v>27</v>
      </c>
    </row>
    <row r="246" spans="1:11" ht="13.8">
      <c r="A246" s="20422" t="str">
        <f t="shared" si="6"/>
        <v>TK-00245</v>
      </c>
      <c r="B246" s="20423">
        <v>26</v>
      </c>
      <c r="C246" s="20424">
        <v>46199</v>
      </c>
      <c r="D246" s="20425" t="s">
        <v>1</v>
      </c>
      <c r="E246" s="20426" t="s">
        <v>850</v>
      </c>
      <c r="F246" s="20427" t="s">
        <v>883</v>
      </c>
      <c r="G246" s="20428">
        <v>120</v>
      </c>
      <c r="H246" s="20429">
        <v>27</v>
      </c>
      <c r="I246" s="20430">
        <f t="shared" si="7"/>
        <v>3240</v>
      </c>
      <c r="J246" s="20431" t="s">
        <v>852</v>
      </c>
      <c r="K246" s="20432">
        <v>27</v>
      </c>
    </row>
    <row r="247" spans="1:11" ht="13.8">
      <c r="A247" s="20433" t="str">
        <f t="shared" si="6"/>
        <v>TK-00246</v>
      </c>
      <c r="B247" s="20434">
        <v>26</v>
      </c>
      <c r="C247" s="20435">
        <v>46199</v>
      </c>
      <c r="D247" s="20436" t="s">
        <v>1</v>
      </c>
      <c r="E247" s="20437" t="s">
        <v>850</v>
      </c>
      <c r="F247" s="20438" t="s">
        <v>893</v>
      </c>
      <c r="G247" s="20439">
        <v>40</v>
      </c>
      <c r="H247" s="20440">
        <v>27</v>
      </c>
      <c r="I247" s="20441">
        <f t="shared" si="7"/>
        <v>1080</v>
      </c>
      <c r="J247" s="20442" t="s">
        <v>852</v>
      </c>
      <c r="K247" s="20443">
        <v>27</v>
      </c>
    </row>
    <row r="248" spans="1:11" ht="13.8">
      <c r="A248" s="20444" t="str">
        <f t="shared" si="6"/>
        <v>TK-00247</v>
      </c>
      <c r="B248" s="20445">
        <v>26</v>
      </c>
      <c r="C248" s="20446">
        <v>46199</v>
      </c>
      <c r="D248" s="20447" t="s">
        <v>1</v>
      </c>
      <c r="E248" s="20448" t="s">
        <v>850</v>
      </c>
      <c r="F248" s="20449" t="s">
        <v>893</v>
      </c>
      <c r="G248" s="20450">
        <v>40</v>
      </c>
      <c r="H248" s="20451">
        <v>27</v>
      </c>
      <c r="I248" s="20452">
        <f t="shared" si="7"/>
        <v>1080</v>
      </c>
      <c r="J248" s="20453" t="s">
        <v>852</v>
      </c>
      <c r="K248" s="20454">
        <v>27</v>
      </c>
    </row>
    <row r="249" spans="1:11" ht="13.8">
      <c r="A249" s="20455" t="str">
        <f t="shared" si="6"/>
        <v>TK-00248</v>
      </c>
      <c r="B249" s="20456">
        <v>26</v>
      </c>
      <c r="C249" s="20457">
        <v>46199</v>
      </c>
      <c r="D249" s="20458" t="s">
        <v>1</v>
      </c>
      <c r="E249" s="20459" t="s">
        <v>850</v>
      </c>
      <c r="F249" s="20460" t="s">
        <v>894</v>
      </c>
      <c r="G249" s="20461">
        <v>50</v>
      </c>
      <c r="H249" s="20462">
        <v>27</v>
      </c>
      <c r="I249" s="20463">
        <f t="shared" si="7"/>
        <v>1350</v>
      </c>
      <c r="J249" s="20464" t="s">
        <v>852</v>
      </c>
      <c r="K249" s="20465">
        <v>27</v>
      </c>
    </row>
    <row r="250" spans="1:11" ht="13.8">
      <c r="A250" s="20466" t="str">
        <f t="shared" si="6"/>
        <v>TK-00249</v>
      </c>
      <c r="B250" s="20467">
        <v>26</v>
      </c>
      <c r="C250" s="20468">
        <v>46199</v>
      </c>
      <c r="D250" s="20469" t="s">
        <v>1</v>
      </c>
      <c r="E250" s="20470" t="s">
        <v>850</v>
      </c>
      <c r="F250" s="20471" t="s">
        <v>895</v>
      </c>
      <c r="G250" s="20472">
        <v>20</v>
      </c>
      <c r="H250" s="20473">
        <v>27</v>
      </c>
      <c r="I250" s="20474">
        <f t="shared" si="7"/>
        <v>540</v>
      </c>
      <c r="J250" s="20475" t="s">
        <v>852</v>
      </c>
      <c r="K250" s="20476">
        <v>27</v>
      </c>
    </row>
    <row r="251" spans="1:11" ht="13.8">
      <c r="A251" s="20477" t="str">
        <f t="shared" si="6"/>
        <v>TK-00250</v>
      </c>
      <c r="B251" s="20478">
        <v>26</v>
      </c>
      <c r="C251" s="20479">
        <v>46199</v>
      </c>
      <c r="D251" s="20480" t="s">
        <v>1</v>
      </c>
      <c r="E251" s="20481" t="s">
        <v>850</v>
      </c>
      <c r="F251" s="20482" t="s">
        <v>882</v>
      </c>
      <c r="G251" s="20483">
        <v>50</v>
      </c>
      <c r="H251" s="20484">
        <v>27</v>
      </c>
      <c r="I251" s="20485">
        <f t="shared" si="7"/>
        <v>1350</v>
      </c>
      <c r="J251" s="20486" t="s">
        <v>852</v>
      </c>
      <c r="K251" s="20487">
        <v>27</v>
      </c>
    </row>
    <row r="252" spans="1:11" ht="13.8">
      <c r="A252" s="20488" t="str">
        <f t="shared" si="6"/>
        <v>TK-00251</v>
      </c>
      <c r="B252" s="20489">
        <v>26</v>
      </c>
      <c r="C252" s="20490">
        <v>46199</v>
      </c>
      <c r="D252" s="20491" t="s">
        <v>1</v>
      </c>
      <c r="E252" s="20492" t="s">
        <v>850</v>
      </c>
      <c r="F252" s="20493" t="s">
        <v>888</v>
      </c>
      <c r="G252" s="20494">
        <v>50</v>
      </c>
      <c r="H252" s="20495">
        <v>27</v>
      </c>
      <c r="I252" s="20496">
        <f t="shared" si="7"/>
        <v>1350</v>
      </c>
      <c r="J252" s="20497" t="s">
        <v>852</v>
      </c>
      <c r="K252" s="20498">
        <v>27</v>
      </c>
    </row>
    <row r="253" spans="1:11" ht="13.8">
      <c r="A253" s="20499" t="str">
        <f t="shared" si="6"/>
        <v>TK-00252</v>
      </c>
      <c r="B253" s="20500">
        <v>26</v>
      </c>
      <c r="C253" s="20501">
        <v>46195</v>
      </c>
      <c r="D253" s="20502" t="s">
        <v>111</v>
      </c>
      <c r="E253" s="20503" t="s">
        <v>850</v>
      </c>
      <c r="F253" s="20504" t="s">
        <v>890</v>
      </c>
      <c r="G253" s="20505">
        <v>50</v>
      </c>
      <c r="H253" s="20506">
        <v>27</v>
      </c>
      <c r="I253" s="20507">
        <f t="shared" si="7"/>
        <v>1350</v>
      </c>
      <c r="J253" s="20508" t="s">
        <v>852</v>
      </c>
      <c r="K253" s="20509">
        <v>27</v>
      </c>
    </row>
    <row r="254" spans="1:11" ht="13.8">
      <c r="A254" s="20510" t="str">
        <f t="shared" si="6"/>
        <v>TK-00253</v>
      </c>
      <c r="B254" s="20511">
        <v>26</v>
      </c>
      <c r="C254" s="20512">
        <v>46195</v>
      </c>
      <c r="D254" s="20513" t="s">
        <v>111</v>
      </c>
      <c r="E254" s="20514" t="s">
        <v>850</v>
      </c>
      <c r="F254" s="20515" t="s">
        <v>890</v>
      </c>
      <c r="G254" s="20516">
        <v>50</v>
      </c>
      <c r="H254" s="20517">
        <v>27</v>
      </c>
      <c r="I254" s="20518">
        <f t="shared" si="7"/>
        <v>1350</v>
      </c>
      <c r="J254" s="20519" t="s">
        <v>852</v>
      </c>
      <c r="K254" s="20520">
        <v>27</v>
      </c>
    </row>
    <row r="255" spans="1:11" ht="13.8">
      <c r="A255" s="20521" t="str">
        <f t="shared" si="6"/>
        <v>TK-00254</v>
      </c>
      <c r="B255" s="20522">
        <v>26</v>
      </c>
      <c r="C255" s="20523">
        <v>46195</v>
      </c>
      <c r="D255" s="20524" t="s">
        <v>111</v>
      </c>
      <c r="E255" s="20525" t="s">
        <v>850</v>
      </c>
      <c r="F255" s="20526" t="s">
        <v>896</v>
      </c>
      <c r="G255" s="20527">
        <v>10</v>
      </c>
      <c r="H255" s="20528">
        <v>27</v>
      </c>
      <c r="I255" s="20529">
        <f t="shared" si="7"/>
        <v>270</v>
      </c>
      <c r="J255" s="20530" t="s">
        <v>852</v>
      </c>
      <c r="K255" s="20531">
        <v>27</v>
      </c>
    </row>
    <row r="256" spans="1:11" ht="13.8">
      <c r="A256" s="20532" t="str">
        <f t="shared" si="6"/>
        <v>TK-00255</v>
      </c>
      <c r="B256" s="20533">
        <v>26</v>
      </c>
      <c r="C256" s="20534">
        <v>46195</v>
      </c>
      <c r="D256" s="20535" t="s">
        <v>111</v>
      </c>
      <c r="E256" s="20536" t="s">
        <v>850</v>
      </c>
      <c r="F256" s="20537" t="s">
        <v>897</v>
      </c>
      <c r="G256" s="20538">
        <v>8</v>
      </c>
      <c r="H256" s="20539">
        <v>27</v>
      </c>
      <c r="I256" s="20540">
        <f t="shared" si="7"/>
        <v>216</v>
      </c>
      <c r="J256" s="20541" t="s">
        <v>852</v>
      </c>
      <c r="K256" s="20542">
        <v>27</v>
      </c>
    </row>
    <row r="257" spans="1:11" ht="13.8">
      <c r="A257" s="20543" t="str">
        <f t="shared" si="6"/>
        <v>TK-00256</v>
      </c>
      <c r="B257" s="20544">
        <v>26</v>
      </c>
      <c r="C257" s="20545">
        <v>46196</v>
      </c>
      <c r="D257" s="20546" t="s">
        <v>111</v>
      </c>
      <c r="E257" s="20547" t="s">
        <v>850</v>
      </c>
      <c r="F257" s="20548" t="s">
        <v>890</v>
      </c>
      <c r="G257" s="20549">
        <v>50</v>
      </c>
      <c r="H257" s="20550">
        <v>27</v>
      </c>
      <c r="I257" s="20551">
        <f t="shared" si="7"/>
        <v>1350</v>
      </c>
      <c r="J257" s="20552" t="s">
        <v>852</v>
      </c>
      <c r="K257" s="20553">
        <v>27</v>
      </c>
    </row>
    <row r="258" spans="1:11" ht="13.8">
      <c r="A258" s="20554" t="str">
        <f t="shared" ref="A258:A321" si="8">"TK-"&amp;TEXT(ROW()-1, "00000")</f>
        <v>TK-00257</v>
      </c>
      <c r="B258" s="20555">
        <v>26</v>
      </c>
      <c r="C258" s="20556">
        <v>46196</v>
      </c>
      <c r="D258" s="20557" t="s">
        <v>111</v>
      </c>
      <c r="E258" s="20558" t="s">
        <v>850</v>
      </c>
      <c r="F258" s="20559" t="s">
        <v>890</v>
      </c>
      <c r="G258" s="20560">
        <v>40</v>
      </c>
      <c r="H258" s="20561">
        <v>27</v>
      </c>
      <c r="I258" s="20562">
        <f t="shared" ref="I258:I321" si="9">G258*H258</f>
        <v>1080</v>
      </c>
      <c r="J258" s="20563" t="s">
        <v>852</v>
      </c>
      <c r="K258" s="20564">
        <v>27</v>
      </c>
    </row>
    <row r="259" spans="1:11" ht="13.8">
      <c r="A259" s="20565" t="str">
        <f t="shared" si="8"/>
        <v>TK-00258</v>
      </c>
      <c r="B259" s="20566">
        <v>26</v>
      </c>
      <c r="C259" s="20567">
        <v>46196</v>
      </c>
      <c r="D259" s="20568" t="s">
        <v>111</v>
      </c>
      <c r="E259" s="20569" t="s">
        <v>850</v>
      </c>
      <c r="F259" s="20570" t="s">
        <v>896</v>
      </c>
      <c r="G259" s="20571">
        <v>10</v>
      </c>
      <c r="H259" s="20572">
        <v>27</v>
      </c>
      <c r="I259" s="20573">
        <f t="shared" si="9"/>
        <v>270</v>
      </c>
      <c r="J259" s="20574" t="s">
        <v>852</v>
      </c>
      <c r="K259" s="20575">
        <v>27</v>
      </c>
    </row>
    <row r="260" spans="1:11" ht="13.8">
      <c r="A260" s="20576" t="str">
        <f t="shared" si="8"/>
        <v>TK-00259</v>
      </c>
      <c r="B260" s="20577">
        <v>26</v>
      </c>
      <c r="C260" s="20578">
        <v>46196</v>
      </c>
      <c r="D260" s="20579" t="s">
        <v>111</v>
      </c>
      <c r="E260" s="20580" t="s">
        <v>850</v>
      </c>
      <c r="F260" s="20581" t="s">
        <v>897</v>
      </c>
      <c r="G260" s="20582">
        <v>5</v>
      </c>
      <c r="H260" s="20583">
        <v>27</v>
      </c>
      <c r="I260" s="20584">
        <f t="shared" si="9"/>
        <v>135</v>
      </c>
      <c r="J260" s="20585" t="s">
        <v>852</v>
      </c>
      <c r="K260" s="20586">
        <v>27</v>
      </c>
    </row>
    <row r="261" spans="1:11" ht="13.8">
      <c r="A261" s="20587" t="str">
        <f t="shared" si="8"/>
        <v>TK-00260</v>
      </c>
      <c r="B261" s="20588">
        <v>26</v>
      </c>
      <c r="C261" s="20589">
        <v>46197</v>
      </c>
      <c r="D261" s="20590" t="s">
        <v>111</v>
      </c>
      <c r="E261" s="20591" t="s">
        <v>850</v>
      </c>
      <c r="F261" s="20592" t="s">
        <v>890</v>
      </c>
      <c r="G261" s="20593">
        <v>50</v>
      </c>
      <c r="H261" s="20594">
        <v>27</v>
      </c>
      <c r="I261" s="20595">
        <f t="shared" si="9"/>
        <v>1350</v>
      </c>
      <c r="J261" s="20596" t="s">
        <v>852</v>
      </c>
      <c r="K261" s="20597">
        <v>27</v>
      </c>
    </row>
    <row r="262" spans="1:11" ht="13.8">
      <c r="A262" s="20598" t="str">
        <f t="shared" si="8"/>
        <v>TK-00261</v>
      </c>
      <c r="B262" s="20599">
        <v>26</v>
      </c>
      <c r="C262" s="20600">
        <v>46197</v>
      </c>
      <c r="D262" s="20601" t="s">
        <v>111</v>
      </c>
      <c r="E262" s="20602" t="s">
        <v>850</v>
      </c>
      <c r="F262" s="20603" t="s">
        <v>890</v>
      </c>
      <c r="G262" s="20604">
        <v>40</v>
      </c>
      <c r="H262" s="20605">
        <v>27</v>
      </c>
      <c r="I262" s="20606">
        <f t="shared" si="9"/>
        <v>1080</v>
      </c>
      <c r="J262" s="20607" t="s">
        <v>852</v>
      </c>
      <c r="K262" s="20608">
        <v>27</v>
      </c>
    </row>
    <row r="263" spans="1:11" ht="13.8">
      <c r="A263" s="20609" t="str">
        <f t="shared" si="8"/>
        <v>TK-00262</v>
      </c>
      <c r="B263" s="20610">
        <v>26</v>
      </c>
      <c r="C263" s="20611">
        <v>46197</v>
      </c>
      <c r="D263" s="20612" t="s">
        <v>111</v>
      </c>
      <c r="E263" s="20613" t="s">
        <v>850</v>
      </c>
      <c r="F263" s="20614" t="s">
        <v>896</v>
      </c>
      <c r="G263" s="20615">
        <v>10</v>
      </c>
      <c r="H263" s="20616">
        <v>27</v>
      </c>
      <c r="I263" s="20617">
        <f t="shared" si="9"/>
        <v>270</v>
      </c>
      <c r="J263" s="20618" t="s">
        <v>852</v>
      </c>
      <c r="K263" s="20619">
        <v>27</v>
      </c>
    </row>
    <row r="264" spans="1:11" ht="13.8">
      <c r="A264" s="20620" t="str">
        <f t="shared" si="8"/>
        <v>TK-00263</v>
      </c>
      <c r="B264" s="20621">
        <v>26</v>
      </c>
      <c r="C264" s="20622">
        <v>46197</v>
      </c>
      <c r="D264" s="20623" t="s">
        <v>111</v>
      </c>
      <c r="E264" s="20624" t="s">
        <v>850</v>
      </c>
      <c r="F264" s="20625" t="s">
        <v>897</v>
      </c>
      <c r="G264" s="20626">
        <v>8</v>
      </c>
      <c r="H264" s="20627">
        <v>27</v>
      </c>
      <c r="I264" s="20628">
        <f t="shared" si="9"/>
        <v>216</v>
      </c>
      <c r="J264" s="20629" t="s">
        <v>852</v>
      </c>
      <c r="K264" s="20630">
        <v>27</v>
      </c>
    </row>
    <row r="265" spans="1:11" ht="13.8">
      <c r="A265" s="20631" t="str">
        <f t="shared" si="8"/>
        <v>TK-00264</v>
      </c>
      <c r="B265" s="20632">
        <v>26</v>
      </c>
      <c r="C265" s="20633">
        <v>46198</v>
      </c>
      <c r="D265" s="20634" t="s">
        <v>111</v>
      </c>
      <c r="E265" s="20635" t="s">
        <v>850</v>
      </c>
      <c r="F265" s="20636" t="s">
        <v>890</v>
      </c>
      <c r="G265" s="20637">
        <v>60</v>
      </c>
      <c r="H265" s="20638">
        <v>27</v>
      </c>
      <c r="I265" s="20639">
        <f t="shared" si="9"/>
        <v>1620</v>
      </c>
      <c r="J265" s="20640" t="s">
        <v>852</v>
      </c>
      <c r="K265" s="20641">
        <v>27</v>
      </c>
    </row>
    <row r="266" spans="1:11" ht="13.8">
      <c r="A266" s="20642" t="str">
        <f t="shared" si="8"/>
        <v>TK-00265</v>
      </c>
      <c r="B266" s="20643">
        <v>26</v>
      </c>
      <c r="C266" s="20644">
        <v>46198</v>
      </c>
      <c r="D266" s="20645" t="s">
        <v>111</v>
      </c>
      <c r="E266" s="20646" t="s">
        <v>850</v>
      </c>
      <c r="F266" s="20647" t="s">
        <v>890</v>
      </c>
      <c r="G266" s="20648">
        <v>60</v>
      </c>
      <c r="H266" s="20649">
        <v>27</v>
      </c>
      <c r="I266" s="20650">
        <f t="shared" si="9"/>
        <v>1620</v>
      </c>
      <c r="J266" s="20651" t="s">
        <v>852</v>
      </c>
      <c r="K266" s="20652">
        <v>27</v>
      </c>
    </row>
    <row r="267" spans="1:11" ht="13.8">
      <c r="A267" s="20653" t="str">
        <f t="shared" si="8"/>
        <v>TK-00266</v>
      </c>
      <c r="B267" s="20654">
        <v>26</v>
      </c>
      <c r="C267" s="20655">
        <v>46198</v>
      </c>
      <c r="D267" s="20656" t="s">
        <v>111</v>
      </c>
      <c r="E267" s="20657" t="s">
        <v>850</v>
      </c>
      <c r="F267" s="20658" t="s">
        <v>897</v>
      </c>
      <c r="G267" s="20659">
        <v>5</v>
      </c>
      <c r="H267" s="20660">
        <v>27</v>
      </c>
      <c r="I267" s="20661">
        <f t="shared" si="9"/>
        <v>135</v>
      </c>
      <c r="J267" s="20662" t="s">
        <v>852</v>
      </c>
      <c r="K267" s="20663">
        <v>27</v>
      </c>
    </row>
    <row r="268" spans="1:11" ht="13.8">
      <c r="A268" s="20664" t="str">
        <f t="shared" si="8"/>
        <v>TK-00267</v>
      </c>
      <c r="B268" s="20665">
        <v>26</v>
      </c>
      <c r="C268" s="20666">
        <v>46199</v>
      </c>
      <c r="D268" s="20667" t="s">
        <v>111</v>
      </c>
      <c r="E268" s="20668" t="s">
        <v>850</v>
      </c>
      <c r="F268" s="20669" t="s">
        <v>890</v>
      </c>
      <c r="G268" s="20670">
        <v>50</v>
      </c>
      <c r="H268" s="20671">
        <v>27</v>
      </c>
      <c r="I268" s="20672">
        <f t="shared" si="9"/>
        <v>1350</v>
      </c>
      <c r="J268" s="20673" t="s">
        <v>852</v>
      </c>
      <c r="K268" s="20674">
        <v>27</v>
      </c>
    </row>
    <row r="269" spans="1:11" ht="13.8">
      <c r="A269" s="20675" t="str">
        <f t="shared" si="8"/>
        <v>TK-00268</v>
      </c>
      <c r="B269" s="20676">
        <v>26</v>
      </c>
      <c r="C269" s="20677">
        <v>46199</v>
      </c>
      <c r="D269" s="20678" t="s">
        <v>111</v>
      </c>
      <c r="E269" s="20679" t="s">
        <v>850</v>
      </c>
      <c r="F269" s="20680" t="s">
        <v>890</v>
      </c>
      <c r="G269" s="20681">
        <v>50</v>
      </c>
      <c r="H269" s="20682">
        <v>27</v>
      </c>
      <c r="I269" s="20683">
        <f t="shared" si="9"/>
        <v>1350</v>
      </c>
      <c r="J269" s="20684" t="s">
        <v>852</v>
      </c>
      <c r="K269" s="20685">
        <v>27</v>
      </c>
    </row>
    <row r="270" spans="1:11" ht="13.8">
      <c r="A270" s="20686" t="str">
        <f t="shared" si="8"/>
        <v>TK-00269</v>
      </c>
      <c r="B270" s="20687">
        <v>26</v>
      </c>
      <c r="C270" s="20688">
        <v>46199</v>
      </c>
      <c r="D270" s="20689" t="s">
        <v>111</v>
      </c>
      <c r="E270" s="20690" t="s">
        <v>850</v>
      </c>
      <c r="F270" s="20691" t="s">
        <v>896</v>
      </c>
      <c r="G270" s="20692">
        <v>10</v>
      </c>
      <c r="H270" s="20693">
        <v>27</v>
      </c>
      <c r="I270" s="20694">
        <f t="shared" si="9"/>
        <v>270</v>
      </c>
      <c r="J270" s="20695" t="s">
        <v>852</v>
      </c>
      <c r="K270" s="20696">
        <v>27</v>
      </c>
    </row>
    <row r="271" spans="1:11" ht="13.8">
      <c r="A271" s="20697" t="str">
        <f t="shared" si="8"/>
        <v>TK-00270</v>
      </c>
      <c r="B271" s="20698">
        <v>26</v>
      </c>
      <c r="C271" s="20699">
        <v>46199</v>
      </c>
      <c r="D271" s="20700" t="s">
        <v>111</v>
      </c>
      <c r="E271" s="20701" t="s">
        <v>850</v>
      </c>
      <c r="F271" s="20702" t="s">
        <v>897</v>
      </c>
      <c r="G271" s="20703">
        <v>8</v>
      </c>
      <c r="H271" s="20704">
        <v>27</v>
      </c>
      <c r="I271" s="20705">
        <f t="shared" si="9"/>
        <v>216</v>
      </c>
      <c r="J271" s="20706" t="s">
        <v>852</v>
      </c>
      <c r="K271" s="20707">
        <v>27</v>
      </c>
    </row>
    <row r="272" spans="1:11" ht="13.8">
      <c r="A272" s="20708" t="str">
        <f t="shared" si="8"/>
        <v>TK-00271</v>
      </c>
      <c r="B272" s="20709">
        <v>26</v>
      </c>
      <c r="C272" s="20710">
        <v>46196</v>
      </c>
      <c r="D272" s="20711" t="s">
        <v>115</v>
      </c>
      <c r="E272" s="20712" t="s">
        <v>850</v>
      </c>
      <c r="F272" s="20713" t="s">
        <v>898</v>
      </c>
      <c r="G272" s="20714">
        <v>300</v>
      </c>
      <c r="H272" s="20715">
        <v>27</v>
      </c>
      <c r="I272" s="20716">
        <f t="shared" si="9"/>
        <v>8100</v>
      </c>
      <c r="J272" s="20717" t="s">
        <v>852</v>
      </c>
      <c r="K272" s="20718">
        <v>27</v>
      </c>
    </row>
    <row r="273" spans="1:11" ht="13.8">
      <c r="A273" s="20719" t="str">
        <f t="shared" si="8"/>
        <v>TK-00272</v>
      </c>
      <c r="B273" s="20720">
        <v>26</v>
      </c>
      <c r="C273" s="20721">
        <v>46197</v>
      </c>
      <c r="D273" s="20722" t="s">
        <v>115</v>
      </c>
      <c r="E273" s="20723" t="s">
        <v>850</v>
      </c>
      <c r="F273" s="20724" t="s">
        <v>899</v>
      </c>
      <c r="G273" s="20725">
        <v>600</v>
      </c>
      <c r="H273" s="20726">
        <v>27</v>
      </c>
      <c r="I273" s="20727">
        <f t="shared" si="9"/>
        <v>16200</v>
      </c>
      <c r="J273" s="20728" t="s">
        <v>852</v>
      </c>
      <c r="K273" s="20729">
        <v>27</v>
      </c>
    </row>
    <row r="274" spans="1:11" ht="13.8">
      <c r="A274" s="20730" t="str">
        <f t="shared" si="8"/>
        <v>TK-00273</v>
      </c>
      <c r="B274" s="20731">
        <v>26</v>
      </c>
      <c r="C274" s="20732">
        <v>46197</v>
      </c>
      <c r="D274" s="20733" t="s">
        <v>115</v>
      </c>
      <c r="E274" s="20734" t="s">
        <v>850</v>
      </c>
      <c r="F274" s="20735" t="s">
        <v>900</v>
      </c>
      <c r="G274" s="20736">
        <v>400</v>
      </c>
      <c r="H274" s="20737">
        <v>27</v>
      </c>
      <c r="I274" s="20738">
        <f t="shared" si="9"/>
        <v>10800</v>
      </c>
      <c r="J274" s="20739" t="s">
        <v>852</v>
      </c>
      <c r="K274" s="20740">
        <v>27</v>
      </c>
    </row>
    <row r="275" spans="1:11" ht="13.8">
      <c r="A275" s="20741" t="str">
        <f t="shared" si="8"/>
        <v>TK-00274</v>
      </c>
      <c r="B275" s="20742">
        <v>26</v>
      </c>
      <c r="C275" s="20743">
        <v>46198</v>
      </c>
      <c r="D275" s="20744" t="s">
        <v>115</v>
      </c>
      <c r="E275" s="20745" t="s">
        <v>850</v>
      </c>
      <c r="F275" s="20746" t="s">
        <v>898</v>
      </c>
      <c r="G275" s="20747">
        <v>300</v>
      </c>
      <c r="H275" s="20748">
        <v>27</v>
      </c>
      <c r="I275" s="20749">
        <f t="shared" si="9"/>
        <v>8100</v>
      </c>
      <c r="J275" s="20750" t="s">
        <v>852</v>
      </c>
      <c r="K275" s="20751">
        <v>27</v>
      </c>
    </row>
    <row r="276" spans="1:11" ht="13.8">
      <c r="A276" s="20752" t="str">
        <f t="shared" si="8"/>
        <v>TK-00275</v>
      </c>
      <c r="B276" s="20753">
        <v>26</v>
      </c>
      <c r="C276" s="20754">
        <v>46195</v>
      </c>
      <c r="D276" s="20755" t="s">
        <v>2</v>
      </c>
      <c r="E276" s="20756" t="s">
        <v>850</v>
      </c>
      <c r="F276" s="20757" t="s">
        <v>901</v>
      </c>
      <c r="G276" s="20758">
        <v>30</v>
      </c>
      <c r="H276" s="20759">
        <v>27</v>
      </c>
      <c r="I276" s="20760">
        <f t="shared" si="9"/>
        <v>810</v>
      </c>
      <c r="J276" s="20761" t="s">
        <v>852</v>
      </c>
      <c r="K276" s="20762">
        <v>27</v>
      </c>
    </row>
    <row r="277" spans="1:11" ht="13.8">
      <c r="A277" s="20763" t="str">
        <f t="shared" si="8"/>
        <v>TK-00276</v>
      </c>
      <c r="B277" s="20764">
        <v>26</v>
      </c>
      <c r="C277" s="20765">
        <v>46196</v>
      </c>
      <c r="D277" s="20766" t="s">
        <v>2</v>
      </c>
      <c r="E277" s="20767" t="s">
        <v>850</v>
      </c>
      <c r="F277" s="20768" t="s">
        <v>901</v>
      </c>
      <c r="G277" s="20769">
        <v>30</v>
      </c>
      <c r="H277" s="20770">
        <v>27</v>
      </c>
      <c r="I277" s="20771">
        <f t="shared" si="9"/>
        <v>810</v>
      </c>
      <c r="J277" s="20772" t="s">
        <v>852</v>
      </c>
      <c r="K277" s="20773">
        <v>27</v>
      </c>
    </row>
    <row r="278" spans="1:11" ht="13.8">
      <c r="A278" s="20774" t="str">
        <f t="shared" si="8"/>
        <v>TK-00277</v>
      </c>
      <c r="B278" s="20775">
        <v>26</v>
      </c>
      <c r="C278" s="20776">
        <v>46197</v>
      </c>
      <c r="D278" s="20777" t="s">
        <v>2</v>
      </c>
      <c r="E278" s="20778" t="s">
        <v>850</v>
      </c>
      <c r="F278" s="20779" t="s">
        <v>901</v>
      </c>
      <c r="G278" s="20780">
        <v>30</v>
      </c>
      <c r="H278" s="20781">
        <v>27</v>
      </c>
      <c r="I278" s="20782">
        <f t="shared" si="9"/>
        <v>810</v>
      </c>
      <c r="J278" s="20783" t="s">
        <v>852</v>
      </c>
      <c r="K278" s="20784">
        <v>27</v>
      </c>
    </row>
    <row r="279" spans="1:11" ht="13.8">
      <c r="A279" s="20785" t="str">
        <f t="shared" si="8"/>
        <v>TK-00278</v>
      </c>
      <c r="B279" s="20786">
        <v>26</v>
      </c>
      <c r="C279" s="20787">
        <v>46198</v>
      </c>
      <c r="D279" s="20788" t="s">
        <v>2</v>
      </c>
      <c r="E279" s="20789" t="s">
        <v>850</v>
      </c>
      <c r="F279" s="20790" t="s">
        <v>901</v>
      </c>
      <c r="G279" s="20791">
        <v>30</v>
      </c>
      <c r="H279" s="20792">
        <v>27</v>
      </c>
      <c r="I279" s="20793">
        <f t="shared" si="9"/>
        <v>810</v>
      </c>
      <c r="J279" s="20794" t="s">
        <v>852</v>
      </c>
      <c r="K279" s="20795">
        <v>27</v>
      </c>
    </row>
    <row r="280" spans="1:11" ht="13.8">
      <c r="A280" s="20796" t="str">
        <f t="shared" si="8"/>
        <v>TK-00279</v>
      </c>
      <c r="B280" s="20797">
        <v>26</v>
      </c>
      <c r="C280" s="20798">
        <v>46199</v>
      </c>
      <c r="D280" s="20799" t="s">
        <v>2</v>
      </c>
      <c r="E280" s="20800" t="s">
        <v>850</v>
      </c>
      <c r="F280" s="20801" t="s">
        <v>901</v>
      </c>
      <c r="G280" s="20802">
        <v>30</v>
      </c>
      <c r="H280" s="20803">
        <v>27</v>
      </c>
      <c r="I280" s="20804">
        <f t="shared" si="9"/>
        <v>810</v>
      </c>
      <c r="J280" s="20805" t="s">
        <v>852</v>
      </c>
      <c r="K280" s="20806">
        <v>27</v>
      </c>
    </row>
    <row r="281" spans="1:11" ht="13.8">
      <c r="A281" s="20807" t="str">
        <f t="shared" si="8"/>
        <v>TK-00280</v>
      </c>
      <c r="B281" s="20808">
        <v>27</v>
      </c>
      <c r="C281" s="20809">
        <v>46202</v>
      </c>
      <c r="D281" s="20810" t="s">
        <v>654</v>
      </c>
      <c r="E281" s="20811" t="s">
        <v>850</v>
      </c>
      <c r="F281" s="20812" t="s">
        <v>902</v>
      </c>
      <c r="G281" s="20813">
        <v>300</v>
      </c>
      <c r="H281" s="20814">
        <v>27</v>
      </c>
      <c r="I281" s="20815">
        <f t="shared" si="9"/>
        <v>8100</v>
      </c>
      <c r="J281" s="20816" t="s">
        <v>852</v>
      </c>
      <c r="K281" s="20817">
        <v>23.95</v>
      </c>
    </row>
    <row r="282" spans="1:11" ht="13.8">
      <c r="A282" s="20818" t="str">
        <f t="shared" si="8"/>
        <v>TK-00281</v>
      </c>
      <c r="B282" s="20819">
        <v>27</v>
      </c>
      <c r="C282" s="20820">
        <v>46202</v>
      </c>
      <c r="D282" s="20821" t="s">
        <v>654</v>
      </c>
      <c r="E282" s="20822" t="s">
        <v>850</v>
      </c>
      <c r="F282" s="20823" t="s">
        <v>903</v>
      </c>
      <c r="G282" s="20824">
        <v>100</v>
      </c>
      <c r="H282" s="20825">
        <v>27</v>
      </c>
      <c r="I282" s="20826">
        <f t="shared" si="9"/>
        <v>2700</v>
      </c>
      <c r="J282" s="20827" t="s">
        <v>852</v>
      </c>
      <c r="K282" s="20828">
        <v>23.95</v>
      </c>
    </row>
    <row r="283" spans="1:11" ht="13.8">
      <c r="A283" s="20829" t="str">
        <f t="shared" si="8"/>
        <v>TK-00282</v>
      </c>
      <c r="B283" s="20830">
        <v>27</v>
      </c>
      <c r="C283" s="20831">
        <v>46202</v>
      </c>
      <c r="D283" s="20832" t="s">
        <v>654</v>
      </c>
      <c r="E283" s="20833" t="s">
        <v>850</v>
      </c>
      <c r="F283" s="20834" t="s">
        <v>904</v>
      </c>
      <c r="G283" s="20835">
        <v>100</v>
      </c>
      <c r="H283" s="20836">
        <v>27</v>
      </c>
      <c r="I283" s="20837">
        <f t="shared" si="9"/>
        <v>2700</v>
      </c>
      <c r="J283" s="20838" t="s">
        <v>852</v>
      </c>
      <c r="K283" s="20839">
        <v>23.95</v>
      </c>
    </row>
    <row r="284" spans="1:11" ht="13.8">
      <c r="A284" s="20840" t="str">
        <f t="shared" si="8"/>
        <v>TK-00283</v>
      </c>
      <c r="B284" s="20841">
        <v>27</v>
      </c>
      <c r="C284" s="20842">
        <v>46202</v>
      </c>
      <c r="D284" s="20843" t="s">
        <v>654</v>
      </c>
      <c r="E284" s="20844" t="s">
        <v>850</v>
      </c>
      <c r="F284" s="20845" t="s">
        <v>905</v>
      </c>
      <c r="G284" s="20846">
        <v>100</v>
      </c>
      <c r="H284" s="20847">
        <v>27</v>
      </c>
      <c r="I284" s="20848">
        <f t="shared" si="9"/>
        <v>2700</v>
      </c>
      <c r="J284" s="20849" t="s">
        <v>852</v>
      </c>
      <c r="K284" s="20850">
        <v>23.95</v>
      </c>
    </row>
    <row r="285" spans="1:11" ht="13.8">
      <c r="A285" s="20851" t="str">
        <f t="shared" si="8"/>
        <v>TK-00284</v>
      </c>
      <c r="B285" s="20852">
        <v>27</v>
      </c>
      <c r="C285" s="20853">
        <v>46203</v>
      </c>
      <c r="D285" s="20854" t="s">
        <v>654</v>
      </c>
      <c r="E285" s="20855" t="s">
        <v>850</v>
      </c>
      <c r="F285" s="20856" t="s">
        <v>902</v>
      </c>
      <c r="G285" s="20857">
        <v>300</v>
      </c>
      <c r="H285" s="20858">
        <v>27</v>
      </c>
      <c r="I285" s="20859">
        <f t="shared" si="9"/>
        <v>8100</v>
      </c>
      <c r="J285" s="20860" t="s">
        <v>852</v>
      </c>
      <c r="K285" s="20861">
        <v>23.95</v>
      </c>
    </row>
    <row r="286" spans="1:11" ht="13.8">
      <c r="A286" s="20862" t="str">
        <f t="shared" si="8"/>
        <v>TK-00285</v>
      </c>
      <c r="B286" s="20863">
        <v>27</v>
      </c>
      <c r="C286" s="20864">
        <v>46203</v>
      </c>
      <c r="D286" s="20865" t="s">
        <v>654</v>
      </c>
      <c r="E286" s="20866" t="s">
        <v>850</v>
      </c>
      <c r="F286" s="20867" t="s">
        <v>906</v>
      </c>
      <c r="G286" s="20868">
        <v>50</v>
      </c>
      <c r="H286" s="20869">
        <v>27</v>
      </c>
      <c r="I286" s="20870">
        <f t="shared" si="9"/>
        <v>1350</v>
      </c>
      <c r="J286" s="20871" t="s">
        <v>852</v>
      </c>
      <c r="K286" s="20872">
        <v>23.95</v>
      </c>
    </row>
    <row r="287" spans="1:11" ht="13.8">
      <c r="A287" s="20873" t="str">
        <f t="shared" si="8"/>
        <v>TK-00286</v>
      </c>
      <c r="B287" s="20874">
        <v>27</v>
      </c>
      <c r="C287" s="20875">
        <v>46203</v>
      </c>
      <c r="D287" s="20876" t="s">
        <v>654</v>
      </c>
      <c r="E287" s="20877" t="s">
        <v>850</v>
      </c>
      <c r="F287" s="20878" t="s">
        <v>904</v>
      </c>
      <c r="G287" s="20879">
        <v>100</v>
      </c>
      <c r="H287" s="20880">
        <v>27</v>
      </c>
      <c r="I287" s="20881">
        <f t="shared" si="9"/>
        <v>2700</v>
      </c>
      <c r="J287" s="20882" t="s">
        <v>852</v>
      </c>
      <c r="K287" s="20883">
        <v>23.95</v>
      </c>
    </row>
    <row r="288" spans="1:11" ht="13.8">
      <c r="A288" s="20884" t="str">
        <f t="shared" si="8"/>
        <v>TK-00287</v>
      </c>
      <c r="B288" s="20885">
        <v>27</v>
      </c>
      <c r="C288" s="20886">
        <v>46203</v>
      </c>
      <c r="D288" s="20887" t="s">
        <v>654</v>
      </c>
      <c r="E288" s="20888" t="s">
        <v>850</v>
      </c>
      <c r="F288" s="20889" t="s">
        <v>905</v>
      </c>
      <c r="G288" s="20890">
        <v>100</v>
      </c>
      <c r="H288" s="20891">
        <v>27</v>
      </c>
      <c r="I288" s="20892">
        <f t="shared" si="9"/>
        <v>2700</v>
      </c>
      <c r="J288" s="20893" t="s">
        <v>852</v>
      </c>
      <c r="K288" s="20894">
        <v>23.95</v>
      </c>
    </row>
    <row r="289" spans="1:11" ht="13.8">
      <c r="A289" s="20895" t="str">
        <f t="shared" si="8"/>
        <v>TK-00288</v>
      </c>
      <c r="B289" s="20896">
        <v>27</v>
      </c>
      <c r="C289" s="20897">
        <v>46204</v>
      </c>
      <c r="D289" s="20898" t="s">
        <v>654</v>
      </c>
      <c r="E289" s="20899" t="s">
        <v>850</v>
      </c>
      <c r="F289" s="20900" t="s">
        <v>902</v>
      </c>
      <c r="G289" s="20901">
        <v>300</v>
      </c>
      <c r="H289" s="20902">
        <v>27</v>
      </c>
      <c r="I289" s="20903">
        <f t="shared" si="9"/>
        <v>8100</v>
      </c>
      <c r="J289" s="20904" t="s">
        <v>852</v>
      </c>
      <c r="K289" s="20905">
        <v>23.95</v>
      </c>
    </row>
    <row r="290" spans="1:11" ht="13.8">
      <c r="A290" s="20906" t="str">
        <f t="shared" si="8"/>
        <v>TK-00289</v>
      </c>
      <c r="B290" s="20907">
        <v>27</v>
      </c>
      <c r="C290" s="20908">
        <v>46204</v>
      </c>
      <c r="D290" s="20909" t="s">
        <v>654</v>
      </c>
      <c r="E290" s="20910" t="s">
        <v>850</v>
      </c>
      <c r="F290" s="20911" t="s">
        <v>904</v>
      </c>
      <c r="G290" s="20912">
        <v>100</v>
      </c>
      <c r="H290" s="20913">
        <v>27</v>
      </c>
      <c r="I290" s="20914">
        <f t="shared" si="9"/>
        <v>2700</v>
      </c>
      <c r="J290" s="20915" t="s">
        <v>852</v>
      </c>
      <c r="K290" s="20916">
        <v>23.95</v>
      </c>
    </row>
    <row r="291" spans="1:11" ht="13.8">
      <c r="A291" s="20917" t="str">
        <f t="shared" si="8"/>
        <v>TK-00290</v>
      </c>
      <c r="B291" s="20918">
        <v>27</v>
      </c>
      <c r="C291" s="20919">
        <v>46204</v>
      </c>
      <c r="D291" s="20920" t="s">
        <v>654</v>
      </c>
      <c r="E291" s="20921" t="s">
        <v>850</v>
      </c>
      <c r="F291" s="20922" t="s">
        <v>905</v>
      </c>
      <c r="G291" s="20923">
        <v>100</v>
      </c>
      <c r="H291" s="20924">
        <v>27</v>
      </c>
      <c r="I291" s="20925">
        <f t="shared" si="9"/>
        <v>2700</v>
      </c>
      <c r="J291" s="20926" t="s">
        <v>852</v>
      </c>
      <c r="K291" s="20927">
        <v>23.95</v>
      </c>
    </row>
    <row r="292" spans="1:11" ht="13.8">
      <c r="A292" s="20928" t="str">
        <f t="shared" si="8"/>
        <v>TK-00291</v>
      </c>
      <c r="B292" s="20929">
        <v>27</v>
      </c>
      <c r="C292" s="20930">
        <v>46205</v>
      </c>
      <c r="D292" s="20931" t="s">
        <v>654</v>
      </c>
      <c r="E292" s="20932" t="s">
        <v>850</v>
      </c>
      <c r="F292" s="20933" t="s">
        <v>902</v>
      </c>
      <c r="G292" s="20934">
        <v>300</v>
      </c>
      <c r="H292" s="20935">
        <v>27</v>
      </c>
      <c r="I292" s="20936">
        <f t="shared" si="9"/>
        <v>8100</v>
      </c>
      <c r="J292" s="20937" t="s">
        <v>852</v>
      </c>
      <c r="K292" s="20938">
        <v>23.95</v>
      </c>
    </row>
    <row r="293" spans="1:11" ht="13.8">
      <c r="A293" s="20939" t="str">
        <f t="shared" si="8"/>
        <v>TK-00292</v>
      </c>
      <c r="B293" s="20940">
        <v>27</v>
      </c>
      <c r="C293" s="20941">
        <v>46205</v>
      </c>
      <c r="D293" s="20942" t="s">
        <v>654</v>
      </c>
      <c r="E293" s="20943" t="s">
        <v>850</v>
      </c>
      <c r="F293" s="20944" t="s">
        <v>906</v>
      </c>
      <c r="G293" s="20945">
        <v>50</v>
      </c>
      <c r="H293" s="20946">
        <v>27</v>
      </c>
      <c r="I293" s="20947">
        <f t="shared" si="9"/>
        <v>1350</v>
      </c>
      <c r="J293" s="20948" t="s">
        <v>852</v>
      </c>
      <c r="K293" s="20949">
        <v>23.95</v>
      </c>
    </row>
    <row r="294" spans="1:11" ht="13.8">
      <c r="A294" s="20950" t="str">
        <f t="shared" si="8"/>
        <v>TK-00293</v>
      </c>
      <c r="B294" s="20951">
        <v>27</v>
      </c>
      <c r="C294" s="20952">
        <v>46205</v>
      </c>
      <c r="D294" s="20953" t="s">
        <v>654</v>
      </c>
      <c r="E294" s="20954" t="s">
        <v>850</v>
      </c>
      <c r="F294" s="20955" t="s">
        <v>903</v>
      </c>
      <c r="G294" s="20956">
        <v>100</v>
      </c>
      <c r="H294" s="20957">
        <v>27</v>
      </c>
      <c r="I294" s="20958">
        <f t="shared" si="9"/>
        <v>2700</v>
      </c>
      <c r="J294" s="20959" t="s">
        <v>852</v>
      </c>
      <c r="K294" s="20960">
        <v>23.95</v>
      </c>
    </row>
    <row r="295" spans="1:11" ht="13.8">
      <c r="A295" s="20961" t="str">
        <f t="shared" si="8"/>
        <v>TK-00294</v>
      </c>
      <c r="B295" s="20962">
        <v>27</v>
      </c>
      <c r="C295" s="20963">
        <v>46205</v>
      </c>
      <c r="D295" s="20964" t="s">
        <v>654</v>
      </c>
      <c r="E295" s="20965" t="s">
        <v>850</v>
      </c>
      <c r="F295" s="20966" t="s">
        <v>904</v>
      </c>
      <c r="G295" s="20967">
        <v>100</v>
      </c>
      <c r="H295" s="20968">
        <v>27</v>
      </c>
      <c r="I295" s="20969">
        <f t="shared" si="9"/>
        <v>2700</v>
      </c>
      <c r="J295" s="20970" t="s">
        <v>852</v>
      </c>
      <c r="K295" s="20971">
        <v>23.95</v>
      </c>
    </row>
    <row r="296" spans="1:11" ht="13.8">
      <c r="A296" s="20972" t="str">
        <f t="shared" si="8"/>
        <v>TK-00295</v>
      </c>
      <c r="B296" s="20973">
        <v>27</v>
      </c>
      <c r="C296" s="20974">
        <v>46205</v>
      </c>
      <c r="D296" s="20975" t="s">
        <v>654</v>
      </c>
      <c r="E296" s="20976" t="s">
        <v>850</v>
      </c>
      <c r="F296" s="20977" t="s">
        <v>905</v>
      </c>
      <c r="G296" s="20978">
        <v>100</v>
      </c>
      <c r="H296" s="20979">
        <v>27</v>
      </c>
      <c r="I296" s="20980">
        <f t="shared" si="9"/>
        <v>2700</v>
      </c>
      <c r="J296" s="20981" t="s">
        <v>852</v>
      </c>
      <c r="K296" s="20982">
        <v>23.95</v>
      </c>
    </row>
    <row r="297" spans="1:11" ht="13.8">
      <c r="A297" s="20983" t="str">
        <f t="shared" si="8"/>
        <v>TK-00296</v>
      </c>
      <c r="B297" s="20984">
        <v>27</v>
      </c>
      <c r="C297" s="20985">
        <v>46206</v>
      </c>
      <c r="D297" s="20986" t="s">
        <v>654</v>
      </c>
      <c r="E297" s="20987" t="s">
        <v>850</v>
      </c>
      <c r="F297" s="20988" t="s">
        <v>902</v>
      </c>
      <c r="G297" s="20989">
        <v>300</v>
      </c>
      <c r="H297" s="20990">
        <v>27</v>
      </c>
      <c r="I297" s="20991">
        <f t="shared" si="9"/>
        <v>8100</v>
      </c>
      <c r="J297" s="20992" t="s">
        <v>852</v>
      </c>
      <c r="K297" s="20993">
        <v>23.95</v>
      </c>
    </row>
    <row r="298" spans="1:11" ht="13.8">
      <c r="A298" s="20994" t="str">
        <f t="shared" si="8"/>
        <v>TK-00297</v>
      </c>
      <c r="B298" s="20995">
        <v>27</v>
      </c>
      <c r="C298" s="20996">
        <v>46206</v>
      </c>
      <c r="D298" s="20997" t="s">
        <v>654</v>
      </c>
      <c r="E298" s="20998" t="s">
        <v>850</v>
      </c>
      <c r="F298" s="20999" t="s">
        <v>904</v>
      </c>
      <c r="G298" s="21000">
        <v>100</v>
      </c>
      <c r="H298" s="21001">
        <v>27</v>
      </c>
      <c r="I298" s="21002">
        <f t="shared" si="9"/>
        <v>2700</v>
      </c>
      <c r="J298" s="21003" t="s">
        <v>852</v>
      </c>
      <c r="K298" s="21004">
        <v>23.95</v>
      </c>
    </row>
    <row r="299" spans="1:11" ht="13.8">
      <c r="A299" s="21005" t="str">
        <f t="shared" si="8"/>
        <v>TK-00298</v>
      </c>
      <c r="B299" s="21006">
        <v>27</v>
      </c>
      <c r="C299" s="21007">
        <v>46206</v>
      </c>
      <c r="D299" s="21008" t="s">
        <v>654</v>
      </c>
      <c r="E299" s="21009" t="s">
        <v>850</v>
      </c>
      <c r="F299" s="21010" t="s">
        <v>905</v>
      </c>
      <c r="G299" s="21011">
        <v>100</v>
      </c>
      <c r="H299" s="21012">
        <v>27</v>
      </c>
      <c r="I299" s="21013">
        <f t="shared" si="9"/>
        <v>2700</v>
      </c>
      <c r="J299" s="21014" t="s">
        <v>852</v>
      </c>
      <c r="K299" s="21015">
        <v>23.95</v>
      </c>
    </row>
    <row r="300" spans="1:11" ht="13.8">
      <c r="A300" s="21016" t="str">
        <f t="shared" si="8"/>
        <v>TK-00299</v>
      </c>
      <c r="B300" s="21017">
        <v>27</v>
      </c>
      <c r="C300" s="21018">
        <v>46207</v>
      </c>
      <c r="D300" s="21019" t="s">
        <v>654</v>
      </c>
      <c r="E300" s="21020" t="s">
        <v>850</v>
      </c>
      <c r="F300" s="21021" t="s">
        <v>902</v>
      </c>
      <c r="G300" s="21022">
        <v>100</v>
      </c>
      <c r="H300" s="21023">
        <v>27</v>
      </c>
      <c r="I300" s="21024">
        <f t="shared" si="9"/>
        <v>2700</v>
      </c>
      <c r="J300" s="21025" t="s">
        <v>852</v>
      </c>
      <c r="K300" s="21026">
        <v>23.95</v>
      </c>
    </row>
    <row r="301" spans="1:11" ht="13.8">
      <c r="A301" s="21027" t="str">
        <f t="shared" si="8"/>
        <v>TK-00300</v>
      </c>
      <c r="B301" s="21028">
        <v>27</v>
      </c>
      <c r="C301" s="21029">
        <v>46207</v>
      </c>
      <c r="D301" s="21030" t="s">
        <v>654</v>
      </c>
      <c r="E301" s="21031" t="s">
        <v>850</v>
      </c>
      <c r="F301" s="21032" t="s">
        <v>906</v>
      </c>
      <c r="G301" s="21033">
        <v>50</v>
      </c>
      <c r="H301" s="21034">
        <v>27</v>
      </c>
      <c r="I301" s="21035">
        <f t="shared" si="9"/>
        <v>1350</v>
      </c>
      <c r="J301" s="21036" t="s">
        <v>852</v>
      </c>
      <c r="K301" s="21037">
        <v>23.95</v>
      </c>
    </row>
    <row r="302" spans="1:11" ht="13.8">
      <c r="A302" s="21038" t="str">
        <f t="shared" si="8"/>
        <v>TK-00301</v>
      </c>
      <c r="B302" s="21039">
        <v>27</v>
      </c>
      <c r="C302" s="21040">
        <v>46207</v>
      </c>
      <c r="D302" s="21041" t="s">
        <v>654</v>
      </c>
      <c r="E302" s="21042" t="s">
        <v>850</v>
      </c>
      <c r="F302" s="21043" t="s">
        <v>904</v>
      </c>
      <c r="G302" s="21044">
        <v>100</v>
      </c>
      <c r="H302" s="21045">
        <v>27</v>
      </c>
      <c r="I302" s="21046">
        <f t="shared" si="9"/>
        <v>2700</v>
      </c>
      <c r="J302" s="21047" t="s">
        <v>852</v>
      </c>
      <c r="K302" s="21048">
        <v>23.95</v>
      </c>
    </row>
    <row r="303" spans="1:11" ht="13.8">
      <c r="A303" s="21049" t="str">
        <f t="shared" si="8"/>
        <v>TK-00302</v>
      </c>
      <c r="B303" s="21050">
        <v>27</v>
      </c>
      <c r="C303" s="21051">
        <v>46207</v>
      </c>
      <c r="D303" s="21052" t="s">
        <v>654</v>
      </c>
      <c r="E303" s="21053" t="s">
        <v>850</v>
      </c>
      <c r="F303" s="21054" t="s">
        <v>905</v>
      </c>
      <c r="G303" s="21055">
        <v>100</v>
      </c>
      <c r="H303" s="21056">
        <v>27</v>
      </c>
      <c r="I303" s="21057">
        <f t="shared" si="9"/>
        <v>2700</v>
      </c>
      <c r="J303" s="21058" t="s">
        <v>852</v>
      </c>
      <c r="K303" s="21059">
        <v>23.95</v>
      </c>
    </row>
    <row r="304" spans="1:11" ht="13.8">
      <c r="A304" s="21060" t="str">
        <f t="shared" si="8"/>
        <v>TK-00303</v>
      </c>
      <c r="B304" s="21061">
        <v>27</v>
      </c>
      <c r="C304" s="21062">
        <v>46208</v>
      </c>
      <c r="D304" s="21063" t="s">
        <v>654</v>
      </c>
      <c r="E304" s="21064" t="s">
        <v>850</v>
      </c>
      <c r="F304" s="21065" t="s">
        <v>902</v>
      </c>
      <c r="G304" s="21066">
        <v>100</v>
      </c>
      <c r="H304" s="21067">
        <v>27</v>
      </c>
      <c r="I304" s="21068">
        <f t="shared" si="9"/>
        <v>2700</v>
      </c>
      <c r="J304" s="21069" t="s">
        <v>852</v>
      </c>
      <c r="K304" s="21070">
        <v>23.95</v>
      </c>
    </row>
    <row r="305" spans="1:11" ht="13.8">
      <c r="A305" s="21071" t="str">
        <f t="shared" si="8"/>
        <v>TK-00304</v>
      </c>
      <c r="B305" s="21072">
        <v>27</v>
      </c>
      <c r="C305" s="21073">
        <v>46208</v>
      </c>
      <c r="D305" s="21074" t="s">
        <v>654</v>
      </c>
      <c r="E305" s="21075" t="s">
        <v>850</v>
      </c>
      <c r="F305" s="21076" t="s">
        <v>904</v>
      </c>
      <c r="G305" s="21077">
        <v>100</v>
      </c>
      <c r="H305" s="21078">
        <v>27</v>
      </c>
      <c r="I305" s="21079">
        <f t="shared" si="9"/>
        <v>2700</v>
      </c>
      <c r="J305" s="21080" t="s">
        <v>852</v>
      </c>
      <c r="K305" s="21081">
        <v>23.95</v>
      </c>
    </row>
    <row r="306" spans="1:11" ht="13.8">
      <c r="A306" s="21082" t="str">
        <f t="shared" si="8"/>
        <v>TK-00305</v>
      </c>
      <c r="B306" s="21083">
        <v>27</v>
      </c>
      <c r="C306" s="21084">
        <v>46202</v>
      </c>
      <c r="D306" s="21085" t="s">
        <v>1</v>
      </c>
      <c r="E306" s="21086" t="s">
        <v>850</v>
      </c>
      <c r="F306" s="21087" t="s">
        <v>880</v>
      </c>
      <c r="G306" s="21088">
        <v>250</v>
      </c>
      <c r="H306" s="21089">
        <v>27</v>
      </c>
      <c r="I306" s="21090">
        <f t="shared" si="9"/>
        <v>6750</v>
      </c>
      <c r="J306" s="21091" t="s">
        <v>852</v>
      </c>
      <c r="K306" s="21092">
        <v>23.95</v>
      </c>
    </row>
    <row r="307" spans="1:11" ht="13.8">
      <c r="A307" s="21093" t="str">
        <f t="shared" si="8"/>
        <v>TK-00306</v>
      </c>
      <c r="B307" s="21094">
        <v>27</v>
      </c>
      <c r="C307" s="21095">
        <v>46203</v>
      </c>
      <c r="D307" s="21096" t="s">
        <v>1</v>
      </c>
      <c r="E307" s="21097" t="s">
        <v>850</v>
      </c>
      <c r="F307" s="21098" t="s">
        <v>880</v>
      </c>
      <c r="G307" s="21099">
        <v>200</v>
      </c>
      <c r="H307" s="21100">
        <v>27</v>
      </c>
      <c r="I307" s="21101">
        <f t="shared" si="9"/>
        <v>5400</v>
      </c>
      <c r="J307" s="21102" t="s">
        <v>852</v>
      </c>
      <c r="K307" s="21103">
        <v>23.95</v>
      </c>
    </row>
    <row r="308" spans="1:11" ht="13.8">
      <c r="A308" s="21104" t="str">
        <f t="shared" si="8"/>
        <v>TK-00307</v>
      </c>
      <c r="B308" s="21105">
        <v>27</v>
      </c>
      <c r="C308" s="21106">
        <v>46204</v>
      </c>
      <c r="D308" s="21107" t="s">
        <v>1</v>
      </c>
      <c r="E308" s="21108" t="s">
        <v>850</v>
      </c>
      <c r="F308" s="21109" t="s">
        <v>880</v>
      </c>
      <c r="G308" s="21110">
        <v>250</v>
      </c>
      <c r="H308" s="21111">
        <v>27</v>
      </c>
      <c r="I308" s="21112">
        <f t="shared" si="9"/>
        <v>6750</v>
      </c>
      <c r="J308" s="21113" t="s">
        <v>852</v>
      </c>
      <c r="K308" s="21114">
        <v>23.95</v>
      </c>
    </row>
    <row r="309" spans="1:11" ht="13.8">
      <c r="A309" s="21115" t="str">
        <f t="shared" si="8"/>
        <v>TK-00308</v>
      </c>
      <c r="B309" s="21116">
        <v>27</v>
      </c>
      <c r="C309" s="21117">
        <v>46205</v>
      </c>
      <c r="D309" s="21118" t="s">
        <v>1</v>
      </c>
      <c r="E309" s="21119" t="s">
        <v>850</v>
      </c>
      <c r="F309" s="21120" t="s">
        <v>880</v>
      </c>
      <c r="G309" s="21121">
        <v>200</v>
      </c>
      <c r="H309" s="21122">
        <v>27</v>
      </c>
      <c r="I309" s="21123">
        <f t="shared" si="9"/>
        <v>5400</v>
      </c>
      <c r="J309" s="21124" t="s">
        <v>852</v>
      </c>
      <c r="K309" s="21125">
        <v>23.95</v>
      </c>
    </row>
    <row r="310" spans="1:11" ht="13.8">
      <c r="A310" s="21126" t="str">
        <f t="shared" si="8"/>
        <v>TK-00309</v>
      </c>
      <c r="B310" s="21127">
        <v>27</v>
      </c>
      <c r="C310" s="21128">
        <v>46206</v>
      </c>
      <c r="D310" s="21129" t="s">
        <v>1</v>
      </c>
      <c r="E310" s="21130" t="s">
        <v>850</v>
      </c>
      <c r="F310" s="21131" t="s">
        <v>880</v>
      </c>
      <c r="G310" s="21132">
        <v>250</v>
      </c>
      <c r="H310" s="21133">
        <v>27</v>
      </c>
      <c r="I310" s="21134">
        <f t="shared" si="9"/>
        <v>6750</v>
      </c>
      <c r="J310" s="21135" t="s">
        <v>852</v>
      </c>
      <c r="K310" s="21136">
        <v>23.95</v>
      </c>
    </row>
    <row r="311" spans="1:11" ht="13.8">
      <c r="A311" s="21137" t="str">
        <f t="shared" si="8"/>
        <v>TK-00310</v>
      </c>
      <c r="B311" s="21138">
        <v>27</v>
      </c>
      <c r="C311" s="21139">
        <v>46207</v>
      </c>
      <c r="D311" s="21140" t="s">
        <v>1</v>
      </c>
      <c r="E311" s="21141" t="s">
        <v>850</v>
      </c>
      <c r="F311" s="21142" t="s">
        <v>880</v>
      </c>
      <c r="G311" s="21143">
        <v>150</v>
      </c>
      <c r="H311" s="21144">
        <v>27</v>
      </c>
      <c r="I311" s="21145">
        <f t="shared" si="9"/>
        <v>4050</v>
      </c>
      <c r="J311" s="21146" t="s">
        <v>852</v>
      </c>
      <c r="K311" s="21147">
        <v>23.95</v>
      </c>
    </row>
    <row r="312" spans="1:11" ht="13.8">
      <c r="A312" s="21148" t="str">
        <f t="shared" si="8"/>
        <v>TK-00311</v>
      </c>
      <c r="B312" s="21149">
        <v>27</v>
      </c>
      <c r="C312" s="21150">
        <v>46202</v>
      </c>
      <c r="D312" s="21151" t="s">
        <v>1</v>
      </c>
      <c r="E312" s="21152" t="s">
        <v>850</v>
      </c>
      <c r="F312" s="21153" t="s">
        <v>883</v>
      </c>
      <c r="G312" s="21154">
        <v>120</v>
      </c>
      <c r="H312" s="21155">
        <v>27</v>
      </c>
      <c r="I312" s="21156">
        <f t="shared" si="9"/>
        <v>3240</v>
      </c>
      <c r="J312" s="21157" t="s">
        <v>852</v>
      </c>
      <c r="K312" s="21158">
        <v>23.95</v>
      </c>
    </row>
    <row r="313" spans="1:11" ht="13.8">
      <c r="A313" s="21159" t="str">
        <f t="shared" si="8"/>
        <v>TK-00312</v>
      </c>
      <c r="B313" s="21160">
        <v>27</v>
      </c>
      <c r="C313" s="21161">
        <v>46203</v>
      </c>
      <c r="D313" s="21162" t="s">
        <v>1</v>
      </c>
      <c r="E313" s="21163" t="s">
        <v>850</v>
      </c>
      <c r="F313" s="21164" t="s">
        <v>883</v>
      </c>
      <c r="G313" s="21165">
        <v>120</v>
      </c>
      <c r="H313" s="21166">
        <v>27</v>
      </c>
      <c r="I313" s="21167">
        <f t="shared" si="9"/>
        <v>3240</v>
      </c>
      <c r="J313" s="21168" t="s">
        <v>852</v>
      </c>
      <c r="K313" s="21169">
        <v>23.95</v>
      </c>
    </row>
    <row r="314" spans="1:11" ht="13.8">
      <c r="A314" s="21170" t="str">
        <f t="shared" si="8"/>
        <v>TK-00313</v>
      </c>
      <c r="B314" s="21171">
        <v>27</v>
      </c>
      <c r="C314" s="21172">
        <v>46204</v>
      </c>
      <c r="D314" s="21173" t="s">
        <v>1</v>
      </c>
      <c r="E314" s="21174" t="s">
        <v>850</v>
      </c>
      <c r="F314" s="21175" t="s">
        <v>883</v>
      </c>
      <c r="G314" s="21176">
        <v>120</v>
      </c>
      <c r="H314" s="21177">
        <v>27</v>
      </c>
      <c r="I314" s="21178">
        <f t="shared" si="9"/>
        <v>3240</v>
      </c>
      <c r="J314" s="21179" t="s">
        <v>852</v>
      </c>
      <c r="K314" s="21180">
        <v>23.95</v>
      </c>
    </row>
    <row r="315" spans="1:11" ht="13.8">
      <c r="A315" s="21181" t="str">
        <f t="shared" si="8"/>
        <v>TK-00314</v>
      </c>
      <c r="B315" s="21182">
        <v>27</v>
      </c>
      <c r="C315" s="21183">
        <v>46205</v>
      </c>
      <c r="D315" s="21184" t="s">
        <v>1</v>
      </c>
      <c r="E315" s="21185" t="s">
        <v>850</v>
      </c>
      <c r="F315" s="21186" t="s">
        <v>883</v>
      </c>
      <c r="G315" s="21187">
        <v>120</v>
      </c>
      <c r="H315" s="21188">
        <v>27</v>
      </c>
      <c r="I315" s="21189">
        <f t="shared" si="9"/>
        <v>3240</v>
      </c>
      <c r="J315" s="21190" t="s">
        <v>852</v>
      </c>
      <c r="K315" s="21191">
        <v>23.95</v>
      </c>
    </row>
    <row r="316" spans="1:11" ht="13.8">
      <c r="A316" s="21192" t="str">
        <f t="shared" si="8"/>
        <v>TK-00315</v>
      </c>
      <c r="B316" s="21193">
        <v>27</v>
      </c>
      <c r="C316" s="21194">
        <v>46206</v>
      </c>
      <c r="D316" s="21195" t="s">
        <v>1</v>
      </c>
      <c r="E316" s="21196" t="s">
        <v>850</v>
      </c>
      <c r="F316" s="21197" t="s">
        <v>883</v>
      </c>
      <c r="G316" s="21198">
        <v>100</v>
      </c>
      <c r="H316" s="21199">
        <v>27</v>
      </c>
      <c r="I316" s="21200">
        <f t="shared" si="9"/>
        <v>2700</v>
      </c>
      <c r="J316" s="21201" t="s">
        <v>852</v>
      </c>
      <c r="K316" s="21202">
        <v>23.95</v>
      </c>
    </row>
    <row r="317" spans="1:11" ht="13.8">
      <c r="A317" s="21203" t="str">
        <f t="shared" si="8"/>
        <v>TK-00316</v>
      </c>
      <c r="B317" s="21204">
        <v>27</v>
      </c>
      <c r="C317" s="21205">
        <v>46207</v>
      </c>
      <c r="D317" s="21206" t="s">
        <v>1</v>
      </c>
      <c r="E317" s="21207" t="s">
        <v>850</v>
      </c>
      <c r="F317" s="21208" t="s">
        <v>883</v>
      </c>
      <c r="G317" s="21209">
        <v>80</v>
      </c>
      <c r="H317" s="21210">
        <v>27</v>
      </c>
      <c r="I317" s="21211">
        <f t="shared" si="9"/>
        <v>2160</v>
      </c>
      <c r="J317" s="21212" t="s">
        <v>852</v>
      </c>
      <c r="K317" s="21213">
        <v>23.95</v>
      </c>
    </row>
    <row r="318" spans="1:11" ht="13.8">
      <c r="A318" s="21214" t="str">
        <f t="shared" si="8"/>
        <v>TK-00317</v>
      </c>
      <c r="B318" s="21215">
        <v>27</v>
      </c>
      <c r="C318" s="21216">
        <v>46202</v>
      </c>
      <c r="D318" s="21217" t="s">
        <v>1</v>
      </c>
      <c r="E318" s="21218" t="s">
        <v>850</v>
      </c>
      <c r="F318" s="21219" t="s">
        <v>907</v>
      </c>
      <c r="G318" s="21220">
        <v>50</v>
      </c>
      <c r="H318" s="21221">
        <v>27</v>
      </c>
      <c r="I318" s="21222">
        <f t="shared" si="9"/>
        <v>1350</v>
      </c>
      <c r="J318" s="21223" t="s">
        <v>852</v>
      </c>
      <c r="K318" s="21224">
        <v>23.95</v>
      </c>
    </row>
    <row r="319" spans="1:11" ht="13.8">
      <c r="A319" s="21225" t="str">
        <f t="shared" si="8"/>
        <v>TK-00318</v>
      </c>
      <c r="B319" s="21226">
        <v>27</v>
      </c>
      <c r="C319" s="21227">
        <v>46203</v>
      </c>
      <c r="D319" s="21228" t="s">
        <v>1</v>
      </c>
      <c r="E319" s="21229" t="s">
        <v>850</v>
      </c>
      <c r="F319" s="21230" t="s">
        <v>907</v>
      </c>
      <c r="G319" s="21231">
        <v>40</v>
      </c>
      <c r="H319" s="21232">
        <v>27</v>
      </c>
      <c r="I319" s="21233">
        <f t="shared" si="9"/>
        <v>1080</v>
      </c>
      <c r="J319" s="21234" t="s">
        <v>852</v>
      </c>
      <c r="K319" s="21235">
        <v>23.95</v>
      </c>
    </row>
    <row r="320" spans="1:11" ht="13.8">
      <c r="A320" s="21236" t="str">
        <f t="shared" si="8"/>
        <v>TK-00319</v>
      </c>
      <c r="B320" s="21237">
        <v>27</v>
      </c>
      <c r="C320" s="21238">
        <v>46204</v>
      </c>
      <c r="D320" s="21239" t="s">
        <v>1</v>
      </c>
      <c r="E320" s="21240" t="s">
        <v>850</v>
      </c>
      <c r="F320" s="21241" t="s">
        <v>907</v>
      </c>
      <c r="G320" s="21242">
        <v>40</v>
      </c>
      <c r="H320" s="21243">
        <v>27</v>
      </c>
      <c r="I320" s="21244">
        <f t="shared" si="9"/>
        <v>1080</v>
      </c>
      <c r="J320" s="21245" t="s">
        <v>852</v>
      </c>
      <c r="K320" s="21246">
        <v>23.95</v>
      </c>
    </row>
    <row r="321" spans="1:11" ht="13.8">
      <c r="A321" s="21247" t="str">
        <f t="shared" si="8"/>
        <v>TK-00320</v>
      </c>
      <c r="B321" s="21248">
        <v>27</v>
      </c>
      <c r="C321" s="21249">
        <v>46205</v>
      </c>
      <c r="D321" s="21250" t="s">
        <v>1</v>
      </c>
      <c r="E321" s="21251" t="s">
        <v>850</v>
      </c>
      <c r="F321" s="21252" t="s">
        <v>907</v>
      </c>
      <c r="G321" s="21253">
        <v>40</v>
      </c>
      <c r="H321" s="21254">
        <v>27</v>
      </c>
      <c r="I321" s="21255">
        <f t="shared" si="9"/>
        <v>1080</v>
      </c>
      <c r="J321" s="21256" t="s">
        <v>852</v>
      </c>
      <c r="K321" s="21257">
        <v>23.95</v>
      </c>
    </row>
    <row r="322" spans="1:11" ht="13.8">
      <c r="A322" s="21258" t="str">
        <f t="shared" ref="A322:A385" si="10">"TK-"&amp;TEXT(ROW()-1, "00000")</f>
        <v>TK-00321</v>
      </c>
      <c r="B322" s="21259">
        <v>27</v>
      </c>
      <c r="C322" s="21260">
        <v>46206</v>
      </c>
      <c r="D322" s="21261" t="s">
        <v>1</v>
      </c>
      <c r="E322" s="21262" t="s">
        <v>850</v>
      </c>
      <c r="F322" s="21263" t="s">
        <v>907</v>
      </c>
      <c r="G322" s="21264">
        <v>30</v>
      </c>
      <c r="H322" s="21265">
        <v>27</v>
      </c>
      <c r="I322" s="21266">
        <f t="shared" ref="I322:I385" si="11">G322*H322</f>
        <v>810</v>
      </c>
      <c r="J322" s="21267" t="s">
        <v>852</v>
      </c>
      <c r="K322" s="21268">
        <v>23.95</v>
      </c>
    </row>
    <row r="323" spans="1:11" ht="13.8">
      <c r="A323" s="21269" t="str">
        <f t="shared" si="10"/>
        <v>TK-00322</v>
      </c>
      <c r="B323" s="21270">
        <v>27</v>
      </c>
      <c r="C323" s="21271">
        <v>46207</v>
      </c>
      <c r="D323" s="21272" t="s">
        <v>1</v>
      </c>
      <c r="E323" s="21273" t="s">
        <v>850</v>
      </c>
      <c r="F323" s="21274" t="s">
        <v>907</v>
      </c>
      <c r="G323" s="21275">
        <v>30</v>
      </c>
      <c r="H323" s="21276">
        <v>27</v>
      </c>
      <c r="I323" s="21277">
        <f t="shared" si="11"/>
        <v>810</v>
      </c>
      <c r="J323" s="21278" t="s">
        <v>852</v>
      </c>
      <c r="K323" s="21279">
        <v>23.95</v>
      </c>
    </row>
    <row r="324" spans="1:11" ht="13.8">
      <c r="A324" s="21280" t="str">
        <f t="shared" si="10"/>
        <v>TK-00323</v>
      </c>
      <c r="B324" s="21281">
        <v>27</v>
      </c>
      <c r="C324" s="21282">
        <v>46202</v>
      </c>
      <c r="D324" s="21283" t="s">
        <v>1</v>
      </c>
      <c r="E324" s="21284" t="s">
        <v>850</v>
      </c>
      <c r="F324" s="21285" t="s">
        <v>907</v>
      </c>
      <c r="G324" s="21286">
        <v>50</v>
      </c>
      <c r="H324" s="21287">
        <v>27</v>
      </c>
      <c r="I324" s="21288">
        <f t="shared" si="11"/>
        <v>1350</v>
      </c>
      <c r="J324" s="21289" t="s">
        <v>852</v>
      </c>
      <c r="K324" s="21290">
        <v>23.95</v>
      </c>
    </row>
    <row r="325" spans="1:11" ht="13.8">
      <c r="A325" s="21291" t="str">
        <f t="shared" si="10"/>
        <v>TK-00324</v>
      </c>
      <c r="B325" s="21292">
        <v>27</v>
      </c>
      <c r="C325" s="21293">
        <v>46203</v>
      </c>
      <c r="D325" s="21294" t="s">
        <v>1</v>
      </c>
      <c r="E325" s="21295" t="s">
        <v>850</v>
      </c>
      <c r="F325" s="21296" t="s">
        <v>907</v>
      </c>
      <c r="G325" s="21297">
        <v>40</v>
      </c>
      <c r="H325" s="21298">
        <v>27</v>
      </c>
      <c r="I325" s="21299">
        <f t="shared" si="11"/>
        <v>1080</v>
      </c>
      <c r="J325" s="21300" t="s">
        <v>852</v>
      </c>
      <c r="K325" s="21301">
        <v>23.95</v>
      </c>
    </row>
    <row r="326" spans="1:11" ht="13.8">
      <c r="A326" s="21302" t="str">
        <f t="shared" si="10"/>
        <v>TK-00325</v>
      </c>
      <c r="B326" s="21303">
        <v>27</v>
      </c>
      <c r="C326" s="21304">
        <v>46204</v>
      </c>
      <c r="D326" s="21305" t="s">
        <v>1</v>
      </c>
      <c r="E326" s="21306" t="s">
        <v>850</v>
      </c>
      <c r="F326" s="21307" t="s">
        <v>907</v>
      </c>
      <c r="G326" s="21308">
        <v>40</v>
      </c>
      <c r="H326" s="21309">
        <v>27</v>
      </c>
      <c r="I326" s="21310">
        <f t="shared" si="11"/>
        <v>1080</v>
      </c>
      <c r="J326" s="21311" t="s">
        <v>852</v>
      </c>
      <c r="K326" s="21312">
        <v>23.95</v>
      </c>
    </row>
    <row r="327" spans="1:11" ht="13.8">
      <c r="A327" s="21313" t="str">
        <f t="shared" si="10"/>
        <v>TK-00326</v>
      </c>
      <c r="B327" s="21314">
        <v>27</v>
      </c>
      <c r="C327" s="21315">
        <v>46205</v>
      </c>
      <c r="D327" s="21316" t="s">
        <v>1</v>
      </c>
      <c r="E327" s="21317" t="s">
        <v>850</v>
      </c>
      <c r="F327" s="21318" t="s">
        <v>907</v>
      </c>
      <c r="G327" s="21319">
        <v>40</v>
      </c>
      <c r="H327" s="21320">
        <v>27</v>
      </c>
      <c r="I327" s="21321">
        <f t="shared" si="11"/>
        <v>1080</v>
      </c>
      <c r="J327" s="21322" t="s">
        <v>852</v>
      </c>
      <c r="K327" s="21323">
        <v>23.95</v>
      </c>
    </row>
    <row r="328" spans="1:11" ht="13.8">
      <c r="A328" s="21324" t="str">
        <f t="shared" si="10"/>
        <v>TK-00327</v>
      </c>
      <c r="B328" s="21325">
        <v>27</v>
      </c>
      <c r="C328" s="21326">
        <v>46206</v>
      </c>
      <c r="D328" s="21327" t="s">
        <v>1</v>
      </c>
      <c r="E328" s="21328" t="s">
        <v>850</v>
      </c>
      <c r="F328" s="21329" t="s">
        <v>907</v>
      </c>
      <c r="G328" s="21330">
        <v>30</v>
      </c>
      <c r="H328" s="21331">
        <v>27</v>
      </c>
      <c r="I328" s="21332">
        <f t="shared" si="11"/>
        <v>810</v>
      </c>
      <c r="J328" s="21333" t="s">
        <v>852</v>
      </c>
      <c r="K328" s="21334">
        <v>23.95</v>
      </c>
    </row>
    <row r="329" spans="1:11" ht="13.8">
      <c r="A329" s="21335" t="str">
        <f t="shared" si="10"/>
        <v>TK-00328</v>
      </c>
      <c r="B329" s="21336">
        <v>27</v>
      </c>
      <c r="C329" s="21337">
        <v>46207</v>
      </c>
      <c r="D329" s="21338" t="s">
        <v>1</v>
      </c>
      <c r="E329" s="21339" t="s">
        <v>850</v>
      </c>
      <c r="F329" s="21340" t="s">
        <v>907</v>
      </c>
      <c r="G329" s="21341">
        <v>30</v>
      </c>
      <c r="H329" s="21342">
        <v>27</v>
      </c>
      <c r="I329" s="21343">
        <f t="shared" si="11"/>
        <v>810</v>
      </c>
      <c r="J329" s="21344" t="s">
        <v>852</v>
      </c>
      <c r="K329" s="21345">
        <v>23.95</v>
      </c>
    </row>
    <row r="330" spans="1:11" ht="13.8">
      <c r="A330" s="21346" t="str">
        <f t="shared" si="10"/>
        <v>TK-00329</v>
      </c>
      <c r="B330" s="21347">
        <v>27</v>
      </c>
      <c r="C330" s="21348">
        <v>46202</v>
      </c>
      <c r="D330" s="21349" t="s">
        <v>1</v>
      </c>
      <c r="E330" s="21350" t="s">
        <v>850</v>
      </c>
      <c r="F330" s="21351" t="s">
        <v>885</v>
      </c>
      <c r="G330" s="21352">
        <v>50</v>
      </c>
      <c r="H330" s="21353">
        <v>27</v>
      </c>
      <c r="I330" s="21354">
        <f t="shared" si="11"/>
        <v>1350</v>
      </c>
      <c r="J330" s="21355" t="s">
        <v>852</v>
      </c>
      <c r="K330" s="21356">
        <v>23.95</v>
      </c>
    </row>
    <row r="331" spans="1:11" ht="13.8">
      <c r="A331" s="21357" t="str">
        <f t="shared" si="10"/>
        <v>TK-00330</v>
      </c>
      <c r="B331" s="21358">
        <v>27</v>
      </c>
      <c r="C331" s="21359">
        <v>46203</v>
      </c>
      <c r="D331" s="21360" t="s">
        <v>1</v>
      </c>
      <c r="E331" s="21361" t="s">
        <v>850</v>
      </c>
      <c r="F331" s="21362" t="s">
        <v>885</v>
      </c>
      <c r="G331" s="21363">
        <v>40</v>
      </c>
      <c r="H331" s="21364">
        <v>27</v>
      </c>
      <c r="I331" s="21365">
        <f t="shared" si="11"/>
        <v>1080</v>
      </c>
      <c r="J331" s="21366" t="s">
        <v>852</v>
      </c>
      <c r="K331" s="21367">
        <v>23.95</v>
      </c>
    </row>
    <row r="332" spans="1:11" ht="13.8">
      <c r="A332" s="21368" t="str">
        <f t="shared" si="10"/>
        <v>TK-00331</v>
      </c>
      <c r="B332" s="21369">
        <v>27</v>
      </c>
      <c r="C332" s="21370">
        <v>46204</v>
      </c>
      <c r="D332" s="21371" t="s">
        <v>1</v>
      </c>
      <c r="E332" s="21372" t="s">
        <v>850</v>
      </c>
      <c r="F332" s="21373" t="s">
        <v>885</v>
      </c>
      <c r="G332" s="21374">
        <v>40</v>
      </c>
      <c r="H332" s="21375">
        <v>27</v>
      </c>
      <c r="I332" s="21376">
        <f t="shared" si="11"/>
        <v>1080</v>
      </c>
      <c r="J332" s="21377" t="s">
        <v>852</v>
      </c>
      <c r="K332" s="21378">
        <v>23.95</v>
      </c>
    </row>
    <row r="333" spans="1:11" ht="13.8">
      <c r="A333" s="21379" t="str">
        <f t="shared" si="10"/>
        <v>TK-00332</v>
      </c>
      <c r="B333" s="21380">
        <v>27</v>
      </c>
      <c r="C333" s="21381">
        <v>46205</v>
      </c>
      <c r="D333" s="21382" t="s">
        <v>1</v>
      </c>
      <c r="E333" s="21383" t="s">
        <v>850</v>
      </c>
      <c r="F333" s="21384" t="s">
        <v>885</v>
      </c>
      <c r="G333" s="21385">
        <v>30</v>
      </c>
      <c r="H333" s="21386">
        <v>27</v>
      </c>
      <c r="I333" s="21387">
        <f t="shared" si="11"/>
        <v>810</v>
      </c>
      <c r="J333" s="21388" t="s">
        <v>852</v>
      </c>
      <c r="K333" s="21389">
        <v>23.95</v>
      </c>
    </row>
    <row r="334" spans="1:11" ht="13.8">
      <c r="A334" s="21390" t="str">
        <f t="shared" si="10"/>
        <v>TK-00333</v>
      </c>
      <c r="B334" s="21391">
        <v>27</v>
      </c>
      <c r="C334" s="21392">
        <v>46206</v>
      </c>
      <c r="D334" s="21393" t="s">
        <v>1</v>
      </c>
      <c r="E334" s="21394" t="s">
        <v>850</v>
      </c>
      <c r="F334" s="21395" t="s">
        <v>885</v>
      </c>
      <c r="G334" s="21396">
        <v>30</v>
      </c>
      <c r="H334" s="21397">
        <v>27</v>
      </c>
      <c r="I334" s="21398">
        <f t="shared" si="11"/>
        <v>810</v>
      </c>
      <c r="J334" s="21399" t="s">
        <v>852</v>
      </c>
      <c r="K334" s="21400">
        <v>23.95</v>
      </c>
    </row>
    <row r="335" spans="1:11" ht="13.8">
      <c r="A335" s="21401" t="str">
        <f t="shared" si="10"/>
        <v>TK-00334</v>
      </c>
      <c r="B335" s="21402">
        <v>27</v>
      </c>
      <c r="C335" s="21403">
        <v>46207</v>
      </c>
      <c r="D335" s="21404" t="s">
        <v>1</v>
      </c>
      <c r="E335" s="21405" t="s">
        <v>850</v>
      </c>
      <c r="F335" s="21406" t="s">
        <v>885</v>
      </c>
      <c r="G335" s="21407">
        <v>30</v>
      </c>
      <c r="H335" s="21408">
        <v>27</v>
      </c>
      <c r="I335" s="21409">
        <f t="shared" si="11"/>
        <v>810</v>
      </c>
      <c r="J335" s="21410" t="s">
        <v>852</v>
      </c>
      <c r="K335" s="21411">
        <v>23.95</v>
      </c>
    </row>
    <row r="336" spans="1:11" ht="13.8">
      <c r="A336" s="21412" t="str">
        <f t="shared" si="10"/>
        <v>TK-00335</v>
      </c>
      <c r="B336" s="21413">
        <v>27</v>
      </c>
      <c r="C336" s="21414">
        <v>46202</v>
      </c>
      <c r="D336" s="21415" t="s">
        <v>1</v>
      </c>
      <c r="E336" s="21416" t="s">
        <v>850</v>
      </c>
      <c r="F336" s="21417" t="s">
        <v>894</v>
      </c>
      <c r="G336" s="21418">
        <v>50</v>
      </c>
      <c r="H336" s="21419">
        <v>27</v>
      </c>
      <c r="I336" s="21420">
        <f t="shared" si="11"/>
        <v>1350</v>
      </c>
      <c r="J336" s="21421" t="s">
        <v>852</v>
      </c>
      <c r="K336" s="21422">
        <v>23.95</v>
      </c>
    </row>
    <row r="337" spans="1:11" ht="13.8">
      <c r="A337" s="21423" t="str">
        <f t="shared" si="10"/>
        <v>TK-00336</v>
      </c>
      <c r="B337" s="21424">
        <v>27</v>
      </c>
      <c r="C337" s="21425">
        <v>46203</v>
      </c>
      <c r="D337" s="21426" t="s">
        <v>1</v>
      </c>
      <c r="E337" s="21427" t="s">
        <v>850</v>
      </c>
      <c r="F337" s="21428" t="s">
        <v>894</v>
      </c>
      <c r="G337" s="21429">
        <v>40</v>
      </c>
      <c r="H337" s="21430">
        <v>27</v>
      </c>
      <c r="I337" s="21431">
        <f t="shared" si="11"/>
        <v>1080</v>
      </c>
      <c r="J337" s="21432" t="s">
        <v>852</v>
      </c>
      <c r="K337" s="21433">
        <v>23.95</v>
      </c>
    </row>
    <row r="338" spans="1:11" ht="13.8">
      <c r="A338" s="21434" t="str">
        <f t="shared" si="10"/>
        <v>TK-00337</v>
      </c>
      <c r="B338" s="21435">
        <v>27</v>
      </c>
      <c r="C338" s="21436">
        <v>46204</v>
      </c>
      <c r="D338" s="21437" t="s">
        <v>1</v>
      </c>
      <c r="E338" s="21438" t="s">
        <v>850</v>
      </c>
      <c r="F338" s="21439" t="s">
        <v>894</v>
      </c>
      <c r="G338" s="21440">
        <v>40</v>
      </c>
      <c r="H338" s="21441">
        <v>27</v>
      </c>
      <c r="I338" s="21442">
        <f t="shared" si="11"/>
        <v>1080</v>
      </c>
      <c r="J338" s="21443" t="s">
        <v>852</v>
      </c>
      <c r="K338" s="21444">
        <v>23.95</v>
      </c>
    </row>
    <row r="339" spans="1:11" ht="13.8">
      <c r="A339" s="21445" t="str">
        <f t="shared" si="10"/>
        <v>TK-00338</v>
      </c>
      <c r="B339" s="21446">
        <v>27</v>
      </c>
      <c r="C339" s="21447">
        <v>46205</v>
      </c>
      <c r="D339" s="21448" t="s">
        <v>1</v>
      </c>
      <c r="E339" s="21449" t="s">
        <v>850</v>
      </c>
      <c r="F339" s="21450" t="s">
        <v>894</v>
      </c>
      <c r="G339" s="21451">
        <v>30</v>
      </c>
      <c r="H339" s="21452">
        <v>27</v>
      </c>
      <c r="I339" s="21453">
        <f t="shared" si="11"/>
        <v>810</v>
      </c>
      <c r="J339" s="21454" t="s">
        <v>852</v>
      </c>
      <c r="K339" s="21455">
        <v>23.95</v>
      </c>
    </row>
    <row r="340" spans="1:11" ht="13.8">
      <c r="A340" s="21456" t="str">
        <f t="shared" si="10"/>
        <v>TK-00339</v>
      </c>
      <c r="B340" s="21457">
        <v>27</v>
      </c>
      <c r="C340" s="21458">
        <v>46206</v>
      </c>
      <c r="D340" s="21459" t="s">
        <v>1</v>
      </c>
      <c r="E340" s="21460" t="s">
        <v>850</v>
      </c>
      <c r="F340" s="21461" t="s">
        <v>894</v>
      </c>
      <c r="G340" s="21462">
        <v>30</v>
      </c>
      <c r="H340" s="21463">
        <v>27</v>
      </c>
      <c r="I340" s="21464">
        <f t="shared" si="11"/>
        <v>810</v>
      </c>
      <c r="J340" s="21465" t="s">
        <v>852</v>
      </c>
      <c r="K340" s="21466">
        <v>23.95</v>
      </c>
    </row>
    <row r="341" spans="1:11" ht="13.8">
      <c r="A341" s="21467" t="str">
        <f t="shared" si="10"/>
        <v>TK-00340</v>
      </c>
      <c r="B341" s="21468">
        <v>27</v>
      </c>
      <c r="C341" s="21469">
        <v>46207</v>
      </c>
      <c r="D341" s="21470" t="s">
        <v>1</v>
      </c>
      <c r="E341" s="21471" t="s">
        <v>850</v>
      </c>
      <c r="F341" s="21472" t="s">
        <v>894</v>
      </c>
      <c r="G341" s="21473">
        <v>30</v>
      </c>
      <c r="H341" s="21474">
        <v>27</v>
      </c>
      <c r="I341" s="21475">
        <f t="shared" si="11"/>
        <v>810</v>
      </c>
      <c r="J341" s="21476" t="s">
        <v>852</v>
      </c>
      <c r="K341" s="21477">
        <v>23.95</v>
      </c>
    </row>
    <row r="342" spans="1:11" ht="13.8">
      <c r="A342" s="21478" t="str">
        <f t="shared" si="10"/>
        <v>TK-00341</v>
      </c>
      <c r="B342" s="21479">
        <v>27</v>
      </c>
      <c r="C342" s="21480">
        <v>46202</v>
      </c>
      <c r="D342" s="21481" t="s">
        <v>1</v>
      </c>
      <c r="E342" s="21482" t="s">
        <v>850</v>
      </c>
      <c r="F342" s="21483" t="s">
        <v>908</v>
      </c>
      <c r="G342" s="21484">
        <v>30</v>
      </c>
      <c r="H342" s="21485">
        <v>27</v>
      </c>
      <c r="I342" s="21486">
        <f t="shared" si="11"/>
        <v>810</v>
      </c>
      <c r="J342" s="21487" t="s">
        <v>852</v>
      </c>
      <c r="K342" s="21488">
        <v>23.95</v>
      </c>
    </row>
    <row r="343" spans="1:11" ht="13.8">
      <c r="A343" s="21489" t="str">
        <f t="shared" si="10"/>
        <v>TK-00342</v>
      </c>
      <c r="B343" s="21490">
        <v>27</v>
      </c>
      <c r="C343" s="21491">
        <v>46203</v>
      </c>
      <c r="D343" s="21492" t="s">
        <v>1</v>
      </c>
      <c r="E343" s="21493" t="s">
        <v>850</v>
      </c>
      <c r="F343" s="21494" t="s">
        <v>908</v>
      </c>
      <c r="G343" s="21495">
        <v>30</v>
      </c>
      <c r="H343" s="21496">
        <v>27</v>
      </c>
      <c r="I343" s="21497">
        <f t="shared" si="11"/>
        <v>810</v>
      </c>
      <c r="J343" s="21498" t="s">
        <v>852</v>
      </c>
      <c r="K343" s="21499">
        <v>23.95</v>
      </c>
    </row>
    <row r="344" spans="1:11" ht="13.8">
      <c r="A344" s="21500" t="str">
        <f t="shared" si="10"/>
        <v>TK-00343</v>
      </c>
      <c r="B344" s="21501">
        <v>27</v>
      </c>
      <c r="C344" s="21502">
        <v>46204</v>
      </c>
      <c r="D344" s="21503" t="s">
        <v>1</v>
      </c>
      <c r="E344" s="21504" t="s">
        <v>850</v>
      </c>
      <c r="F344" s="21505" t="s">
        <v>908</v>
      </c>
      <c r="G344" s="21506">
        <v>30</v>
      </c>
      <c r="H344" s="21507">
        <v>27</v>
      </c>
      <c r="I344" s="21508">
        <f t="shared" si="11"/>
        <v>810</v>
      </c>
      <c r="J344" s="21509" t="s">
        <v>852</v>
      </c>
      <c r="K344" s="21510">
        <v>23.95</v>
      </c>
    </row>
    <row r="345" spans="1:11" ht="13.8">
      <c r="A345" s="21511" t="str">
        <f t="shared" si="10"/>
        <v>TK-00344</v>
      </c>
      <c r="B345" s="21512">
        <v>27</v>
      </c>
      <c r="C345" s="21513">
        <v>46205</v>
      </c>
      <c r="D345" s="21514" t="s">
        <v>1</v>
      </c>
      <c r="E345" s="21515" t="s">
        <v>850</v>
      </c>
      <c r="F345" s="21516" t="s">
        <v>908</v>
      </c>
      <c r="G345" s="21517">
        <v>20</v>
      </c>
      <c r="H345" s="21518">
        <v>27</v>
      </c>
      <c r="I345" s="21519">
        <f t="shared" si="11"/>
        <v>540</v>
      </c>
      <c r="J345" s="21520" t="s">
        <v>852</v>
      </c>
      <c r="K345" s="21521">
        <v>23.95</v>
      </c>
    </row>
    <row r="346" spans="1:11" ht="13.8">
      <c r="A346" s="21522" t="str">
        <f t="shared" si="10"/>
        <v>TK-00345</v>
      </c>
      <c r="B346" s="21523">
        <v>27</v>
      </c>
      <c r="C346" s="21524">
        <v>46206</v>
      </c>
      <c r="D346" s="21525" t="s">
        <v>1</v>
      </c>
      <c r="E346" s="21526" t="s">
        <v>850</v>
      </c>
      <c r="F346" s="21527" t="s">
        <v>908</v>
      </c>
      <c r="G346" s="21528">
        <v>20</v>
      </c>
      <c r="H346" s="21529">
        <v>27</v>
      </c>
      <c r="I346" s="21530">
        <f t="shared" si="11"/>
        <v>540</v>
      </c>
      <c r="J346" s="21531" t="s">
        <v>852</v>
      </c>
      <c r="K346" s="21532">
        <v>23.95</v>
      </c>
    </row>
    <row r="347" spans="1:11" ht="13.8">
      <c r="A347" s="21533" t="str">
        <f t="shared" si="10"/>
        <v>TK-00346</v>
      </c>
      <c r="B347" s="21534">
        <v>27</v>
      </c>
      <c r="C347" s="21535">
        <v>46207</v>
      </c>
      <c r="D347" s="21536" t="s">
        <v>1</v>
      </c>
      <c r="E347" s="21537" t="s">
        <v>850</v>
      </c>
      <c r="F347" s="21538" t="s">
        <v>908</v>
      </c>
      <c r="G347" s="21539">
        <v>20</v>
      </c>
      <c r="H347" s="21540">
        <v>27</v>
      </c>
      <c r="I347" s="21541">
        <f t="shared" si="11"/>
        <v>540</v>
      </c>
      <c r="J347" s="21542" t="s">
        <v>852</v>
      </c>
      <c r="K347" s="21543">
        <v>23.95</v>
      </c>
    </row>
    <row r="348" spans="1:11" ht="13.8">
      <c r="A348" s="21544" t="str">
        <f t="shared" si="10"/>
        <v>TK-00347</v>
      </c>
      <c r="B348" s="21545">
        <v>27</v>
      </c>
      <c r="C348" s="21546">
        <v>46202</v>
      </c>
      <c r="D348" s="21547" t="s">
        <v>1</v>
      </c>
      <c r="E348" s="21548" t="s">
        <v>850</v>
      </c>
      <c r="F348" s="21549" t="s">
        <v>882</v>
      </c>
      <c r="G348" s="21550">
        <v>60</v>
      </c>
      <c r="H348" s="21551">
        <v>27</v>
      </c>
      <c r="I348" s="21552">
        <f t="shared" si="11"/>
        <v>1620</v>
      </c>
      <c r="J348" s="21553" t="s">
        <v>852</v>
      </c>
      <c r="K348" s="21554">
        <v>23.95</v>
      </c>
    </row>
    <row r="349" spans="1:11" ht="13.8">
      <c r="A349" s="21555" t="str">
        <f t="shared" si="10"/>
        <v>TK-00348</v>
      </c>
      <c r="B349" s="21556">
        <v>27</v>
      </c>
      <c r="C349" s="21557">
        <v>46203</v>
      </c>
      <c r="D349" s="21558" t="s">
        <v>1</v>
      </c>
      <c r="E349" s="21559" t="s">
        <v>850</v>
      </c>
      <c r="F349" s="21560" t="s">
        <v>882</v>
      </c>
      <c r="G349" s="21561">
        <v>50</v>
      </c>
      <c r="H349" s="21562">
        <v>27</v>
      </c>
      <c r="I349" s="21563">
        <f t="shared" si="11"/>
        <v>1350</v>
      </c>
      <c r="J349" s="21564" t="s">
        <v>852</v>
      </c>
      <c r="K349" s="21565">
        <v>23.95</v>
      </c>
    </row>
    <row r="350" spans="1:11" ht="13.8">
      <c r="A350" s="21566" t="str">
        <f t="shared" si="10"/>
        <v>TK-00349</v>
      </c>
      <c r="B350" s="21567">
        <v>27</v>
      </c>
      <c r="C350" s="21568">
        <v>46204</v>
      </c>
      <c r="D350" s="21569" t="s">
        <v>1</v>
      </c>
      <c r="E350" s="21570" t="s">
        <v>850</v>
      </c>
      <c r="F350" s="21571" t="s">
        <v>882</v>
      </c>
      <c r="G350" s="21572">
        <v>50</v>
      </c>
      <c r="H350" s="21573">
        <v>27</v>
      </c>
      <c r="I350" s="21574">
        <f t="shared" si="11"/>
        <v>1350</v>
      </c>
      <c r="J350" s="21575" t="s">
        <v>852</v>
      </c>
      <c r="K350" s="21576">
        <v>23.95</v>
      </c>
    </row>
    <row r="351" spans="1:11" ht="13.8">
      <c r="A351" s="21577" t="str">
        <f t="shared" si="10"/>
        <v>TK-00350</v>
      </c>
      <c r="B351" s="21578">
        <v>27</v>
      </c>
      <c r="C351" s="21579">
        <v>46205</v>
      </c>
      <c r="D351" s="21580" t="s">
        <v>1</v>
      </c>
      <c r="E351" s="21581" t="s">
        <v>850</v>
      </c>
      <c r="F351" s="21582" t="s">
        <v>882</v>
      </c>
      <c r="G351" s="21583">
        <v>50</v>
      </c>
      <c r="H351" s="21584">
        <v>27</v>
      </c>
      <c r="I351" s="21585">
        <f t="shared" si="11"/>
        <v>1350</v>
      </c>
      <c r="J351" s="21586" t="s">
        <v>852</v>
      </c>
      <c r="K351" s="21587">
        <v>23.95</v>
      </c>
    </row>
    <row r="352" spans="1:11" ht="13.8">
      <c r="A352" s="21588" t="str">
        <f t="shared" si="10"/>
        <v>TK-00351</v>
      </c>
      <c r="B352" s="21589">
        <v>27</v>
      </c>
      <c r="C352" s="21590">
        <v>46206</v>
      </c>
      <c r="D352" s="21591" t="s">
        <v>1</v>
      </c>
      <c r="E352" s="21592" t="s">
        <v>850</v>
      </c>
      <c r="F352" s="21593" t="s">
        <v>882</v>
      </c>
      <c r="G352" s="21594">
        <v>50</v>
      </c>
      <c r="H352" s="21595">
        <v>27</v>
      </c>
      <c r="I352" s="21596">
        <f t="shared" si="11"/>
        <v>1350</v>
      </c>
      <c r="J352" s="21597" t="s">
        <v>852</v>
      </c>
      <c r="K352" s="21598">
        <v>23.95</v>
      </c>
    </row>
    <row r="353" spans="1:11" ht="13.8">
      <c r="A353" s="21599" t="str">
        <f t="shared" si="10"/>
        <v>TK-00352</v>
      </c>
      <c r="B353" s="21600">
        <v>27</v>
      </c>
      <c r="C353" s="21601">
        <v>46207</v>
      </c>
      <c r="D353" s="21602" t="s">
        <v>1</v>
      </c>
      <c r="E353" s="21603" t="s">
        <v>850</v>
      </c>
      <c r="F353" s="21604" t="s">
        <v>882</v>
      </c>
      <c r="G353" s="21605">
        <v>40</v>
      </c>
      <c r="H353" s="21606">
        <v>27</v>
      </c>
      <c r="I353" s="21607">
        <f t="shared" si="11"/>
        <v>1080</v>
      </c>
      <c r="J353" s="21608" t="s">
        <v>852</v>
      </c>
      <c r="K353" s="21609">
        <v>23.95</v>
      </c>
    </row>
    <row r="354" spans="1:11" ht="13.8">
      <c r="A354" s="21610" t="str">
        <f t="shared" si="10"/>
        <v>TK-00353</v>
      </c>
      <c r="B354" s="21611">
        <v>27</v>
      </c>
      <c r="C354" s="21612">
        <v>46202</v>
      </c>
      <c r="D354" s="21613" t="s">
        <v>1</v>
      </c>
      <c r="E354" s="21614" t="s">
        <v>850</v>
      </c>
      <c r="F354" s="21615" t="s">
        <v>888</v>
      </c>
      <c r="G354" s="21616">
        <v>50</v>
      </c>
      <c r="H354" s="21617">
        <v>27</v>
      </c>
      <c r="I354" s="21618">
        <f t="shared" si="11"/>
        <v>1350</v>
      </c>
      <c r="J354" s="21619" t="s">
        <v>852</v>
      </c>
      <c r="K354" s="21620">
        <v>23.95</v>
      </c>
    </row>
    <row r="355" spans="1:11" ht="13.8">
      <c r="A355" s="21621" t="str">
        <f t="shared" si="10"/>
        <v>TK-00354</v>
      </c>
      <c r="B355" s="21622">
        <v>27</v>
      </c>
      <c r="C355" s="21623">
        <v>46203</v>
      </c>
      <c r="D355" s="21624" t="s">
        <v>1</v>
      </c>
      <c r="E355" s="21625" t="s">
        <v>850</v>
      </c>
      <c r="F355" s="21626" t="s">
        <v>888</v>
      </c>
      <c r="G355" s="21627">
        <v>50</v>
      </c>
      <c r="H355" s="21628">
        <v>27</v>
      </c>
      <c r="I355" s="21629">
        <f t="shared" si="11"/>
        <v>1350</v>
      </c>
      <c r="J355" s="21630" t="s">
        <v>852</v>
      </c>
      <c r="K355" s="21631">
        <v>23.95</v>
      </c>
    </row>
    <row r="356" spans="1:11" ht="13.8">
      <c r="A356" s="21632" t="str">
        <f t="shared" si="10"/>
        <v>TK-00355</v>
      </c>
      <c r="B356" s="21633">
        <v>27</v>
      </c>
      <c r="C356" s="21634">
        <v>46204</v>
      </c>
      <c r="D356" s="21635" t="s">
        <v>1</v>
      </c>
      <c r="E356" s="21636" t="s">
        <v>850</v>
      </c>
      <c r="F356" s="21637" t="s">
        <v>888</v>
      </c>
      <c r="G356" s="21638">
        <v>50</v>
      </c>
      <c r="H356" s="21639">
        <v>27</v>
      </c>
      <c r="I356" s="21640">
        <f t="shared" si="11"/>
        <v>1350</v>
      </c>
      <c r="J356" s="21641" t="s">
        <v>852</v>
      </c>
      <c r="K356" s="21642">
        <v>23.95</v>
      </c>
    </row>
    <row r="357" spans="1:11" ht="13.8">
      <c r="A357" s="21643" t="str">
        <f t="shared" si="10"/>
        <v>TK-00356</v>
      </c>
      <c r="B357" s="21644">
        <v>27</v>
      </c>
      <c r="C357" s="21645">
        <v>46205</v>
      </c>
      <c r="D357" s="21646" t="s">
        <v>1</v>
      </c>
      <c r="E357" s="21647" t="s">
        <v>850</v>
      </c>
      <c r="F357" s="21648" t="s">
        <v>888</v>
      </c>
      <c r="G357" s="21649">
        <v>50</v>
      </c>
      <c r="H357" s="21650">
        <v>27</v>
      </c>
      <c r="I357" s="21651">
        <f t="shared" si="11"/>
        <v>1350</v>
      </c>
      <c r="J357" s="21652" t="s">
        <v>852</v>
      </c>
      <c r="K357" s="21653">
        <v>23.95</v>
      </c>
    </row>
    <row r="358" spans="1:11" ht="13.8">
      <c r="A358" s="21654" t="str">
        <f t="shared" si="10"/>
        <v>TK-00357</v>
      </c>
      <c r="B358" s="21655">
        <v>27</v>
      </c>
      <c r="C358" s="21656">
        <v>46206</v>
      </c>
      <c r="D358" s="21657" t="s">
        <v>1</v>
      </c>
      <c r="E358" s="21658" t="s">
        <v>850</v>
      </c>
      <c r="F358" s="21659" t="s">
        <v>888</v>
      </c>
      <c r="G358" s="21660">
        <v>50</v>
      </c>
      <c r="H358" s="21661">
        <v>27</v>
      </c>
      <c r="I358" s="21662">
        <f t="shared" si="11"/>
        <v>1350</v>
      </c>
      <c r="J358" s="21663" t="s">
        <v>852</v>
      </c>
      <c r="K358" s="21664">
        <v>23.95</v>
      </c>
    </row>
    <row r="359" spans="1:11" ht="13.8">
      <c r="A359" s="21665" t="str">
        <f t="shared" si="10"/>
        <v>TK-00358</v>
      </c>
      <c r="B359" s="21666">
        <v>27</v>
      </c>
      <c r="C359" s="21667">
        <v>46202</v>
      </c>
      <c r="D359" s="21668" t="s">
        <v>111</v>
      </c>
      <c r="E359" s="21669" t="s">
        <v>850</v>
      </c>
      <c r="F359" s="21670" t="s">
        <v>890</v>
      </c>
      <c r="G359" s="21671">
        <v>100</v>
      </c>
      <c r="H359" s="21672">
        <v>27</v>
      </c>
      <c r="I359" s="21673">
        <f t="shared" si="11"/>
        <v>2700</v>
      </c>
      <c r="J359" s="21674" t="s">
        <v>852</v>
      </c>
      <c r="K359" s="21675">
        <v>23.95</v>
      </c>
    </row>
    <row r="360" spans="1:11" ht="13.8">
      <c r="A360" s="21676" t="str">
        <f t="shared" si="10"/>
        <v>TK-00359</v>
      </c>
      <c r="B360" s="21677">
        <v>27</v>
      </c>
      <c r="C360" s="21678">
        <v>46203</v>
      </c>
      <c r="D360" s="21679" t="s">
        <v>111</v>
      </c>
      <c r="E360" s="21680" t="s">
        <v>850</v>
      </c>
      <c r="F360" s="21681" t="s">
        <v>890</v>
      </c>
      <c r="G360" s="21682">
        <v>30</v>
      </c>
      <c r="H360" s="21683">
        <v>27</v>
      </c>
      <c r="I360" s="21684">
        <f t="shared" si="11"/>
        <v>810</v>
      </c>
      <c r="J360" s="21685" t="s">
        <v>852</v>
      </c>
      <c r="K360" s="21686">
        <v>23.95</v>
      </c>
    </row>
    <row r="361" spans="1:11" ht="13.8">
      <c r="A361" s="21687" t="str">
        <f t="shared" si="10"/>
        <v>TK-00360</v>
      </c>
      <c r="B361" s="21688">
        <v>27</v>
      </c>
      <c r="C361" s="21689">
        <v>46204</v>
      </c>
      <c r="D361" s="21690" t="s">
        <v>111</v>
      </c>
      <c r="E361" s="21691" t="s">
        <v>850</v>
      </c>
      <c r="F361" s="21692" t="s">
        <v>890</v>
      </c>
      <c r="G361" s="21693">
        <v>30</v>
      </c>
      <c r="H361" s="21694">
        <v>27</v>
      </c>
      <c r="I361" s="21695">
        <f t="shared" si="11"/>
        <v>810</v>
      </c>
      <c r="J361" s="21696" t="s">
        <v>852</v>
      </c>
      <c r="K361" s="21697">
        <v>23.95</v>
      </c>
    </row>
    <row r="362" spans="1:11" ht="13.8">
      <c r="A362" s="21698" t="str">
        <f t="shared" si="10"/>
        <v>TK-00361</v>
      </c>
      <c r="B362" s="21699">
        <v>27</v>
      </c>
      <c r="C362" s="21700">
        <v>46205</v>
      </c>
      <c r="D362" s="21701" t="s">
        <v>111</v>
      </c>
      <c r="E362" s="21702" t="s">
        <v>850</v>
      </c>
      <c r="F362" s="21703" t="s">
        <v>890</v>
      </c>
      <c r="G362" s="21704">
        <v>60</v>
      </c>
      <c r="H362" s="21705">
        <v>27</v>
      </c>
      <c r="I362" s="21706">
        <f t="shared" si="11"/>
        <v>1620</v>
      </c>
      <c r="J362" s="21707" t="s">
        <v>852</v>
      </c>
      <c r="K362" s="21708">
        <v>23.95</v>
      </c>
    </row>
    <row r="363" spans="1:11" ht="13.8">
      <c r="A363" s="21709" t="str">
        <f t="shared" si="10"/>
        <v>TK-00362</v>
      </c>
      <c r="B363" s="21710">
        <v>27</v>
      </c>
      <c r="C363" s="21711">
        <v>46206</v>
      </c>
      <c r="D363" s="21712" t="s">
        <v>111</v>
      </c>
      <c r="E363" s="21713" t="s">
        <v>850</v>
      </c>
      <c r="F363" s="21714" t="s">
        <v>890</v>
      </c>
      <c r="G363" s="21715">
        <v>50</v>
      </c>
      <c r="H363" s="21716">
        <v>27</v>
      </c>
      <c r="I363" s="21717">
        <f t="shared" si="11"/>
        <v>1350</v>
      </c>
      <c r="J363" s="21718" t="s">
        <v>852</v>
      </c>
      <c r="K363" s="21719">
        <v>23.95</v>
      </c>
    </row>
    <row r="364" spans="1:11" ht="13.8">
      <c r="A364" s="21720" t="str">
        <f t="shared" si="10"/>
        <v>TK-00363</v>
      </c>
      <c r="B364" s="21721">
        <v>27</v>
      </c>
      <c r="C364" s="21722">
        <v>46203</v>
      </c>
      <c r="D364" s="21723" t="s">
        <v>111</v>
      </c>
      <c r="E364" s="21724" t="s">
        <v>850</v>
      </c>
      <c r="F364" s="21725" t="s">
        <v>890</v>
      </c>
      <c r="G364" s="21726">
        <v>50</v>
      </c>
      <c r="H364" s="21727">
        <v>27</v>
      </c>
      <c r="I364" s="21728">
        <f t="shared" si="11"/>
        <v>1350</v>
      </c>
      <c r="J364" s="21729" t="s">
        <v>852</v>
      </c>
      <c r="K364" s="21730">
        <v>23.95</v>
      </c>
    </row>
    <row r="365" spans="1:11" ht="13.8">
      <c r="A365" s="21731" t="str">
        <f t="shared" si="10"/>
        <v>TK-00364</v>
      </c>
      <c r="B365" s="21732">
        <v>27</v>
      </c>
      <c r="C365" s="21733">
        <v>46204</v>
      </c>
      <c r="D365" s="21734" t="s">
        <v>111</v>
      </c>
      <c r="E365" s="21735" t="s">
        <v>850</v>
      </c>
      <c r="F365" s="21736" t="s">
        <v>890</v>
      </c>
      <c r="G365" s="21737">
        <v>50</v>
      </c>
      <c r="H365" s="21738">
        <v>27</v>
      </c>
      <c r="I365" s="21739">
        <f t="shared" si="11"/>
        <v>1350</v>
      </c>
      <c r="J365" s="21740" t="s">
        <v>852</v>
      </c>
      <c r="K365" s="21741">
        <v>23.95</v>
      </c>
    </row>
    <row r="366" spans="1:11" ht="13.8">
      <c r="A366" s="21742" t="str">
        <f t="shared" si="10"/>
        <v>TK-00365</v>
      </c>
      <c r="B366" s="21743">
        <v>27</v>
      </c>
      <c r="C366" s="21744">
        <v>46205</v>
      </c>
      <c r="D366" s="21745" t="s">
        <v>111</v>
      </c>
      <c r="E366" s="21746" t="s">
        <v>850</v>
      </c>
      <c r="F366" s="21747" t="s">
        <v>890</v>
      </c>
      <c r="G366" s="21748">
        <v>60</v>
      </c>
      <c r="H366" s="21749">
        <v>27</v>
      </c>
      <c r="I366" s="21750">
        <f t="shared" si="11"/>
        <v>1620</v>
      </c>
      <c r="J366" s="21751" t="s">
        <v>852</v>
      </c>
      <c r="K366" s="21752">
        <v>23.95</v>
      </c>
    </row>
    <row r="367" spans="1:11" ht="13.8">
      <c r="A367" s="21753" t="str">
        <f t="shared" si="10"/>
        <v>TK-00366</v>
      </c>
      <c r="B367" s="21754">
        <v>27</v>
      </c>
      <c r="C367" s="21755">
        <v>46206</v>
      </c>
      <c r="D367" s="21756" t="s">
        <v>111</v>
      </c>
      <c r="E367" s="21757" t="s">
        <v>850</v>
      </c>
      <c r="F367" s="21758" t="s">
        <v>890</v>
      </c>
      <c r="G367" s="21759">
        <v>50</v>
      </c>
      <c r="H367" s="21760">
        <v>27</v>
      </c>
      <c r="I367" s="21761">
        <f t="shared" si="11"/>
        <v>1350</v>
      </c>
      <c r="J367" s="21762" t="s">
        <v>852</v>
      </c>
      <c r="K367" s="21763">
        <v>23.95</v>
      </c>
    </row>
    <row r="368" spans="1:11" ht="13.8">
      <c r="A368" s="21764" t="str">
        <f t="shared" si="10"/>
        <v>TK-00367</v>
      </c>
      <c r="B368" s="21765">
        <v>27</v>
      </c>
      <c r="C368" s="21766">
        <v>46207</v>
      </c>
      <c r="D368" s="21767" t="s">
        <v>111</v>
      </c>
      <c r="E368" s="21768" t="s">
        <v>850</v>
      </c>
      <c r="F368" s="21769" t="s">
        <v>890</v>
      </c>
      <c r="G368" s="21770">
        <v>100</v>
      </c>
      <c r="H368" s="21771">
        <v>27</v>
      </c>
      <c r="I368" s="21772">
        <f t="shared" si="11"/>
        <v>2700</v>
      </c>
      <c r="J368" s="21773" t="s">
        <v>852</v>
      </c>
      <c r="K368" s="21774">
        <v>23.95</v>
      </c>
    </row>
    <row r="369" spans="1:11" ht="13.8">
      <c r="A369" s="21775" t="str">
        <f t="shared" si="10"/>
        <v>TK-00368</v>
      </c>
      <c r="B369" s="21776">
        <v>27</v>
      </c>
      <c r="C369" s="21777">
        <v>46203</v>
      </c>
      <c r="D369" s="21778" t="s">
        <v>111</v>
      </c>
      <c r="E369" s="21779" t="s">
        <v>850</v>
      </c>
      <c r="F369" s="21780" t="s">
        <v>896</v>
      </c>
      <c r="G369" s="21781">
        <v>10</v>
      </c>
      <c r="H369" s="21782">
        <v>27</v>
      </c>
      <c r="I369" s="21783">
        <f t="shared" si="11"/>
        <v>270</v>
      </c>
      <c r="J369" s="21784" t="s">
        <v>852</v>
      </c>
      <c r="K369" s="21785">
        <v>23.95</v>
      </c>
    </row>
    <row r="370" spans="1:11" ht="13.8">
      <c r="A370" s="21786" t="str">
        <f t="shared" si="10"/>
        <v>TK-00369</v>
      </c>
      <c r="B370" s="21787">
        <v>27</v>
      </c>
      <c r="C370" s="21788">
        <v>46204</v>
      </c>
      <c r="D370" s="21789" t="s">
        <v>111</v>
      </c>
      <c r="E370" s="21790" t="s">
        <v>850</v>
      </c>
      <c r="F370" s="21791" t="s">
        <v>896</v>
      </c>
      <c r="G370" s="21792">
        <v>10</v>
      </c>
      <c r="H370" s="21793">
        <v>27</v>
      </c>
      <c r="I370" s="21794">
        <f t="shared" si="11"/>
        <v>270</v>
      </c>
      <c r="J370" s="21795" t="s">
        <v>852</v>
      </c>
      <c r="K370" s="21796">
        <v>23.95</v>
      </c>
    </row>
    <row r="371" spans="1:11" ht="13.8">
      <c r="A371" s="21797" t="str">
        <f t="shared" si="10"/>
        <v>TK-00370</v>
      </c>
      <c r="B371" s="21798">
        <v>27</v>
      </c>
      <c r="C371" s="21799">
        <v>46205</v>
      </c>
      <c r="D371" s="21800" t="s">
        <v>111</v>
      </c>
      <c r="E371" s="21801" t="s">
        <v>850</v>
      </c>
      <c r="F371" s="21802" t="s">
        <v>896</v>
      </c>
      <c r="G371" s="21803">
        <v>5</v>
      </c>
      <c r="H371" s="21804">
        <v>27</v>
      </c>
      <c r="I371" s="21805">
        <f t="shared" si="11"/>
        <v>135</v>
      </c>
      <c r="J371" s="21806" t="s">
        <v>852</v>
      </c>
      <c r="K371" s="21807">
        <v>23.95</v>
      </c>
    </row>
    <row r="372" spans="1:11" ht="13.8">
      <c r="A372" s="21808" t="str">
        <f t="shared" si="10"/>
        <v>TK-00371</v>
      </c>
      <c r="B372" s="21809">
        <v>27</v>
      </c>
      <c r="C372" s="21810">
        <v>46206</v>
      </c>
      <c r="D372" s="21811" t="s">
        <v>111</v>
      </c>
      <c r="E372" s="21812" t="s">
        <v>850</v>
      </c>
      <c r="F372" s="21813" t="s">
        <v>896</v>
      </c>
      <c r="G372" s="21814">
        <v>10</v>
      </c>
      <c r="H372" s="21815">
        <v>27</v>
      </c>
      <c r="I372" s="21816">
        <f t="shared" si="11"/>
        <v>270</v>
      </c>
      <c r="J372" s="21817" t="s">
        <v>852</v>
      </c>
      <c r="K372" s="21818">
        <v>23.95</v>
      </c>
    </row>
    <row r="373" spans="1:11" ht="13.8">
      <c r="A373" s="21819" t="str">
        <f t="shared" si="10"/>
        <v>TK-00372</v>
      </c>
      <c r="B373" s="21820">
        <v>27</v>
      </c>
      <c r="C373" s="21821">
        <v>46202</v>
      </c>
      <c r="D373" s="21822" t="s">
        <v>111</v>
      </c>
      <c r="E373" s="21823" t="s">
        <v>850</v>
      </c>
      <c r="F373" s="21824" t="s">
        <v>909</v>
      </c>
      <c r="G373" s="21825">
        <v>5</v>
      </c>
      <c r="H373" s="21826">
        <v>27</v>
      </c>
      <c r="I373" s="21827">
        <f t="shared" si="11"/>
        <v>135</v>
      </c>
      <c r="J373" s="21828" t="s">
        <v>852</v>
      </c>
      <c r="K373" s="21829">
        <v>23.95</v>
      </c>
    </row>
    <row r="374" spans="1:11" ht="13.8">
      <c r="A374" s="21830" t="str">
        <f t="shared" si="10"/>
        <v>TK-00373</v>
      </c>
      <c r="B374" s="21831">
        <v>27</v>
      </c>
      <c r="C374" s="21832">
        <v>46203</v>
      </c>
      <c r="D374" s="21833" t="s">
        <v>111</v>
      </c>
      <c r="E374" s="21834" t="s">
        <v>850</v>
      </c>
      <c r="F374" s="21835" t="s">
        <v>909</v>
      </c>
      <c r="G374" s="21836">
        <v>5</v>
      </c>
      <c r="H374" s="21837">
        <v>27</v>
      </c>
      <c r="I374" s="21838">
        <f t="shared" si="11"/>
        <v>135</v>
      </c>
      <c r="J374" s="21839" t="s">
        <v>852</v>
      </c>
      <c r="K374" s="21840">
        <v>23.95</v>
      </c>
    </row>
    <row r="375" spans="1:11" ht="13.8">
      <c r="A375" s="21841" t="str">
        <f t="shared" si="10"/>
        <v>TK-00374</v>
      </c>
      <c r="B375" s="21842">
        <v>27</v>
      </c>
      <c r="C375" s="21843">
        <v>46204</v>
      </c>
      <c r="D375" s="21844" t="s">
        <v>111</v>
      </c>
      <c r="E375" s="21845" t="s">
        <v>850</v>
      </c>
      <c r="F375" s="21846" t="s">
        <v>909</v>
      </c>
      <c r="G375" s="21847">
        <v>5</v>
      </c>
      <c r="H375" s="21848">
        <v>27</v>
      </c>
      <c r="I375" s="21849">
        <f t="shared" si="11"/>
        <v>135</v>
      </c>
      <c r="J375" s="21850" t="s">
        <v>852</v>
      </c>
      <c r="K375" s="21851">
        <v>23.95</v>
      </c>
    </row>
    <row r="376" spans="1:11" ht="13.8">
      <c r="A376" s="21852" t="str">
        <f t="shared" si="10"/>
        <v>TK-00375</v>
      </c>
      <c r="B376" s="21853">
        <v>27</v>
      </c>
      <c r="C376" s="21854">
        <v>46205</v>
      </c>
      <c r="D376" s="21855" t="s">
        <v>111</v>
      </c>
      <c r="E376" s="21856" t="s">
        <v>850</v>
      </c>
      <c r="F376" s="21857" t="s">
        <v>909</v>
      </c>
      <c r="G376" s="21858">
        <v>5</v>
      </c>
      <c r="H376" s="21859">
        <v>27</v>
      </c>
      <c r="I376" s="21860">
        <f t="shared" si="11"/>
        <v>135</v>
      </c>
      <c r="J376" s="21861" t="s">
        <v>852</v>
      </c>
      <c r="K376" s="21862">
        <v>23.95</v>
      </c>
    </row>
    <row r="377" spans="1:11" ht="13.8">
      <c r="A377" s="21863" t="str">
        <f t="shared" si="10"/>
        <v>TK-00376</v>
      </c>
      <c r="B377" s="21864">
        <v>27</v>
      </c>
      <c r="C377" s="21865">
        <v>46206</v>
      </c>
      <c r="D377" s="21866" t="s">
        <v>111</v>
      </c>
      <c r="E377" s="21867" t="s">
        <v>850</v>
      </c>
      <c r="F377" s="21868" t="s">
        <v>909</v>
      </c>
      <c r="G377" s="21869">
        <v>5</v>
      </c>
      <c r="H377" s="21870">
        <v>27</v>
      </c>
      <c r="I377" s="21871">
        <f t="shared" si="11"/>
        <v>135</v>
      </c>
      <c r="J377" s="21872" t="s">
        <v>852</v>
      </c>
      <c r="K377" s="21873">
        <v>23.95</v>
      </c>
    </row>
    <row r="378" spans="1:11" ht="13.8">
      <c r="A378" s="21874" t="str">
        <f t="shared" si="10"/>
        <v>TK-00377</v>
      </c>
      <c r="B378" s="21875">
        <v>27</v>
      </c>
      <c r="C378" s="21876">
        <v>46203</v>
      </c>
      <c r="D378" s="21877" t="s">
        <v>111</v>
      </c>
      <c r="E378" s="21878" t="s">
        <v>850</v>
      </c>
      <c r="F378" s="21879" t="s">
        <v>910</v>
      </c>
      <c r="G378" s="21880">
        <v>100</v>
      </c>
      <c r="H378" s="21881">
        <v>27</v>
      </c>
      <c r="I378" s="21882">
        <f t="shared" si="11"/>
        <v>2700</v>
      </c>
      <c r="J378" s="21883" t="s">
        <v>852</v>
      </c>
      <c r="K378" s="21884">
        <v>23.95</v>
      </c>
    </row>
    <row r="379" spans="1:11" ht="13.8">
      <c r="A379" s="21885" t="str">
        <f t="shared" si="10"/>
        <v>TK-00378</v>
      </c>
      <c r="B379" s="21886">
        <v>27</v>
      </c>
      <c r="C379" s="21887">
        <v>46204</v>
      </c>
      <c r="D379" s="21888" t="s">
        <v>111</v>
      </c>
      <c r="E379" s="21889" t="s">
        <v>850</v>
      </c>
      <c r="F379" s="21890" t="s">
        <v>910</v>
      </c>
      <c r="G379" s="21891">
        <v>70</v>
      </c>
      <c r="H379" s="21892">
        <v>27</v>
      </c>
      <c r="I379" s="21893">
        <f t="shared" si="11"/>
        <v>1890</v>
      </c>
      <c r="J379" s="21894" t="s">
        <v>852</v>
      </c>
      <c r="K379" s="21895">
        <v>23.95</v>
      </c>
    </row>
    <row r="380" spans="1:11" ht="13.8">
      <c r="A380" s="21896" t="str">
        <f t="shared" si="10"/>
        <v>TK-00379</v>
      </c>
      <c r="B380" s="21897">
        <v>27</v>
      </c>
      <c r="C380" s="21898">
        <v>46205</v>
      </c>
      <c r="D380" s="21899" t="s">
        <v>111</v>
      </c>
      <c r="E380" s="21900" t="s">
        <v>850</v>
      </c>
      <c r="F380" s="21901" t="s">
        <v>910</v>
      </c>
      <c r="G380" s="21902">
        <v>100</v>
      </c>
      <c r="H380" s="21903">
        <v>27</v>
      </c>
      <c r="I380" s="21904">
        <f t="shared" si="11"/>
        <v>2700</v>
      </c>
      <c r="J380" s="21905" t="s">
        <v>852</v>
      </c>
      <c r="K380" s="21906">
        <v>23.95</v>
      </c>
    </row>
    <row r="381" spans="1:11" ht="13.8">
      <c r="A381" s="21907" t="str">
        <f t="shared" si="10"/>
        <v>TK-00380</v>
      </c>
      <c r="B381" s="21908">
        <v>27</v>
      </c>
      <c r="C381" s="21909">
        <v>46206</v>
      </c>
      <c r="D381" s="21910" t="s">
        <v>111</v>
      </c>
      <c r="E381" s="21911" t="s">
        <v>850</v>
      </c>
      <c r="F381" s="21912" t="s">
        <v>910</v>
      </c>
      <c r="G381" s="21913">
        <v>100</v>
      </c>
      <c r="H381" s="21914">
        <v>27</v>
      </c>
      <c r="I381" s="21915">
        <f t="shared" si="11"/>
        <v>2700</v>
      </c>
      <c r="J381" s="21916" t="s">
        <v>852</v>
      </c>
      <c r="K381" s="21917">
        <v>23.95</v>
      </c>
    </row>
    <row r="382" spans="1:11" ht="13.8">
      <c r="A382" s="21918" t="str">
        <f t="shared" si="10"/>
        <v>TK-00381</v>
      </c>
      <c r="B382" s="21919">
        <v>27</v>
      </c>
      <c r="C382" s="21920">
        <v>46207</v>
      </c>
      <c r="D382" s="21921" t="s">
        <v>111</v>
      </c>
      <c r="E382" s="21922" t="s">
        <v>850</v>
      </c>
      <c r="F382" s="21923" t="s">
        <v>910</v>
      </c>
      <c r="G382" s="21924">
        <v>100</v>
      </c>
      <c r="H382" s="21925">
        <v>27</v>
      </c>
      <c r="I382" s="21926">
        <f t="shared" si="11"/>
        <v>2700</v>
      </c>
      <c r="J382" s="21927" t="s">
        <v>852</v>
      </c>
      <c r="K382" s="21928">
        <v>23.95</v>
      </c>
    </row>
    <row r="383" spans="1:11" ht="13.8">
      <c r="A383" s="21929" t="str">
        <f t="shared" si="10"/>
        <v>TK-00382</v>
      </c>
      <c r="B383" s="21930">
        <v>27</v>
      </c>
      <c r="C383" s="21931">
        <v>46204</v>
      </c>
      <c r="D383" s="21932" t="s">
        <v>111</v>
      </c>
      <c r="E383" s="21933" t="s">
        <v>850</v>
      </c>
      <c r="F383" s="21934" t="s">
        <v>911</v>
      </c>
      <c r="G383" s="21935">
        <v>70</v>
      </c>
      <c r="H383" s="21936">
        <v>27</v>
      </c>
      <c r="I383" s="21937">
        <f t="shared" si="11"/>
        <v>1890</v>
      </c>
      <c r="J383" s="21938" t="s">
        <v>852</v>
      </c>
      <c r="K383" s="21939">
        <v>23.95</v>
      </c>
    </row>
    <row r="384" spans="1:11" ht="13.8">
      <c r="A384" s="21940" t="str">
        <f t="shared" si="10"/>
        <v>TK-00383</v>
      </c>
      <c r="B384" s="21941">
        <v>27</v>
      </c>
      <c r="C384" s="21942">
        <v>46206</v>
      </c>
      <c r="D384" s="21943" t="s">
        <v>111</v>
      </c>
      <c r="E384" s="21944" t="s">
        <v>850</v>
      </c>
      <c r="F384" s="21945" t="s">
        <v>911</v>
      </c>
      <c r="G384" s="21946">
        <v>70</v>
      </c>
      <c r="H384" s="21947">
        <v>27</v>
      </c>
      <c r="I384" s="21948">
        <f t="shared" si="11"/>
        <v>1890</v>
      </c>
      <c r="J384" s="21949" t="s">
        <v>852</v>
      </c>
      <c r="K384" s="21950">
        <v>23.95</v>
      </c>
    </row>
    <row r="385" spans="1:11" ht="13.8">
      <c r="A385" s="21951" t="str">
        <f t="shared" si="10"/>
        <v>TK-00384</v>
      </c>
      <c r="B385" s="21952">
        <v>24</v>
      </c>
      <c r="C385" s="21953">
        <v>46181</v>
      </c>
      <c r="D385" s="21954" t="s">
        <v>1</v>
      </c>
      <c r="E385" s="21955" t="s">
        <v>912</v>
      </c>
      <c r="F385" s="21956" t="s">
        <v>85</v>
      </c>
      <c r="G385" s="21957">
        <v>30</v>
      </c>
      <c r="H385" s="21958">
        <v>27</v>
      </c>
      <c r="I385" s="21959">
        <f t="shared" si="11"/>
        <v>810</v>
      </c>
      <c r="J385" s="21960" t="s">
        <v>852</v>
      </c>
      <c r="K385" s="21961" t="s">
        <v>913</v>
      </c>
    </row>
    <row r="386" spans="1:11" ht="13.8">
      <c r="A386" s="21962" t="str">
        <f t="shared" ref="A386:A449" si="12">"TK-"&amp;TEXT(ROW()-1, "00000")</f>
        <v>TK-00385</v>
      </c>
      <c r="B386" s="21963">
        <v>24</v>
      </c>
      <c r="C386" s="21964">
        <v>46181</v>
      </c>
      <c r="D386" s="21965" t="s">
        <v>1</v>
      </c>
      <c r="E386" s="21966" t="s">
        <v>912</v>
      </c>
      <c r="F386" s="21967" t="s">
        <v>48</v>
      </c>
      <c r="G386" s="21968">
        <v>32</v>
      </c>
      <c r="H386" s="21969">
        <v>27</v>
      </c>
      <c r="I386" s="21970">
        <f t="shared" ref="I386:I449" si="13">G386*H386</f>
        <v>864</v>
      </c>
      <c r="J386" s="21971" t="s">
        <v>852</v>
      </c>
      <c r="K386" s="21972" t="s">
        <v>913</v>
      </c>
    </row>
    <row r="387" spans="1:11" ht="13.8">
      <c r="A387" s="21973" t="str">
        <f t="shared" si="12"/>
        <v>TK-00386</v>
      </c>
      <c r="B387" s="21974">
        <v>24</v>
      </c>
      <c r="C387" s="21975">
        <v>46181</v>
      </c>
      <c r="D387" s="21976" t="s">
        <v>1</v>
      </c>
      <c r="E387" s="21977" t="s">
        <v>912</v>
      </c>
      <c r="F387" s="21978" t="s">
        <v>69</v>
      </c>
      <c r="G387" s="21979">
        <v>277</v>
      </c>
      <c r="H387" s="21980">
        <v>27</v>
      </c>
      <c r="I387" s="21981">
        <f t="shared" si="13"/>
        <v>7479</v>
      </c>
      <c r="J387" s="21982" t="s">
        <v>852</v>
      </c>
      <c r="K387" s="21983" t="s">
        <v>913</v>
      </c>
    </row>
    <row r="388" spans="1:11" ht="13.8">
      <c r="A388" s="21984" t="str">
        <f t="shared" si="12"/>
        <v>TK-00387</v>
      </c>
      <c r="B388" s="21985">
        <v>24</v>
      </c>
      <c r="C388" s="21986">
        <v>46181</v>
      </c>
      <c r="D388" s="21987" t="s">
        <v>1</v>
      </c>
      <c r="E388" s="21988" t="s">
        <v>912</v>
      </c>
      <c r="F388" s="21989" t="s">
        <v>56</v>
      </c>
      <c r="G388" s="21990">
        <v>30</v>
      </c>
      <c r="H388" s="21991">
        <v>27</v>
      </c>
      <c r="I388" s="21992">
        <f t="shared" si="13"/>
        <v>810</v>
      </c>
      <c r="J388" s="21993" t="s">
        <v>852</v>
      </c>
      <c r="K388" s="21994" t="s">
        <v>913</v>
      </c>
    </row>
    <row r="389" spans="1:11" ht="13.8">
      <c r="A389" s="21995" t="str">
        <f t="shared" si="12"/>
        <v>TK-00388</v>
      </c>
      <c r="B389" s="21996">
        <v>24</v>
      </c>
      <c r="C389" s="21997">
        <v>46181</v>
      </c>
      <c r="D389" s="21998" t="s">
        <v>2</v>
      </c>
      <c r="E389" s="21999" t="s">
        <v>912</v>
      </c>
      <c r="F389" s="22000" t="s">
        <v>65</v>
      </c>
      <c r="G389" s="22001">
        <v>97</v>
      </c>
      <c r="H389" s="22002">
        <v>27</v>
      </c>
      <c r="I389" s="22003">
        <f t="shared" si="13"/>
        <v>2619</v>
      </c>
      <c r="J389" s="22004" t="s">
        <v>852</v>
      </c>
      <c r="K389" s="22005" t="s">
        <v>913</v>
      </c>
    </row>
    <row r="390" spans="1:11" ht="13.8">
      <c r="A390" s="22006" t="str">
        <f t="shared" si="12"/>
        <v>TK-00389</v>
      </c>
      <c r="B390" s="22007">
        <v>24</v>
      </c>
      <c r="C390" s="22008">
        <v>46181</v>
      </c>
      <c r="D390" s="22009" t="s">
        <v>3</v>
      </c>
      <c r="E390" s="22010" t="s">
        <v>912</v>
      </c>
      <c r="F390" s="22011" t="s">
        <v>76</v>
      </c>
      <c r="G390" s="22012">
        <v>198</v>
      </c>
      <c r="H390" s="22013">
        <v>27</v>
      </c>
      <c r="I390" s="22014">
        <f t="shared" si="13"/>
        <v>5346</v>
      </c>
      <c r="J390" s="22015" t="s">
        <v>852</v>
      </c>
      <c r="K390" s="22016" t="s">
        <v>913</v>
      </c>
    </row>
    <row r="391" spans="1:11" ht="13.8">
      <c r="A391" s="22017" t="str">
        <f t="shared" si="12"/>
        <v>TK-00390</v>
      </c>
      <c r="B391" s="22018">
        <v>24</v>
      </c>
      <c r="C391" s="22019">
        <v>46181</v>
      </c>
      <c r="D391" s="22020" t="s">
        <v>3</v>
      </c>
      <c r="E391" s="22021" t="s">
        <v>912</v>
      </c>
      <c r="F391" s="22022" t="s">
        <v>96</v>
      </c>
      <c r="G391" s="22023">
        <v>10</v>
      </c>
      <c r="H391" s="22024">
        <v>27</v>
      </c>
      <c r="I391" s="22025">
        <f t="shared" si="13"/>
        <v>270</v>
      </c>
      <c r="J391" s="22026" t="s">
        <v>852</v>
      </c>
      <c r="K391" s="22027" t="s">
        <v>913</v>
      </c>
    </row>
    <row r="392" spans="1:11" ht="13.8">
      <c r="A392" s="22028" t="str">
        <f t="shared" si="12"/>
        <v>TK-00391</v>
      </c>
      <c r="B392" s="22029">
        <v>24</v>
      </c>
      <c r="C392" s="22030">
        <v>46181</v>
      </c>
      <c r="D392" s="22031" t="s">
        <v>3</v>
      </c>
      <c r="E392" s="22032" t="s">
        <v>912</v>
      </c>
      <c r="F392" s="22033" t="s">
        <v>90</v>
      </c>
      <c r="G392" s="22034">
        <v>27</v>
      </c>
      <c r="H392" s="22035">
        <v>27</v>
      </c>
      <c r="I392" s="22036">
        <f t="shared" si="13"/>
        <v>729</v>
      </c>
      <c r="J392" s="22037" t="s">
        <v>852</v>
      </c>
      <c r="K392" s="22038" t="s">
        <v>913</v>
      </c>
    </row>
    <row r="393" spans="1:11" ht="13.8">
      <c r="A393" s="22039" t="str">
        <f t="shared" si="12"/>
        <v>TK-00392</v>
      </c>
      <c r="B393" s="22040">
        <v>24</v>
      </c>
      <c r="C393" s="22041">
        <v>46181</v>
      </c>
      <c r="D393" s="22042" t="s">
        <v>3</v>
      </c>
      <c r="E393" s="22043" t="s">
        <v>912</v>
      </c>
      <c r="F393" s="22044" t="s">
        <v>98</v>
      </c>
      <c r="G393" s="22045">
        <v>30</v>
      </c>
      <c r="H393" s="22046">
        <v>27</v>
      </c>
      <c r="I393" s="22047">
        <f t="shared" si="13"/>
        <v>810</v>
      </c>
      <c r="J393" s="22048" t="s">
        <v>852</v>
      </c>
      <c r="K393" s="22049" t="s">
        <v>913</v>
      </c>
    </row>
    <row r="394" spans="1:11" ht="13.8">
      <c r="A394" s="22050" t="str">
        <f t="shared" si="12"/>
        <v>TK-00393</v>
      </c>
      <c r="B394" s="22051">
        <v>24</v>
      </c>
      <c r="C394" s="22052">
        <v>46181</v>
      </c>
      <c r="D394" s="22053" t="s">
        <v>3</v>
      </c>
      <c r="E394" s="22054" t="s">
        <v>912</v>
      </c>
      <c r="F394" s="22055" t="s">
        <v>81</v>
      </c>
      <c r="G394" s="22056">
        <v>40</v>
      </c>
      <c r="H394" s="22057">
        <v>27</v>
      </c>
      <c r="I394" s="22058">
        <f t="shared" si="13"/>
        <v>1080</v>
      </c>
      <c r="J394" s="22059" t="s">
        <v>852</v>
      </c>
      <c r="K394" s="22060" t="s">
        <v>913</v>
      </c>
    </row>
    <row r="395" spans="1:11" ht="13.8">
      <c r="A395" s="22061" t="str">
        <f t="shared" si="12"/>
        <v>TK-00394</v>
      </c>
      <c r="B395" s="22062">
        <v>24</v>
      </c>
      <c r="C395" s="22063">
        <v>46181</v>
      </c>
      <c r="D395" s="22064" t="s">
        <v>3</v>
      </c>
      <c r="E395" s="22065" t="s">
        <v>912</v>
      </c>
      <c r="F395" s="22066" t="s">
        <v>86</v>
      </c>
      <c r="G395" s="22067">
        <v>120</v>
      </c>
      <c r="H395" s="22068">
        <v>27</v>
      </c>
      <c r="I395" s="22069">
        <f t="shared" si="13"/>
        <v>3240</v>
      </c>
      <c r="J395" s="22070" t="s">
        <v>852</v>
      </c>
      <c r="K395" s="22071" t="s">
        <v>913</v>
      </c>
    </row>
    <row r="396" spans="1:11" ht="13.8">
      <c r="A396" s="22072" t="str">
        <f t="shared" si="12"/>
        <v>TK-00395</v>
      </c>
      <c r="B396" s="22073">
        <v>24</v>
      </c>
      <c r="C396" s="22074">
        <v>46181</v>
      </c>
      <c r="D396" s="22075" t="s">
        <v>3</v>
      </c>
      <c r="E396" s="22076" t="s">
        <v>912</v>
      </c>
      <c r="F396" s="22077" t="s">
        <v>92</v>
      </c>
      <c r="G396" s="22078">
        <v>30</v>
      </c>
      <c r="H396" s="22079">
        <v>27</v>
      </c>
      <c r="I396" s="22080">
        <f t="shared" si="13"/>
        <v>810</v>
      </c>
      <c r="J396" s="22081" t="s">
        <v>852</v>
      </c>
      <c r="K396" s="22082" t="s">
        <v>913</v>
      </c>
    </row>
    <row r="397" spans="1:11" ht="13.8">
      <c r="A397" s="22083" t="str">
        <f t="shared" si="12"/>
        <v>TK-00396</v>
      </c>
      <c r="B397" s="22084">
        <v>24</v>
      </c>
      <c r="C397" s="22085">
        <v>46181</v>
      </c>
      <c r="D397" s="22086" t="s">
        <v>111</v>
      </c>
      <c r="E397" s="22087" t="s">
        <v>912</v>
      </c>
      <c r="F397" s="22088" t="s">
        <v>112</v>
      </c>
      <c r="G397" s="22089">
        <v>100</v>
      </c>
      <c r="H397" s="22090">
        <v>27</v>
      </c>
      <c r="I397" s="22091">
        <f t="shared" si="13"/>
        <v>2700</v>
      </c>
      <c r="J397" s="22092" t="s">
        <v>852</v>
      </c>
      <c r="K397" s="22093" t="s">
        <v>913</v>
      </c>
    </row>
    <row r="398" spans="1:11" ht="13.8">
      <c r="A398" s="22094" t="str">
        <f t="shared" si="12"/>
        <v>TK-00397</v>
      </c>
      <c r="B398" s="22095">
        <v>24</v>
      </c>
      <c r="C398" s="22096">
        <v>46181</v>
      </c>
      <c r="D398" s="22097" t="s">
        <v>400</v>
      </c>
      <c r="E398" s="22098" t="s">
        <v>912</v>
      </c>
      <c r="F398" s="22099" t="s">
        <v>112</v>
      </c>
      <c r="G398" s="22100">
        <v>200</v>
      </c>
      <c r="H398" s="22101">
        <v>27</v>
      </c>
      <c r="I398" s="22102">
        <f t="shared" si="13"/>
        <v>5400</v>
      </c>
      <c r="J398" s="22103" t="s">
        <v>852</v>
      </c>
      <c r="K398" s="22104" t="s">
        <v>913</v>
      </c>
    </row>
    <row r="399" spans="1:11" ht="13.8">
      <c r="A399" s="22105" t="str">
        <f t="shared" si="12"/>
        <v>TK-00398</v>
      </c>
      <c r="B399" s="22106">
        <v>24</v>
      </c>
      <c r="C399" s="22107">
        <v>46181</v>
      </c>
      <c r="D399" s="22108" t="s">
        <v>400</v>
      </c>
      <c r="E399" s="22109" t="s">
        <v>912</v>
      </c>
      <c r="F399" s="22110" t="s">
        <v>112</v>
      </c>
      <c r="G399" s="22111">
        <v>209</v>
      </c>
      <c r="H399" s="22112">
        <v>27</v>
      </c>
      <c r="I399" s="22113">
        <f t="shared" si="13"/>
        <v>5643</v>
      </c>
      <c r="J399" s="22114" t="s">
        <v>852</v>
      </c>
      <c r="K399" s="22115" t="s">
        <v>913</v>
      </c>
    </row>
    <row r="400" spans="1:11" ht="13.8">
      <c r="A400" s="22116" t="str">
        <f t="shared" si="12"/>
        <v>TK-00399</v>
      </c>
      <c r="B400" s="22117">
        <v>24</v>
      </c>
      <c r="C400" s="22118">
        <v>46182</v>
      </c>
      <c r="D400" s="22119" t="s">
        <v>3</v>
      </c>
      <c r="E400" s="22120" t="s">
        <v>912</v>
      </c>
      <c r="F400" s="22121" t="s">
        <v>79</v>
      </c>
      <c r="G400" s="22122">
        <v>30</v>
      </c>
      <c r="H400" s="22123">
        <v>27</v>
      </c>
      <c r="I400" s="22124">
        <f t="shared" si="13"/>
        <v>810</v>
      </c>
      <c r="J400" s="22125" t="s">
        <v>852</v>
      </c>
      <c r="K400" s="22126" t="s">
        <v>913</v>
      </c>
    </row>
    <row r="401" spans="1:11" ht="13.8">
      <c r="A401" s="22127" t="str">
        <f t="shared" si="12"/>
        <v>TK-00400</v>
      </c>
      <c r="B401" s="22128">
        <v>24</v>
      </c>
      <c r="C401" s="22129">
        <v>46182</v>
      </c>
      <c r="D401" s="22130" t="s">
        <v>3</v>
      </c>
      <c r="E401" s="22131" t="s">
        <v>912</v>
      </c>
      <c r="F401" s="22132" t="s">
        <v>83</v>
      </c>
      <c r="G401" s="22133">
        <v>100</v>
      </c>
      <c r="H401" s="22134">
        <v>27</v>
      </c>
      <c r="I401" s="22135">
        <f t="shared" si="13"/>
        <v>2700</v>
      </c>
      <c r="J401" s="22136" t="s">
        <v>852</v>
      </c>
      <c r="K401" s="22137" t="s">
        <v>913</v>
      </c>
    </row>
    <row r="402" spans="1:11" ht="13.8">
      <c r="A402" s="22138" t="str">
        <f t="shared" si="12"/>
        <v>TK-00401</v>
      </c>
      <c r="B402" s="22139">
        <v>24</v>
      </c>
      <c r="C402" s="22140">
        <v>46182</v>
      </c>
      <c r="D402" s="22141" t="s">
        <v>3</v>
      </c>
      <c r="E402" s="22142" t="s">
        <v>912</v>
      </c>
      <c r="F402" s="22143" t="s">
        <v>88</v>
      </c>
      <c r="G402" s="22144">
        <v>30</v>
      </c>
      <c r="H402" s="22145">
        <v>27</v>
      </c>
      <c r="I402" s="22146">
        <f t="shared" si="13"/>
        <v>810</v>
      </c>
      <c r="J402" s="22147" t="s">
        <v>852</v>
      </c>
      <c r="K402" s="22148" t="s">
        <v>913</v>
      </c>
    </row>
    <row r="403" spans="1:11" ht="13.8">
      <c r="A403" s="22149" t="str">
        <f t="shared" si="12"/>
        <v>TK-00402</v>
      </c>
      <c r="B403" s="22150">
        <v>24</v>
      </c>
      <c r="C403" s="22151">
        <v>46182</v>
      </c>
      <c r="D403" s="22152" t="s">
        <v>3</v>
      </c>
      <c r="E403" s="22153" t="s">
        <v>912</v>
      </c>
      <c r="F403" s="22154" t="s">
        <v>76</v>
      </c>
      <c r="G403" s="22155">
        <v>150</v>
      </c>
      <c r="H403" s="22156">
        <v>27</v>
      </c>
      <c r="I403" s="22157">
        <f t="shared" si="13"/>
        <v>4050</v>
      </c>
      <c r="J403" s="22158" t="s">
        <v>852</v>
      </c>
      <c r="K403" s="22159" t="s">
        <v>913</v>
      </c>
    </row>
    <row r="404" spans="1:11" ht="13.8">
      <c r="A404" s="22160" t="str">
        <f t="shared" si="12"/>
        <v>TK-00403</v>
      </c>
      <c r="B404" s="22161">
        <v>24</v>
      </c>
      <c r="C404" s="22162">
        <v>46182</v>
      </c>
      <c r="D404" s="22163" t="s">
        <v>3</v>
      </c>
      <c r="E404" s="22164" t="s">
        <v>912</v>
      </c>
      <c r="F404" s="22165" t="s">
        <v>92</v>
      </c>
      <c r="G404" s="22166">
        <v>50</v>
      </c>
      <c r="H404" s="22167">
        <v>27</v>
      </c>
      <c r="I404" s="22168">
        <f t="shared" si="13"/>
        <v>1350</v>
      </c>
      <c r="J404" s="22169" t="s">
        <v>852</v>
      </c>
      <c r="K404" s="22170" t="s">
        <v>913</v>
      </c>
    </row>
    <row r="405" spans="1:11" ht="13.8">
      <c r="A405" s="22171" t="str">
        <f t="shared" si="12"/>
        <v>TK-00404</v>
      </c>
      <c r="B405" s="22172">
        <v>24</v>
      </c>
      <c r="C405" s="22173">
        <v>46182</v>
      </c>
      <c r="D405" s="22174" t="s">
        <v>3</v>
      </c>
      <c r="E405" s="22175" t="s">
        <v>912</v>
      </c>
      <c r="F405" s="22176" t="s">
        <v>86</v>
      </c>
      <c r="G405" s="22177">
        <v>136</v>
      </c>
      <c r="H405" s="22178">
        <v>27</v>
      </c>
      <c r="I405" s="22179">
        <f t="shared" si="13"/>
        <v>3672</v>
      </c>
      <c r="J405" s="22180" t="s">
        <v>852</v>
      </c>
      <c r="K405" s="22181" t="s">
        <v>913</v>
      </c>
    </row>
    <row r="406" spans="1:11" ht="13.8">
      <c r="A406" s="22182" t="str">
        <f t="shared" si="12"/>
        <v>TK-00405</v>
      </c>
      <c r="B406" s="22183">
        <v>24</v>
      </c>
      <c r="C406" s="22184">
        <v>46182</v>
      </c>
      <c r="D406" s="22185" t="s">
        <v>3</v>
      </c>
      <c r="E406" s="22186" t="s">
        <v>912</v>
      </c>
      <c r="F406" s="22187" t="s">
        <v>88</v>
      </c>
      <c r="G406" s="22188">
        <v>30</v>
      </c>
      <c r="H406" s="22189">
        <v>27</v>
      </c>
      <c r="I406" s="22190">
        <f t="shared" si="13"/>
        <v>810</v>
      </c>
      <c r="J406" s="22191" t="s">
        <v>852</v>
      </c>
      <c r="K406" s="22192" t="s">
        <v>913</v>
      </c>
    </row>
    <row r="407" spans="1:11" ht="13.8">
      <c r="A407" s="22193" t="str">
        <f t="shared" si="12"/>
        <v>TK-00406</v>
      </c>
      <c r="B407" s="22194">
        <v>24</v>
      </c>
      <c r="C407" s="22195">
        <v>46182</v>
      </c>
      <c r="D407" s="22196" t="s">
        <v>3</v>
      </c>
      <c r="E407" s="22197" t="s">
        <v>912</v>
      </c>
      <c r="F407" s="22198" t="s">
        <v>85</v>
      </c>
      <c r="G407" s="22199">
        <v>30</v>
      </c>
      <c r="H407" s="22200">
        <v>27</v>
      </c>
      <c r="I407" s="22201">
        <f t="shared" si="13"/>
        <v>810</v>
      </c>
      <c r="J407" s="22202" t="s">
        <v>852</v>
      </c>
      <c r="K407" s="22203" t="s">
        <v>913</v>
      </c>
    </row>
    <row r="408" spans="1:11" ht="13.8">
      <c r="A408" s="22204" t="str">
        <f t="shared" si="12"/>
        <v>TK-00407</v>
      </c>
      <c r="B408" s="22205">
        <v>24</v>
      </c>
      <c r="C408" s="22206">
        <v>46182</v>
      </c>
      <c r="D408" s="22207" t="s">
        <v>3</v>
      </c>
      <c r="E408" s="22208" t="s">
        <v>912</v>
      </c>
      <c r="F408" s="22209" t="s">
        <v>83</v>
      </c>
      <c r="G408" s="22210">
        <v>100</v>
      </c>
      <c r="H408" s="22211">
        <v>27</v>
      </c>
      <c r="I408" s="22212">
        <f t="shared" si="13"/>
        <v>2700</v>
      </c>
      <c r="J408" s="22213" t="s">
        <v>852</v>
      </c>
      <c r="K408" s="22214" t="s">
        <v>913</v>
      </c>
    </row>
    <row r="409" spans="1:11" ht="13.8">
      <c r="A409" s="22215" t="str">
        <f t="shared" si="12"/>
        <v>TK-00408</v>
      </c>
      <c r="B409" s="22216">
        <v>24</v>
      </c>
      <c r="C409" s="22217">
        <v>46182</v>
      </c>
      <c r="D409" s="22218" t="s">
        <v>3</v>
      </c>
      <c r="E409" s="22219" t="s">
        <v>912</v>
      </c>
      <c r="F409" s="22220" t="s">
        <v>81</v>
      </c>
      <c r="G409" s="22221">
        <v>60</v>
      </c>
      <c r="H409" s="22222">
        <v>27</v>
      </c>
      <c r="I409" s="22223">
        <f t="shared" si="13"/>
        <v>1620</v>
      </c>
      <c r="J409" s="22224" t="s">
        <v>852</v>
      </c>
      <c r="K409" s="22225" t="s">
        <v>913</v>
      </c>
    </row>
    <row r="410" spans="1:11" ht="13.8">
      <c r="A410" s="22226" t="str">
        <f t="shared" si="12"/>
        <v>TK-00409</v>
      </c>
      <c r="B410" s="22227">
        <v>24</v>
      </c>
      <c r="C410" s="22228">
        <v>46182</v>
      </c>
      <c r="D410" s="22229" t="s">
        <v>3</v>
      </c>
      <c r="E410" s="22230" t="s">
        <v>912</v>
      </c>
      <c r="F410" s="22231" t="s">
        <v>98</v>
      </c>
      <c r="G410" s="22232">
        <v>20</v>
      </c>
      <c r="H410" s="22233">
        <v>27</v>
      </c>
      <c r="I410" s="22234">
        <f t="shared" si="13"/>
        <v>540</v>
      </c>
      <c r="J410" s="22235" t="s">
        <v>852</v>
      </c>
      <c r="K410" s="22236" t="s">
        <v>913</v>
      </c>
    </row>
    <row r="411" spans="1:11" ht="13.8">
      <c r="A411" s="22237" t="str">
        <f t="shared" si="12"/>
        <v>TK-00410</v>
      </c>
      <c r="B411" s="22238">
        <v>24</v>
      </c>
      <c r="C411" s="22239">
        <v>46182</v>
      </c>
      <c r="D411" s="22240" t="s">
        <v>2</v>
      </c>
      <c r="E411" s="22241" t="s">
        <v>912</v>
      </c>
      <c r="F411" s="22242" t="s">
        <v>56</v>
      </c>
      <c r="G411" s="22243">
        <v>70</v>
      </c>
      <c r="H411" s="22244">
        <v>27</v>
      </c>
      <c r="I411" s="22245">
        <f t="shared" si="13"/>
        <v>1890</v>
      </c>
      <c r="J411" s="22246" t="s">
        <v>852</v>
      </c>
      <c r="K411" s="22247" t="s">
        <v>913</v>
      </c>
    </row>
    <row r="412" spans="1:11" ht="13.8">
      <c r="A412" s="22248" t="str">
        <f t="shared" si="12"/>
        <v>TK-00411</v>
      </c>
      <c r="B412" s="22249">
        <v>24</v>
      </c>
      <c r="C412" s="22250">
        <v>46182</v>
      </c>
      <c r="D412" s="22251" t="s">
        <v>2</v>
      </c>
      <c r="E412" s="22252" t="s">
        <v>912</v>
      </c>
      <c r="F412" s="22253" t="s">
        <v>104</v>
      </c>
      <c r="G412" s="22254">
        <v>50</v>
      </c>
      <c r="H412" s="22255">
        <v>27</v>
      </c>
      <c r="I412" s="22256">
        <f t="shared" si="13"/>
        <v>1350</v>
      </c>
      <c r="J412" s="22257" t="s">
        <v>852</v>
      </c>
      <c r="K412" s="22258" t="s">
        <v>913</v>
      </c>
    </row>
    <row r="413" spans="1:11" ht="13.8">
      <c r="A413" s="22259" t="str">
        <f t="shared" si="12"/>
        <v>TK-00412</v>
      </c>
      <c r="B413" s="22260">
        <v>24</v>
      </c>
      <c r="C413" s="22261">
        <v>46182</v>
      </c>
      <c r="D413" s="22262" t="s">
        <v>2</v>
      </c>
      <c r="E413" s="22263" t="s">
        <v>912</v>
      </c>
      <c r="F413" s="22264" t="s">
        <v>60</v>
      </c>
      <c r="G413" s="22265">
        <v>60</v>
      </c>
      <c r="H413" s="22266">
        <v>27</v>
      </c>
      <c r="I413" s="22267">
        <f t="shared" si="13"/>
        <v>1620</v>
      </c>
      <c r="J413" s="22268" t="s">
        <v>852</v>
      </c>
      <c r="K413" s="22269" t="s">
        <v>913</v>
      </c>
    </row>
    <row r="414" spans="1:11" ht="13.8">
      <c r="A414" s="22270" t="str">
        <f t="shared" si="12"/>
        <v>TK-00413</v>
      </c>
      <c r="B414" s="22271">
        <v>24</v>
      </c>
      <c r="C414" s="22272">
        <v>46183</v>
      </c>
      <c r="D414" s="22273" t="s">
        <v>1</v>
      </c>
      <c r="E414" s="22274" t="s">
        <v>912</v>
      </c>
      <c r="F414" s="22275" t="s">
        <v>70</v>
      </c>
      <c r="G414" s="22276">
        <v>20</v>
      </c>
      <c r="H414" s="22277">
        <v>27</v>
      </c>
      <c r="I414" s="22278">
        <f t="shared" si="13"/>
        <v>540</v>
      </c>
      <c r="J414" s="22279" t="s">
        <v>852</v>
      </c>
      <c r="K414" s="22280" t="s">
        <v>913</v>
      </c>
    </row>
    <row r="415" spans="1:11" ht="13.8">
      <c r="A415" s="22281" t="str">
        <f t="shared" si="12"/>
        <v>TK-00414</v>
      </c>
      <c r="B415" s="22282">
        <v>24</v>
      </c>
      <c r="C415" s="22283">
        <v>46183</v>
      </c>
      <c r="D415" s="22284" t="s">
        <v>1</v>
      </c>
      <c r="E415" s="22285" t="s">
        <v>912</v>
      </c>
      <c r="F415" s="22286" t="s">
        <v>69</v>
      </c>
      <c r="G415" s="22287">
        <v>250</v>
      </c>
      <c r="H415" s="22288">
        <v>27</v>
      </c>
      <c r="I415" s="22289">
        <f t="shared" si="13"/>
        <v>6750</v>
      </c>
      <c r="J415" s="22290" t="s">
        <v>852</v>
      </c>
      <c r="K415" s="22291" t="s">
        <v>913</v>
      </c>
    </row>
    <row r="416" spans="1:11" ht="13.8">
      <c r="A416" s="22292" t="str">
        <f t="shared" si="12"/>
        <v>TK-00415</v>
      </c>
      <c r="B416" s="22293">
        <v>24</v>
      </c>
      <c r="C416" s="22294">
        <v>46183</v>
      </c>
      <c r="D416" s="22295" t="s">
        <v>1</v>
      </c>
      <c r="E416" s="22296" t="s">
        <v>912</v>
      </c>
      <c r="F416" s="22297" t="s">
        <v>56</v>
      </c>
      <c r="G416" s="22298">
        <v>30</v>
      </c>
      <c r="H416" s="22299">
        <v>27</v>
      </c>
      <c r="I416" s="22300">
        <f t="shared" si="13"/>
        <v>810</v>
      </c>
      <c r="J416" s="22301" t="s">
        <v>852</v>
      </c>
      <c r="K416" s="22302" t="s">
        <v>913</v>
      </c>
    </row>
    <row r="417" spans="1:11" ht="13.8">
      <c r="A417" s="22303" t="str">
        <f t="shared" si="12"/>
        <v>TK-00416</v>
      </c>
      <c r="B417" s="22304">
        <v>24</v>
      </c>
      <c r="C417" s="22305">
        <v>46183</v>
      </c>
      <c r="D417" s="22306" t="s">
        <v>111</v>
      </c>
      <c r="E417" s="22307" t="s">
        <v>912</v>
      </c>
      <c r="F417" s="22308" t="s">
        <v>112</v>
      </c>
      <c r="G417" s="22309">
        <v>100</v>
      </c>
      <c r="H417" s="22310">
        <v>27</v>
      </c>
      <c r="I417" s="22311">
        <f t="shared" si="13"/>
        <v>2700</v>
      </c>
      <c r="J417" s="22312" t="s">
        <v>852</v>
      </c>
      <c r="K417" s="22313" t="s">
        <v>913</v>
      </c>
    </row>
    <row r="418" spans="1:11" ht="13.8">
      <c r="A418" s="22314" t="str">
        <f t="shared" si="12"/>
        <v>TK-00417</v>
      </c>
      <c r="B418" s="22315">
        <v>24</v>
      </c>
      <c r="C418" s="22316">
        <v>46184</v>
      </c>
      <c r="D418" s="22317" t="s">
        <v>1</v>
      </c>
      <c r="E418" s="22318" t="s">
        <v>912</v>
      </c>
      <c r="F418" s="22319" t="s">
        <v>48</v>
      </c>
      <c r="G418" s="22320">
        <v>30</v>
      </c>
      <c r="H418" s="22321">
        <v>27</v>
      </c>
      <c r="I418" s="22322">
        <f t="shared" si="13"/>
        <v>810</v>
      </c>
      <c r="J418" s="22323" t="s">
        <v>852</v>
      </c>
      <c r="K418" s="22324" t="s">
        <v>913</v>
      </c>
    </row>
    <row r="419" spans="1:11" ht="13.8">
      <c r="A419" s="22325" t="str">
        <f t="shared" si="12"/>
        <v>TK-00418</v>
      </c>
      <c r="B419" s="22326">
        <v>24</v>
      </c>
      <c r="C419" s="22327">
        <v>46184</v>
      </c>
      <c r="D419" s="22328" t="s">
        <v>1</v>
      </c>
      <c r="E419" s="22329" t="s">
        <v>912</v>
      </c>
      <c r="F419" s="22330" t="s">
        <v>85</v>
      </c>
      <c r="G419" s="22331">
        <v>30</v>
      </c>
      <c r="H419" s="22332">
        <v>27</v>
      </c>
      <c r="I419" s="22333">
        <f t="shared" si="13"/>
        <v>810</v>
      </c>
      <c r="J419" s="22334" t="s">
        <v>852</v>
      </c>
      <c r="K419" s="22335" t="s">
        <v>913</v>
      </c>
    </row>
    <row r="420" spans="1:11" ht="13.8">
      <c r="A420" s="22336" t="str">
        <f t="shared" si="12"/>
        <v>TK-00419</v>
      </c>
      <c r="B420" s="22337">
        <v>24</v>
      </c>
      <c r="C420" s="22338">
        <v>46184</v>
      </c>
      <c r="D420" s="22339" t="s">
        <v>1</v>
      </c>
      <c r="E420" s="22340" t="s">
        <v>912</v>
      </c>
      <c r="F420" s="22341" t="s">
        <v>65</v>
      </c>
      <c r="G420" s="22342">
        <v>136</v>
      </c>
      <c r="H420" s="22343">
        <v>27</v>
      </c>
      <c r="I420" s="22344">
        <f t="shared" si="13"/>
        <v>3672</v>
      </c>
      <c r="J420" s="22345" t="s">
        <v>852</v>
      </c>
      <c r="K420" s="22346" t="s">
        <v>913</v>
      </c>
    </row>
    <row r="421" spans="1:11" ht="13.8">
      <c r="A421" s="22347" t="str">
        <f t="shared" si="12"/>
        <v>TK-00420</v>
      </c>
      <c r="B421" s="22348">
        <v>24</v>
      </c>
      <c r="C421" s="22349">
        <v>46184</v>
      </c>
      <c r="D421" s="22350" t="s">
        <v>1</v>
      </c>
      <c r="E421" s="22351" t="s">
        <v>912</v>
      </c>
      <c r="F421" s="22352" t="s">
        <v>70</v>
      </c>
      <c r="G421" s="22353">
        <v>20</v>
      </c>
      <c r="H421" s="22354">
        <v>27</v>
      </c>
      <c r="I421" s="22355">
        <f t="shared" si="13"/>
        <v>540</v>
      </c>
      <c r="J421" s="22356" t="s">
        <v>852</v>
      </c>
      <c r="K421" s="22357" t="s">
        <v>913</v>
      </c>
    </row>
    <row r="422" spans="1:11" ht="13.8">
      <c r="A422" s="22358" t="str">
        <f t="shared" si="12"/>
        <v>TK-00421</v>
      </c>
      <c r="B422" s="22359">
        <v>24</v>
      </c>
      <c r="C422" s="22360">
        <v>46184</v>
      </c>
      <c r="D422" s="22361" t="s">
        <v>1</v>
      </c>
      <c r="E422" s="22362" t="s">
        <v>912</v>
      </c>
      <c r="F422" s="22363" t="s">
        <v>56</v>
      </c>
      <c r="G422" s="22364">
        <v>20</v>
      </c>
      <c r="H422" s="22365">
        <v>27</v>
      </c>
      <c r="I422" s="22366">
        <f t="shared" si="13"/>
        <v>540</v>
      </c>
      <c r="J422" s="22367" t="s">
        <v>852</v>
      </c>
      <c r="K422" s="22368" t="s">
        <v>913</v>
      </c>
    </row>
    <row r="423" spans="1:11" ht="13.8">
      <c r="A423" s="22369" t="str">
        <f t="shared" si="12"/>
        <v>TK-00422</v>
      </c>
      <c r="B423" s="22370">
        <v>24</v>
      </c>
      <c r="C423" s="22371">
        <v>46184</v>
      </c>
      <c r="D423" s="22372" t="s">
        <v>1</v>
      </c>
      <c r="E423" s="22373" t="s">
        <v>912</v>
      </c>
      <c r="F423" s="22374" t="s">
        <v>96</v>
      </c>
      <c r="G423" s="22375">
        <v>20</v>
      </c>
      <c r="H423" s="22376">
        <v>27</v>
      </c>
      <c r="I423" s="22377">
        <f t="shared" si="13"/>
        <v>540</v>
      </c>
      <c r="J423" s="22378" t="s">
        <v>852</v>
      </c>
      <c r="K423" s="22379" t="s">
        <v>913</v>
      </c>
    </row>
    <row r="424" spans="1:11" ht="13.8">
      <c r="A424" s="22380" t="str">
        <f t="shared" si="12"/>
        <v>TK-00423</v>
      </c>
      <c r="B424" s="22381">
        <v>24</v>
      </c>
      <c r="C424" s="22382">
        <v>46184</v>
      </c>
      <c r="D424" s="22383" t="s">
        <v>400</v>
      </c>
      <c r="E424" s="22384" t="s">
        <v>912</v>
      </c>
      <c r="F424" s="22385" t="s">
        <v>117</v>
      </c>
      <c r="G424" s="22386">
        <v>238</v>
      </c>
      <c r="H424" s="22387">
        <v>27</v>
      </c>
      <c r="I424" s="22388">
        <f t="shared" si="13"/>
        <v>6426</v>
      </c>
      <c r="J424" s="22389" t="s">
        <v>852</v>
      </c>
      <c r="K424" s="22390" t="s">
        <v>913</v>
      </c>
    </row>
    <row r="425" spans="1:11" ht="13.8">
      <c r="A425" s="22391" t="str">
        <f t="shared" si="12"/>
        <v>TK-00424</v>
      </c>
      <c r="B425" s="22392">
        <v>24</v>
      </c>
      <c r="C425" s="22393">
        <v>46184</v>
      </c>
      <c r="D425" s="22394" t="s">
        <v>2</v>
      </c>
      <c r="E425" s="22395" t="s">
        <v>912</v>
      </c>
      <c r="F425" s="22396" t="s">
        <v>60</v>
      </c>
      <c r="G425" s="22397">
        <v>80</v>
      </c>
      <c r="H425" s="22398">
        <v>27</v>
      </c>
      <c r="I425" s="22399">
        <f t="shared" si="13"/>
        <v>2160</v>
      </c>
      <c r="J425" s="22400" t="s">
        <v>852</v>
      </c>
      <c r="K425" s="22401" t="s">
        <v>913</v>
      </c>
    </row>
    <row r="426" spans="1:11" ht="13.8">
      <c r="A426" s="22402" t="str">
        <f t="shared" si="12"/>
        <v>TK-00425</v>
      </c>
      <c r="B426" s="22403">
        <v>24</v>
      </c>
      <c r="C426" s="22404">
        <v>46184</v>
      </c>
      <c r="D426" s="22405" t="s">
        <v>2</v>
      </c>
      <c r="E426" s="22406" t="s">
        <v>912</v>
      </c>
      <c r="F426" s="22407" t="s">
        <v>98</v>
      </c>
      <c r="G426" s="22408">
        <v>50</v>
      </c>
      <c r="H426" s="22409">
        <v>27</v>
      </c>
      <c r="I426" s="22410">
        <f t="shared" si="13"/>
        <v>1350</v>
      </c>
      <c r="J426" s="22411" t="s">
        <v>852</v>
      </c>
      <c r="K426" s="22412" t="s">
        <v>913</v>
      </c>
    </row>
    <row r="427" spans="1:11" ht="13.8">
      <c r="A427" s="22413" t="str">
        <f t="shared" si="12"/>
        <v>TK-00426</v>
      </c>
      <c r="B427" s="22414">
        <v>24</v>
      </c>
      <c r="C427" s="22415">
        <v>46184</v>
      </c>
      <c r="D427" s="22416" t="s">
        <v>2</v>
      </c>
      <c r="E427" s="22417" t="s">
        <v>912</v>
      </c>
      <c r="F427" s="22418" t="s">
        <v>56</v>
      </c>
      <c r="G427" s="22419">
        <v>70</v>
      </c>
      <c r="H427" s="22420">
        <v>27</v>
      </c>
      <c r="I427" s="22421">
        <f t="shared" si="13"/>
        <v>1890</v>
      </c>
      <c r="J427" s="22422" t="s">
        <v>852</v>
      </c>
      <c r="K427" s="22423" t="s">
        <v>913</v>
      </c>
    </row>
    <row r="428" spans="1:11" ht="13.8">
      <c r="A428" s="22424" t="str">
        <f t="shared" si="12"/>
        <v>TK-00427</v>
      </c>
      <c r="B428" s="22425">
        <v>24</v>
      </c>
      <c r="C428" s="22426">
        <v>46184</v>
      </c>
      <c r="D428" s="22427" t="s">
        <v>2</v>
      </c>
      <c r="E428" s="22428" t="s">
        <v>912</v>
      </c>
      <c r="F428" s="22429" t="s">
        <v>94</v>
      </c>
      <c r="G428" s="22430">
        <v>80</v>
      </c>
      <c r="H428" s="22431">
        <v>27</v>
      </c>
      <c r="I428" s="22432">
        <f t="shared" si="13"/>
        <v>2160</v>
      </c>
      <c r="J428" s="22433" t="s">
        <v>852</v>
      </c>
      <c r="K428" s="22434" t="s">
        <v>913</v>
      </c>
    </row>
    <row r="429" spans="1:11" ht="13.8">
      <c r="A429" s="22435" t="str">
        <f t="shared" si="12"/>
        <v>TK-00428</v>
      </c>
      <c r="B429" s="22436">
        <v>24</v>
      </c>
      <c r="C429" s="22437">
        <v>46184</v>
      </c>
      <c r="D429" s="22438" t="s">
        <v>2</v>
      </c>
      <c r="E429" s="22439" t="s">
        <v>912</v>
      </c>
      <c r="F429" s="22440" t="s">
        <v>65</v>
      </c>
      <c r="G429" s="22441">
        <v>185</v>
      </c>
      <c r="H429" s="22442">
        <v>27</v>
      </c>
      <c r="I429" s="22443">
        <f t="shared" si="13"/>
        <v>4995</v>
      </c>
      <c r="J429" s="22444" t="s">
        <v>852</v>
      </c>
      <c r="K429" s="22445" t="s">
        <v>913</v>
      </c>
    </row>
    <row r="430" spans="1:11" ht="13.8">
      <c r="A430" s="22446" t="str">
        <f t="shared" si="12"/>
        <v>TK-00429</v>
      </c>
      <c r="B430" s="22447">
        <v>24</v>
      </c>
      <c r="C430" s="22448">
        <v>46184</v>
      </c>
      <c r="D430" s="22449" t="s">
        <v>2</v>
      </c>
      <c r="E430" s="22450" t="s">
        <v>912</v>
      </c>
      <c r="F430" s="22451" t="s">
        <v>104</v>
      </c>
      <c r="G430" s="22452">
        <v>50</v>
      </c>
      <c r="H430" s="22453">
        <v>27</v>
      </c>
      <c r="I430" s="22454">
        <f t="shared" si="13"/>
        <v>1350</v>
      </c>
      <c r="J430" s="22455" t="s">
        <v>852</v>
      </c>
      <c r="K430" s="22456" t="s">
        <v>913</v>
      </c>
    </row>
    <row r="431" spans="1:11" ht="13.8">
      <c r="A431" s="22457" t="str">
        <f t="shared" si="12"/>
        <v>TK-00430</v>
      </c>
      <c r="B431" s="22458">
        <v>24</v>
      </c>
      <c r="C431" s="22459">
        <v>46184</v>
      </c>
      <c r="D431" s="22460" t="s">
        <v>2</v>
      </c>
      <c r="E431" s="22461" t="s">
        <v>912</v>
      </c>
      <c r="F431" s="22462" t="s">
        <v>104</v>
      </c>
      <c r="G431" s="22463">
        <v>40</v>
      </c>
      <c r="H431" s="22464">
        <v>27</v>
      </c>
      <c r="I431" s="22465">
        <f t="shared" si="13"/>
        <v>1080</v>
      </c>
      <c r="J431" s="22466" t="s">
        <v>852</v>
      </c>
      <c r="K431" s="22467" t="s">
        <v>913</v>
      </c>
    </row>
    <row r="432" spans="1:11" ht="13.8">
      <c r="A432" s="22468" t="str">
        <f t="shared" si="12"/>
        <v>TK-00431</v>
      </c>
      <c r="B432" s="22469">
        <v>24</v>
      </c>
      <c r="C432" s="22470">
        <v>46184</v>
      </c>
      <c r="D432" s="22471" t="s">
        <v>2</v>
      </c>
      <c r="E432" s="22472" t="s">
        <v>912</v>
      </c>
      <c r="F432" s="22473" t="s">
        <v>85</v>
      </c>
      <c r="G432" s="22474">
        <v>40</v>
      </c>
      <c r="H432" s="22475">
        <v>27</v>
      </c>
      <c r="I432" s="22476">
        <f t="shared" si="13"/>
        <v>1080</v>
      </c>
      <c r="J432" s="22477" t="s">
        <v>852</v>
      </c>
      <c r="K432" s="22478" t="s">
        <v>913</v>
      </c>
    </row>
    <row r="433" spans="1:11" ht="13.8">
      <c r="A433" s="22479" t="str">
        <f t="shared" si="12"/>
        <v>TK-00432</v>
      </c>
      <c r="B433" s="22480">
        <v>24</v>
      </c>
      <c r="C433" s="22481">
        <v>46185</v>
      </c>
      <c r="D433" s="22482" t="s">
        <v>3</v>
      </c>
      <c r="E433" s="22483" t="s">
        <v>912</v>
      </c>
      <c r="F433" s="22484" t="s">
        <v>88</v>
      </c>
      <c r="G433" s="22485">
        <v>32</v>
      </c>
      <c r="H433" s="22486">
        <v>27</v>
      </c>
      <c r="I433" s="22487">
        <f t="shared" si="13"/>
        <v>864</v>
      </c>
      <c r="J433" s="22488" t="s">
        <v>852</v>
      </c>
      <c r="K433" s="22489" t="s">
        <v>913</v>
      </c>
    </row>
    <row r="434" spans="1:11" ht="13.8">
      <c r="A434" s="22490" t="str">
        <f t="shared" si="12"/>
        <v>TK-00433</v>
      </c>
      <c r="B434" s="22491">
        <v>24</v>
      </c>
      <c r="C434" s="22492">
        <v>46185</v>
      </c>
      <c r="D434" s="22493" t="s">
        <v>3</v>
      </c>
      <c r="E434" s="22494" t="s">
        <v>912</v>
      </c>
      <c r="F434" s="22495" t="s">
        <v>90</v>
      </c>
      <c r="G434" s="22496">
        <v>30</v>
      </c>
      <c r="H434" s="22497">
        <v>27</v>
      </c>
      <c r="I434" s="22498">
        <f t="shared" si="13"/>
        <v>810</v>
      </c>
      <c r="J434" s="22499" t="s">
        <v>852</v>
      </c>
      <c r="K434" s="22500" t="s">
        <v>913</v>
      </c>
    </row>
    <row r="435" spans="1:11" ht="13.8">
      <c r="A435" s="22501" t="str">
        <f t="shared" si="12"/>
        <v>TK-00434</v>
      </c>
      <c r="B435" s="22502">
        <v>24</v>
      </c>
      <c r="C435" s="22503">
        <v>46185</v>
      </c>
      <c r="D435" s="22504" t="s">
        <v>3</v>
      </c>
      <c r="E435" s="22505" t="s">
        <v>912</v>
      </c>
      <c r="F435" s="22506" t="s">
        <v>79</v>
      </c>
      <c r="G435" s="22507">
        <v>30</v>
      </c>
      <c r="H435" s="22508">
        <v>27</v>
      </c>
      <c r="I435" s="22509">
        <f t="shared" si="13"/>
        <v>810</v>
      </c>
      <c r="J435" s="22510" t="s">
        <v>852</v>
      </c>
      <c r="K435" s="22511" t="s">
        <v>913</v>
      </c>
    </row>
    <row r="436" spans="1:11" ht="13.8">
      <c r="A436" s="22512" t="str">
        <f t="shared" si="12"/>
        <v>TK-00435</v>
      </c>
      <c r="B436" s="22513">
        <v>24</v>
      </c>
      <c r="C436" s="22514">
        <v>46185</v>
      </c>
      <c r="D436" s="22515" t="s">
        <v>3</v>
      </c>
      <c r="E436" s="22516" t="s">
        <v>912</v>
      </c>
      <c r="F436" s="22517" t="s">
        <v>81</v>
      </c>
      <c r="G436" s="22518">
        <v>50</v>
      </c>
      <c r="H436" s="22519">
        <v>27</v>
      </c>
      <c r="I436" s="22520">
        <f t="shared" si="13"/>
        <v>1350</v>
      </c>
      <c r="J436" s="22521" t="s">
        <v>852</v>
      </c>
      <c r="K436" s="22522" t="s">
        <v>913</v>
      </c>
    </row>
    <row r="437" spans="1:11" ht="13.8">
      <c r="A437" s="22523" t="str">
        <f t="shared" si="12"/>
        <v>TK-00436</v>
      </c>
      <c r="B437" s="22524">
        <v>24</v>
      </c>
      <c r="C437" s="22525">
        <v>46185</v>
      </c>
      <c r="D437" s="22526" t="s">
        <v>3</v>
      </c>
      <c r="E437" s="22527" t="s">
        <v>912</v>
      </c>
      <c r="F437" s="22528" t="s">
        <v>86</v>
      </c>
      <c r="G437" s="22529">
        <v>120</v>
      </c>
      <c r="H437" s="22530">
        <v>27</v>
      </c>
      <c r="I437" s="22531">
        <f t="shared" si="13"/>
        <v>3240</v>
      </c>
      <c r="J437" s="22532" t="s">
        <v>852</v>
      </c>
      <c r="K437" s="22533" t="s">
        <v>913</v>
      </c>
    </row>
    <row r="438" spans="1:11" ht="13.8">
      <c r="A438" s="22534" t="str">
        <f t="shared" si="12"/>
        <v>TK-00437</v>
      </c>
      <c r="B438" s="22535">
        <v>24</v>
      </c>
      <c r="C438" s="22536">
        <v>46185</v>
      </c>
      <c r="D438" s="22537" t="s">
        <v>3</v>
      </c>
      <c r="E438" s="22538" t="s">
        <v>912</v>
      </c>
      <c r="F438" s="22539" t="s">
        <v>92</v>
      </c>
      <c r="G438" s="22540">
        <v>40</v>
      </c>
      <c r="H438" s="22541">
        <v>27</v>
      </c>
      <c r="I438" s="22542">
        <f t="shared" si="13"/>
        <v>1080</v>
      </c>
      <c r="J438" s="22543" t="s">
        <v>852</v>
      </c>
      <c r="K438" s="22544" t="s">
        <v>913</v>
      </c>
    </row>
    <row r="439" spans="1:11" ht="13.8">
      <c r="A439" s="22545" t="str">
        <f t="shared" si="12"/>
        <v>TK-00438</v>
      </c>
      <c r="B439" s="22546">
        <v>24</v>
      </c>
      <c r="C439" s="22547">
        <v>46185</v>
      </c>
      <c r="D439" s="22548" t="s">
        <v>3</v>
      </c>
      <c r="E439" s="22549" t="s">
        <v>912</v>
      </c>
      <c r="F439" s="22550" t="s">
        <v>76</v>
      </c>
      <c r="G439" s="22551">
        <v>200</v>
      </c>
      <c r="H439" s="22552">
        <v>27</v>
      </c>
      <c r="I439" s="22553">
        <f t="shared" si="13"/>
        <v>5400</v>
      </c>
      <c r="J439" s="22554" t="s">
        <v>852</v>
      </c>
      <c r="K439" s="22555" t="s">
        <v>913</v>
      </c>
    </row>
    <row r="440" spans="1:11" ht="13.8">
      <c r="A440" s="22556" t="str">
        <f t="shared" si="12"/>
        <v>TK-00439</v>
      </c>
      <c r="B440" s="22557">
        <v>24</v>
      </c>
      <c r="C440" s="22558">
        <v>46185</v>
      </c>
      <c r="D440" s="22559" t="s">
        <v>1</v>
      </c>
      <c r="E440" s="22560" t="s">
        <v>912</v>
      </c>
      <c r="F440" s="22561" t="s">
        <v>70</v>
      </c>
      <c r="G440" s="22562">
        <v>20</v>
      </c>
      <c r="H440" s="22563">
        <v>27</v>
      </c>
      <c r="I440" s="22564">
        <f t="shared" si="13"/>
        <v>540</v>
      </c>
      <c r="J440" s="22565" t="s">
        <v>852</v>
      </c>
      <c r="K440" s="22566" t="s">
        <v>913</v>
      </c>
    </row>
    <row r="441" spans="1:11" ht="13.8">
      <c r="A441" s="22567" t="str">
        <f t="shared" si="12"/>
        <v>TK-00440</v>
      </c>
      <c r="B441" s="22568">
        <v>24</v>
      </c>
      <c r="C441" s="22569">
        <v>46185</v>
      </c>
      <c r="D441" s="22570" t="s">
        <v>1</v>
      </c>
      <c r="E441" s="22571" t="s">
        <v>912</v>
      </c>
      <c r="F441" s="22572" t="s">
        <v>85</v>
      </c>
      <c r="G441" s="22573">
        <v>30</v>
      </c>
      <c r="H441" s="22574">
        <v>27</v>
      </c>
      <c r="I441" s="22575">
        <f t="shared" si="13"/>
        <v>810</v>
      </c>
      <c r="J441" s="22576" t="s">
        <v>852</v>
      </c>
      <c r="K441" s="22577" t="s">
        <v>913</v>
      </c>
    </row>
    <row r="442" spans="1:11" ht="13.8">
      <c r="A442" s="22578" t="str">
        <f t="shared" si="12"/>
        <v>TK-00441</v>
      </c>
      <c r="B442" s="22579">
        <v>24</v>
      </c>
      <c r="C442" s="22580">
        <v>46185</v>
      </c>
      <c r="D442" s="22581" t="s">
        <v>1</v>
      </c>
      <c r="E442" s="22582" t="s">
        <v>912</v>
      </c>
      <c r="F442" s="22583" t="s">
        <v>96</v>
      </c>
      <c r="G442" s="22584">
        <v>20</v>
      </c>
      <c r="H442" s="22585">
        <v>27</v>
      </c>
      <c r="I442" s="22586">
        <f t="shared" si="13"/>
        <v>540</v>
      </c>
      <c r="J442" s="22587" t="s">
        <v>852</v>
      </c>
      <c r="K442" s="22588" t="s">
        <v>913</v>
      </c>
    </row>
    <row r="443" spans="1:11" ht="13.8">
      <c r="A443" s="22589" t="str">
        <f t="shared" si="12"/>
        <v>TK-00442</v>
      </c>
      <c r="B443" s="22590">
        <v>24</v>
      </c>
      <c r="C443" s="22591">
        <v>46185</v>
      </c>
      <c r="D443" s="22592" t="s">
        <v>1</v>
      </c>
      <c r="E443" s="22593" t="s">
        <v>912</v>
      </c>
      <c r="F443" s="22594" t="s">
        <v>48</v>
      </c>
      <c r="G443" s="22595">
        <v>40</v>
      </c>
      <c r="H443" s="22596">
        <v>27</v>
      </c>
      <c r="I443" s="22597">
        <f t="shared" si="13"/>
        <v>1080</v>
      </c>
      <c r="J443" s="22598" t="s">
        <v>852</v>
      </c>
      <c r="K443" s="22599" t="s">
        <v>913</v>
      </c>
    </row>
    <row r="444" spans="1:11" ht="13.8">
      <c r="A444" s="22600" t="str">
        <f t="shared" si="12"/>
        <v>TK-00443</v>
      </c>
      <c r="B444" s="22601">
        <v>24</v>
      </c>
      <c r="C444" s="22602">
        <v>46185</v>
      </c>
      <c r="D444" s="22603" t="s">
        <v>1</v>
      </c>
      <c r="E444" s="22604" t="s">
        <v>912</v>
      </c>
      <c r="F444" s="22605" t="s">
        <v>69</v>
      </c>
      <c r="G444" s="22606">
        <v>250</v>
      </c>
      <c r="H444" s="22607">
        <v>27</v>
      </c>
      <c r="I444" s="22608">
        <f t="shared" si="13"/>
        <v>6750</v>
      </c>
      <c r="J444" s="22609" t="s">
        <v>852</v>
      </c>
      <c r="K444" s="22610" t="s">
        <v>913</v>
      </c>
    </row>
    <row r="445" spans="1:11" ht="13.8">
      <c r="A445" s="22611" t="str">
        <f t="shared" si="12"/>
        <v>TK-00444</v>
      </c>
      <c r="B445" s="22612">
        <v>25</v>
      </c>
      <c r="C445" s="22613">
        <v>46188</v>
      </c>
      <c r="D445" s="22614" t="s">
        <v>1</v>
      </c>
      <c r="E445" s="22615" t="s">
        <v>912</v>
      </c>
      <c r="F445" s="22616" t="s">
        <v>386</v>
      </c>
      <c r="G445" s="22617">
        <v>200</v>
      </c>
      <c r="H445" s="22618">
        <v>27</v>
      </c>
      <c r="I445" s="22619">
        <f t="shared" si="13"/>
        <v>5400</v>
      </c>
      <c r="J445" s="22620" t="s">
        <v>852</v>
      </c>
      <c r="K445" s="22621" t="s">
        <v>913</v>
      </c>
    </row>
    <row r="446" spans="1:11" ht="13.8">
      <c r="A446" s="22622" t="str">
        <f t="shared" si="12"/>
        <v>TK-00445</v>
      </c>
      <c r="B446" s="22623">
        <v>25</v>
      </c>
      <c r="C446" s="22624">
        <v>46188</v>
      </c>
      <c r="D446" s="22625" t="s">
        <v>1</v>
      </c>
      <c r="E446" s="22626" t="s">
        <v>912</v>
      </c>
      <c r="F446" s="22627" t="s">
        <v>228</v>
      </c>
      <c r="G446" s="22628">
        <v>40</v>
      </c>
      <c r="H446" s="22629">
        <v>27</v>
      </c>
      <c r="I446" s="22630">
        <f t="shared" si="13"/>
        <v>1080</v>
      </c>
      <c r="J446" s="22631" t="s">
        <v>852</v>
      </c>
      <c r="K446" s="22632" t="s">
        <v>913</v>
      </c>
    </row>
    <row r="447" spans="1:11" ht="13.8">
      <c r="A447" s="22633" t="str">
        <f t="shared" si="12"/>
        <v>TK-00446</v>
      </c>
      <c r="B447" s="22634">
        <v>25</v>
      </c>
      <c r="C447" s="22635">
        <v>46188</v>
      </c>
      <c r="D447" s="22636" t="s">
        <v>1</v>
      </c>
      <c r="E447" s="22637" t="s">
        <v>912</v>
      </c>
      <c r="F447" s="22638" t="s">
        <v>221</v>
      </c>
      <c r="G447" s="22639">
        <v>30</v>
      </c>
      <c r="H447" s="22640">
        <v>27</v>
      </c>
      <c r="I447" s="22641">
        <f t="shared" si="13"/>
        <v>810</v>
      </c>
      <c r="J447" s="22642" t="s">
        <v>852</v>
      </c>
      <c r="K447" s="22643" t="s">
        <v>913</v>
      </c>
    </row>
    <row r="448" spans="1:11" ht="13.8">
      <c r="A448" s="22644" t="str">
        <f t="shared" si="12"/>
        <v>TK-00447</v>
      </c>
      <c r="B448" s="22645">
        <v>25</v>
      </c>
      <c r="C448" s="22646">
        <v>46188</v>
      </c>
      <c r="D448" s="22647" t="s">
        <v>1</v>
      </c>
      <c r="E448" s="22648" t="s">
        <v>912</v>
      </c>
      <c r="F448" s="22649" t="s">
        <v>224</v>
      </c>
      <c r="G448" s="22650">
        <v>50</v>
      </c>
      <c r="H448" s="22651">
        <v>27</v>
      </c>
      <c r="I448" s="22652">
        <f t="shared" si="13"/>
        <v>1350</v>
      </c>
      <c r="J448" s="22653" t="s">
        <v>852</v>
      </c>
      <c r="K448" s="22654" t="s">
        <v>913</v>
      </c>
    </row>
    <row r="449" spans="1:11" ht="13.8">
      <c r="A449" s="22655" t="str">
        <f t="shared" si="12"/>
        <v>TK-00448</v>
      </c>
      <c r="B449" s="22656">
        <v>25</v>
      </c>
      <c r="C449" s="22657">
        <v>46188</v>
      </c>
      <c r="D449" s="22658" t="s">
        <v>2</v>
      </c>
      <c r="E449" s="22659" t="s">
        <v>912</v>
      </c>
      <c r="F449" s="22660" t="s">
        <v>365</v>
      </c>
      <c r="G449" s="22661">
        <v>73</v>
      </c>
      <c r="H449" s="22662">
        <v>27</v>
      </c>
      <c r="I449" s="22663">
        <f t="shared" si="13"/>
        <v>1971</v>
      </c>
      <c r="J449" s="22664" t="s">
        <v>852</v>
      </c>
      <c r="K449" s="22665" t="s">
        <v>913</v>
      </c>
    </row>
    <row r="450" spans="1:11" ht="13.8">
      <c r="A450" s="22666" t="str">
        <f t="shared" ref="A450:A513" si="14">"TK-"&amp;TEXT(ROW()-1, "00000")</f>
        <v>TK-00449</v>
      </c>
      <c r="B450" s="22667">
        <v>25</v>
      </c>
      <c r="C450" s="22668">
        <v>46188</v>
      </c>
      <c r="D450" s="22669" t="s">
        <v>1</v>
      </c>
      <c r="E450" s="22670" t="s">
        <v>912</v>
      </c>
      <c r="F450" s="22671" t="s">
        <v>368</v>
      </c>
      <c r="G450" s="22672">
        <v>99</v>
      </c>
      <c r="H450" s="22673">
        <v>27</v>
      </c>
      <c r="I450" s="22674">
        <f t="shared" ref="I450:I513" si="15">G450*H450</f>
        <v>2673</v>
      </c>
      <c r="J450" s="22675" t="s">
        <v>852</v>
      </c>
      <c r="K450" s="22676" t="s">
        <v>913</v>
      </c>
    </row>
    <row r="451" spans="1:11" ht="13.8">
      <c r="A451" s="22677" t="str">
        <f t="shared" si="14"/>
        <v>TK-00450</v>
      </c>
      <c r="B451" s="22678">
        <v>25</v>
      </c>
      <c r="C451" s="22679">
        <v>46188</v>
      </c>
      <c r="D451" s="22680" t="s">
        <v>1</v>
      </c>
      <c r="E451" s="22681" t="s">
        <v>912</v>
      </c>
      <c r="F451" s="22682" t="s">
        <v>383</v>
      </c>
      <c r="G451" s="22683">
        <v>50</v>
      </c>
      <c r="H451" s="22684">
        <v>27</v>
      </c>
      <c r="I451" s="22685">
        <f t="shared" si="15"/>
        <v>1350</v>
      </c>
      <c r="J451" s="22686" t="s">
        <v>852</v>
      </c>
      <c r="K451" s="22687" t="s">
        <v>913</v>
      </c>
    </row>
    <row r="452" spans="1:11" ht="13.8">
      <c r="A452" s="22688" t="str">
        <f t="shared" si="14"/>
        <v>TK-00451</v>
      </c>
      <c r="B452" s="22689">
        <v>25</v>
      </c>
      <c r="C452" s="22690">
        <v>46188</v>
      </c>
      <c r="D452" s="22691" t="s">
        <v>111</v>
      </c>
      <c r="E452" s="22692" t="s">
        <v>912</v>
      </c>
      <c r="F452" s="22693" t="s">
        <v>112</v>
      </c>
      <c r="G452" s="22694">
        <v>70</v>
      </c>
      <c r="H452" s="22695">
        <v>27</v>
      </c>
      <c r="I452" s="22696">
        <f t="shared" si="15"/>
        <v>1890</v>
      </c>
      <c r="J452" s="22697" t="s">
        <v>852</v>
      </c>
      <c r="K452" s="22698" t="s">
        <v>913</v>
      </c>
    </row>
    <row r="453" spans="1:11" ht="13.8">
      <c r="A453" s="22699" t="str">
        <f t="shared" si="14"/>
        <v>TK-00452</v>
      </c>
      <c r="B453" s="22700">
        <v>25</v>
      </c>
      <c r="C453" s="22701">
        <v>46188</v>
      </c>
      <c r="D453" s="22702" t="s">
        <v>2</v>
      </c>
      <c r="E453" s="22703" t="s">
        <v>912</v>
      </c>
      <c r="F453" s="22704" t="s">
        <v>221</v>
      </c>
      <c r="G453" s="22705">
        <v>24</v>
      </c>
      <c r="H453" s="22706">
        <v>27</v>
      </c>
      <c r="I453" s="22707">
        <f t="shared" si="15"/>
        <v>648</v>
      </c>
      <c r="J453" s="22708" t="s">
        <v>852</v>
      </c>
      <c r="K453" s="22709" t="s">
        <v>913</v>
      </c>
    </row>
    <row r="454" spans="1:11" ht="13.8">
      <c r="A454" s="22710" t="str">
        <f t="shared" si="14"/>
        <v>TK-00453</v>
      </c>
      <c r="B454" s="22711">
        <v>25</v>
      </c>
      <c r="C454" s="22712">
        <v>46188</v>
      </c>
      <c r="D454" s="22713" t="s">
        <v>400</v>
      </c>
      <c r="E454" s="22714" t="s">
        <v>912</v>
      </c>
      <c r="F454" s="22715" t="s">
        <v>117</v>
      </c>
      <c r="G454" s="22716">
        <v>265</v>
      </c>
      <c r="H454" s="22717">
        <v>27</v>
      </c>
      <c r="I454" s="22718">
        <f t="shared" si="15"/>
        <v>7155</v>
      </c>
      <c r="J454" s="22719" t="s">
        <v>852</v>
      </c>
      <c r="K454" s="22720" t="s">
        <v>913</v>
      </c>
    </row>
    <row r="455" spans="1:11" ht="13.8">
      <c r="A455" s="22721" t="str">
        <f t="shared" si="14"/>
        <v>TK-00454</v>
      </c>
      <c r="B455" s="22722">
        <v>25</v>
      </c>
      <c r="C455" s="22723">
        <v>46188</v>
      </c>
      <c r="D455" s="22724" t="s">
        <v>111</v>
      </c>
      <c r="E455" s="22725" t="s">
        <v>912</v>
      </c>
      <c r="F455" s="22726" t="s">
        <v>220</v>
      </c>
      <c r="G455" s="22727">
        <v>33</v>
      </c>
      <c r="H455" s="22728">
        <v>27</v>
      </c>
      <c r="I455" s="22729">
        <f t="shared" si="15"/>
        <v>891</v>
      </c>
      <c r="J455" s="22730" t="s">
        <v>852</v>
      </c>
      <c r="K455" s="22731" t="s">
        <v>913</v>
      </c>
    </row>
    <row r="456" spans="1:11" ht="13.8">
      <c r="A456" s="22732" t="str">
        <f t="shared" si="14"/>
        <v>TK-00455</v>
      </c>
      <c r="B456" s="22733">
        <v>25</v>
      </c>
      <c r="C456" s="22734">
        <v>46188</v>
      </c>
      <c r="D456" s="22735" t="s">
        <v>2</v>
      </c>
      <c r="E456" s="22736" t="s">
        <v>912</v>
      </c>
      <c r="F456" s="22737" t="s">
        <v>383</v>
      </c>
      <c r="G456" s="22738">
        <v>60</v>
      </c>
      <c r="H456" s="22739">
        <v>27</v>
      </c>
      <c r="I456" s="22740">
        <f t="shared" si="15"/>
        <v>1620</v>
      </c>
      <c r="J456" s="22741" t="s">
        <v>852</v>
      </c>
      <c r="K456" s="22742" t="s">
        <v>913</v>
      </c>
    </row>
    <row r="457" spans="1:11" ht="13.8">
      <c r="A457" s="22743" t="str">
        <f t="shared" si="14"/>
        <v>TK-00456</v>
      </c>
      <c r="B457" s="22744">
        <v>25</v>
      </c>
      <c r="C457" s="22745">
        <v>46188</v>
      </c>
      <c r="D457" s="22746" t="s">
        <v>2</v>
      </c>
      <c r="E457" s="22747" t="s">
        <v>912</v>
      </c>
      <c r="F457" s="22748" t="s">
        <v>217</v>
      </c>
      <c r="G457" s="22749">
        <v>52</v>
      </c>
      <c r="H457" s="22750">
        <v>27</v>
      </c>
      <c r="I457" s="22751">
        <f t="shared" si="15"/>
        <v>1404</v>
      </c>
      <c r="J457" s="22752" t="s">
        <v>852</v>
      </c>
      <c r="K457" s="22753" t="s">
        <v>913</v>
      </c>
    </row>
    <row r="458" spans="1:11" ht="13.8">
      <c r="A458" s="22754" t="str">
        <f t="shared" si="14"/>
        <v>TK-00457</v>
      </c>
      <c r="B458" s="22755">
        <v>25</v>
      </c>
      <c r="C458" s="22756">
        <v>46188</v>
      </c>
      <c r="D458" s="22757" t="s">
        <v>2</v>
      </c>
      <c r="E458" s="22758" t="s">
        <v>912</v>
      </c>
      <c r="F458" s="22759" t="s">
        <v>102</v>
      </c>
      <c r="G458" s="22760">
        <v>25</v>
      </c>
      <c r="H458" s="22761">
        <v>27</v>
      </c>
      <c r="I458" s="22762">
        <f t="shared" si="15"/>
        <v>675</v>
      </c>
      <c r="J458" s="22763" t="s">
        <v>852</v>
      </c>
      <c r="K458" s="22764" t="s">
        <v>913</v>
      </c>
    </row>
    <row r="459" spans="1:11" ht="13.8">
      <c r="A459" s="22765" t="str">
        <f t="shared" si="14"/>
        <v>TK-00458</v>
      </c>
      <c r="B459" s="22766">
        <v>25</v>
      </c>
      <c r="C459" s="22767">
        <v>46188</v>
      </c>
      <c r="D459" s="22768" t="s">
        <v>2</v>
      </c>
      <c r="E459" s="22769" t="s">
        <v>912</v>
      </c>
      <c r="F459" s="22770" t="s">
        <v>228</v>
      </c>
      <c r="G459" s="22771">
        <v>55</v>
      </c>
      <c r="H459" s="22772">
        <v>27</v>
      </c>
      <c r="I459" s="22773">
        <f t="shared" si="15"/>
        <v>1485</v>
      </c>
      <c r="J459" s="22774" t="s">
        <v>852</v>
      </c>
      <c r="K459" s="22775" t="s">
        <v>913</v>
      </c>
    </row>
    <row r="460" spans="1:11" ht="13.8">
      <c r="A460" s="22776" t="str">
        <f t="shared" si="14"/>
        <v>TK-00459</v>
      </c>
      <c r="B460" s="22777">
        <v>25</v>
      </c>
      <c r="C460" s="22778">
        <v>46188</v>
      </c>
      <c r="D460" s="22779" t="s">
        <v>111</v>
      </c>
      <c r="E460" s="22780" t="s">
        <v>912</v>
      </c>
      <c r="F460" s="22781" t="s">
        <v>215</v>
      </c>
      <c r="G460" s="22782">
        <v>200</v>
      </c>
      <c r="H460" s="22783">
        <v>27</v>
      </c>
      <c r="I460" s="22784">
        <f t="shared" si="15"/>
        <v>5400</v>
      </c>
      <c r="J460" s="22785" t="s">
        <v>852</v>
      </c>
      <c r="K460" s="22786" t="s">
        <v>913</v>
      </c>
    </row>
    <row r="461" spans="1:11" ht="13.8">
      <c r="A461" s="22787" t="str">
        <f t="shared" si="14"/>
        <v>TK-00460</v>
      </c>
      <c r="B461" s="22788">
        <v>25</v>
      </c>
      <c r="C461" s="22789">
        <v>46188</v>
      </c>
      <c r="D461" s="22790" t="s">
        <v>124</v>
      </c>
      <c r="E461" s="22791" t="s">
        <v>912</v>
      </c>
      <c r="F461" s="22792" t="s">
        <v>240</v>
      </c>
      <c r="G461" s="22793">
        <v>300</v>
      </c>
      <c r="H461" s="22794">
        <v>27</v>
      </c>
      <c r="I461" s="22795">
        <f t="shared" si="15"/>
        <v>8100</v>
      </c>
      <c r="J461" s="22796" t="s">
        <v>852</v>
      </c>
      <c r="K461" s="22797" t="s">
        <v>913</v>
      </c>
    </row>
    <row r="462" spans="1:11" ht="13.8">
      <c r="A462" s="22798" t="str">
        <f t="shared" si="14"/>
        <v>TK-00461</v>
      </c>
      <c r="B462" s="22799">
        <v>25</v>
      </c>
      <c r="C462" s="22800">
        <v>46188</v>
      </c>
      <c r="D462" s="22801" t="s">
        <v>124</v>
      </c>
      <c r="E462" s="22802" t="s">
        <v>912</v>
      </c>
      <c r="F462" s="22803" t="s">
        <v>245</v>
      </c>
      <c r="G462" s="22804">
        <v>100</v>
      </c>
      <c r="H462" s="22805">
        <v>27</v>
      </c>
      <c r="I462" s="22806">
        <f t="shared" si="15"/>
        <v>2700</v>
      </c>
      <c r="J462" s="22807" t="s">
        <v>852</v>
      </c>
      <c r="K462" s="22808" t="s">
        <v>913</v>
      </c>
    </row>
    <row r="463" spans="1:11" ht="13.8">
      <c r="A463" s="22809" t="str">
        <f t="shared" si="14"/>
        <v>TK-00462</v>
      </c>
      <c r="B463" s="22810">
        <v>25</v>
      </c>
      <c r="C463" s="22811">
        <v>46188</v>
      </c>
      <c r="D463" s="22812" t="s">
        <v>124</v>
      </c>
      <c r="E463" s="22813" t="s">
        <v>912</v>
      </c>
      <c r="F463" s="22814" t="s">
        <v>798</v>
      </c>
      <c r="G463" s="22815">
        <v>400</v>
      </c>
      <c r="H463" s="22816">
        <v>27</v>
      </c>
      <c r="I463" s="22817">
        <f t="shared" si="15"/>
        <v>10800</v>
      </c>
      <c r="J463" s="22818" t="s">
        <v>852</v>
      </c>
      <c r="K463" s="22819" t="s">
        <v>913</v>
      </c>
    </row>
    <row r="464" spans="1:11" ht="13.8">
      <c r="A464" s="22820" t="str">
        <f t="shared" si="14"/>
        <v>TK-00463</v>
      </c>
      <c r="B464" s="22821">
        <v>25</v>
      </c>
      <c r="C464" s="22822">
        <v>46189</v>
      </c>
      <c r="D464" s="22823" t="s">
        <v>1</v>
      </c>
      <c r="E464" s="22824" t="s">
        <v>912</v>
      </c>
      <c r="F464" s="22825" t="s">
        <v>386</v>
      </c>
      <c r="G464" s="22826">
        <v>200</v>
      </c>
      <c r="H464" s="22827">
        <v>27</v>
      </c>
      <c r="I464" s="22828">
        <f t="shared" si="15"/>
        <v>5400</v>
      </c>
      <c r="J464" s="22829" t="s">
        <v>852</v>
      </c>
      <c r="K464" s="22830" t="s">
        <v>913</v>
      </c>
    </row>
    <row r="465" spans="1:11" ht="13.8">
      <c r="A465" s="22831" t="str">
        <f t="shared" si="14"/>
        <v>TK-00464</v>
      </c>
      <c r="B465" s="22832">
        <v>25</v>
      </c>
      <c r="C465" s="22833">
        <v>46189</v>
      </c>
      <c r="D465" s="22834" t="s">
        <v>1</v>
      </c>
      <c r="E465" s="22835" t="s">
        <v>912</v>
      </c>
      <c r="F465" s="22836" t="s">
        <v>221</v>
      </c>
      <c r="G465" s="22837">
        <v>32</v>
      </c>
      <c r="H465" s="22838">
        <v>27</v>
      </c>
      <c r="I465" s="22839">
        <f t="shared" si="15"/>
        <v>864</v>
      </c>
      <c r="J465" s="22840" t="s">
        <v>852</v>
      </c>
      <c r="K465" s="22841" t="s">
        <v>913</v>
      </c>
    </row>
    <row r="466" spans="1:11" ht="13.8">
      <c r="A466" s="22842" t="str">
        <f t="shared" si="14"/>
        <v>TK-00465</v>
      </c>
      <c r="B466" s="22843">
        <v>25</v>
      </c>
      <c r="C466" s="22844">
        <v>46189</v>
      </c>
      <c r="D466" s="22845" t="s">
        <v>1</v>
      </c>
      <c r="E466" s="22846" t="s">
        <v>912</v>
      </c>
      <c r="F466" s="22847" t="s">
        <v>224</v>
      </c>
      <c r="G466" s="22848">
        <v>30</v>
      </c>
      <c r="H466" s="22849">
        <v>27</v>
      </c>
      <c r="I466" s="22850">
        <f t="shared" si="15"/>
        <v>810</v>
      </c>
      <c r="J466" s="22851" t="s">
        <v>852</v>
      </c>
      <c r="K466" s="22852" t="s">
        <v>913</v>
      </c>
    </row>
    <row r="467" spans="1:11" ht="13.8">
      <c r="A467" s="22853" t="str">
        <f t="shared" si="14"/>
        <v>TK-00466</v>
      </c>
      <c r="B467" s="22854">
        <v>25</v>
      </c>
      <c r="C467" s="22855">
        <v>46189</v>
      </c>
      <c r="D467" s="22856" t="s">
        <v>1</v>
      </c>
      <c r="E467" s="22857" t="s">
        <v>912</v>
      </c>
      <c r="F467" s="22858" t="s">
        <v>216</v>
      </c>
      <c r="G467" s="22859">
        <v>30</v>
      </c>
      <c r="H467" s="22860">
        <v>27</v>
      </c>
      <c r="I467" s="22861">
        <f t="shared" si="15"/>
        <v>810</v>
      </c>
      <c r="J467" s="22862" t="s">
        <v>852</v>
      </c>
      <c r="K467" s="22863" t="s">
        <v>913</v>
      </c>
    </row>
    <row r="468" spans="1:11" ht="13.8">
      <c r="A468" s="22864" t="str">
        <f t="shared" si="14"/>
        <v>TK-00467</v>
      </c>
      <c r="B468" s="22865">
        <v>25</v>
      </c>
      <c r="C468" s="22866">
        <v>46189</v>
      </c>
      <c r="D468" s="22867" t="s">
        <v>1</v>
      </c>
      <c r="E468" s="22868" t="s">
        <v>912</v>
      </c>
      <c r="F468" s="22869" t="s">
        <v>368</v>
      </c>
      <c r="G468" s="22870">
        <v>107</v>
      </c>
      <c r="H468" s="22871">
        <v>27</v>
      </c>
      <c r="I468" s="22872">
        <f t="shared" si="15"/>
        <v>2889</v>
      </c>
      <c r="J468" s="22873" t="s">
        <v>852</v>
      </c>
      <c r="K468" s="22874" t="s">
        <v>913</v>
      </c>
    </row>
    <row r="469" spans="1:11" ht="13.8">
      <c r="A469" s="22875" t="str">
        <f t="shared" si="14"/>
        <v>TK-00468</v>
      </c>
      <c r="B469" s="22876">
        <v>25</v>
      </c>
      <c r="C469" s="22877">
        <v>46189</v>
      </c>
      <c r="D469" s="22878" t="s">
        <v>1</v>
      </c>
      <c r="E469" s="22879" t="s">
        <v>912</v>
      </c>
      <c r="F469" s="22880" t="s">
        <v>228</v>
      </c>
      <c r="G469" s="22881">
        <v>40</v>
      </c>
      <c r="H469" s="22882">
        <v>27</v>
      </c>
      <c r="I469" s="22883">
        <f t="shared" si="15"/>
        <v>1080</v>
      </c>
      <c r="J469" s="22884" t="s">
        <v>852</v>
      </c>
      <c r="K469" s="22885" t="s">
        <v>913</v>
      </c>
    </row>
    <row r="470" spans="1:11" ht="13.8">
      <c r="A470" s="22886" t="str">
        <f t="shared" si="14"/>
        <v>TK-00469</v>
      </c>
      <c r="B470" s="22887">
        <v>25</v>
      </c>
      <c r="C470" s="22888">
        <v>46189</v>
      </c>
      <c r="D470" s="22889" t="s">
        <v>1</v>
      </c>
      <c r="E470" s="22890" t="s">
        <v>912</v>
      </c>
      <c r="F470" s="22891" t="s">
        <v>383</v>
      </c>
      <c r="G470" s="22892">
        <v>50</v>
      </c>
      <c r="H470" s="22893">
        <v>27</v>
      </c>
      <c r="I470" s="22894">
        <f t="shared" si="15"/>
        <v>1350</v>
      </c>
      <c r="J470" s="22895" t="s">
        <v>852</v>
      </c>
      <c r="K470" s="22896" t="s">
        <v>913</v>
      </c>
    </row>
    <row r="471" spans="1:11" ht="13.8">
      <c r="A471" s="22897" t="str">
        <f t="shared" si="14"/>
        <v>TK-00470</v>
      </c>
      <c r="B471" s="22898">
        <v>25</v>
      </c>
      <c r="C471" s="22899">
        <v>46189</v>
      </c>
      <c r="D471" s="22900" t="s">
        <v>2</v>
      </c>
      <c r="E471" s="22901" t="s">
        <v>912</v>
      </c>
      <c r="F471" s="22902" t="s">
        <v>235</v>
      </c>
      <c r="G471" s="22903">
        <v>50</v>
      </c>
      <c r="H471" s="22904">
        <v>27</v>
      </c>
      <c r="I471" s="22905">
        <f t="shared" si="15"/>
        <v>1350</v>
      </c>
      <c r="J471" s="22906" t="s">
        <v>852</v>
      </c>
      <c r="K471" s="22907" t="s">
        <v>913</v>
      </c>
    </row>
    <row r="472" spans="1:11" ht="13.8">
      <c r="A472" s="22908" t="str">
        <f t="shared" si="14"/>
        <v>TK-00471</v>
      </c>
      <c r="B472" s="22909">
        <v>25</v>
      </c>
      <c r="C472" s="22910">
        <v>46189</v>
      </c>
      <c r="D472" s="22911" t="s">
        <v>400</v>
      </c>
      <c r="E472" s="22912" t="s">
        <v>912</v>
      </c>
      <c r="F472" s="22913" t="s">
        <v>383</v>
      </c>
      <c r="G472" s="22914">
        <v>50</v>
      </c>
      <c r="H472" s="22915">
        <v>27</v>
      </c>
      <c r="I472" s="22916">
        <f t="shared" si="15"/>
        <v>1350</v>
      </c>
      <c r="J472" s="22917" t="s">
        <v>852</v>
      </c>
      <c r="K472" s="22918" t="s">
        <v>913</v>
      </c>
    </row>
    <row r="473" spans="1:11" ht="13.8">
      <c r="A473" s="22919" t="str">
        <f t="shared" si="14"/>
        <v>TK-00472</v>
      </c>
      <c r="B473" s="22920">
        <v>25</v>
      </c>
      <c r="C473" s="22921">
        <v>46189</v>
      </c>
      <c r="D473" s="22922" t="s">
        <v>400</v>
      </c>
      <c r="E473" s="22923" t="s">
        <v>912</v>
      </c>
      <c r="F473" s="22924" t="s">
        <v>112</v>
      </c>
      <c r="G473" s="22925">
        <v>1001</v>
      </c>
      <c r="H473" s="22926">
        <v>27</v>
      </c>
      <c r="I473" s="22927">
        <f t="shared" si="15"/>
        <v>27027</v>
      </c>
      <c r="J473" s="22928" t="s">
        <v>852</v>
      </c>
      <c r="K473" s="22929" t="s">
        <v>913</v>
      </c>
    </row>
    <row r="474" spans="1:11" ht="13.8">
      <c r="A474" s="22930" t="str">
        <f t="shared" si="14"/>
        <v>TK-00473</v>
      </c>
      <c r="B474" s="22931">
        <v>25</v>
      </c>
      <c r="C474" s="22932">
        <v>46189</v>
      </c>
      <c r="D474" s="22933" t="s">
        <v>2</v>
      </c>
      <c r="E474" s="22934" t="s">
        <v>912</v>
      </c>
      <c r="F474" s="22935" t="s">
        <v>214</v>
      </c>
      <c r="G474" s="22936">
        <v>350</v>
      </c>
      <c r="H474" s="22937">
        <v>27</v>
      </c>
      <c r="I474" s="22938">
        <f t="shared" si="15"/>
        <v>9450</v>
      </c>
      <c r="J474" s="22939" t="s">
        <v>852</v>
      </c>
      <c r="K474" s="22940" t="s">
        <v>913</v>
      </c>
    </row>
    <row r="475" spans="1:11" ht="13.8">
      <c r="A475" s="22941" t="str">
        <f t="shared" si="14"/>
        <v>TK-00474</v>
      </c>
      <c r="B475" s="22942">
        <v>25</v>
      </c>
      <c r="C475" s="22943">
        <v>46189</v>
      </c>
      <c r="D475" s="22944" t="s">
        <v>111</v>
      </c>
      <c r="E475" s="22945" t="s">
        <v>912</v>
      </c>
      <c r="F475" s="22946" t="s">
        <v>214</v>
      </c>
      <c r="G475" s="22947">
        <v>200</v>
      </c>
      <c r="H475" s="22948">
        <v>27</v>
      </c>
      <c r="I475" s="22949">
        <f t="shared" si="15"/>
        <v>5400</v>
      </c>
      <c r="J475" s="22950" t="s">
        <v>852</v>
      </c>
      <c r="K475" s="22951" t="s">
        <v>913</v>
      </c>
    </row>
    <row r="476" spans="1:11" ht="13.8">
      <c r="A476" s="22952" t="str">
        <f t="shared" si="14"/>
        <v>TK-00475</v>
      </c>
      <c r="B476" s="22953">
        <v>25</v>
      </c>
      <c r="C476" s="22954">
        <v>46189</v>
      </c>
      <c r="D476" s="22955" t="s">
        <v>2</v>
      </c>
      <c r="E476" s="22956" t="s">
        <v>912</v>
      </c>
      <c r="F476" s="22957" t="s">
        <v>235</v>
      </c>
      <c r="G476" s="22958">
        <v>50</v>
      </c>
      <c r="H476" s="22959">
        <v>27</v>
      </c>
      <c r="I476" s="22960">
        <f t="shared" si="15"/>
        <v>1350</v>
      </c>
      <c r="J476" s="22961" t="s">
        <v>852</v>
      </c>
      <c r="K476" s="22962" t="s">
        <v>913</v>
      </c>
    </row>
    <row r="477" spans="1:11" ht="13.8">
      <c r="A477" s="22963" t="str">
        <f t="shared" si="14"/>
        <v>TK-00476</v>
      </c>
      <c r="B477" s="22964">
        <v>25</v>
      </c>
      <c r="C477" s="22965">
        <v>46189</v>
      </c>
      <c r="D477" s="22966" t="s">
        <v>2</v>
      </c>
      <c r="E477" s="22967" t="s">
        <v>912</v>
      </c>
      <c r="F477" s="22968" t="s">
        <v>365</v>
      </c>
      <c r="G477" s="22969">
        <v>165</v>
      </c>
      <c r="H477" s="22970">
        <v>27</v>
      </c>
      <c r="I477" s="22971">
        <f t="shared" si="15"/>
        <v>4455</v>
      </c>
      <c r="J477" s="22972" t="s">
        <v>852</v>
      </c>
      <c r="K477" s="22973" t="s">
        <v>913</v>
      </c>
    </row>
    <row r="478" spans="1:11" ht="13.8">
      <c r="A478" s="22974" t="str">
        <f t="shared" si="14"/>
        <v>TK-00477</v>
      </c>
      <c r="B478" s="22975">
        <v>25</v>
      </c>
      <c r="C478" s="22976">
        <v>46190</v>
      </c>
      <c r="D478" s="22977" t="s">
        <v>1</v>
      </c>
      <c r="E478" s="22978" t="s">
        <v>912</v>
      </c>
      <c r="F478" s="22979" t="s">
        <v>386</v>
      </c>
      <c r="G478" s="22980">
        <v>200</v>
      </c>
      <c r="H478" s="22981">
        <v>27</v>
      </c>
      <c r="I478" s="22982">
        <f t="shared" si="15"/>
        <v>5400</v>
      </c>
      <c r="J478" s="22983" t="s">
        <v>852</v>
      </c>
      <c r="K478" s="22984" t="s">
        <v>913</v>
      </c>
    </row>
    <row r="479" spans="1:11" ht="13.8">
      <c r="A479" s="22985" t="str">
        <f t="shared" si="14"/>
        <v>TK-00478</v>
      </c>
      <c r="B479" s="22986">
        <v>25</v>
      </c>
      <c r="C479" s="22987">
        <v>46190</v>
      </c>
      <c r="D479" s="22988" t="s">
        <v>1</v>
      </c>
      <c r="E479" s="22989" t="s">
        <v>912</v>
      </c>
      <c r="F479" s="22990" t="s">
        <v>368</v>
      </c>
      <c r="G479" s="22991">
        <v>120</v>
      </c>
      <c r="H479" s="22992">
        <v>27</v>
      </c>
      <c r="I479" s="22993">
        <f t="shared" si="15"/>
        <v>3240</v>
      </c>
      <c r="J479" s="22994" t="s">
        <v>852</v>
      </c>
      <c r="K479" s="22995" t="s">
        <v>913</v>
      </c>
    </row>
    <row r="480" spans="1:11" ht="13.8">
      <c r="A480" s="22996" t="str">
        <f t="shared" si="14"/>
        <v>TK-00479</v>
      </c>
      <c r="B480" s="22997">
        <v>25</v>
      </c>
      <c r="C480" s="22998">
        <v>46190</v>
      </c>
      <c r="D480" s="22999" t="s">
        <v>1</v>
      </c>
      <c r="E480" s="23000" t="s">
        <v>912</v>
      </c>
      <c r="F480" s="23001" t="s">
        <v>221</v>
      </c>
      <c r="G480" s="23002">
        <v>30</v>
      </c>
      <c r="H480" s="23003">
        <v>27</v>
      </c>
      <c r="I480" s="23004">
        <f t="shared" si="15"/>
        <v>810</v>
      </c>
      <c r="J480" s="23005" t="s">
        <v>852</v>
      </c>
      <c r="K480" s="23006" t="s">
        <v>913</v>
      </c>
    </row>
    <row r="481" spans="1:11" ht="13.8">
      <c r="A481" s="23007" t="str">
        <f t="shared" si="14"/>
        <v>TK-00480</v>
      </c>
      <c r="B481" s="23008">
        <v>25</v>
      </c>
      <c r="C481" s="23009">
        <v>46190</v>
      </c>
      <c r="D481" s="23010" t="s">
        <v>1</v>
      </c>
      <c r="E481" s="23011" t="s">
        <v>912</v>
      </c>
      <c r="F481" s="23012" t="s">
        <v>224</v>
      </c>
      <c r="G481" s="23013">
        <v>30</v>
      </c>
      <c r="H481" s="23014">
        <v>27</v>
      </c>
      <c r="I481" s="23015">
        <f t="shared" si="15"/>
        <v>810</v>
      </c>
      <c r="J481" s="23016" t="s">
        <v>852</v>
      </c>
      <c r="K481" s="23017" t="s">
        <v>913</v>
      </c>
    </row>
    <row r="482" spans="1:11" ht="13.8">
      <c r="A482" s="23018" t="str">
        <f t="shared" si="14"/>
        <v>TK-00481</v>
      </c>
      <c r="B482" s="23019">
        <v>25</v>
      </c>
      <c r="C482" s="23020">
        <v>46190</v>
      </c>
      <c r="D482" s="23021" t="s">
        <v>1</v>
      </c>
      <c r="E482" s="23022" t="s">
        <v>912</v>
      </c>
      <c r="F482" s="23023" t="s">
        <v>216</v>
      </c>
      <c r="G482" s="23024">
        <v>28</v>
      </c>
      <c r="H482" s="23025">
        <v>27</v>
      </c>
      <c r="I482" s="23026">
        <f t="shared" si="15"/>
        <v>756</v>
      </c>
      <c r="J482" s="23027" t="s">
        <v>852</v>
      </c>
      <c r="K482" s="23028" t="s">
        <v>913</v>
      </c>
    </row>
    <row r="483" spans="1:11" ht="13.8">
      <c r="A483" s="23029" t="str">
        <f t="shared" si="14"/>
        <v>TK-00482</v>
      </c>
      <c r="B483" s="23030">
        <v>25</v>
      </c>
      <c r="C483" s="23031">
        <v>46190</v>
      </c>
      <c r="D483" s="23032" t="s">
        <v>1</v>
      </c>
      <c r="E483" s="23033" t="s">
        <v>912</v>
      </c>
      <c r="F483" s="23034" t="s">
        <v>228</v>
      </c>
      <c r="G483" s="23035">
        <v>60</v>
      </c>
      <c r="H483" s="23036">
        <v>27</v>
      </c>
      <c r="I483" s="23037">
        <f t="shared" si="15"/>
        <v>1620</v>
      </c>
      <c r="J483" s="23038" t="s">
        <v>852</v>
      </c>
      <c r="K483" s="23039" t="s">
        <v>913</v>
      </c>
    </row>
    <row r="484" spans="1:11" ht="13.8">
      <c r="A484" s="23040" t="str">
        <f t="shared" si="14"/>
        <v>TK-00483</v>
      </c>
      <c r="B484" s="23041">
        <v>25</v>
      </c>
      <c r="C484" s="23042">
        <v>46190</v>
      </c>
      <c r="D484" s="23043" t="s">
        <v>2</v>
      </c>
      <c r="E484" s="23044" t="s">
        <v>912</v>
      </c>
      <c r="F484" s="23045" t="s">
        <v>231</v>
      </c>
      <c r="G484" s="23046">
        <v>80</v>
      </c>
      <c r="H484" s="23047">
        <v>27</v>
      </c>
      <c r="I484" s="23048">
        <f t="shared" si="15"/>
        <v>2160</v>
      </c>
      <c r="J484" s="23049" t="s">
        <v>852</v>
      </c>
      <c r="K484" s="23050" t="s">
        <v>913</v>
      </c>
    </row>
    <row r="485" spans="1:11" ht="13.8">
      <c r="A485" s="23051" t="str">
        <f t="shared" si="14"/>
        <v>TK-00484</v>
      </c>
      <c r="B485" s="23052">
        <v>25</v>
      </c>
      <c r="C485" s="23053">
        <v>46190</v>
      </c>
      <c r="D485" s="23054" t="s">
        <v>111</v>
      </c>
      <c r="E485" s="23055" t="s">
        <v>912</v>
      </c>
      <c r="F485" s="23056" t="s">
        <v>221</v>
      </c>
      <c r="G485" s="23057">
        <v>20</v>
      </c>
      <c r="H485" s="23058">
        <v>27</v>
      </c>
      <c r="I485" s="23059">
        <f t="shared" si="15"/>
        <v>540</v>
      </c>
      <c r="J485" s="23060" t="s">
        <v>852</v>
      </c>
      <c r="K485" s="23061" t="s">
        <v>913</v>
      </c>
    </row>
    <row r="486" spans="1:11" ht="13.8">
      <c r="A486" s="23062" t="str">
        <f t="shared" si="14"/>
        <v>TK-00485</v>
      </c>
      <c r="B486" s="23063">
        <v>25</v>
      </c>
      <c r="C486" s="23064">
        <v>46190</v>
      </c>
      <c r="D486" s="23065" t="s">
        <v>124</v>
      </c>
      <c r="E486" s="23066" t="s">
        <v>912</v>
      </c>
      <c r="F486" s="23067" t="s">
        <v>240</v>
      </c>
      <c r="G486" s="23068">
        <v>100</v>
      </c>
      <c r="H486" s="23069">
        <v>27</v>
      </c>
      <c r="I486" s="23070">
        <f t="shared" si="15"/>
        <v>2700</v>
      </c>
      <c r="J486" s="23071" t="s">
        <v>852</v>
      </c>
      <c r="K486" s="23072" t="s">
        <v>913</v>
      </c>
    </row>
    <row r="487" spans="1:11" ht="13.8">
      <c r="A487" s="23073" t="str">
        <f t="shared" si="14"/>
        <v>TK-00486</v>
      </c>
      <c r="B487" s="23074">
        <v>25</v>
      </c>
      <c r="C487" s="23075">
        <v>46190</v>
      </c>
      <c r="D487" s="23076" t="s">
        <v>124</v>
      </c>
      <c r="E487" s="23077" t="s">
        <v>912</v>
      </c>
      <c r="F487" s="23078" t="s">
        <v>798</v>
      </c>
      <c r="G487" s="23079">
        <v>200</v>
      </c>
      <c r="H487" s="23080">
        <v>27</v>
      </c>
      <c r="I487" s="23081">
        <f t="shared" si="15"/>
        <v>5400</v>
      </c>
      <c r="J487" s="23082" t="s">
        <v>852</v>
      </c>
      <c r="K487" s="23083" t="s">
        <v>913</v>
      </c>
    </row>
    <row r="488" spans="1:11" ht="13.8">
      <c r="A488" s="23084" t="str">
        <f t="shared" si="14"/>
        <v>TK-00487</v>
      </c>
      <c r="B488" s="23085">
        <v>25</v>
      </c>
      <c r="C488" s="23086">
        <v>46191</v>
      </c>
      <c r="D488" s="23087" t="s">
        <v>1</v>
      </c>
      <c r="E488" s="23088" t="s">
        <v>912</v>
      </c>
      <c r="F488" s="23089" t="s">
        <v>386</v>
      </c>
      <c r="G488" s="23090">
        <v>200</v>
      </c>
      <c r="H488" s="23091">
        <v>27</v>
      </c>
      <c r="I488" s="23092">
        <f t="shared" si="15"/>
        <v>5400</v>
      </c>
      <c r="J488" s="23093" t="s">
        <v>852</v>
      </c>
      <c r="K488" s="23094" t="s">
        <v>913</v>
      </c>
    </row>
    <row r="489" spans="1:11" ht="13.8">
      <c r="A489" s="23095" t="str">
        <f t="shared" si="14"/>
        <v>TK-00488</v>
      </c>
      <c r="B489" s="23096">
        <v>25</v>
      </c>
      <c r="C489" s="23097">
        <v>46191</v>
      </c>
      <c r="D489" s="23098" t="s">
        <v>1</v>
      </c>
      <c r="E489" s="23099" t="s">
        <v>912</v>
      </c>
      <c r="F489" s="23100" t="s">
        <v>368</v>
      </c>
      <c r="G489" s="23101">
        <v>115</v>
      </c>
      <c r="H489" s="23102">
        <v>27</v>
      </c>
      <c r="I489" s="23103">
        <f t="shared" si="15"/>
        <v>3105</v>
      </c>
      <c r="J489" s="23104" t="s">
        <v>852</v>
      </c>
      <c r="K489" s="23105" t="s">
        <v>913</v>
      </c>
    </row>
    <row r="490" spans="1:11" ht="13.8">
      <c r="A490" s="23106" t="str">
        <f t="shared" si="14"/>
        <v>TK-00489</v>
      </c>
      <c r="B490" s="23107">
        <v>25</v>
      </c>
      <c r="C490" s="23108">
        <v>46191</v>
      </c>
      <c r="D490" s="23109" t="s">
        <v>1</v>
      </c>
      <c r="E490" s="23110" t="s">
        <v>912</v>
      </c>
      <c r="F490" s="23111" t="s">
        <v>224</v>
      </c>
      <c r="G490" s="23112">
        <v>30</v>
      </c>
      <c r="H490" s="23113">
        <v>27</v>
      </c>
      <c r="I490" s="23114">
        <f t="shared" si="15"/>
        <v>810</v>
      </c>
      <c r="J490" s="23115" t="s">
        <v>852</v>
      </c>
      <c r="K490" s="23116" t="s">
        <v>913</v>
      </c>
    </row>
    <row r="491" spans="1:11" ht="13.8">
      <c r="A491" s="23117" t="str">
        <f t="shared" si="14"/>
        <v>TK-00490</v>
      </c>
      <c r="B491" s="23118">
        <v>25</v>
      </c>
      <c r="C491" s="23119">
        <v>46191</v>
      </c>
      <c r="D491" s="23120" t="s">
        <v>1</v>
      </c>
      <c r="E491" s="23121" t="s">
        <v>912</v>
      </c>
      <c r="F491" s="23122" t="s">
        <v>221</v>
      </c>
      <c r="G491" s="23123">
        <v>30</v>
      </c>
      <c r="H491" s="23124">
        <v>27</v>
      </c>
      <c r="I491" s="23125">
        <f t="shared" si="15"/>
        <v>810</v>
      </c>
      <c r="J491" s="23126" t="s">
        <v>852</v>
      </c>
      <c r="K491" s="23127" t="s">
        <v>913</v>
      </c>
    </row>
    <row r="492" spans="1:11" ht="13.8">
      <c r="A492" s="23128" t="str">
        <f t="shared" si="14"/>
        <v>TK-00491</v>
      </c>
      <c r="B492" s="23129">
        <v>25</v>
      </c>
      <c r="C492" s="23130">
        <v>46191</v>
      </c>
      <c r="D492" s="23131" t="s">
        <v>1</v>
      </c>
      <c r="E492" s="23132" t="s">
        <v>912</v>
      </c>
      <c r="F492" s="23133" t="s">
        <v>228</v>
      </c>
      <c r="G492" s="23134">
        <v>30</v>
      </c>
      <c r="H492" s="23135">
        <v>27</v>
      </c>
      <c r="I492" s="23136">
        <f t="shared" si="15"/>
        <v>810</v>
      </c>
      <c r="J492" s="23137" t="s">
        <v>852</v>
      </c>
      <c r="K492" s="23138" t="s">
        <v>913</v>
      </c>
    </row>
    <row r="493" spans="1:11" ht="13.8">
      <c r="A493" s="23139" t="str">
        <f t="shared" si="14"/>
        <v>TK-00492</v>
      </c>
      <c r="B493" s="23140">
        <v>25</v>
      </c>
      <c r="C493" s="23141">
        <v>46191</v>
      </c>
      <c r="D493" s="23142" t="s">
        <v>1</v>
      </c>
      <c r="E493" s="23143" t="s">
        <v>912</v>
      </c>
      <c r="F493" s="23144" t="s">
        <v>383</v>
      </c>
      <c r="G493" s="23145">
        <v>50</v>
      </c>
      <c r="H493" s="23146">
        <v>27</v>
      </c>
      <c r="I493" s="23147">
        <f t="shared" si="15"/>
        <v>1350</v>
      </c>
      <c r="J493" s="23148" t="s">
        <v>852</v>
      </c>
      <c r="K493" s="23149" t="s">
        <v>913</v>
      </c>
    </row>
    <row r="494" spans="1:11" ht="13.8">
      <c r="A494" s="23150" t="str">
        <f t="shared" si="14"/>
        <v>TK-00493</v>
      </c>
      <c r="B494" s="23151">
        <v>25</v>
      </c>
      <c r="C494" s="23152">
        <v>46191</v>
      </c>
      <c r="D494" s="23153" t="s">
        <v>124</v>
      </c>
      <c r="E494" s="23154" t="s">
        <v>912</v>
      </c>
      <c r="F494" s="23155" t="s">
        <v>240</v>
      </c>
      <c r="G494" s="23156">
        <v>200</v>
      </c>
      <c r="H494" s="23157">
        <v>27</v>
      </c>
      <c r="I494" s="23158">
        <f t="shared" si="15"/>
        <v>5400</v>
      </c>
      <c r="J494" s="23159" t="s">
        <v>852</v>
      </c>
      <c r="K494" s="23160" t="s">
        <v>913</v>
      </c>
    </row>
    <row r="495" spans="1:11" ht="13.8">
      <c r="A495" s="23161" t="str">
        <f t="shared" si="14"/>
        <v>TK-00494</v>
      </c>
      <c r="B495" s="23162">
        <v>25</v>
      </c>
      <c r="C495" s="23163">
        <v>46191</v>
      </c>
      <c r="D495" s="23164" t="s">
        <v>124</v>
      </c>
      <c r="E495" s="23165" t="s">
        <v>912</v>
      </c>
      <c r="F495" s="23166" t="s">
        <v>248</v>
      </c>
      <c r="G495" s="23167">
        <v>100</v>
      </c>
      <c r="H495" s="23168">
        <v>27</v>
      </c>
      <c r="I495" s="23169">
        <f t="shared" si="15"/>
        <v>2700</v>
      </c>
      <c r="J495" s="23170" t="s">
        <v>852</v>
      </c>
      <c r="K495" s="23171" t="s">
        <v>913</v>
      </c>
    </row>
    <row r="496" spans="1:11" ht="13.8">
      <c r="A496" s="23172" t="str">
        <f t="shared" si="14"/>
        <v>TK-00495</v>
      </c>
      <c r="B496" s="23173">
        <v>25</v>
      </c>
      <c r="C496" s="23174">
        <v>46191</v>
      </c>
      <c r="D496" s="23175" t="s">
        <v>124</v>
      </c>
      <c r="E496" s="23176" t="s">
        <v>912</v>
      </c>
      <c r="F496" s="23177" t="s">
        <v>241</v>
      </c>
      <c r="G496" s="23178">
        <v>100</v>
      </c>
      <c r="H496" s="23179">
        <v>27</v>
      </c>
      <c r="I496" s="23180">
        <f t="shared" si="15"/>
        <v>2700</v>
      </c>
      <c r="J496" s="23181" t="s">
        <v>852</v>
      </c>
      <c r="K496" s="23182" t="s">
        <v>913</v>
      </c>
    </row>
    <row r="497" spans="1:11" ht="13.8">
      <c r="A497" s="23183" t="str">
        <f t="shared" si="14"/>
        <v>TK-00496</v>
      </c>
      <c r="B497" s="23184">
        <v>25</v>
      </c>
      <c r="C497" s="23185">
        <v>46191</v>
      </c>
      <c r="D497" s="23186" t="s">
        <v>124</v>
      </c>
      <c r="E497" s="23187" t="s">
        <v>912</v>
      </c>
      <c r="F497" s="23188" t="s">
        <v>245</v>
      </c>
      <c r="G497" s="23189">
        <v>100</v>
      </c>
      <c r="H497" s="23190">
        <v>27</v>
      </c>
      <c r="I497" s="23191">
        <f t="shared" si="15"/>
        <v>2700</v>
      </c>
      <c r="J497" s="23192" t="s">
        <v>852</v>
      </c>
      <c r="K497" s="23193" t="s">
        <v>913</v>
      </c>
    </row>
    <row r="498" spans="1:11" ht="13.8">
      <c r="A498" s="23194" t="str">
        <f t="shared" si="14"/>
        <v>TK-00497</v>
      </c>
      <c r="B498" s="23195">
        <v>25</v>
      </c>
      <c r="C498" s="23196">
        <v>46192</v>
      </c>
      <c r="D498" s="23197" t="s">
        <v>2</v>
      </c>
      <c r="E498" s="23198" t="s">
        <v>912</v>
      </c>
      <c r="F498" s="23199" t="s">
        <v>383</v>
      </c>
      <c r="G498" s="23200">
        <v>40</v>
      </c>
      <c r="H498" s="23201">
        <v>27</v>
      </c>
      <c r="I498" s="23202">
        <f t="shared" si="15"/>
        <v>1080</v>
      </c>
      <c r="J498" s="23203" t="s">
        <v>852</v>
      </c>
      <c r="K498" s="23204" t="s">
        <v>913</v>
      </c>
    </row>
    <row r="499" spans="1:11" ht="13.8">
      <c r="A499" s="23205" t="str">
        <f t="shared" si="14"/>
        <v>TK-00498</v>
      </c>
      <c r="B499" s="23206">
        <v>25</v>
      </c>
      <c r="C499" s="23207">
        <v>46192</v>
      </c>
      <c r="D499" s="23208" t="s">
        <v>159</v>
      </c>
      <c r="E499" s="23209" t="s">
        <v>912</v>
      </c>
      <c r="F499" s="23210" t="s">
        <v>383</v>
      </c>
      <c r="G499" s="23211">
        <v>40</v>
      </c>
      <c r="H499" s="23212">
        <v>27</v>
      </c>
      <c r="I499" s="23213">
        <f t="shared" si="15"/>
        <v>1080</v>
      </c>
      <c r="J499" s="23214" t="s">
        <v>852</v>
      </c>
      <c r="K499" s="23215" t="s">
        <v>913</v>
      </c>
    </row>
    <row r="500" spans="1:11" ht="13.8">
      <c r="A500" s="23216" t="str">
        <f t="shared" si="14"/>
        <v>TK-00499</v>
      </c>
      <c r="B500" s="23217">
        <v>25</v>
      </c>
      <c r="C500" s="23218">
        <v>46192</v>
      </c>
      <c r="D500" s="23219" t="s">
        <v>2</v>
      </c>
      <c r="E500" s="23220" t="s">
        <v>912</v>
      </c>
      <c r="F500" s="23221" t="s">
        <v>217</v>
      </c>
      <c r="G500" s="23222">
        <v>43</v>
      </c>
      <c r="H500" s="23223">
        <v>27</v>
      </c>
      <c r="I500" s="23224">
        <f t="shared" si="15"/>
        <v>1161</v>
      </c>
      <c r="J500" s="23225" t="s">
        <v>852</v>
      </c>
      <c r="K500" s="23226" t="s">
        <v>913</v>
      </c>
    </row>
    <row r="501" spans="1:11" ht="13.8">
      <c r="A501" s="23227" t="str">
        <f t="shared" si="14"/>
        <v>TK-00500</v>
      </c>
      <c r="B501" s="23228">
        <v>25</v>
      </c>
      <c r="C501" s="23229">
        <v>46192</v>
      </c>
      <c r="D501" s="23230" t="s">
        <v>2</v>
      </c>
      <c r="E501" s="23231" t="s">
        <v>912</v>
      </c>
      <c r="F501" s="23232" t="s">
        <v>221</v>
      </c>
      <c r="G501" s="23233">
        <v>50</v>
      </c>
      <c r="H501" s="23234">
        <v>27</v>
      </c>
      <c r="I501" s="23235">
        <f t="shared" si="15"/>
        <v>1350</v>
      </c>
      <c r="J501" s="23236" t="s">
        <v>852</v>
      </c>
      <c r="K501" s="23237" t="s">
        <v>913</v>
      </c>
    </row>
    <row r="502" spans="1:11" ht="13.8">
      <c r="A502" s="23238" t="str">
        <f t="shared" si="14"/>
        <v>TK-00501</v>
      </c>
      <c r="B502" s="23239">
        <v>25</v>
      </c>
      <c r="C502" s="23240">
        <v>46192</v>
      </c>
      <c r="D502" s="23241" t="s">
        <v>2</v>
      </c>
      <c r="E502" s="23242" t="s">
        <v>912</v>
      </c>
      <c r="F502" s="23243" t="s">
        <v>228</v>
      </c>
      <c r="G502" s="23244">
        <v>80</v>
      </c>
      <c r="H502" s="23245">
        <v>27</v>
      </c>
      <c r="I502" s="23246">
        <f t="shared" si="15"/>
        <v>2160</v>
      </c>
      <c r="J502" s="23247" t="s">
        <v>852</v>
      </c>
      <c r="K502" s="23248" t="s">
        <v>913</v>
      </c>
    </row>
    <row r="503" spans="1:11" ht="13.8">
      <c r="A503" s="23249" t="str">
        <f t="shared" si="14"/>
        <v>TK-00502</v>
      </c>
      <c r="B503" s="23250">
        <v>25</v>
      </c>
      <c r="C503" s="23251">
        <v>46192</v>
      </c>
      <c r="D503" s="23252" t="s">
        <v>2</v>
      </c>
      <c r="E503" s="23253" t="s">
        <v>912</v>
      </c>
      <c r="F503" s="23254" t="s">
        <v>223</v>
      </c>
      <c r="G503" s="23255">
        <v>30</v>
      </c>
      <c r="H503" s="23256">
        <v>27</v>
      </c>
      <c r="I503" s="23257">
        <f t="shared" si="15"/>
        <v>810</v>
      </c>
      <c r="J503" s="23258" t="s">
        <v>852</v>
      </c>
      <c r="K503" s="23259" t="s">
        <v>913</v>
      </c>
    </row>
    <row r="504" spans="1:11" ht="13.8">
      <c r="A504" s="23260" t="str">
        <f t="shared" si="14"/>
        <v>TK-00503</v>
      </c>
      <c r="B504" s="23261">
        <v>25</v>
      </c>
      <c r="C504" s="23262">
        <v>46192</v>
      </c>
      <c r="D504" s="23263" t="s">
        <v>2</v>
      </c>
      <c r="E504" s="23264" t="s">
        <v>912</v>
      </c>
      <c r="F504" s="23265" t="s">
        <v>365</v>
      </c>
      <c r="G504" s="23266">
        <v>160</v>
      </c>
      <c r="H504" s="23267">
        <v>27</v>
      </c>
      <c r="I504" s="23268">
        <f t="shared" si="15"/>
        <v>4320</v>
      </c>
      <c r="J504" s="23269" t="s">
        <v>852</v>
      </c>
      <c r="K504" s="23270" t="s">
        <v>913</v>
      </c>
    </row>
    <row r="505" spans="1:11" ht="13.8">
      <c r="A505" s="23271" t="str">
        <f t="shared" si="14"/>
        <v>TK-00504</v>
      </c>
      <c r="B505" s="23272">
        <v>25</v>
      </c>
      <c r="C505" s="23273">
        <v>46192</v>
      </c>
      <c r="D505" s="23274" t="s">
        <v>2</v>
      </c>
      <c r="E505" s="23275" t="s">
        <v>912</v>
      </c>
      <c r="F505" s="23276" t="s">
        <v>235</v>
      </c>
      <c r="G505" s="23277">
        <v>50</v>
      </c>
      <c r="H505" s="23278">
        <v>27</v>
      </c>
      <c r="I505" s="23279">
        <f t="shared" si="15"/>
        <v>1350</v>
      </c>
      <c r="J505" s="23280" t="s">
        <v>852</v>
      </c>
      <c r="K505" s="23281" t="s">
        <v>913</v>
      </c>
    </row>
    <row r="506" spans="1:11" ht="13.8">
      <c r="A506" s="23282" t="str">
        <f t="shared" si="14"/>
        <v>TK-00505</v>
      </c>
      <c r="B506" s="23283">
        <v>25</v>
      </c>
      <c r="C506" s="23284">
        <v>46192</v>
      </c>
      <c r="D506" s="23285" t="s">
        <v>111</v>
      </c>
      <c r="E506" s="23286" t="s">
        <v>912</v>
      </c>
      <c r="F506" s="23287" t="s">
        <v>209</v>
      </c>
      <c r="G506" s="23288">
        <v>60</v>
      </c>
      <c r="H506" s="23289">
        <v>27</v>
      </c>
      <c r="I506" s="23290">
        <f t="shared" si="15"/>
        <v>1620</v>
      </c>
      <c r="J506" s="23291" t="s">
        <v>852</v>
      </c>
      <c r="K506" s="23292" t="s">
        <v>913</v>
      </c>
    </row>
    <row r="507" spans="1:11" ht="13.8">
      <c r="A507" s="23293" t="str">
        <f t="shared" si="14"/>
        <v>TK-00506</v>
      </c>
      <c r="B507" s="23294">
        <v>25</v>
      </c>
      <c r="C507" s="23295">
        <v>46192</v>
      </c>
      <c r="D507" s="23296" t="s">
        <v>1</v>
      </c>
      <c r="E507" s="23297" t="s">
        <v>912</v>
      </c>
      <c r="F507" s="23298" t="s">
        <v>368</v>
      </c>
      <c r="G507" s="23299">
        <v>120</v>
      </c>
      <c r="H507" s="23300">
        <v>27</v>
      </c>
      <c r="I507" s="23301">
        <f t="shared" si="15"/>
        <v>3240</v>
      </c>
      <c r="J507" s="23302" t="s">
        <v>852</v>
      </c>
      <c r="K507" s="23303" t="s">
        <v>913</v>
      </c>
    </row>
    <row r="508" spans="1:11" ht="13.8">
      <c r="A508" s="23304" t="str">
        <f t="shared" si="14"/>
        <v>TK-00507</v>
      </c>
      <c r="B508" s="23305">
        <v>25</v>
      </c>
      <c r="C508" s="23306">
        <v>46192</v>
      </c>
      <c r="D508" s="23307" t="s">
        <v>1</v>
      </c>
      <c r="E508" s="23308" t="s">
        <v>912</v>
      </c>
      <c r="F508" s="23309" t="s">
        <v>221</v>
      </c>
      <c r="G508" s="23310">
        <v>30</v>
      </c>
      <c r="H508" s="23311">
        <v>27</v>
      </c>
      <c r="I508" s="23312">
        <f t="shared" si="15"/>
        <v>810</v>
      </c>
      <c r="J508" s="23313" t="s">
        <v>852</v>
      </c>
      <c r="K508" s="23314" t="s">
        <v>913</v>
      </c>
    </row>
    <row r="509" spans="1:11" ht="13.8">
      <c r="A509" s="23315" t="str">
        <f t="shared" si="14"/>
        <v>TK-00508</v>
      </c>
      <c r="B509" s="23316">
        <v>25</v>
      </c>
      <c r="C509" s="23317">
        <v>46192</v>
      </c>
      <c r="D509" s="23318" t="s">
        <v>1</v>
      </c>
      <c r="E509" s="23319" t="s">
        <v>912</v>
      </c>
      <c r="F509" s="23320" t="s">
        <v>224</v>
      </c>
      <c r="G509" s="23321">
        <v>84</v>
      </c>
      <c r="H509" s="23322">
        <v>27</v>
      </c>
      <c r="I509" s="23323">
        <f t="shared" si="15"/>
        <v>2268</v>
      </c>
      <c r="J509" s="23324" t="s">
        <v>852</v>
      </c>
      <c r="K509" s="23325" t="s">
        <v>913</v>
      </c>
    </row>
    <row r="510" spans="1:11" ht="13.8">
      <c r="A510" s="23326" t="str">
        <f t="shared" si="14"/>
        <v>TK-00509</v>
      </c>
      <c r="B510" s="23327">
        <v>25</v>
      </c>
      <c r="C510" s="23328">
        <v>46192</v>
      </c>
      <c r="D510" s="23329" t="s">
        <v>1</v>
      </c>
      <c r="E510" s="23330" t="s">
        <v>912</v>
      </c>
      <c r="F510" s="23331" t="s">
        <v>228</v>
      </c>
      <c r="G510" s="23332">
        <v>40</v>
      </c>
      <c r="H510" s="23333">
        <v>27</v>
      </c>
      <c r="I510" s="23334">
        <f t="shared" si="15"/>
        <v>1080</v>
      </c>
      <c r="J510" s="23335" t="s">
        <v>852</v>
      </c>
      <c r="K510" s="23336" t="s">
        <v>913</v>
      </c>
    </row>
    <row r="511" spans="1:11" ht="13.8">
      <c r="A511" s="23337" t="str">
        <f t="shared" si="14"/>
        <v>TK-00510</v>
      </c>
      <c r="B511" s="23338">
        <v>25</v>
      </c>
      <c r="C511" s="23339">
        <v>46192</v>
      </c>
      <c r="D511" s="23340" t="s">
        <v>1</v>
      </c>
      <c r="E511" s="23341" t="s">
        <v>912</v>
      </c>
      <c r="F511" s="23342" t="s">
        <v>216</v>
      </c>
      <c r="G511" s="23343">
        <v>30</v>
      </c>
      <c r="H511" s="23344">
        <v>27</v>
      </c>
      <c r="I511" s="23345">
        <f t="shared" si="15"/>
        <v>810</v>
      </c>
      <c r="J511" s="23346" t="s">
        <v>852</v>
      </c>
      <c r="K511" s="23347" t="s">
        <v>913</v>
      </c>
    </row>
    <row r="512" spans="1:11" ht="13.8">
      <c r="A512" s="23348" t="str">
        <f t="shared" si="14"/>
        <v>TK-00511</v>
      </c>
      <c r="B512" s="23349">
        <v>25</v>
      </c>
      <c r="C512" s="23350">
        <v>46192</v>
      </c>
      <c r="D512" s="23351" t="s">
        <v>111</v>
      </c>
      <c r="E512" s="23352" t="s">
        <v>912</v>
      </c>
      <c r="F512" s="23353" t="s">
        <v>209</v>
      </c>
      <c r="G512" s="23354">
        <v>50</v>
      </c>
      <c r="H512" s="23355">
        <v>27</v>
      </c>
      <c r="I512" s="23356">
        <f t="shared" si="15"/>
        <v>1350</v>
      </c>
      <c r="J512" s="23357" t="s">
        <v>852</v>
      </c>
      <c r="K512" s="23358" t="s">
        <v>913</v>
      </c>
    </row>
    <row r="513" spans="1:11" ht="13.8">
      <c r="A513" s="23359" t="str">
        <f t="shared" si="14"/>
        <v>TK-00512</v>
      </c>
      <c r="B513" s="23360">
        <v>25</v>
      </c>
      <c r="C513" s="23361">
        <v>46192</v>
      </c>
      <c r="D513" s="23362" t="s">
        <v>111</v>
      </c>
      <c r="E513" s="23363" t="s">
        <v>912</v>
      </c>
      <c r="F513" s="23364" t="s">
        <v>250</v>
      </c>
      <c r="G513" s="23365">
        <v>10</v>
      </c>
      <c r="H513" s="23366">
        <v>27</v>
      </c>
      <c r="I513" s="23367">
        <f t="shared" si="15"/>
        <v>270</v>
      </c>
      <c r="J513" s="23368" t="s">
        <v>852</v>
      </c>
      <c r="K513" s="23369" t="s">
        <v>913</v>
      </c>
    </row>
    <row r="514" spans="1:11" ht="13.8">
      <c r="A514" s="23370" t="str">
        <f t="shared" ref="A514:A577" si="16">"TK-"&amp;TEXT(ROW()-1, "00000")</f>
        <v>TK-00513</v>
      </c>
      <c r="B514" s="23371">
        <v>26</v>
      </c>
      <c r="C514" s="23372">
        <v>46195</v>
      </c>
      <c r="D514" s="23373" t="s">
        <v>1</v>
      </c>
      <c r="E514" s="23374" t="s">
        <v>912</v>
      </c>
      <c r="F514" s="23375" t="s">
        <v>211</v>
      </c>
      <c r="G514" s="23376">
        <v>106</v>
      </c>
      <c r="H514" s="23377">
        <v>27</v>
      </c>
      <c r="I514" s="23378">
        <f t="shared" ref="I514:I577" si="17">G514*H514</f>
        <v>2862</v>
      </c>
      <c r="J514" s="23379" t="s">
        <v>852</v>
      </c>
      <c r="K514" s="23380" t="s">
        <v>913</v>
      </c>
    </row>
    <row r="515" spans="1:11" ht="13.8">
      <c r="A515" s="23381" t="str">
        <f t="shared" si="16"/>
        <v>TK-00514</v>
      </c>
      <c r="B515" s="23382">
        <v>26</v>
      </c>
      <c r="C515" s="23383">
        <v>46195</v>
      </c>
      <c r="D515" s="23384" t="s">
        <v>1</v>
      </c>
      <c r="E515" s="23385" t="s">
        <v>912</v>
      </c>
      <c r="F515" s="23386" t="s">
        <v>224</v>
      </c>
      <c r="G515" s="23387">
        <v>50</v>
      </c>
      <c r="H515" s="23388">
        <v>27</v>
      </c>
      <c r="I515" s="23389">
        <f t="shared" si="17"/>
        <v>1350</v>
      </c>
      <c r="J515" s="23390" t="s">
        <v>852</v>
      </c>
      <c r="K515" s="23391" t="s">
        <v>913</v>
      </c>
    </row>
    <row r="516" spans="1:11" ht="13.8">
      <c r="A516" s="23392" t="str">
        <f t="shared" si="16"/>
        <v>TK-00515</v>
      </c>
      <c r="B516" s="23393">
        <v>26</v>
      </c>
      <c r="C516" s="23394">
        <v>46195</v>
      </c>
      <c r="D516" s="23395" t="s">
        <v>1</v>
      </c>
      <c r="E516" s="23396" t="s">
        <v>912</v>
      </c>
      <c r="F516" s="23397" t="s">
        <v>219</v>
      </c>
      <c r="G516" s="23398">
        <v>50</v>
      </c>
      <c r="H516" s="23399">
        <v>27</v>
      </c>
      <c r="I516" s="23400">
        <f t="shared" si="17"/>
        <v>1350</v>
      </c>
      <c r="J516" s="23401" t="s">
        <v>852</v>
      </c>
      <c r="K516" s="23402" t="s">
        <v>913</v>
      </c>
    </row>
    <row r="517" spans="1:11" ht="13.8">
      <c r="A517" s="23403" t="str">
        <f t="shared" si="16"/>
        <v>TK-00516</v>
      </c>
      <c r="B517" s="23404">
        <v>26</v>
      </c>
      <c r="C517" s="23405">
        <v>46195</v>
      </c>
      <c r="D517" s="23406" t="s">
        <v>1</v>
      </c>
      <c r="E517" s="23407" t="s">
        <v>912</v>
      </c>
      <c r="F517" s="23408" t="s">
        <v>210</v>
      </c>
      <c r="G517" s="23409">
        <v>60</v>
      </c>
      <c r="H517" s="23410">
        <v>27</v>
      </c>
      <c r="I517" s="23411">
        <f t="shared" si="17"/>
        <v>1620</v>
      </c>
      <c r="J517" s="23412" t="s">
        <v>852</v>
      </c>
      <c r="K517" s="23413" t="s">
        <v>913</v>
      </c>
    </row>
    <row r="518" spans="1:11" ht="13.8">
      <c r="A518" s="23414" t="str">
        <f t="shared" si="16"/>
        <v>TK-00517</v>
      </c>
      <c r="B518" s="23415">
        <v>26</v>
      </c>
      <c r="C518" s="23416">
        <v>46195</v>
      </c>
      <c r="D518" s="23417" t="s">
        <v>1</v>
      </c>
      <c r="E518" s="23418" t="s">
        <v>912</v>
      </c>
      <c r="F518" s="23419" t="s">
        <v>214</v>
      </c>
      <c r="G518" s="23420">
        <v>250</v>
      </c>
      <c r="H518" s="23421">
        <v>27</v>
      </c>
      <c r="I518" s="23422">
        <f t="shared" si="17"/>
        <v>6750</v>
      </c>
      <c r="J518" s="23423" t="s">
        <v>852</v>
      </c>
      <c r="K518" s="23424" t="s">
        <v>913</v>
      </c>
    </row>
    <row r="519" spans="1:11" ht="13.8">
      <c r="A519" s="23425" t="str">
        <f t="shared" si="16"/>
        <v>TK-00518</v>
      </c>
      <c r="B519" s="23426">
        <v>26</v>
      </c>
      <c r="C519" s="23427">
        <v>46195</v>
      </c>
      <c r="D519" s="23428" t="s">
        <v>2</v>
      </c>
      <c r="E519" s="23429" t="s">
        <v>912</v>
      </c>
      <c r="F519" s="23430" t="s">
        <v>234</v>
      </c>
      <c r="G519" s="23431">
        <v>40</v>
      </c>
      <c r="H519" s="23432">
        <v>27</v>
      </c>
      <c r="I519" s="23433">
        <f t="shared" si="17"/>
        <v>1080</v>
      </c>
      <c r="J519" s="23434" t="s">
        <v>852</v>
      </c>
      <c r="K519" s="23435" t="s">
        <v>913</v>
      </c>
    </row>
    <row r="520" spans="1:11" ht="13.8">
      <c r="A520" s="23436" t="str">
        <f t="shared" si="16"/>
        <v>TK-00519</v>
      </c>
      <c r="B520" s="23437">
        <v>26</v>
      </c>
      <c r="C520" s="23438">
        <v>46195</v>
      </c>
      <c r="D520" s="23439" t="s">
        <v>159</v>
      </c>
      <c r="E520" s="23440" t="s">
        <v>912</v>
      </c>
      <c r="F520" s="23441" t="s">
        <v>234</v>
      </c>
      <c r="G520" s="23442">
        <v>40</v>
      </c>
      <c r="H520" s="23443">
        <v>27</v>
      </c>
      <c r="I520" s="23444">
        <f t="shared" si="17"/>
        <v>1080</v>
      </c>
      <c r="J520" s="23445" t="s">
        <v>852</v>
      </c>
      <c r="K520" s="23446" t="s">
        <v>913</v>
      </c>
    </row>
    <row r="521" spans="1:11" ht="13.8">
      <c r="A521" s="23447" t="str">
        <f t="shared" si="16"/>
        <v>TK-00520</v>
      </c>
      <c r="B521" s="23448">
        <v>26</v>
      </c>
      <c r="C521" s="23449">
        <v>46195</v>
      </c>
      <c r="D521" s="23450" t="s">
        <v>111</v>
      </c>
      <c r="E521" s="23451" t="s">
        <v>912</v>
      </c>
      <c r="F521" s="23452" t="s">
        <v>237</v>
      </c>
      <c r="G521" s="23453">
        <v>110</v>
      </c>
      <c r="H521" s="23454">
        <v>27</v>
      </c>
      <c r="I521" s="23455">
        <f t="shared" si="17"/>
        <v>2970</v>
      </c>
      <c r="J521" s="23456" t="s">
        <v>852</v>
      </c>
      <c r="K521" s="23457" t="s">
        <v>913</v>
      </c>
    </row>
    <row r="522" spans="1:11" ht="13.8">
      <c r="A522" s="23458" t="str">
        <f t="shared" si="16"/>
        <v>TK-00521</v>
      </c>
      <c r="B522" s="23459">
        <v>26</v>
      </c>
      <c r="C522" s="23460">
        <v>46195</v>
      </c>
      <c r="D522" s="23461" t="s">
        <v>2</v>
      </c>
      <c r="E522" s="23462" t="s">
        <v>912</v>
      </c>
      <c r="F522" s="23463" t="s">
        <v>222</v>
      </c>
      <c r="G522" s="23464">
        <v>50</v>
      </c>
      <c r="H522" s="23465">
        <v>27</v>
      </c>
      <c r="I522" s="23466">
        <f t="shared" si="17"/>
        <v>1350</v>
      </c>
      <c r="J522" s="23467" t="s">
        <v>852</v>
      </c>
      <c r="K522" s="23468" t="s">
        <v>913</v>
      </c>
    </row>
    <row r="523" spans="1:11" ht="13.8">
      <c r="A523" s="23469" t="str">
        <f t="shared" si="16"/>
        <v>TK-00522</v>
      </c>
      <c r="B523" s="23470">
        <v>26</v>
      </c>
      <c r="C523" s="23471">
        <v>46195</v>
      </c>
      <c r="D523" s="23472" t="s">
        <v>1</v>
      </c>
      <c r="E523" s="23473" t="s">
        <v>912</v>
      </c>
      <c r="F523" s="23474" t="s">
        <v>215</v>
      </c>
      <c r="G523" s="23475">
        <v>250</v>
      </c>
      <c r="H523" s="23476">
        <v>27</v>
      </c>
      <c r="I523" s="23477">
        <f t="shared" si="17"/>
        <v>6750</v>
      </c>
      <c r="J523" s="23478" t="s">
        <v>852</v>
      </c>
      <c r="K523" s="23479" t="s">
        <v>913</v>
      </c>
    </row>
    <row r="524" spans="1:11" ht="13.8">
      <c r="A524" s="23480" t="str">
        <f t="shared" si="16"/>
        <v>TK-00523</v>
      </c>
      <c r="B524" s="23481">
        <v>26</v>
      </c>
      <c r="C524" s="23482">
        <v>46195</v>
      </c>
      <c r="D524" s="23483" t="s">
        <v>2</v>
      </c>
      <c r="E524" s="23484" t="s">
        <v>912</v>
      </c>
      <c r="F524" s="23485" t="s">
        <v>223</v>
      </c>
      <c r="G524" s="23486">
        <v>50</v>
      </c>
      <c r="H524" s="23487">
        <v>27</v>
      </c>
      <c r="I524" s="23488">
        <f t="shared" si="17"/>
        <v>1350</v>
      </c>
      <c r="J524" s="23489" t="s">
        <v>852</v>
      </c>
      <c r="K524" s="23490" t="s">
        <v>913</v>
      </c>
    </row>
    <row r="525" spans="1:11" ht="13.8">
      <c r="A525" s="23491" t="str">
        <f t="shared" si="16"/>
        <v>TK-00524</v>
      </c>
      <c r="B525" s="23492">
        <v>26</v>
      </c>
      <c r="C525" s="23493">
        <v>46195</v>
      </c>
      <c r="D525" s="23494" t="s">
        <v>2</v>
      </c>
      <c r="E525" s="23495" t="s">
        <v>912</v>
      </c>
      <c r="F525" s="23496" t="s">
        <v>213</v>
      </c>
      <c r="G525" s="23497">
        <v>162</v>
      </c>
      <c r="H525" s="23498">
        <v>27</v>
      </c>
      <c r="I525" s="23499">
        <f t="shared" si="17"/>
        <v>4374</v>
      </c>
      <c r="J525" s="23500" t="s">
        <v>852</v>
      </c>
      <c r="K525" s="23501" t="s">
        <v>913</v>
      </c>
    </row>
    <row r="526" spans="1:11" ht="13.8">
      <c r="A526" s="23502" t="str">
        <f t="shared" si="16"/>
        <v>TK-00525</v>
      </c>
      <c r="B526" s="23503">
        <v>26</v>
      </c>
      <c r="C526" s="23504">
        <v>46195</v>
      </c>
      <c r="D526" s="23505" t="s">
        <v>2</v>
      </c>
      <c r="E526" s="23506" t="s">
        <v>912</v>
      </c>
      <c r="F526" s="23507" t="s">
        <v>235</v>
      </c>
      <c r="G526" s="23508">
        <v>50</v>
      </c>
      <c r="H526" s="23509">
        <v>27</v>
      </c>
      <c r="I526" s="23510">
        <f t="shared" si="17"/>
        <v>1350</v>
      </c>
      <c r="J526" s="23511" t="s">
        <v>852</v>
      </c>
      <c r="K526" s="23512" t="s">
        <v>913</v>
      </c>
    </row>
    <row r="527" spans="1:11" ht="13.8">
      <c r="A527" s="23513" t="str">
        <f t="shared" si="16"/>
        <v>TK-00526</v>
      </c>
      <c r="B527" s="23514">
        <v>26</v>
      </c>
      <c r="C527" s="23515">
        <v>46195</v>
      </c>
      <c r="D527" s="23516" t="s">
        <v>2</v>
      </c>
      <c r="E527" s="23517" t="s">
        <v>912</v>
      </c>
      <c r="F527" s="23518" t="s">
        <v>223</v>
      </c>
      <c r="G527" s="23519">
        <v>50</v>
      </c>
      <c r="H527" s="23520">
        <v>27</v>
      </c>
      <c r="I527" s="23521">
        <f t="shared" si="17"/>
        <v>1350</v>
      </c>
      <c r="J527" s="23522" t="s">
        <v>852</v>
      </c>
      <c r="K527" s="23523" t="s">
        <v>913</v>
      </c>
    </row>
    <row r="528" spans="1:11" ht="13.8">
      <c r="A528" s="23524" t="str">
        <f t="shared" si="16"/>
        <v>TK-00527</v>
      </c>
      <c r="B528" s="23525">
        <v>26</v>
      </c>
      <c r="C528" s="23526">
        <v>46196</v>
      </c>
      <c r="D528" s="23527" t="s">
        <v>400</v>
      </c>
      <c r="E528" s="23528" t="s">
        <v>912</v>
      </c>
      <c r="F528" s="23529" t="s">
        <v>245</v>
      </c>
      <c r="G528" s="23530">
        <v>275</v>
      </c>
      <c r="H528" s="23531">
        <v>27</v>
      </c>
      <c r="I528" s="23532">
        <f t="shared" si="17"/>
        <v>7425</v>
      </c>
      <c r="J528" s="23533" t="s">
        <v>852</v>
      </c>
      <c r="K528" s="23534" t="s">
        <v>913</v>
      </c>
    </row>
    <row r="529" spans="1:11" ht="13.8">
      <c r="A529" s="23535" t="str">
        <f t="shared" si="16"/>
        <v>TK-00528</v>
      </c>
      <c r="B529" s="23536">
        <v>26</v>
      </c>
      <c r="C529" s="23537">
        <v>46196</v>
      </c>
      <c r="D529" s="23538" t="s">
        <v>400</v>
      </c>
      <c r="E529" s="23539" t="s">
        <v>912</v>
      </c>
      <c r="F529" s="23540" t="s">
        <v>246</v>
      </c>
      <c r="G529" s="23541">
        <v>20</v>
      </c>
      <c r="H529" s="23542">
        <v>27</v>
      </c>
      <c r="I529" s="23543">
        <f t="shared" si="17"/>
        <v>540</v>
      </c>
      <c r="J529" s="23544" t="s">
        <v>852</v>
      </c>
      <c r="K529" s="23545" t="s">
        <v>913</v>
      </c>
    </row>
    <row r="530" spans="1:11" ht="13.8">
      <c r="A530" s="23546" t="str">
        <f t="shared" si="16"/>
        <v>TK-00529</v>
      </c>
      <c r="B530" s="23547">
        <v>26</v>
      </c>
      <c r="C530" s="23548">
        <v>46196</v>
      </c>
      <c r="D530" s="23549" t="s">
        <v>111</v>
      </c>
      <c r="E530" s="23550" t="s">
        <v>912</v>
      </c>
      <c r="F530" s="23551" t="s">
        <v>237</v>
      </c>
      <c r="G530" s="23552">
        <v>110</v>
      </c>
      <c r="H530" s="23553">
        <v>27</v>
      </c>
      <c r="I530" s="23554">
        <f t="shared" si="17"/>
        <v>2970</v>
      </c>
      <c r="J530" s="23555" t="s">
        <v>852</v>
      </c>
      <c r="K530" s="23556" t="s">
        <v>913</v>
      </c>
    </row>
    <row r="531" spans="1:11" ht="13.8">
      <c r="A531" s="23557" t="str">
        <f t="shared" si="16"/>
        <v>TK-00530</v>
      </c>
      <c r="B531" s="23558">
        <v>26</v>
      </c>
      <c r="C531" s="23559">
        <v>46196</v>
      </c>
      <c r="D531" s="23560" t="s">
        <v>400</v>
      </c>
      <c r="E531" s="23561" t="s">
        <v>912</v>
      </c>
      <c r="F531" s="23562" t="s">
        <v>212</v>
      </c>
      <c r="G531" s="23563">
        <v>100</v>
      </c>
      <c r="H531" s="23564">
        <v>27</v>
      </c>
      <c r="I531" s="23565">
        <f t="shared" si="17"/>
        <v>2700</v>
      </c>
      <c r="J531" s="23566" t="s">
        <v>852</v>
      </c>
      <c r="K531" s="23567" t="s">
        <v>913</v>
      </c>
    </row>
    <row r="532" spans="1:11" ht="13.8">
      <c r="A532" s="23568" t="str">
        <f t="shared" si="16"/>
        <v>TK-00531</v>
      </c>
      <c r="B532" s="23569">
        <v>26</v>
      </c>
      <c r="C532" s="23570">
        <v>46196</v>
      </c>
      <c r="D532" s="23571" t="s">
        <v>2</v>
      </c>
      <c r="E532" s="23572" t="s">
        <v>912</v>
      </c>
      <c r="F532" s="23573" t="s">
        <v>210</v>
      </c>
      <c r="G532" s="23574">
        <v>50</v>
      </c>
      <c r="H532" s="23575">
        <v>27</v>
      </c>
      <c r="I532" s="23576">
        <f t="shared" si="17"/>
        <v>1350</v>
      </c>
      <c r="J532" s="23577" t="s">
        <v>852</v>
      </c>
      <c r="K532" s="23578" t="s">
        <v>913</v>
      </c>
    </row>
    <row r="533" spans="1:11" ht="13.8">
      <c r="A533" s="23579" t="str">
        <f t="shared" si="16"/>
        <v>TK-00532</v>
      </c>
      <c r="B533" s="23580">
        <v>26</v>
      </c>
      <c r="C533" s="23581">
        <v>46196</v>
      </c>
      <c r="D533" s="23582" t="s">
        <v>111</v>
      </c>
      <c r="E533" s="23583" t="s">
        <v>912</v>
      </c>
      <c r="F533" s="23584" t="s">
        <v>215</v>
      </c>
      <c r="G533" s="23585">
        <v>96</v>
      </c>
      <c r="H533" s="23586">
        <v>27</v>
      </c>
      <c r="I533" s="23587">
        <f t="shared" si="17"/>
        <v>2592</v>
      </c>
      <c r="J533" s="23588" t="s">
        <v>852</v>
      </c>
      <c r="K533" s="23589" t="s">
        <v>913</v>
      </c>
    </row>
    <row r="534" spans="1:11" ht="13.8">
      <c r="A534" s="23590" t="str">
        <f t="shared" si="16"/>
        <v>TK-00533</v>
      </c>
      <c r="B534" s="23591">
        <v>26</v>
      </c>
      <c r="C534" s="23592">
        <v>46196</v>
      </c>
      <c r="D534" s="23593" t="s">
        <v>1</v>
      </c>
      <c r="E534" s="23594" t="s">
        <v>912</v>
      </c>
      <c r="F534" s="23595" t="s">
        <v>368</v>
      </c>
      <c r="G534" s="23596">
        <v>21</v>
      </c>
      <c r="H534" s="23597">
        <v>27</v>
      </c>
      <c r="I534" s="23598">
        <f t="shared" si="17"/>
        <v>567</v>
      </c>
      <c r="J534" s="23599" t="s">
        <v>852</v>
      </c>
      <c r="K534" s="23600" t="s">
        <v>913</v>
      </c>
    </row>
    <row r="535" spans="1:11" ht="13.8">
      <c r="A535" s="23601" t="str">
        <f t="shared" si="16"/>
        <v>TK-00534</v>
      </c>
      <c r="B535" s="23602">
        <v>26</v>
      </c>
      <c r="C535" s="23603">
        <v>46196</v>
      </c>
      <c r="D535" s="23604" t="s">
        <v>1</v>
      </c>
      <c r="E535" s="23605" t="s">
        <v>912</v>
      </c>
      <c r="F535" s="23606" t="s">
        <v>228</v>
      </c>
      <c r="G535" s="23607">
        <v>50</v>
      </c>
      <c r="H535" s="23608">
        <v>27</v>
      </c>
      <c r="I535" s="23609">
        <f t="shared" si="17"/>
        <v>1350</v>
      </c>
      <c r="J535" s="23610" t="s">
        <v>852</v>
      </c>
      <c r="K535" s="23611" t="s">
        <v>913</v>
      </c>
    </row>
    <row r="536" spans="1:11" ht="13.8">
      <c r="A536" s="23612" t="str">
        <f t="shared" si="16"/>
        <v>TK-00535</v>
      </c>
      <c r="B536" s="23613">
        <v>26</v>
      </c>
      <c r="C536" s="23614">
        <v>46196</v>
      </c>
      <c r="D536" s="23615" t="s">
        <v>1</v>
      </c>
      <c r="E536" s="23616" t="s">
        <v>912</v>
      </c>
      <c r="F536" s="23617" t="s">
        <v>216</v>
      </c>
      <c r="G536" s="23618">
        <v>31</v>
      </c>
      <c r="H536" s="23619">
        <v>27</v>
      </c>
      <c r="I536" s="23620">
        <f t="shared" si="17"/>
        <v>837</v>
      </c>
      <c r="J536" s="23621" t="s">
        <v>852</v>
      </c>
      <c r="K536" s="23622" t="s">
        <v>913</v>
      </c>
    </row>
    <row r="537" spans="1:11" ht="13.8">
      <c r="A537" s="23623" t="str">
        <f t="shared" si="16"/>
        <v>TK-00536</v>
      </c>
      <c r="B537" s="23624">
        <v>26</v>
      </c>
      <c r="C537" s="23625">
        <v>46196</v>
      </c>
      <c r="D537" s="23626" t="s">
        <v>124</v>
      </c>
      <c r="E537" s="23627" t="s">
        <v>912</v>
      </c>
      <c r="F537" s="23628" t="s">
        <v>798</v>
      </c>
      <c r="G537" s="23629">
        <v>100</v>
      </c>
      <c r="H537" s="23630">
        <v>27</v>
      </c>
      <c r="I537" s="23631">
        <f t="shared" si="17"/>
        <v>2700</v>
      </c>
      <c r="J537" s="23632" t="s">
        <v>852</v>
      </c>
      <c r="K537" s="23633" t="s">
        <v>913</v>
      </c>
    </row>
    <row r="538" spans="1:11" ht="13.8">
      <c r="A538" s="23634" t="str">
        <f t="shared" si="16"/>
        <v>TK-00537</v>
      </c>
      <c r="B538" s="23635">
        <v>26</v>
      </c>
      <c r="C538" s="23636">
        <v>46196</v>
      </c>
      <c r="D538" s="23637" t="s">
        <v>124</v>
      </c>
      <c r="E538" s="23638" t="s">
        <v>912</v>
      </c>
      <c r="F538" s="23639" t="s">
        <v>248</v>
      </c>
      <c r="G538" s="23640">
        <v>50</v>
      </c>
      <c r="H538" s="23641">
        <v>27</v>
      </c>
      <c r="I538" s="23642">
        <f t="shared" si="17"/>
        <v>1350</v>
      </c>
      <c r="J538" s="23643" t="s">
        <v>852</v>
      </c>
      <c r="K538" s="23644" t="s">
        <v>913</v>
      </c>
    </row>
    <row r="539" spans="1:11" ht="13.8">
      <c r="A539" s="23645" t="str">
        <f t="shared" si="16"/>
        <v>TK-00538</v>
      </c>
      <c r="B539" s="23646">
        <v>26</v>
      </c>
      <c r="C539" s="23647">
        <v>46197</v>
      </c>
      <c r="D539" s="23648" t="s">
        <v>1</v>
      </c>
      <c r="E539" s="23649" t="s">
        <v>912</v>
      </c>
      <c r="F539" s="23650" t="s">
        <v>221</v>
      </c>
      <c r="G539" s="23651">
        <v>35</v>
      </c>
      <c r="H539" s="23652">
        <v>27</v>
      </c>
      <c r="I539" s="23653">
        <f t="shared" si="17"/>
        <v>945</v>
      </c>
      <c r="J539" s="23654" t="s">
        <v>852</v>
      </c>
      <c r="K539" s="23655" t="s">
        <v>913</v>
      </c>
    </row>
    <row r="540" spans="1:11" ht="13.8">
      <c r="A540" s="23656" t="str">
        <f t="shared" si="16"/>
        <v>TK-00539</v>
      </c>
      <c r="B540" s="23657">
        <v>26</v>
      </c>
      <c r="C540" s="23658">
        <v>46197</v>
      </c>
      <c r="D540" s="23659" t="s">
        <v>1</v>
      </c>
      <c r="E540" s="23660" t="s">
        <v>912</v>
      </c>
      <c r="F540" s="23661" t="s">
        <v>213</v>
      </c>
      <c r="G540" s="23662">
        <v>76</v>
      </c>
      <c r="H540" s="23663">
        <v>27</v>
      </c>
      <c r="I540" s="23664">
        <f t="shared" si="17"/>
        <v>2052</v>
      </c>
      <c r="J540" s="23665" t="s">
        <v>852</v>
      </c>
      <c r="K540" s="23666" t="s">
        <v>913</v>
      </c>
    </row>
    <row r="541" spans="1:11" ht="13.8">
      <c r="A541" s="23667" t="str">
        <f t="shared" si="16"/>
        <v>TK-00540</v>
      </c>
      <c r="B541" s="23668">
        <v>26</v>
      </c>
      <c r="C541" s="23669">
        <v>46197</v>
      </c>
      <c r="D541" s="23670" t="s">
        <v>1</v>
      </c>
      <c r="E541" s="23671" t="s">
        <v>912</v>
      </c>
      <c r="F541" s="23672" t="s">
        <v>221</v>
      </c>
      <c r="G541" s="23673">
        <v>40</v>
      </c>
      <c r="H541" s="23674">
        <v>27</v>
      </c>
      <c r="I541" s="23675">
        <f t="shared" si="17"/>
        <v>1080</v>
      </c>
      <c r="J541" s="23676" t="s">
        <v>852</v>
      </c>
      <c r="K541" s="23677" t="s">
        <v>913</v>
      </c>
    </row>
    <row r="542" spans="1:11" ht="13.8">
      <c r="A542" s="23678" t="str">
        <f t="shared" si="16"/>
        <v>TK-00541</v>
      </c>
      <c r="B542" s="23679">
        <v>26</v>
      </c>
      <c r="C542" s="23680">
        <v>46197</v>
      </c>
      <c r="D542" s="23681" t="s">
        <v>1</v>
      </c>
      <c r="E542" s="23682" t="s">
        <v>912</v>
      </c>
      <c r="F542" s="23683" t="s">
        <v>228</v>
      </c>
      <c r="G542" s="23684">
        <v>40</v>
      </c>
      <c r="H542" s="23685">
        <v>27</v>
      </c>
      <c r="I542" s="23686">
        <f t="shared" si="17"/>
        <v>1080</v>
      </c>
      <c r="J542" s="23687" t="s">
        <v>852</v>
      </c>
      <c r="K542" s="23688" t="s">
        <v>913</v>
      </c>
    </row>
    <row r="543" spans="1:11" ht="13.8">
      <c r="A543" s="23689" t="str">
        <f t="shared" si="16"/>
        <v>TK-00542</v>
      </c>
      <c r="B543" s="23690">
        <v>26</v>
      </c>
      <c r="C543" s="23691">
        <v>46197</v>
      </c>
      <c r="D543" s="23692" t="s">
        <v>1</v>
      </c>
      <c r="E543" s="23693" t="s">
        <v>912</v>
      </c>
      <c r="F543" s="23694" t="s">
        <v>214</v>
      </c>
      <c r="G543" s="23695">
        <v>200</v>
      </c>
      <c r="H543" s="23696">
        <v>27</v>
      </c>
      <c r="I543" s="23697">
        <f t="shared" si="17"/>
        <v>5400</v>
      </c>
      <c r="J543" s="23698" t="s">
        <v>852</v>
      </c>
      <c r="K543" s="23699" t="s">
        <v>913</v>
      </c>
    </row>
    <row r="544" spans="1:11" ht="13.8">
      <c r="A544" s="23700" t="str">
        <f t="shared" si="16"/>
        <v>TK-00543</v>
      </c>
      <c r="B544" s="23701">
        <v>26</v>
      </c>
      <c r="C544" s="23702">
        <v>46197</v>
      </c>
      <c r="D544" s="23703" t="s">
        <v>111</v>
      </c>
      <c r="E544" s="23704" t="s">
        <v>912</v>
      </c>
      <c r="F544" s="23705" t="s">
        <v>237</v>
      </c>
      <c r="G544" s="23706">
        <v>120</v>
      </c>
      <c r="H544" s="23707">
        <v>27</v>
      </c>
      <c r="I544" s="23708">
        <f t="shared" si="17"/>
        <v>3240</v>
      </c>
      <c r="J544" s="23709" t="s">
        <v>852</v>
      </c>
      <c r="K544" s="23710" t="s">
        <v>913</v>
      </c>
    </row>
    <row r="545" spans="1:11" ht="13.8">
      <c r="A545" s="23711" t="str">
        <f t="shared" si="16"/>
        <v>TK-00544</v>
      </c>
      <c r="B545" s="23712">
        <v>26</v>
      </c>
      <c r="C545" s="23713">
        <v>46197</v>
      </c>
      <c r="D545" s="23714" t="s">
        <v>1</v>
      </c>
      <c r="E545" s="23715" t="s">
        <v>912</v>
      </c>
      <c r="F545" s="23716" t="s">
        <v>224</v>
      </c>
      <c r="G545" s="23717">
        <v>50</v>
      </c>
      <c r="H545" s="23718">
        <v>27</v>
      </c>
      <c r="I545" s="23719">
        <f t="shared" si="17"/>
        <v>1350</v>
      </c>
      <c r="J545" s="23720" t="s">
        <v>852</v>
      </c>
      <c r="K545" s="23721" t="s">
        <v>913</v>
      </c>
    </row>
    <row r="546" spans="1:11" ht="13.8">
      <c r="A546" s="23722" t="str">
        <f t="shared" si="16"/>
        <v>TK-00545</v>
      </c>
      <c r="B546" s="23723">
        <v>26</v>
      </c>
      <c r="C546" s="23724">
        <v>46197</v>
      </c>
      <c r="D546" s="23725" t="s">
        <v>1</v>
      </c>
      <c r="E546" s="23726" t="s">
        <v>912</v>
      </c>
      <c r="F546" s="23727" t="s">
        <v>223</v>
      </c>
      <c r="G546" s="23728">
        <v>30</v>
      </c>
      <c r="H546" s="23729">
        <v>27</v>
      </c>
      <c r="I546" s="23730">
        <f t="shared" si="17"/>
        <v>810</v>
      </c>
      <c r="J546" s="23731" t="s">
        <v>852</v>
      </c>
      <c r="K546" s="23732" t="s">
        <v>913</v>
      </c>
    </row>
    <row r="547" spans="1:11" ht="13.8">
      <c r="A547" s="23733" t="str">
        <f t="shared" si="16"/>
        <v>TK-00546</v>
      </c>
      <c r="B547" s="23734">
        <v>26</v>
      </c>
      <c r="C547" s="23735">
        <v>46197</v>
      </c>
      <c r="D547" s="23736" t="s">
        <v>2</v>
      </c>
      <c r="E547" s="23737" t="s">
        <v>912</v>
      </c>
      <c r="F547" s="23738" t="s">
        <v>231</v>
      </c>
      <c r="G547" s="23739">
        <v>129</v>
      </c>
      <c r="H547" s="23740">
        <v>27</v>
      </c>
      <c r="I547" s="23741">
        <f t="shared" si="17"/>
        <v>3483</v>
      </c>
      <c r="J547" s="23742" t="s">
        <v>852</v>
      </c>
      <c r="K547" s="23743" t="s">
        <v>913</v>
      </c>
    </row>
    <row r="548" spans="1:11" ht="13.8">
      <c r="A548" s="23744" t="str">
        <f t="shared" si="16"/>
        <v>TK-00547</v>
      </c>
      <c r="B548" s="23745">
        <v>26</v>
      </c>
      <c r="C548" s="23746">
        <v>46197</v>
      </c>
      <c r="D548" s="23747" t="s">
        <v>2</v>
      </c>
      <c r="E548" s="23748" t="s">
        <v>912</v>
      </c>
      <c r="F548" s="23749" t="s">
        <v>378</v>
      </c>
      <c r="G548" s="23750">
        <v>88</v>
      </c>
      <c r="H548" s="23751">
        <v>27</v>
      </c>
      <c r="I548" s="23752">
        <f t="shared" si="17"/>
        <v>2376</v>
      </c>
      <c r="J548" s="23753" t="s">
        <v>852</v>
      </c>
      <c r="K548" s="23754" t="s">
        <v>913</v>
      </c>
    </row>
    <row r="549" spans="1:11" ht="13.8">
      <c r="A549" s="23755" t="str">
        <f t="shared" si="16"/>
        <v>TK-00548</v>
      </c>
      <c r="B549" s="23756">
        <v>26</v>
      </c>
      <c r="C549" s="23757">
        <v>46197</v>
      </c>
      <c r="D549" s="23758" t="s">
        <v>2</v>
      </c>
      <c r="E549" s="23759" t="s">
        <v>912</v>
      </c>
      <c r="F549" s="23760" t="s">
        <v>235</v>
      </c>
      <c r="G549" s="23761">
        <v>90</v>
      </c>
      <c r="H549" s="23762">
        <v>27</v>
      </c>
      <c r="I549" s="23763">
        <f t="shared" si="17"/>
        <v>2430</v>
      </c>
      <c r="J549" s="23764" t="s">
        <v>852</v>
      </c>
      <c r="K549" s="23765" t="s">
        <v>913</v>
      </c>
    </row>
    <row r="550" spans="1:11" ht="13.8">
      <c r="A550" s="23766" t="str">
        <f t="shared" si="16"/>
        <v>TK-00549</v>
      </c>
      <c r="B550" s="23767">
        <v>26</v>
      </c>
      <c r="C550" s="23768">
        <v>46197</v>
      </c>
      <c r="D550" s="23769" t="s">
        <v>2</v>
      </c>
      <c r="E550" s="23770" t="s">
        <v>912</v>
      </c>
      <c r="F550" s="23771" t="s">
        <v>383</v>
      </c>
      <c r="G550" s="23772">
        <v>62</v>
      </c>
      <c r="H550" s="23773">
        <v>27</v>
      </c>
      <c r="I550" s="23774">
        <f t="shared" si="17"/>
        <v>1674</v>
      </c>
      <c r="J550" s="23775" t="s">
        <v>852</v>
      </c>
      <c r="K550" s="23776" t="s">
        <v>913</v>
      </c>
    </row>
    <row r="551" spans="1:11" ht="13.8">
      <c r="A551" s="23777" t="str">
        <f t="shared" si="16"/>
        <v>TK-00550</v>
      </c>
      <c r="B551" s="23778">
        <v>26</v>
      </c>
      <c r="C551" s="23779">
        <v>46197</v>
      </c>
      <c r="D551" s="23780" t="s">
        <v>159</v>
      </c>
      <c r="E551" s="23781" t="s">
        <v>912</v>
      </c>
      <c r="F551" s="23782" t="s">
        <v>383</v>
      </c>
      <c r="G551" s="23783">
        <v>62</v>
      </c>
      <c r="H551" s="23784">
        <v>27</v>
      </c>
      <c r="I551" s="23785">
        <f t="shared" si="17"/>
        <v>1674</v>
      </c>
      <c r="J551" s="23786" t="s">
        <v>852</v>
      </c>
      <c r="K551" s="23787" t="s">
        <v>913</v>
      </c>
    </row>
    <row r="552" spans="1:11" ht="13.8">
      <c r="A552" s="23788" t="str">
        <f t="shared" si="16"/>
        <v>TK-00551</v>
      </c>
      <c r="B552" s="23789">
        <v>26</v>
      </c>
      <c r="C552" s="23790">
        <v>46198</v>
      </c>
      <c r="D552" s="23791" t="s">
        <v>1</v>
      </c>
      <c r="E552" s="23792" t="s">
        <v>912</v>
      </c>
      <c r="F552" s="23793" t="s">
        <v>216</v>
      </c>
      <c r="G552" s="23794">
        <v>26</v>
      </c>
      <c r="H552" s="23795">
        <v>27</v>
      </c>
      <c r="I552" s="23796">
        <f t="shared" si="17"/>
        <v>702</v>
      </c>
      <c r="J552" s="23797" t="s">
        <v>852</v>
      </c>
      <c r="K552" s="23798" t="s">
        <v>913</v>
      </c>
    </row>
    <row r="553" spans="1:11" ht="13.8">
      <c r="A553" s="23799" t="str">
        <f t="shared" si="16"/>
        <v>TK-00552</v>
      </c>
      <c r="B553" s="23800">
        <v>26</v>
      </c>
      <c r="C553" s="23801">
        <v>46198</v>
      </c>
      <c r="D553" s="23802" t="s">
        <v>1</v>
      </c>
      <c r="E553" s="23803" t="s">
        <v>912</v>
      </c>
      <c r="F553" s="23804" t="s">
        <v>383</v>
      </c>
      <c r="G553" s="23805">
        <v>50</v>
      </c>
      <c r="H553" s="23806">
        <v>27</v>
      </c>
      <c r="I553" s="23807">
        <f t="shared" si="17"/>
        <v>1350</v>
      </c>
      <c r="J553" s="23808" t="s">
        <v>852</v>
      </c>
      <c r="K553" s="23809" t="s">
        <v>913</v>
      </c>
    </row>
    <row r="554" spans="1:11" ht="13.8">
      <c r="A554" s="23810" t="str">
        <f t="shared" si="16"/>
        <v>TK-00553</v>
      </c>
      <c r="B554" s="23811">
        <v>26</v>
      </c>
      <c r="C554" s="23812">
        <v>46198</v>
      </c>
      <c r="D554" s="23813" t="s">
        <v>1</v>
      </c>
      <c r="E554" s="23814" t="s">
        <v>912</v>
      </c>
      <c r="F554" s="23815" t="s">
        <v>221</v>
      </c>
      <c r="G554" s="23816">
        <v>30</v>
      </c>
      <c r="H554" s="23817">
        <v>27</v>
      </c>
      <c r="I554" s="23818">
        <f t="shared" si="17"/>
        <v>810</v>
      </c>
      <c r="J554" s="23819" t="s">
        <v>852</v>
      </c>
      <c r="K554" s="23820" t="s">
        <v>913</v>
      </c>
    </row>
    <row r="555" spans="1:11" ht="13.8">
      <c r="A555" s="23821" t="str">
        <f t="shared" si="16"/>
        <v>TK-00554</v>
      </c>
      <c r="B555" s="23822">
        <v>26</v>
      </c>
      <c r="C555" s="23823">
        <v>46198</v>
      </c>
      <c r="D555" s="23824" t="s">
        <v>1</v>
      </c>
      <c r="E555" s="23825" t="s">
        <v>912</v>
      </c>
      <c r="F555" s="23826" t="s">
        <v>223</v>
      </c>
      <c r="G555" s="23827">
        <v>14</v>
      </c>
      <c r="H555" s="23828">
        <v>27</v>
      </c>
      <c r="I555" s="23829">
        <f t="shared" si="17"/>
        <v>378</v>
      </c>
      <c r="J555" s="23830" t="s">
        <v>852</v>
      </c>
      <c r="K555" s="23831" t="s">
        <v>913</v>
      </c>
    </row>
    <row r="556" spans="1:11" ht="13.8">
      <c r="A556" s="23832" t="str">
        <f t="shared" si="16"/>
        <v>TK-00555</v>
      </c>
      <c r="B556" s="23833">
        <v>26</v>
      </c>
      <c r="C556" s="23834">
        <v>46198</v>
      </c>
      <c r="D556" s="23835" t="s">
        <v>1</v>
      </c>
      <c r="E556" s="23836" t="s">
        <v>912</v>
      </c>
      <c r="F556" s="23837" t="s">
        <v>224</v>
      </c>
      <c r="G556" s="23838">
        <v>30</v>
      </c>
      <c r="H556" s="23839">
        <v>27</v>
      </c>
      <c r="I556" s="23840">
        <f t="shared" si="17"/>
        <v>810</v>
      </c>
      <c r="J556" s="23841" t="s">
        <v>852</v>
      </c>
      <c r="K556" s="23842" t="s">
        <v>913</v>
      </c>
    </row>
    <row r="557" spans="1:11" ht="13.8">
      <c r="A557" s="23843" t="str">
        <f t="shared" si="16"/>
        <v>TK-00556</v>
      </c>
      <c r="B557" s="23844">
        <v>26</v>
      </c>
      <c r="C557" s="23845">
        <v>46198</v>
      </c>
      <c r="D557" s="23846" t="s">
        <v>111</v>
      </c>
      <c r="E557" s="23847" t="s">
        <v>912</v>
      </c>
      <c r="F557" s="23848" t="s">
        <v>237</v>
      </c>
      <c r="G557" s="23849">
        <v>120</v>
      </c>
      <c r="H557" s="23850">
        <v>27</v>
      </c>
      <c r="I557" s="23851">
        <f t="shared" si="17"/>
        <v>3240</v>
      </c>
      <c r="J557" s="23852" t="s">
        <v>852</v>
      </c>
      <c r="K557" s="23853" t="s">
        <v>913</v>
      </c>
    </row>
    <row r="558" spans="1:11" ht="13.8">
      <c r="A558" s="23854" t="str">
        <f t="shared" si="16"/>
        <v>TK-00557</v>
      </c>
      <c r="B558" s="23855">
        <v>26</v>
      </c>
      <c r="C558" s="23856">
        <v>46198</v>
      </c>
      <c r="D558" s="23857" t="s">
        <v>400</v>
      </c>
      <c r="E558" s="23858" t="s">
        <v>912</v>
      </c>
      <c r="F558" s="23859" t="s">
        <v>383</v>
      </c>
      <c r="G558" s="23860">
        <v>160</v>
      </c>
      <c r="H558" s="23861">
        <v>27</v>
      </c>
      <c r="I558" s="23862">
        <f t="shared" si="17"/>
        <v>4320</v>
      </c>
      <c r="J558" s="23863" t="s">
        <v>852</v>
      </c>
      <c r="K558" s="23864" t="s">
        <v>913</v>
      </c>
    </row>
    <row r="559" spans="1:11" ht="13.8">
      <c r="A559" s="23865" t="str">
        <f t="shared" si="16"/>
        <v>TK-00558</v>
      </c>
      <c r="B559" s="23866">
        <v>26</v>
      </c>
      <c r="C559" s="23867">
        <v>46198</v>
      </c>
      <c r="D559" s="23868" t="s">
        <v>2</v>
      </c>
      <c r="E559" s="23869" t="s">
        <v>912</v>
      </c>
      <c r="F559" s="23870" t="s">
        <v>214</v>
      </c>
      <c r="G559" s="23871">
        <v>140</v>
      </c>
      <c r="H559" s="23872">
        <v>27</v>
      </c>
      <c r="I559" s="23873">
        <f t="shared" si="17"/>
        <v>3780</v>
      </c>
      <c r="J559" s="23874" t="s">
        <v>852</v>
      </c>
      <c r="K559" s="23875" t="s">
        <v>913</v>
      </c>
    </row>
    <row r="560" spans="1:11" ht="13.8">
      <c r="A560" s="23876" t="str">
        <f t="shared" si="16"/>
        <v>TK-00559</v>
      </c>
      <c r="B560" s="23877">
        <v>26</v>
      </c>
      <c r="C560" s="23878">
        <v>46198</v>
      </c>
      <c r="D560" s="23879" t="s">
        <v>400</v>
      </c>
      <c r="E560" s="23880" t="s">
        <v>912</v>
      </c>
      <c r="F560" s="23881" t="s">
        <v>367</v>
      </c>
      <c r="G560" s="23882">
        <v>222</v>
      </c>
      <c r="H560" s="23883">
        <v>27</v>
      </c>
      <c r="I560" s="23884">
        <f t="shared" si="17"/>
        <v>5994</v>
      </c>
      <c r="J560" s="23885" t="s">
        <v>852</v>
      </c>
      <c r="K560" s="23886" t="s">
        <v>913</v>
      </c>
    </row>
    <row r="561" spans="1:11" ht="13.8">
      <c r="A561" s="23887" t="str">
        <f t="shared" si="16"/>
        <v>TK-00560</v>
      </c>
      <c r="B561" s="23888">
        <v>26</v>
      </c>
      <c r="C561" s="23889">
        <v>46198</v>
      </c>
      <c r="D561" s="23890" t="s">
        <v>400</v>
      </c>
      <c r="E561" s="23891" t="s">
        <v>912</v>
      </c>
      <c r="F561" s="23892" t="s">
        <v>245</v>
      </c>
      <c r="G561" s="23893">
        <v>217</v>
      </c>
      <c r="H561" s="23894">
        <v>27</v>
      </c>
      <c r="I561" s="23895">
        <f t="shared" si="17"/>
        <v>5859</v>
      </c>
      <c r="J561" s="23896" t="s">
        <v>852</v>
      </c>
      <c r="K561" s="23897" t="s">
        <v>913</v>
      </c>
    </row>
    <row r="562" spans="1:11" ht="13.8">
      <c r="A562" s="23898" t="str">
        <f t="shared" si="16"/>
        <v>TK-00561</v>
      </c>
      <c r="B562" s="23899">
        <v>26</v>
      </c>
      <c r="C562" s="23900">
        <v>46198</v>
      </c>
      <c r="D562" s="23901" t="s">
        <v>400</v>
      </c>
      <c r="E562" s="23902" t="s">
        <v>912</v>
      </c>
      <c r="F562" s="23903" t="s">
        <v>237</v>
      </c>
      <c r="G562" s="23904">
        <v>850</v>
      </c>
      <c r="H562" s="23905">
        <v>27</v>
      </c>
      <c r="I562" s="23906">
        <f t="shared" si="17"/>
        <v>22950</v>
      </c>
      <c r="J562" s="23907" t="s">
        <v>852</v>
      </c>
      <c r="K562" s="23908" t="s">
        <v>913</v>
      </c>
    </row>
    <row r="563" spans="1:11" ht="13.8">
      <c r="A563" s="23909" t="str">
        <f t="shared" si="16"/>
        <v>TK-00562</v>
      </c>
      <c r="B563" s="23910">
        <v>26</v>
      </c>
      <c r="C563" s="23911">
        <v>46198</v>
      </c>
      <c r="D563" s="23912" t="s">
        <v>2</v>
      </c>
      <c r="E563" s="23913" t="s">
        <v>912</v>
      </c>
      <c r="F563" s="23914" t="s">
        <v>228</v>
      </c>
      <c r="G563" s="23915">
        <v>50</v>
      </c>
      <c r="H563" s="23916">
        <v>27</v>
      </c>
      <c r="I563" s="23917">
        <f t="shared" si="17"/>
        <v>1350</v>
      </c>
      <c r="J563" s="23918" t="s">
        <v>852</v>
      </c>
      <c r="K563" s="23919" t="s">
        <v>913</v>
      </c>
    </row>
    <row r="564" spans="1:11" ht="13.8">
      <c r="A564" s="23920" t="str">
        <f t="shared" si="16"/>
        <v>TK-00563</v>
      </c>
      <c r="B564" s="23921">
        <v>26</v>
      </c>
      <c r="C564" s="23922">
        <v>46198</v>
      </c>
      <c r="D564" s="23923" t="s">
        <v>2</v>
      </c>
      <c r="E564" s="23924" t="s">
        <v>912</v>
      </c>
      <c r="F564" s="23925" t="s">
        <v>217</v>
      </c>
      <c r="G564" s="23926">
        <v>50</v>
      </c>
      <c r="H564" s="23927">
        <v>27</v>
      </c>
      <c r="I564" s="23928">
        <f t="shared" si="17"/>
        <v>1350</v>
      </c>
      <c r="J564" s="23929" t="s">
        <v>852</v>
      </c>
      <c r="K564" s="23930" t="s">
        <v>913</v>
      </c>
    </row>
    <row r="565" spans="1:11" ht="13.8">
      <c r="A565" s="23931" t="str">
        <f t="shared" si="16"/>
        <v>TK-00564</v>
      </c>
      <c r="B565" s="23932">
        <v>26</v>
      </c>
      <c r="C565" s="23933">
        <v>46198</v>
      </c>
      <c r="D565" s="23934" t="s">
        <v>2</v>
      </c>
      <c r="E565" s="23935" t="s">
        <v>912</v>
      </c>
      <c r="F565" s="23936" t="s">
        <v>365</v>
      </c>
      <c r="G565" s="23937">
        <v>177</v>
      </c>
      <c r="H565" s="23938">
        <v>27</v>
      </c>
      <c r="I565" s="23939">
        <f t="shared" si="17"/>
        <v>4779</v>
      </c>
      <c r="J565" s="23940" t="s">
        <v>852</v>
      </c>
      <c r="K565" s="23941" t="s">
        <v>913</v>
      </c>
    </row>
    <row r="566" spans="1:11" ht="13.8">
      <c r="A566" s="23942" t="str">
        <f t="shared" si="16"/>
        <v>TK-00565</v>
      </c>
      <c r="B566" s="23943">
        <v>26</v>
      </c>
      <c r="C566" s="23944">
        <v>46198</v>
      </c>
      <c r="D566" s="23945" t="s">
        <v>124</v>
      </c>
      <c r="E566" s="23946" t="s">
        <v>912</v>
      </c>
      <c r="F566" s="23947" t="s">
        <v>798</v>
      </c>
      <c r="G566" s="23948">
        <v>100</v>
      </c>
      <c r="H566" s="23949">
        <v>27</v>
      </c>
      <c r="I566" s="23950">
        <f t="shared" si="17"/>
        <v>2700</v>
      </c>
      <c r="J566" s="23951" t="s">
        <v>852</v>
      </c>
      <c r="K566" s="23952" t="s">
        <v>913</v>
      </c>
    </row>
    <row r="567" spans="1:11" ht="13.8">
      <c r="A567" s="23953" t="str">
        <f t="shared" si="16"/>
        <v>TK-00566</v>
      </c>
      <c r="B567" s="23954">
        <v>26</v>
      </c>
      <c r="C567" s="23955">
        <v>46199</v>
      </c>
      <c r="D567" s="23956" t="s">
        <v>111</v>
      </c>
      <c r="E567" s="23957" t="s">
        <v>912</v>
      </c>
      <c r="F567" s="23958" t="s">
        <v>243</v>
      </c>
      <c r="G567" s="23959">
        <v>90</v>
      </c>
      <c r="H567" s="23960">
        <v>27</v>
      </c>
      <c r="I567" s="23961">
        <f t="shared" si="17"/>
        <v>2430</v>
      </c>
      <c r="J567" s="23962" t="s">
        <v>852</v>
      </c>
      <c r="K567" s="23963" t="s">
        <v>913</v>
      </c>
    </row>
    <row r="568" spans="1:11" ht="13.8">
      <c r="A568" s="23964" t="str">
        <f t="shared" si="16"/>
        <v>TK-00567</v>
      </c>
      <c r="B568" s="23965">
        <v>26</v>
      </c>
      <c r="C568" s="23966">
        <v>46199</v>
      </c>
      <c r="D568" s="23967" t="s">
        <v>111</v>
      </c>
      <c r="E568" s="23968" t="s">
        <v>912</v>
      </c>
      <c r="F568" s="23969" t="s">
        <v>209</v>
      </c>
      <c r="G568" s="23970">
        <v>48</v>
      </c>
      <c r="H568" s="23971">
        <v>27</v>
      </c>
      <c r="I568" s="23972">
        <f t="shared" si="17"/>
        <v>1296</v>
      </c>
      <c r="J568" s="23973" t="s">
        <v>852</v>
      </c>
      <c r="K568" s="23974" t="s">
        <v>913</v>
      </c>
    </row>
    <row r="569" spans="1:11" ht="13.8">
      <c r="A569" s="23975" t="str">
        <f t="shared" si="16"/>
        <v>TK-00568</v>
      </c>
      <c r="B569" s="23976">
        <v>26</v>
      </c>
      <c r="C569" s="23977">
        <v>46199</v>
      </c>
      <c r="D569" s="23978" t="s">
        <v>1</v>
      </c>
      <c r="E569" s="23979" t="s">
        <v>912</v>
      </c>
      <c r="F569" s="23980" t="s">
        <v>221</v>
      </c>
      <c r="G569" s="23981">
        <v>40</v>
      </c>
      <c r="H569" s="23982">
        <v>27</v>
      </c>
      <c r="I569" s="23983">
        <f t="shared" si="17"/>
        <v>1080</v>
      </c>
      <c r="J569" s="23984" t="s">
        <v>852</v>
      </c>
      <c r="K569" s="23985" t="s">
        <v>913</v>
      </c>
    </row>
    <row r="570" spans="1:11" ht="13.8">
      <c r="A570" s="23986" t="str">
        <f t="shared" si="16"/>
        <v>TK-00569</v>
      </c>
      <c r="B570" s="23987">
        <v>26</v>
      </c>
      <c r="C570" s="23988">
        <v>46199</v>
      </c>
      <c r="D570" s="23989" t="s">
        <v>1</v>
      </c>
      <c r="E570" s="23990" t="s">
        <v>912</v>
      </c>
      <c r="F570" s="23991" t="s">
        <v>224</v>
      </c>
      <c r="G570" s="23992">
        <v>30</v>
      </c>
      <c r="H570" s="23993">
        <v>27</v>
      </c>
      <c r="I570" s="23994">
        <f t="shared" si="17"/>
        <v>810</v>
      </c>
      <c r="J570" s="23995" t="s">
        <v>852</v>
      </c>
      <c r="K570" s="23996" t="s">
        <v>913</v>
      </c>
    </row>
    <row r="571" spans="1:11" ht="13.8">
      <c r="A571" s="23997" t="str">
        <f t="shared" si="16"/>
        <v>TK-00570</v>
      </c>
      <c r="B571" s="23998">
        <v>26</v>
      </c>
      <c r="C571" s="23999">
        <v>46199</v>
      </c>
      <c r="D571" s="24000" t="s">
        <v>1</v>
      </c>
      <c r="E571" s="24001" t="s">
        <v>912</v>
      </c>
      <c r="F571" s="24002" t="s">
        <v>223</v>
      </c>
      <c r="G571" s="24003">
        <v>16</v>
      </c>
      <c r="H571" s="24004">
        <v>27</v>
      </c>
      <c r="I571" s="24005">
        <f t="shared" si="17"/>
        <v>432</v>
      </c>
      <c r="J571" s="24006" t="s">
        <v>852</v>
      </c>
      <c r="K571" s="24007" t="s">
        <v>913</v>
      </c>
    </row>
    <row r="572" spans="1:11" ht="13.8">
      <c r="A572" s="24008" t="str">
        <f t="shared" si="16"/>
        <v>TK-00571</v>
      </c>
      <c r="B572" s="24009">
        <v>26</v>
      </c>
      <c r="C572" s="24010">
        <v>46199</v>
      </c>
      <c r="D572" s="24011" t="s">
        <v>1</v>
      </c>
      <c r="E572" s="24012" t="s">
        <v>912</v>
      </c>
      <c r="F572" s="24013" t="s">
        <v>368</v>
      </c>
      <c r="G572" s="24014">
        <v>120</v>
      </c>
      <c r="H572" s="24015">
        <v>27</v>
      </c>
      <c r="I572" s="24016">
        <f t="shared" si="17"/>
        <v>3240</v>
      </c>
      <c r="J572" s="24017" t="s">
        <v>852</v>
      </c>
      <c r="K572" s="24018" t="s">
        <v>913</v>
      </c>
    </row>
    <row r="573" spans="1:11" ht="13.8">
      <c r="A573" s="24019" t="str">
        <f t="shared" si="16"/>
        <v>TK-00572</v>
      </c>
      <c r="B573" s="24020">
        <v>26</v>
      </c>
      <c r="C573" s="24021">
        <v>46199</v>
      </c>
      <c r="D573" s="24022" t="s">
        <v>1</v>
      </c>
      <c r="E573" s="24023" t="s">
        <v>912</v>
      </c>
      <c r="F573" s="24024" t="s">
        <v>221</v>
      </c>
      <c r="G573" s="24025">
        <v>32</v>
      </c>
      <c r="H573" s="24026">
        <v>27</v>
      </c>
      <c r="I573" s="24027">
        <f t="shared" si="17"/>
        <v>864</v>
      </c>
      <c r="J573" s="24028" t="s">
        <v>852</v>
      </c>
      <c r="K573" s="24029" t="s">
        <v>913</v>
      </c>
    </row>
    <row r="574" spans="1:11" ht="13.8">
      <c r="A574" s="24030" t="str">
        <f t="shared" si="16"/>
        <v>TK-00573</v>
      </c>
      <c r="B574" s="24031">
        <v>26</v>
      </c>
      <c r="C574" s="24032">
        <v>46199</v>
      </c>
      <c r="D574" s="24033" t="s">
        <v>1</v>
      </c>
      <c r="E574" s="24034" t="s">
        <v>912</v>
      </c>
      <c r="F574" s="24035" t="s">
        <v>228</v>
      </c>
      <c r="G574" s="24036">
        <v>40</v>
      </c>
      <c r="H574" s="24037">
        <v>27</v>
      </c>
      <c r="I574" s="24038">
        <f t="shared" si="17"/>
        <v>1080</v>
      </c>
      <c r="J574" s="24039" t="s">
        <v>852</v>
      </c>
      <c r="K574" s="24040" t="s">
        <v>913</v>
      </c>
    </row>
    <row r="575" spans="1:11" ht="13.8">
      <c r="A575" s="24041" t="str">
        <f t="shared" si="16"/>
        <v>TK-00574</v>
      </c>
      <c r="B575" s="24042">
        <v>26</v>
      </c>
      <c r="C575" s="24043">
        <v>46199</v>
      </c>
      <c r="D575" s="24044" t="s">
        <v>2</v>
      </c>
      <c r="E575" s="24045" t="s">
        <v>912</v>
      </c>
      <c r="F575" s="24046" t="s">
        <v>383</v>
      </c>
      <c r="G575" s="24047">
        <v>41</v>
      </c>
      <c r="H575" s="24048">
        <v>27</v>
      </c>
      <c r="I575" s="24049">
        <f t="shared" si="17"/>
        <v>1107</v>
      </c>
      <c r="J575" s="24050" t="s">
        <v>852</v>
      </c>
      <c r="K575" s="24051" t="s">
        <v>913</v>
      </c>
    </row>
    <row r="576" spans="1:11" ht="13.8">
      <c r="A576" s="24052" t="str">
        <f t="shared" si="16"/>
        <v>TK-00575</v>
      </c>
      <c r="B576" s="24053">
        <v>26</v>
      </c>
      <c r="C576" s="24054">
        <v>46199</v>
      </c>
      <c r="D576" s="24055" t="s">
        <v>1</v>
      </c>
      <c r="E576" s="24056" t="s">
        <v>912</v>
      </c>
      <c r="F576" s="24057" t="s">
        <v>215</v>
      </c>
      <c r="G576" s="24058">
        <v>329</v>
      </c>
      <c r="H576" s="24059">
        <v>27</v>
      </c>
      <c r="I576" s="24060">
        <f t="shared" si="17"/>
        <v>8883</v>
      </c>
      <c r="J576" s="24061" t="s">
        <v>852</v>
      </c>
      <c r="K576" s="24062" t="s">
        <v>913</v>
      </c>
    </row>
    <row r="577" spans="1:11" ht="13.8">
      <c r="A577" s="24063" t="str">
        <f t="shared" si="16"/>
        <v>TK-00576</v>
      </c>
      <c r="B577" s="24064">
        <v>26</v>
      </c>
      <c r="C577" s="24065">
        <v>46199</v>
      </c>
      <c r="D577" s="24066" t="s">
        <v>111</v>
      </c>
      <c r="E577" s="24067" t="s">
        <v>912</v>
      </c>
      <c r="F577" s="24068" t="s">
        <v>237</v>
      </c>
      <c r="G577" s="24069">
        <v>480</v>
      </c>
      <c r="H577" s="24070">
        <v>27</v>
      </c>
      <c r="I577" s="24071">
        <f t="shared" si="17"/>
        <v>12960</v>
      </c>
      <c r="J577" s="24072" t="s">
        <v>852</v>
      </c>
      <c r="K577" s="24073" t="s">
        <v>913</v>
      </c>
    </row>
    <row r="578" spans="1:11" ht="13.8">
      <c r="A578" s="24074" t="str">
        <f t="shared" ref="A578:A641" si="18">"TK-"&amp;TEXT(ROW()-1, "00000")</f>
        <v>TK-00577</v>
      </c>
      <c r="B578" s="24075">
        <v>26</v>
      </c>
      <c r="C578" s="24076">
        <v>46199</v>
      </c>
      <c r="D578" s="24077" t="s">
        <v>111</v>
      </c>
      <c r="E578" s="24078" t="s">
        <v>912</v>
      </c>
      <c r="F578" s="24079" t="s">
        <v>243</v>
      </c>
      <c r="G578" s="24080">
        <v>220</v>
      </c>
      <c r="H578" s="24081">
        <v>27</v>
      </c>
      <c r="I578" s="24082">
        <f t="shared" ref="I578:I641" si="19">G578*H578</f>
        <v>5940</v>
      </c>
      <c r="J578" s="24083" t="s">
        <v>852</v>
      </c>
      <c r="K578" s="24084" t="s">
        <v>913</v>
      </c>
    </row>
    <row r="579" spans="1:11" ht="13.8">
      <c r="A579" s="24085" t="str">
        <f t="shared" si="18"/>
        <v>TK-00578</v>
      </c>
      <c r="B579" s="24086">
        <v>26</v>
      </c>
      <c r="C579" s="24087">
        <v>46199</v>
      </c>
      <c r="D579" s="24088" t="s">
        <v>111</v>
      </c>
      <c r="E579" s="24089" t="s">
        <v>912</v>
      </c>
      <c r="F579" s="24090" t="s">
        <v>220</v>
      </c>
      <c r="G579" s="24091">
        <v>80</v>
      </c>
      <c r="H579" s="24092">
        <v>27</v>
      </c>
      <c r="I579" s="24093">
        <f t="shared" si="19"/>
        <v>2160</v>
      </c>
      <c r="J579" s="24094" t="s">
        <v>852</v>
      </c>
      <c r="K579" s="24095" t="s">
        <v>913</v>
      </c>
    </row>
    <row r="580" spans="1:11" ht="13.8">
      <c r="A580" s="24096" t="str">
        <f t="shared" si="18"/>
        <v>TK-00579</v>
      </c>
      <c r="B580" s="24097">
        <v>26</v>
      </c>
      <c r="C580" s="24098">
        <v>46199</v>
      </c>
      <c r="D580" s="24099" t="s">
        <v>111</v>
      </c>
      <c r="E580" s="24100" t="s">
        <v>912</v>
      </c>
      <c r="F580" s="24101" t="s">
        <v>209</v>
      </c>
      <c r="G580" s="24102">
        <v>80</v>
      </c>
      <c r="H580" s="24103">
        <v>27</v>
      </c>
      <c r="I580" s="24104">
        <f t="shared" si="19"/>
        <v>2160</v>
      </c>
      <c r="J580" s="24105" t="s">
        <v>852</v>
      </c>
      <c r="K580" s="24106" t="s">
        <v>913</v>
      </c>
    </row>
    <row r="581" spans="1:11" ht="13.8">
      <c r="A581" s="24107" t="str">
        <f t="shared" si="18"/>
        <v>TK-00580</v>
      </c>
      <c r="B581" s="24108">
        <v>26</v>
      </c>
      <c r="C581" s="24109">
        <v>46199</v>
      </c>
      <c r="D581" s="24110" t="s">
        <v>1</v>
      </c>
      <c r="E581" s="24111" t="s">
        <v>912</v>
      </c>
      <c r="F581" s="24112" t="s">
        <v>215</v>
      </c>
      <c r="G581" s="24113">
        <v>200</v>
      </c>
      <c r="H581" s="24114">
        <v>27</v>
      </c>
      <c r="I581" s="24115">
        <f t="shared" si="19"/>
        <v>5400</v>
      </c>
      <c r="J581" s="24116" t="s">
        <v>852</v>
      </c>
      <c r="K581" s="24117" t="s">
        <v>913</v>
      </c>
    </row>
    <row r="582" spans="1:11" ht="13.8">
      <c r="A582" s="24118" t="str">
        <f t="shared" si="18"/>
        <v>TK-00581</v>
      </c>
      <c r="B582" s="24119">
        <v>26</v>
      </c>
      <c r="C582" s="24120">
        <v>46199</v>
      </c>
      <c r="D582" s="24121" t="s">
        <v>124</v>
      </c>
      <c r="E582" s="24122" t="s">
        <v>912</v>
      </c>
      <c r="F582" s="24123" t="s">
        <v>798</v>
      </c>
      <c r="G582" s="24124">
        <v>200</v>
      </c>
      <c r="H582" s="24125">
        <v>27</v>
      </c>
      <c r="I582" s="24126">
        <f t="shared" si="19"/>
        <v>5400</v>
      </c>
      <c r="J582" s="24127" t="s">
        <v>852</v>
      </c>
      <c r="K582" s="24128" t="s">
        <v>913</v>
      </c>
    </row>
    <row r="583" spans="1:11" ht="13.8">
      <c r="A583" s="24129" t="str">
        <f t="shared" si="18"/>
        <v>TK-00582</v>
      </c>
      <c r="B583" s="24130">
        <v>26</v>
      </c>
      <c r="C583" s="24131">
        <v>46200</v>
      </c>
      <c r="D583" s="24132" t="s">
        <v>1</v>
      </c>
      <c r="E583" s="24133" t="s">
        <v>912</v>
      </c>
      <c r="F583" s="24134" t="s">
        <v>216</v>
      </c>
      <c r="G583" s="24135">
        <v>24</v>
      </c>
      <c r="H583" s="24136">
        <v>27</v>
      </c>
      <c r="I583" s="24137">
        <f t="shared" si="19"/>
        <v>648</v>
      </c>
      <c r="J583" s="24138" t="s">
        <v>852</v>
      </c>
      <c r="K583" s="24139" t="s">
        <v>913</v>
      </c>
    </row>
    <row r="584" spans="1:11" ht="13.8">
      <c r="A584" s="24140" t="str">
        <f t="shared" si="18"/>
        <v>TK-00583</v>
      </c>
      <c r="B584" s="24141">
        <v>26</v>
      </c>
      <c r="C584" s="24142">
        <v>46200</v>
      </c>
      <c r="D584" s="24143" t="s">
        <v>1</v>
      </c>
      <c r="E584" s="24144" t="s">
        <v>912</v>
      </c>
      <c r="F584" s="24145" t="s">
        <v>235</v>
      </c>
      <c r="G584" s="24146">
        <v>50</v>
      </c>
      <c r="H584" s="24147">
        <v>27</v>
      </c>
      <c r="I584" s="24148">
        <f t="shared" si="19"/>
        <v>1350</v>
      </c>
      <c r="J584" s="24149" t="s">
        <v>852</v>
      </c>
      <c r="K584" s="24150" t="s">
        <v>913</v>
      </c>
    </row>
    <row r="585" spans="1:11" ht="13.8">
      <c r="A585" s="24151" t="str">
        <f t="shared" si="18"/>
        <v>TK-00584</v>
      </c>
      <c r="B585" s="24152">
        <v>26</v>
      </c>
      <c r="C585" s="24153">
        <v>46200</v>
      </c>
      <c r="D585" s="24154" t="s">
        <v>1</v>
      </c>
      <c r="E585" s="24155" t="s">
        <v>912</v>
      </c>
      <c r="F585" s="24156" t="s">
        <v>215</v>
      </c>
      <c r="G585" s="24157">
        <v>118</v>
      </c>
      <c r="H585" s="24158">
        <v>27</v>
      </c>
      <c r="I585" s="24159">
        <f t="shared" si="19"/>
        <v>3186</v>
      </c>
      <c r="J585" s="24160" t="s">
        <v>852</v>
      </c>
      <c r="K585" s="24161" t="s">
        <v>913</v>
      </c>
    </row>
    <row r="586" spans="1:11" ht="13.8">
      <c r="A586" s="24162" t="str">
        <f t="shared" si="18"/>
        <v>TK-00585</v>
      </c>
      <c r="B586" s="24163">
        <v>26</v>
      </c>
      <c r="C586" s="24164">
        <v>46200</v>
      </c>
      <c r="D586" s="24165" t="s">
        <v>124</v>
      </c>
      <c r="E586" s="24166" t="s">
        <v>912</v>
      </c>
      <c r="F586" s="24167" t="s">
        <v>798</v>
      </c>
      <c r="G586" s="24168">
        <v>100</v>
      </c>
      <c r="H586" s="24169">
        <v>27</v>
      </c>
      <c r="I586" s="24170">
        <f t="shared" si="19"/>
        <v>2700</v>
      </c>
      <c r="J586" s="24171" t="s">
        <v>852</v>
      </c>
      <c r="K586" s="24172" t="s">
        <v>913</v>
      </c>
    </row>
    <row r="587" spans="1:11" ht="13.8">
      <c r="A587" s="24173" t="str">
        <f t="shared" si="18"/>
        <v>TK-00586</v>
      </c>
      <c r="B587" s="24174">
        <v>26</v>
      </c>
      <c r="C587" s="24175">
        <v>46200</v>
      </c>
      <c r="D587" s="24176" t="s">
        <v>124</v>
      </c>
      <c r="E587" s="24177" t="s">
        <v>912</v>
      </c>
      <c r="F587" s="24178" t="s">
        <v>241</v>
      </c>
      <c r="G587" s="24179">
        <v>60</v>
      </c>
      <c r="H587" s="24180">
        <v>27</v>
      </c>
      <c r="I587" s="24181">
        <f t="shared" si="19"/>
        <v>1620</v>
      </c>
      <c r="J587" s="24182" t="s">
        <v>852</v>
      </c>
      <c r="K587" s="24183" t="s">
        <v>913</v>
      </c>
    </row>
    <row r="588" spans="1:11" ht="13.8">
      <c r="A588" s="24184" t="str">
        <f t="shared" si="18"/>
        <v>TK-00587</v>
      </c>
      <c r="B588" s="24185">
        <v>26</v>
      </c>
      <c r="C588" s="24186">
        <v>46200</v>
      </c>
      <c r="D588" s="24187" t="s">
        <v>124</v>
      </c>
      <c r="E588" s="24188" t="s">
        <v>912</v>
      </c>
      <c r="F588" s="24189" t="s">
        <v>248</v>
      </c>
      <c r="G588" s="24190">
        <v>40</v>
      </c>
      <c r="H588" s="24191">
        <v>27</v>
      </c>
      <c r="I588" s="24192">
        <f t="shared" si="19"/>
        <v>1080</v>
      </c>
      <c r="J588" s="24193" t="s">
        <v>852</v>
      </c>
      <c r="K588" s="24194" t="s">
        <v>913</v>
      </c>
    </row>
    <row r="589" spans="1:11" ht="13.8">
      <c r="A589" s="24195" t="str">
        <f t="shared" si="18"/>
        <v>TK-00588</v>
      </c>
      <c r="B589" s="24196">
        <v>26</v>
      </c>
      <c r="C589" s="24197">
        <v>46200</v>
      </c>
      <c r="D589" s="24198" t="s">
        <v>124</v>
      </c>
      <c r="E589" s="24199" t="s">
        <v>912</v>
      </c>
      <c r="F589" s="24200" t="s">
        <v>245</v>
      </c>
      <c r="G589" s="24201">
        <v>200</v>
      </c>
      <c r="H589" s="24202">
        <v>27</v>
      </c>
      <c r="I589" s="24203">
        <f t="shared" si="19"/>
        <v>5400</v>
      </c>
      <c r="J589" s="24204" t="s">
        <v>852</v>
      </c>
      <c r="K589" s="24205" t="s">
        <v>913</v>
      </c>
    </row>
    <row r="590" spans="1:11" ht="13.8">
      <c r="A590" s="24206" t="str">
        <f t="shared" si="18"/>
        <v>TK-00589</v>
      </c>
      <c r="B590" s="24207">
        <v>26</v>
      </c>
      <c r="C590" s="24208">
        <v>46200</v>
      </c>
      <c r="D590" s="24209" t="s">
        <v>124</v>
      </c>
      <c r="E590" s="24210" t="s">
        <v>912</v>
      </c>
      <c r="F590" s="24211" t="s">
        <v>800</v>
      </c>
      <c r="G590" s="24212">
        <v>200</v>
      </c>
      <c r="H590" s="24213">
        <v>27</v>
      </c>
      <c r="I590" s="24214">
        <f t="shared" si="19"/>
        <v>5400</v>
      </c>
      <c r="J590" s="24215" t="s">
        <v>852</v>
      </c>
      <c r="K590" s="24216" t="s">
        <v>913</v>
      </c>
    </row>
    <row r="591" spans="1:11" ht="13.8">
      <c r="A591" s="24217" t="str">
        <f t="shared" si="18"/>
        <v>TK-00590</v>
      </c>
      <c r="B591" s="24218">
        <v>27</v>
      </c>
      <c r="C591" s="24219">
        <v>46202</v>
      </c>
      <c r="D591" s="24220" t="s">
        <v>1</v>
      </c>
      <c r="E591" s="24221" t="s">
        <v>912</v>
      </c>
      <c r="F591" s="24222" t="s">
        <v>368</v>
      </c>
      <c r="G591" s="24223">
        <v>102</v>
      </c>
      <c r="H591" s="24224">
        <v>27</v>
      </c>
      <c r="I591" s="24225">
        <f t="shared" si="19"/>
        <v>2754</v>
      </c>
      <c r="J591" s="24226" t="s">
        <v>852</v>
      </c>
      <c r="K591" s="24227" t="s">
        <v>913</v>
      </c>
    </row>
    <row r="592" spans="1:11" ht="13.8">
      <c r="A592" s="24228" t="str">
        <f t="shared" si="18"/>
        <v>TK-00591</v>
      </c>
      <c r="B592" s="24229">
        <v>27</v>
      </c>
      <c r="C592" s="24230">
        <v>46202</v>
      </c>
      <c r="D592" s="24231" t="s">
        <v>1</v>
      </c>
      <c r="E592" s="24232" t="s">
        <v>912</v>
      </c>
      <c r="F592" s="24233" t="s">
        <v>219</v>
      </c>
      <c r="G592" s="24234">
        <v>41</v>
      </c>
      <c r="H592" s="24235">
        <v>27</v>
      </c>
      <c r="I592" s="24236">
        <f t="shared" si="19"/>
        <v>1107</v>
      </c>
      <c r="J592" s="24237" t="s">
        <v>852</v>
      </c>
      <c r="K592" s="24238" t="s">
        <v>913</v>
      </c>
    </row>
    <row r="593" spans="1:11" ht="13.8">
      <c r="A593" s="24239" t="str">
        <f t="shared" si="18"/>
        <v>TK-00592</v>
      </c>
      <c r="B593" s="24240">
        <v>27</v>
      </c>
      <c r="C593" s="24241">
        <v>46202</v>
      </c>
      <c r="D593" s="24242" t="s">
        <v>1</v>
      </c>
      <c r="E593" s="24243" t="s">
        <v>912</v>
      </c>
      <c r="F593" s="24244" t="s">
        <v>220</v>
      </c>
      <c r="G593" s="24245">
        <v>23</v>
      </c>
      <c r="H593" s="24246">
        <v>27</v>
      </c>
      <c r="I593" s="24247">
        <f t="shared" si="19"/>
        <v>621</v>
      </c>
      <c r="J593" s="24248" t="s">
        <v>852</v>
      </c>
      <c r="K593" s="24249" t="s">
        <v>913</v>
      </c>
    </row>
    <row r="594" spans="1:11" ht="13.8">
      <c r="A594" s="24250" t="str">
        <f t="shared" si="18"/>
        <v>TK-00593</v>
      </c>
      <c r="B594" s="24251">
        <v>27</v>
      </c>
      <c r="C594" s="24252">
        <v>46202</v>
      </c>
      <c r="D594" s="24253" t="s">
        <v>1</v>
      </c>
      <c r="E594" s="24254" t="s">
        <v>912</v>
      </c>
      <c r="F594" s="24255" t="s">
        <v>228</v>
      </c>
      <c r="G594" s="24256">
        <v>60</v>
      </c>
      <c r="H594" s="24257">
        <v>27</v>
      </c>
      <c r="I594" s="24258">
        <f t="shared" si="19"/>
        <v>1620</v>
      </c>
      <c r="J594" s="24259" t="s">
        <v>852</v>
      </c>
      <c r="K594" s="24260" t="s">
        <v>913</v>
      </c>
    </row>
    <row r="595" spans="1:11" ht="13.8">
      <c r="A595" s="24261" t="str">
        <f t="shared" si="18"/>
        <v>TK-00594</v>
      </c>
      <c r="B595" s="24262">
        <v>27</v>
      </c>
      <c r="C595" s="24263">
        <v>46202</v>
      </c>
      <c r="D595" s="24264" t="s">
        <v>1</v>
      </c>
      <c r="E595" s="24265" t="s">
        <v>912</v>
      </c>
      <c r="F595" s="24266" t="s">
        <v>215</v>
      </c>
      <c r="G595" s="24267">
        <v>97</v>
      </c>
      <c r="H595" s="24268">
        <v>27</v>
      </c>
      <c r="I595" s="24269">
        <f t="shared" si="19"/>
        <v>2619</v>
      </c>
      <c r="J595" s="24270" t="s">
        <v>852</v>
      </c>
      <c r="K595" s="24271" t="s">
        <v>913</v>
      </c>
    </row>
    <row r="596" spans="1:11" ht="13.8">
      <c r="A596" s="24272" t="str">
        <f t="shared" si="18"/>
        <v>TK-00595</v>
      </c>
      <c r="B596" s="24273">
        <v>27</v>
      </c>
      <c r="C596" s="24274">
        <v>46202</v>
      </c>
      <c r="D596" s="24275" t="s">
        <v>2</v>
      </c>
      <c r="E596" s="24276" t="s">
        <v>912</v>
      </c>
      <c r="F596" s="24277" t="s">
        <v>365</v>
      </c>
      <c r="G596" s="24278">
        <v>178</v>
      </c>
      <c r="H596" s="24279">
        <v>27</v>
      </c>
      <c r="I596" s="24280">
        <f t="shared" si="19"/>
        <v>4806</v>
      </c>
      <c r="J596" s="24281" t="s">
        <v>852</v>
      </c>
      <c r="K596" s="24282" t="s">
        <v>913</v>
      </c>
    </row>
    <row r="597" spans="1:11" ht="13.8">
      <c r="A597" s="24283" t="str">
        <f t="shared" si="18"/>
        <v>TK-00596</v>
      </c>
      <c r="B597" s="24284">
        <v>27</v>
      </c>
      <c r="C597" s="24285">
        <v>46202</v>
      </c>
      <c r="D597" s="24286" t="s">
        <v>2</v>
      </c>
      <c r="E597" s="24287" t="s">
        <v>912</v>
      </c>
      <c r="F597" s="24288" t="s">
        <v>221</v>
      </c>
      <c r="G597" s="24289">
        <v>38</v>
      </c>
      <c r="H597" s="24290">
        <v>27</v>
      </c>
      <c r="I597" s="24291">
        <f t="shared" si="19"/>
        <v>1026</v>
      </c>
      <c r="J597" s="24292" t="s">
        <v>852</v>
      </c>
      <c r="K597" s="24293" t="s">
        <v>913</v>
      </c>
    </row>
    <row r="598" spans="1:11" ht="13.8">
      <c r="A598" s="24294" t="str">
        <f t="shared" si="18"/>
        <v>TK-00597</v>
      </c>
      <c r="B598" s="24295">
        <v>27</v>
      </c>
      <c r="C598" s="24296">
        <v>46202</v>
      </c>
      <c r="D598" s="24297" t="s">
        <v>1</v>
      </c>
      <c r="E598" s="24298" t="s">
        <v>912</v>
      </c>
      <c r="F598" s="24299" t="s">
        <v>383</v>
      </c>
      <c r="G598" s="24300">
        <v>50</v>
      </c>
      <c r="H598" s="24301">
        <v>27</v>
      </c>
      <c r="I598" s="24302">
        <f t="shared" si="19"/>
        <v>1350</v>
      </c>
      <c r="J598" s="24303" t="s">
        <v>852</v>
      </c>
      <c r="K598" s="24304" t="s">
        <v>913</v>
      </c>
    </row>
    <row r="599" spans="1:11" ht="13.8">
      <c r="A599" s="24305" t="str">
        <f t="shared" si="18"/>
        <v>TK-00598</v>
      </c>
      <c r="B599" s="24306">
        <v>27</v>
      </c>
      <c r="C599" s="24307">
        <v>46202</v>
      </c>
      <c r="D599" s="24308" t="s">
        <v>124</v>
      </c>
      <c r="E599" s="24309" t="s">
        <v>912</v>
      </c>
      <c r="F599" s="24310" t="s">
        <v>798</v>
      </c>
      <c r="G599" s="24311">
        <v>200</v>
      </c>
      <c r="H599" s="24312">
        <v>27</v>
      </c>
      <c r="I599" s="24313">
        <f t="shared" si="19"/>
        <v>5400</v>
      </c>
      <c r="J599" s="24314" t="s">
        <v>852</v>
      </c>
      <c r="K599" s="24315" t="s">
        <v>913</v>
      </c>
    </row>
    <row r="600" spans="1:11" ht="13.8">
      <c r="A600" s="24316" t="str">
        <f t="shared" si="18"/>
        <v>TK-00599</v>
      </c>
      <c r="B600" s="24317">
        <v>27</v>
      </c>
      <c r="C600" s="24318">
        <v>46202</v>
      </c>
      <c r="D600" s="24319" t="s">
        <v>124</v>
      </c>
      <c r="E600" s="24320" t="s">
        <v>912</v>
      </c>
      <c r="F600" s="24321" t="s">
        <v>798</v>
      </c>
      <c r="G600" s="24322">
        <v>80</v>
      </c>
      <c r="H600" s="24323">
        <v>27</v>
      </c>
      <c r="I600" s="24324">
        <f t="shared" si="19"/>
        <v>2160</v>
      </c>
      <c r="J600" s="24325" t="s">
        <v>852</v>
      </c>
      <c r="K600" s="24326" t="s">
        <v>913</v>
      </c>
    </row>
    <row r="601" spans="1:11" ht="13.8">
      <c r="A601" s="24327" t="str">
        <f t="shared" si="18"/>
        <v>TK-00600</v>
      </c>
      <c r="B601" s="24328">
        <v>27</v>
      </c>
      <c r="C601" s="24329">
        <v>46202</v>
      </c>
      <c r="D601" s="24330" t="s">
        <v>124</v>
      </c>
      <c r="E601" s="24331" t="s">
        <v>912</v>
      </c>
      <c r="F601" s="24332" t="s">
        <v>240</v>
      </c>
      <c r="G601" s="24333">
        <v>300</v>
      </c>
      <c r="H601" s="24334">
        <v>27</v>
      </c>
      <c r="I601" s="24335">
        <f t="shared" si="19"/>
        <v>8100</v>
      </c>
      <c r="J601" s="24336" t="s">
        <v>852</v>
      </c>
      <c r="K601" s="24337" t="s">
        <v>913</v>
      </c>
    </row>
    <row r="602" spans="1:11" ht="13.8">
      <c r="A602" s="24338" t="str">
        <f t="shared" si="18"/>
        <v>TK-00601</v>
      </c>
      <c r="B602" s="24339">
        <v>27</v>
      </c>
      <c r="C602" s="24340">
        <v>46202</v>
      </c>
      <c r="D602" s="24341" t="s">
        <v>2</v>
      </c>
      <c r="E602" s="24342" t="s">
        <v>912</v>
      </c>
      <c r="F602" s="24343" t="s">
        <v>221</v>
      </c>
      <c r="G602" s="24344">
        <v>38</v>
      </c>
      <c r="H602" s="24345">
        <v>27</v>
      </c>
      <c r="I602" s="24346">
        <f t="shared" si="19"/>
        <v>1026</v>
      </c>
      <c r="J602" s="24347" t="s">
        <v>852</v>
      </c>
      <c r="K602" s="24348" t="s">
        <v>913</v>
      </c>
    </row>
    <row r="603" spans="1:11" ht="13.8">
      <c r="A603" s="24349" t="str">
        <f t="shared" si="18"/>
        <v>TK-00602</v>
      </c>
      <c r="B603" s="24350">
        <v>27</v>
      </c>
      <c r="C603" s="24351">
        <v>46202</v>
      </c>
      <c r="D603" s="24352" t="s">
        <v>115</v>
      </c>
      <c r="E603" s="24353" t="s">
        <v>912</v>
      </c>
      <c r="F603" s="24354" t="s">
        <v>245</v>
      </c>
      <c r="G603" s="24355">
        <v>210</v>
      </c>
      <c r="H603" s="24356">
        <v>27</v>
      </c>
      <c r="I603" s="24357">
        <f t="shared" si="19"/>
        <v>5670</v>
      </c>
      <c r="J603" s="24358" t="s">
        <v>852</v>
      </c>
      <c r="K603" s="24359" t="s">
        <v>913</v>
      </c>
    </row>
    <row r="604" spans="1:11" ht="13.8">
      <c r="A604" s="24360" t="str">
        <f t="shared" si="18"/>
        <v>TK-00603</v>
      </c>
      <c r="B604" s="24361">
        <v>27</v>
      </c>
      <c r="C604" s="24362">
        <v>46202</v>
      </c>
      <c r="D604" s="24363" t="s">
        <v>115</v>
      </c>
      <c r="E604" s="24364" t="s">
        <v>912</v>
      </c>
      <c r="F604" s="24365" t="s">
        <v>349</v>
      </c>
      <c r="G604" s="24366">
        <v>300</v>
      </c>
      <c r="H604" s="24367">
        <v>27</v>
      </c>
      <c r="I604" s="24368">
        <f t="shared" si="19"/>
        <v>8100</v>
      </c>
      <c r="J604" s="24369" t="s">
        <v>852</v>
      </c>
      <c r="K604" s="24370" t="s">
        <v>913</v>
      </c>
    </row>
    <row r="605" spans="1:11" ht="13.8">
      <c r="A605" s="24371" t="str">
        <f t="shared" si="18"/>
        <v>TK-00604</v>
      </c>
      <c r="B605" s="24372">
        <v>27</v>
      </c>
      <c r="C605" s="24373">
        <v>46202</v>
      </c>
      <c r="D605" s="24374" t="s">
        <v>159</v>
      </c>
      <c r="E605" s="24375" t="s">
        <v>912</v>
      </c>
      <c r="F605" s="24376" t="s">
        <v>383</v>
      </c>
      <c r="G605" s="24377">
        <v>60</v>
      </c>
      <c r="H605" s="24378">
        <v>27</v>
      </c>
      <c r="I605" s="24379">
        <f t="shared" si="19"/>
        <v>1620</v>
      </c>
      <c r="J605" s="24380" t="s">
        <v>852</v>
      </c>
      <c r="K605" s="24381" t="s">
        <v>913</v>
      </c>
    </row>
    <row r="606" spans="1:11" ht="13.8">
      <c r="A606" s="24382" t="str">
        <f t="shared" si="18"/>
        <v>TK-00605</v>
      </c>
      <c r="B606" s="24383">
        <v>27</v>
      </c>
      <c r="C606" s="24384">
        <v>46202</v>
      </c>
      <c r="D606" s="24385" t="s">
        <v>2</v>
      </c>
      <c r="E606" s="24386" t="s">
        <v>912</v>
      </c>
      <c r="F606" s="24387" t="s">
        <v>383</v>
      </c>
      <c r="G606" s="24388">
        <v>59</v>
      </c>
      <c r="H606" s="24389">
        <v>27</v>
      </c>
      <c r="I606" s="24390">
        <f t="shared" si="19"/>
        <v>1593</v>
      </c>
      <c r="J606" s="24391" t="s">
        <v>852</v>
      </c>
      <c r="K606" s="24392" t="s">
        <v>913</v>
      </c>
    </row>
    <row r="607" spans="1:11" ht="13.8">
      <c r="A607" s="24393" t="str">
        <f t="shared" si="18"/>
        <v>TK-00606</v>
      </c>
      <c r="B607" s="24394">
        <v>27</v>
      </c>
      <c r="C607" s="24395">
        <v>46202</v>
      </c>
      <c r="D607" s="24396" t="s">
        <v>2</v>
      </c>
      <c r="E607" s="24397" t="s">
        <v>912</v>
      </c>
      <c r="F607" s="24398" t="s">
        <v>235</v>
      </c>
      <c r="G607" s="24399">
        <v>94</v>
      </c>
      <c r="H607" s="24400">
        <v>27</v>
      </c>
      <c r="I607" s="24401">
        <f t="shared" si="19"/>
        <v>2538</v>
      </c>
      <c r="J607" s="24402" t="s">
        <v>852</v>
      </c>
      <c r="K607" s="24403" t="s">
        <v>913</v>
      </c>
    </row>
    <row r="608" spans="1:11" ht="13.8">
      <c r="A608" s="24404" t="str">
        <f t="shared" si="18"/>
        <v>TK-00607</v>
      </c>
      <c r="B608" s="24405">
        <v>27</v>
      </c>
      <c r="C608" s="24406">
        <v>46202</v>
      </c>
      <c r="D608" s="24407" t="s">
        <v>111</v>
      </c>
      <c r="E608" s="24408" t="s">
        <v>912</v>
      </c>
      <c r="F608" s="24409" t="s">
        <v>228</v>
      </c>
      <c r="G608" s="24410">
        <v>45</v>
      </c>
      <c r="H608" s="24411">
        <v>27</v>
      </c>
      <c r="I608" s="24412">
        <f t="shared" si="19"/>
        <v>1215</v>
      </c>
      <c r="J608" s="24413" t="s">
        <v>852</v>
      </c>
      <c r="K608" s="24414" t="s">
        <v>913</v>
      </c>
    </row>
    <row r="609" spans="1:11" ht="13.8">
      <c r="A609" s="24415" t="str">
        <f t="shared" si="18"/>
        <v>TK-00608</v>
      </c>
      <c r="B609" s="24416">
        <v>27</v>
      </c>
      <c r="C609" s="24417">
        <v>46203</v>
      </c>
      <c r="D609" s="24418" t="s">
        <v>2</v>
      </c>
      <c r="E609" s="24419" t="s">
        <v>912</v>
      </c>
      <c r="F609" s="24420" t="s">
        <v>214</v>
      </c>
      <c r="G609" s="24421">
        <v>400</v>
      </c>
      <c r="H609" s="24422">
        <v>27</v>
      </c>
      <c r="I609" s="24423">
        <f t="shared" si="19"/>
        <v>10800</v>
      </c>
      <c r="J609" s="24424" t="s">
        <v>852</v>
      </c>
      <c r="K609" s="24425" t="s">
        <v>913</v>
      </c>
    </row>
    <row r="610" spans="1:11" ht="13.8">
      <c r="A610" s="24426" t="str">
        <f t="shared" si="18"/>
        <v>TK-00609</v>
      </c>
      <c r="B610" s="24427">
        <v>27</v>
      </c>
      <c r="C610" s="24428">
        <v>46203</v>
      </c>
      <c r="D610" s="24429" t="s">
        <v>2</v>
      </c>
      <c r="E610" s="24430" t="s">
        <v>912</v>
      </c>
      <c r="F610" s="24431" t="s">
        <v>217</v>
      </c>
      <c r="G610" s="24432">
        <v>30</v>
      </c>
      <c r="H610" s="24433">
        <v>27</v>
      </c>
      <c r="I610" s="24434">
        <f t="shared" si="19"/>
        <v>810</v>
      </c>
      <c r="J610" s="24435" t="s">
        <v>852</v>
      </c>
      <c r="K610" s="24436" t="s">
        <v>913</v>
      </c>
    </row>
    <row r="611" spans="1:11" ht="13.8">
      <c r="A611" s="24437" t="str">
        <f t="shared" si="18"/>
        <v>TK-00610</v>
      </c>
      <c r="B611" s="24438">
        <v>27</v>
      </c>
      <c r="C611" s="24439">
        <v>46203</v>
      </c>
      <c r="D611" s="24440" t="s">
        <v>124</v>
      </c>
      <c r="E611" s="24441" t="s">
        <v>912</v>
      </c>
      <c r="F611" s="24442" t="s">
        <v>798</v>
      </c>
      <c r="G611" s="24443">
        <v>100</v>
      </c>
      <c r="H611" s="24444">
        <v>27</v>
      </c>
      <c r="I611" s="24445">
        <f t="shared" si="19"/>
        <v>2700</v>
      </c>
      <c r="J611" s="24446" t="s">
        <v>852</v>
      </c>
      <c r="K611" s="24447" t="s">
        <v>913</v>
      </c>
    </row>
    <row r="612" spans="1:11" ht="13.8">
      <c r="A612" s="24448" t="str">
        <f t="shared" si="18"/>
        <v>TK-00611</v>
      </c>
      <c r="B612" s="24449"/>
      <c r="C612" s="24450">
        <v>46203</v>
      </c>
      <c r="D612" s="24451" t="s">
        <v>833</v>
      </c>
      <c r="E612" s="24452" t="s">
        <v>912</v>
      </c>
      <c r="F612" s="24453" t="s">
        <v>835</v>
      </c>
      <c r="G612" s="24454">
        <v>50</v>
      </c>
      <c r="H612" s="24455">
        <v>27</v>
      </c>
      <c r="I612" s="24456">
        <f t="shared" si="19"/>
        <v>1350</v>
      </c>
      <c r="J612" s="24457" t="s">
        <v>852</v>
      </c>
      <c r="K612" s="24458" t="s">
        <v>913</v>
      </c>
    </row>
    <row r="613" spans="1:11" ht="13.8">
      <c r="A613" s="24459" t="str">
        <f t="shared" si="18"/>
        <v>TK-00612</v>
      </c>
      <c r="B613" s="24460"/>
      <c r="C613" s="24461">
        <v>46203</v>
      </c>
      <c r="D613" s="24462" t="s">
        <v>833</v>
      </c>
      <c r="E613" s="24463" t="s">
        <v>912</v>
      </c>
      <c r="F613" s="24464" t="s">
        <v>223</v>
      </c>
      <c r="G613" s="24465">
        <v>50</v>
      </c>
      <c r="H613" s="24466">
        <v>27</v>
      </c>
      <c r="I613" s="24467">
        <f t="shared" si="19"/>
        <v>1350</v>
      </c>
      <c r="J613" s="24468" t="s">
        <v>852</v>
      </c>
      <c r="K613" s="24469" t="s">
        <v>913</v>
      </c>
    </row>
    <row r="614" spans="1:11" ht="13.8">
      <c r="A614" s="24470" t="str">
        <f t="shared" si="18"/>
        <v>TK-00613</v>
      </c>
      <c r="B614" s="24471"/>
      <c r="C614" s="24472">
        <v>46203</v>
      </c>
      <c r="D614" s="24473" t="s">
        <v>833</v>
      </c>
      <c r="E614" s="24474" t="s">
        <v>912</v>
      </c>
      <c r="F614" s="24475" t="s">
        <v>837</v>
      </c>
      <c r="G614" s="24476">
        <v>100</v>
      </c>
      <c r="H614" s="24477">
        <v>27</v>
      </c>
      <c r="I614" s="24478">
        <f t="shared" si="19"/>
        <v>2700</v>
      </c>
      <c r="J614" s="24479" t="s">
        <v>852</v>
      </c>
      <c r="K614" s="24480" t="s">
        <v>913</v>
      </c>
    </row>
    <row r="615" spans="1:11" ht="13.8">
      <c r="A615" s="24481" t="str">
        <f t="shared" si="18"/>
        <v>TK-00614</v>
      </c>
      <c r="B615" s="24482"/>
      <c r="C615" s="24483">
        <v>46203</v>
      </c>
      <c r="D615" s="24484" t="s">
        <v>2</v>
      </c>
      <c r="E615" s="24485" t="s">
        <v>912</v>
      </c>
      <c r="F615" s="24486" t="s">
        <v>246</v>
      </c>
      <c r="G615" s="24487">
        <v>29</v>
      </c>
      <c r="H615" s="24488">
        <v>27</v>
      </c>
      <c r="I615" s="24489">
        <f t="shared" si="19"/>
        <v>783</v>
      </c>
      <c r="J615" s="24490" t="s">
        <v>852</v>
      </c>
      <c r="K615" s="24491" t="s">
        <v>913</v>
      </c>
    </row>
    <row r="616" spans="1:11" ht="13.8">
      <c r="A616" s="24492" t="str">
        <f t="shared" si="18"/>
        <v>TK-00615</v>
      </c>
      <c r="B616" s="24493"/>
      <c r="C616" s="24494">
        <v>46204</v>
      </c>
      <c r="D616" s="24495" t="s">
        <v>1</v>
      </c>
      <c r="E616" s="24496" t="s">
        <v>912</v>
      </c>
      <c r="F616" s="24497" t="s">
        <v>219</v>
      </c>
      <c r="G616" s="24498">
        <v>33</v>
      </c>
      <c r="H616" s="24499">
        <v>27</v>
      </c>
      <c r="I616" s="24500">
        <f t="shared" si="19"/>
        <v>891</v>
      </c>
      <c r="J616" s="24501" t="s">
        <v>852</v>
      </c>
      <c r="K616" s="24502" t="s">
        <v>913</v>
      </c>
    </row>
    <row r="617" spans="1:11" ht="13.8">
      <c r="A617" s="24503" t="str">
        <f t="shared" si="18"/>
        <v>TK-00616</v>
      </c>
      <c r="B617" s="24504"/>
      <c r="C617" s="24505">
        <v>46204</v>
      </c>
      <c r="D617" s="24506" t="s">
        <v>1</v>
      </c>
      <c r="E617" s="24507" t="s">
        <v>912</v>
      </c>
      <c r="F617" s="24508" t="s">
        <v>223</v>
      </c>
      <c r="G617" s="24509">
        <v>40</v>
      </c>
      <c r="H617" s="24510">
        <v>27</v>
      </c>
      <c r="I617" s="24511">
        <f t="shared" si="19"/>
        <v>1080</v>
      </c>
      <c r="J617" s="24512" t="s">
        <v>852</v>
      </c>
      <c r="K617" s="24513" t="s">
        <v>913</v>
      </c>
    </row>
    <row r="618" spans="1:11" ht="13.8">
      <c r="A618" s="24514" t="str">
        <f t="shared" si="18"/>
        <v>TK-00617</v>
      </c>
      <c r="B618" s="24515"/>
      <c r="C618" s="24516">
        <v>46204</v>
      </c>
      <c r="D618" s="24517" t="s">
        <v>1</v>
      </c>
      <c r="E618" s="24518" t="s">
        <v>912</v>
      </c>
      <c r="F618" s="24519" t="s">
        <v>220</v>
      </c>
      <c r="G618" s="24520">
        <v>40</v>
      </c>
      <c r="H618" s="24521">
        <v>27</v>
      </c>
      <c r="I618" s="24522">
        <f t="shared" si="19"/>
        <v>1080</v>
      </c>
      <c r="J618" s="24523" t="s">
        <v>852</v>
      </c>
      <c r="K618" s="24524" t="s">
        <v>913</v>
      </c>
    </row>
    <row r="619" spans="1:11" ht="13.8">
      <c r="A619" s="24525" t="str">
        <f t="shared" si="18"/>
        <v>TK-00618</v>
      </c>
      <c r="B619" s="24526"/>
      <c r="C619" s="24527">
        <v>46204</v>
      </c>
      <c r="D619" s="24528" t="s">
        <v>1</v>
      </c>
      <c r="E619" s="24529" t="s">
        <v>912</v>
      </c>
      <c r="F619" s="24530" t="s">
        <v>224</v>
      </c>
      <c r="G619" s="24531">
        <v>40</v>
      </c>
      <c r="H619" s="24532">
        <v>27</v>
      </c>
      <c r="I619" s="24533">
        <f t="shared" si="19"/>
        <v>1080</v>
      </c>
      <c r="J619" s="24534" t="s">
        <v>852</v>
      </c>
      <c r="K619" s="24535" t="s">
        <v>913</v>
      </c>
    </row>
    <row r="620" spans="1:11" ht="13.8">
      <c r="A620" s="24536" t="str">
        <f t="shared" si="18"/>
        <v>TK-00619</v>
      </c>
      <c r="B620" s="24537"/>
      <c r="C620" s="24538">
        <v>46204</v>
      </c>
      <c r="D620" s="24539" t="s">
        <v>1</v>
      </c>
      <c r="E620" s="24540" t="s">
        <v>912</v>
      </c>
      <c r="F620" s="24541" t="s">
        <v>367</v>
      </c>
      <c r="G620" s="24542">
        <v>120</v>
      </c>
      <c r="H620" s="24543">
        <v>27</v>
      </c>
      <c r="I620" s="24544">
        <f t="shared" si="19"/>
        <v>3240</v>
      </c>
      <c r="J620" s="24545" t="s">
        <v>852</v>
      </c>
      <c r="K620" s="24546" t="s">
        <v>913</v>
      </c>
    </row>
    <row r="621" spans="1:11" ht="13.8">
      <c r="A621" s="24547" t="str">
        <f t="shared" si="18"/>
        <v>TK-00620</v>
      </c>
      <c r="B621" s="24548"/>
      <c r="C621" s="24549">
        <v>46181</v>
      </c>
      <c r="D621" s="24550" t="s">
        <v>400</v>
      </c>
      <c r="E621" s="24551" t="s">
        <v>914</v>
      </c>
      <c r="F621" s="24552" t="s">
        <v>915</v>
      </c>
      <c r="G621" s="24553" t="s">
        <v>111</v>
      </c>
      <c r="H621" s="24554">
        <v>27</v>
      </c>
      <c r="I621" s="24555" t="e">
        <f t="shared" si="19"/>
        <v>#VALUE!</v>
      </c>
      <c r="J621" s="24556" t="s">
        <v>852</v>
      </c>
      <c r="K621" s="24557" t="s">
        <v>916</v>
      </c>
    </row>
    <row r="622" spans="1:11" ht="13.8">
      <c r="A622" s="24558" t="str">
        <f t="shared" si="18"/>
        <v>TK-00621</v>
      </c>
      <c r="B622" s="24559"/>
      <c r="C622" s="24560">
        <v>46181</v>
      </c>
      <c r="D622" s="24561" t="s">
        <v>400</v>
      </c>
      <c r="E622" s="24562" t="s">
        <v>914</v>
      </c>
      <c r="F622" s="24563" t="s">
        <v>915</v>
      </c>
      <c r="G622" s="24564" t="s">
        <v>115</v>
      </c>
      <c r="H622" s="24565">
        <v>27</v>
      </c>
      <c r="I622" s="24566" t="e">
        <f t="shared" si="19"/>
        <v>#VALUE!</v>
      </c>
      <c r="J622" s="24567" t="s">
        <v>852</v>
      </c>
      <c r="K622" s="24568" t="s">
        <v>916</v>
      </c>
    </row>
    <row r="623" spans="1:11" ht="13.8">
      <c r="A623" s="24569" t="str">
        <f t="shared" si="18"/>
        <v>TK-00622</v>
      </c>
      <c r="B623" s="24570"/>
      <c r="C623" s="24571">
        <v>46181</v>
      </c>
      <c r="D623" s="24572" t="s">
        <v>400</v>
      </c>
      <c r="E623" s="24573" t="s">
        <v>914</v>
      </c>
      <c r="F623" s="24574" t="s">
        <v>915</v>
      </c>
      <c r="G623" s="24575" t="s">
        <v>115</v>
      </c>
      <c r="H623" s="24576">
        <v>27</v>
      </c>
      <c r="I623" s="24577" t="e">
        <f t="shared" si="19"/>
        <v>#VALUE!</v>
      </c>
      <c r="J623" s="24578" t="s">
        <v>852</v>
      </c>
      <c r="K623" s="24579" t="s">
        <v>916</v>
      </c>
    </row>
    <row r="624" spans="1:11" ht="13.8">
      <c r="A624" s="24580" t="str">
        <f t="shared" si="18"/>
        <v>TK-00623</v>
      </c>
      <c r="B624" s="24581"/>
      <c r="C624" s="24582">
        <v>46181</v>
      </c>
      <c r="D624" s="24583" t="s">
        <v>400</v>
      </c>
      <c r="E624" s="24584" t="s">
        <v>914</v>
      </c>
      <c r="F624" s="24585" t="s">
        <v>915</v>
      </c>
      <c r="G624" s="24586" t="s">
        <v>111</v>
      </c>
      <c r="H624" s="24587">
        <v>27</v>
      </c>
      <c r="I624" s="24588" t="e">
        <f t="shared" si="19"/>
        <v>#VALUE!</v>
      </c>
      <c r="J624" s="24589" t="s">
        <v>852</v>
      </c>
      <c r="K624" s="24590" t="s">
        <v>916</v>
      </c>
    </row>
    <row r="625" spans="1:11" ht="13.8">
      <c r="A625" s="24591" t="str">
        <f t="shared" si="18"/>
        <v>TK-00624</v>
      </c>
      <c r="B625" s="24592"/>
      <c r="C625" s="24593">
        <v>46182</v>
      </c>
      <c r="D625" s="24594" t="s">
        <v>400</v>
      </c>
      <c r="E625" s="24595" t="s">
        <v>914</v>
      </c>
      <c r="F625" s="24596" t="s">
        <v>917</v>
      </c>
      <c r="G625" s="24597" t="s">
        <v>2</v>
      </c>
      <c r="H625" s="24598">
        <v>27</v>
      </c>
      <c r="I625" s="24599" t="e">
        <f t="shared" si="19"/>
        <v>#VALUE!</v>
      </c>
      <c r="J625" s="24600" t="s">
        <v>852</v>
      </c>
      <c r="K625" s="24601" t="s">
        <v>916</v>
      </c>
    </row>
    <row r="626" spans="1:11" ht="13.8">
      <c r="A626" s="24602" t="str">
        <f t="shared" si="18"/>
        <v>TK-00625</v>
      </c>
      <c r="B626" s="24603"/>
      <c r="C626" s="24604">
        <v>46182</v>
      </c>
      <c r="D626" s="24605" t="s">
        <v>400</v>
      </c>
      <c r="E626" s="24606" t="s">
        <v>914</v>
      </c>
      <c r="F626" s="24607" t="s">
        <v>918</v>
      </c>
      <c r="G626" s="24608" t="s">
        <v>2</v>
      </c>
      <c r="H626" s="24609">
        <v>27</v>
      </c>
      <c r="I626" s="24610" t="e">
        <f t="shared" si="19"/>
        <v>#VALUE!</v>
      </c>
      <c r="J626" s="24611" t="s">
        <v>852</v>
      </c>
      <c r="K626" s="24612" t="s">
        <v>916</v>
      </c>
    </row>
    <row r="627" spans="1:11" ht="13.8">
      <c r="A627" s="24613" t="str">
        <f t="shared" si="18"/>
        <v>TK-00626</v>
      </c>
      <c r="B627" s="24614"/>
      <c r="C627" s="24615">
        <v>46182</v>
      </c>
      <c r="D627" s="24616" t="s">
        <v>400</v>
      </c>
      <c r="E627" s="24617" t="s">
        <v>914</v>
      </c>
      <c r="F627" s="24618" t="s">
        <v>919</v>
      </c>
      <c r="G627" s="24619" t="s">
        <v>2</v>
      </c>
      <c r="H627" s="24620">
        <v>27</v>
      </c>
      <c r="I627" s="24621" t="e">
        <f t="shared" si="19"/>
        <v>#VALUE!</v>
      </c>
      <c r="J627" s="24622" t="s">
        <v>852</v>
      </c>
      <c r="K627" s="24623" t="s">
        <v>916</v>
      </c>
    </row>
    <row r="628" spans="1:11" ht="13.8">
      <c r="A628" s="24624" t="str">
        <f t="shared" si="18"/>
        <v>TK-00627</v>
      </c>
      <c r="B628" s="24625"/>
      <c r="C628" s="24626">
        <v>46183</v>
      </c>
      <c r="D628" s="24627" t="s">
        <v>400</v>
      </c>
      <c r="E628" s="24628" t="s">
        <v>914</v>
      </c>
      <c r="F628" s="24629" t="s">
        <v>915</v>
      </c>
      <c r="G628" s="24630" t="s">
        <v>111</v>
      </c>
      <c r="H628" s="24631">
        <v>27</v>
      </c>
      <c r="I628" s="24632" t="e">
        <f t="shared" si="19"/>
        <v>#VALUE!</v>
      </c>
      <c r="J628" s="24633" t="s">
        <v>852</v>
      </c>
      <c r="K628" s="24634" t="s">
        <v>916</v>
      </c>
    </row>
    <row r="629" spans="1:11" ht="13.8">
      <c r="A629" s="24635" t="str">
        <f t="shared" si="18"/>
        <v>TK-00628</v>
      </c>
      <c r="B629" s="24636"/>
      <c r="C629" s="24637">
        <v>46184</v>
      </c>
      <c r="D629" s="24638" t="s">
        <v>400</v>
      </c>
      <c r="E629" s="24639" t="s">
        <v>914</v>
      </c>
      <c r="F629" s="24640" t="s">
        <v>920</v>
      </c>
      <c r="G629" s="24641" t="s">
        <v>115</v>
      </c>
      <c r="H629" s="24642">
        <v>27</v>
      </c>
      <c r="I629" s="24643" t="e">
        <f t="shared" si="19"/>
        <v>#VALUE!</v>
      </c>
      <c r="J629" s="24644" t="s">
        <v>852</v>
      </c>
      <c r="K629" s="24645" t="s">
        <v>916</v>
      </c>
    </row>
    <row r="630" spans="1:11" ht="13.8">
      <c r="A630" s="24646" t="str">
        <f t="shared" si="18"/>
        <v>TK-00629</v>
      </c>
      <c r="B630" s="24647"/>
      <c r="C630" s="24648">
        <v>46184</v>
      </c>
      <c r="D630" s="24649" t="s">
        <v>400</v>
      </c>
      <c r="E630" s="24650" t="s">
        <v>914</v>
      </c>
      <c r="F630" s="24651" t="s">
        <v>919</v>
      </c>
      <c r="G630" s="24652" t="s">
        <v>2</v>
      </c>
      <c r="H630" s="24653">
        <v>27</v>
      </c>
      <c r="I630" s="24654" t="e">
        <f t="shared" si="19"/>
        <v>#VALUE!</v>
      </c>
      <c r="J630" s="24655" t="s">
        <v>852</v>
      </c>
      <c r="K630" s="24656" t="s">
        <v>916</v>
      </c>
    </row>
    <row r="631" spans="1:11" ht="13.8">
      <c r="A631" s="24657" t="str">
        <f t="shared" si="18"/>
        <v>TK-00630</v>
      </c>
      <c r="B631" s="24658"/>
      <c r="C631" s="24659">
        <v>46184</v>
      </c>
      <c r="D631" s="24660" t="s">
        <v>400</v>
      </c>
      <c r="E631" s="24661" t="s">
        <v>914</v>
      </c>
      <c r="F631" s="24662" t="s">
        <v>921</v>
      </c>
      <c r="G631" s="24663" t="s">
        <v>2</v>
      </c>
      <c r="H631" s="24664">
        <v>27</v>
      </c>
      <c r="I631" s="24665" t="e">
        <f t="shared" si="19"/>
        <v>#VALUE!</v>
      </c>
      <c r="J631" s="24666" t="s">
        <v>852</v>
      </c>
      <c r="K631" s="24667" t="s">
        <v>916</v>
      </c>
    </row>
    <row r="632" spans="1:11" ht="13.8">
      <c r="A632" s="24668" t="str">
        <f t="shared" si="18"/>
        <v>TK-00631</v>
      </c>
      <c r="B632" s="24669"/>
      <c r="C632" s="24670">
        <v>46184</v>
      </c>
      <c r="D632" s="24671" t="s">
        <v>400</v>
      </c>
      <c r="E632" s="24672" t="s">
        <v>914</v>
      </c>
      <c r="F632" s="24673" t="s">
        <v>917</v>
      </c>
      <c r="G632" s="24674" t="s">
        <v>2</v>
      </c>
      <c r="H632" s="24675">
        <v>27</v>
      </c>
      <c r="I632" s="24676" t="e">
        <f t="shared" si="19"/>
        <v>#VALUE!</v>
      </c>
      <c r="J632" s="24677" t="s">
        <v>852</v>
      </c>
      <c r="K632" s="24678" t="s">
        <v>916</v>
      </c>
    </row>
    <row r="633" spans="1:11" ht="13.8">
      <c r="A633" s="24679" t="str">
        <f t="shared" si="18"/>
        <v>TK-00632</v>
      </c>
      <c r="B633" s="24680"/>
      <c r="C633" s="24681">
        <v>46184</v>
      </c>
      <c r="D633" s="24682" t="s">
        <v>400</v>
      </c>
      <c r="E633" s="24683" t="s">
        <v>914</v>
      </c>
      <c r="F633" s="24684" t="s">
        <v>922</v>
      </c>
      <c r="G633" s="24685" t="s">
        <v>2</v>
      </c>
      <c r="H633" s="24686">
        <v>27</v>
      </c>
      <c r="I633" s="24687" t="e">
        <f t="shared" si="19"/>
        <v>#VALUE!</v>
      </c>
      <c r="J633" s="24688" t="s">
        <v>852</v>
      </c>
      <c r="K633" s="24689" t="s">
        <v>916</v>
      </c>
    </row>
    <row r="634" spans="1:11" ht="13.8">
      <c r="A634" s="24690" t="str">
        <f t="shared" si="18"/>
        <v>TK-00633</v>
      </c>
      <c r="B634" s="24691"/>
      <c r="C634" s="24692">
        <v>46184</v>
      </c>
      <c r="D634" s="24693" t="s">
        <v>400</v>
      </c>
      <c r="E634" s="24694" t="s">
        <v>914</v>
      </c>
      <c r="F634" s="24695" t="s">
        <v>923</v>
      </c>
      <c r="G634" s="24696" t="s">
        <v>2</v>
      </c>
      <c r="H634" s="24697">
        <v>27</v>
      </c>
      <c r="I634" s="24698" t="e">
        <f t="shared" si="19"/>
        <v>#VALUE!</v>
      </c>
      <c r="J634" s="24699" t="s">
        <v>852</v>
      </c>
      <c r="K634" s="24700" t="s">
        <v>916</v>
      </c>
    </row>
    <row r="635" spans="1:11" ht="13.8">
      <c r="A635" s="24701" t="str">
        <f t="shared" si="18"/>
        <v>TK-00634</v>
      </c>
      <c r="B635" s="24702"/>
      <c r="C635" s="24703">
        <v>46184</v>
      </c>
      <c r="D635" s="24704" t="s">
        <v>400</v>
      </c>
      <c r="E635" s="24705" t="s">
        <v>914</v>
      </c>
      <c r="F635" s="24706" t="s">
        <v>918</v>
      </c>
      <c r="G635" s="24707" t="s">
        <v>2</v>
      </c>
      <c r="H635" s="24708">
        <v>27</v>
      </c>
      <c r="I635" s="24709" t="e">
        <f t="shared" si="19"/>
        <v>#VALUE!</v>
      </c>
      <c r="J635" s="24710" t="s">
        <v>852</v>
      </c>
      <c r="K635" s="24711" t="s">
        <v>916</v>
      </c>
    </row>
    <row r="636" spans="1:11" ht="13.8">
      <c r="A636" s="24712" t="str">
        <f t="shared" si="18"/>
        <v>TK-00635</v>
      </c>
      <c r="B636" s="24713"/>
      <c r="C636" s="24714">
        <v>46184</v>
      </c>
      <c r="D636" s="24715" t="s">
        <v>400</v>
      </c>
      <c r="E636" s="24716" t="s">
        <v>914</v>
      </c>
      <c r="F636" s="24717" t="s">
        <v>918</v>
      </c>
      <c r="G636" s="24718" t="s">
        <v>2</v>
      </c>
      <c r="H636" s="24719">
        <v>27</v>
      </c>
      <c r="I636" s="24720" t="e">
        <f t="shared" si="19"/>
        <v>#VALUE!</v>
      </c>
      <c r="J636" s="24721" t="s">
        <v>852</v>
      </c>
      <c r="K636" s="24722" t="s">
        <v>916</v>
      </c>
    </row>
    <row r="637" spans="1:11" ht="13.8">
      <c r="A637" s="24723" t="str">
        <f t="shared" si="18"/>
        <v>TK-00636</v>
      </c>
      <c r="B637" s="24724"/>
      <c r="C637" s="24725">
        <v>46184</v>
      </c>
      <c r="D637" s="24726" t="s">
        <v>400</v>
      </c>
      <c r="E637" s="24727" t="s">
        <v>914</v>
      </c>
      <c r="F637" s="24728" t="s">
        <v>924</v>
      </c>
      <c r="G637" s="24729" t="s">
        <v>2</v>
      </c>
      <c r="H637" s="24730">
        <v>27</v>
      </c>
      <c r="I637" s="24731" t="e">
        <f t="shared" si="19"/>
        <v>#VALUE!</v>
      </c>
      <c r="J637" s="24732" t="s">
        <v>852</v>
      </c>
      <c r="K637" s="24733" t="s">
        <v>916</v>
      </c>
    </row>
    <row r="638" spans="1:11" ht="13.8">
      <c r="A638" s="24734" t="str">
        <f t="shared" si="18"/>
        <v>TK-00637</v>
      </c>
      <c r="B638" s="24735"/>
      <c r="C638" s="24736">
        <v>46185</v>
      </c>
      <c r="D638" s="24737" t="s">
        <v>400</v>
      </c>
      <c r="E638" s="24738" t="s">
        <v>914</v>
      </c>
      <c r="F638" s="24739" t="s">
        <v>925</v>
      </c>
      <c r="G638" s="24740" t="s">
        <v>111</v>
      </c>
      <c r="H638" s="24741">
        <v>27</v>
      </c>
      <c r="I638" s="24742" t="e">
        <f t="shared" si="19"/>
        <v>#VALUE!</v>
      </c>
      <c r="J638" s="24743" t="s">
        <v>852</v>
      </c>
      <c r="K638" s="24744" t="s">
        <v>916</v>
      </c>
    </row>
    <row r="639" spans="1:11" ht="13.8">
      <c r="A639" s="24745" t="str">
        <f t="shared" si="18"/>
        <v>TK-00638</v>
      </c>
      <c r="B639" s="24746"/>
      <c r="C639" s="24747">
        <v>46188</v>
      </c>
      <c r="D639" s="24748" t="s">
        <v>400</v>
      </c>
      <c r="E639" s="24749" t="s">
        <v>914</v>
      </c>
      <c r="F639" s="24750" t="s">
        <v>926</v>
      </c>
      <c r="G639" s="24751" t="s">
        <v>111</v>
      </c>
      <c r="H639" s="24752">
        <v>27</v>
      </c>
      <c r="I639" s="24753" t="e">
        <f t="shared" si="19"/>
        <v>#VALUE!</v>
      </c>
      <c r="J639" s="24754" t="s">
        <v>852</v>
      </c>
      <c r="K639" s="24755" t="s">
        <v>916</v>
      </c>
    </row>
    <row r="640" spans="1:11" ht="13.8">
      <c r="A640" s="24756" t="str">
        <f t="shared" si="18"/>
        <v>TK-00639</v>
      </c>
      <c r="B640" s="24757"/>
      <c r="C640" s="24758">
        <v>46188</v>
      </c>
      <c r="D640" s="24759" t="s">
        <v>400</v>
      </c>
      <c r="E640" s="24760" t="s">
        <v>914</v>
      </c>
      <c r="F640" s="24761" t="s">
        <v>927</v>
      </c>
      <c r="G640" s="24762" t="s">
        <v>2</v>
      </c>
      <c r="H640" s="24763">
        <v>27</v>
      </c>
      <c r="I640" s="24764" t="e">
        <f t="shared" si="19"/>
        <v>#VALUE!</v>
      </c>
      <c r="J640" s="24765" t="s">
        <v>852</v>
      </c>
      <c r="K640" s="24766" t="s">
        <v>916</v>
      </c>
    </row>
    <row r="641" spans="1:11" ht="13.8">
      <c r="A641" s="24767" t="str">
        <f t="shared" si="18"/>
        <v>TK-00640</v>
      </c>
      <c r="B641" s="24768"/>
      <c r="C641" s="24769">
        <v>46188</v>
      </c>
      <c r="D641" s="24770" t="s">
        <v>400</v>
      </c>
      <c r="E641" s="24771" t="s">
        <v>914</v>
      </c>
      <c r="F641" s="24772" t="s">
        <v>928</v>
      </c>
      <c r="G641" s="24773" t="s">
        <v>115</v>
      </c>
      <c r="H641" s="24774">
        <v>27</v>
      </c>
      <c r="I641" s="24775" t="e">
        <f t="shared" si="19"/>
        <v>#VALUE!</v>
      </c>
      <c r="J641" s="24776" t="s">
        <v>852</v>
      </c>
      <c r="K641" s="24777" t="s">
        <v>916</v>
      </c>
    </row>
    <row r="642" spans="1:11" ht="13.8">
      <c r="A642" s="24778" t="str">
        <f t="shared" ref="A642:A666" si="20">"TK-"&amp;TEXT(ROW()-1, "00000")</f>
        <v>TK-00641</v>
      </c>
      <c r="B642" s="24779"/>
      <c r="C642" s="24780">
        <v>46188</v>
      </c>
      <c r="D642" s="24781" t="s">
        <v>400</v>
      </c>
      <c r="E642" s="24782" t="s">
        <v>914</v>
      </c>
      <c r="F642" s="24783" t="s">
        <v>929</v>
      </c>
      <c r="G642" s="24784" t="s">
        <v>111</v>
      </c>
      <c r="H642" s="24785">
        <v>27</v>
      </c>
      <c r="I642" s="24786" t="e">
        <f t="shared" ref="I642:I705" si="21">G642*H642</f>
        <v>#VALUE!</v>
      </c>
      <c r="J642" s="24787" t="s">
        <v>852</v>
      </c>
      <c r="K642" s="24788" t="s">
        <v>916</v>
      </c>
    </row>
    <row r="643" spans="1:11" ht="13.8">
      <c r="A643" s="24789" t="str">
        <f t="shared" si="20"/>
        <v>TK-00642</v>
      </c>
      <c r="B643" s="24790"/>
      <c r="C643" s="24791">
        <v>46188</v>
      </c>
      <c r="D643" s="24792" t="s">
        <v>400</v>
      </c>
      <c r="E643" s="24793" t="s">
        <v>914</v>
      </c>
      <c r="F643" s="24794" t="s">
        <v>930</v>
      </c>
      <c r="G643" s="24795" t="s">
        <v>2</v>
      </c>
      <c r="H643" s="24796">
        <v>27</v>
      </c>
      <c r="I643" s="24797" t="e">
        <f t="shared" si="21"/>
        <v>#VALUE!</v>
      </c>
      <c r="J643" s="24798" t="s">
        <v>852</v>
      </c>
      <c r="K643" s="24799" t="s">
        <v>916</v>
      </c>
    </row>
    <row r="644" spans="1:11" ht="13.8">
      <c r="A644" s="24800" t="str">
        <f t="shared" si="20"/>
        <v>TK-00643</v>
      </c>
      <c r="B644" s="24801"/>
      <c r="C644" s="24802">
        <v>46188</v>
      </c>
      <c r="D644" s="24803" t="s">
        <v>400</v>
      </c>
      <c r="E644" s="24804" t="s">
        <v>914</v>
      </c>
      <c r="F644" s="24805" t="s">
        <v>931</v>
      </c>
      <c r="G644" s="24806" t="s">
        <v>2</v>
      </c>
      <c r="H644" s="24807">
        <v>27</v>
      </c>
      <c r="I644" s="24808" t="e">
        <f t="shared" si="21"/>
        <v>#VALUE!</v>
      </c>
      <c r="J644" s="24809" t="s">
        <v>852</v>
      </c>
      <c r="K644" s="24810" t="s">
        <v>916</v>
      </c>
    </row>
    <row r="645" spans="1:11" ht="13.8">
      <c r="A645" s="24811" t="str">
        <f t="shared" si="20"/>
        <v>TK-00644</v>
      </c>
      <c r="B645" s="24812"/>
      <c r="C645" s="24813">
        <v>46188</v>
      </c>
      <c r="D645" s="24814" t="s">
        <v>400</v>
      </c>
      <c r="E645" s="24815" t="s">
        <v>914</v>
      </c>
      <c r="F645" s="24816" t="s">
        <v>932</v>
      </c>
      <c r="G645" s="24817" t="s">
        <v>2</v>
      </c>
      <c r="H645" s="24818">
        <v>27</v>
      </c>
      <c r="I645" s="24819" t="e">
        <f t="shared" si="21"/>
        <v>#VALUE!</v>
      </c>
      <c r="J645" s="24820" t="s">
        <v>852</v>
      </c>
      <c r="K645" s="24821" t="s">
        <v>916</v>
      </c>
    </row>
    <row r="646" spans="1:11" ht="13.8">
      <c r="A646" s="24822" t="str">
        <f t="shared" si="20"/>
        <v>TK-00645</v>
      </c>
      <c r="B646" s="24823"/>
      <c r="C646" s="24824">
        <v>46188</v>
      </c>
      <c r="D646" s="24825" t="s">
        <v>400</v>
      </c>
      <c r="E646" s="24826" t="s">
        <v>914</v>
      </c>
      <c r="F646" s="24827" t="s">
        <v>933</v>
      </c>
      <c r="G646" s="24828" t="s">
        <v>2</v>
      </c>
      <c r="H646" s="24829">
        <v>27</v>
      </c>
      <c r="I646" s="24830" t="e">
        <f t="shared" si="21"/>
        <v>#VALUE!</v>
      </c>
      <c r="J646" s="24831" t="s">
        <v>852</v>
      </c>
      <c r="K646" s="24832" t="s">
        <v>916</v>
      </c>
    </row>
    <row r="647" spans="1:11" ht="13.8">
      <c r="A647" s="24833" t="str">
        <f t="shared" si="20"/>
        <v>TK-00646</v>
      </c>
      <c r="B647" s="24834"/>
      <c r="C647" s="24835">
        <v>46189</v>
      </c>
      <c r="D647" s="24836" t="s">
        <v>400</v>
      </c>
      <c r="E647" s="24837" t="s">
        <v>914</v>
      </c>
      <c r="F647" s="24838" t="s">
        <v>934</v>
      </c>
      <c r="G647" s="24839" t="s">
        <v>2</v>
      </c>
      <c r="H647" s="24840">
        <v>27</v>
      </c>
      <c r="I647" s="24841" t="e">
        <f t="shared" si="21"/>
        <v>#VALUE!</v>
      </c>
      <c r="J647" s="24842" t="s">
        <v>852</v>
      </c>
      <c r="K647" s="24843" t="s">
        <v>916</v>
      </c>
    </row>
    <row r="648" spans="1:11" ht="13.8">
      <c r="A648" s="24844" t="str">
        <f t="shared" si="20"/>
        <v>TK-00647</v>
      </c>
      <c r="B648" s="24845"/>
      <c r="C648" s="24846">
        <v>46189</v>
      </c>
      <c r="D648" s="24847" t="s">
        <v>400</v>
      </c>
      <c r="E648" s="24848" t="s">
        <v>914</v>
      </c>
      <c r="F648" s="24849" t="s">
        <v>935</v>
      </c>
      <c r="G648" s="24850" t="s">
        <v>115</v>
      </c>
      <c r="H648" s="24851">
        <v>27</v>
      </c>
      <c r="I648" s="24852" t="e">
        <f t="shared" si="21"/>
        <v>#VALUE!</v>
      </c>
      <c r="J648" s="24853" t="s">
        <v>852</v>
      </c>
      <c r="K648" s="24854" t="s">
        <v>916</v>
      </c>
    </row>
    <row r="649" spans="1:11" ht="13.8">
      <c r="A649" s="24855" t="str">
        <f t="shared" si="20"/>
        <v>TK-00648</v>
      </c>
      <c r="B649" s="24856"/>
      <c r="C649" s="24857">
        <v>46189</v>
      </c>
      <c r="D649" s="24858" t="s">
        <v>400</v>
      </c>
      <c r="E649" s="24859" t="s">
        <v>914</v>
      </c>
      <c r="F649" s="24860" t="s">
        <v>926</v>
      </c>
      <c r="G649" s="24861" t="s">
        <v>115</v>
      </c>
      <c r="H649" s="24862">
        <v>27</v>
      </c>
      <c r="I649" s="24863" t="e">
        <f t="shared" si="21"/>
        <v>#VALUE!</v>
      </c>
      <c r="J649" s="24864" t="s">
        <v>852</v>
      </c>
      <c r="K649" s="24865" t="s">
        <v>916</v>
      </c>
    </row>
    <row r="650" spans="1:11" ht="13.8">
      <c r="A650" s="24866" t="str">
        <f t="shared" si="20"/>
        <v>TK-00649</v>
      </c>
      <c r="B650" s="24867"/>
      <c r="C650" s="24868">
        <v>46189</v>
      </c>
      <c r="D650" s="24869" t="s">
        <v>400</v>
      </c>
      <c r="E650" s="24870" t="s">
        <v>914</v>
      </c>
      <c r="F650" s="24871" t="s">
        <v>936</v>
      </c>
      <c r="G650" s="24872" t="s">
        <v>2</v>
      </c>
      <c r="H650" s="24873">
        <v>27</v>
      </c>
      <c r="I650" s="24874" t="e">
        <f t="shared" si="21"/>
        <v>#VALUE!</v>
      </c>
      <c r="J650" s="24875" t="s">
        <v>852</v>
      </c>
      <c r="K650" s="24876" t="s">
        <v>916</v>
      </c>
    </row>
    <row r="651" spans="1:11" ht="13.8">
      <c r="A651" s="24877" t="str">
        <f t="shared" si="20"/>
        <v>TK-00650</v>
      </c>
      <c r="B651" s="24878"/>
      <c r="C651" s="24879">
        <v>46189</v>
      </c>
      <c r="D651" s="24880" t="s">
        <v>400</v>
      </c>
      <c r="E651" s="24881" t="s">
        <v>914</v>
      </c>
      <c r="F651" s="24882" t="s">
        <v>936</v>
      </c>
      <c r="G651" s="24883" t="s">
        <v>111</v>
      </c>
      <c r="H651" s="24884">
        <v>27</v>
      </c>
      <c r="I651" s="24885" t="e">
        <f t="shared" si="21"/>
        <v>#VALUE!</v>
      </c>
      <c r="J651" s="24886" t="s">
        <v>852</v>
      </c>
      <c r="K651" s="24887" t="s">
        <v>916</v>
      </c>
    </row>
    <row r="652" spans="1:11" ht="13.8">
      <c r="A652" s="24888" t="str">
        <f t="shared" si="20"/>
        <v>TK-00651</v>
      </c>
      <c r="B652" s="24889"/>
      <c r="C652" s="24890">
        <v>46189</v>
      </c>
      <c r="D652" s="24891" t="s">
        <v>400</v>
      </c>
      <c r="E652" s="24892" t="s">
        <v>914</v>
      </c>
      <c r="F652" s="24893" t="s">
        <v>934</v>
      </c>
      <c r="G652" s="24894" t="s">
        <v>2</v>
      </c>
      <c r="H652" s="24895">
        <v>27</v>
      </c>
      <c r="I652" s="24896" t="e">
        <f t="shared" si="21"/>
        <v>#VALUE!</v>
      </c>
      <c r="J652" s="24897" t="s">
        <v>852</v>
      </c>
      <c r="K652" s="24898" t="s">
        <v>916</v>
      </c>
    </row>
    <row r="653" spans="1:11" ht="13.8">
      <c r="A653" s="24899" t="str">
        <f t="shared" si="20"/>
        <v>TK-00652</v>
      </c>
      <c r="B653" s="24900"/>
      <c r="C653" s="24901">
        <v>46189</v>
      </c>
      <c r="D653" s="24902" t="s">
        <v>400</v>
      </c>
      <c r="E653" s="24903" t="s">
        <v>914</v>
      </c>
      <c r="F653" s="24904" t="s">
        <v>937</v>
      </c>
      <c r="G653" s="24905" t="s">
        <v>2</v>
      </c>
      <c r="H653" s="24906">
        <v>27</v>
      </c>
      <c r="I653" s="24907" t="e">
        <f t="shared" si="21"/>
        <v>#VALUE!</v>
      </c>
      <c r="J653" s="24908" t="s">
        <v>852</v>
      </c>
      <c r="K653" s="24909" t="s">
        <v>916</v>
      </c>
    </row>
    <row r="654" spans="1:11" ht="13.8">
      <c r="A654" s="24910" t="str">
        <f t="shared" si="20"/>
        <v>TK-00653</v>
      </c>
      <c r="B654" s="24911"/>
      <c r="C654" s="24912">
        <v>46190</v>
      </c>
      <c r="D654" s="24913" t="s">
        <v>400</v>
      </c>
      <c r="E654" s="24914" t="s">
        <v>914</v>
      </c>
      <c r="F654" s="24915" t="s">
        <v>938</v>
      </c>
      <c r="G654" s="24916" t="s">
        <v>2</v>
      </c>
      <c r="H654" s="24917">
        <v>27</v>
      </c>
      <c r="I654" s="24918" t="e">
        <f t="shared" si="21"/>
        <v>#VALUE!</v>
      </c>
      <c r="J654" s="24919" t="s">
        <v>852</v>
      </c>
      <c r="K654" s="24920" t="s">
        <v>916</v>
      </c>
    </row>
    <row r="655" spans="1:11" ht="13.8">
      <c r="A655" s="24921" t="str">
        <f t="shared" si="20"/>
        <v>TK-00654</v>
      </c>
      <c r="B655" s="24922"/>
      <c r="C655" s="24923">
        <v>46192</v>
      </c>
      <c r="D655" s="24924" t="s">
        <v>400</v>
      </c>
      <c r="E655" s="24925" t="s">
        <v>914</v>
      </c>
      <c r="F655" s="24926" t="s">
        <v>930</v>
      </c>
      <c r="G655" s="24927" t="s">
        <v>2</v>
      </c>
      <c r="H655" s="24928">
        <v>27</v>
      </c>
      <c r="I655" s="24929" t="e">
        <f t="shared" si="21"/>
        <v>#VALUE!</v>
      </c>
      <c r="J655" s="24930" t="s">
        <v>852</v>
      </c>
      <c r="K655" s="24931" t="s">
        <v>916</v>
      </c>
    </row>
    <row r="656" spans="1:11" ht="13.8">
      <c r="A656" s="24932" t="str">
        <f t="shared" si="20"/>
        <v>TK-00655</v>
      </c>
      <c r="B656" s="24933"/>
      <c r="C656" s="24934">
        <v>46192</v>
      </c>
      <c r="D656" s="24935" t="s">
        <v>400</v>
      </c>
      <c r="E656" s="24936" t="s">
        <v>914</v>
      </c>
      <c r="F656" s="24937" t="s">
        <v>930</v>
      </c>
      <c r="G656" s="24938" t="s">
        <v>159</v>
      </c>
      <c r="H656" s="24939">
        <v>27</v>
      </c>
      <c r="I656" s="24940" t="e">
        <f t="shared" si="21"/>
        <v>#VALUE!</v>
      </c>
      <c r="J656" s="24941" t="s">
        <v>852</v>
      </c>
      <c r="K656" s="24942" t="s">
        <v>916</v>
      </c>
    </row>
    <row r="657" spans="1:11" ht="13.8">
      <c r="A657" s="24943" t="str">
        <f t="shared" si="20"/>
        <v>TK-00656</v>
      </c>
      <c r="B657" s="24944"/>
      <c r="C657" s="24945">
        <v>46192</v>
      </c>
      <c r="D657" s="24946" t="s">
        <v>400</v>
      </c>
      <c r="E657" s="24947" t="s">
        <v>914</v>
      </c>
      <c r="F657" s="24948" t="s">
        <v>931</v>
      </c>
      <c r="G657" s="24949" t="s">
        <v>2</v>
      </c>
      <c r="H657" s="24950">
        <v>27</v>
      </c>
      <c r="I657" s="24951" t="e">
        <f t="shared" si="21"/>
        <v>#VALUE!</v>
      </c>
      <c r="J657" s="24952" t="s">
        <v>852</v>
      </c>
      <c r="K657" s="24953" t="s">
        <v>916</v>
      </c>
    </row>
    <row r="658" spans="1:11" ht="13.8">
      <c r="A658" s="24954" t="str">
        <f t="shared" si="20"/>
        <v>TK-00657</v>
      </c>
      <c r="B658" s="24955"/>
      <c r="C658" s="24956">
        <v>46192</v>
      </c>
      <c r="D658" s="24957" t="s">
        <v>400</v>
      </c>
      <c r="E658" s="24958" t="s">
        <v>914</v>
      </c>
      <c r="F658" s="24959" t="s">
        <v>927</v>
      </c>
      <c r="G658" s="24960" t="s">
        <v>2</v>
      </c>
      <c r="H658" s="24961">
        <v>27</v>
      </c>
      <c r="I658" s="24962" t="e">
        <f t="shared" si="21"/>
        <v>#VALUE!</v>
      </c>
      <c r="J658" s="24963" t="s">
        <v>852</v>
      </c>
      <c r="K658" s="24964" t="s">
        <v>916</v>
      </c>
    </row>
    <row r="659" spans="1:11" ht="13.8">
      <c r="A659" s="24965" t="str">
        <f t="shared" si="20"/>
        <v>TK-00658</v>
      </c>
      <c r="B659" s="24966"/>
      <c r="C659" s="24967">
        <v>46192</v>
      </c>
      <c r="D659" s="24968" t="s">
        <v>400</v>
      </c>
      <c r="E659" s="24969" t="s">
        <v>914</v>
      </c>
      <c r="F659" s="24970" t="s">
        <v>933</v>
      </c>
      <c r="G659" s="24971" t="s">
        <v>2</v>
      </c>
      <c r="H659" s="24972">
        <v>27</v>
      </c>
      <c r="I659" s="24973" t="e">
        <f t="shared" si="21"/>
        <v>#VALUE!</v>
      </c>
      <c r="J659" s="24974" t="s">
        <v>852</v>
      </c>
      <c r="K659" s="24975" t="s">
        <v>916</v>
      </c>
    </row>
    <row r="660" spans="1:11" ht="13.8">
      <c r="A660" s="24976" t="str">
        <f t="shared" si="20"/>
        <v>TK-00659</v>
      </c>
      <c r="B660" s="24977"/>
      <c r="C660" s="24978">
        <v>46192</v>
      </c>
      <c r="D660" s="24979" t="s">
        <v>400</v>
      </c>
      <c r="E660" s="24980" t="s">
        <v>914</v>
      </c>
      <c r="F660" s="24981" t="s">
        <v>939</v>
      </c>
      <c r="G660" s="24982" t="s">
        <v>2</v>
      </c>
      <c r="H660" s="24983">
        <v>27</v>
      </c>
      <c r="I660" s="24984" t="e">
        <f t="shared" si="21"/>
        <v>#VALUE!</v>
      </c>
      <c r="J660" s="24985" t="s">
        <v>852</v>
      </c>
      <c r="K660" s="24986" t="s">
        <v>916</v>
      </c>
    </row>
    <row r="661" spans="1:11" ht="13.8">
      <c r="A661" s="24987" t="str">
        <f t="shared" si="20"/>
        <v>TK-00660</v>
      </c>
      <c r="B661" s="24988"/>
      <c r="C661" s="24989">
        <v>46192</v>
      </c>
      <c r="D661" s="24990" t="s">
        <v>400</v>
      </c>
      <c r="E661" s="24991" t="s">
        <v>914</v>
      </c>
      <c r="F661" s="24992" t="s">
        <v>937</v>
      </c>
      <c r="G661" s="24993" t="s">
        <v>2</v>
      </c>
      <c r="H661" s="24994">
        <v>27</v>
      </c>
      <c r="I661" s="24995" t="e">
        <f t="shared" si="21"/>
        <v>#VALUE!</v>
      </c>
      <c r="J661" s="24996" t="s">
        <v>852</v>
      </c>
      <c r="K661" s="24997" t="s">
        <v>916</v>
      </c>
    </row>
    <row r="662" spans="1:11" ht="13.8">
      <c r="A662" s="24998" t="str">
        <f t="shared" si="20"/>
        <v>TK-00661</v>
      </c>
      <c r="B662" s="24999"/>
      <c r="C662" s="25000">
        <v>46192</v>
      </c>
      <c r="D662" s="25001" t="s">
        <v>400</v>
      </c>
      <c r="E662" s="25002" t="s">
        <v>914</v>
      </c>
      <c r="F662" s="25003" t="s">
        <v>934</v>
      </c>
      <c r="G662" s="25004" t="s">
        <v>2</v>
      </c>
      <c r="H662" s="25005">
        <v>27</v>
      </c>
      <c r="I662" s="25006" t="e">
        <f t="shared" si="21"/>
        <v>#VALUE!</v>
      </c>
      <c r="J662" s="25007" t="s">
        <v>852</v>
      </c>
      <c r="K662" s="25008" t="s">
        <v>916</v>
      </c>
    </row>
    <row r="663" spans="1:11" ht="13.8">
      <c r="A663" s="25009" t="str">
        <f t="shared" si="20"/>
        <v>TK-00662</v>
      </c>
      <c r="B663" s="25010"/>
      <c r="C663" s="25011">
        <v>46192</v>
      </c>
      <c r="D663" s="25012" t="s">
        <v>400</v>
      </c>
      <c r="E663" s="25013" t="s">
        <v>914</v>
      </c>
      <c r="F663" s="25014" t="s">
        <v>940</v>
      </c>
      <c r="G663" s="25015" t="s">
        <v>111</v>
      </c>
      <c r="H663" s="25016">
        <v>27</v>
      </c>
      <c r="I663" s="25017" t="e">
        <f t="shared" si="21"/>
        <v>#VALUE!</v>
      </c>
      <c r="J663" s="25018" t="s">
        <v>852</v>
      </c>
      <c r="K663" s="25019" t="s">
        <v>916</v>
      </c>
    </row>
    <row r="664" spans="1:11" ht="13.8">
      <c r="A664" s="25020" t="str">
        <f t="shared" si="20"/>
        <v>TK-00663</v>
      </c>
      <c r="B664" s="25021"/>
      <c r="C664" s="25022">
        <v>46193</v>
      </c>
      <c r="D664" s="25023" t="s">
        <v>400</v>
      </c>
      <c r="E664" s="25024" t="s">
        <v>914</v>
      </c>
      <c r="F664" s="25025" t="s">
        <v>926</v>
      </c>
      <c r="G664" s="25026" t="s">
        <v>111</v>
      </c>
      <c r="H664" s="25027">
        <v>27</v>
      </c>
      <c r="I664" s="25028" t="e">
        <f t="shared" si="21"/>
        <v>#VALUE!</v>
      </c>
      <c r="J664" s="25029" t="s">
        <v>852</v>
      </c>
      <c r="K664" s="25030" t="s">
        <v>916</v>
      </c>
    </row>
    <row r="665" spans="1:11" ht="13.8">
      <c r="A665" s="25031" t="str">
        <f t="shared" si="20"/>
        <v>TK-00664</v>
      </c>
      <c r="B665" s="25032"/>
      <c r="C665" s="25033">
        <v>46193</v>
      </c>
      <c r="D665" s="25034" t="s">
        <v>400</v>
      </c>
      <c r="E665" s="25035" t="s">
        <v>914</v>
      </c>
      <c r="F665" s="25036" t="s">
        <v>926</v>
      </c>
      <c r="G665" s="25037" t="s">
        <v>115</v>
      </c>
      <c r="H665" s="25038">
        <v>27</v>
      </c>
      <c r="I665" s="25039" t="e">
        <f t="shared" si="21"/>
        <v>#VALUE!</v>
      </c>
      <c r="J665" s="25040" t="s">
        <v>852</v>
      </c>
      <c r="K665" s="25041" t="s">
        <v>916</v>
      </c>
    </row>
    <row r="666" spans="1:11" ht="13.8">
      <c r="A666" s="25042" t="str">
        <f t="shared" si="20"/>
        <v>TK-00665</v>
      </c>
      <c r="B666" s="25043"/>
      <c r="C666" s="25044">
        <v>46188</v>
      </c>
      <c r="D666" s="25045" t="s">
        <v>400</v>
      </c>
      <c r="E666" s="25046" t="s">
        <v>914</v>
      </c>
      <c r="F666" s="25047" t="s">
        <v>941</v>
      </c>
      <c r="G666" s="25048" t="s">
        <v>111</v>
      </c>
      <c r="H666" s="25049">
        <v>27</v>
      </c>
      <c r="I666" s="25050" t="e">
        <f t="shared" si="21"/>
        <v>#VALUE!</v>
      </c>
      <c r="J666" s="25051" t="s">
        <v>852</v>
      </c>
      <c r="K666" s="25052" t="s">
        <v>916</v>
      </c>
    </row>
  </sheetData>
  <autoFilter ref="A1:K666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7625-023F-4538-86D6-E23F52D7F312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4A7-BB99-4707-83A6-EFD5287B345D}">
  <dimension ref="A1"/>
  <sheetViews>
    <sheetView tabSelected="1" workbookViewId="0">
      <selection activeCell="H21" sqref="H21"/>
    </sheetView>
  </sheetViews>
  <sheetFormatPr baseColWidth="10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Dashboard</vt:lpstr>
      <vt:lpstr>Conciliacion_Auditoria</vt:lpstr>
      <vt:lpstr>Captura_Pegaso</vt:lpstr>
      <vt:lpstr>Captura_Obra</vt:lpstr>
      <vt:lpstr>Captura_Marimba_M01</vt:lpstr>
      <vt:lpstr>Captura_Jalisco</vt:lpstr>
      <vt:lpstr>Solicitudes</vt:lpstr>
      <vt:lpstr>Captura_Horas</vt:lpstr>
      <vt:lpstr>Catalogos</vt:lpstr>
      <vt:lpstr>Maquinaria_Inventario</vt:lpstr>
      <vt:lpstr>Captura_Facturas_Mobil</vt:lpstr>
      <vt:lpstr>Dashboard_Ejecutivo</vt:lpstr>
      <vt:lpstr>Estados_Cuenta_Mobil</vt:lpstr>
      <vt:lpstr>Captura_Gasolina</vt:lpstr>
      <vt:lpstr>Resumen_Ejecutivo</vt:lpstr>
      <vt:lpstr>Base_Datos</vt:lpstr>
      <vt:lpstr>Dashboard_Copia</vt:lpstr>
      <vt:lpstr>Resumen_Ejecutivo_Copia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2026-07-01T16:12:06Z</dcterms:modified>
</cp:coreProperties>
</file>