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699A1EF5-9640-4056-9609-9982B97E1DC3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Bitácora de Tanque" sheetId="1" r:id="rId1"/>
    <sheet name="Tabla de Cubicación" sheetId="2" r:id="rId2"/>
  </sheets>
  <definedNames>
    <definedName name="_xlnm.Print_Area" localSheetId="0">'Bitácora de Tanque'!$B$1:$M$29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F29" i="1" s="1"/>
  <c r="D29" i="1"/>
  <c r="F28" i="1"/>
  <c r="G28" i="1" s="1"/>
  <c r="F27" i="1"/>
  <c r="G27" i="1" s="1"/>
  <c r="G26" i="1"/>
  <c r="F26" i="1"/>
  <c r="F25" i="1"/>
  <c r="G25" i="1" s="1"/>
  <c r="F24" i="1"/>
  <c r="G24" i="1" s="1"/>
  <c r="F23" i="1"/>
  <c r="G23" i="1" s="1"/>
  <c r="G22" i="1"/>
  <c r="F22" i="1"/>
  <c r="F21" i="1"/>
  <c r="G21" i="1" s="1"/>
  <c r="I17" i="1"/>
  <c r="H17" i="1"/>
  <c r="J17" i="1" s="1"/>
  <c r="G17" i="1"/>
  <c r="E17" i="1"/>
  <c r="D17" i="1"/>
  <c r="L16" i="1"/>
  <c r="M16" i="1" s="1"/>
  <c r="C16" i="1"/>
  <c r="J16" i="1" s="1"/>
  <c r="M15" i="1"/>
  <c r="L15" i="1"/>
  <c r="L14" i="1"/>
  <c r="M14" i="1" s="1"/>
  <c r="C14" i="1"/>
  <c r="J14" i="1" s="1"/>
  <c r="M13" i="1"/>
  <c r="L13" i="1"/>
  <c r="L12" i="1"/>
  <c r="C13" i="1" s="1"/>
  <c r="J13" i="1" s="1"/>
  <c r="C12" i="1"/>
  <c r="J12" i="1" s="1"/>
  <c r="M11" i="1"/>
  <c r="L11" i="1"/>
  <c r="J11" i="1"/>
  <c r="L17" i="1" l="1"/>
  <c r="M12" i="1"/>
  <c r="M17" i="1" s="1"/>
  <c r="C15" i="1"/>
  <c r="J15" i="1" s="1"/>
</calcChain>
</file>

<file path=xl/sharedStrings.xml><?xml version="1.0" encoding="utf-8"?>
<sst xmlns="http://schemas.openxmlformats.org/spreadsheetml/2006/main" count="44" uniqueCount="39">
  <si>
    <t>GC-COMB-005: CONTROL DIARIO Y CONCILIACIÓN DE TANQUE DE COMBUSTIBLE (20,000 L)</t>
  </si>
  <si>
    <t>Semana No.:</t>
  </si>
  <si>
    <t/>
  </si>
  <si>
    <t>Responsable del Tanque:</t>
  </si>
  <si>
    <t>Capacidad del Tanque:</t>
  </si>
  <si>
    <t>20,000 Litros (2.41m x 2.40m x 4.62m)</t>
  </si>
  <si>
    <t>Semana del:</t>
  </si>
  <si>
    <t>al:</t>
  </si>
  <si>
    <t>Observaciones:</t>
  </si>
  <si>
    <t>1. BALANCE DIARIO DE ENTRADAS, SALIDAS E INVENTARIO DE COMBUSTIBLE</t>
  </si>
  <si>
    <t>FECHA (DÍA)</t>
  </si>
  <si>
    <t>INV. INICIAL (L)</t>
  </si>
  <si>
    <t>ENTRADA MARIMBA (L)</t>
  </si>
  <si>
    <t>ENTRADA GH (L)</t>
  </si>
  <si>
    <t>TICKET / REMISIÓN</t>
  </si>
  <si>
    <t>SALIDA PLANTA (L)</t>
  </si>
  <si>
    <t>SALIDA OBRAS (L)</t>
  </si>
  <si>
    <t>SALIDA MARIMBA (L)</t>
  </si>
  <si>
    <t>INV. TEÓRICO (L)</t>
  </si>
  <si>
    <t>ALTURA (CM)</t>
  </si>
  <si>
    <t>INV. FÍSICO (L)</t>
  </si>
  <si>
    <t>DIFERENCIA (L)</t>
  </si>
  <si>
    <t>LUNES</t>
  </si>
  <si>
    <t>MARTES</t>
  </si>
  <si>
    <t>MIERCOLES</t>
  </si>
  <si>
    <t>JUEVES</t>
  </si>
  <si>
    <t>VIERNES</t>
  </si>
  <si>
    <t>SÁBADO</t>
  </si>
  <si>
    <t>TOTALES SEMANALES:</t>
  </si>
  <si>
    <t>2. REGISTRO Y CONCILIACIÓN DE TICKETS DE GASOLINERA HUIXQUILUCAN (GH)</t>
  </si>
  <si>
    <t>FECHA</t>
  </si>
  <si>
    <t>NÚMERO DE TICKET</t>
  </si>
  <si>
    <t>LITROS TICKET (A)</t>
  </si>
  <si>
    <t>RECEP. EN TANQUE (B)</t>
  </si>
  <si>
    <t>DIFERENCIA (B - A)</t>
  </si>
  <si>
    <t>ESTADO COTEJO</t>
  </si>
  <si>
    <t>COMENTARIOS / OBSERVACIONES</t>
  </si>
  <si>
    <t>TOTAL CONCILIACIÓN GH:</t>
  </si>
  <si>
    <t>VOLUMEN CALIBRADO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</si>
</sst>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26">
    <font>
      <sz val="11"/>
      <color theme="1"/>
      <name val="Calibri"/>
      <family val="2"/>
      <scheme val="minor"/>
    </font>
    <font>
      <b/>
      <sz val="13"/>
      <color rgb="FFFFFFFF"/>
      <name val="Segoe UI"/>
    </font>
    <font>
      <b/>
      <sz val="10"/>
      <name val="Segoe UI"/>
    </font>
    <font>
      <sz val="11"/>
      <name val="Calibri"/>
    </font>
    <font>
      <b/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b/>
      <sz val="9.5"/>
      <color rgb="FF595959"/>
      <name val="Segoe UI"/>
    </font>
    <font>
      <b/>
      <sz val="9.5"/>
      <color rgb="FF595959"/>
      <name val="Segoe UI"/>
    </font>
    <font>
      <b/>
      <sz val="9.5"/>
      <color rgb="FF595959"/>
      <name val="Segoe UI"/>
    </font>
    <font>
      <b/>
      <sz val="10"/>
      <name val="Segoe UI"/>
    </font>
    <font>
      <sz val="11"/>
      <name val="Calibri"/>
    </font>
    <font>
      <b/>
      <sz val="10"/>
      <name val="Segoe UI"/>
    </font>
    <font>
      <sz val="11"/>
      <name val="Calibri"/>
    </font>
    <font>
      <b/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1F4E78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.5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b/>
      <sz val="10"/>
      <name val="Segoe UI"/>
    </font>
    <font>
      <b/>
      <sz val="10"/>
      <name val="Segoe UI"/>
    </font>
    <font>
      <b/>
      <sz val="9.5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b/>
      <sz val="10"/>
      <name val="Segoe UI"/>
    </font>
    <font>
      <b/>
      <sz val="10"/>
      <name val="Segoe UI"/>
    </font>
    <font>
      <b/>
      <sz val="9.5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b/>
      <sz val="10"/>
      <name val="Segoe UI"/>
    </font>
    <font>
      <b/>
      <sz val="10"/>
      <name val="Segoe UI"/>
    </font>
    <font>
      <b/>
      <sz val="9.5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b/>
      <sz val="10"/>
      <name val="Segoe UI"/>
    </font>
    <font>
      <b/>
      <sz val="10"/>
      <name val="Segoe UI"/>
    </font>
    <font>
      <b/>
      <sz val="9.5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b/>
      <sz val="10"/>
      <name val="Segoe UI"/>
    </font>
    <font>
      <b/>
      <sz val="10"/>
      <name val="Segoe UI"/>
    </font>
    <font>
      <b/>
      <sz val="9.5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b/>
      <sz val="10"/>
      <name val="Segoe UI"/>
    </font>
    <font>
      <b/>
      <sz val="10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1F4E78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b/>
      <sz val="9.5"/>
      <name val="Segoe UI"/>
    </font>
    <font>
      <b/>
      <sz val="9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b/>
      <sz val="9.5"/>
      <name val="Segoe UI"/>
    </font>
    <font>
      <b/>
      <sz val="9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b/>
      <sz val="9.5"/>
      <name val="Segoe UI"/>
    </font>
    <font>
      <b/>
      <sz val="9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b/>
      <sz val="9.5"/>
      <name val="Segoe UI"/>
    </font>
    <font>
      <b/>
      <sz val="9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b/>
      <sz val="9.5"/>
      <name val="Segoe UI"/>
    </font>
    <font>
      <b/>
      <sz val="9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b/>
      <sz val="9.5"/>
      <name val="Segoe UI"/>
    </font>
    <font>
      <b/>
      <sz val="9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b/>
      <sz val="9.5"/>
      <name val="Segoe UI"/>
    </font>
    <font>
      <b/>
      <sz val="9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b/>
      <sz val="9.5"/>
      <name val="Segoe UI"/>
    </font>
    <font>
      <b/>
      <sz val="9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b/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</fonts>
  <fills count="72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F0"/>
      </patternFill>
    </fill>
    <fill>
      <patternFill patternType="solid">
        <fgColor rgb="FFF9F9F9"/>
      </patternFill>
    </fill>
    <fill>
      <patternFill patternType="solid">
        <fgColor rgb="FFF2F9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9F9F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F0"/>
      </patternFill>
    </fill>
    <fill>
      <patternFill patternType="solid">
        <fgColor rgb="FFF9F9F9"/>
      </patternFill>
    </fill>
    <fill>
      <patternFill patternType="solid">
        <fgColor rgb="FFF2F9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9F9F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F0"/>
      </patternFill>
    </fill>
    <fill>
      <patternFill patternType="solid">
        <fgColor rgb="FFF9F9F9"/>
      </patternFill>
    </fill>
    <fill>
      <patternFill patternType="solid">
        <fgColor rgb="FFF2F9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9F9F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F0"/>
      </patternFill>
    </fill>
    <fill>
      <patternFill patternType="solid">
        <fgColor rgb="FFF9F9F9"/>
      </patternFill>
    </fill>
    <fill>
      <patternFill patternType="solid">
        <fgColor rgb="FFF2F9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9F9F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F0"/>
      </patternFill>
    </fill>
    <fill>
      <patternFill patternType="solid">
        <fgColor rgb="FFF9F9F9"/>
      </patternFill>
    </fill>
    <fill>
      <patternFill patternType="solid">
        <fgColor rgb="FFF2F9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9F9F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F0"/>
      </patternFill>
    </fill>
    <fill>
      <patternFill patternType="solid">
        <fgColor rgb="FFF9F9F9"/>
      </patternFill>
    </fill>
    <fill>
      <patternFill patternType="solid">
        <fgColor rgb="FFF2F9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27">
    <xf numFmtId="0" fontId="0" fillId="0" borderId="0" xfId="0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8" fillId="9" borderId="8" xfId="0" applyFont="1" applyFill="1" applyBorder="1"/>
    <xf numFmtId="0" fontId="12" fillId="13" borderId="12" xfId="0" applyFont="1" applyFill="1" applyBorder="1"/>
    <xf numFmtId="0" fontId="13" fillId="14" borderId="13" xfId="0" applyFont="1" applyFill="1" applyBorder="1"/>
    <xf numFmtId="0" fontId="14" fillId="15" borderId="14" xfId="0" applyFont="1" applyFill="1" applyBorder="1" applyAlignment="1">
      <alignment horizontal="center"/>
    </xf>
    <xf numFmtId="0" fontId="15" fillId="16" borderId="15" xfId="0" applyFont="1" applyFill="1" applyBorder="1"/>
    <xf numFmtId="0" fontId="16" fillId="17" borderId="16" xfId="0" applyFont="1" applyFill="1" applyBorder="1"/>
    <xf numFmtId="0" fontId="25" fillId="26" borderId="25" xfId="0" applyFont="1" applyFill="1" applyBorder="1" applyAlignment="1">
      <alignment horizontal="center" vertical="center" wrapText="1"/>
    </xf>
    <xf numFmtId="0" fontId="26" fillId="27" borderId="26" xfId="0" applyFont="1" applyFill="1" applyBorder="1" applyAlignment="1">
      <alignment horizontal="center" vertical="center" wrapText="1"/>
    </xf>
    <xf numFmtId="0" fontId="27" fillId="28" borderId="27" xfId="0" applyFont="1" applyFill="1" applyBorder="1" applyAlignment="1">
      <alignment horizontal="center" vertical="center" wrapText="1"/>
    </xf>
    <xf numFmtId="0" fontId="28" fillId="29" borderId="28" xfId="0" applyFont="1" applyFill="1" applyBorder="1" applyAlignment="1">
      <alignment horizontal="center" vertical="center" wrapText="1"/>
    </xf>
    <xf numFmtId="0" fontId="29" fillId="30" borderId="29" xfId="0" applyFont="1" applyFill="1" applyBorder="1" applyAlignment="1">
      <alignment horizontal="center" vertical="center" wrapText="1"/>
    </xf>
    <xf numFmtId="0" fontId="30" fillId="31" borderId="30" xfId="0" applyFont="1" applyFill="1" applyBorder="1" applyAlignment="1">
      <alignment horizontal="center" vertical="center" wrapText="1"/>
    </xf>
    <xf numFmtId="0" fontId="31" fillId="32" borderId="31" xfId="0" applyFont="1" applyFill="1" applyBorder="1" applyAlignment="1">
      <alignment horizontal="center" vertical="center" wrapText="1"/>
    </xf>
    <xf numFmtId="0" fontId="32" fillId="33" borderId="32" xfId="0" applyFont="1" applyFill="1" applyBorder="1" applyAlignment="1">
      <alignment horizontal="center" vertical="center" wrapText="1"/>
    </xf>
    <xf numFmtId="0" fontId="33" fillId="34" borderId="33" xfId="0" applyFont="1" applyFill="1" applyBorder="1" applyAlignment="1">
      <alignment horizontal="center" vertical="center" wrapText="1"/>
    </xf>
    <xf numFmtId="0" fontId="34" fillId="35" borderId="34" xfId="0" applyFont="1" applyFill="1" applyBorder="1" applyAlignment="1">
      <alignment horizontal="center" vertical="center" wrapText="1"/>
    </xf>
    <xf numFmtId="0" fontId="35" fillId="36" borderId="35" xfId="0" applyFont="1" applyFill="1" applyBorder="1" applyAlignment="1">
      <alignment horizontal="center" vertical="center" wrapText="1"/>
    </xf>
    <xf numFmtId="0" fontId="36" fillId="37" borderId="36" xfId="0" applyFont="1" applyFill="1" applyBorder="1" applyAlignment="1">
      <alignment horizontal="center" vertical="center" wrapText="1"/>
    </xf>
    <xf numFmtId="0" fontId="37" fillId="38" borderId="37" xfId="0" applyFont="1" applyFill="1" applyBorder="1" applyAlignment="1">
      <alignment horizontal="center"/>
    </xf>
    <xf numFmtId="4" fontId="38" fillId="39" borderId="38" xfId="0" applyNumberFormat="1" applyFont="1" applyFill="1" applyBorder="1" applyAlignment="1">
      <alignment horizontal="right"/>
    </xf>
    <xf numFmtId="4" fontId="39" fillId="40" borderId="39" xfId="0" applyNumberFormat="1" applyFont="1" applyFill="1" applyBorder="1" applyAlignment="1">
      <alignment horizontal="right"/>
    </xf>
    <xf numFmtId="4" fontId="40" fillId="41" borderId="40" xfId="0" applyNumberFormat="1" applyFont="1" applyFill="1" applyBorder="1" applyAlignment="1">
      <alignment horizontal="right"/>
    </xf>
    <xf numFmtId="0" fontId="41" fillId="42" borderId="41" xfId="0" applyFont="1" applyFill="1" applyBorder="1" applyAlignment="1">
      <alignment horizontal="center"/>
    </xf>
    <xf numFmtId="4" fontId="42" fillId="43" borderId="42" xfId="0" applyNumberFormat="1" applyFont="1" applyFill="1" applyBorder="1" applyAlignment="1">
      <alignment horizontal="right"/>
    </xf>
    <xf numFmtId="4" fontId="43" fillId="44" borderId="43" xfId="0" applyNumberFormat="1" applyFont="1" applyFill="1" applyBorder="1" applyAlignment="1">
      <alignment horizontal="right"/>
    </xf>
    <xf numFmtId="4" fontId="44" fillId="45" borderId="44" xfId="0" applyNumberFormat="1" applyFont="1" applyFill="1" applyBorder="1" applyAlignment="1">
      <alignment horizontal="right"/>
    </xf>
    <xf numFmtId="164" fontId="45" fillId="46" borderId="45" xfId="0" applyNumberFormat="1" applyFont="1" applyFill="1" applyBorder="1" applyAlignment="1">
      <alignment horizontal="center"/>
    </xf>
    <xf numFmtId="4" fontId="46" fillId="47" borderId="46" xfId="0" applyNumberFormat="1" applyFont="1" applyFill="1" applyBorder="1" applyAlignment="1">
      <alignment horizontal="right"/>
    </xf>
    <xf numFmtId="4" fontId="47" fillId="48" borderId="47" xfId="0" applyNumberFormat="1" applyFont="1" applyFill="1" applyBorder="1" applyAlignment="1">
      <alignment horizontal="right"/>
    </xf>
    <xf numFmtId="4" fontId="48" fillId="49" borderId="48" xfId="0" applyNumberFormat="1" applyFont="1" applyFill="1" applyBorder="1" applyAlignment="1">
      <alignment horizontal="right"/>
    </xf>
    <xf numFmtId="0" fontId="49" fillId="50" borderId="49" xfId="0" applyFont="1" applyFill="1" applyBorder="1" applyAlignment="1">
      <alignment horizontal="center"/>
    </xf>
    <xf numFmtId="4" fontId="50" fillId="51" borderId="50" xfId="0" applyNumberFormat="1" applyFont="1" applyFill="1" applyBorder="1" applyAlignment="1">
      <alignment horizontal="right"/>
    </xf>
    <xf numFmtId="4" fontId="51" fillId="52" borderId="51" xfId="0" applyNumberFormat="1" applyFont="1" applyFill="1" applyBorder="1" applyAlignment="1">
      <alignment horizontal="right"/>
    </xf>
    <xf numFmtId="4" fontId="52" fillId="53" borderId="52" xfId="0" applyNumberFormat="1" applyFont="1" applyFill="1" applyBorder="1" applyAlignment="1">
      <alignment horizontal="right"/>
    </xf>
    <xf numFmtId="0" fontId="53" fillId="54" borderId="53" xfId="0" applyFont="1" applyFill="1" applyBorder="1" applyAlignment="1">
      <alignment horizontal="center"/>
    </xf>
    <xf numFmtId="4" fontId="54" fillId="55" borderId="54" xfId="0" applyNumberFormat="1" applyFont="1" applyFill="1" applyBorder="1" applyAlignment="1">
      <alignment horizontal="right"/>
    </xf>
    <xf numFmtId="4" fontId="55" fillId="56" borderId="55" xfId="0" applyNumberFormat="1" applyFont="1" applyFill="1" applyBorder="1" applyAlignment="1">
      <alignment horizontal="right"/>
    </xf>
    <xf numFmtId="4" fontId="56" fillId="57" borderId="56" xfId="0" applyNumberFormat="1" applyFont="1" applyFill="1" applyBorder="1" applyAlignment="1">
      <alignment horizontal="right"/>
    </xf>
    <xf numFmtId="164" fontId="57" fillId="58" borderId="57" xfId="0" applyNumberFormat="1" applyFont="1" applyFill="1" applyBorder="1" applyAlignment="1">
      <alignment horizontal="center"/>
    </xf>
    <xf numFmtId="4" fontId="58" fillId="59" borderId="58" xfId="0" applyNumberFormat="1" applyFont="1" applyFill="1" applyBorder="1" applyAlignment="1">
      <alignment horizontal="right"/>
    </xf>
    <xf numFmtId="4" fontId="59" fillId="60" borderId="59" xfId="0" applyNumberFormat="1" applyFont="1" applyFill="1" applyBorder="1" applyAlignment="1">
      <alignment horizontal="right"/>
    </xf>
    <xf numFmtId="4" fontId="60" fillId="61" borderId="60" xfId="0" applyNumberFormat="1" applyFont="1" applyFill="1" applyBorder="1" applyAlignment="1">
      <alignment horizontal="right"/>
    </xf>
    <xf numFmtId="0" fontId="61" fillId="62" borderId="61" xfId="0" applyFont="1" applyFill="1" applyBorder="1" applyAlignment="1">
      <alignment horizontal="center"/>
    </xf>
    <xf numFmtId="4" fontId="62" fillId="63" borderId="62" xfId="0" applyNumberFormat="1" applyFont="1" applyFill="1" applyBorder="1" applyAlignment="1">
      <alignment horizontal="right"/>
    </xf>
    <xf numFmtId="4" fontId="63" fillId="64" borderId="63" xfId="0" applyNumberFormat="1" applyFont="1" applyFill="1" applyBorder="1" applyAlignment="1">
      <alignment horizontal="right"/>
    </xf>
    <xf numFmtId="4" fontId="64" fillId="65" borderId="64" xfId="0" applyNumberFormat="1" applyFont="1" applyFill="1" applyBorder="1" applyAlignment="1">
      <alignment horizontal="right"/>
    </xf>
    <xf numFmtId="0" fontId="65" fillId="66" borderId="65" xfId="0" applyFont="1" applyFill="1" applyBorder="1" applyAlignment="1">
      <alignment horizontal="center"/>
    </xf>
    <xf numFmtId="4" fontId="66" fillId="67" borderId="66" xfId="0" applyNumberFormat="1" applyFont="1" applyFill="1" applyBorder="1" applyAlignment="1">
      <alignment horizontal="right"/>
    </xf>
    <xf numFmtId="4" fontId="67" fillId="68" borderId="67" xfId="0" applyNumberFormat="1" applyFont="1" applyFill="1" applyBorder="1" applyAlignment="1">
      <alignment horizontal="right"/>
    </xf>
    <xf numFmtId="4" fontId="68" fillId="69" borderId="68" xfId="0" applyNumberFormat="1" applyFont="1" applyFill="1" applyBorder="1" applyAlignment="1">
      <alignment horizontal="right"/>
    </xf>
    <xf numFmtId="164" fontId="69" fillId="70" borderId="69" xfId="0" applyNumberFormat="1" applyFont="1" applyFill="1" applyBorder="1" applyAlignment="1">
      <alignment horizontal="center"/>
    </xf>
    <xf numFmtId="4" fontId="70" fillId="71" borderId="70" xfId="0" applyNumberFormat="1" applyFont="1" applyFill="1" applyBorder="1" applyAlignment="1">
      <alignment horizontal="right"/>
    </xf>
    <xf numFmtId="4" fontId="71" fillId="72" borderId="71" xfId="0" applyNumberFormat="1" applyFont="1" applyFill="1" applyBorder="1" applyAlignment="1">
      <alignment horizontal="right"/>
    </xf>
    <xf numFmtId="4" fontId="72" fillId="73" borderId="72" xfId="0" applyNumberFormat="1" applyFont="1" applyFill="1" applyBorder="1" applyAlignment="1">
      <alignment horizontal="right"/>
    </xf>
    <xf numFmtId="0" fontId="73" fillId="74" borderId="73" xfId="0" applyFont="1" applyFill="1" applyBorder="1" applyAlignment="1">
      <alignment horizontal="center"/>
    </xf>
    <xf numFmtId="4" fontId="74" fillId="75" borderId="74" xfId="0" applyNumberFormat="1" applyFont="1" applyFill="1" applyBorder="1" applyAlignment="1">
      <alignment horizontal="right"/>
    </xf>
    <xf numFmtId="4" fontId="75" fillId="76" borderId="75" xfId="0" applyNumberFormat="1" applyFont="1" applyFill="1" applyBorder="1" applyAlignment="1">
      <alignment horizontal="right"/>
    </xf>
    <xf numFmtId="4" fontId="76" fillId="77" borderId="76" xfId="0" applyNumberFormat="1" applyFont="1" applyFill="1" applyBorder="1" applyAlignment="1">
      <alignment horizontal="right"/>
    </xf>
    <xf numFmtId="0" fontId="77" fillId="78" borderId="77" xfId="0" applyFont="1" applyFill="1" applyBorder="1" applyAlignment="1">
      <alignment horizontal="center"/>
    </xf>
    <xf numFmtId="4" fontId="78" fillId="79" borderId="78" xfId="0" applyNumberFormat="1" applyFont="1" applyFill="1" applyBorder="1" applyAlignment="1">
      <alignment horizontal="right"/>
    </xf>
    <xf numFmtId="4" fontId="79" fillId="80" borderId="79" xfId="0" applyNumberFormat="1" applyFont="1" applyFill="1" applyBorder="1" applyAlignment="1">
      <alignment horizontal="right"/>
    </xf>
    <xf numFmtId="4" fontId="80" fillId="81" borderId="80" xfId="0" applyNumberFormat="1" applyFont="1" applyFill="1" applyBorder="1" applyAlignment="1">
      <alignment horizontal="right"/>
    </xf>
    <xf numFmtId="164" fontId="81" fillId="82" borderId="81" xfId="0" applyNumberFormat="1" applyFont="1" applyFill="1" applyBorder="1" applyAlignment="1">
      <alignment horizontal="center"/>
    </xf>
    <xf numFmtId="4" fontId="82" fillId="83" borderId="82" xfId="0" applyNumberFormat="1" applyFont="1" applyFill="1" applyBorder="1" applyAlignment="1">
      <alignment horizontal="right"/>
    </xf>
    <xf numFmtId="4" fontId="83" fillId="84" borderId="83" xfId="0" applyNumberFormat="1" applyFont="1" applyFill="1" applyBorder="1" applyAlignment="1">
      <alignment horizontal="right"/>
    </xf>
    <xf numFmtId="4" fontId="84" fillId="85" borderId="84" xfId="0" applyNumberFormat="1" applyFont="1" applyFill="1" applyBorder="1" applyAlignment="1">
      <alignment horizontal="right"/>
    </xf>
    <xf numFmtId="0" fontId="85" fillId="86" borderId="85" xfId="0" applyFont="1" applyFill="1" applyBorder="1" applyAlignment="1">
      <alignment horizontal="center"/>
    </xf>
    <xf numFmtId="4" fontId="86" fillId="87" borderId="86" xfId="0" applyNumberFormat="1" applyFont="1" applyFill="1" applyBorder="1" applyAlignment="1">
      <alignment horizontal="right"/>
    </xf>
    <xf numFmtId="4" fontId="87" fillId="88" borderId="87" xfId="0" applyNumberFormat="1" applyFont="1" applyFill="1" applyBorder="1" applyAlignment="1">
      <alignment horizontal="right"/>
    </xf>
    <xf numFmtId="4" fontId="88" fillId="89" borderId="88" xfId="0" applyNumberFormat="1" applyFont="1" applyFill="1" applyBorder="1" applyAlignment="1">
      <alignment horizontal="right"/>
    </xf>
    <xf numFmtId="0" fontId="89" fillId="90" borderId="89" xfId="0" applyFont="1" applyFill="1" applyBorder="1" applyAlignment="1">
      <alignment horizontal="center"/>
    </xf>
    <xf numFmtId="4" fontId="90" fillId="91" borderId="90" xfId="0" applyNumberFormat="1" applyFont="1" applyFill="1" applyBorder="1" applyAlignment="1">
      <alignment horizontal="right"/>
    </xf>
    <xf numFmtId="4" fontId="91" fillId="92" borderId="91" xfId="0" applyNumberFormat="1" applyFont="1" applyFill="1" applyBorder="1" applyAlignment="1">
      <alignment horizontal="right"/>
    </xf>
    <xf numFmtId="4" fontId="92" fillId="93" borderId="92" xfId="0" applyNumberFormat="1" applyFont="1" applyFill="1" applyBorder="1" applyAlignment="1">
      <alignment horizontal="right"/>
    </xf>
    <xf numFmtId="164" fontId="93" fillId="94" borderId="93" xfId="0" applyNumberFormat="1" applyFont="1" applyFill="1" applyBorder="1" applyAlignment="1">
      <alignment horizontal="center"/>
    </xf>
    <xf numFmtId="4" fontId="94" fillId="95" borderId="94" xfId="0" applyNumberFormat="1" applyFont="1" applyFill="1" applyBorder="1" applyAlignment="1">
      <alignment horizontal="right"/>
    </xf>
    <xf numFmtId="4" fontId="95" fillId="96" borderId="95" xfId="0" applyNumberFormat="1" applyFont="1" applyFill="1" applyBorder="1" applyAlignment="1">
      <alignment horizontal="right"/>
    </xf>
    <xf numFmtId="4" fontId="96" fillId="97" borderId="96" xfId="0" applyNumberFormat="1" applyFont="1" applyFill="1" applyBorder="1" applyAlignment="1">
      <alignment horizontal="right"/>
    </xf>
    <xf numFmtId="0" fontId="97" fillId="98" borderId="97" xfId="0" applyFont="1" applyFill="1" applyBorder="1" applyAlignment="1">
      <alignment horizontal="center"/>
    </xf>
    <xf numFmtId="4" fontId="98" fillId="99" borderId="98" xfId="0" applyNumberFormat="1" applyFont="1" applyFill="1" applyBorder="1" applyAlignment="1">
      <alignment horizontal="right"/>
    </xf>
    <xf numFmtId="4" fontId="99" fillId="100" borderId="99" xfId="0" applyNumberFormat="1" applyFont="1" applyFill="1" applyBorder="1" applyAlignment="1">
      <alignment horizontal="right"/>
    </xf>
    <xf numFmtId="4" fontId="100" fillId="101" borderId="100" xfId="0" applyNumberFormat="1" applyFont="1" applyFill="1" applyBorder="1" applyAlignment="1">
      <alignment horizontal="right"/>
    </xf>
    <xf numFmtId="0" fontId="101" fillId="102" borderId="101" xfId="0" applyFont="1" applyFill="1" applyBorder="1" applyAlignment="1">
      <alignment horizontal="center"/>
    </xf>
    <xf numFmtId="4" fontId="102" fillId="103" borderId="102" xfId="0" applyNumberFormat="1" applyFont="1" applyFill="1" applyBorder="1" applyAlignment="1">
      <alignment horizontal="right"/>
    </xf>
    <xf numFmtId="4" fontId="103" fillId="104" borderId="103" xfId="0" applyNumberFormat="1" applyFont="1" applyFill="1" applyBorder="1" applyAlignment="1">
      <alignment horizontal="right"/>
    </xf>
    <xf numFmtId="4" fontId="104" fillId="105" borderId="104" xfId="0" applyNumberFormat="1" applyFont="1" applyFill="1" applyBorder="1" applyAlignment="1">
      <alignment horizontal="right"/>
    </xf>
    <xf numFmtId="164" fontId="105" fillId="106" borderId="105" xfId="0" applyNumberFormat="1" applyFont="1" applyFill="1" applyBorder="1" applyAlignment="1">
      <alignment horizontal="center"/>
    </xf>
    <xf numFmtId="4" fontId="106" fillId="107" borderId="106" xfId="0" applyNumberFormat="1" applyFont="1" applyFill="1" applyBorder="1" applyAlignment="1">
      <alignment horizontal="right"/>
    </xf>
    <xf numFmtId="4" fontId="107" fillId="108" borderId="107" xfId="0" applyNumberFormat="1" applyFont="1" applyFill="1" applyBorder="1" applyAlignment="1">
      <alignment horizontal="right"/>
    </xf>
    <xf numFmtId="4" fontId="108" fillId="109" borderId="108" xfId="0" applyNumberFormat="1" applyFont="1" applyFill="1" applyBorder="1" applyAlignment="1">
      <alignment horizontal="right"/>
    </xf>
    <xf numFmtId="0" fontId="109" fillId="110" borderId="109" xfId="0" applyFont="1" applyFill="1" applyBorder="1"/>
    <xf numFmtId="4" fontId="110" fillId="111" borderId="110" xfId="0" applyNumberFormat="1" applyFont="1" applyFill="1" applyBorder="1" applyAlignment="1">
      <alignment horizontal="right"/>
    </xf>
    <xf numFmtId="4" fontId="111" fillId="112" borderId="111" xfId="0" applyNumberFormat="1" applyFont="1" applyFill="1" applyBorder="1" applyAlignment="1">
      <alignment horizontal="right"/>
    </xf>
    <xf numFmtId="4" fontId="112" fillId="113" borderId="112" xfId="0" applyNumberFormat="1" applyFont="1" applyFill="1" applyBorder="1" applyAlignment="1">
      <alignment horizontal="right"/>
    </xf>
    <xf numFmtId="4" fontId="113" fillId="114" borderId="113" xfId="0" applyNumberFormat="1" applyFont="1" applyFill="1" applyBorder="1" applyAlignment="1">
      <alignment horizontal="right"/>
    </xf>
    <xf numFmtId="4" fontId="114" fillId="115" borderId="114" xfId="0" applyNumberFormat="1" applyFont="1" applyFill="1" applyBorder="1" applyAlignment="1">
      <alignment horizontal="right"/>
    </xf>
    <xf numFmtId="4" fontId="115" fillId="116" borderId="115" xfId="0" applyNumberFormat="1" applyFont="1" applyFill="1" applyBorder="1" applyAlignment="1">
      <alignment horizontal="right"/>
    </xf>
    <xf numFmtId="4" fontId="116" fillId="117" borderId="116" xfId="0" applyNumberFormat="1" applyFont="1" applyFill="1" applyBorder="1" applyAlignment="1">
      <alignment horizontal="right"/>
    </xf>
    <xf numFmtId="4" fontId="117" fillId="118" borderId="117" xfId="0" applyNumberFormat="1" applyFont="1" applyFill="1" applyBorder="1" applyAlignment="1">
      <alignment horizontal="right"/>
    </xf>
    <xf numFmtId="0" fontId="118" fillId="119" borderId="118" xfId="0" applyFont="1" applyFill="1" applyBorder="1"/>
    <xf numFmtId="0" fontId="119" fillId="120" borderId="119" xfId="0" applyFont="1" applyFill="1" applyBorder="1"/>
    <xf numFmtId="0" fontId="120" fillId="121" borderId="120" xfId="0" applyFont="1" applyFill="1" applyBorder="1"/>
    <xf numFmtId="0" fontId="122" fillId="123" borderId="122" xfId="0" applyFont="1" applyFill="1" applyBorder="1" applyAlignment="1">
      <alignment horizontal="center"/>
    </xf>
    <xf numFmtId="0" fontId="123" fillId="124" borderId="123" xfId="0" applyFont="1" applyFill="1" applyBorder="1" applyAlignment="1">
      <alignment horizontal="center"/>
    </xf>
    <xf numFmtId="0" fontId="124" fillId="125" borderId="124" xfId="0" applyFont="1" applyFill="1" applyBorder="1" applyAlignment="1">
      <alignment horizontal="center"/>
    </xf>
    <xf numFmtId="0" fontId="125" fillId="126" borderId="125" xfId="0" applyFont="1" applyFill="1" applyBorder="1" applyAlignment="1">
      <alignment horizontal="center"/>
    </xf>
    <xf numFmtId="0" fontId="126" fillId="127" borderId="126" xfId="0" applyFont="1" applyFill="1" applyBorder="1" applyAlignment="1">
      <alignment horizontal="center"/>
    </xf>
    <xf numFmtId="0" fontId="127" fillId="128" borderId="127" xfId="0" applyFont="1" applyFill="1" applyBorder="1" applyAlignment="1">
      <alignment horizontal="center"/>
    </xf>
    <xf numFmtId="0" fontId="134" fillId="135" borderId="134" xfId="0" applyFont="1" applyFill="1" applyBorder="1" applyAlignment="1">
      <alignment horizontal="center"/>
    </xf>
    <xf numFmtId="0" fontId="135" fillId="136" borderId="135" xfId="0" applyFont="1" applyFill="1" applyBorder="1" applyAlignment="1">
      <alignment horizontal="center"/>
    </xf>
    <xf numFmtId="4" fontId="136" fillId="137" borderId="136" xfId="0" applyNumberFormat="1" applyFont="1" applyFill="1" applyBorder="1" applyAlignment="1">
      <alignment horizontal="right"/>
    </xf>
    <xf numFmtId="4" fontId="137" fillId="138" borderId="137" xfId="0" applyNumberFormat="1" applyFont="1" applyFill="1" applyBorder="1" applyAlignment="1">
      <alignment horizontal="right"/>
    </xf>
    <xf numFmtId="4" fontId="138" fillId="139" borderId="138" xfId="0" applyNumberFormat="1" applyFont="1" applyFill="1" applyBorder="1" applyAlignment="1">
      <alignment horizontal="right"/>
    </xf>
    <xf numFmtId="0" fontId="139" fillId="140" borderId="139" xfId="0" applyFont="1" applyFill="1" applyBorder="1" applyAlignment="1">
      <alignment horizontal="center"/>
    </xf>
    <xf numFmtId="0" fontId="146" fillId="147" borderId="146" xfId="0" applyFont="1" applyFill="1" applyBorder="1" applyAlignment="1">
      <alignment horizontal="center"/>
    </xf>
    <xf numFmtId="0" fontId="147" fillId="148" borderId="147" xfId="0" applyFont="1" applyFill="1" applyBorder="1" applyAlignment="1">
      <alignment horizontal="center"/>
    </xf>
    <xf numFmtId="4" fontId="148" fillId="149" borderId="148" xfId="0" applyNumberFormat="1" applyFont="1" applyFill="1" applyBorder="1" applyAlignment="1">
      <alignment horizontal="right"/>
    </xf>
    <xf numFmtId="4" fontId="149" fillId="150" borderId="149" xfId="0" applyNumberFormat="1" applyFont="1" applyFill="1" applyBorder="1" applyAlignment="1">
      <alignment horizontal="right"/>
    </xf>
    <xf numFmtId="4" fontId="150" fillId="151" borderId="150" xfId="0" applyNumberFormat="1" applyFont="1" applyFill="1" applyBorder="1" applyAlignment="1">
      <alignment horizontal="right"/>
    </xf>
    <xf numFmtId="0" fontId="151" fillId="152" borderId="151" xfId="0" applyFont="1" applyFill="1" applyBorder="1" applyAlignment="1">
      <alignment horizontal="center"/>
    </xf>
    <xf numFmtId="0" fontId="158" fillId="159" borderId="158" xfId="0" applyFont="1" applyFill="1" applyBorder="1" applyAlignment="1">
      <alignment horizontal="center"/>
    </xf>
    <xf numFmtId="0" fontId="159" fillId="160" borderId="159" xfId="0" applyFont="1" applyFill="1" applyBorder="1" applyAlignment="1">
      <alignment horizontal="center"/>
    </xf>
    <xf numFmtId="4" fontId="160" fillId="161" borderId="160" xfId="0" applyNumberFormat="1" applyFont="1" applyFill="1" applyBorder="1" applyAlignment="1">
      <alignment horizontal="right"/>
    </xf>
    <xf numFmtId="4" fontId="161" fillId="162" borderId="161" xfId="0" applyNumberFormat="1" applyFont="1" applyFill="1" applyBorder="1" applyAlignment="1">
      <alignment horizontal="right"/>
    </xf>
    <xf numFmtId="4" fontId="162" fillId="163" borderId="162" xfId="0" applyNumberFormat="1" applyFont="1" applyFill="1" applyBorder="1" applyAlignment="1">
      <alignment horizontal="right"/>
    </xf>
    <xf numFmtId="0" fontId="163" fillId="164" borderId="163" xfId="0" applyFont="1" applyFill="1" applyBorder="1" applyAlignment="1">
      <alignment horizontal="center"/>
    </xf>
    <xf numFmtId="0" fontId="170" fillId="171" borderId="170" xfId="0" applyFont="1" applyFill="1" applyBorder="1" applyAlignment="1">
      <alignment horizontal="center"/>
    </xf>
    <xf numFmtId="0" fontId="171" fillId="172" borderId="171" xfId="0" applyFont="1" applyFill="1" applyBorder="1" applyAlignment="1">
      <alignment horizontal="center"/>
    </xf>
    <xf numFmtId="4" fontId="172" fillId="173" borderId="172" xfId="0" applyNumberFormat="1" applyFont="1" applyFill="1" applyBorder="1" applyAlignment="1">
      <alignment horizontal="right"/>
    </xf>
    <xf numFmtId="4" fontId="173" fillId="174" borderId="173" xfId="0" applyNumberFormat="1" applyFont="1" applyFill="1" applyBorder="1" applyAlignment="1">
      <alignment horizontal="right"/>
    </xf>
    <xf numFmtId="4" fontId="174" fillId="175" borderId="174" xfId="0" applyNumberFormat="1" applyFont="1" applyFill="1" applyBorder="1" applyAlignment="1">
      <alignment horizontal="right"/>
    </xf>
    <xf numFmtId="0" fontId="175" fillId="176" borderId="175" xfId="0" applyFont="1" applyFill="1" applyBorder="1" applyAlignment="1">
      <alignment horizontal="center"/>
    </xf>
    <xf numFmtId="0" fontId="182" fillId="183" borderId="182" xfId="0" applyFont="1" applyFill="1" applyBorder="1" applyAlignment="1">
      <alignment horizontal="center"/>
    </xf>
    <xf numFmtId="0" fontId="183" fillId="184" borderId="183" xfId="0" applyFont="1" applyFill="1" applyBorder="1" applyAlignment="1">
      <alignment horizontal="center"/>
    </xf>
    <xf numFmtId="4" fontId="184" fillId="185" borderId="184" xfId="0" applyNumberFormat="1" applyFont="1" applyFill="1" applyBorder="1" applyAlignment="1">
      <alignment horizontal="right"/>
    </xf>
    <xf numFmtId="4" fontId="185" fillId="186" borderId="185" xfId="0" applyNumberFormat="1" applyFont="1" applyFill="1" applyBorder="1" applyAlignment="1">
      <alignment horizontal="right"/>
    </xf>
    <xf numFmtId="4" fontId="186" fillId="187" borderId="186" xfId="0" applyNumberFormat="1" applyFont="1" applyFill="1" applyBorder="1" applyAlignment="1">
      <alignment horizontal="right"/>
    </xf>
    <xf numFmtId="0" fontId="187" fillId="188" borderId="187" xfId="0" applyFont="1" applyFill="1" applyBorder="1" applyAlignment="1">
      <alignment horizontal="center"/>
    </xf>
    <xf numFmtId="0" fontId="194" fillId="195" borderId="194" xfId="0" applyFont="1" applyFill="1" applyBorder="1" applyAlignment="1">
      <alignment horizontal="center"/>
    </xf>
    <xf numFmtId="0" fontId="195" fillId="196" borderId="195" xfId="0" applyFont="1" applyFill="1" applyBorder="1" applyAlignment="1">
      <alignment horizontal="center"/>
    </xf>
    <xf numFmtId="4" fontId="196" fillId="197" borderId="196" xfId="0" applyNumberFormat="1" applyFont="1" applyFill="1" applyBorder="1" applyAlignment="1">
      <alignment horizontal="right"/>
    </xf>
    <xf numFmtId="4" fontId="197" fillId="198" borderId="197" xfId="0" applyNumberFormat="1" applyFont="1" applyFill="1" applyBorder="1" applyAlignment="1">
      <alignment horizontal="right"/>
    </xf>
    <xf numFmtId="4" fontId="198" fillId="199" borderId="198" xfId="0" applyNumberFormat="1" applyFont="1" applyFill="1" applyBorder="1" applyAlignment="1">
      <alignment horizontal="right"/>
    </xf>
    <xf numFmtId="0" fontId="199" fillId="200" borderId="199" xfId="0" applyFont="1" applyFill="1" applyBorder="1" applyAlignment="1">
      <alignment horizontal="center"/>
    </xf>
    <xf numFmtId="0" fontId="206" fillId="207" borderId="206" xfId="0" applyFont="1" applyFill="1" applyBorder="1" applyAlignment="1">
      <alignment horizontal="center"/>
    </xf>
    <xf numFmtId="0" fontId="207" fillId="208" borderId="207" xfId="0" applyFont="1" applyFill="1" applyBorder="1" applyAlignment="1">
      <alignment horizontal="center"/>
    </xf>
    <xf numFmtId="4" fontId="208" fillId="209" borderId="208" xfId="0" applyNumberFormat="1" applyFont="1" applyFill="1" applyBorder="1" applyAlignment="1">
      <alignment horizontal="right"/>
    </xf>
    <xf numFmtId="4" fontId="209" fillId="210" borderId="209" xfId="0" applyNumberFormat="1" applyFont="1" applyFill="1" applyBorder="1" applyAlignment="1">
      <alignment horizontal="right"/>
    </xf>
    <xf numFmtId="4" fontId="210" fillId="211" borderId="210" xfId="0" applyNumberFormat="1" applyFont="1" applyFill="1" applyBorder="1" applyAlignment="1">
      <alignment horizontal="right"/>
    </xf>
    <xf numFmtId="0" fontId="211" fillId="212" borderId="211" xfId="0" applyFont="1" applyFill="1" applyBorder="1" applyAlignment="1">
      <alignment horizontal="center"/>
    </xf>
    <xf numFmtId="0" fontId="218" fillId="219" borderId="218" xfId="0" applyFont="1" applyFill="1" applyBorder="1" applyAlignment="1">
      <alignment horizontal="center"/>
    </xf>
    <xf numFmtId="0" fontId="219" fillId="220" borderId="219" xfId="0" applyFont="1" applyFill="1" applyBorder="1" applyAlignment="1">
      <alignment horizontal="center"/>
    </xf>
    <xf numFmtId="4" fontId="220" fillId="221" borderId="220" xfId="0" applyNumberFormat="1" applyFont="1" applyFill="1" applyBorder="1" applyAlignment="1">
      <alignment horizontal="right"/>
    </xf>
    <xf numFmtId="4" fontId="221" fillId="222" borderId="221" xfId="0" applyNumberFormat="1" applyFont="1" applyFill="1" applyBorder="1" applyAlignment="1">
      <alignment horizontal="right"/>
    </xf>
    <xf numFmtId="4" fontId="222" fillId="223" borderId="222" xfId="0" applyNumberFormat="1" applyFont="1" applyFill="1" applyBorder="1" applyAlignment="1">
      <alignment horizontal="right"/>
    </xf>
    <xf numFmtId="0" fontId="223" fillId="224" borderId="223" xfId="0" applyFont="1" applyFill="1" applyBorder="1" applyAlignment="1">
      <alignment horizontal="center"/>
    </xf>
    <xf numFmtId="0" fontId="230" fillId="231" borderId="230" xfId="0" applyFont="1" applyFill="1" applyBorder="1"/>
    <xf numFmtId="4" fontId="231" fillId="232" borderId="231" xfId="0" applyNumberFormat="1" applyFont="1" applyFill="1" applyBorder="1" applyAlignment="1">
      <alignment horizontal="right"/>
    </xf>
    <xf numFmtId="4" fontId="232" fillId="233" borderId="232" xfId="0" applyNumberFormat="1" applyFont="1" applyFill="1" applyBorder="1" applyAlignment="1">
      <alignment horizontal="right"/>
    </xf>
    <xf numFmtId="4" fontId="233" fillId="234" borderId="233" xfId="0" applyNumberFormat="1" applyFont="1" applyFill="1" applyBorder="1" applyAlignment="1">
      <alignment horizontal="right"/>
    </xf>
    <xf numFmtId="0" fontId="234" fillId="235" borderId="234" xfId="0" applyFont="1" applyFill="1" applyBorder="1"/>
    <xf numFmtId="0" fontId="235" fillId="236" borderId="235" xfId="0" applyFont="1" applyFill="1" applyBorder="1"/>
    <xf numFmtId="0" fontId="242" fillId="243" borderId="242" xfId="0" applyFont="1" applyFill="1" applyBorder="1" applyAlignment="1">
      <alignment horizontal="center"/>
    </xf>
    <xf numFmtId="0" fontId="243" fillId="244" borderId="243" xfId="0" applyFont="1" applyFill="1" applyBorder="1" applyAlignment="1">
      <alignment horizontal="center"/>
    </xf>
    <xf numFmtId="0" fontId="244" fillId="245" borderId="244" xfId="0" applyFont="1" applyFill="1" applyBorder="1" applyAlignment="1">
      <alignment horizontal="center"/>
    </xf>
    <xf numFmtId="4" fontId="245" fillId="246" borderId="245" xfId="0" applyNumberFormat="1" applyFont="1" applyFill="1" applyBorder="1" applyAlignment="1">
      <alignment horizontal="right"/>
    </xf>
    <xf numFmtId="0" fontId="246" fillId="247" borderId="246" xfId="0" applyFont="1" applyFill="1" applyBorder="1" applyAlignment="1">
      <alignment horizontal="center"/>
    </xf>
    <xf numFmtId="4" fontId="247" fillId="248" borderId="247" xfId="0" applyNumberFormat="1" applyFont="1" applyFill="1" applyBorder="1" applyAlignment="1">
      <alignment horizontal="right"/>
    </xf>
    <xf numFmtId="0" fontId="248" fillId="249" borderId="248" xfId="0" applyFont="1" applyFill="1" applyBorder="1" applyAlignment="1">
      <alignment horizontal="center"/>
    </xf>
    <xf numFmtId="4" fontId="249" fillId="250" borderId="249" xfId="0" applyNumberFormat="1" applyFont="1" applyFill="1" applyBorder="1" applyAlignment="1">
      <alignment horizontal="right"/>
    </xf>
    <xf numFmtId="0" fontId="250" fillId="251" borderId="250" xfId="0" applyFont="1" applyFill="1" applyBorder="1" applyAlignment="1">
      <alignment horizontal="center"/>
    </xf>
    <xf numFmtId="4" fontId="251" fillId="252" borderId="251" xfId="0" applyNumberFormat="1" applyFont="1" applyFill="1" applyBorder="1" applyAlignment="1">
      <alignment horizontal="right"/>
    </xf>
    <xf numFmtId="0" fontId="252" fillId="253" borderId="252" xfId="0" applyFont="1" applyFill="1" applyBorder="1" applyAlignment="1">
      <alignment horizontal="center"/>
    </xf>
    <xf numFmtId="4" fontId="253" fillId="254" borderId="253" xfId="0" applyNumberFormat="1" applyFont="1" applyFill="1" applyBorder="1" applyAlignment="1">
      <alignment horizontal="right"/>
    </xf>
    <xf numFmtId="0" fontId="254" fillId="255" borderId="254" xfId="0" applyFont="1" applyFill="1" applyBorder="1" applyAlignment="1">
      <alignment horizontal="center"/>
    </xf>
    <xf numFmtId="4" fontId="255" fillId="256" borderId="255" xfId="0" applyNumberFormat="1" applyFont="1" applyFill="1" applyBorder="1" applyAlignment="1">
      <alignment horizontal="right"/>
    </xf>
    <xf numFmtId="0" fontId="256" fillId="257" borderId="256" xfId="0" applyFont="1" applyFill="1" applyBorder="1" applyAlignment="1">
      <alignment horizontal="center"/>
    </xf>
    <xf numFmtId="4" fontId="257" fillId="258" borderId="257" xfId="0" applyNumberFormat="1" applyFont="1" applyFill="1" applyBorder="1" applyAlignment="1">
      <alignment horizontal="right"/>
    </xf>
    <xf numFmtId="0" fontId="258" fillId="259" borderId="258" xfId="0" applyFont="1" applyFill="1" applyBorder="1" applyAlignment="1">
      <alignment horizontal="center"/>
    </xf>
    <xf numFmtId="4" fontId="259" fillId="260" borderId="259" xfId="0" applyNumberFormat="1" applyFont="1" applyFill="1" applyBorder="1" applyAlignment="1">
      <alignment horizontal="right"/>
    </xf>
    <xf numFmtId="0" fontId="260" fillId="261" borderId="260" xfId="0" applyFont="1" applyFill="1" applyBorder="1" applyAlignment="1">
      <alignment horizontal="center"/>
    </xf>
    <xf numFmtId="4" fontId="261" fillId="262" borderId="261" xfId="0" applyNumberFormat="1" applyFont="1" applyFill="1" applyBorder="1" applyAlignment="1">
      <alignment horizontal="right"/>
    </xf>
    <xf numFmtId="0" fontId="262" fillId="263" borderId="262" xfId="0" applyFont="1" applyFill="1" applyBorder="1" applyAlignment="1">
      <alignment horizontal="center"/>
    </xf>
    <xf numFmtId="4" fontId="263" fillId="264" borderId="263" xfId="0" applyNumberFormat="1" applyFont="1" applyFill="1" applyBorder="1" applyAlignment="1">
      <alignment horizontal="right"/>
    </xf>
    <xf numFmtId="0" fontId="264" fillId="265" borderId="264" xfId="0" applyFont="1" applyFill="1" applyBorder="1" applyAlignment="1">
      <alignment horizontal="center"/>
    </xf>
    <xf numFmtId="4" fontId="265" fillId="266" borderId="265" xfId="0" applyNumberFormat="1" applyFont="1" applyFill="1" applyBorder="1" applyAlignment="1">
      <alignment horizontal="right"/>
    </xf>
    <xf numFmtId="0" fontId="266" fillId="267" borderId="266" xfId="0" applyFont="1" applyFill="1" applyBorder="1" applyAlignment="1">
      <alignment horizontal="center"/>
    </xf>
    <xf numFmtId="4" fontId="267" fillId="268" borderId="267" xfId="0" applyNumberFormat="1" applyFont="1" applyFill="1" applyBorder="1" applyAlignment="1">
      <alignment horizontal="right"/>
    </xf>
    <xf numFmtId="0" fontId="268" fillId="269" borderId="268" xfId="0" applyFont="1" applyFill="1" applyBorder="1" applyAlignment="1">
      <alignment horizontal="center"/>
    </xf>
    <xf numFmtId="4" fontId="269" fillId="270" borderId="269" xfId="0" applyNumberFormat="1" applyFont="1" applyFill="1" applyBorder="1" applyAlignment="1">
      <alignment horizontal="right"/>
    </xf>
    <xf numFmtId="0" fontId="270" fillId="271" borderId="270" xfId="0" applyFont="1" applyFill="1" applyBorder="1" applyAlignment="1">
      <alignment horizontal="center"/>
    </xf>
    <xf numFmtId="4" fontId="271" fillId="272" borderId="271" xfId="0" applyNumberFormat="1" applyFont="1" applyFill="1" applyBorder="1" applyAlignment="1">
      <alignment horizontal="right"/>
    </xf>
    <xf numFmtId="0" fontId="272" fillId="273" borderId="272" xfId="0" applyFont="1" applyFill="1" applyBorder="1" applyAlignment="1">
      <alignment horizontal="center"/>
    </xf>
    <xf numFmtId="4" fontId="273" fillId="274" borderId="273" xfId="0" applyNumberFormat="1" applyFont="1" applyFill="1" applyBorder="1" applyAlignment="1">
      <alignment horizontal="right"/>
    </xf>
    <xf numFmtId="0" fontId="274" fillId="275" borderId="274" xfId="0" applyFont="1" applyFill="1" applyBorder="1" applyAlignment="1">
      <alignment horizontal="center"/>
    </xf>
    <xf numFmtId="4" fontId="275" fillId="276" borderId="275" xfId="0" applyNumberFormat="1" applyFont="1" applyFill="1" applyBorder="1" applyAlignment="1">
      <alignment horizontal="right"/>
    </xf>
    <xf numFmtId="0" fontId="276" fillId="277" borderId="276" xfId="0" applyFont="1" applyFill="1" applyBorder="1" applyAlignment="1">
      <alignment horizontal="center"/>
    </xf>
    <xf numFmtId="4" fontId="277" fillId="278" borderId="277" xfId="0" applyNumberFormat="1" applyFont="1" applyFill="1" applyBorder="1" applyAlignment="1">
      <alignment horizontal="right"/>
    </xf>
    <xf numFmtId="0" fontId="278" fillId="279" borderId="278" xfId="0" applyFont="1" applyFill="1" applyBorder="1" applyAlignment="1">
      <alignment horizontal="center"/>
    </xf>
    <xf numFmtId="4" fontId="279" fillId="280" borderId="279" xfId="0" applyNumberFormat="1" applyFont="1" applyFill="1" applyBorder="1" applyAlignment="1">
      <alignment horizontal="right"/>
    </xf>
    <xf numFmtId="0" fontId="280" fillId="281" borderId="280" xfId="0" applyFont="1" applyFill="1" applyBorder="1" applyAlignment="1">
      <alignment horizontal="center"/>
    </xf>
    <xf numFmtId="4" fontId="281" fillId="282" borderId="281" xfId="0" applyNumberFormat="1" applyFont="1" applyFill="1" applyBorder="1" applyAlignment="1">
      <alignment horizontal="right"/>
    </xf>
    <xf numFmtId="0" fontId="282" fillId="283" borderId="282" xfId="0" applyFont="1" applyFill="1" applyBorder="1" applyAlignment="1">
      <alignment horizontal="center"/>
    </xf>
    <xf numFmtId="4" fontId="283" fillId="284" borderId="283" xfId="0" applyNumberFormat="1" applyFont="1" applyFill="1" applyBorder="1" applyAlignment="1">
      <alignment horizontal="right"/>
    </xf>
    <xf numFmtId="0" fontId="284" fillId="285" borderId="284" xfId="0" applyFont="1" applyFill="1" applyBorder="1" applyAlignment="1">
      <alignment horizontal="center"/>
    </xf>
    <xf numFmtId="4" fontId="285" fillId="286" borderId="285" xfId="0" applyNumberFormat="1" applyFont="1" applyFill="1" applyBorder="1" applyAlignment="1">
      <alignment horizontal="right"/>
    </xf>
    <xf numFmtId="0" fontId="286" fillId="287" borderId="286" xfId="0" applyFont="1" applyFill="1" applyBorder="1" applyAlignment="1">
      <alignment horizontal="center"/>
    </xf>
    <xf numFmtId="4" fontId="287" fillId="288" borderId="287" xfId="0" applyNumberFormat="1" applyFont="1" applyFill="1" applyBorder="1" applyAlignment="1">
      <alignment horizontal="right"/>
    </xf>
    <xf numFmtId="0" fontId="288" fillId="289" borderId="288" xfId="0" applyFont="1" applyFill="1" applyBorder="1" applyAlignment="1">
      <alignment horizontal="center"/>
    </xf>
    <xf numFmtId="4" fontId="289" fillId="290" borderId="289" xfId="0" applyNumberFormat="1" applyFont="1" applyFill="1" applyBorder="1" applyAlignment="1">
      <alignment horizontal="right"/>
    </xf>
    <xf numFmtId="0" fontId="290" fillId="291" borderId="290" xfId="0" applyFont="1" applyFill="1" applyBorder="1" applyAlignment="1">
      <alignment horizontal="center"/>
    </xf>
    <xf numFmtId="4" fontId="291" fillId="292" borderId="291" xfId="0" applyNumberFormat="1" applyFont="1" applyFill="1" applyBorder="1" applyAlignment="1">
      <alignment horizontal="right"/>
    </xf>
    <xf numFmtId="0" fontId="292" fillId="293" borderId="292" xfId="0" applyFont="1" applyFill="1" applyBorder="1" applyAlignment="1">
      <alignment horizontal="center"/>
    </xf>
    <xf numFmtId="4" fontId="293" fillId="294" borderId="293" xfId="0" applyNumberFormat="1" applyFont="1" applyFill="1" applyBorder="1" applyAlignment="1">
      <alignment horizontal="right"/>
    </xf>
    <xf numFmtId="0" fontId="294" fillId="295" borderId="294" xfId="0" applyFont="1" applyFill="1" applyBorder="1" applyAlignment="1">
      <alignment horizontal="center"/>
    </xf>
    <xf numFmtId="4" fontId="295" fillId="296" borderId="295" xfId="0" applyNumberFormat="1" applyFont="1" applyFill="1" applyBorder="1" applyAlignment="1">
      <alignment horizontal="right"/>
    </xf>
    <xf numFmtId="0" fontId="296" fillId="297" borderId="296" xfId="0" applyFont="1" applyFill="1" applyBorder="1" applyAlignment="1">
      <alignment horizontal="center"/>
    </xf>
    <xf numFmtId="4" fontId="297" fillId="298" borderId="297" xfId="0" applyNumberFormat="1" applyFont="1" applyFill="1" applyBorder="1" applyAlignment="1">
      <alignment horizontal="right"/>
    </xf>
    <xf numFmtId="0" fontId="298" fillId="299" borderId="298" xfId="0" applyFont="1" applyFill="1" applyBorder="1" applyAlignment="1">
      <alignment horizontal="center"/>
    </xf>
    <xf numFmtId="4" fontId="299" fillId="300" borderId="299" xfId="0" applyNumberFormat="1" applyFont="1" applyFill="1" applyBorder="1" applyAlignment="1">
      <alignment horizontal="right"/>
    </xf>
    <xf numFmtId="0" fontId="300" fillId="301" borderId="300" xfId="0" applyFont="1" applyFill="1" applyBorder="1" applyAlignment="1">
      <alignment horizontal="center"/>
    </xf>
    <xf numFmtId="4" fontId="301" fillId="302" borderId="301" xfId="0" applyNumberFormat="1" applyFont="1" applyFill="1" applyBorder="1" applyAlignment="1">
      <alignment horizontal="right"/>
    </xf>
    <xf numFmtId="0" fontId="302" fillId="303" borderId="302" xfId="0" applyFont="1" applyFill="1" applyBorder="1" applyAlignment="1">
      <alignment horizontal="center"/>
    </xf>
    <xf numFmtId="4" fontId="303" fillId="304" borderId="303" xfId="0" applyNumberFormat="1" applyFont="1" applyFill="1" applyBorder="1" applyAlignment="1">
      <alignment horizontal="right"/>
    </xf>
    <xf numFmtId="0" fontId="304" fillId="305" borderId="304" xfId="0" applyFont="1" applyFill="1" applyBorder="1" applyAlignment="1">
      <alignment horizontal="center"/>
    </xf>
    <xf numFmtId="4" fontId="305" fillId="306" borderId="305" xfId="0" applyNumberFormat="1" applyFont="1" applyFill="1" applyBorder="1" applyAlignment="1">
      <alignment horizontal="right"/>
    </xf>
    <xf numFmtId="0" fontId="306" fillId="307" borderId="306" xfId="0" applyFont="1" applyFill="1" applyBorder="1" applyAlignment="1">
      <alignment horizontal="center"/>
    </xf>
    <xf numFmtId="4" fontId="307" fillId="308" borderId="307" xfId="0" applyNumberFormat="1" applyFont="1" applyFill="1" applyBorder="1" applyAlignment="1">
      <alignment horizontal="right"/>
    </xf>
    <xf numFmtId="0" fontId="308" fillId="309" borderId="308" xfId="0" applyFont="1" applyFill="1" applyBorder="1" applyAlignment="1">
      <alignment horizontal="center"/>
    </xf>
    <xf numFmtId="4" fontId="309" fillId="310" borderId="309" xfId="0" applyNumberFormat="1" applyFont="1" applyFill="1" applyBorder="1" applyAlignment="1">
      <alignment horizontal="right"/>
    </xf>
    <xf numFmtId="0" fontId="310" fillId="311" borderId="310" xfId="0" applyFont="1" applyFill="1" applyBorder="1" applyAlignment="1">
      <alignment horizontal="center"/>
    </xf>
    <xf numFmtId="4" fontId="311" fillId="312" borderId="311" xfId="0" applyNumberFormat="1" applyFont="1" applyFill="1" applyBorder="1" applyAlignment="1">
      <alignment horizontal="right"/>
    </xf>
    <xf numFmtId="0" fontId="312" fillId="313" borderId="312" xfId="0" applyFont="1" applyFill="1" applyBorder="1" applyAlignment="1">
      <alignment horizontal="center"/>
    </xf>
    <xf numFmtId="4" fontId="313" fillId="314" borderId="313" xfId="0" applyNumberFormat="1" applyFont="1" applyFill="1" applyBorder="1" applyAlignment="1">
      <alignment horizontal="right"/>
    </xf>
    <xf numFmtId="0" fontId="314" fillId="315" borderId="314" xfId="0" applyFont="1" applyFill="1" applyBorder="1" applyAlignment="1">
      <alignment horizontal="center"/>
    </xf>
    <xf numFmtId="4" fontId="315" fillId="316" borderId="315" xfId="0" applyNumberFormat="1" applyFont="1" applyFill="1" applyBorder="1" applyAlignment="1">
      <alignment horizontal="right"/>
    </xf>
    <xf numFmtId="0" fontId="316" fillId="317" borderId="316" xfId="0" applyFont="1" applyFill="1" applyBorder="1" applyAlignment="1">
      <alignment horizontal="center"/>
    </xf>
    <xf numFmtId="4" fontId="317" fillId="318" borderId="317" xfId="0" applyNumberFormat="1" applyFont="1" applyFill="1" applyBorder="1" applyAlignment="1">
      <alignment horizontal="right"/>
    </xf>
    <xf numFmtId="0" fontId="318" fillId="319" borderId="318" xfId="0" applyFont="1" applyFill="1" applyBorder="1" applyAlignment="1">
      <alignment horizontal="center"/>
    </xf>
    <xf numFmtId="4" fontId="319" fillId="320" borderId="319" xfId="0" applyNumberFormat="1" applyFont="1" applyFill="1" applyBorder="1" applyAlignment="1">
      <alignment horizontal="right"/>
    </xf>
    <xf numFmtId="0" fontId="320" fillId="321" borderId="320" xfId="0" applyFont="1" applyFill="1" applyBorder="1" applyAlignment="1">
      <alignment horizontal="center"/>
    </xf>
    <xf numFmtId="4" fontId="321" fillId="322" borderId="321" xfId="0" applyNumberFormat="1" applyFont="1" applyFill="1" applyBorder="1" applyAlignment="1">
      <alignment horizontal="right"/>
    </xf>
    <xf numFmtId="0" fontId="322" fillId="323" borderId="322" xfId="0" applyFont="1" applyFill="1" applyBorder="1" applyAlignment="1">
      <alignment horizontal="center"/>
    </xf>
    <xf numFmtId="4" fontId="323" fillId="324" borderId="323" xfId="0" applyNumberFormat="1" applyFont="1" applyFill="1" applyBorder="1" applyAlignment="1">
      <alignment horizontal="right"/>
    </xf>
    <xf numFmtId="0" fontId="324" fillId="325" borderId="324" xfId="0" applyFont="1" applyFill="1" applyBorder="1" applyAlignment="1">
      <alignment horizontal="center"/>
    </xf>
    <xf numFmtId="4" fontId="325" fillId="326" borderId="325" xfId="0" applyNumberFormat="1" applyFont="1" applyFill="1" applyBorder="1" applyAlignment="1">
      <alignment horizontal="right"/>
    </xf>
    <xf numFmtId="0" fontId="326" fillId="327" borderId="326" xfId="0" applyFont="1" applyFill="1" applyBorder="1" applyAlignment="1">
      <alignment horizontal="center"/>
    </xf>
    <xf numFmtId="4" fontId="327" fillId="328" borderId="327" xfId="0" applyNumberFormat="1" applyFont="1" applyFill="1" applyBorder="1" applyAlignment="1">
      <alignment horizontal="right"/>
    </xf>
    <xf numFmtId="0" fontId="328" fillId="329" borderId="328" xfId="0" applyFont="1" applyFill="1" applyBorder="1" applyAlignment="1">
      <alignment horizontal="center"/>
    </xf>
    <xf numFmtId="4" fontId="329" fillId="330" borderId="329" xfId="0" applyNumberFormat="1" applyFont="1" applyFill="1" applyBorder="1" applyAlignment="1">
      <alignment horizontal="right"/>
    </xf>
    <xf numFmtId="0" fontId="330" fillId="331" borderId="330" xfId="0" applyFont="1" applyFill="1" applyBorder="1" applyAlignment="1">
      <alignment horizontal="center"/>
    </xf>
    <xf numFmtId="4" fontId="331" fillId="332" borderId="331" xfId="0" applyNumberFormat="1" applyFont="1" applyFill="1" applyBorder="1" applyAlignment="1">
      <alignment horizontal="right"/>
    </xf>
    <xf numFmtId="0" fontId="332" fillId="333" borderId="332" xfId="0" applyFont="1" applyFill="1" applyBorder="1" applyAlignment="1">
      <alignment horizontal="center"/>
    </xf>
    <xf numFmtId="4" fontId="333" fillId="334" borderId="333" xfId="0" applyNumberFormat="1" applyFont="1" applyFill="1" applyBorder="1" applyAlignment="1">
      <alignment horizontal="right"/>
    </xf>
    <xf numFmtId="0" fontId="334" fillId="335" borderId="334" xfId="0" applyFont="1" applyFill="1" applyBorder="1" applyAlignment="1">
      <alignment horizontal="center"/>
    </xf>
    <xf numFmtId="4" fontId="335" fillId="336" borderId="335" xfId="0" applyNumberFormat="1" applyFont="1" applyFill="1" applyBorder="1" applyAlignment="1">
      <alignment horizontal="right"/>
    </xf>
    <xf numFmtId="0" fontId="336" fillId="337" borderId="336" xfId="0" applyFont="1" applyFill="1" applyBorder="1" applyAlignment="1">
      <alignment horizontal="center"/>
    </xf>
    <xf numFmtId="4" fontId="337" fillId="338" borderId="337" xfId="0" applyNumberFormat="1" applyFont="1" applyFill="1" applyBorder="1" applyAlignment="1">
      <alignment horizontal="right"/>
    </xf>
    <xf numFmtId="0" fontId="338" fillId="339" borderId="338" xfId="0" applyFont="1" applyFill="1" applyBorder="1" applyAlignment="1">
      <alignment horizontal="center"/>
    </xf>
    <xf numFmtId="4" fontId="339" fillId="340" borderId="339" xfId="0" applyNumberFormat="1" applyFont="1" applyFill="1" applyBorder="1" applyAlignment="1">
      <alignment horizontal="right"/>
    </xf>
    <xf numFmtId="0" fontId="340" fillId="341" borderId="340" xfId="0" applyFont="1" applyFill="1" applyBorder="1" applyAlignment="1">
      <alignment horizontal="center"/>
    </xf>
    <xf numFmtId="4" fontId="341" fillId="342" borderId="341" xfId="0" applyNumberFormat="1" applyFont="1" applyFill="1" applyBorder="1" applyAlignment="1">
      <alignment horizontal="right"/>
    </xf>
    <xf numFmtId="0" fontId="342" fillId="343" borderId="342" xfId="0" applyFont="1" applyFill="1" applyBorder="1" applyAlignment="1">
      <alignment horizontal="center"/>
    </xf>
    <xf numFmtId="4" fontId="343" fillId="344" borderId="343" xfId="0" applyNumberFormat="1" applyFont="1" applyFill="1" applyBorder="1" applyAlignment="1">
      <alignment horizontal="right"/>
    </xf>
    <xf numFmtId="0" fontId="344" fillId="345" borderId="344" xfId="0" applyFont="1" applyFill="1" applyBorder="1" applyAlignment="1">
      <alignment horizontal="center"/>
    </xf>
    <xf numFmtId="4" fontId="345" fillId="346" borderId="345" xfId="0" applyNumberFormat="1" applyFont="1" applyFill="1" applyBorder="1" applyAlignment="1">
      <alignment horizontal="right"/>
    </xf>
    <xf numFmtId="0" fontId="346" fillId="347" borderId="346" xfId="0" applyFont="1" applyFill="1" applyBorder="1" applyAlignment="1">
      <alignment horizontal="center"/>
    </xf>
    <xf numFmtId="4" fontId="347" fillId="348" borderId="347" xfId="0" applyNumberFormat="1" applyFont="1" applyFill="1" applyBorder="1" applyAlignment="1">
      <alignment horizontal="right"/>
    </xf>
    <xf numFmtId="0" fontId="348" fillId="349" borderId="348" xfId="0" applyFont="1" applyFill="1" applyBorder="1" applyAlignment="1">
      <alignment horizontal="center"/>
    </xf>
    <xf numFmtId="4" fontId="349" fillId="350" borderId="349" xfId="0" applyNumberFormat="1" applyFont="1" applyFill="1" applyBorder="1" applyAlignment="1">
      <alignment horizontal="right"/>
    </xf>
    <xf numFmtId="0" fontId="350" fillId="351" borderId="350" xfId="0" applyFont="1" applyFill="1" applyBorder="1" applyAlignment="1">
      <alignment horizontal="center"/>
    </xf>
    <xf numFmtId="4" fontId="351" fillId="352" borderId="351" xfId="0" applyNumberFormat="1" applyFont="1" applyFill="1" applyBorder="1" applyAlignment="1">
      <alignment horizontal="right"/>
    </xf>
    <xf numFmtId="0" fontId="352" fillId="353" borderId="352" xfId="0" applyFont="1" applyFill="1" applyBorder="1" applyAlignment="1">
      <alignment horizontal="center"/>
    </xf>
    <xf numFmtId="4" fontId="353" fillId="354" borderId="353" xfId="0" applyNumberFormat="1" applyFont="1" applyFill="1" applyBorder="1" applyAlignment="1">
      <alignment horizontal="right"/>
    </xf>
    <xf numFmtId="0" fontId="354" fillId="355" borderId="354" xfId="0" applyFont="1" applyFill="1" applyBorder="1" applyAlignment="1">
      <alignment horizontal="center"/>
    </xf>
    <xf numFmtId="4" fontId="355" fillId="356" borderId="355" xfId="0" applyNumberFormat="1" applyFont="1" applyFill="1" applyBorder="1" applyAlignment="1">
      <alignment horizontal="right"/>
    </xf>
    <xf numFmtId="0" fontId="356" fillId="357" borderId="356" xfId="0" applyFont="1" applyFill="1" applyBorder="1" applyAlignment="1">
      <alignment horizontal="center"/>
    </xf>
    <xf numFmtId="4" fontId="357" fillId="358" borderId="357" xfId="0" applyNumberFormat="1" applyFont="1" applyFill="1" applyBorder="1" applyAlignment="1">
      <alignment horizontal="right"/>
    </xf>
    <xf numFmtId="0" fontId="358" fillId="359" borderId="358" xfId="0" applyFont="1" applyFill="1" applyBorder="1" applyAlignment="1">
      <alignment horizontal="center"/>
    </xf>
    <xf numFmtId="4" fontId="359" fillId="360" borderId="359" xfId="0" applyNumberFormat="1" applyFont="1" applyFill="1" applyBorder="1" applyAlignment="1">
      <alignment horizontal="right"/>
    </xf>
    <xf numFmtId="0" fontId="360" fillId="361" borderId="360" xfId="0" applyFont="1" applyFill="1" applyBorder="1" applyAlignment="1">
      <alignment horizontal="center"/>
    </xf>
    <xf numFmtId="4" fontId="361" fillId="362" borderId="361" xfId="0" applyNumberFormat="1" applyFont="1" applyFill="1" applyBorder="1" applyAlignment="1">
      <alignment horizontal="right"/>
    </xf>
    <xf numFmtId="0" fontId="362" fillId="363" borderId="362" xfId="0" applyFont="1" applyFill="1" applyBorder="1" applyAlignment="1">
      <alignment horizontal="center"/>
    </xf>
    <xf numFmtId="4" fontId="363" fillId="364" borderId="363" xfId="0" applyNumberFormat="1" applyFont="1" applyFill="1" applyBorder="1" applyAlignment="1">
      <alignment horizontal="right"/>
    </xf>
    <xf numFmtId="0" fontId="364" fillId="365" borderId="364" xfId="0" applyFont="1" applyFill="1" applyBorder="1" applyAlignment="1">
      <alignment horizontal="center"/>
    </xf>
    <xf numFmtId="4" fontId="365" fillId="366" borderId="365" xfId="0" applyNumberFormat="1" applyFont="1" applyFill="1" applyBorder="1" applyAlignment="1">
      <alignment horizontal="right"/>
    </xf>
    <xf numFmtId="0" fontId="366" fillId="367" borderId="366" xfId="0" applyFont="1" applyFill="1" applyBorder="1" applyAlignment="1">
      <alignment horizontal="center"/>
    </xf>
    <xf numFmtId="4" fontId="367" fillId="368" borderId="367" xfId="0" applyNumberFormat="1" applyFont="1" applyFill="1" applyBorder="1" applyAlignment="1">
      <alignment horizontal="right"/>
    </xf>
    <xf numFmtId="0" fontId="368" fillId="369" borderId="368" xfId="0" applyFont="1" applyFill="1" applyBorder="1" applyAlignment="1">
      <alignment horizontal="center"/>
    </xf>
    <xf numFmtId="4" fontId="369" fillId="370" borderId="369" xfId="0" applyNumberFormat="1" applyFont="1" applyFill="1" applyBorder="1" applyAlignment="1">
      <alignment horizontal="right"/>
    </xf>
    <xf numFmtId="0" fontId="370" fillId="371" borderId="370" xfId="0" applyFont="1" applyFill="1" applyBorder="1" applyAlignment="1">
      <alignment horizontal="center"/>
    </xf>
    <xf numFmtId="4" fontId="371" fillId="372" borderId="371" xfId="0" applyNumberFormat="1" applyFont="1" applyFill="1" applyBorder="1" applyAlignment="1">
      <alignment horizontal="right"/>
    </xf>
    <xf numFmtId="0" fontId="372" fillId="373" borderId="372" xfId="0" applyFont="1" applyFill="1" applyBorder="1" applyAlignment="1">
      <alignment horizontal="center"/>
    </xf>
    <xf numFmtId="4" fontId="373" fillId="374" borderId="373" xfId="0" applyNumberFormat="1" applyFont="1" applyFill="1" applyBorder="1" applyAlignment="1">
      <alignment horizontal="right"/>
    </xf>
    <xf numFmtId="0" fontId="374" fillId="375" borderId="374" xfId="0" applyFont="1" applyFill="1" applyBorder="1" applyAlignment="1">
      <alignment horizontal="center"/>
    </xf>
    <xf numFmtId="4" fontId="375" fillId="376" borderId="375" xfId="0" applyNumberFormat="1" applyFont="1" applyFill="1" applyBorder="1" applyAlignment="1">
      <alignment horizontal="right"/>
    </xf>
    <xf numFmtId="0" fontId="376" fillId="377" borderId="376" xfId="0" applyFont="1" applyFill="1" applyBorder="1" applyAlignment="1">
      <alignment horizontal="center"/>
    </xf>
    <xf numFmtId="4" fontId="377" fillId="378" borderId="377" xfId="0" applyNumberFormat="1" applyFont="1" applyFill="1" applyBorder="1" applyAlignment="1">
      <alignment horizontal="right"/>
    </xf>
    <xf numFmtId="0" fontId="378" fillId="379" borderId="378" xfId="0" applyFont="1" applyFill="1" applyBorder="1" applyAlignment="1">
      <alignment horizontal="center"/>
    </xf>
    <xf numFmtId="4" fontId="379" fillId="380" borderId="379" xfId="0" applyNumberFormat="1" applyFont="1" applyFill="1" applyBorder="1" applyAlignment="1">
      <alignment horizontal="right"/>
    </xf>
    <xf numFmtId="0" fontId="380" fillId="381" borderId="380" xfId="0" applyFont="1" applyFill="1" applyBorder="1" applyAlignment="1">
      <alignment horizontal="center"/>
    </xf>
    <xf numFmtId="4" fontId="381" fillId="382" borderId="381" xfId="0" applyNumberFormat="1" applyFont="1" applyFill="1" applyBorder="1" applyAlignment="1">
      <alignment horizontal="right"/>
    </xf>
    <xf numFmtId="0" fontId="382" fillId="383" borderId="382" xfId="0" applyFont="1" applyFill="1" applyBorder="1" applyAlignment="1">
      <alignment horizontal="center"/>
    </xf>
    <xf numFmtId="4" fontId="383" fillId="384" borderId="383" xfId="0" applyNumberFormat="1" applyFont="1" applyFill="1" applyBorder="1" applyAlignment="1">
      <alignment horizontal="right"/>
    </xf>
    <xf numFmtId="0" fontId="384" fillId="385" borderId="384" xfId="0" applyFont="1" applyFill="1" applyBorder="1" applyAlignment="1">
      <alignment horizontal="center"/>
    </xf>
    <xf numFmtId="4" fontId="385" fillId="386" borderId="385" xfId="0" applyNumberFormat="1" applyFont="1" applyFill="1" applyBorder="1" applyAlignment="1">
      <alignment horizontal="right"/>
    </xf>
    <xf numFmtId="0" fontId="386" fillId="387" borderId="386" xfId="0" applyFont="1" applyFill="1" applyBorder="1" applyAlignment="1">
      <alignment horizontal="center"/>
    </xf>
    <xf numFmtId="4" fontId="387" fillId="388" borderId="387" xfId="0" applyNumberFormat="1" applyFont="1" applyFill="1" applyBorder="1" applyAlignment="1">
      <alignment horizontal="right"/>
    </xf>
    <xf numFmtId="0" fontId="388" fillId="389" borderId="388" xfId="0" applyFont="1" applyFill="1" applyBorder="1" applyAlignment="1">
      <alignment horizontal="center"/>
    </xf>
    <xf numFmtId="4" fontId="389" fillId="390" borderId="389" xfId="0" applyNumberFormat="1" applyFont="1" applyFill="1" applyBorder="1" applyAlignment="1">
      <alignment horizontal="right"/>
    </xf>
    <xf numFmtId="0" fontId="390" fillId="391" borderId="390" xfId="0" applyFont="1" applyFill="1" applyBorder="1" applyAlignment="1">
      <alignment horizontal="center"/>
    </xf>
    <xf numFmtId="4" fontId="391" fillId="392" borderId="391" xfId="0" applyNumberFormat="1" applyFont="1" applyFill="1" applyBorder="1" applyAlignment="1">
      <alignment horizontal="right"/>
    </xf>
    <xf numFmtId="0" fontId="392" fillId="393" borderId="392" xfId="0" applyFont="1" applyFill="1" applyBorder="1" applyAlignment="1">
      <alignment horizontal="center"/>
    </xf>
    <xf numFmtId="4" fontId="393" fillId="394" borderId="393" xfId="0" applyNumberFormat="1" applyFont="1" applyFill="1" applyBorder="1" applyAlignment="1">
      <alignment horizontal="right"/>
    </xf>
    <xf numFmtId="0" fontId="394" fillId="395" borderId="394" xfId="0" applyFont="1" applyFill="1" applyBorder="1" applyAlignment="1">
      <alignment horizontal="center"/>
    </xf>
    <xf numFmtId="4" fontId="395" fillId="396" borderId="395" xfId="0" applyNumberFormat="1" applyFont="1" applyFill="1" applyBorder="1" applyAlignment="1">
      <alignment horizontal="right"/>
    </xf>
    <xf numFmtId="0" fontId="396" fillId="397" borderId="396" xfId="0" applyFont="1" applyFill="1" applyBorder="1" applyAlignment="1">
      <alignment horizontal="center"/>
    </xf>
    <xf numFmtId="4" fontId="397" fillId="398" borderId="397" xfId="0" applyNumberFormat="1" applyFont="1" applyFill="1" applyBorder="1" applyAlignment="1">
      <alignment horizontal="right"/>
    </xf>
    <xf numFmtId="0" fontId="398" fillId="399" borderId="398" xfId="0" applyFont="1" applyFill="1" applyBorder="1" applyAlignment="1">
      <alignment horizontal="center"/>
    </xf>
    <xf numFmtId="4" fontId="399" fillId="400" borderId="399" xfId="0" applyNumberFormat="1" applyFont="1" applyFill="1" applyBorder="1" applyAlignment="1">
      <alignment horizontal="right"/>
    </xf>
    <xf numFmtId="0" fontId="400" fillId="401" borderId="400" xfId="0" applyFont="1" applyFill="1" applyBorder="1" applyAlignment="1">
      <alignment horizontal="center"/>
    </xf>
    <xf numFmtId="4" fontId="401" fillId="402" borderId="401" xfId="0" applyNumberFormat="1" applyFont="1" applyFill="1" applyBorder="1" applyAlignment="1">
      <alignment horizontal="right"/>
    </xf>
    <xf numFmtId="0" fontId="402" fillId="403" borderId="402" xfId="0" applyFont="1" applyFill="1" applyBorder="1" applyAlignment="1">
      <alignment horizontal="center"/>
    </xf>
    <xf numFmtId="4" fontId="403" fillId="404" borderId="403" xfId="0" applyNumberFormat="1" applyFont="1" applyFill="1" applyBorder="1" applyAlignment="1">
      <alignment horizontal="right"/>
    </xf>
    <xf numFmtId="0" fontId="404" fillId="405" borderId="404" xfId="0" applyFont="1" applyFill="1" applyBorder="1" applyAlignment="1">
      <alignment horizontal="center"/>
    </xf>
    <xf numFmtId="4" fontId="405" fillId="406" borderId="405" xfId="0" applyNumberFormat="1" applyFont="1" applyFill="1" applyBorder="1" applyAlignment="1">
      <alignment horizontal="right"/>
    </xf>
    <xf numFmtId="0" fontId="406" fillId="407" borderId="406" xfId="0" applyFont="1" applyFill="1" applyBorder="1" applyAlignment="1">
      <alignment horizontal="center"/>
    </xf>
    <xf numFmtId="4" fontId="407" fillId="408" borderId="407" xfId="0" applyNumberFormat="1" applyFont="1" applyFill="1" applyBorder="1" applyAlignment="1">
      <alignment horizontal="right"/>
    </xf>
    <xf numFmtId="0" fontId="408" fillId="409" borderId="408" xfId="0" applyFont="1" applyFill="1" applyBorder="1" applyAlignment="1">
      <alignment horizontal="center"/>
    </xf>
    <xf numFmtId="4" fontId="409" fillId="410" borderId="409" xfId="0" applyNumberFormat="1" applyFont="1" applyFill="1" applyBorder="1" applyAlignment="1">
      <alignment horizontal="right"/>
    </xf>
    <xf numFmtId="0" fontId="410" fillId="411" borderId="410" xfId="0" applyFont="1" applyFill="1" applyBorder="1" applyAlignment="1">
      <alignment horizontal="center"/>
    </xf>
    <xf numFmtId="4" fontId="411" fillId="412" borderId="411" xfId="0" applyNumberFormat="1" applyFont="1" applyFill="1" applyBorder="1" applyAlignment="1">
      <alignment horizontal="right"/>
    </xf>
    <xf numFmtId="0" fontId="412" fillId="413" borderId="412" xfId="0" applyFont="1" applyFill="1" applyBorder="1" applyAlignment="1">
      <alignment horizontal="center"/>
    </xf>
    <xf numFmtId="4" fontId="413" fillId="414" borderId="413" xfId="0" applyNumberFormat="1" applyFont="1" applyFill="1" applyBorder="1" applyAlignment="1">
      <alignment horizontal="right"/>
    </xf>
    <xf numFmtId="0" fontId="414" fillId="415" borderId="414" xfId="0" applyFont="1" applyFill="1" applyBorder="1" applyAlignment="1">
      <alignment horizontal="center"/>
    </xf>
    <xf numFmtId="4" fontId="415" fillId="416" borderId="415" xfId="0" applyNumberFormat="1" applyFont="1" applyFill="1" applyBorder="1" applyAlignment="1">
      <alignment horizontal="right"/>
    </xf>
    <xf numFmtId="0" fontId="416" fillId="417" borderId="416" xfId="0" applyFont="1" applyFill="1" applyBorder="1" applyAlignment="1">
      <alignment horizontal="center"/>
    </xf>
    <xf numFmtId="4" fontId="417" fillId="418" borderId="417" xfId="0" applyNumberFormat="1" applyFont="1" applyFill="1" applyBorder="1" applyAlignment="1">
      <alignment horizontal="right"/>
    </xf>
    <xf numFmtId="0" fontId="418" fillId="419" borderId="418" xfId="0" applyFont="1" applyFill="1" applyBorder="1" applyAlignment="1">
      <alignment horizontal="center"/>
    </xf>
    <xf numFmtId="4" fontId="419" fillId="420" borderId="419" xfId="0" applyNumberFormat="1" applyFont="1" applyFill="1" applyBorder="1" applyAlignment="1">
      <alignment horizontal="right"/>
    </xf>
    <xf numFmtId="0" fontId="420" fillId="421" borderId="420" xfId="0" applyFont="1" applyFill="1" applyBorder="1" applyAlignment="1">
      <alignment horizontal="center"/>
    </xf>
    <xf numFmtId="4" fontId="421" fillId="422" borderId="421" xfId="0" applyNumberFormat="1" applyFont="1" applyFill="1" applyBorder="1" applyAlignment="1">
      <alignment horizontal="right"/>
    </xf>
    <xf numFmtId="0" fontId="422" fillId="423" borderId="422" xfId="0" applyFont="1" applyFill="1" applyBorder="1" applyAlignment="1">
      <alignment horizontal="center"/>
    </xf>
    <xf numFmtId="4" fontId="423" fillId="424" borderId="423" xfId="0" applyNumberFormat="1" applyFont="1" applyFill="1" applyBorder="1" applyAlignment="1">
      <alignment horizontal="right"/>
    </xf>
    <xf numFmtId="0" fontId="424" fillId="425" borderId="424" xfId="0" applyFont="1" applyFill="1" applyBorder="1" applyAlignment="1">
      <alignment horizontal="center"/>
    </xf>
    <xf numFmtId="4" fontId="425" fillId="426" borderId="425" xfId="0" applyNumberFormat="1" applyFont="1" applyFill="1" applyBorder="1" applyAlignment="1">
      <alignment horizontal="right"/>
    </xf>
    <xf numFmtId="0" fontId="426" fillId="427" borderId="426" xfId="0" applyFont="1" applyFill="1" applyBorder="1" applyAlignment="1">
      <alignment horizontal="center"/>
    </xf>
    <xf numFmtId="4" fontId="427" fillId="428" borderId="427" xfId="0" applyNumberFormat="1" applyFont="1" applyFill="1" applyBorder="1" applyAlignment="1">
      <alignment horizontal="right"/>
    </xf>
    <xf numFmtId="0" fontId="428" fillId="429" borderId="428" xfId="0" applyFont="1" applyFill="1" applyBorder="1" applyAlignment="1">
      <alignment horizontal="center"/>
    </xf>
    <xf numFmtId="4" fontId="429" fillId="430" borderId="429" xfId="0" applyNumberFormat="1" applyFont="1" applyFill="1" applyBorder="1" applyAlignment="1">
      <alignment horizontal="right"/>
    </xf>
    <xf numFmtId="0" fontId="430" fillId="431" borderId="430" xfId="0" applyFont="1" applyFill="1" applyBorder="1" applyAlignment="1">
      <alignment horizontal="center"/>
    </xf>
    <xf numFmtId="4" fontId="431" fillId="432" borderId="431" xfId="0" applyNumberFormat="1" applyFont="1" applyFill="1" applyBorder="1" applyAlignment="1">
      <alignment horizontal="right"/>
    </xf>
    <xf numFmtId="0" fontId="432" fillId="433" borderId="432" xfId="0" applyFont="1" applyFill="1" applyBorder="1" applyAlignment="1">
      <alignment horizontal="center"/>
    </xf>
    <xf numFmtId="4" fontId="433" fillId="434" borderId="433" xfId="0" applyNumberFormat="1" applyFont="1" applyFill="1" applyBorder="1" applyAlignment="1">
      <alignment horizontal="right"/>
    </xf>
    <xf numFmtId="0" fontId="434" fillId="435" borderId="434" xfId="0" applyFont="1" applyFill="1" applyBorder="1" applyAlignment="1">
      <alignment horizontal="center"/>
    </xf>
    <xf numFmtId="4" fontId="435" fillId="436" borderId="435" xfId="0" applyNumberFormat="1" applyFont="1" applyFill="1" applyBorder="1" applyAlignment="1">
      <alignment horizontal="right"/>
    </xf>
    <xf numFmtId="0" fontId="436" fillId="437" borderId="436" xfId="0" applyFont="1" applyFill="1" applyBorder="1" applyAlignment="1">
      <alignment horizontal="center"/>
    </xf>
    <xf numFmtId="4" fontId="437" fillId="438" borderId="437" xfId="0" applyNumberFormat="1" applyFont="1" applyFill="1" applyBorder="1" applyAlignment="1">
      <alignment horizontal="right"/>
    </xf>
    <xf numFmtId="0" fontId="438" fillId="439" borderId="438" xfId="0" applyFont="1" applyFill="1" applyBorder="1" applyAlignment="1">
      <alignment horizontal="center"/>
    </xf>
    <xf numFmtId="4" fontId="439" fillId="440" borderId="439" xfId="0" applyNumberFormat="1" applyFont="1" applyFill="1" applyBorder="1" applyAlignment="1">
      <alignment horizontal="right"/>
    </xf>
    <xf numFmtId="0" fontId="440" fillId="441" borderId="440" xfId="0" applyFont="1" applyFill="1" applyBorder="1" applyAlignment="1">
      <alignment horizontal="center"/>
    </xf>
    <xf numFmtId="4" fontId="441" fillId="442" borderId="441" xfId="0" applyNumberFormat="1" applyFont="1" applyFill="1" applyBorder="1" applyAlignment="1">
      <alignment horizontal="right"/>
    </xf>
    <xf numFmtId="0" fontId="442" fillId="443" borderId="442" xfId="0" applyFont="1" applyFill="1" applyBorder="1" applyAlignment="1">
      <alignment horizontal="center"/>
    </xf>
    <xf numFmtId="4" fontId="443" fillId="444" borderId="443" xfId="0" applyNumberFormat="1" applyFont="1" applyFill="1" applyBorder="1" applyAlignment="1">
      <alignment horizontal="right"/>
    </xf>
    <xf numFmtId="0" fontId="444" fillId="445" borderId="444" xfId="0" applyFont="1" applyFill="1" applyBorder="1" applyAlignment="1">
      <alignment horizontal="center"/>
    </xf>
    <xf numFmtId="4" fontId="445" fillId="446" borderId="445" xfId="0" applyNumberFormat="1" applyFont="1" applyFill="1" applyBorder="1" applyAlignment="1">
      <alignment horizontal="right"/>
    </xf>
    <xf numFmtId="0" fontId="446" fillId="447" borderId="446" xfId="0" applyFont="1" applyFill="1" applyBorder="1" applyAlignment="1">
      <alignment horizontal="center"/>
    </xf>
    <xf numFmtId="4" fontId="447" fillId="448" borderId="447" xfId="0" applyNumberFormat="1" applyFont="1" applyFill="1" applyBorder="1" applyAlignment="1">
      <alignment horizontal="right"/>
    </xf>
    <xf numFmtId="0" fontId="448" fillId="449" borderId="448" xfId="0" applyFont="1" applyFill="1" applyBorder="1" applyAlignment="1">
      <alignment horizontal="center"/>
    </xf>
    <xf numFmtId="4" fontId="449" fillId="450" borderId="449" xfId="0" applyNumberFormat="1" applyFont="1" applyFill="1" applyBorder="1" applyAlignment="1">
      <alignment horizontal="right"/>
    </xf>
    <xf numFmtId="0" fontId="450" fillId="451" borderId="450" xfId="0" applyFont="1" applyFill="1" applyBorder="1" applyAlignment="1">
      <alignment horizontal="center"/>
    </xf>
    <xf numFmtId="4" fontId="451" fillId="452" borderId="451" xfId="0" applyNumberFormat="1" applyFont="1" applyFill="1" applyBorder="1" applyAlignment="1">
      <alignment horizontal="right"/>
    </xf>
    <xf numFmtId="0" fontId="452" fillId="453" borderId="452" xfId="0" applyFont="1" applyFill="1" applyBorder="1" applyAlignment="1">
      <alignment horizontal="center"/>
    </xf>
    <xf numFmtId="4" fontId="453" fillId="454" borderId="453" xfId="0" applyNumberFormat="1" applyFont="1" applyFill="1" applyBorder="1" applyAlignment="1">
      <alignment horizontal="right"/>
    </xf>
    <xf numFmtId="0" fontId="454" fillId="455" borderId="454" xfId="0" applyFont="1" applyFill="1" applyBorder="1" applyAlignment="1">
      <alignment horizontal="center"/>
    </xf>
    <xf numFmtId="4" fontId="455" fillId="456" borderId="455" xfId="0" applyNumberFormat="1" applyFont="1" applyFill="1" applyBorder="1" applyAlignment="1">
      <alignment horizontal="right"/>
    </xf>
    <xf numFmtId="0" fontId="456" fillId="457" borderId="456" xfId="0" applyFont="1" applyFill="1" applyBorder="1" applyAlignment="1">
      <alignment horizontal="center"/>
    </xf>
    <xf numFmtId="4" fontId="457" fillId="458" borderId="457" xfId="0" applyNumberFormat="1" applyFont="1" applyFill="1" applyBorder="1" applyAlignment="1">
      <alignment horizontal="right"/>
    </xf>
    <xf numFmtId="0" fontId="458" fillId="459" borderId="458" xfId="0" applyFont="1" applyFill="1" applyBorder="1" applyAlignment="1">
      <alignment horizontal="center"/>
    </xf>
    <xf numFmtId="4" fontId="459" fillId="460" borderId="459" xfId="0" applyNumberFormat="1" applyFont="1" applyFill="1" applyBorder="1" applyAlignment="1">
      <alignment horizontal="right"/>
    </xf>
    <xf numFmtId="0" fontId="460" fillId="461" borderId="460" xfId="0" applyFont="1" applyFill="1" applyBorder="1" applyAlignment="1">
      <alignment horizontal="center"/>
    </xf>
    <xf numFmtId="4" fontId="461" fillId="462" borderId="461" xfId="0" applyNumberFormat="1" applyFont="1" applyFill="1" applyBorder="1" applyAlignment="1">
      <alignment horizontal="right"/>
    </xf>
    <xf numFmtId="0" fontId="462" fillId="463" borderId="462" xfId="0" applyFont="1" applyFill="1" applyBorder="1" applyAlignment="1">
      <alignment horizontal="center"/>
    </xf>
    <xf numFmtId="4" fontId="463" fillId="464" borderId="463" xfId="0" applyNumberFormat="1" applyFont="1" applyFill="1" applyBorder="1" applyAlignment="1">
      <alignment horizontal="right"/>
    </xf>
    <xf numFmtId="0" fontId="464" fillId="465" borderId="464" xfId="0" applyFont="1" applyFill="1" applyBorder="1" applyAlignment="1">
      <alignment horizontal="center"/>
    </xf>
    <xf numFmtId="4" fontId="465" fillId="466" borderId="465" xfId="0" applyNumberFormat="1" applyFont="1" applyFill="1" applyBorder="1" applyAlignment="1">
      <alignment horizontal="right"/>
    </xf>
    <xf numFmtId="0" fontId="466" fillId="467" borderId="466" xfId="0" applyFont="1" applyFill="1" applyBorder="1" applyAlignment="1">
      <alignment horizontal="center"/>
    </xf>
    <xf numFmtId="4" fontId="467" fillId="468" borderId="467" xfId="0" applyNumberFormat="1" applyFont="1" applyFill="1" applyBorder="1" applyAlignment="1">
      <alignment horizontal="right"/>
    </xf>
    <xf numFmtId="0" fontId="468" fillId="469" borderId="468" xfId="0" applyFont="1" applyFill="1" applyBorder="1" applyAlignment="1">
      <alignment horizontal="center"/>
    </xf>
    <xf numFmtId="4" fontId="469" fillId="470" borderId="469" xfId="0" applyNumberFormat="1" applyFont="1" applyFill="1" applyBorder="1" applyAlignment="1">
      <alignment horizontal="right"/>
    </xf>
    <xf numFmtId="0" fontId="470" fillId="471" borderId="470" xfId="0" applyFont="1" applyFill="1" applyBorder="1" applyAlignment="1">
      <alignment horizontal="center"/>
    </xf>
    <xf numFmtId="4" fontId="471" fillId="472" borderId="471" xfId="0" applyNumberFormat="1" applyFont="1" applyFill="1" applyBorder="1" applyAlignment="1">
      <alignment horizontal="right"/>
    </xf>
    <xf numFmtId="0" fontId="472" fillId="473" borderId="472" xfId="0" applyFont="1" applyFill="1" applyBorder="1" applyAlignment="1">
      <alignment horizontal="center"/>
    </xf>
    <xf numFmtId="4" fontId="473" fillId="474" borderId="473" xfId="0" applyNumberFormat="1" applyFont="1" applyFill="1" applyBorder="1" applyAlignment="1">
      <alignment horizontal="right"/>
    </xf>
    <xf numFmtId="0" fontId="474" fillId="475" borderId="474" xfId="0" applyFont="1" applyFill="1" applyBorder="1" applyAlignment="1">
      <alignment horizontal="center"/>
    </xf>
    <xf numFmtId="4" fontId="475" fillId="476" borderId="475" xfId="0" applyNumberFormat="1" applyFont="1" applyFill="1" applyBorder="1" applyAlignment="1">
      <alignment horizontal="right"/>
    </xf>
    <xf numFmtId="0" fontId="476" fillId="477" borderId="476" xfId="0" applyFont="1" applyFill="1" applyBorder="1" applyAlignment="1">
      <alignment horizontal="center"/>
    </xf>
    <xf numFmtId="4" fontId="477" fillId="478" borderId="477" xfId="0" applyNumberFormat="1" applyFont="1" applyFill="1" applyBorder="1" applyAlignment="1">
      <alignment horizontal="right"/>
    </xf>
    <xf numFmtId="0" fontId="478" fillId="479" borderId="478" xfId="0" applyFont="1" applyFill="1" applyBorder="1" applyAlignment="1">
      <alignment horizontal="center"/>
    </xf>
    <xf numFmtId="4" fontId="479" fillId="480" borderId="479" xfId="0" applyNumberFormat="1" applyFont="1" applyFill="1" applyBorder="1" applyAlignment="1">
      <alignment horizontal="right"/>
    </xf>
    <xf numFmtId="0" fontId="480" fillId="481" borderId="480" xfId="0" applyFont="1" applyFill="1" applyBorder="1" applyAlignment="1">
      <alignment horizontal="center"/>
    </xf>
    <xf numFmtId="4" fontId="481" fillId="482" borderId="481" xfId="0" applyNumberFormat="1" applyFont="1" applyFill="1" applyBorder="1" applyAlignment="1">
      <alignment horizontal="right"/>
    </xf>
    <xf numFmtId="0" fontId="482" fillId="483" borderId="482" xfId="0" applyFont="1" applyFill="1" applyBorder="1" applyAlignment="1">
      <alignment horizontal="center"/>
    </xf>
    <xf numFmtId="4" fontId="483" fillId="484" borderId="483" xfId="0" applyNumberFormat="1" applyFont="1" applyFill="1" applyBorder="1" applyAlignment="1">
      <alignment horizontal="right"/>
    </xf>
    <xf numFmtId="0" fontId="484" fillId="485" borderId="484" xfId="0" applyFont="1" applyFill="1" applyBorder="1" applyAlignment="1">
      <alignment horizontal="center"/>
    </xf>
    <xf numFmtId="4" fontId="485" fillId="486" borderId="485" xfId="0" applyNumberFormat="1" applyFont="1" applyFill="1" applyBorder="1" applyAlignment="1">
      <alignment horizontal="right"/>
    </xf>
    <xf numFmtId="0" fontId="486" fillId="487" borderId="486" xfId="0" applyFont="1" applyFill="1" applyBorder="1" applyAlignment="1">
      <alignment horizontal="center"/>
    </xf>
    <xf numFmtId="4" fontId="487" fillId="488" borderId="487" xfId="0" applyNumberFormat="1" applyFont="1" applyFill="1" applyBorder="1" applyAlignment="1">
      <alignment horizontal="right"/>
    </xf>
    <xf numFmtId="0" fontId="488" fillId="489" borderId="488" xfId="0" applyFont="1" applyFill="1" applyBorder="1" applyAlignment="1">
      <alignment horizontal="center"/>
    </xf>
    <xf numFmtId="4" fontId="489" fillId="490" borderId="489" xfId="0" applyNumberFormat="1" applyFont="1" applyFill="1" applyBorder="1" applyAlignment="1">
      <alignment horizontal="right"/>
    </xf>
    <xf numFmtId="0" fontId="490" fillId="491" borderId="490" xfId="0" applyFont="1" applyFill="1" applyBorder="1" applyAlignment="1">
      <alignment horizontal="center"/>
    </xf>
    <xf numFmtId="4" fontId="491" fillId="492" borderId="491" xfId="0" applyNumberFormat="1" applyFont="1" applyFill="1" applyBorder="1" applyAlignment="1">
      <alignment horizontal="right"/>
    </xf>
    <xf numFmtId="0" fontId="492" fillId="493" borderId="492" xfId="0" applyFont="1" applyFill="1" applyBorder="1" applyAlignment="1">
      <alignment horizontal="center"/>
    </xf>
    <xf numFmtId="4" fontId="493" fillId="494" borderId="493" xfId="0" applyNumberFormat="1" applyFont="1" applyFill="1" applyBorder="1" applyAlignment="1">
      <alignment horizontal="right"/>
    </xf>
    <xf numFmtId="0" fontId="494" fillId="495" borderId="494" xfId="0" applyFont="1" applyFill="1" applyBorder="1" applyAlignment="1">
      <alignment horizontal="center"/>
    </xf>
    <xf numFmtId="4" fontId="495" fillId="496" borderId="495" xfId="0" applyNumberFormat="1" applyFont="1" applyFill="1" applyBorder="1" applyAlignment="1">
      <alignment horizontal="right"/>
    </xf>
    <xf numFmtId="0" fontId="496" fillId="497" borderId="496" xfId="0" applyFont="1" applyFill="1" applyBorder="1" applyAlignment="1">
      <alignment horizontal="center"/>
    </xf>
    <xf numFmtId="4" fontId="497" fillId="498" borderId="497" xfId="0" applyNumberFormat="1" applyFont="1" applyFill="1" applyBorder="1" applyAlignment="1">
      <alignment horizontal="right"/>
    </xf>
    <xf numFmtId="0" fontId="498" fillId="499" borderId="498" xfId="0" applyFont="1" applyFill="1" applyBorder="1" applyAlignment="1">
      <alignment horizontal="center"/>
    </xf>
    <xf numFmtId="4" fontId="499" fillId="500" borderId="499" xfId="0" applyNumberFormat="1" applyFont="1" applyFill="1" applyBorder="1" applyAlignment="1">
      <alignment horizontal="right"/>
    </xf>
    <xf numFmtId="0" fontId="500" fillId="501" borderId="500" xfId="0" applyFont="1" applyFill="1" applyBorder="1" applyAlignment="1">
      <alignment horizontal="center"/>
    </xf>
    <xf numFmtId="4" fontId="501" fillId="502" borderId="501" xfId="0" applyNumberFormat="1" applyFont="1" applyFill="1" applyBorder="1" applyAlignment="1">
      <alignment horizontal="right"/>
    </xf>
    <xf numFmtId="0" fontId="502" fillId="503" borderId="502" xfId="0" applyFont="1" applyFill="1" applyBorder="1" applyAlignment="1">
      <alignment horizontal="center"/>
    </xf>
    <xf numFmtId="4" fontId="503" fillId="504" borderId="503" xfId="0" applyNumberFormat="1" applyFont="1" applyFill="1" applyBorder="1" applyAlignment="1">
      <alignment horizontal="right"/>
    </xf>
    <xf numFmtId="0" fontId="504" fillId="505" borderId="504" xfId="0" applyFont="1" applyFill="1" applyBorder="1" applyAlignment="1">
      <alignment horizontal="center"/>
    </xf>
    <xf numFmtId="4" fontId="505" fillId="506" borderId="505" xfId="0" applyNumberFormat="1" applyFont="1" applyFill="1" applyBorder="1" applyAlignment="1">
      <alignment horizontal="right"/>
    </xf>
    <xf numFmtId="0" fontId="506" fillId="507" borderId="506" xfId="0" applyFont="1" applyFill="1" applyBorder="1" applyAlignment="1">
      <alignment horizontal="center"/>
    </xf>
    <xf numFmtId="4" fontId="507" fillId="508" borderId="507" xfId="0" applyNumberFormat="1" applyFont="1" applyFill="1" applyBorder="1" applyAlignment="1">
      <alignment horizontal="right"/>
    </xf>
    <xf numFmtId="0" fontId="508" fillId="509" borderId="508" xfId="0" applyFont="1" applyFill="1" applyBorder="1" applyAlignment="1">
      <alignment horizontal="center"/>
    </xf>
    <xf numFmtId="4" fontId="509" fillId="510" borderId="509" xfId="0" applyNumberFormat="1" applyFont="1" applyFill="1" applyBorder="1" applyAlignment="1">
      <alignment horizontal="right"/>
    </xf>
    <xf numFmtId="0" fontId="510" fillId="511" borderId="510" xfId="0" applyFont="1" applyFill="1" applyBorder="1" applyAlignment="1">
      <alignment horizontal="center"/>
    </xf>
    <xf numFmtId="4" fontId="511" fillId="512" borderId="511" xfId="0" applyNumberFormat="1" applyFont="1" applyFill="1" applyBorder="1" applyAlignment="1">
      <alignment horizontal="right"/>
    </xf>
    <xf numFmtId="0" fontId="512" fillId="513" borderId="512" xfId="0" applyFont="1" applyFill="1" applyBorder="1" applyAlignment="1">
      <alignment horizontal="center"/>
    </xf>
    <xf numFmtId="4" fontId="513" fillId="514" borderId="513" xfId="0" applyNumberFormat="1" applyFont="1" applyFill="1" applyBorder="1" applyAlignment="1">
      <alignment horizontal="right"/>
    </xf>
    <xf numFmtId="0" fontId="514" fillId="515" borderId="514" xfId="0" applyFont="1" applyFill="1" applyBorder="1" applyAlignment="1">
      <alignment horizontal="center"/>
    </xf>
    <xf numFmtId="4" fontId="515" fillId="516" borderId="515" xfId="0" applyNumberFormat="1" applyFont="1" applyFill="1" applyBorder="1" applyAlignment="1">
      <alignment horizontal="right"/>
    </xf>
    <xf numFmtId="0" fontId="516" fillId="517" borderId="516" xfId="0" applyFont="1" applyFill="1" applyBorder="1" applyAlignment="1">
      <alignment horizontal="center"/>
    </xf>
    <xf numFmtId="4" fontId="517" fillId="518" borderId="517" xfId="0" applyNumberFormat="1" applyFont="1" applyFill="1" applyBorder="1" applyAlignment="1">
      <alignment horizontal="right"/>
    </xf>
    <xf numFmtId="0" fontId="518" fillId="519" borderId="518" xfId="0" applyFont="1" applyFill="1" applyBorder="1" applyAlignment="1">
      <alignment horizontal="center"/>
    </xf>
    <xf numFmtId="4" fontId="519" fillId="520" borderId="519" xfId="0" applyNumberFormat="1" applyFont="1" applyFill="1" applyBorder="1" applyAlignment="1">
      <alignment horizontal="right"/>
    </xf>
    <xf numFmtId="0" fontId="520" fillId="521" borderId="520" xfId="0" applyFont="1" applyFill="1" applyBorder="1" applyAlignment="1">
      <alignment horizontal="center"/>
    </xf>
    <xf numFmtId="4" fontId="521" fillId="522" borderId="521" xfId="0" applyNumberFormat="1" applyFont="1" applyFill="1" applyBorder="1" applyAlignment="1">
      <alignment horizontal="right"/>
    </xf>
    <xf numFmtId="0" fontId="522" fillId="523" borderId="522" xfId="0" applyFont="1" applyFill="1" applyBorder="1" applyAlignment="1">
      <alignment horizontal="center"/>
    </xf>
    <xf numFmtId="4" fontId="523" fillId="524" borderId="523" xfId="0" applyNumberFormat="1" applyFont="1" applyFill="1" applyBorder="1" applyAlignment="1">
      <alignment horizontal="right"/>
    </xf>
    <xf numFmtId="0" fontId="524" fillId="525" borderId="524" xfId="0" applyFont="1" applyFill="1" applyBorder="1" applyAlignment="1">
      <alignment horizontal="center"/>
    </xf>
    <xf numFmtId="4" fontId="525" fillId="526" borderId="525" xfId="0" applyNumberFormat="1" applyFont="1" applyFill="1" applyBorder="1" applyAlignment="1">
      <alignment horizontal="right"/>
    </xf>
    <xf numFmtId="0" fontId="526" fillId="527" borderId="526" xfId="0" applyFont="1" applyFill="1" applyBorder="1" applyAlignment="1">
      <alignment horizontal="center"/>
    </xf>
    <xf numFmtId="4" fontId="527" fillId="528" borderId="527" xfId="0" applyNumberFormat="1" applyFont="1" applyFill="1" applyBorder="1" applyAlignment="1">
      <alignment horizontal="right"/>
    </xf>
    <xf numFmtId="0" fontId="528" fillId="529" borderId="528" xfId="0" applyFont="1" applyFill="1" applyBorder="1" applyAlignment="1">
      <alignment horizontal="center"/>
    </xf>
    <xf numFmtId="4" fontId="529" fillId="530" borderId="529" xfId="0" applyNumberFormat="1" applyFont="1" applyFill="1" applyBorder="1" applyAlignment="1">
      <alignment horizontal="right"/>
    </xf>
    <xf numFmtId="0" fontId="530" fillId="531" borderId="530" xfId="0" applyFont="1" applyFill="1" applyBorder="1" applyAlignment="1">
      <alignment horizontal="center"/>
    </xf>
    <xf numFmtId="4" fontId="531" fillId="532" borderId="531" xfId="0" applyNumberFormat="1" applyFont="1" applyFill="1" applyBorder="1" applyAlignment="1">
      <alignment horizontal="right"/>
    </xf>
    <xf numFmtId="0" fontId="532" fillId="533" borderId="532" xfId="0" applyFont="1" applyFill="1" applyBorder="1" applyAlignment="1">
      <alignment horizontal="center"/>
    </xf>
    <xf numFmtId="4" fontId="533" fillId="534" borderId="533" xfId="0" applyNumberFormat="1" applyFont="1" applyFill="1" applyBorder="1" applyAlignment="1">
      <alignment horizontal="right"/>
    </xf>
    <xf numFmtId="0" fontId="534" fillId="535" borderId="534" xfId="0" applyFont="1" applyFill="1" applyBorder="1" applyAlignment="1">
      <alignment horizontal="center"/>
    </xf>
    <xf numFmtId="4" fontId="535" fillId="536" borderId="535" xfId="0" applyNumberFormat="1" applyFont="1" applyFill="1" applyBorder="1" applyAlignment="1">
      <alignment horizontal="right"/>
    </xf>
    <xf numFmtId="0" fontId="536" fillId="537" borderId="536" xfId="0" applyFont="1" applyFill="1" applyBorder="1" applyAlignment="1">
      <alignment horizontal="center"/>
    </xf>
    <xf numFmtId="4" fontId="537" fillId="538" borderId="537" xfId="0" applyNumberFormat="1" applyFont="1" applyFill="1" applyBorder="1" applyAlignment="1">
      <alignment horizontal="right"/>
    </xf>
    <xf numFmtId="0" fontId="538" fillId="539" borderId="538" xfId="0" applyFont="1" applyFill="1" applyBorder="1" applyAlignment="1">
      <alignment horizontal="center"/>
    </xf>
    <xf numFmtId="4" fontId="539" fillId="540" borderId="539" xfId="0" applyNumberFormat="1" applyFont="1" applyFill="1" applyBorder="1" applyAlignment="1">
      <alignment horizontal="right"/>
    </xf>
    <xf numFmtId="0" fontId="540" fillId="541" borderId="540" xfId="0" applyFont="1" applyFill="1" applyBorder="1" applyAlignment="1">
      <alignment horizontal="center"/>
    </xf>
    <xf numFmtId="4" fontId="541" fillId="542" borderId="541" xfId="0" applyNumberFormat="1" applyFont="1" applyFill="1" applyBorder="1" applyAlignment="1">
      <alignment horizontal="right"/>
    </xf>
    <xf numFmtId="0" fontId="542" fillId="543" borderId="542" xfId="0" applyFont="1" applyFill="1" applyBorder="1" applyAlignment="1">
      <alignment horizontal="center"/>
    </xf>
    <xf numFmtId="4" fontId="543" fillId="544" borderId="543" xfId="0" applyNumberFormat="1" applyFont="1" applyFill="1" applyBorder="1" applyAlignment="1">
      <alignment horizontal="right"/>
    </xf>
    <xf numFmtId="0" fontId="544" fillId="545" borderId="544" xfId="0" applyFont="1" applyFill="1" applyBorder="1" applyAlignment="1">
      <alignment horizontal="center"/>
    </xf>
    <xf numFmtId="4" fontId="545" fillId="546" borderId="545" xfId="0" applyNumberFormat="1" applyFont="1" applyFill="1" applyBorder="1" applyAlignment="1">
      <alignment horizontal="right"/>
    </xf>
    <xf numFmtId="0" fontId="546" fillId="547" borderId="546" xfId="0" applyFont="1" applyFill="1" applyBorder="1" applyAlignment="1">
      <alignment horizontal="center"/>
    </xf>
    <xf numFmtId="4" fontId="547" fillId="548" borderId="547" xfId="0" applyNumberFormat="1" applyFont="1" applyFill="1" applyBorder="1" applyAlignment="1">
      <alignment horizontal="right"/>
    </xf>
    <xf numFmtId="0" fontId="548" fillId="549" borderId="548" xfId="0" applyFont="1" applyFill="1" applyBorder="1" applyAlignment="1">
      <alignment horizontal="center"/>
    </xf>
    <xf numFmtId="4" fontId="549" fillId="550" borderId="549" xfId="0" applyNumberFormat="1" applyFont="1" applyFill="1" applyBorder="1" applyAlignment="1">
      <alignment horizontal="right"/>
    </xf>
    <xf numFmtId="0" fontId="550" fillId="551" borderId="550" xfId="0" applyFont="1" applyFill="1" applyBorder="1" applyAlignment="1">
      <alignment horizontal="center"/>
    </xf>
    <xf numFmtId="4" fontId="551" fillId="552" borderId="551" xfId="0" applyNumberFormat="1" applyFont="1" applyFill="1" applyBorder="1" applyAlignment="1">
      <alignment horizontal="right"/>
    </xf>
    <xf numFmtId="0" fontId="552" fillId="553" borderId="552" xfId="0" applyFont="1" applyFill="1" applyBorder="1" applyAlignment="1">
      <alignment horizontal="center"/>
    </xf>
    <xf numFmtId="4" fontId="553" fillId="554" borderId="553" xfId="0" applyNumberFormat="1" applyFont="1" applyFill="1" applyBorder="1" applyAlignment="1">
      <alignment horizontal="right"/>
    </xf>
    <xf numFmtId="0" fontId="554" fillId="555" borderId="554" xfId="0" applyFont="1" applyFill="1" applyBorder="1" applyAlignment="1">
      <alignment horizontal="center"/>
    </xf>
    <xf numFmtId="4" fontId="555" fillId="556" borderId="555" xfId="0" applyNumberFormat="1" applyFont="1" applyFill="1" applyBorder="1" applyAlignment="1">
      <alignment horizontal="right"/>
    </xf>
    <xf numFmtId="0" fontId="556" fillId="557" borderId="556" xfId="0" applyFont="1" applyFill="1" applyBorder="1" applyAlignment="1">
      <alignment horizontal="center"/>
    </xf>
    <xf numFmtId="4" fontId="557" fillId="558" borderId="557" xfId="0" applyNumberFormat="1" applyFont="1" applyFill="1" applyBorder="1" applyAlignment="1">
      <alignment horizontal="right"/>
    </xf>
    <xf numFmtId="0" fontId="558" fillId="559" borderId="558" xfId="0" applyFont="1" applyFill="1" applyBorder="1" applyAlignment="1">
      <alignment horizontal="center"/>
    </xf>
    <xf numFmtId="4" fontId="559" fillId="560" borderId="559" xfId="0" applyNumberFormat="1" applyFont="1" applyFill="1" applyBorder="1" applyAlignment="1">
      <alignment horizontal="right"/>
    </xf>
    <xf numFmtId="0" fontId="560" fillId="561" borderId="560" xfId="0" applyFont="1" applyFill="1" applyBorder="1" applyAlignment="1">
      <alignment horizontal="center"/>
    </xf>
    <xf numFmtId="4" fontId="561" fillId="562" borderId="561" xfId="0" applyNumberFormat="1" applyFont="1" applyFill="1" applyBorder="1" applyAlignment="1">
      <alignment horizontal="right"/>
    </xf>
    <xf numFmtId="0" fontId="562" fillId="563" borderId="562" xfId="0" applyFont="1" applyFill="1" applyBorder="1" applyAlignment="1">
      <alignment horizontal="center"/>
    </xf>
    <xf numFmtId="4" fontId="563" fillId="564" borderId="563" xfId="0" applyNumberFormat="1" applyFont="1" applyFill="1" applyBorder="1" applyAlignment="1">
      <alignment horizontal="right"/>
    </xf>
    <xf numFmtId="0" fontId="564" fillId="565" borderId="564" xfId="0" applyFont="1" applyFill="1" applyBorder="1" applyAlignment="1">
      <alignment horizontal="center"/>
    </xf>
    <xf numFmtId="4" fontId="565" fillId="566" borderId="565" xfId="0" applyNumberFormat="1" applyFont="1" applyFill="1" applyBorder="1" applyAlignment="1">
      <alignment horizontal="right"/>
    </xf>
    <xf numFmtId="0" fontId="566" fillId="567" borderId="566" xfId="0" applyFont="1" applyFill="1" applyBorder="1" applyAlignment="1">
      <alignment horizontal="center"/>
    </xf>
    <xf numFmtId="4" fontId="567" fillId="568" borderId="567" xfId="0" applyNumberFormat="1" applyFont="1" applyFill="1" applyBorder="1" applyAlignment="1">
      <alignment horizontal="right"/>
    </xf>
    <xf numFmtId="0" fontId="568" fillId="569" borderId="568" xfId="0" applyFont="1" applyFill="1" applyBorder="1" applyAlignment="1">
      <alignment horizontal="center"/>
    </xf>
    <xf numFmtId="4" fontId="569" fillId="570" borderId="569" xfId="0" applyNumberFormat="1" applyFont="1" applyFill="1" applyBorder="1" applyAlignment="1">
      <alignment horizontal="right"/>
    </xf>
    <xf numFmtId="0" fontId="570" fillId="571" borderId="570" xfId="0" applyFont="1" applyFill="1" applyBorder="1" applyAlignment="1">
      <alignment horizontal="center"/>
    </xf>
    <xf numFmtId="4" fontId="571" fillId="572" borderId="571" xfId="0" applyNumberFormat="1" applyFont="1" applyFill="1" applyBorder="1" applyAlignment="1">
      <alignment horizontal="right"/>
    </xf>
    <xf numFmtId="0" fontId="572" fillId="573" borderId="572" xfId="0" applyFont="1" applyFill="1" applyBorder="1" applyAlignment="1">
      <alignment horizontal="center"/>
    </xf>
    <xf numFmtId="4" fontId="573" fillId="574" borderId="573" xfId="0" applyNumberFormat="1" applyFont="1" applyFill="1" applyBorder="1" applyAlignment="1">
      <alignment horizontal="right"/>
    </xf>
    <xf numFmtId="0" fontId="574" fillId="575" borderId="574" xfId="0" applyFont="1" applyFill="1" applyBorder="1" applyAlignment="1">
      <alignment horizontal="center"/>
    </xf>
    <xf numFmtId="4" fontId="575" fillId="576" borderId="575" xfId="0" applyNumberFormat="1" applyFont="1" applyFill="1" applyBorder="1" applyAlignment="1">
      <alignment horizontal="right"/>
    </xf>
    <xf numFmtId="0" fontId="576" fillId="577" borderId="576" xfId="0" applyFont="1" applyFill="1" applyBorder="1" applyAlignment="1">
      <alignment horizontal="center"/>
    </xf>
    <xf numFmtId="4" fontId="577" fillId="578" borderId="577" xfId="0" applyNumberFormat="1" applyFont="1" applyFill="1" applyBorder="1" applyAlignment="1">
      <alignment horizontal="right"/>
    </xf>
    <xf numFmtId="0" fontId="578" fillId="579" borderId="578" xfId="0" applyFont="1" applyFill="1" applyBorder="1" applyAlignment="1">
      <alignment horizontal="center"/>
    </xf>
    <xf numFmtId="4" fontId="579" fillId="580" borderId="579" xfId="0" applyNumberFormat="1" applyFont="1" applyFill="1" applyBorder="1" applyAlignment="1">
      <alignment horizontal="right"/>
    </xf>
    <xf numFmtId="0" fontId="580" fillId="581" borderId="580" xfId="0" applyFont="1" applyFill="1" applyBorder="1" applyAlignment="1">
      <alignment horizontal="center"/>
    </xf>
    <xf numFmtId="4" fontId="581" fillId="582" borderId="581" xfId="0" applyNumberFormat="1" applyFont="1" applyFill="1" applyBorder="1" applyAlignment="1">
      <alignment horizontal="right"/>
    </xf>
    <xf numFmtId="0" fontId="582" fillId="583" borderId="582" xfId="0" applyFont="1" applyFill="1" applyBorder="1" applyAlignment="1">
      <alignment horizontal="center"/>
    </xf>
    <xf numFmtId="4" fontId="583" fillId="584" borderId="583" xfId="0" applyNumberFormat="1" applyFont="1" applyFill="1" applyBorder="1" applyAlignment="1">
      <alignment horizontal="right"/>
    </xf>
    <xf numFmtId="0" fontId="584" fillId="585" borderId="584" xfId="0" applyFont="1" applyFill="1" applyBorder="1" applyAlignment="1">
      <alignment horizontal="center"/>
    </xf>
    <xf numFmtId="4" fontId="585" fillId="586" borderId="585" xfId="0" applyNumberFormat="1" applyFont="1" applyFill="1" applyBorder="1" applyAlignment="1">
      <alignment horizontal="right"/>
    </xf>
    <xf numFmtId="0" fontId="586" fillId="587" borderId="586" xfId="0" applyFont="1" applyFill="1" applyBorder="1" applyAlignment="1">
      <alignment horizontal="center"/>
    </xf>
    <xf numFmtId="4" fontId="587" fillId="588" borderId="587" xfId="0" applyNumberFormat="1" applyFont="1" applyFill="1" applyBorder="1" applyAlignment="1">
      <alignment horizontal="right"/>
    </xf>
    <xf numFmtId="0" fontId="588" fillId="589" borderId="588" xfId="0" applyFont="1" applyFill="1" applyBorder="1" applyAlignment="1">
      <alignment horizontal="center"/>
    </xf>
    <xf numFmtId="4" fontId="589" fillId="590" borderId="589" xfId="0" applyNumberFormat="1" applyFont="1" applyFill="1" applyBorder="1" applyAlignment="1">
      <alignment horizontal="right"/>
    </xf>
    <xf numFmtId="0" fontId="590" fillId="591" borderId="590" xfId="0" applyFont="1" applyFill="1" applyBorder="1" applyAlignment="1">
      <alignment horizontal="center"/>
    </xf>
    <xf numFmtId="4" fontId="591" fillId="592" borderId="591" xfId="0" applyNumberFormat="1" applyFont="1" applyFill="1" applyBorder="1" applyAlignment="1">
      <alignment horizontal="right"/>
    </xf>
    <xf numFmtId="0" fontId="592" fillId="593" borderId="592" xfId="0" applyFont="1" applyFill="1" applyBorder="1" applyAlignment="1">
      <alignment horizontal="center"/>
    </xf>
    <xf numFmtId="4" fontId="593" fillId="594" borderId="593" xfId="0" applyNumberFormat="1" applyFont="1" applyFill="1" applyBorder="1" applyAlignment="1">
      <alignment horizontal="right"/>
    </xf>
    <xf numFmtId="0" fontId="594" fillId="595" borderId="594" xfId="0" applyFont="1" applyFill="1" applyBorder="1" applyAlignment="1">
      <alignment horizontal="center"/>
    </xf>
    <xf numFmtId="4" fontId="595" fillId="596" borderId="595" xfId="0" applyNumberFormat="1" applyFont="1" applyFill="1" applyBorder="1" applyAlignment="1">
      <alignment horizontal="right"/>
    </xf>
    <xf numFmtId="0" fontId="596" fillId="597" borderId="596" xfId="0" applyFont="1" applyFill="1" applyBorder="1" applyAlignment="1">
      <alignment horizontal="center"/>
    </xf>
    <xf numFmtId="4" fontId="597" fillId="598" borderId="597" xfId="0" applyNumberFormat="1" applyFont="1" applyFill="1" applyBorder="1" applyAlignment="1">
      <alignment horizontal="right"/>
    </xf>
    <xf numFmtId="0" fontId="598" fillId="599" borderId="598" xfId="0" applyFont="1" applyFill="1" applyBorder="1" applyAlignment="1">
      <alignment horizontal="center"/>
    </xf>
    <xf numFmtId="4" fontId="599" fillId="600" borderId="599" xfId="0" applyNumberFormat="1" applyFont="1" applyFill="1" applyBorder="1" applyAlignment="1">
      <alignment horizontal="right"/>
    </xf>
    <xf numFmtId="0" fontId="600" fillId="601" borderId="600" xfId="0" applyFont="1" applyFill="1" applyBorder="1" applyAlignment="1">
      <alignment horizontal="center"/>
    </xf>
    <xf numFmtId="4" fontId="601" fillId="602" borderId="601" xfId="0" applyNumberFormat="1" applyFont="1" applyFill="1" applyBorder="1" applyAlignment="1">
      <alignment horizontal="right"/>
    </xf>
    <xf numFmtId="0" fontId="602" fillId="603" borderId="602" xfId="0" applyFont="1" applyFill="1" applyBorder="1" applyAlignment="1">
      <alignment horizontal="center"/>
    </xf>
    <xf numFmtId="4" fontId="603" fillId="604" borderId="603" xfId="0" applyNumberFormat="1" applyFont="1" applyFill="1" applyBorder="1" applyAlignment="1">
      <alignment horizontal="right"/>
    </xf>
    <xf numFmtId="0" fontId="604" fillId="605" borderId="604" xfId="0" applyFont="1" applyFill="1" applyBorder="1" applyAlignment="1">
      <alignment horizontal="center"/>
    </xf>
    <xf numFmtId="4" fontId="605" fillId="606" borderId="605" xfId="0" applyNumberFormat="1" applyFont="1" applyFill="1" applyBorder="1" applyAlignment="1">
      <alignment horizontal="right"/>
    </xf>
    <xf numFmtId="0" fontId="606" fillId="607" borderId="606" xfId="0" applyFont="1" applyFill="1" applyBorder="1" applyAlignment="1">
      <alignment horizontal="center"/>
    </xf>
    <xf numFmtId="4" fontId="607" fillId="608" borderId="607" xfId="0" applyNumberFormat="1" applyFont="1" applyFill="1" applyBorder="1" applyAlignment="1">
      <alignment horizontal="right"/>
    </xf>
    <xf numFmtId="0" fontId="608" fillId="609" borderId="608" xfId="0" applyFont="1" applyFill="1" applyBorder="1" applyAlignment="1">
      <alignment horizontal="center"/>
    </xf>
    <xf numFmtId="4" fontId="609" fillId="610" borderId="609" xfId="0" applyNumberFormat="1" applyFont="1" applyFill="1" applyBorder="1" applyAlignment="1">
      <alignment horizontal="right"/>
    </xf>
    <xf numFmtId="0" fontId="610" fillId="611" borderId="610" xfId="0" applyFont="1" applyFill="1" applyBorder="1" applyAlignment="1">
      <alignment horizontal="center"/>
    </xf>
    <xf numFmtId="4" fontId="611" fillId="612" borderId="611" xfId="0" applyNumberFormat="1" applyFont="1" applyFill="1" applyBorder="1" applyAlignment="1">
      <alignment horizontal="right"/>
    </xf>
    <xf numFmtId="0" fontId="612" fillId="613" borderId="612" xfId="0" applyFont="1" applyFill="1" applyBorder="1" applyAlignment="1">
      <alignment horizontal="center"/>
    </xf>
    <xf numFmtId="4" fontId="613" fillId="614" borderId="613" xfId="0" applyNumberFormat="1" applyFont="1" applyFill="1" applyBorder="1" applyAlignment="1">
      <alignment horizontal="right"/>
    </xf>
    <xf numFmtId="0" fontId="614" fillId="615" borderId="614" xfId="0" applyFont="1" applyFill="1" applyBorder="1" applyAlignment="1">
      <alignment horizontal="center"/>
    </xf>
    <xf numFmtId="4" fontId="615" fillId="616" borderId="615" xfId="0" applyNumberFormat="1" applyFont="1" applyFill="1" applyBorder="1" applyAlignment="1">
      <alignment horizontal="right"/>
    </xf>
    <xf numFmtId="0" fontId="616" fillId="617" borderId="616" xfId="0" applyFont="1" applyFill="1" applyBorder="1" applyAlignment="1">
      <alignment horizontal="center"/>
    </xf>
    <xf numFmtId="4" fontId="617" fillId="618" borderId="617" xfId="0" applyNumberFormat="1" applyFont="1" applyFill="1" applyBorder="1" applyAlignment="1">
      <alignment horizontal="right"/>
    </xf>
    <xf numFmtId="0" fontId="618" fillId="619" borderId="618" xfId="0" applyFont="1" applyFill="1" applyBorder="1" applyAlignment="1">
      <alignment horizontal="center"/>
    </xf>
    <xf numFmtId="4" fontId="619" fillId="620" borderId="619" xfId="0" applyNumberFormat="1" applyFont="1" applyFill="1" applyBorder="1" applyAlignment="1">
      <alignment horizontal="right"/>
    </xf>
    <xf numFmtId="0" fontId="620" fillId="621" borderId="620" xfId="0" applyFont="1" applyFill="1" applyBorder="1" applyAlignment="1">
      <alignment horizontal="center"/>
    </xf>
    <xf numFmtId="4" fontId="621" fillId="622" borderId="621" xfId="0" applyNumberFormat="1" applyFont="1" applyFill="1" applyBorder="1" applyAlignment="1">
      <alignment horizontal="right"/>
    </xf>
    <xf numFmtId="0" fontId="622" fillId="623" borderId="622" xfId="0" applyFont="1" applyFill="1" applyBorder="1" applyAlignment="1">
      <alignment horizontal="center"/>
    </xf>
    <xf numFmtId="4" fontId="623" fillId="624" borderId="623" xfId="0" applyNumberFormat="1" applyFont="1" applyFill="1" applyBorder="1" applyAlignment="1">
      <alignment horizontal="right"/>
    </xf>
    <xf numFmtId="0" fontId="624" fillId="625" borderId="624" xfId="0" applyFont="1" applyFill="1" applyBorder="1" applyAlignment="1">
      <alignment horizontal="center"/>
    </xf>
    <xf numFmtId="4" fontId="625" fillId="626" borderId="625" xfId="0" applyNumberFormat="1" applyFont="1" applyFill="1" applyBorder="1" applyAlignment="1">
      <alignment horizontal="right"/>
    </xf>
    <xf numFmtId="0" fontId="626" fillId="627" borderId="626" xfId="0" applyFont="1" applyFill="1" applyBorder="1" applyAlignment="1">
      <alignment horizontal="center"/>
    </xf>
    <xf numFmtId="4" fontId="627" fillId="628" borderId="627" xfId="0" applyNumberFormat="1" applyFont="1" applyFill="1" applyBorder="1" applyAlignment="1">
      <alignment horizontal="right"/>
    </xf>
    <xf numFmtId="0" fontId="628" fillId="629" borderId="628" xfId="0" applyFont="1" applyFill="1" applyBorder="1" applyAlignment="1">
      <alignment horizontal="center"/>
    </xf>
    <xf numFmtId="4" fontId="629" fillId="630" borderId="629" xfId="0" applyNumberFormat="1" applyFont="1" applyFill="1" applyBorder="1" applyAlignment="1">
      <alignment horizontal="right"/>
    </xf>
    <xf numFmtId="0" fontId="630" fillId="631" borderId="630" xfId="0" applyFont="1" applyFill="1" applyBorder="1" applyAlignment="1">
      <alignment horizontal="center"/>
    </xf>
    <xf numFmtId="4" fontId="631" fillId="632" borderId="631" xfId="0" applyNumberFormat="1" applyFont="1" applyFill="1" applyBorder="1" applyAlignment="1">
      <alignment horizontal="right"/>
    </xf>
    <xf numFmtId="0" fontId="632" fillId="633" borderId="632" xfId="0" applyFont="1" applyFill="1" applyBorder="1" applyAlignment="1">
      <alignment horizontal="center"/>
    </xf>
    <xf numFmtId="4" fontId="633" fillId="634" borderId="633" xfId="0" applyNumberFormat="1" applyFont="1" applyFill="1" applyBorder="1" applyAlignment="1">
      <alignment horizontal="right"/>
    </xf>
    <xf numFmtId="0" fontId="634" fillId="635" borderId="634" xfId="0" applyFont="1" applyFill="1" applyBorder="1" applyAlignment="1">
      <alignment horizontal="center"/>
    </xf>
    <xf numFmtId="4" fontId="635" fillId="636" borderId="635" xfId="0" applyNumberFormat="1" applyFont="1" applyFill="1" applyBorder="1" applyAlignment="1">
      <alignment horizontal="right"/>
    </xf>
    <xf numFmtId="0" fontId="636" fillId="637" borderId="636" xfId="0" applyFont="1" applyFill="1" applyBorder="1" applyAlignment="1">
      <alignment horizontal="center"/>
    </xf>
    <xf numFmtId="4" fontId="637" fillId="638" borderId="637" xfId="0" applyNumberFormat="1" applyFont="1" applyFill="1" applyBorder="1" applyAlignment="1">
      <alignment horizontal="right"/>
    </xf>
    <xf numFmtId="0" fontId="638" fillId="639" borderId="638" xfId="0" applyFont="1" applyFill="1" applyBorder="1" applyAlignment="1">
      <alignment horizontal="center"/>
    </xf>
    <xf numFmtId="4" fontId="639" fillId="640" borderId="639" xfId="0" applyNumberFormat="1" applyFont="1" applyFill="1" applyBorder="1" applyAlignment="1">
      <alignment horizontal="right"/>
    </xf>
    <xf numFmtId="0" fontId="640" fillId="641" borderId="640" xfId="0" applyFont="1" applyFill="1" applyBorder="1" applyAlignment="1">
      <alignment horizontal="center"/>
    </xf>
    <xf numFmtId="4" fontId="641" fillId="642" borderId="641" xfId="0" applyNumberFormat="1" applyFont="1" applyFill="1" applyBorder="1" applyAlignment="1">
      <alignment horizontal="right"/>
    </xf>
    <xf numFmtId="0" fontId="642" fillId="643" borderId="642" xfId="0" applyFont="1" applyFill="1" applyBorder="1" applyAlignment="1">
      <alignment horizontal="center"/>
    </xf>
    <xf numFmtId="4" fontId="643" fillId="644" borderId="643" xfId="0" applyNumberFormat="1" applyFont="1" applyFill="1" applyBorder="1" applyAlignment="1">
      <alignment horizontal="right"/>
    </xf>
    <xf numFmtId="0" fontId="644" fillId="645" borderId="644" xfId="0" applyFont="1" applyFill="1" applyBorder="1" applyAlignment="1">
      <alignment horizontal="center"/>
    </xf>
    <xf numFmtId="4" fontId="645" fillId="646" borderId="645" xfId="0" applyNumberFormat="1" applyFont="1" applyFill="1" applyBorder="1" applyAlignment="1">
      <alignment horizontal="right"/>
    </xf>
    <xf numFmtId="0" fontId="646" fillId="647" borderId="646" xfId="0" applyFont="1" applyFill="1" applyBorder="1" applyAlignment="1">
      <alignment horizontal="center"/>
    </xf>
    <xf numFmtId="4" fontId="647" fillId="648" borderId="647" xfId="0" applyNumberFormat="1" applyFont="1" applyFill="1" applyBorder="1" applyAlignment="1">
      <alignment horizontal="right"/>
    </xf>
    <xf numFmtId="0" fontId="648" fillId="649" borderId="648" xfId="0" applyFont="1" applyFill="1" applyBorder="1" applyAlignment="1">
      <alignment horizontal="center"/>
    </xf>
    <xf numFmtId="4" fontId="649" fillId="650" borderId="649" xfId="0" applyNumberFormat="1" applyFont="1" applyFill="1" applyBorder="1" applyAlignment="1">
      <alignment horizontal="right"/>
    </xf>
    <xf numFmtId="0" fontId="650" fillId="651" borderId="650" xfId="0" applyFont="1" applyFill="1" applyBorder="1" applyAlignment="1">
      <alignment horizontal="center"/>
    </xf>
    <xf numFmtId="4" fontId="651" fillId="652" borderId="651" xfId="0" applyNumberFormat="1" applyFont="1" applyFill="1" applyBorder="1" applyAlignment="1">
      <alignment horizontal="right"/>
    </xf>
    <xf numFmtId="0" fontId="652" fillId="653" borderId="652" xfId="0" applyFont="1" applyFill="1" applyBorder="1" applyAlignment="1">
      <alignment horizontal="center"/>
    </xf>
    <xf numFmtId="4" fontId="653" fillId="654" borderId="653" xfId="0" applyNumberFormat="1" applyFont="1" applyFill="1" applyBorder="1" applyAlignment="1">
      <alignment horizontal="right"/>
    </xf>
    <xf numFmtId="0" fontId="654" fillId="655" borderId="654" xfId="0" applyFont="1" applyFill="1" applyBorder="1" applyAlignment="1">
      <alignment horizontal="center"/>
    </xf>
    <xf numFmtId="4" fontId="655" fillId="656" borderId="655" xfId="0" applyNumberFormat="1" applyFont="1" applyFill="1" applyBorder="1" applyAlignment="1">
      <alignment horizontal="right"/>
    </xf>
    <xf numFmtId="0" fontId="656" fillId="657" borderId="656" xfId="0" applyFont="1" applyFill="1" applyBorder="1" applyAlignment="1">
      <alignment horizontal="center"/>
    </xf>
    <xf numFmtId="4" fontId="657" fillId="658" borderId="657" xfId="0" applyNumberFormat="1" applyFont="1" applyFill="1" applyBorder="1" applyAlignment="1">
      <alignment horizontal="right"/>
    </xf>
    <xf numFmtId="0" fontId="658" fillId="659" borderId="658" xfId="0" applyFont="1" applyFill="1" applyBorder="1" applyAlignment="1">
      <alignment horizontal="center"/>
    </xf>
    <xf numFmtId="4" fontId="659" fillId="660" borderId="659" xfId="0" applyNumberFormat="1" applyFont="1" applyFill="1" applyBorder="1" applyAlignment="1">
      <alignment horizontal="right"/>
    </xf>
    <xf numFmtId="0" fontId="660" fillId="661" borderId="660" xfId="0" applyFont="1" applyFill="1" applyBorder="1" applyAlignment="1">
      <alignment horizontal="center"/>
    </xf>
    <xf numFmtId="4" fontId="661" fillId="662" borderId="661" xfId="0" applyNumberFormat="1" applyFont="1" applyFill="1" applyBorder="1" applyAlignment="1">
      <alignment horizontal="right"/>
    </xf>
    <xf numFmtId="0" fontId="662" fillId="663" borderId="662" xfId="0" applyFont="1" applyFill="1" applyBorder="1" applyAlignment="1">
      <alignment horizontal="center"/>
    </xf>
    <xf numFmtId="4" fontId="663" fillId="664" borderId="663" xfId="0" applyNumberFormat="1" applyFont="1" applyFill="1" applyBorder="1" applyAlignment="1">
      <alignment horizontal="right"/>
    </xf>
    <xf numFmtId="0" fontId="664" fillId="665" borderId="664" xfId="0" applyFont="1" applyFill="1" applyBorder="1" applyAlignment="1">
      <alignment horizontal="center"/>
    </xf>
    <xf numFmtId="4" fontId="665" fillId="666" borderId="665" xfId="0" applyNumberFormat="1" applyFont="1" applyFill="1" applyBorder="1" applyAlignment="1">
      <alignment horizontal="right"/>
    </xf>
    <xf numFmtId="0" fontId="666" fillId="667" borderId="666" xfId="0" applyFont="1" applyFill="1" applyBorder="1" applyAlignment="1">
      <alignment horizontal="center"/>
    </xf>
    <xf numFmtId="4" fontId="667" fillId="668" borderId="667" xfId="0" applyNumberFormat="1" applyFont="1" applyFill="1" applyBorder="1" applyAlignment="1">
      <alignment horizontal="right"/>
    </xf>
    <xf numFmtId="0" fontId="668" fillId="669" borderId="668" xfId="0" applyFont="1" applyFill="1" applyBorder="1" applyAlignment="1">
      <alignment horizontal="center"/>
    </xf>
    <xf numFmtId="4" fontId="669" fillId="670" borderId="669" xfId="0" applyNumberFormat="1" applyFont="1" applyFill="1" applyBorder="1" applyAlignment="1">
      <alignment horizontal="right"/>
    </xf>
    <xf numFmtId="0" fontId="670" fillId="671" borderId="670" xfId="0" applyFont="1" applyFill="1" applyBorder="1" applyAlignment="1">
      <alignment horizontal="center"/>
    </xf>
    <xf numFmtId="4" fontId="671" fillId="672" borderId="671" xfId="0" applyNumberFormat="1" applyFont="1" applyFill="1" applyBorder="1" applyAlignment="1">
      <alignment horizontal="right"/>
    </xf>
    <xf numFmtId="0" fontId="672" fillId="673" borderId="672" xfId="0" applyFont="1" applyFill="1" applyBorder="1" applyAlignment="1">
      <alignment horizontal="center"/>
    </xf>
    <xf numFmtId="4" fontId="673" fillId="674" borderId="673" xfId="0" applyNumberFormat="1" applyFont="1" applyFill="1" applyBorder="1" applyAlignment="1">
      <alignment horizontal="right"/>
    </xf>
    <xf numFmtId="0" fontId="674" fillId="675" borderId="674" xfId="0" applyFont="1" applyFill="1" applyBorder="1" applyAlignment="1">
      <alignment horizontal="center"/>
    </xf>
    <xf numFmtId="4" fontId="675" fillId="676" borderId="675" xfId="0" applyNumberFormat="1" applyFont="1" applyFill="1" applyBorder="1" applyAlignment="1">
      <alignment horizontal="right"/>
    </xf>
    <xf numFmtId="0" fontId="676" fillId="677" borderId="676" xfId="0" applyFont="1" applyFill="1" applyBorder="1" applyAlignment="1">
      <alignment horizontal="center"/>
    </xf>
    <xf numFmtId="4" fontId="677" fillId="678" borderId="677" xfId="0" applyNumberFormat="1" applyFont="1" applyFill="1" applyBorder="1" applyAlignment="1">
      <alignment horizontal="right"/>
    </xf>
    <xf numFmtId="0" fontId="678" fillId="679" borderId="678" xfId="0" applyFont="1" applyFill="1" applyBorder="1" applyAlignment="1">
      <alignment horizontal="center"/>
    </xf>
    <xf numFmtId="4" fontId="679" fillId="680" borderId="679" xfId="0" applyNumberFormat="1" applyFont="1" applyFill="1" applyBorder="1" applyAlignment="1">
      <alignment horizontal="right"/>
    </xf>
    <xf numFmtId="0" fontId="680" fillId="681" borderId="680" xfId="0" applyFont="1" applyFill="1" applyBorder="1" applyAlignment="1">
      <alignment horizontal="center"/>
    </xf>
    <xf numFmtId="4" fontId="681" fillId="682" borderId="681" xfId="0" applyNumberFormat="1" applyFont="1" applyFill="1" applyBorder="1" applyAlignment="1">
      <alignment horizontal="right"/>
    </xf>
    <xf numFmtId="0" fontId="682" fillId="683" borderId="682" xfId="0" applyFont="1" applyFill="1" applyBorder="1" applyAlignment="1">
      <alignment horizontal="center"/>
    </xf>
    <xf numFmtId="4" fontId="683" fillId="684" borderId="683" xfId="0" applyNumberFormat="1" applyFont="1" applyFill="1" applyBorder="1" applyAlignment="1">
      <alignment horizontal="right"/>
    </xf>
    <xf numFmtId="0" fontId="684" fillId="685" borderId="684" xfId="0" applyFont="1" applyFill="1" applyBorder="1" applyAlignment="1">
      <alignment horizontal="center"/>
    </xf>
    <xf numFmtId="4" fontId="685" fillId="686" borderId="685" xfId="0" applyNumberFormat="1" applyFont="1" applyFill="1" applyBorder="1" applyAlignment="1">
      <alignment horizontal="right"/>
    </xf>
    <xf numFmtId="0" fontId="686" fillId="687" borderId="686" xfId="0" applyFont="1" applyFill="1" applyBorder="1" applyAlignment="1">
      <alignment horizontal="center"/>
    </xf>
    <xf numFmtId="4" fontId="687" fillId="688" borderId="687" xfId="0" applyNumberFormat="1" applyFont="1" applyFill="1" applyBorder="1" applyAlignment="1">
      <alignment horizontal="right"/>
    </xf>
    <xf numFmtId="0" fontId="688" fillId="689" borderId="688" xfId="0" applyFont="1" applyFill="1" applyBorder="1" applyAlignment="1">
      <alignment horizontal="center"/>
    </xf>
    <xf numFmtId="4" fontId="689" fillId="690" borderId="689" xfId="0" applyNumberFormat="1" applyFont="1" applyFill="1" applyBorder="1" applyAlignment="1">
      <alignment horizontal="right"/>
    </xf>
    <xf numFmtId="0" fontId="690" fillId="691" borderId="690" xfId="0" applyFont="1" applyFill="1" applyBorder="1" applyAlignment="1">
      <alignment horizontal="center"/>
    </xf>
    <xf numFmtId="4" fontId="691" fillId="692" borderId="691" xfId="0" applyNumberFormat="1" applyFont="1" applyFill="1" applyBorder="1" applyAlignment="1">
      <alignment horizontal="right"/>
    </xf>
    <xf numFmtId="0" fontId="692" fillId="693" borderId="692" xfId="0" applyFont="1" applyFill="1" applyBorder="1" applyAlignment="1">
      <alignment horizontal="center"/>
    </xf>
    <xf numFmtId="4" fontId="693" fillId="694" borderId="693" xfId="0" applyNumberFormat="1" applyFont="1" applyFill="1" applyBorder="1" applyAlignment="1">
      <alignment horizontal="right"/>
    </xf>
    <xf numFmtId="0" fontId="694" fillId="695" borderId="694" xfId="0" applyFont="1" applyFill="1" applyBorder="1" applyAlignment="1">
      <alignment horizontal="center"/>
    </xf>
    <xf numFmtId="4" fontId="695" fillId="696" borderId="695" xfId="0" applyNumberFormat="1" applyFont="1" applyFill="1" applyBorder="1" applyAlignment="1">
      <alignment horizontal="right"/>
    </xf>
    <xf numFmtId="0" fontId="696" fillId="697" borderId="696" xfId="0" applyFont="1" applyFill="1" applyBorder="1" applyAlignment="1">
      <alignment horizontal="center"/>
    </xf>
    <xf numFmtId="4" fontId="697" fillId="698" borderId="697" xfId="0" applyNumberFormat="1" applyFont="1" applyFill="1" applyBorder="1" applyAlignment="1">
      <alignment horizontal="right"/>
    </xf>
    <xf numFmtId="0" fontId="698" fillId="699" borderId="698" xfId="0" applyFont="1" applyFill="1" applyBorder="1" applyAlignment="1">
      <alignment horizontal="center"/>
    </xf>
    <xf numFmtId="4" fontId="699" fillId="700" borderId="699" xfId="0" applyNumberFormat="1" applyFont="1" applyFill="1" applyBorder="1" applyAlignment="1">
      <alignment horizontal="right"/>
    </xf>
    <xf numFmtId="0" fontId="700" fillId="701" borderId="700" xfId="0" applyFont="1" applyFill="1" applyBorder="1" applyAlignment="1">
      <alignment horizontal="center"/>
    </xf>
    <xf numFmtId="4" fontId="701" fillId="702" borderId="701" xfId="0" applyNumberFormat="1" applyFont="1" applyFill="1" applyBorder="1" applyAlignment="1">
      <alignment horizontal="right"/>
    </xf>
    <xf numFmtId="0" fontId="702" fillId="703" borderId="702" xfId="0" applyFont="1" applyFill="1" applyBorder="1" applyAlignment="1">
      <alignment horizontal="center"/>
    </xf>
    <xf numFmtId="4" fontId="703" fillId="704" borderId="703" xfId="0" applyNumberFormat="1" applyFont="1" applyFill="1" applyBorder="1" applyAlignment="1">
      <alignment horizontal="right"/>
    </xf>
    <xf numFmtId="0" fontId="704" fillId="705" borderId="704" xfId="0" applyFont="1" applyFill="1" applyBorder="1" applyAlignment="1">
      <alignment horizontal="center"/>
    </xf>
    <xf numFmtId="4" fontId="705" fillId="706" borderId="705" xfId="0" applyNumberFormat="1" applyFont="1" applyFill="1" applyBorder="1" applyAlignment="1">
      <alignment horizontal="right"/>
    </xf>
    <xf numFmtId="0" fontId="706" fillId="707" borderId="706" xfId="0" applyFont="1" applyFill="1" applyBorder="1" applyAlignment="1">
      <alignment horizontal="center"/>
    </xf>
    <xf numFmtId="4" fontId="707" fillId="708" borderId="707" xfId="0" applyNumberFormat="1" applyFont="1" applyFill="1" applyBorder="1" applyAlignment="1">
      <alignment horizontal="right"/>
    </xf>
    <xf numFmtId="0" fontId="708" fillId="709" borderId="708" xfId="0" applyFont="1" applyFill="1" applyBorder="1" applyAlignment="1">
      <alignment horizontal="center"/>
    </xf>
    <xf numFmtId="4" fontId="709" fillId="710" borderId="709" xfId="0" applyNumberFormat="1" applyFont="1" applyFill="1" applyBorder="1" applyAlignment="1">
      <alignment horizontal="right"/>
    </xf>
    <xf numFmtId="0" fontId="710" fillId="711" borderId="710" xfId="0" applyFont="1" applyFill="1" applyBorder="1" applyAlignment="1">
      <alignment horizontal="center"/>
    </xf>
    <xf numFmtId="4" fontId="711" fillId="712" borderId="711" xfId="0" applyNumberFormat="1" applyFont="1" applyFill="1" applyBorder="1" applyAlignment="1">
      <alignment horizontal="right"/>
    </xf>
    <xf numFmtId="0" fontId="712" fillId="713" borderId="712" xfId="0" applyFont="1" applyFill="1" applyBorder="1" applyAlignment="1">
      <alignment horizontal="center"/>
    </xf>
    <xf numFmtId="4" fontId="713" fillId="714" borderId="713" xfId="0" applyNumberFormat="1" applyFont="1" applyFill="1" applyBorder="1" applyAlignment="1">
      <alignment horizontal="right"/>
    </xf>
    <xf numFmtId="0" fontId="714" fillId="715" borderId="714" xfId="0" applyFont="1" applyFill="1" applyBorder="1" applyAlignment="1">
      <alignment horizontal="center"/>
    </xf>
    <xf numFmtId="4" fontId="715" fillId="716" borderId="715" xfId="0" applyNumberFormat="1" applyFont="1" applyFill="1" applyBorder="1" applyAlignment="1">
      <alignment horizontal="right"/>
    </xf>
    <xf numFmtId="0" fontId="716" fillId="717" borderId="716" xfId="0" applyFont="1" applyFill="1" applyBorder="1" applyAlignment="1">
      <alignment horizontal="center"/>
    </xf>
    <xf numFmtId="4" fontId="717" fillId="718" borderId="717" xfId="0" applyNumberFormat="1" applyFont="1" applyFill="1" applyBorder="1" applyAlignment="1">
      <alignment horizontal="right"/>
    </xf>
    <xf numFmtId="0" fontId="718" fillId="719" borderId="718" xfId="0" applyFont="1" applyFill="1" applyBorder="1" applyAlignment="1">
      <alignment horizontal="center"/>
    </xf>
    <xf numFmtId="4" fontId="719" fillId="720" borderId="719" xfId="0" applyNumberFormat="1" applyFont="1" applyFill="1" applyBorder="1" applyAlignment="1">
      <alignment horizontal="right"/>
    </xf>
    <xf numFmtId="0" fontId="720" fillId="721" borderId="720" xfId="0" applyFont="1" applyFill="1" applyBorder="1" applyAlignment="1">
      <alignment horizontal="center"/>
    </xf>
    <xf numFmtId="4" fontId="721" fillId="722" borderId="721" xfId="0" applyNumberFormat="1" applyFont="1" applyFill="1" applyBorder="1" applyAlignment="1">
      <alignment horizontal="right"/>
    </xf>
    <xf numFmtId="0" fontId="722" fillId="723" borderId="722" xfId="0" applyFont="1" applyFill="1" applyBorder="1" applyAlignment="1">
      <alignment horizontal="center"/>
    </xf>
    <xf numFmtId="4" fontId="723" fillId="724" borderId="723" xfId="0" applyNumberFormat="1" applyFont="1" applyFill="1" applyBorder="1" applyAlignment="1">
      <alignment horizontal="right"/>
    </xf>
    <xf numFmtId="0" fontId="724" fillId="725" borderId="724" xfId="0" applyFont="1" applyFill="1" applyBorder="1" applyAlignment="1">
      <alignment horizontal="center"/>
    </xf>
    <xf numFmtId="4" fontId="725" fillId="726" borderId="725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5" fillId="6" borderId="5" xfId="0" applyFont="1" applyFill="1" applyBorder="1"/>
    <xf numFmtId="0" fontId="6" fillId="7" borderId="6" xfId="0" applyFont="1" applyFill="1" applyBorder="1"/>
    <xf numFmtId="0" fontId="7" fillId="8" borderId="7" xfId="0" applyFont="1" applyFill="1" applyBorder="1"/>
    <xf numFmtId="0" fontId="9" fillId="10" borderId="9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11" fillId="12" borderId="11" xfId="0" applyFont="1" applyFill="1" applyBorder="1" applyAlignment="1">
      <alignment horizontal="center"/>
    </xf>
    <xf numFmtId="0" fontId="17" fillId="18" borderId="17" xfId="0" applyFont="1" applyFill="1" applyBorder="1"/>
    <xf numFmtId="0" fontId="18" fillId="19" borderId="18" xfId="0" applyFont="1" applyFill="1" applyBorder="1"/>
    <xf numFmtId="0" fontId="19" fillId="20" borderId="19" xfId="0" applyFont="1" applyFill="1" applyBorder="1"/>
    <xf numFmtId="0" fontId="20" fillId="21" borderId="20" xfId="0" applyFont="1" applyFill="1" applyBorder="1"/>
    <xf numFmtId="0" fontId="21" fillId="22" borderId="21" xfId="0" applyFont="1" applyFill="1" applyBorder="1"/>
    <xf numFmtId="0" fontId="22" fillId="23" borderId="22" xfId="0" applyFont="1" applyFill="1" applyBorder="1"/>
    <xf numFmtId="0" fontId="23" fillId="24" borderId="23" xfId="0" applyFont="1" applyFill="1" applyBorder="1"/>
    <xf numFmtId="0" fontId="24" fillId="25" borderId="24" xfId="0" applyFont="1" applyFill="1" applyBorder="1" applyAlignment="1">
      <alignment vertical="center"/>
    </xf>
    <xf numFmtId="0" fontId="121" fillId="122" borderId="121" xfId="0" applyFont="1" applyFill="1" applyBorder="1" applyAlignment="1">
      <alignment vertical="center"/>
    </xf>
    <xf numFmtId="0" fontId="128" fillId="129" borderId="128" xfId="0" applyFont="1" applyFill="1" applyBorder="1" applyAlignment="1">
      <alignment horizontal="center"/>
    </xf>
    <xf numFmtId="0" fontId="129" fillId="130" borderId="129" xfId="0" applyFont="1" applyFill="1" applyBorder="1"/>
    <xf numFmtId="0" fontId="130" fillId="131" borderId="130" xfId="0" applyFont="1" applyFill="1" applyBorder="1"/>
    <xf numFmtId="0" fontId="131" fillId="132" borderId="131" xfId="0" applyFont="1" applyFill="1" applyBorder="1"/>
    <xf numFmtId="0" fontId="132" fillId="133" borderId="132" xfId="0" applyFont="1" applyFill="1" applyBorder="1"/>
    <xf numFmtId="0" fontId="133" fillId="134" borderId="133" xfId="0" applyFont="1" applyFill="1" applyBorder="1"/>
    <xf numFmtId="0" fontId="140" fillId="141" borderId="140" xfId="0" applyFont="1" applyFill="1" applyBorder="1"/>
    <xf numFmtId="0" fontId="141" fillId="142" borderId="141" xfId="0" applyFont="1" applyFill="1" applyBorder="1"/>
    <xf numFmtId="0" fontId="142" fillId="143" borderId="142" xfId="0" applyFont="1" applyFill="1" applyBorder="1"/>
    <xf numFmtId="0" fontId="143" fillId="144" borderId="143" xfId="0" applyFont="1" applyFill="1" applyBorder="1"/>
    <xf numFmtId="0" fontId="144" fillId="145" borderId="144" xfId="0" applyFont="1" applyFill="1" applyBorder="1"/>
    <xf numFmtId="0" fontId="145" fillId="146" borderId="145" xfId="0" applyFont="1" applyFill="1" applyBorder="1"/>
    <xf numFmtId="0" fontId="152" fillId="153" borderId="152" xfId="0" applyFont="1" applyFill="1" applyBorder="1"/>
    <xf numFmtId="0" fontId="153" fillId="154" borderId="153" xfId="0" applyFont="1" applyFill="1" applyBorder="1"/>
    <xf numFmtId="0" fontId="154" fillId="155" borderId="154" xfId="0" applyFont="1" applyFill="1" applyBorder="1"/>
    <xf numFmtId="0" fontId="155" fillId="156" borderId="155" xfId="0" applyFont="1" applyFill="1" applyBorder="1"/>
    <xf numFmtId="0" fontId="156" fillId="157" borderId="156" xfId="0" applyFont="1" applyFill="1" applyBorder="1"/>
    <xf numFmtId="0" fontId="157" fillId="158" borderId="157" xfId="0" applyFont="1" applyFill="1" applyBorder="1"/>
    <xf numFmtId="0" fontId="164" fillId="165" borderId="164" xfId="0" applyFont="1" applyFill="1" applyBorder="1"/>
    <xf numFmtId="0" fontId="165" fillId="166" borderId="165" xfId="0" applyFont="1" applyFill="1" applyBorder="1"/>
    <xf numFmtId="0" fontId="166" fillId="167" borderId="166" xfId="0" applyFont="1" applyFill="1" applyBorder="1"/>
    <xf numFmtId="0" fontId="167" fillId="168" borderId="167" xfId="0" applyFont="1" applyFill="1" applyBorder="1"/>
    <xf numFmtId="0" fontId="168" fillId="169" borderId="168" xfId="0" applyFont="1" applyFill="1" applyBorder="1"/>
    <xf numFmtId="0" fontId="169" fillId="170" borderId="169" xfId="0" applyFont="1" applyFill="1" applyBorder="1"/>
    <xf numFmtId="0" fontId="176" fillId="177" borderId="176" xfId="0" applyFont="1" applyFill="1" applyBorder="1"/>
    <xf numFmtId="0" fontId="177" fillId="178" borderId="177" xfId="0" applyFont="1" applyFill="1" applyBorder="1"/>
    <xf numFmtId="0" fontId="178" fillId="179" borderId="178" xfId="0" applyFont="1" applyFill="1" applyBorder="1"/>
    <xf numFmtId="0" fontId="179" fillId="180" borderId="179" xfId="0" applyFont="1" applyFill="1" applyBorder="1"/>
    <xf numFmtId="0" fontId="180" fillId="181" borderId="180" xfId="0" applyFont="1" applyFill="1" applyBorder="1"/>
    <xf numFmtId="0" fontId="181" fillId="182" borderId="181" xfId="0" applyFont="1" applyFill="1" applyBorder="1"/>
    <xf numFmtId="0" fontId="188" fillId="189" borderId="188" xfId="0" applyFont="1" applyFill="1" applyBorder="1"/>
    <xf numFmtId="0" fontId="189" fillId="190" borderId="189" xfId="0" applyFont="1" applyFill="1" applyBorder="1"/>
    <xf numFmtId="0" fontId="190" fillId="191" borderId="190" xfId="0" applyFont="1" applyFill="1" applyBorder="1"/>
    <xf numFmtId="0" fontId="191" fillId="192" borderId="191" xfId="0" applyFont="1" applyFill="1" applyBorder="1"/>
    <xf numFmtId="0" fontId="192" fillId="193" borderId="192" xfId="0" applyFont="1" applyFill="1" applyBorder="1"/>
    <xf numFmtId="0" fontId="193" fillId="194" borderId="193" xfId="0" applyFont="1" applyFill="1" applyBorder="1"/>
    <xf numFmtId="0" fontId="200" fillId="201" borderId="200" xfId="0" applyFont="1" applyFill="1" applyBorder="1"/>
    <xf numFmtId="0" fontId="201" fillId="202" borderId="201" xfId="0" applyFont="1" applyFill="1" applyBorder="1"/>
    <xf numFmtId="0" fontId="202" fillId="203" borderId="202" xfId="0" applyFont="1" applyFill="1" applyBorder="1"/>
    <xf numFmtId="0" fontId="203" fillId="204" borderId="203" xfId="0" applyFont="1" applyFill="1" applyBorder="1"/>
    <xf numFmtId="0" fontId="204" fillId="205" borderId="204" xfId="0" applyFont="1" applyFill="1" applyBorder="1"/>
    <xf numFmtId="0" fontId="205" fillId="206" borderId="205" xfId="0" applyFont="1" applyFill="1" applyBorder="1"/>
    <xf numFmtId="0" fontId="212" fillId="213" borderId="212" xfId="0" applyFont="1" applyFill="1" applyBorder="1"/>
    <xf numFmtId="0" fontId="213" fillId="214" borderId="213" xfId="0" applyFont="1" applyFill="1" applyBorder="1"/>
    <xf numFmtId="0" fontId="214" fillId="215" borderId="214" xfId="0" applyFont="1" applyFill="1" applyBorder="1"/>
    <xf numFmtId="0" fontId="215" fillId="216" borderId="215" xfId="0" applyFont="1" applyFill="1" applyBorder="1"/>
    <xf numFmtId="0" fontId="216" fillId="217" borderId="216" xfId="0" applyFont="1" applyFill="1" applyBorder="1"/>
    <xf numFmtId="0" fontId="217" fillId="218" borderId="217" xfId="0" applyFont="1" applyFill="1" applyBorder="1"/>
    <xf numFmtId="0" fontId="224" fillId="225" borderId="224" xfId="0" applyFont="1" applyFill="1" applyBorder="1"/>
    <xf numFmtId="0" fontId="225" fillId="226" borderId="225" xfId="0" applyFont="1" applyFill="1" applyBorder="1"/>
    <xf numFmtId="0" fontId="226" fillId="227" borderId="226" xfId="0" applyFont="1" applyFill="1" applyBorder="1"/>
    <xf numFmtId="0" fontId="227" fillId="228" borderId="227" xfId="0" applyFont="1" applyFill="1" applyBorder="1"/>
    <xf numFmtId="0" fontId="228" fillId="229" borderId="228" xfId="0" applyFont="1" applyFill="1" applyBorder="1"/>
    <xf numFmtId="0" fontId="229" fillId="230" borderId="229" xfId="0" applyFont="1" applyFill="1" applyBorder="1"/>
    <xf numFmtId="0" fontId="236" fillId="237" borderId="236" xfId="0" applyFont="1" applyFill="1" applyBorder="1"/>
    <xf numFmtId="0" fontId="237" fillId="238" borderId="237" xfId="0" applyFont="1" applyFill="1" applyBorder="1"/>
    <xf numFmtId="0" fontId="238" fillId="239" borderId="238" xfId="0" applyFont="1" applyFill="1" applyBorder="1"/>
    <xf numFmtId="0" fontId="239" fillId="240" borderId="239" xfId="0" applyFont="1" applyFill="1" applyBorder="1"/>
    <xf numFmtId="0" fontId="240" fillId="241" borderId="240" xfId="0" applyFont="1" applyFill="1" applyBorder="1"/>
    <xf numFmtId="0" fontId="241" fillId="242" borderId="24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25400</xdr:rowOff>
    </xdr:from>
    <xdr:to>
      <xdr:col>12</xdr:col>
      <xdr:colOff>156210</xdr:colOff>
      <xdr:row>2</xdr:row>
      <xdr:rowOff>66675</xdr:rowOff>
    </xdr:to>
    <xdr:pic>
      <xdr:nvPicPr>
        <xdr:cNvPr id="3" name="Logo_Tanque_Pagina_1">
          <a:extLst>
            <a:ext uri="{FF2B5EF4-FFF2-40B4-BE49-F238E27FC236}">
              <a16:creationId xmlns:a16="http://schemas.microsoft.com/office/drawing/2014/main" id="{76A7DF73-84C6-FF04-1146-7F4DD87CC6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6220" y="25400"/>
          <a:ext cx="1390650" cy="5441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29"/>
  <sheetViews>
    <sheetView tabSelected="1" workbookViewId="0"/>
  </sheetViews>
  <sheetFormatPr baseColWidth="10" defaultColWidth="8.88671875" defaultRowHeight="14.4"/>
  <cols>
    <col min="1" max="1" width="8.109375" customWidth="1"/>
    <col min="2" max="2" width="12" customWidth="1"/>
    <col min="3" max="5" width="16" customWidth="1"/>
    <col min="6" max="8" width="18" customWidth="1"/>
    <col min="9" max="9" width="16" customWidth="1"/>
    <col min="10" max="10" width="18" customWidth="1"/>
    <col min="11" max="11" width="14" customWidth="1"/>
    <col min="12" max="12" width="18" customWidth="1"/>
    <col min="13" max="13" width="16" customWidth="1"/>
  </cols>
  <sheetData>
    <row r="1" spans="2:13" ht="19.95" customHeight="1"/>
    <row r="2" spans="2:13" ht="19.95" customHeight="1"/>
    <row r="3" spans="2:13" ht="19.95" customHeight="1"/>
    <row r="4" spans="2:13" ht="30" customHeight="1">
      <c r="B4" s="650" t="s">
        <v>0</v>
      </c>
      <c r="C4" s="651"/>
      <c r="D4" s="651"/>
      <c r="E4" s="651"/>
      <c r="F4" s="651"/>
      <c r="G4" s="651"/>
      <c r="H4" s="651"/>
      <c r="I4" s="651"/>
      <c r="J4" s="651"/>
      <c r="K4" s="651"/>
      <c r="L4" s="651"/>
      <c r="M4" s="651"/>
    </row>
    <row r="5" spans="2:13" ht="15" customHeight="1"/>
    <row r="6" spans="2:13" ht="22.05" customHeight="1">
      <c r="B6" s="1" t="s">
        <v>1</v>
      </c>
      <c r="C6" s="2" t="s">
        <v>2</v>
      </c>
      <c r="E6" s="3" t="s">
        <v>3</v>
      </c>
      <c r="F6" s="652"/>
      <c r="G6" s="653"/>
      <c r="H6" s="654"/>
      <c r="J6" s="4" t="s">
        <v>4</v>
      </c>
      <c r="K6" s="655" t="s">
        <v>5</v>
      </c>
      <c r="L6" s="656" t="s">
        <v>5</v>
      </c>
      <c r="M6" s="657" t="s">
        <v>5</v>
      </c>
    </row>
    <row r="7" spans="2:13" ht="22.05" customHeight="1">
      <c r="B7" s="5" t="s">
        <v>6</v>
      </c>
      <c r="C7" s="6" t="s">
        <v>2</v>
      </c>
      <c r="D7" s="7" t="s">
        <v>7</v>
      </c>
      <c r="E7" s="8" t="s">
        <v>2</v>
      </c>
      <c r="F7" s="9" t="s">
        <v>8</v>
      </c>
      <c r="G7" s="658"/>
      <c r="H7" s="659"/>
      <c r="I7" s="660"/>
      <c r="J7" s="661"/>
      <c r="K7" s="662"/>
      <c r="L7" s="663"/>
      <c r="M7" s="664"/>
    </row>
    <row r="8" spans="2:13" ht="15" customHeight="1"/>
    <row r="9" spans="2:13" ht="22.05" customHeight="1">
      <c r="B9" s="665" t="s">
        <v>9</v>
      </c>
      <c r="C9" s="651"/>
      <c r="D9" s="651"/>
      <c r="E9" s="651"/>
      <c r="F9" s="651"/>
      <c r="G9" s="651"/>
      <c r="H9" s="651"/>
      <c r="I9" s="651"/>
      <c r="J9" s="651"/>
      <c r="K9" s="651"/>
      <c r="L9" s="651"/>
      <c r="M9" s="651"/>
    </row>
    <row r="10" spans="2:13" ht="25.05" customHeight="1">
      <c r="B10" s="10" t="s">
        <v>10</v>
      </c>
      <c r="C10" s="11" t="s">
        <v>11</v>
      </c>
      <c r="D10" s="12" t="s">
        <v>12</v>
      </c>
      <c r="E10" s="13" t="s">
        <v>13</v>
      </c>
      <c r="F10" s="14" t="s">
        <v>14</v>
      </c>
      <c r="G10" s="15" t="s">
        <v>15</v>
      </c>
      <c r="H10" s="16" t="s">
        <v>16</v>
      </c>
      <c r="I10" s="17" t="s">
        <v>17</v>
      </c>
      <c r="J10" s="18" t="s">
        <v>18</v>
      </c>
      <c r="K10" s="19" t="s">
        <v>19</v>
      </c>
      <c r="L10" s="20" t="s">
        <v>20</v>
      </c>
      <c r="M10" s="21" t="s">
        <v>21</v>
      </c>
    </row>
    <row r="11" spans="2:13" ht="22.05" customHeight="1">
      <c r="B11" s="22" t="s">
        <v>22</v>
      </c>
      <c r="C11" s="23"/>
      <c r="D11" s="24"/>
      <c r="E11" s="25"/>
      <c r="F11" s="26"/>
      <c r="G11" s="27"/>
      <c r="H11" s="28"/>
      <c r="I11" s="29"/>
      <c r="J11" s="31">
        <f t="shared" ref="J11:J16" si="0">C11+D11+E11-G11-H11-I11</f>
        <v>0</v>
      </c>
      <c r="K11" s="30"/>
      <c r="L11" s="32" t="str">
        <f>IF(OR(ISBLANK(K11), K11=""), "", VLOOKUP(K11, 'Tabla de Cubicación'!$A$2:$B$242, 2, TRUE))</f>
        <v/>
      </c>
      <c r="M11" s="33" t="str">
        <f t="shared" ref="M11:M16" si="1">IF(ISNUMBER(L11), L11-J11, "")</f>
        <v/>
      </c>
    </row>
    <row r="12" spans="2:13" ht="22.05" customHeight="1">
      <c r="B12" s="34" t="s">
        <v>23</v>
      </c>
      <c r="C12" s="35" t="str">
        <f>IF(L11&gt;0, L11, J11)</f>
        <v/>
      </c>
      <c r="D12" s="36"/>
      <c r="E12" s="37"/>
      <c r="F12" s="38"/>
      <c r="G12" s="39"/>
      <c r="H12" s="40"/>
      <c r="I12" s="41"/>
      <c r="J12" s="43" t="e">
        <f t="shared" si="0"/>
        <v>#VALUE!</v>
      </c>
      <c r="K12" s="42"/>
      <c r="L12" s="44" t="str">
        <f>IF(OR(ISBLANK(K12), K12=""), "", VLOOKUP(K12, 'Tabla de Cubicación'!$A$2:$B$242, 2, TRUE))</f>
        <v/>
      </c>
      <c r="M12" s="45" t="str">
        <f t="shared" si="1"/>
        <v/>
      </c>
    </row>
    <row r="13" spans="2:13" ht="22.05" customHeight="1">
      <c r="B13" s="46" t="s">
        <v>24</v>
      </c>
      <c r="C13" s="47" t="str">
        <f>IF(L12&gt;0, L12, J12)</f>
        <v/>
      </c>
      <c r="D13" s="48"/>
      <c r="E13" s="49"/>
      <c r="F13" s="50"/>
      <c r="G13" s="51"/>
      <c r="H13" s="52"/>
      <c r="I13" s="53"/>
      <c r="J13" s="55" t="e">
        <f t="shared" si="0"/>
        <v>#VALUE!</v>
      </c>
      <c r="K13" s="54"/>
      <c r="L13" s="56" t="str">
        <f>IF(OR(ISBLANK(K13), K13=""), "", VLOOKUP(K13, 'Tabla de Cubicación'!$A$2:$B$242, 2, TRUE))</f>
        <v/>
      </c>
      <c r="M13" s="57" t="str">
        <f t="shared" si="1"/>
        <v/>
      </c>
    </row>
    <row r="14" spans="2:13" ht="22.05" customHeight="1">
      <c r="B14" s="58" t="s">
        <v>25</v>
      </c>
      <c r="C14" s="59" t="str">
        <f>IF(L13&gt;0, L13, J13)</f>
        <v/>
      </c>
      <c r="D14" s="60"/>
      <c r="E14" s="61"/>
      <c r="F14" s="62"/>
      <c r="G14" s="63"/>
      <c r="H14" s="64"/>
      <c r="I14" s="65"/>
      <c r="J14" s="67" t="e">
        <f t="shared" si="0"/>
        <v>#VALUE!</v>
      </c>
      <c r="K14" s="66"/>
      <c r="L14" s="68" t="str">
        <f>IF(OR(ISBLANK(K14), K14=""), "", VLOOKUP(K14, 'Tabla de Cubicación'!$A$2:$B$242, 2, TRUE))</f>
        <v/>
      </c>
      <c r="M14" s="69" t="str">
        <f t="shared" si="1"/>
        <v/>
      </c>
    </row>
    <row r="15" spans="2:13" ht="22.05" customHeight="1">
      <c r="B15" s="70" t="s">
        <v>26</v>
      </c>
      <c r="C15" s="71" t="str">
        <f>IF(L14&gt;0, L14, J14)</f>
        <v/>
      </c>
      <c r="D15" s="72"/>
      <c r="E15" s="73"/>
      <c r="F15" s="74"/>
      <c r="G15" s="75"/>
      <c r="H15" s="76"/>
      <c r="I15" s="77"/>
      <c r="J15" s="79" t="e">
        <f t="shared" si="0"/>
        <v>#VALUE!</v>
      </c>
      <c r="K15" s="78"/>
      <c r="L15" s="80" t="str">
        <f>IF(OR(ISBLANK(K15), K15=""), "", VLOOKUP(K15, 'Tabla de Cubicación'!$A$2:$B$242, 2, TRUE))</f>
        <v/>
      </c>
      <c r="M15" s="81" t="str">
        <f t="shared" si="1"/>
        <v/>
      </c>
    </row>
    <row r="16" spans="2:13" ht="22.05" customHeight="1">
      <c r="B16" s="82" t="s">
        <v>27</v>
      </c>
      <c r="C16" s="83" t="str">
        <f>IF(L15&gt;0, L15, J15)</f>
        <v/>
      </c>
      <c r="D16" s="84"/>
      <c r="E16" s="85"/>
      <c r="F16" s="86"/>
      <c r="G16" s="87"/>
      <c r="H16" s="88"/>
      <c r="I16" s="89"/>
      <c r="J16" s="91" t="e">
        <f t="shared" si="0"/>
        <v>#VALUE!</v>
      </c>
      <c r="K16" s="90"/>
      <c r="L16" s="92" t="str">
        <f>IF(OR(ISBLANK(K16), K16=""), "", VLOOKUP(K16, 'Tabla de Cubicación'!$A$2:$B$242, 2, TRUE))</f>
        <v/>
      </c>
      <c r="M16" s="93" t="str">
        <f t="shared" si="1"/>
        <v/>
      </c>
    </row>
    <row r="17" spans="2:13" ht="22.05" customHeight="1">
      <c r="B17" s="94" t="s">
        <v>28</v>
      </c>
      <c r="C17" s="103"/>
      <c r="D17" s="95">
        <f>SUM(D11:D16)</f>
        <v>0</v>
      </c>
      <c r="E17" s="96">
        <f>SUM(E11:E16)</f>
        <v>0</v>
      </c>
      <c r="F17" s="104"/>
      <c r="G17" s="97">
        <f>SUM(G11:G16)</f>
        <v>0</v>
      </c>
      <c r="H17" s="98">
        <f>SUM(H11:H16)</f>
        <v>0</v>
      </c>
      <c r="I17" s="99">
        <f>SUM(I11:I16)</f>
        <v>0</v>
      </c>
      <c r="J17" s="100">
        <f>C11+D17+E17-G17-H17-I17</f>
        <v>0</v>
      </c>
      <c r="K17" s="105"/>
      <c r="L17" s="101" t="str">
        <f>IF(L16&gt;0, L16, J16)</f>
        <v/>
      </c>
      <c r="M17" s="102">
        <f>SUM(M11:M16)</f>
        <v>0</v>
      </c>
    </row>
    <row r="18" spans="2:13" ht="15" customHeight="1"/>
    <row r="19" spans="2:13" ht="22.05" customHeight="1">
      <c r="B19" s="666" t="s">
        <v>29</v>
      </c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</row>
    <row r="20" spans="2:13" ht="25.05" customHeight="1">
      <c r="B20" s="106" t="s">
        <v>30</v>
      </c>
      <c r="C20" s="107" t="s">
        <v>31</v>
      </c>
      <c r="D20" s="108" t="s">
        <v>32</v>
      </c>
      <c r="E20" s="109" t="s">
        <v>33</v>
      </c>
      <c r="F20" s="110" t="s">
        <v>34</v>
      </c>
      <c r="G20" s="111" t="s">
        <v>35</v>
      </c>
      <c r="H20" s="667" t="s">
        <v>36</v>
      </c>
      <c r="I20" s="668"/>
      <c r="J20" s="669"/>
      <c r="K20" s="670"/>
      <c r="L20" s="671"/>
      <c r="M20" s="672"/>
    </row>
    <row r="21" spans="2:13" ht="19.95" customHeight="1">
      <c r="B21" s="112"/>
      <c r="C21" s="113"/>
      <c r="D21" s="114"/>
      <c r="E21" s="115"/>
      <c r="F21" s="116" t="str">
        <f t="shared" ref="F21:F28" si="2">IF(AND(ISNUMBER(D21), ISNUMBER(E21)), E21-D21, "")</f>
        <v/>
      </c>
      <c r="G21" s="117" t="str">
        <f t="shared" ref="G21:G28" si="3">IF(F21="","",IF(F21=0,"OK (COINCIDE)",IF(F21&gt;0,"EXCEDENTE","FALTANTE")))</f>
        <v/>
      </c>
      <c r="H21" s="673"/>
      <c r="I21" s="674"/>
      <c r="J21" s="675"/>
      <c r="K21" s="676"/>
      <c r="L21" s="677"/>
      <c r="M21" s="678"/>
    </row>
    <row r="22" spans="2:13" ht="19.95" customHeight="1">
      <c r="B22" s="118"/>
      <c r="C22" s="119"/>
      <c r="D22" s="120"/>
      <c r="E22" s="121"/>
      <c r="F22" s="122" t="str">
        <f t="shared" si="2"/>
        <v/>
      </c>
      <c r="G22" s="123" t="str">
        <f t="shared" si="3"/>
        <v/>
      </c>
      <c r="H22" s="679"/>
      <c r="I22" s="680"/>
      <c r="J22" s="681"/>
      <c r="K22" s="682"/>
      <c r="L22" s="683"/>
      <c r="M22" s="684"/>
    </row>
    <row r="23" spans="2:13" ht="19.95" customHeight="1">
      <c r="B23" s="124"/>
      <c r="C23" s="125"/>
      <c r="D23" s="126"/>
      <c r="E23" s="127"/>
      <c r="F23" s="128" t="str">
        <f t="shared" si="2"/>
        <v/>
      </c>
      <c r="G23" s="129" t="str">
        <f t="shared" si="3"/>
        <v/>
      </c>
      <c r="H23" s="685"/>
      <c r="I23" s="686"/>
      <c r="J23" s="687"/>
      <c r="K23" s="688"/>
      <c r="L23" s="689"/>
      <c r="M23" s="690"/>
    </row>
    <row r="24" spans="2:13" ht="19.95" customHeight="1">
      <c r="B24" s="130"/>
      <c r="C24" s="131"/>
      <c r="D24" s="132"/>
      <c r="E24" s="133"/>
      <c r="F24" s="134" t="str">
        <f t="shared" si="2"/>
        <v/>
      </c>
      <c r="G24" s="135" t="str">
        <f t="shared" si="3"/>
        <v/>
      </c>
      <c r="H24" s="691"/>
      <c r="I24" s="692"/>
      <c r="J24" s="693"/>
      <c r="K24" s="694"/>
      <c r="L24" s="695"/>
      <c r="M24" s="696"/>
    </row>
    <row r="25" spans="2:13" ht="19.95" customHeight="1">
      <c r="B25" s="136"/>
      <c r="C25" s="137"/>
      <c r="D25" s="138"/>
      <c r="E25" s="139"/>
      <c r="F25" s="140" t="str">
        <f t="shared" si="2"/>
        <v/>
      </c>
      <c r="G25" s="141" t="str">
        <f t="shared" si="3"/>
        <v/>
      </c>
      <c r="H25" s="697"/>
      <c r="I25" s="698"/>
      <c r="J25" s="699"/>
      <c r="K25" s="700"/>
      <c r="L25" s="701"/>
      <c r="M25" s="702"/>
    </row>
    <row r="26" spans="2:13" ht="19.95" customHeight="1">
      <c r="B26" s="142"/>
      <c r="C26" s="143"/>
      <c r="D26" s="144"/>
      <c r="E26" s="145"/>
      <c r="F26" s="146" t="str">
        <f t="shared" si="2"/>
        <v/>
      </c>
      <c r="G26" s="147" t="str">
        <f t="shared" si="3"/>
        <v/>
      </c>
      <c r="H26" s="703"/>
      <c r="I26" s="704"/>
      <c r="J26" s="705"/>
      <c r="K26" s="706"/>
      <c r="L26" s="707"/>
      <c r="M26" s="708"/>
    </row>
    <row r="27" spans="2:13" ht="19.95" customHeight="1">
      <c r="B27" s="148"/>
      <c r="C27" s="149"/>
      <c r="D27" s="150"/>
      <c r="E27" s="151"/>
      <c r="F27" s="152" t="str">
        <f t="shared" si="2"/>
        <v/>
      </c>
      <c r="G27" s="153" t="str">
        <f t="shared" si="3"/>
        <v/>
      </c>
      <c r="H27" s="709"/>
      <c r="I27" s="710"/>
      <c r="J27" s="711"/>
      <c r="K27" s="712"/>
      <c r="L27" s="713"/>
      <c r="M27" s="714"/>
    </row>
    <row r="28" spans="2:13" ht="19.95" customHeight="1">
      <c r="B28" s="154"/>
      <c r="C28" s="155"/>
      <c r="D28" s="156"/>
      <c r="E28" s="157"/>
      <c r="F28" s="158" t="str">
        <f t="shared" si="2"/>
        <v/>
      </c>
      <c r="G28" s="159" t="str">
        <f t="shared" si="3"/>
        <v/>
      </c>
      <c r="H28" s="715"/>
      <c r="I28" s="716"/>
      <c r="J28" s="717"/>
      <c r="K28" s="718"/>
      <c r="L28" s="719"/>
      <c r="M28" s="720"/>
    </row>
    <row r="29" spans="2:13" ht="22.05" customHeight="1">
      <c r="B29" s="160" t="s">
        <v>37</v>
      </c>
      <c r="C29" s="164"/>
      <c r="D29" s="161">
        <f>SUM(D21:D28)</f>
        <v>0</v>
      </c>
      <c r="E29" s="162">
        <f>SUM(E21:E28)</f>
        <v>0</v>
      </c>
      <c r="F29" s="163">
        <f>E29-D29</f>
        <v>0</v>
      </c>
      <c r="G29" s="165"/>
      <c r="H29" s="721"/>
      <c r="I29" s="722"/>
      <c r="J29" s="723"/>
      <c r="K29" s="724"/>
      <c r="L29" s="725"/>
      <c r="M29" s="726"/>
    </row>
  </sheetData>
  <mergeCells count="16">
    <mergeCell ref="H29:M29"/>
    <mergeCell ref="H24:M24"/>
    <mergeCell ref="H25:M25"/>
    <mergeCell ref="H26:M26"/>
    <mergeCell ref="H27:M27"/>
    <mergeCell ref="H28:M28"/>
    <mergeCell ref="B19:M19"/>
    <mergeCell ref="H20:M20"/>
    <mergeCell ref="H21:M21"/>
    <mergeCell ref="H22:M22"/>
    <mergeCell ref="H23:M23"/>
    <mergeCell ref="B4:M4"/>
    <mergeCell ref="F6:H6"/>
    <mergeCell ref="K6:M6"/>
    <mergeCell ref="G7:M7"/>
    <mergeCell ref="B9:M9"/>
  </mergeCells>
  <printOptions horizontalCentered="1"/>
  <pageMargins left="0.25" right="0.25" top="0.25" bottom="0.25" header="0" footer="0"/>
  <pageSetup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2"/>
  <sheetViews>
    <sheetView workbookViewId="0"/>
  </sheetViews>
  <sheetFormatPr baseColWidth="10" defaultRowHeight="14.4"/>
  <cols>
    <col min="1" max="1" width="18" customWidth="1"/>
    <col min="2" max="2" width="22" customWidth="1"/>
  </cols>
  <sheetData>
    <row r="1" spans="1:2" ht="15">
      <c r="A1" s="166" t="s">
        <v>19</v>
      </c>
      <c r="B1" s="167" t="s">
        <v>38</v>
      </c>
    </row>
    <row r="2" spans="1:2" ht="15">
      <c r="A2" s="168">
        <v>0</v>
      </c>
      <c r="B2" s="169">
        <v>0</v>
      </c>
    </row>
    <row r="3" spans="1:2" ht="15">
      <c r="A3" s="170">
        <v>1</v>
      </c>
      <c r="B3" s="171">
        <v>9.1204942856676645</v>
      </c>
    </row>
    <row r="4" spans="1:2" ht="15">
      <c r="A4" s="172">
        <v>2</v>
      </c>
      <c r="B4" s="173">
        <v>25.764294882913987</v>
      </c>
    </row>
    <row r="5" spans="1:2" ht="15">
      <c r="A5" s="174">
        <v>3</v>
      </c>
      <c r="B5" s="175">
        <v>47.272496459825476</v>
      </c>
    </row>
    <row r="6" spans="1:2" ht="15">
      <c r="A6" s="176">
        <v>4</v>
      </c>
      <c r="B6" s="177">
        <v>72.688970570864441</v>
      </c>
    </row>
    <row r="7" spans="1:2" ht="15">
      <c r="A7" s="178">
        <v>5</v>
      </c>
      <c r="B7" s="179">
        <v>101.45743807934365</v>
      </c>
    </row>
    <row r="8" spans="1:2" ht="15">
      <c r="A8" s="180">
        <v>6</v>
      </c>
      <c r="B8" s="181">
        <v>133.20011010141351</v>
      </c>
    </row>
    <row r="9" spans="1:2" ht="15">
      <c r="A9" s="182">
        <v>7</v>
      </c>
      <c r="B9" s="183">
        <v>167.63783813935407</v>
      </c>
    </row>
    <row r="10" spans="1:2" ht="15">
      <c r="A10" s="184">
        <v>8</v>
      </c>
      <c r="B10" s="185">
        <v>204.55293074554638</v>
      </c>
    </row>
    <row r="11" spans="1:2" ht="15">
      <c r="A11" s="186">
        <v>9</v>
      </c>
      <c r="B11" s="187">
        <v>243.76910674526252</v>
      </c>
    </row>
    <row r="12" spans="1:2" ht="15">
      <c r="A12" s="188">
        <v>10</v>
      </c>
      <c r="B12" s="189">
        <v>285.1395829882789</v>
      </c>
    </row>
    <row r="13" spans="1:2" ht="15">
      <c r="A13" s="190">
        <v>11</v>
      </c>
      <c r="B13" s="191">
        <v>328.539482798503</v>
      </c>
    </row>
    <row r="14" spans="1:2" ht="15">
      <c r="A14" s="192">
        <v>12</v>
      </c>
      <c r="B14" s="193">
        <v>373.86073468498591</v>
      </c>
    </row>
    <row r="15" spans="1:2" ht="15">
      <c r="A15" s="194">
        <v>13</v>
      </c>
      <c r="B15" s="195">
        <v>421.00849871481773</v>
      </c>
    </row>
    <row r="16" spans="1:2" ht="15">
      <c r="A16" s="196">
        <v>14</v>
      </c>
      <c r="B16" s="197">
        <v>469.89857745562188</v>
      </c>
    </row>
    <row r="17" spans="1:2" ht="15">
      <c r="A17" s="198">
        <v>15</v>
      </c>
      <c r="B17" s="199">
        <v>520.45548743758775</v>
      </c>
    </row>
    <row r="18" spans="1:2" ht="15">
      <c r="A18" s="200">
        <v>16</v>
      </c>
      <c r="B18" s="201">
        <v>572.61098873566471</v>
      </c>
    </row>
    <row r="19" spans="1:2" ht="15">
      <c r="A19" s="202">
        <v>17</v>
      </c>
      <c r="B19" s="203">
        <v>626.3029413432439</v>
      </c>
    </row>
    <row r="20" spans="1:2" ht="15">
      <c r="A20" s="204">
        <v>18</v>
      </c>
      <c r="B20" s="205">
        <v>681.47440032693282</v>
      </c>
    </row>
    <row r="21" spans="1:2" ht="15">
      <c r="A21" s="206">
        <v>19</v>
      </c>
      <c r="B21" s="207">
        <v>738.07288912333786</v>
      </c>
    </row>
    <row r="22" spans="1:2" ht="15">
      <c r="A22" s="208">
        <v>20</v>
      </c>
      <c r="B22" s="209">
        <v>796.04980817906153</v>
      </c>
    </row>
    <row r="23" spans="1:2" ht="15">
      <c r="A23" s="210">
        <v>21</v>
      </c>
      <c r="B23" s="211">
        <v>855.35994808180146</v>
      </c>
    </row>
    <row r="24" spans="1:2" ht="15">
      <c r="A24" s="212">
        <v>22</v>
      </c>
      <c r="B24" s="213">
        <v>915.96108452289855</v>
      </c>
    </row>
    <row r="25" spans="1:2" ht="15">
      <c r="A25" s="214">
        <v>23</v>
      </c>
      <c r="B25" s="215">
        <v>977.81363816938642</v>
      </c>
    </row>
    <row r="26" spans="1:2" ht="15">
      <c r="A26" s="216">
        <v>24</v>
      </c>
      <c r="B26" s="217">
        <v>1040.8803866182777</v>
      </c>
    </row>
    <row r="27" spans="1:2" ht="15">
      <c r="A27" s="218">
        <v>25</v>
      </c>
      <c r="B27" s="219">
        <v>1105.1262185779394</v>
      </c>
    </row>
    <row r="28" spans="1:2" ht="15">
      <c r="A28" s="220">
        <v>26</v>
      </c>
      <c r="B28" s="221">
        <v>1170.5179226117903</v>
      </c>
    </row>
    <row r="29" spans="1:2" ht="15">
      <c r="A29" s="222">
        <v>27</v>
      </c>
      <c r="B29" s="223">
        <v>1237.0240044164887</v>
      </c>
    </row>
    <row r="30" spans="1:2" ht="15">
      <c r="A30" s="224">
        <v>28</v>
      </c>
      <c r="B30" s="225">
        <v>1304.6145278455181</v>
      </c>
    </row>
    <row r="31" spans="1:2" ht="15">
      <c r="A31" s="226">
        <v>29</v>
      </c>
      <c r="B31" s="227">
        <v>1373.2609758376793</v>
      </c>
    </row>
    <row r="32" spans="1:2" ht="15">
      <c r="A32" s="228">
        <v>30</v>
      </c>
      <c r="B32" s="229">
        <v>1442.9361281438753</v>
      </c>
    </row>
    <row r="33" spans="1:2" ht="15">
      <c r="A33" s="230">
        <v>31</v>
      </c>
      <c r="B33" s="231">
        <v>1513.6139533192959</v>
      </c>
    </row>
    <row r="34" spans="1:2" ht="15">
      <c r="A34" s="232">
        <v>32</v>
      </c>
      <c r="B34" s="233">
        <v>1585.2695129004303</v>
      </c>
    </row>
    <row r="35" spans="1:2" ht="15">
      <c r="A35" s="234">
        <v>33</v>
      </c>
      <c r="B35" s="235">
        <v>1657.8788760461421</v>
      </c>
    </row>
    <row r="36" spans="1:2" ht="15">
      <c r="A36" s="236">
        <v>34</v>
      </c>
      <c r="B36" s="237">
        <v>1731.4190432105454</v>
      </c>
    </row>
    <row r="37" spans="1:2" ht="15">
      <c r="A37" s="238">
        <v>35</v>
      </c>
      <c r="B37" s="239">
        <v>1805.8678776482232</v>
      </c>
    </row>
    <row r="38" spans="1:2" ht="15">
      <c r="A38" s="240">
        <v>36</v>
      </c>
      <c r="B38" s="241">
        <v>1881.2040437418732</v>
      </c>
    </row>
    <row r="39" spans="1:2" ht="15">
      <c r="A39" s="242">
        <v>37</v>
      </c>
      <c r="B39" s="243">
        <v>1957.4069512973263</v>
      </c>
    </row>
    <row r="40" spans="1:2" ht="15">
      <c r="A40" s="244">
        <v>38</v>
      </c>
      <c r="B40" s="245">
        <v>2034.4567050786027</v>
      </c>
    </row>
    <row r="41" spans="1:2" ht="15">
      <c r="A41" s="246">
        <v>39</v>
      </c>
      <c r="B41" s="247">
        <v>2112.334058961284</v>
      </c>
    </row>
    <row r="42" spans="1:2" ht="15">
      <c r="A42" s="248">
        <v>40</v>
      </c>
      <c r="B42" s="249">
        <v>2191.0203741704804</v>
      </c>
    </row>
    <row r="43" spans="1:2" ht="15">
      <c r="A43" s="250">
        <v>41</v>
      </c>
      <c r="B43" s="251">
        <v>2270.4975811432701</v>
      </c>
    </row>
    <row r="44" spans="1:2" ht="15">
      <c r="A44" s="252">
        <v>42</v>
      </c>
      <c r="B44" s="253">
        <v>2350.7481446174093</v>
      </c>
    </row>
    <row r="45" spans="1:2" ht="15">
      <c r="A45" s="254">
        <v>43</v>
      </c>
      <c r="B45" s="255">
        <v>2431.7550316003271</v>
      </c>
    </row>
    <row r="46" spans="1:2" ht="15">
      <c r="A46" s="256">
        <v>44</v>
      </c>
      <c r="B46" s="257">
        <v>2513.50168191684</v>
      </c>
    </row>
    <row r="47" spans="1:2" ht="15">
      <c r="A47" s="258">
        <v>45</v>
      </c>
      <c r="B47" s="259">
        <v>2595.9719810717024</v>
      </c>
    </row>
    <row r="48" spans="1:2" ht="15">
      <c r="A48" s="260">
        <v>46</v>
      </c>
      <c r="B48" s="261">
        <v>2679.1502351954891</v>
      </c>
    </row>
    <row r="49" spans="1:2" ht="15">
      <c r="A49" s="262">
        <v>47</v>
      </c>
      <c r="B49" s="263">
        <v>2763.0211478699593</v>
      </c>
    </row>
    <row r="50" spans="1:2" ht="15">
      <c r="A50" s="264">
        <v>48</v>
      </c>
      <c r="B50" s="265">
        <v>2847.5697986529408</v>
      </c>
    </row>
    <row r="51" spans="1:2" ht="15">
      <c r="A51" s="266">
        <v>49</v>
      </c>
      <c r="B51" s="267">
        <v>2932.7816231434399</v>
      </c>
    </row>
    <row r="52" spans="1:2" ht="15">
      <c r="A52" s="268">
        <v>50</v>
      </c>
      <c r="B52" s="269">
        <v>3018.6423944455087</v>
      </c>
    </row>
    <row r="53" spans="1:2" ht="15">
      <c r="A53" s="270">
        <v>51</v>
      </c>
      <c r="B53" s="271">
        <v>3105.1382059050129</v>
      </c>
    </row>
    <row r="54" spans="1:2" ht="15">
      <c r="A54" s="272">
        <v>52</v>
      </c>
      <c r="B54" s="273">
        <v>3192.2554550069799</v>
      </c>
    </row>
    <row r="55" spans="1:2" ht="15">
      <c r="A55" s="274">
        <v>53</v>
      </c>
      <c r="B55" s="275">
        <v>3279.9808283330958</v>
      </c>
    </row>
    <row r="56" spans="1:2" ht="15">
      <c r="A56" s="276">
        <v>54</v>
      </c>
      <c r="B56" s="277">
        <v>3368.3012874893307</v>
      </c>
    </row>
    <row r="57" spans="1:2" ht="15">
      <c r="A57" s="278">
        <v>55</v>
      </c>
      <c r="B57" s="279">
        <v>3457.2040559228012</v>
      </c>
    </row>
    <row r="58" spans="1:2" ht="15">
      <c r="A58" s="280">
        <v>56</v>
      </c>
      <c r="B58" s="281">
        <v>3546.6766065550978</v>
      </c>
    </row>
    <row r="59" spans="1:2" ht="15">
      <c r="A59" s="282">
        <v>57</v>
      </c>
      <c r="B59" s="283">
        <v>3636.7066501664099</v>
      </c>
    </row>
    <row r="60" spans="1:2" ht="15">
      <c r="A60" s="284">
        <v>58</v>
      </c>
      <c r="B60" s="285">
        <v>3727.282124471099</v>
      </c>
    </row>
    <row r="61" spans="1:2" ht="15">
      <c r="A61" s="286">
        <v>59</v>
      </c>
      <c r="B61" s="287">
        <v>3818.3911838310014</v>
      </c>
    </row>
    <row r="62" spans="1:2" ht="15">
      <c r="A62" s="288">
        <v>60</v>
      </c>
      <c r="B62" s="289">
        <v>3910.0221895577065</v>
      </c>
    </row>
    <row r="63" spans="1:2" ht="15">
      <c r="A63" s="290">
        <v>61</v>
      </c>
      <c r="B63" s="291">
        <v>4002.1637007595486</v>
      </c>
    </row>
    <row r="64" spans="1:2" ht="15">
      <c r="A64" s="292">
        <v>62</v>
      </c>
      <c r="B64" s="293">
        <v>4094.8044656929687</v>
      </c>
    </row>
    <row r="65" spans="1:2" ht="15">
      <c r="A65" s="294">
        <v>63</v>
      </c>
      <c r="B65" s="295">
        <v>4187.9334135815343</v>
      </c>
    </row>
    <row r="66" spans="1:2" ht="15">
      <c r="A66" s="296">
        <v>64</v>
      </c>
      <c r="B66" s="297">
        <v>4281.5396468690078</v>
      </c>
    </row>
    <row r="67" spans="1:2" ht="15">
      <c r="A67" s="298">
        <v>65</v>
      </c>
      <c r="B67" s="299">
        <v>4375.6124338758245</v>
      </c>
    </row>
    <row r="68" spans="1:2" ht="15">
      <c r="A68" s="300">
        <v>66</v>
      </c>
      <c r="B68" s="301">
        <v>4470.1412018308092</v>
      </c>
    </row>
    <row r="69" spans="1:2" ht="15">
      <c r="A69" s="302">
        <v>67</v>
      </c>
      <c r="B69" s="303">
        <v>4565.1155302523957</v>
      </c>
    </row>
    <row r="70" spans="1:2" ht="15">
      <c r="A70" s="304">
        <v>68</v>
      </c>
      <c r="B70" s="305">
        <v>4660.5251446556294</v>
      </c>
    </row>
    <row r="71" spans="1:2" ht="15">
      <c r="A71" s="306">
        <v>69</v>
      </c>
      <c r="B71" s="307">
        <v>4756.3599105631693</v>
      </c>
    </row>
    <row r="72" spans="1:2" ht="15">
      <c r="A72" s="308">
        <v>70</v>
      </c>
      <c r="B72" s="309">
        <v>4852.6098278002182</v>
      </c>
    </row>
    <row r="73" spans="1:2" ht="15">
      <c r="A73" s="310">
        <v>71</v>
      </c>
      <c r="B73" s="311">
        <v>4949.265025054895</v>
      </c>
    </row>
    <row r="74" spans="1:2" ht="15">
      <c r="A74" s="312">
        <v>72</v>
      </c>
      <c r="B74" s="313">
        <v>5046.3157546869088</v>
      </c>
    </row>
    <row r="75" spans="1:2" ht="15">
      <c r="A75" s="314">
        <v>73</v>
      </c>
      <c r="B75" s="315">
        <v>5143.7523877687818</v>
      </c>
    </row>
    <row r="76" spans="1:2" ht="15">
      <c r="A76" s="316">
        <v>74</v>
      </c>
      <c r="B76" s="317">
        <v>5241.5654093449521</v>
      </c>
    </row>
    <row r="77" spans="1:2" ht="15">
      <c r="A77" s="318">
        <v>75</v>
      </c>
      <c r="B77" s="319">
        <v>5339.7454138952053</v>
      </c>
    </row>
    <row r="78" spans="1:2" ht="15">
      <c r="A78" s="320">
        <v>76</v>
      </c>
      <c r="B78" s="321">
        <v>5438.2831009898719</v>
      </c>
    </row>
    <row r="79" spans="1:2" ht="15">
      <c r="A79" s="322">
        <v>77</v>
      </c>
      <c r="B79" s="323">
        <v>5537.1692711250626</v>
      </c>
    </row>
    <row r="80" spans="1:2" ht="15">
      <c r="A80" s="324">
        <v>78</v>
      </c>
      <c r="B80" s="325">
        <v>5636.394821727099</v>
      </c>
    </row>
    <row r="81" spans="1:2" ht="15">
      <c r="A81" s="326">
        <v>79</v>
      </c>
      <c r="B81" s="327">
        <v>5735.9507433159988</v>
      </c>
    </row>
    <row r="82" spans="1:2" ht="15">
      <c r="A82" s="328">
        <v>80</v>
      </c>
      <c r="B82" s="329">
        <v>5835.8281158185755</v>
      </c>
    </row>
    <row r="83" spans="1:2" ht="15">
      <c r="A83" s="330">
        <v>81</v>
      </c>
      <c r="B83" s="331">
        <v>5936.0181050223682</v>
      </c>
    </row>
    <row r="84" spans="1:2" ht="15">
      <c r="A84" s="332">
        <v>82</v>
      </c>
      <c r="B84" s="333">
        <v>6036.5119591621296</v>
      </c>
    </row>
    <row r="85" spans="1:2" ht="15">
      <c r="A85" s="334">
        <v>83</v>
      </c>
      <c r="B85" s="335">
        <v>6137.3010056312305</v>
      </c>
    </row>
    <row r="86" spans="1:2" ht="15">
      <c r="A86" s="336">
        <v>84</v>
      </c>
      <c r="B86" s="337">
        <v>6238.3766478107291</v>
      </c>
    </row>
    <row r="87" spans="1:2" ht="15">
      <c r="A87" s="338">
        <v>85</v>
      </c>
      <c r="B87" s="339">
        <v>6339.7303620093771</v>
      </c>
    </row>
    <row r="88" spans="1:2" ht="15">
      <c r="A88" s="340">
        <v>86</v>
      </c>
      <c r="B88" s="341">
        <v>6441.3536945082324</v>
      </c>
    </row>
    <row r="89" spans="1:2" ht="15">
      <c r="A89" s="342">
        <v>87</v>
      </c>
      <c r="B89" s="343">
        <v>6543.2382587038965</v>
      </c>
    </row>
    <row r="90" spans="1:2" ht="15">
      <c r="A90" s="344">
        <v>88</v>
      </c>
      <c r="B90" s="345">
        <v>6645.3757323448281</v>
      </c>
    </row>
    <row r="91" spans="1:2" ht="15">
      <c r="A91" s="346">
        <v>89</v>
      </c>
      <c r="B91" s="347">
        <v>6747.7578548554275</v>
      </c>
    </row>
    <row r="92" spans="1:2" ht="15">
      <c r="A92" s="348">
        <v>90</v>
      </c>
      <c r="B92" s="349">
        <v>6850.3764247429272</v>
      </c>
    </row>
    <row r="93" spans="1:2" ht="15">
      <c r="A93" s="350">
        <v>91</v>
      </c>
      <c r="B93" s="351">
        <v>6953.2232970824489</v>
      </c>
    </row>
    <row r="94" spans="1:2" ht="15">
      <c r="A94" s="352">
        <v>92</v>
      </c>
      <c r="B94" s="353">
        <v>7056.290381075778</v>
      </c>
    </row>
    <row r="95" spans="1:2" ht="15">
      <c r="A95" s="354">
        <v>93</v>
      </c>
      <c r="B95" s="355">
        <v>7159.5696376796386</v>
      </c>
    </row>
    <row r="96" spans="1:2" ht="15">
      <c r="A96" s="356">
        <v>94</v>
      </c>
      <c r="B96" s="357">
        <v>7263.0530772995835</v>
      </c>
    </row>
    <row r="97" spans="1:2" ht="15">
      <c r="A97" s="358">
        <v>95</v>
      </c>
      <c r="B97" s="359">
        <v>7366.7327575457093</v>
      </c>
    </row>
    <row r="98" spans="1:2" ht="15">
      <c r="A98" s="360">
        <v>96</v>
      </c>
      <c r="B98" s="361">
        <v>7470.6007810466217</v>
      </c>
    </row>
    <row r="99" spans="1:2" ht="15">
      <c r="A99" s="362">
        <v>97</v>
      </c>
      <c r="B99" s="363">
        <v>7574.6492933183081</v>
      </c>
    </row>
    <row r="100" spans="1:2" ht="15">
      <c r="A100" s="364">
        <v>98</v>
      </c>
      <c r="B100" s="365">
        <v>7678.8704806846827</v>
      </c>
    </row>
    <row r="101" spans="1:2" ht="15">
      <c r="A101" s="366">
        <v>99</v>
      </c>
      <c r="B101" s="367">
        <v>7783.2565682467339</v>
      </c>
    </row>
    <row r="102" spans="1:2" ht="15">
      <c r="A102" s="368">
        <v>100</v>
      </c>
      <c r="B102" s="369">
        <v>7887.7998178973567</v>
      </c>
    </row>
    <row r="103" spans="1:2" ht="15">
      <c r="A103" s="370">
        <v>101</v>
      </c>
      <c r="B103" s="371">
        <v>7992.4925263791029</v>
      </c>
    </row>
    <row r="104" spans="1:2" ht="15">
      <c r="A104" s="372">
        <v>102</v>
      </c>
      <c r="B104" s="373">
        <v>8097.3270233821377</v>
      </c>
    </row>
    <row r="105" spans="1:2" ht="15">
      <c r="A105" s="374">
        <v>103</v>
      </c>
      <c r="B105" s="375">
        <v>8202.295669679881</v>
      </c>
    </row>
    <row r="106" spans="1:2" ht="15">
      <c r="A106" s="376">
        <v>104</v>
      </c>
      <c r="B106" s="377">
        <v>8307.3908552998837</v>
      </c>
    </row>
    <row r="107" spans="1:2" ht="15">
      <c r="A107" s="378">
        <v>105</v>
      </c>
      <c r="B107" s="379">
        <v>8412.6049977275234</v>
      </c>
    </row>
    <row r="108" spans="1:2" ht="15">
      <c r="A108" s="380">
        <v>106</v>
      </c>
      <c r="B108" s="381">
        <v>8517.9305401403581</v>
      </c>
    </row>
    <row r="109" spans="1:2" ht="15">
      <c r="A109" s="382">
        <v>107</v>
      </c>
      <c r="B109" s="383">
        <v>8623.3599496708466</v>
      </c>
    </row>
    <row r="110" spans="1:2" ht="15">
      <c r="A110" s="384">
        <v>108</v>
      </c>
      <c r="B110" s="385">
        <v>8728.8857156953818</v>
      </c>
    </row>
    <row r="111" spans="1:2" ht="15">
      <c r="A111" s="386">
        <v>109</v>
      </c>
      <c r="B111" s="387">
        <v>8834.5003481475851</v>
      </c>
    </row>
    <row r="112" spans="1:2" ht="15">
      <c r="A112" s="388">
        <v>110</v>
      </c>
      <c r="B112" s="389">
        <v>8940.1963758538841</v>
      </c>
    </row>
    <row r="113" spans="1:2" ht="15">
      <c r="A113" s="390">
        <v>111</v>
      </c>
      <c r="B113" s="391">
        <v>9045.9663448894353</v>
      </c>
    </row>
    <row r="114" spans="1:2" ht="15">
      <c r="A114" s="392">
        <v>112</v>
      </c>
      <c r="B114" s="393">
        <v>9151.8028169525405</v>
      </c>
    </row>
    <row r="115" spans="1:2" ht="15">
      <c r="A115" s="394">
        <v>113</v>
      </c>
      <c r="B115" s="395">
        <v>9257.6983677557146</v>
      </c>
    </row>
    <row r="116" spans="1:2" ht="15">
      <c r="A116" s="396">
        <v>114</v>
      </c>
      <c r="B116" s="397">
        <v>9363.6455854316664</v>
      </c>
    </row>
    <row r="117" spans="1:2" ht="15">
      <c r="A117" s="398">
        <v>115</v>
      </c>
      <c r="B117" s="399">
        <v>9469.6370689523737</v>
      </c>
    </row>
    <row r="118" spans="1:2" ht="15">
      <c r="A118" s="400">
        <v>116</v>
      </c>
      <c r="B118" s="401">
        <v>9575.6654265596117</v>
      </c>
    </row>
    <row r="119" spans="1:2" ht="15">
      <c r="A119" s="402">
        <v>117</v>
      </c>
      <c r="B119" s="403">
        <v>9681.7232742052074</v>
      </c>
    </row>
    <row r="120" spans="1:2" ht="15">
      <c r="A120" s="404">
        <v>118</v>
      </c>
      <c r="B120" s="405">
        <v>9787.8032339993988</v>
      </c>
    </row>
    <row r="121" spans="1:2" ht="15">
      <c r="A121" s="406">
        <v>119</v>
      </c>
      <c r="B121" s="407">
        <v>9893.8979326655935</v>
      </c>
    </row>
    <row r="122" spans="1:2" ht="15">
      <c r="A122" s="408">
        <v>120</v>
      </c>
      <c r="B122" s="409">
        <v>9999.9999999999982</v>
      </c>
    </row>
    <row r="123" spans="1:2" ht="15">
      <c r="A123" s="410">
        <v>121</v>
      </c>
      <c r="B123" s="411">
        <v>10106.102067334403</v>
      </c>
    </row>
    <row r="124" spans="1:2" ht="15">
      <c r="A124" s="412">
        <v>122</v>
      </c>
      <c r="B124" s="413">
        <v>10212.196766000601</v>
      </c>
    </row>
    <row r="125" spans="1:2" ht="15">
      <c r="A125" s="414">
        <v>123</v>
      </c>
      <c r="B125" s="415">
        <v>10318.276725794791</v>
      </c>
    </row>
    <row r="126" spans="1:2" ht="15">
      <c r="A126" s="416">
        <v>124</v>
      </c>
      <c r="B126" s="417">
        <v>10424.33457344039</v>
      </c>
    </row>
    <row r="127" spans="1:2" ht="15">
      <c r="A127" s="418">
        <v>125</v>
      </c>
      <c r="B127" s="419">
        <v>10530.362931047626</v>
      </c>
    </row>
    <row r="128" spans="1:2" ht="15">
      <c r="A128" s="420">
        <v>126</v>
      </c>
      <c r="B128" s="421">
        <v>10636.354414568334</v>
      </c>
    </row>
    <row r="129" spans="1:2" ht="15">
      <c r="A129" s="422">
        <v>127</v>
      </c>
      <c r="B129" s="423">
        <v>10742.301632244285</v>
      </c>
    </row>
    <row r="130" spans="1:2" ht="15">
      <c r="A130" s="424">
        <v>128</v>
      </c>
      <c r="B130" s="425">
        <v>10848.197183047461</v>
      </c>
    </row>
    <row r="131" spans="1:2" ht="15">
      <c r="A131" s="426">
        <v>129</v>
      </c>
      <c r="B131" s="427">
        <v>10954.033655110563</v>
      </c>
    </row>
    <row r="132" spans="1:2" ht="15">
      <c r="A132" s="428">
        <v>130</v>
      </c>
      <c r="B132" s="429">
        <v>11059.803624146112</v>
      </c>
    </row>
    <row r="133" spans="1:2" ht="15">
      <c r="A133" s="430">
        <v>131</v>
      </c>
      <c r="B133" s="431">
        <v>11165.499651852413</v>
      </c>
    </row>
    <row r="134" spans="1:2" ht="15">
      <c r="A134" s="432">
        <v>132</v>
      </c>
      <c r="B134" s="433">
        <v>11271.11428430462</v>
      </c>
    </row>
    <row r="135" spans="1:2" ht="15">
      <c r="A135" s="434">
        <v>133</v>
      </c>
      <c r="B135" s="435">
        <v>11376.640050329153</v>
      </c>
    </row>
    <row r="136" spans="1:2" ht="15">
      <c r="A136" s="436">
        <v>134</v>
      </c>
      <c r="B136" s="437">
        <v>11482.069459859638</v>
      </c>
    </row>
    <row r="137" spans="1:2" ht="15">
      <c r="A137" s="438">
        <v>135</v>
      </c>
      <c r="B137" s="439">
        <v>11587.395002272477</v>
      </c>
    </row>
    <row r="138" spans="1:2" ht="15">
      <c r="A138" s="440">
        <v>136</v>
      </c>
      <c r="B138" s="441">
        <v>11692.609144700116</v>
      </c>
    </row>
    <row r="139" spans="1:2" ht="15">
      <c r="A139" s="442">
        <v>137</v>
      </c>
      <c r="B139" s="443">
        <v>11797.704330320115</v>
      </c>
    </row>
    <row r="140" spans="1:2" ht="15">
      <c r="A140" s="444">
        <v>138</v>
      </c>
      <c r="B140" s="445">
        <v>11902.672976617861</v>
      </c>
    </row>
    <row r="141" spans="1:2" ht="15">
      <c r="A141" s="446">
        <v>139</v>
      </c>
      <c r="B141" s="447">
        <v>12007.507473620895</v>
      </c>
    </row>
    <row r="142" spans="1:2" ht="15">
      <c r="A142" s="448">
        <v>140</v>
      </c>
      <c r="B142" s="449">
        <v>12112.200182102641</v>
      </c>
    </row>
    <row r="143" spans="1:2" ht="15">
      <c r="A143" s="450">
        <v>141</v>
      </c>
      <c r="B143" s="451">
        <v>12216.743431753266</v>
      </c>
    </row>
    <row r="144" spans="1:2" ht="15">
      <c r="A144" s="452">
        <v>142</v>
      </c>
      <c r="B144" s="453">
        <v>12321.129519315315</v>
      </c>
    </row>
    <row r="145" spans="1:2" ht="15">
      <c r="A145" s="454">
        <v>143</v>
      </c>
      <c r="B145" s="455">
        <v>12425.350706681695</v>
      </c>
    </row>
    <row r="146" spans="1:2" ht="15">
      <c r="A146" s="456">
        <v>144</v>
      </c>
      <c r="B146" s="457">
        <v>12529.39921895338</v>
      </c>
    </row>
    <row r="147" spans="1:2" ht="15">
      <c r="A147" s="458">
        <v>145</v>
      </c>
      <c r="B147" s="459">
        <v>12633.267242454291</v>
      </c>
    </row>
    <row r="148" spans="1:2" ht="15">
      <c r="A148" s="460">
        <v>146</v>
      </c>
      <c r="B148" s="461">
        <v>12736.946922700414</v>
      </c>
    </row>
    <row r="149" spans="1:2" ht="15">
      <c r="A149" s="462">
        <v>147</v>
      </c>
      <c r="B149" s="463">
        <v>12840.43036232036</v>
      </c>
    </row>
    <row r="150" spans="1:2" ht="15">
      <c r="A150" s="464">
        <v>148</v>
      </c>
      <c r="B150" s="465">
        <v>12943.70961892422</v>
      </c>
    </row>
    <row r="151" spans="1:2" ht="15">
      <c r="A151" s="466">
        <v>149</v>
      </c>
      <c r="B151" s="467">
        <v>13046.77670291755</v>
      </c>
    </row>
    <row r="152" spans="1:2" ht="15">
      <c r="A152" s="468">
        <v>150</v>
      </c>
      <c r="B152" s="469">
        <v>13149.623575257076</v>
      </c>
    </row>
    <row r="153" spans="1:2" ht="15">
      <c r="A153" s="470">
        <v>151</v>
      </c>
      <c r="B153" s="471">
        <v>13252.242145144573</v>
      </c>
    </row>
    <row r="154" spans="1:2" ht="15">
      <c r="A154" s="472">
        <v>152</v>
      </c>
      <c r="B154" s="473">
        <v>13354.62426765517</v>
      </c>
    </row>
    <row r="155" spans="1:2" ht="15">
      <c r="A155" s="474">
        <v>153</v>
      </c>
      <c r="B155" s="475">
        <v>13456.761741296103</v>
      </c>
    </row>
    <row r="156" spans="1:2" ht="15">
      <c r="A156" s="476">
        <v>154</v>
      </c>
      <c r="B156" s="477">
        <v>13558.646305491769</v>
      </c>
    </row>
    <row r="157" spans="1:2" ht="15">
      <c r="A157" s="478">
        <v>155</v>
      </c>
      <c r="B157" s="479">
        <v>13660.269637990623</v>
      </c>
    </row>
    <row r="158" spans="1:2" ht="15">
      <c r="A158" s="480">
        <v>156</v>
      </c>
      <c r="B158" s="481">
        <v>13761.62335218927</v>
      </c>
    </row>
    <row r="159" spans="1:2" ht="15">
      <c r="A159" s="482">
        <v>157</v>
      </c>
      <c r="B159" s="483">
        <v>13862.698994368768</v>
      </c>
    </row>
    <row r="160" spans="1:2" ht="15">
      <c r="A160" s="484">
        <v>158</v>
      </c>
      <c r="B160" s="485">
        <v>13963.48804083787</v>
      </c>
    </row>
    <row r="161" spans="1:2" ht="15">
      <c r="A161" s="486">
        <v>159</v>
      </c>
      <c r="B161" s="487">
        <v>14063.981894977631</v>
      </c>
    </row>
    <row r="162" spans="1:2" ht="15">
      <c r="A162" s="488">
        <v>160</v>
      </c>
      <c r="B162" s="489">
        <v>14164.171884181424</v>
      </c>
    </row>
    <row r="163" spans="1:2" ht="15">
      <c r="A163" s="490">
        <v>161</v>
      </c>
      <c r="B163" s="491">
        <v>14264.049256684</v>
      </c>
    </row>
    <row r="164" spans="1:2" ht="15">
      <c r="A164" s="492">
        <v>162</v>
      </c>
      <c r="B164" s="493">
        <v>14363.605178272899</v>
      </c>
    </row>
    <row r="165" spans="1:2" ht="15">
      <c r="A165" s="494">
        <v>163</v>
      </c>
      <c r="B165" s="495">
        <v>14462.830728874937</v>
      </c>
    </row>
    <row r="166" spans="1:2" ht="15">
      <c r="A166" s="496">
        <v>164</v>
      </c>
      <c r="B166" s="497">
        <v>14561.716899010125</v>
      </c>
    </row>
    <row r="167" spans="1:2" ht="15">
      <c r="A167" s="498">
        <v>165</v>
      </c>
      <c r="B167" s="499">
        <v>14660.254586104793</v>
      </c>
    </row>
    <row r="168" spans="1:2" ht="15">
      <c r="A168" s="500">
        <v>166</v>
      </c>
      <c r="B168" s="501">
        <v>14758.434590655046</v>
      </c>
    </row>
    <row r="169" spans="1:2" ht="15">
      <c r="A169" s="502">
        <v>167</v>
      </c>
      <c r="B169" s="503">
        <v>14856.247612231218</v>
      </c>
    </row>
    <row r="170" spans="1:2" ht="15">
      <c r="A170" s="504">
        <v>168</v>
      </c>
      <c r="B170" s="505">
        <v>14953.68424531309</v>
      </c>
    </row>
    <row r="171" spans="1:2" ht="15">
      <c r="A171" s="506">
        <v>169</v>
      </c>
      <c r="B171" s="507">
        <v>15050.734974945102</v>
      </c>
    </row>
    <row r="172" spans="1:2" ht="15">
      <c r="A172" s="508">
        <v>170</v>
      </c>
      <c r="B172" s="509">
        <v>15147.390172199779</v>
      </c>
    </row>
    <row r="173" spans="1:2" ht="15">
      <c r="A173" s="510">
        <v>171</v>
      </c>
      <c r="B173" s="511">
        <v>15243.640089436831</v>
      </c>
    </row>
    <row r="174" spans="1:2" ht="15">
      <c r="A174" s="512">
        <v>172</v>
      </c>
      <c r="B174" s="513">
        <v>15339.47485534437</v>
      </c>
    </row>
    <row r="175" spans="1:2" ht="15">
      <c r="A175" s="514">
        <v>173</v>
      </c>
      <c r="B175" s="515">
        <v>15434.884469747602</v>
      </c>
    </row>
    <row r="176" spans="1:2" ht="15">
      <c r="A176" s="516">
        <v>174</v>
      </c>
      <c r="B176" s="517">
        <v>15529.858798169191</v>
      </c>
    </row>
    <row r="177" spans="1:2" ht="15">
      <c r="A177" s="518">
        <v>175</v>
      </c>
      <c r="B177" s="519">
        <v>15624.387566124176</v>
      </c>
    </row>
    <row r="178" spans="1:2" ht="15">
      <c r="A178" s="520">
        <v>176</v>
      </c>
      <c r="B178" s="521">
        <v>15718.460353130993</v>
      </c>
    </row>
    <row r="179" spans="1:2" ht="15">
      <c r="A179" s="522">
        <v>177</v>
      </c>
      <c r="B179" s="523">
        <v>15812.066586418465</v>
      </c>
    </row>
    <row r="180" spans="1:2" ht="15">
      <c r="A180" s="524">
        <v>178</v>
      </c>
      <c r="B180" s="525">
        <v>15905.195534307033</v>
      </c>
    </row>
    <row r="181" spans="1:2" ht="15">
      <c r="A181" s="526">
        <v>179</v>
      </c>
      <c r="B181" s="527">
        <v>15997.836299240453</v>
      </c>
    </row>
    <row r="182" spans="1:2" ht="15">
      <c r="A182" s="528">
        <v>180</v>
      </c>
      <c r="B182" s="529">
        <v>16089.977810442297</v>
      </c>
    </row>
    <row r="183" spans="1:2" ht="15">
      <c r="A183" s="530">
        <v>181</v>
      </c>
      <c r="B183" s="531">
        <v>16181.608816168997</v>
      </c>
    </row>
    <row r="184" spans="1:2" ht="15">
      <c r="A184" s="532">
        <v>182</v>
      </c>
      <c r="B184" s="533">
        <v>16272.717875528902</v>
      </c>
    </row>
    <row r="185" spans="1:2" ht="15">
      <c r="A185" s="534">
        <v>183</v>
      </c>
      <c r="B185" s="535">
        <v>16363.29334983359</v>
      </c>
    </row>
    <row r="186" spans="1:2" ht="15">
      <c r="A186" s="536">
        <v>184</v>
      </c>
      <c r="B186" s="537">
        <v>16453.323393444902</v>
      </c>
    </row>
    <row r="187" spans="1:2" ht="15">
      <c r="A187" s="538">
        <v>185</v>
      </c>
      <c r="B187" s="539">
        <v>16542.795944077199</v>
      </c>
    </row>
    <row r="188" spans="1:2" ht="15">
      <c r="A188" s="540">
        <v>186</v>
      </c>
      <c r="B188" s="541">
        <v>16631.698712510664</v>
      </c>
    </row>
    <row r="189" spans="1:2" ht="15">
      <c r="A189" s="542">
        <v>187</v>
      </c>
      <c r="B189" s="543">
        <v>16720.0191716669</v>
      </c>
    </row>
    <row r="190" spans="1:2" ht="15">
      <c r="A190" s="544">
        <v>188</v>
      </c>
      <c r="B190" s="545">
        <v>16807.74454499302</v>
      </c>
    </row>
    <row r="191" spans="1:2" ht="15">
      <c r="A191" s="546">
        <v>189</v>
      </c>
      <c r="B191" s="547">
        <v>16894.861794094988</v>
      </c>
    </row>
    <row r="192" spans="1:2" ht="15">
      <c r="A192" s="548">
        <v>190</v>
      </c>
      <c r="B192" s="549">
        <v>16981.357605554491</v>
      </c>
    </row>
    <row r="193" spans="1:2" ht="15">
      <c r="A193" s="550">
        <v>191</v>
      </c>
      <c r="B193" s="551">
        <v>17067.218376856559</v>
      </c>
    </row>
    <row r="194" spans="1:2" ht="15">
      <c r="A194" s="552">
        <v>192</v>
      </c>
      <c r="B194" s="553">
        <v>17152.430201347059</v>
      </c>
    </row>
    <row r="195" spans="1:2" ht="15">
      <c r="A195" s="554">
        <v>193</v>
      </c>
      <c r="B195" s="555">
        <v>17236.97885213004</v>
      </c>
    </row>
    <row r="196" spans="1:2" ht="15">
      <c r="A196" s="556">
        <v>194</v>
      </c>
      <c r="B196" s="557">
        <v>17320.849764804509</v>
      </c>
    </row>
    <row r="197" spans="1:2" ht="15">
      <c r="A197" s="558">
        <v>195</v>
      </c>
      <c r="B197" s="559">
        <v>17404.028018928297</v>
      </c>
    </row>
    <row r="198" spans="1:2" ht="15">
      <c r="A198" s="560">
        <v>196</v>
      </c>
      <c r="B198" s="561">
        <v>17486.498318083159</v>
      </c>
    </row>
    <row r="199" spans="1:2" ht="15">
      <c r="A199" s="562">
        <v>197</v>
      </c>
      <c r="B199" s="563">
        <v>17568.244968399671</v>
      </c>
    </row>
    <row r="200" spans="1:2" ht="15">
      <c r="A200" s="564">
        <v>198</v>
      </c>
      <c r="B200" s="565">
        <v>17649.25185538259</v>
      </c>
    </row>
    <row r="201" spans="1:2" ht="15">
      <c r="A201" s="566">
        <v>199</v>
      </c>
      <c r="B201" s="567">
        <v>17729.502418856729</v>
      </c>
    </row>
    <row r="202" spans="1:2" ht="15">
      <c r="A202" s="568">
        <v>200</v>
      </c>
      <c r="B202" s="569">
        <v>17808.979625829521</v>
      </c>
    </row>
    <row r="203" spans="1:2" ht="15">
      <c r="A203" s="570">
        <v>201</v>
      </c>
      <c r="B203" s="571">
        <v>17887.665941038715</v>
      </c>
    </row>
    <row r="204" spans="1:2" ht="15">
      <c r="A204" s="572">
        <v>202</v>
      </c>
      <c r="B204" s="573">
        <v>17965.543294921397</v>
      </c>
    </row>
    <row r="205" spans="1:2" ht="15">
      <c r="A205" s="574">
        <v>203</v>
      </c>
      <c r="B205" s="575">
        <v>18042.593048702671</v>
      </c>
    </row>
    <row r="206" spans="1:2" ht="15">
      <c r="A206" s="576">
        <v>204</v>
      </c>
      <c r="B206" s="577">
        <v>18118.795956258131</v>
      </c>
    </row>
    <row r="207" spans="1:2" ht="15">
      <c r="A207" s="578">
        <v>205</v>
      </c>
      <c r="B207" s="579">
        <v>18194.132122351777</v>
      </c>
    </row>
    <row r="208" spans="1:2" ht="15">
      <c r="A208" s="580">
        <v>206</v>
      </c>
      <c r="B208" s="581">
        <v>18268.580956789454</v>
      </c>
    </row>
    <row r="209" spans="1:2" ht="15">
      <c r="A209" s="582">
        <v>207</v>
      </c>
      <c r="B209" s="583">
        <v>18342.121123953857</v>
      </c>
    </row>
    <row r="210" spans="1:2" ht="15">
      <c r="A210" s="584">
        <v>208</v>
      </c>
      <c r="B210" s="585">
        <v>18414.730487099569</v>
      </c>
    </row>
    <row r="211" spans="1:2" ht="15">
      <c r="A211" s="586">
        <v>209</v>
      </c>
      <c r="B211" s="587">
        <v>18486.386046680702</v>
      </c>
    </row>
    <row r="212" spans="1:2" ht="15">
      <c r="A212" s="588">
        <v>210</v>
      </c>
      <c r="B212" s="589">
        <v>18557.063871856124</v>
      </c>
    </row>
    <row r="213" spans="1:2" ht="15">
      <c r="A213" s="590">
        <v>211</v>
      </c>
      <c r="B213" s="591">
        <v>18626.739024162322</v>
      </c>
    </row>
    <row r="214" spans="1:2" ht="15">
      <c r="A214" s="592">
        <v>212</v>
      </c>
      <c r="B214" s="593">
        <v>18695.385472154478</v>
      </c>
    </row>
    <row r="215" spans="1:2" ht="15">
      <c r="A215" s="594">
        <v>213</v>
      </c>
      <c r="B215" s="595">
        <v>18762.975995583514</v>
      </c>
    </row>
    <row r="216" spans="1:2" ht="15">
      <c r="A216" s="596">
        <v>214</v>
      </c>
      <c r="B216" s="597">
        <v>18829.482077388209</v>
      </c>
    </row>
    <row r="217" spans="1:2" ht="15">
      <c r="A217" s="598">
        <v>215</v>
      </c>
      <c r="B217" s="599">
        <v>18894.873781422059</v>
      </c>
    </row>
    <row r="218" spans="1:2" ht="15">
      <c r="A218" s="600">
        <v>216</v>
      </c>
      <c r="B218" s="601">
        <v>18959.119613381717</v>
      </c>
    </row>
    <row r="219" spans="1:2" ht="15">
      <c r="A219" s="602">
        <v>217</v>
      </c>
      <c r="B219" s="603">
        <v>19022.186361830616</v>
      </c>
    </row>
    <row r="220" spans="1:2" ht="15">
      <c r="A220" s="604">
        <v>218</v>
      </c>
      <c r="B220" s="605">
        <v>19084.0389154771</v>
      </c>
    </row>
    <row r="221" spans="1:2" ht="15">
      <c r="A221" s="606">
        <v>219</v>
      </c>
      <c r="B221" s="607">
        <v>19144.640051918199</v>
      </c>
    </row>
    <row r="222" spans="1:2" ht="15">
      <c r="A222" s="608">
        <v>220</v>
      </c>
      <c r="B222" s="609">
        <v>19203.950191820935</v>
      </c>
    </row>
    <row r="223" spans="1:2" ht="15">
      <c r="A223" s="610">
        <v>221</v>
      </c>
      <c r="B223" s="611">
        <v>19261.927110876659</v>
      </c>
    </row>
    <row r="224" spans="1:2" ht="15">
      <c r="A224" s="612">
        <v>222</v>
      </c>
      <c r="B224" s="613">
        <v>19318.525599673067</v>
      </c>
    </row>
    <row r="225" spans="1:2" ht="15">
      <c r="A225" s="614">
        <v>223</v>
      </c>
      <c r="B225" s="615">
        <v>19373.697058656751</v>
      </c>
    </row>
    <row r="226" spans="1:2" ht="15">
      <c r="A226" s="616">
        <v>224</v>
      </c>
      <c r="B226" s="617">
        <v>19427.389011264335</v>
      </c>
    </row>
    <row r="227" spans="1:2" ht="15">
      <c r="A227" s="618">
        <v>225</v>
      </c>
      <c r="B227" s="619">
        <v>19479.544512562414</v>
      </c>
    </row>
    <row r="228" spans="1:2" ht="15">
      <c r="A228" s="620">
        <v>226</v>
      </c>
      <c r="B228" s="621">
        <v>19530.10142254438</v>
      </c>
    </row>
    <row r="229" spans="1:2" ht="15">
      <c r="A229" s="622">
        <v>227</v>
      </c>
      <c r="B229" s="623">
        <v>19578.991501285178</v>
      </c>
    </row>
    <row r="230" spans="1:2" ht="15">
      <c r="A230" s="624">
        <v>228</v>
      </c>
      <c r="B230" s="625">
        <v>19626.139265315014</v>
      </c>
    </row>
    <row r="231" spans="1:2" ht="15">
      <c r="A231" s="626">
        <v>229</v>
      </c>
      <c r="B231" s="627">
        <v>19671.460517201496</v>
      </c>
    </row>
    <row r="232" spans="1:2" ht="15">
      <c r="A232" s="628">
        <v>230</v>
      </c>
      <c r="B232" s="629">
        <v>19714.860417011721</v>
      </c>
    </row>
    <row r="233" spans="1:2" ht="15">
      <c r="A233" s="630">
        <v>231</v>
      </c>
      <c r="B233" s="631">
        <v>19756.230893254738</v>
      </c>
    </row>
    <row r="234" spans="1:2" ht="15">
      <c r="A234" s="632">
        <v>232</v>
      </c>
      <c r="B234" s="633">
        <v>19795.447069254453</v>
      </c>
    </row>
    <row r="235" spans="1:2" ht="15">
      <c r="A235" s="634">
        <v>233</v>
      </c>
      <c r="B235" s="635">
        <v>19832.362161860648</v>
      </c>
    </row>
    <row r="236" spans="1:2" ht="15">
      <c r="A236" s="636">
        <v>234</v>
      </c>
      <c r="B236" s="637">
        <v>19866.799889898586</v>
      </c>
    </row>
    <row r="237" spans="1:2" ht="15">
      <c r="A237" s="638">
        <v>235</v>
      </c>
      <c r="B237" s="639">
        <v>19898.542561920662</v>
      </c>
    </row>
    <row r="238" spans="1:2" ht="15">
      <c r="A238" s="640">
        <v>236</v>
      </c>
      <c r="B238" s="641">
        <v>19927.311029429133</v>
      </c>
    </row>
    <row r="239" spans="1:2" ht="15">
      <c r="A239" s="642">
        <v>237</v>
      </c>
      <c r="B239" s="643">
        <v>19952.72750354018</v>
      </c>
    </row>
    <row r="240" spans="1:2" ht="15">
      <c r="A240" s="644">
        <v>238</v>
      </c>
      <c r="B240" s="645">
        <v>19974.235705117084</v>
      </c>
    </row>
    <row r="241" spans="1:2" ht="15">
      <c r="A241" s="646">
        <v>239</v>
      </c>
      <c r="B241" s="647">
        <v>19990.879505714329</v>
      </c>
    </row>
    <row r="242" spans="1:2" ht="15">
      <c r="A242" s="648">
        <v>240</v>
      </c>
      <c r="B242" s="649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Bitácora de Tanque</vt:lpstr>
      <vt:lpstr>Tabla de Cubicación</vt:lpstr>
      <vt:lpstr>'Bitácora de Tanque'!Área_de_impresión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GRUPO TRUJANO 03</cp:lastModifiedBy>
  <dcterms:modified xsi:type="dcterms:W3CDTF">2026-06-19T22:25:30Z</dcterms:modified>
</cp:coreProperties>
</file>