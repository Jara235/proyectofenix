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2bd38c19ee70afa/Escritorio/Proyecto fenix/"/>
    </mc:Choice>
  </mc:AlternateContent>
  <xr:revisionPtr revIDLastSave="875" documentId="8_{C8FEC6AC-F1AA-4090-9629-EF28AB89140C}" xr6:coauthVersionLast="47" xr6:coauthVersionMax="47" xr10:uidLastSave="{E9A74F34-E012-4C17-A6E8-7461A301DC28}"/>
  <bookViews>
    <workbookView xWindow="-108" yWindow="-108" windowWidth="23256" windowHeight="12456" activeTab="1" xr2:uid="{00000000-000D-0000-FFFF-FFFF00000000}"/>
  </bookViews>
  <sheets>
    <sheet name="Dashboard" sheetId="1" r:id="rId1"/>
    <sheet name="Dashboard_Ejecutivo" sheetId="11" r:id="rId2"/>
    <sheet name="Captura_Pegaso" sheetId="2" r:id="rId3"/>
    <sheet name="Captura_Marimba_M01" sheetId="3" r:id="rId4"/>
    <sheet name="Solicitudes" sheetId="10" r:id="rId5"/>
    <sheet name="Captura_Obra" sheetId="4" r:id="rId6"/>
    <sheet name="Conciliacion" sheetId="5" r:id="rId7"/>
    <sheet name="Catalogos" sheetId="6" r:id="rId8"/>
    <sheet name="Formatos_Fisicos" sheetId="7" r:id="rId9"/>
    <sheet name="Instrucciones" sheetId="8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0" i="11" l="1"/>
  <c r="C18" i="5"/>
  <c r="C19" i="5"/>
  <c r="C20" i="5"/>
  <c r="B18" i="5"/>
  <c r="B19" i="5"/>
  <c r="B20" i="5"/>
  <c r="M14" i="4"/>
  <c r="N43" i="3"/>
  <c r="K8" i="2"/>
  <c r="K9" i="2"/>
  <c r="I8" i="2"/>
  <c r="I6" i="2"/>
  <c r="F9" i="2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F8" i="2"/>
  <c r="E45" i="10"/>
  <c r="H45" i="10"/>
  <c r="I45" i="10"/>
  <c r="E15" i="10"/>
  <c r="H15" i="10"/>
  <c r="I15" i="10"/>
  <c r="I5" i="10"/>
  <c r="I6" i="10"/>
  <c r="I7" i="10"/>
  <c r="I8" i="10"/>
  <c r="I9" i="10"/>
  <c r="I10" i="10"/>
  <c r="I11" i="10"/>
  <c r="I12" i="10"/>
  <c r="I13" i="10"/>
  <c r="I14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274" i="10"/>
  <c r="I275" i="10"/>
  <c r="I276" i="10"/>
  <c r="I277" i="10"/>
  <c r="I278" i="10"/>
  <c r="I279" i="10"/>
  <c r="I280" i="10"/>
  <c r="I281" i="10"/>
  <c r="I282" i="10"/>
  <c r="I283" i="10"/>
  <c r="I284" i="10"/>
  <c r="I285" i="10"/>
  <c r="I286" i="10"/>
  <c r="I287" i="10"/>
  <c r="I288" i="10"/>
  <c r="I289" i="10"/>
  <c r="I290" i="10"/>
  <c r="I291" i="10"/>
  <c r="I292" i="10"/>
  <c r="I293" i="10"/>
  <c r="I294" i="10"/>
  <c r="I295" i="10"/>
  <c r="I296" i="10"/>
  <c r="I297" i="10"/>
  <c r="I298" i="10"/>
  <c r="I299" i="10"/>
  <c r="I300" i="10"/>
  <c r="I301" i="10"/>
  <c r="I302" i="10"/>
  <c r="I303" i="10"/>
  <c r="I304" i="10"/>
  <c r="I305" i="10"/>
  <c r="I306" i="10"/>
  <c r="F5" i="2"/>
  <c r="F6" i="2"/>
  <c r="F7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E32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5" i="10"/>
  <c r="E6" i="10"/>
  <c r="E7" i="10"/>
  <c r="E8" i="10"/>
  <c r="E9" i="10"/>
  <c r="E10" i="10"/>
  <c r="E11" i="10"/>
  <c r="E12" i="10"/>
  <c r="E13" i="10"/>
  <c r="E14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H306" i="10"/>
  <c r="H305" i="10"/>
  <c r="H304" i="10"/>
  <c r="H303" i="10"/>
  <c r="H302" i="10"/>
  <c r="H301" i="10"/>
  <c r="H300" i="10"/>
  <c r="H299" i="10"/>
  <c r="H298" i="10"/>
  <c r="H297" i="10"/>
  <c r="H296" i="10"/>
  <c r="H295" i="10"/>
  <c r="H294" i="10"/>
  <c r="H293" i="10"/>
  <c r="H292" i="10"/>
  <c r="H291" i="10"/>
  <c r="H290" i="10"/>
  <c r="H289" i="10"/>
  <c r="H288" i="10"/>
  <c r="H287" i="10"/>
  <c r="H286" i="10"/>
  <c r="H285" i="10"/>
  <c r="H284" i="10"/>
  <c r="H283" i="10"/>
  <c r="H282" i="10"/>
  <c r="H281" i="10"/>
  <c r="H280" i="10"/>
  <c r="H279" i="10"/>
  <c r="H278" i="10"/>
  <c r="H277" i="10"/>
  <c r="H276" i="10"/>
  <c r="H275" i="10"/>
  <c r="H274" i="10"/>
  <c r="H273" i="10"/>
  <c r="H272" i="10"/>
  <c r="H271" i="10"/>
  <c r="H270" i="10"/>
  <c r="H269" i="10"/>
  <c r="H268" i="10"/>
  <c r="H267" i="10"/>
  <c r="H266" i="10"/>
  <c r="H265" i="10"/>
  <c r="H264" i="10"/>
  <c r="H263" i="10"/>
  <c r="H262" i="10"/>
  <c r="H261" i="10"/>
  <c r="H260" i="10"/>
  <c r="H259" i="10"/>
  <c r="H258" i="10"/>
  <c r="H257" i="10"/>
  <c r="H256" i="10"/>
  <c r="H255" i="10"/>
  <c r="H254" i="10"/>
  <c r="H253" i="10"/>
  <c r="H252" i="10"/>
  <c r="H251" i="10"/>
  <c r="H250" i="10"/>
  <c r="H249" i="10"/>
  <c r="H248" i="10"/>
  <c r="H247" i="10"/>
  <c r="H246" i="10"/>
  <c r="H245" i="10"/>
  <c r="H244" i="10"/>
  <c r="H243" i="10"/>
  <c r="H242" i="10"/>
  <c r="H241" i="10"/>
  <c r="H240" i="10"/>
  <c r="H239" i="10"/>
  <c r="H238" i="10"/>
  <c r="H237" i="10"/>
  <c r="H236" i="10"/>
  <c r="H235" i="10"/>
  <c r="H234" i="10"/>
  <c r="H233" i="10"/>
  <c r="H232" i="10"/>
  <c r="H231" i="10"/>
  <c r="H230" i="10"/>
  <c r="H229" i="10"/>
  <c r="H228" i="10"/>
  <c r="H227" i="10"/>
  <c r="H226" i="10"/>
  <c r="H225" i="10"/>
  <c r="H224" i="10"/>
  <c r="H223" i="10"/>
  <c r="H222" i="10"/>
  <c r="H221" i="10"/>
  <c r="H220" i="10"/>
  <c r="H219" i="10"/>
  <c r="H218" i="10"/>
  <c r="H217" i="10"/>
  <c r="H216" i="10"/>
  <c r="H215" i="10"/>
  <c r="H214" i="10"/>
  <c r="H213" i="10"/>
  <c r="H212" i="10"/>
  <c r="H211" i="10"/>
  <c r="H210" i="10"/>
  <c r="H209" i="10"/>
  <c r="H208" i="10"/>
  <c r="H207" i="10"/>
  <c r="H206" i="10"/>
  <c r="H205" i="10"/>
  <c r="H204" i="10"/>
  <c r="H203" i="10"/>
  <c r="H202" i="10"/>
  <c r="H201" i="10"/>
  <c r="H200" i="10"/>
  <c r="H199" i="10"/>
  <c r="H198" i="10"/>
  <c r="H197" i="10"/>
  <c r="H196" i="10"/>
  <c r="H195" i="10"/>
  <c r="H194" i="10"/>
  <c r="H193" i="10"/>
  <c r="H192" i="10"/>
  <c r="H191" i="10"/>
  <c r="H190" i="10"/>
  <c r="H189" i="10"/>
  <c r="H188" i="10"/>
  <c r="H187" i="10"/>
  <c r="H186" i="10"/>
  <c r="H185" i="10"/>
  <c r="H184" i="10"/>
  <c r="H183" i="10"/>
  <c r="H182" i="10"/>
  <c r="H181" i="10"/>
  <c r="H180" i="10"/>
  <c r="H179" i="10"/>
  <c r="H178" i="10"/>
  <c r="H177" i="10"/>
  <c r="H176" i="10"/>
  <c r="H175" i="10"/>
  <c r="H174" i="10"/>
  <c r="H173" i="10"/>
  <c r="H172" i="10"/>
  <c r="H171" i="10"/>
  <c r="H170" i="10"/>
  <c r="H169" i="10"/>
  <c r="H168" i="10"/>
  <c r="H167" i="10"/>
  <c r="H166" i="10"/>
  <c r="H165" i="10"/>
  <c r="H164" i="10"/>
  <c r="H163" i="10"/>
  <c r="H162" i="10"/>
  <c r="H161" i="10"/>
  <c r="H160" i="10"/>
  <c r="H159" i="10"/>
  <c r="H158" i="10"/>
  <c r="H157" i="10"/>
  <c r="H156" i="10"/>
  <c r="H155" i="10"/>
  <c r="H154" i="10"/>
  <c r="H153" i="10"/>
  <c r="H152" i="10"/>
  <c r="H151" i="10"/>
  <c r="H150" i="10"/>
  <c r="H149" i="10"/>
  <c r="H148" i="10"/>
  <c r="H147" i="10"/>
  <c r="H146" i="10"/>
  <c r="H145" i="10"/>
  <c r="H144" i="10"/>
  <c r="H143" i="10"/>
  <c r="H142" i="10"/>
  <c r="H141" i="10"/>
  <c r="H140" i="10"/>
  <c r="H139" i="10"/>
  <c r="H138" i="10"/>
  <c r="H137" i="10"/>
  <c r="H136" i="10"/>
  <c r="H135" i="10"/>
  <c r="H134" i="10"/>
  <c r="H133" i="10"/>
  <c r="H132" i="10"/>
  <c r="H131" i="10"/>
  <c r="H130" i="10"/>
  <c r="H129" i="10"/>
  <c r="H128" i="10"/>
  <c r="H127" i="10"/>
  <c r="H126" i="10"/>
  <c r="H125" i="10"/>
  <c r="H124" i="10"/>
  <c r="H123" i="10"/>
  <c r="H122" i="10"/>
  <c r="H121" i="10"/>
  <c r="H120" i="10"/>
  <c r="H119" i="10"/>
  <c r="H118" i="10"/>
  <c r="H117" i="10"/>
  <c r="H116" i="10"/>
  <c r="H115" i="10"/>
  <c r="H114" i="10"/>
  <c r="H113" i="10"/>
  <c r="H112" i="10"/>
  <c r="H111" i="10"/>
  <c r="H110" i="10"/>
  <c r="H109" i="10"/>
  <c r="H108" i="10"/>
  <c r="H107" i="10"/>
  <c r="H106" i="10"/>
  <c r="H105" i="10"/>
  <c r="H104" i="10"/>
  <c r="H103" i="10"/>
  <c r="H102" i="10"/>
  <c r="H101" i="10"/>
  <c r="H100" i="10"/>
  <c r="H99" i="10"/>
  <c r="H98" i="10"/>
  <c r="H97" i="10"/>
  <c r="H96" i="10"/>
  <c r="H95" i="10"/>
  <c r="H94" i="10"/>
  <c r="H93" i="10"/>
  <c r="H92" i="10"/>
  <c r="H91" i="10"/>
  <c r="H90" i="10"/>
  <c r="H89" i="10"/>
  <c r="H88" i="10"/>
  <c r="H87" i="10"/>
  <c r="H86" i="10"/>
  <c r="H85" i="10"/>
  <c r="H84" i="10"/>
  <c r="H83" i="10"/>
  <c r="H82" i="10"/>
  <c r="H81" i="10"/>
  <c r="H80" i="10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4" i="10"/>
  <c r="H13" i="10"/>
  <c r="H12" i="10"/>
  <c r="H11" i="10"/>
  <c r="H10" i="10"/>
  <c r="H9" i="10"/>
  <c r="H8" i="10"/>
  <c r="H7" i="10"/>
  <c r="H6" i="10"/>
  <c r="H5" i="10"/>
  <c r="I5" i="2"/>
  <c r="B17" i="5"/>
  <c r="B16" i="5"/>
  <c r="E5" i="1" s="1"/>
  <c r="B15" i="5"/>
  <c r="B9" i="5"/>
  <c r="B7" i="1" s="1"/>
  <c r="B8" i="5"/>
  <c r="B6" i="1" s="1"/>
  <c r="B7" i="5"/>
  <c r="B6" i="5"/>
  <c r="B5" i="5"/>
  <c r="B4" i="5"/>
  <c r="B4" i="1" s="1"/>
  <c r="H304" i="4"/>
  <c r="H303" i="4"/>
  <c r="H302" i="4"/>
  <c r="H301" i="4"/>
  <c r="H300" i="4"/>
  <c r="H299" i="4"/>
  <c r="H298" i="4"/>
  <c r="H297" i="4"/>
  <c r="H296" i="4"/>
  <c r="H295" i="4"/>
  <c r="H294" i="4"/>
  <c r="H293" i="4"/>
  <c r="H292" i="4"/>
  <c r="H291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C17" i="5" s="1"/>
  <c r="F6" i="1" s="1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H5" i="3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H69" i="3" s="1"/>
  <c r="H70" i="3" s="1"/>
  <c r="H71" i="3" s="1"/>
  <c r="H72" i="3" s="1"/>
  <c r="H73" i="3" s="1"/>
  <c r="H74" i="3" s="1"/>
  <c r="H75" i="3" s="1"/>
  <c r="H76" i="3" s="1"/>
  <c r="H77" i="3" s="1"/>
  <c r="H78" i="3" s="1"/>
  <c r="H79" i="3" s="1"/>
  <c r="H80" i="3" s="1"/>
  <c r="H81" i="3" s="1"/>
  <c r="H82" i="3" s="1"/>
  <c r="H83" i="3" s="1"/>
  <c r="H84" i="3" s="1"/>
  <c r="H85" i="3" s="1"/>
  <c r="H86" i="3" s="1"/>
  <c r="H87" i="3" s="1"/>
  <c r="H88" i="3" s="1"/>
  <c r="H89" i="3" s="1"/>
  <c r="H90" i="3" s="1"/>
  <c r="H91" i="3" s="1"/>
  <c r="H92" i="3" s="1"/>
  <c r="H93" i="3" s="1"/>
  <c r="H94" i="3" s="1"/>
  <c r="H95" i="3" s="1"/>
  <c r="H96" i="3" s="1"/>
  <c r="H97" i="3" s="1"/>
  <c r="H98" i="3" s="1"/>
  <c r="H99" i="3" s="1"/>
  <c r="H100" i="3" s="1"/>
  <c r="H101" i="3" s="1"/>
  <c r="H102" i="3" s="1"/>
  <c r="H103" i="3" s="1"/>
  <c r="H104" i="3" s="1"/>
  <c r="H105" i="3" s="1"/>
  <c r="H106" i="3" s="1"/>
  <c r="H107" i="3" s="1"/>
  <c r="H108" i="3" s="1"/>
  <c r="H109" i="3" s="1"/>
  <c r="H110" i="3" s="1"/>
  <c r="H111" i="3" s="1"/>
  <c r="H112" i="3" s="1"/>
  <c r="H113" i="3" s="1"/>
  <c r="H114" i="3" s="1"/>
  <c r="H115" i="3" s="1"/>
  <c r="H116" i="3" s="1"/>
  <c r="H117" i="3" s="1"/>
  <c r="H118" i="3" s="1"/>
  <c r="H119" i="3" s="1"/>
  <c r="H120" i="3" s="1"/>
  <c r="H121" i="3" s="1"/>
  <c r="H122" i="3" s="1"/>
  <c r="H123" i="3" s="1"/>
  <c r="H124" i="3" s="1"/>
  <c r="H125" i="3" s="1"/>
  <c r="H126" i="3" s="1"/>
  <c r="H127" i="3" s="1"/>
  <c r="H128" i="3" s="1"/>
  <c r="H129" i="3" s="1"/>
  <c r="H130" i="3" s="1"/>
  <c r="H131" i="3" s="1"/>
  <c r="H132" i="3" s="1"/>
  <c r="H133" i="3" s="1"/>
  <c r="H134" i="3" s="1"/>
  <c r="H135" i="3" s="1"/>
  <c r="H136" i="3" s="1"/>
  <c r="H137" i="3" s="1"/>
  <c r="H138" i="3" s="1"/>
  <c r="H139" i="3" s="1"/>
  <c r="H140" i="3" s="1"/>
  <c r="H141" i="3" s="1"/>
  <c r="H142" i="3" s="1"/>
  <c r="H143" i="3" s="1"/>
  <c r="H144" i="3" s="1"/>
  <c r="H145" i="3" s="1"/>
  <c r="H146" i="3" s="1"/>
  <c r="H147" i="3" s="1"/>
  <c r="H148" i="3" s="1"/>
  <c r="H149" i="3" s="1"/>
  <c r="H150" i="3" s="1"/>
  <c r="H151" i="3" s="1"/>
  <c r="H152" i="3" s="1"/>
  <c r="H153" i="3" s="1"/>
  <c r="H154" i="3" s="1"/>
  <c r="H155" i="3" s="1"/>
  <c r="H156" i="3" s="1"/>
  <c r="H157" i="3" s="1"/>
  <c r="H158" i="3" s="1"/>
  <c r="H159" i="3" s="1"/>
  <c r="H160" i="3" s="1"/>
  <c r="H161" i="3" s="1"/>
  <c r="H162" i="3" s="1"/>
  <c r="H163" i="3" s="1"/>
  <c r="H164" i="3" s="1"/>
  <c r="H165" i="3" s="1"/>
  <c r="H166" i="3" s="1"/>
  <c r="H167" i="3" s="1"/>
  <c r="H168" i="3" s="1"/>
  <c r="H169" i="3" s="1"/>
  <c r="H170" i="3" s="1"/>
  <c r="H171" i="3" s="1"/>
  <c r="H172" i="3" s="1"/>
  <c r="H173" i="3" s="1"/>
  <c r="H174" i="3" s="1"/>
  <c r="H175" i="3" s="1"/>
  <c r="H176" i="3" s="1"/>
  <c r="H177" i="3" s="1"/>
  <c r="H178" i="3" s="1"/>
  <c r="H179" i="3" s="1"/>
  <c r="H180" i="3" s="1"/>
  <c r="H181" i="3" s="1"/>
  <c r="H182" i="3" s="1"/>
  <c r="H183" i="3" s="1"/>
  <c r="H184" i="3" s="1"/>
  <c r="H185" i="3" s="1"/>
  <c r="H186" i="3" s="1"/>
  <c r="H187" i="3" s="1"/>
  <c r="H188" i="3" s="1"/>
  <c r="H189" i="3" s="1"/>
  <c r="H190" i="3" s="1"/>
  <c r="H191" i="3" s="1"/>
  <c r="H192" i="3" s="1"/>
  <c r="H193" i="3" s="1"/>
  <c r="H194" i="3" s="1"/>
  <c r="H195" i="3" s="1"/>
  <c r="H196" i="3" s="1"/>
  <c r="H197" i="3" s="1"/>
  <c r="H198" i="3" s="1"/>
  <c r="H199" i="3" s="1"/>
  <c r="H200" i="3" s="1"/>
  <c r="H201" i="3" s="1"/>
  <c r="H202" i="3" s="1"/>
  <c r="H203" i="3" s="1"/>
  <c r="H204" i="3" s="1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7" i="2"/>
  <c r="K6" i="2"/>
  <c r="K5" i="2"/>
  <c r="B21" i="5" l="1"/>
  <c r="D18" i="5"/>
  <c r="D19" i="5"/>
  <c r="D20" i="5"/>
  <c r="I9" i="2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7" i="2"/>
  <c r="C16" i="5"/>
  <c r="F5" i="1" s="1"/>
  <c r="C15" i="5"/>
  <c r="C21" i="5" s="1"/>
  <c r="E6" i="1"/>
  <c r="E4" i="1"/>
  <c r="B10" i="5"/>
  <c r="B11" i="5"/>
  <c r="B5" i="1"/>
  <c r="E7" i="1" l="1"/>
  <c r="I23" i="2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I65" i="2" s="1"/>
  <c r="I66" i="2" s="1"/>
  <c r="I67" i="2" s="1"/>
  <c r="I68" i="2" s="1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I90" i="2" s="1"/>
  <c r="I91" i="2" s="1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I106" i="2" s="1"/>
  <c r="I107" i="2" s="1"/>
  <c r="I108" i="2" s="1"/>
  <c r="I109" i="2" s="1"/>
  <c r="I110" i="2" s="1"/>
  <c r="I111" i="2" s="1"/>
  <c r="I112" i="2" s="1"/>
  <c r="I113" i="2" s="1"/>
  <c r="I114" i="2" s="1"/>
  <c r="I115" i="2" s="1"/>
  <c r="I116" i="2" s="1"/>
  <c r="I117" i="2" s="1"/>
  <c r="I118" i="2" s="1"/>
  <c r="I119" i="2" s="1"/>
  <c r="I120" i="2" s="1"/>
  <c r="I121" i="2" s="1"/>
  <c r="I122" i="2" s="1"/>
  <c r="I123" i="2" s="1"/>
  <c r="I124" i="2" s="1"/>
  <c r="I125" i="2" s="1"/>
  <c r="I126" i="2" s="1"/>
  <c r="I127" i="2" s="1"/>
  <c r="I128" i="2" s="1"/>
  <c r="I129" i="2" s="1"/>
  <c r="I130" i="2" s="1"/>
  <c r="I131" i="2" s="1"/>
  <c r="I132" i="2" s="1"/>
  <c r="I133" i="2" s="1"/>
  <c r="I134" i="2" s="1"/>
  <c r="I135" i="2" s="1"/>
  <c r="I136" i="2" s="1"/>
  <c r="I137" i="2" s="1"/>
  <c r="I138" i="2" s="1"/>
  <c r="I139" i="2" s="1"/>
  <c r="I140" i="2" s="1"/>
  <c r="I141" i="2" s="1"/>
  <c r="I142" i="2" s="1"/>
  <c r="I143" i="2" s="1"/>
  <c r="I144" i="2" s="1"/>
  <c r="I145" i="2" s="1"/>
  <c r="I146" i="2" s="1"/>
  <c r="I147" i="2" s="1"/>
  <c r="I148" i="2" s="1"/>
  <c r="I149" i="2" s="1"/>
  <c r="I150" i="2" s="1"/>
  <c r="I151" i="2" s="1"/>
  <c r="I152" i="2" s="1"/>
  <c r="I153" i="2" s="1"/>
  <c r="I154" i="2" s="1"/>
  <c r="I155" i="2" s="1"/>
  <c r="I156" i="2" s="1"/>
  <c r="I157" i="2" s="1"/>
  <c r="I158" i="2" s="1"/>
  <c r="I159" i="2" s="1"/>
  <c r="I160" i="2" s="1"/>
  <c r="I161" i="2" s="1"/>
  <c r="I162" i="2" s="1"/>
  <c r="I163" i="2" s="1"/>
  <c r="I164" i="2" s="1"/>
  <c r="I165" i="2" s="1"/>
  <c r="I166" i="2" s="1"/>
  <c r="I167" i="2" s="1"/>
  <c r="I168" i="2" s="1"/>
  <c r="I169" i="2" s="1"/>
  <c r="I170" i="2" s="1"/>
  <c r="I171" i="2" s="1"/>
  <c r="I172" i="2" s="1"/>
  <c r="I173" i="2" s="1"/>
  <c r="I174" i="2" s="1"/>
  <c r="I175" i="2" s="1"/>
  <c r="I176" i="2" s="1"/>
  <c r="I177" i="2" s="1"/>
  <c r="I178" i="2" s="1"/>
  <c r="I179" i="2" s="1"/>
  <c r="I180" i="2" s="1"/>
  <c r="I181" i="2" s="1"/>
  <c r="I182" i="2" s="1"/>
  <c r="I183" i="2" s="1"/>
  <c r="I184" i="2" s="1"/>
  <c r="I185" i="2" s="1"/>
  <c r="I186" i="2" s="1"/>
  <c r="I187" i="2" s="1"/>
  <c r="I188" i="2" s="1"/>
  <c r="I189" i="2" s="1"/>
  <c r="I190" i="2" s="1"/>
  <c r="I191" i="2" s="1"/>
  <c r="I192" i="2" s="1"/>
  <c r="I193" i="2" s="1"/>
  <c r="I194" i="2" s="1"/>
  <c r="I195" i="2" s="1"/>
  <c r="I196" i="2" s="1"/>
  <c r="I197" i="2" s="1"/>
  <c r="I198" i="2" s="1"/>
  <c r="I199" i="2" s="1"/>
  <c r="I200" i="2" s="1"/>
  <c r="I201" i="2" s="1"/>
  <c r="I202" i="2" s="1"/>
  <c r="I203" i="2" s="1"/>
  <c r="I204" i="2" s="1"/>
  <c r="I205" i="2" s="1"/>
  <c r="I206" i="2" s="1"/>
  <c r="F7" i="1"/>
  <c r="F4" i="1"/>
  <c r="D15" i="5"/>
  <c r="D17" i="5"/>
  <c r="D16" i="5"/>
  <c r="B12" i="5"/>
  <c r="B8" i="1" s="1"/>
  <c r="D21" i="5" l="1"/>
</calcChain>
</file>

<file path=xl/sharedStrings.xml><?xml version="1.0" encoding="utf-8"?>
<sst xmlns="http://schemas.openxmlformats.org/spreadsheetml/2006/main" count="1002" uniqueCount="250">
  <si>
    <t>DASHBOARD EJECUTIVO DE COMBUSTIBLE | GRUPO TRUJANO</t>
  </si>
  <si>
    <t>Indicador</t>
  </si>
  <si>
    <t>Litros</t>
  </si>
  <si>
    <t>Obra</t>
  </si>
  <si>
    <t>Costo</t>
  </si>
  <si>
    <t>Entradas Pegaso</t>
  </si>
  <si>
    <t>México-Toluca</t>
  </si>
  <si>
    <t>Salidas Pegaso</t>
  </si>
  <si>
    <t>Lerma - Tres Marías</t>
  </si>
  <si>
    <t>Suministrado Marimba</t>
  </si>
  <si>
    <t>Chamapa-Lechería</t>
  </si>
  <si>
    <t>Reconocido por Obras</t>
  </si>
  <si>
    <t>TOTAL</t>
  </si>
  <si>
    <t>Diferencia Total</t>
  </si>
  <si>
    <t>Lectura Ejecutiva</t>
  </si>
  <si>
    <t>1. Revisar primero la diferencia total. Si es diferente de 0, bajar a conciliación.</t>
  </si>
  <si>
    <t>2. Pegaso debe cuadrar entradas contra factura/remisión de gasolinera.</t>
  </si>
  <si>
    <t>3. Marimba M-01 debe cuadrar entradas recibidas contra salidas de Pegaso.</t>
  </si>
  <si>
    <t>4. Obra debe reconocer los litros suministrados por Marimba y Pegaso directo.</t>
  </si>
  <si>
    <t>5. El costo se calcula con costo/litro capturado.</t>
  </si>
  <si>
    <t>6. La documentación física debe firmarse y archivarse semanalmente.</t>
  </si>
  <si>
    <t>GC-COMB-001 | BITÁCORA DE INVENTARIO PEGASO</t>
  </si>
  <si>
    <t>Responsable:</t>
  </si>
  <si>
    <t>Semana:</t>
  </si>
  <si>
    <t>Fecha entrega:</t>
  </si>
  <si>
    <t>Tanque:</t>
  </si>
  <si>
    <t>Pegaso</t>
  </si>
  <si>
    <t>Costo por litro base:</t>
  </si>
  <si>
    <t>Fecha</t>
  </si>
  <si>
    <t>Tipo Movimiento</t>
  </si>
  <si>
    <t>Origen/Destino</t>
  </si>
  <si>
    <t>Equipo/Económico</t>
  </si>
  <si>
    <t>Entrada (L)</t>
  </si>
  <si>
    <t>Salida (L)</t>
  </si>
  <si>
    <t>Existencia Teórica</t>
  </si>
  <si>
    <t>Costo/L</t>
  </si>
  <si>
    <t>Importe</t>
  </si>
  <si>
    <t>Observaciones</t>
  </si>
  <si>
    <t>GC-COMB-002 | BITÁCORA DE SUMINISTRO DE MARIMBA M-01</t>
  </si>
  <si>
    <t>Operador:</t>
  </si>
  <si>
    <t>Marimba:</t>
  </si>
  <si>
    <t>M-01</t>
  </si>
  <si>
    <t>Costo/L base:</t>
  </si>
  <si>
    <t>Movimiento</t>
  </si>
  <si>
    <t>Origen/Obra</t>
  </si>
  <si>
    <t>Equipo</t>
  </si>
  <si>
    <t>Económico</t>
  </si>
  <si>
    <t>Firma/Validación</t>
  </si>
  <si>
    <t>GC-COMB-003 | BITÁCORA DE CONTROL DE COMBUSTIBLE DE OBRA</t>
  </si>
  <si>
    <t>Ingeniero:</t>
  </si>
  <si>
    <t>Obra:</t>
  </si>
  <si>
    <t>Fuente</t>
  </si>
  <si>
    <t>Litros Recibidos</t>
  </si>
  <si>
    <t>Actividad Ejecutada</t>
  </si>
  <si>
    <t>Incidencia</t>
  </si>
  <si>
    <t>CONCILIACIÓN SEMANAL / MENSUAL</t>
  </si>
  <si>
    <t>Concepto</t>
  </si>
  <si>
    <t>Entradas a Pegaso</t>
  </si>
  <si>
    <t>Salidas Pegaso a Marimba</t>
  </si>
  <si>
    <t>Salidas Pegaso directo a Máquinas</t>
  </si>
  <si>
    <t>Entradas registradas en Marimba</t>
  </si>
  <si>
    <t>Salidas Marimba a Obra</t>
  </si>
  <si>
    <t>Litros reconocidos por Obras</t>
  </si>
  <si>
    <t>Diferencia Pegaso vs Marimba</t>
  </si>
  <si>
    <t>Diferencia Marimba vs Obra</t>
  </si>
  <si>
    <t>Diferencia Total a Revisar</t>
  </si>
  <si>
    <t>% Consumo</t>
  </si>
  <si>
    <t>Validación Corporativa</t>
  </si>
  <si>
    <t>Revisó Gobierno Corporativo</t>
  </si>
  <si>
    <t>Estatus</t>
  </si>
  <si>
    <t>□ Correcto  □ Observado  □ Pendiente</t>
  </si>
  <si>
    <t>Firma</t>
  </si>
  <si>
    <t>CATÁLOGOS OFICIALES - CONTROL DE COMBUSTIBLE</t>
  </si>
  <si>
    <t>Código Obra</t>
  </si>
  <si>
    <t>Código</t>
  </si>
  <si>
    <t>Fuente / Origen</t>
  </si>
  <si>
    <t>Tipo de Equipo</t>
  </si>
  <si>
    <t>MT</t>
  </si>
  <si>
    <t>GAS</t>
  </si>
  <si>
    <t>Gasolinera Huixquilucan</t>
  </si>
  <si>
    <t>FR-01</t>
  </si>
  <si>
    <t>Fresadora</t>
  </si>
  <si>
    <t>L3M</t>
  </si>
  <si>
    <t>PEG</t>
  </si>
  <si>
    <t>Tanque Pegaso</t>
  </si>
  <si>
    <t>CP-01</t>
  </si>
  <si>
    <t>Compactador</t>
  </si>
  <si>
    <t>CL</t>
  </si>
  <si>
    <t>M01</t>
  </si>
  <si>
    <t>Marimba M-01</t>
  </si>
  <si>
    <t>EX-01</t>
  </si>
  <si>
    <t>Excavadora</t>
  </si>
  <si>
    <t>DIR</t>
  </si>
  <si>
    <t>Carga directa</t>
  </si>
  <si>
    <t>RT-01</t>
  </si>
  <si>
    <t>Retroexcavadora</t>
  </si>
  <si>
    <t>Otro</t>
  </si>
  <si>
    <t>MG-01</t>
  </si>
  <si>
    <t>Motoconformadora</t>
  </si>
  <si>
    <t>PT-01</t>
  </si>
  <si>
    <t>Petrolizadora</t>
  </si>
  <si>
    <t>PP-01</t>
  </si>
  <si>
    <t>Pipa</t>
  </si>
  <si>
    <t>CM-01</t>
  </si>
  <si>
    <t>Camión</t>
  </si>
  <si>
    <t>CR-01</t>
  </si>
  <si>
    <t>Cargador</t>
  </si>
  <si>
    <t>FORMATOS FÍSICOS PARA IMPRESIÓN Y FIRMA</t>
  </si>
  <si>
    <t>GC-COMB-001 BITÁCORA PEGASO</t>
  </si>
  <si>
    <t>Existencia Inicial:</t>
  </si>
  <si>
    <t>Existencia Final Física:</t>
  </si>
  <si>
    <t>Fecha Entrega:</t>
  </si>
  <si>
    <t>Firma:</t>
  </si>
  <si>
    <t>GC-COMB-002 BITÁCORA MARIMBA M-01</t>
  </si>
  <si>
    <t>Inventario Inicial:</t>
  </si>
  <si>
    <t>Inventario Final:</t>
  </si>
  <si>
    <t>GC-COMB-003 BITÁCORA DE OBRA</t>
  </si>
  <si>
    <t>Actividad</t>
  </si>
  <si>
    <t>PROCEDIMIENTO OPERATIVO GC-COMB-01</t>
  </si>
  <si>
    <t>1</t>
  </si>
  <si>
    <t>Gasolinera → Pegaso</t>
  </si>
  <si>
    <t>Vigilante registra entrada en GC-COMB-001 con factura/remisión y litros recibidos.</t>
  </si>
  <si>
    <t>2</t>
  </si>
  <si>
    <t>Pegaso → Marimba M-01</t>
  </si>
  <si>
    <t>Vigilante registra salida en GC-COMB-001. Operador de Marimba registra entrada en GC-COMB-002.</t>
  </si>
  <si>
    <t>3</t>
  </si>
  <si>
    <t>Pegaso → Máquina</t>
  </si>
  <si>
    <t>Vigilante registra salida directa en GC-COMB-001. Ingeniero registra recepción en GC-COMB-003.</t>
  </si>
  <si>
    <t>4</t>
  </si>
  <si>
    <t>Marimba → Obras/Máquinas</t>
  </si>
  <si>
    <t>Operador registra cada suministro en GC-COMB-002. Ingeniero reconoce litros por obra en GC-COMB-003.</t>
  </si>
  <si>
    <t>5</t>
  </si>
  <si>
    <t>Obras actuales</t>
  </si>
  <si>
    <t>México-Toluca, Lerma - Tres Marías y Chamapa-Lechería.</t>
  </si>
  <si>
    <t>6</t>
  </si>
  <si>
    <t>Horómetro</t>
  </si>
  <si>
    <t>No es obligatorio porque no funciona en la mayoría de equipos. El control principal será por litros, obra, equipo, actividad e incidencia.</t>
  </si>
  <si>
    <t>7</t>
  </si>
  <si>
    <t>Capturar costo/litro en cada registro para obtener costo por obra y costo total semanal.</t>
  </si>
  <si>
    <t>8</t>
  </si>
  <si>
    <t>Cierre semanal</t>
  </si>
  <si>
    <t>Todos entregan bitácoras físicas firmadas. Gobierno Corporativo captura y revisa conciliación.</t>
  </si>
  <si>
    <t>9</t>
  </si>
  <si>
    <t>Alertas</t>
  </si>
  <si>
    <t>Si la diferencia total es distinta de cero, revisar Pegaso vs Marimba y Marimba/Pegaso vs Obra.</t>
  </si>
  <si>
    <t>10</t>
  </si>
  <si>
    <t>Reunión lunes</t>
  </si>
  <si>
    <t>Usar Dashboard para mostrar consumo, costo y diferencias al Ing. Pepe.</t>
  </si>
  <si>
    <t>Responsables</t>
  </si>
  <si>
    <t>Vigilante Pegaso = inventario / Operador Marimba = distribución / Ingeniero = validación de obra / Gobierno Corporativo = conciliación y pago.</t>
  </si>
  <si>
    <t>Documentación soporte</t>
  </si>
  <si>
    <t>Factura, remisión, bitácoras físicas firmadas, evidencias de incidencias cuando existan.</t>
  </si>
  <si>
    <t>Nota</t>
  </si>
  <si>
    <t>Este archivo no usa macros. Funciona con fórmulas, catálogos y validaciones para evitar dependencia de VBA.</t>
  </si>
  <si>
    <t>Salida Directa Máquina</t>
  </si>
  <si>
    <t>Salida a Obra</t>
  </si>
  <si>
    <t>Pegaso Directo</t>
  </si>
  <si>
    <t xml:space="preserve">Ingeniero Responsable </t>
  </si>
  <si>
    <t>Operador (firma)</t>
  </si>
  <si>
    <t>GC-COMB-003 | BITÁCORA DE SOLICITUDES DE COMBUSTIBLE DE OBRA</t>
  </si>
  <si>
    <t>Vogel</t>
  </si>
  <si>
    <t>VG-01</t>
  </si>
  <si>
    <t>Litros Solicitados</t>
  </si>
  <si>
    <t>PR-01</t>
  </si>
  <si>
    <t>Perfiladora</t>
  </si>
  <si>
    <t>Barredora</t>
  </si>
  <si>
    <t>BR-01</t>
  </si>
  <si>
    <t>NM-01</t>
  </si>
  <si>
    <t>OT-01</t>
  </si>
  <si>
    <t>Fecha de Trabajo</t>
  </si>
  <si>
    <t>Fecha de Solicitud</t>
  </si>
  <si>
    <t>Perfiladora Wirgent</t>
  </si>
  <si>
    <t>PR-02</t>
  </si>
  <si>
    <t>Perfiladora Cat-PM</t>
  </si>
  <si>
    <t>PR-03</t>
  </si>
  <si>
    <t>Barredora Broce</t>
  </si>
  <si>
    <t>BR-02</t>
  </si>
  <si>
    <t>Retroexcavadora Jonh Deere</t>
  </si>
  <si>
    <t>RT-02</t>
  </si>
  <si>
    <t>Buggy Trasnfer</t>
  </si>
  <si>
    <t>BG-01</t>
  </si>
  <si>
    <t>Neuomatico</t>
  </si>
  <si>
    <t>Vogele Guion</t>
  </si>
  <si>
    <t>VG-02</t>
  </si>
  <si>
    <t>Tandem Hamm</t>
  </si>
  <si>
    <t>TD-01</t>
  </si>
  <si>
    <t>Neuomatico Dynapac</t>
  </si>
  <si>
    <t>NM-02</t>
  </si>
  <si>
    <t>Petrolizadora Elton</t>
  </si>
  <si>
    <t>PT-02</t>
  </si>
  <si>
    <t>Camion de Impacto</t>
  </si>
  <si>
    <t>CI-01</t>
  </si>
  <si>
    <t>Maxilihgs</t>
  </si>
  <si>
    <t>MX-01</t>
  </si>
  <si>
    <t>Compresor</t>
  </si>
  <si>
    <t>CPR-01</t>
  </si>
  <si>
    <t>Rastrillador</t>
  </si>
  <si>
    <t>RS-01</t>
  </si>
  <si>
    <t>Limpieza</t>
  </si>
  <si>
    <t>LP-01</t>
  </si>
  <si>
    <t>Doble Rodillo</t>
  </si>
  <si>
    <t>DR-01</t>
  </si>
  <si>
    <t>Segunda solicitud, el dia 7/06/2026, no se relizo la carga</t>
  </si>
  <si>
    <t>Solicitante</t>
  </si>
  <si>
    <t>Ingeniero</t>
  </si>
  <si>
    <t>Samuel Ortega</t>
  </si>
  <si>
    <t>Apolinar</t>
  </si>
  <si>
    <t>Francisco Javier</t>
  </si>
  <si>
    <t>Diego Carreola Monroy</t>
  </si>
  <si>
    <t>Economico</t>
  </si>
  <si>
    <t>Bacheo Toluca</t>
  </si>
  <si>
    <t>Bidones</t>
  </si>
  <si>
    <t>BD-01</t>
  </si>
  <si>
    <t>No aplica</t>
  </si>
  <si>
    <t>Planta Asfalto Pegaso</t>
  </si>
  <si>
    <t>Planta Asfaltos</t>
  </si>
  <si>
    <t>Otr</t>
  </si>
  <si>
    <t>PayLoder</t>
  </si>
  <si>
    <t>PL-01</t>
  </si>
  <si>
    <t>BT</t>
  </si>
  <si>
    <t>NP</t>
  </si>
  <si>
    <t>PAP</t>
  </si>
  <si>
    <t>PAH</t>
  </si>
  <si>
    <t>Diego Carreola</t>
  </si>
  <si>
    <t>Planta Asflato Huixquilucan</t>
  </si>
  <si>
    <t>Entrada</t>
  </si>
  <si>
    <t>Cuerpo a (Pausada)</t>
  </si>
  <si>
    <t>Peticiones por Día y Obra</t>
  </si>
  <si>
    <t>Salidas Marimba por Día y Obra</t>
  </si>
  <si>
    <t>Salidas Pegaso a Obra</t>
  </si>
  <si>
    <t>Consumo Total en Obra</t>
  </si>
  <si>
    <t>Resumen Semanal por Obra</t>
  </si>
  <si>
    <t>Costo Estimado ($)</t>
  </si>
  <si>
    <t>Costo Surtido ($)</t>
  </si>
  <si>
    <t>2026-06-07</t>
  </si>
  <si>
    <t>2026-06-08</t>
  </si>
  <si>
    <t>2026-06-09</t>
  </si>
  <si>
    <t>2026-06-10</t>
  </si>
  <si>
    <t>2026-06-11</t>
  </si>
  <si>
    <t>2026-06-12</t>
  </si>
  <si>
    <t>Costos por Día (Petición vs Surtido)</t>
  </si>
  <si>
    <t>Costos por Obra (Petición vs Surtido)</t>
  </si>
  <si>
    <t>Totales Generales por Día</t>
  </si>
  <si>
    <t>Totales Generales por Obra</t>
  </si>
  <si>
    <t>Reporte de Discrepancias (Faltantes/Sobrantes)</t>
  </si>
  <si>
    <t>Costo Solicitado ($)</t>
  </si>
  <si>
    <t>Litros Totales</t>
  </si>
  <si>
    <t>Costo Total ($)</t>
  </si>
  <si>
    <t>Litros Surtidos</t>
  </si>
  <si>
    <t>Discrepancia 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</si>
</sst>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&quot;$&quot;#,##0.00"/>
  </numFmts>
  <fonts count="8">
    <font>
      <sz val="11"/>
      <name val="Carlito"/>
    </font>
    <font>
      <sz val="11"/>
      <color theme="1"/>
      <name val="Calibri"/>
      <family val="2"/>
      <scheme val="minor"/>
    </font>
    <font>
      <b/>
      <sz val="14"/>
      <color rgb="FFFFFFFF"/>
      <name val="Carlito"/>
    </font>
    <font>
      <b/>
      <sz val="11"/>
      <color rgb="FFFFFFFF"/>
      <name val="Carlito"/>
    </font>
    <font>
      <sz val="8"/>
      <name val="Carlito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14" fontId="0" fillId="0" borderId="0" xfId="0" applyNumberFormat="1"/>
    <xf numFmtId="4" fontId="0" fillId="0" borderId="0" xfId="0" applyNumberFormat="1"/>
    <xf numFmtId="164" fontId="0" fillId="0" borderId="0" xfId="0" applyNumberFormat="1"/>
    <xf numFmtId="4" fontId="3" fillId="2" borderId="0" xfId="0" applyNumberFormat="1" applyFont="1" applyFill="1" applyAlignment="1">
      <alignment horizontal="center" vertical="center" wrapText="1"/>
    </xf>
    <xf numFmtId="10" fontId="0" fillId="0" borderId="0" xfId="0" applyNumberFormat="1"/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0" borderId="0" xfId="1" applyFont="1"/>
    <xf numFmtId="0" fontId="1" fillId="0" borderId="0" xfId="1"/>
    <xf numFmtId="0" fontId="6" fillId="3" borderId="1" xfId="1" applyFont="1" applyFill="1" applyBorder="1" applyAlignment="1">
      <alignment horizontal="center"/>
    </xf>
    <xf numFmtId="0" fontId="1" fillId="0" borderId="1" xfId="1" applyBorder="1"/>
    <xf numFmtId="165" fontId="1" fillId="0" borderId="1" xfId="1" applyNumberFormat="1" applyBorder="1"/>
    <xf numFmtId="0" fontId="7" fillId="0" borderId="0" xfId="1" applyFont="1"/>
    <xf numFmtId="0" fontId="6" fillId="4" borderId="1" xfId="1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165" fontId="1" fillId="0" borderId="0" xfId="1" applyNumberFormat="1"/>
  </cellXfs>
  <cellStyles count="2">
    <cellStyle name="Normal" xfId="0" builtinId="0"/>
    <cellStyle name="Normal 2" xfId="1" xr:uid="{BCCA1864-8AB9-44B7-BD98-57B365AB0C60}"/>
  </cellStyles>
  <dxfs count="7">
    <dxf>
      <fill>
        <patternFill patternType="solid">
          <bgColor rgb="FFF4CCCC"/>
        </patternFill>
      </fill>
    </dxf>
    <dxf>
      <font>
        <b/>
      </font>
      <fill>
        <patternFill patternType="solid">
          <bgColor rgb="FFF4CCCC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Litros</c:v>
          </c:tx>
          <c:invertIfNegative val="1"/>
          <c:cat>
            <c:strRef>
              <c:f>Dashboard!$D$4:$D$6</c:f>
              <c:strCache>
                <c:ptCount val="3"/>
                <c:pt idx="0">
                  <c:v>México-Toluca</c:v>
                </c:pt>
                <c:pt idx="1">
                  <c:v>Lerma - Tres Marías</c:v>
                </c:pt>
                <c:pt idx="2">
                  <c:v>Chamapa-Lechería</c:v>
                </c:pt>
              </c:strCache>
            </c:strRef>
          </c:cat>
          <c:val>
            <c:numRef>
              <c:f>Dashboard!$E$4:$E$6</c:f>
              <c:numCache>
                <c:formatCode>#,##0.00</c:formatCode>
                <c:ptCount val="3"/>
                <c:pt idx="0">
                  <c:v>1285</c:v>
                </c:pt>
                <c:pt idx="1">
                  <c:v>872</c:v>
                </c:pt>
                <c:pt idx="2">
                  <c:v>1693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F0-485C-850E-CD4FBAC68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Peticiones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Dashboard_Ejecutivo!$D$4</c:f>
              <c:strCache>
                <c:ptCount val="1"/>
                <c:pt idx="0">
                  <c:v>Litros Solicitados</c:v>
                </c:pt>
              </c:strCache>
            </c:strRef>
          </c:tx>
          <c:invertIfNegative val="0"/>
          <c:cat>
            <c:strRef>
              <c:f>Dashboard_Ejecutivo!$B$5:$B$16</c:f>
              <c:strCache>
                <c:ptCount val="12"/>
                <c:pt idx="0">
                  <c:v>2026-06-07</c:v>
                </c:pt>
                <c:pt idx="1">
                  <c:v>2026-06-07</c:v>
                </c:pt>
                <c:pt idx="2">
                  <c:v>2026-06-08</c:v>
                </c:pt>
                <c:pt idx="3">
                  <c:v>2026-06-08</c:v>
                </c:pt>
                <c:pt idx="4">
                  <c:v>2026-06-09</c:v>
                </c:pt>
                <c:pt idx="5">
                  <c:v>2026-06-09</c:v>
                </c:pt>
                <c:pt idx="6">
                  <c:v>2026-06-09</c:v>
                </c:pt>
                <c:pt idx="7">
                  <c:v>2026-06-10</c:v>
                </c:pt>
                <c:pt idx="8">
                  <c:v>2026-06-11</c:v>
                </c:pt>
                <c:pt idx="9">
                  <c:v>2026-06-11</c:v>
                </c:pt>
                <c:pt idx="10">
                  <c:v>2026-06-12</c:v>
                </c:pt>
                <c:pt idx="11">
                  <c:v>2026-06-12</c:v>
                </c:pt>
              </c:strCache>
            </c:strRef>
          </c:cat>
          <c:val>
            <c:numRef>
              <c:f>Dashboard_Ejecutivo!$D$5:$D$16</c:f>
              <c:numCache>
                <c:formatCode>General</c:formatCode>
                <c:ptCount val="12"/>
                <c:pt idx="0">
                  <c:v>160</c:v>
                </c:pt>
                <c:pt idx="1">
                  <c:v>640</c:v>
                </c:pt>
                <c:pt idx="2">
                  <c:v>100</c:v>
                </c:pt>
                <c:pt idx="3">
                  <c:v>990</c:v>
                </c:pt>
                <c:pt idx="4">
                  <c:v>100</c:v>
                </c:pt>
                <c:pt idx="5">
                  <c:v>790</c:v>
                </c:pt>
                <c:pt idx="6">
                  <c:v>210</c:v>
                </c:pt>
                <c:pt idx="7">
                  <c:v>320</c:v>
                </c:pt>
                <c:pt idx="8">
                  <c:v>70</c:v>
                </c:pt>
                <c:pt idx="9">
                  <c:v>460</c:v>
                </c:pt>
                <c:pt idx="10">
                  <c:v>620</c:v>
                </c:pt>
                <c:pt idx="11">
                  <c:v>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05-4955-817E-309108568BD8}"/>
            </c:ext>
          </c:extLst>
        </c:ser>
        <c:ser>
          <c:idx val="1"/>
          <c:order val="1"/>
          <c:tx>
            <c:strRef>
              <c:f>Dashboard_Ejecutivo!$E$4</c:f>
              <c:strCache>
                <c:ptCount val="1"/>
                <c:pt idx="0">
                  <c:v>Costo Estimado ($)</c:v>
                </c:pt>
              </c:strCache>
            </c:strRef>
          </c:tx>
          <c:invertIfNegative val="0"/>
          <c:cat>
            <c:strRef>
              <c:f>Dashboard_Ejecutivo!$B$5:$B$16</c:f>
              <c:strCache>
                <c:ptCount val="12"/>
                <c:pt idx="0">
                  <c:v>2026-06-07</c:v>
                </c:pt>
                <c:pt idx="1">
                  <c:v>2026-06-07</c:v>
                </c:pt>
                <c:pt idx="2">
                  <c:v>2026-06-08</c:v>
                </c:pt>
                <c:pt idx="3">
                  <c:v>2026-06-08</c:v>
                </c:pt>
                <c:pt idx="4">
                  <c:v>2026-06-09</c:v>
                </c:pt>
                <c:pt idx="5">
                  <c:v>2026-06-09</c:v>
                </c:pt>
                <c:pt idx="6">
                  <c:v>2026-06-09</c:v>
                </c:pt>
                <c:pt idx="7">
                  <c:v>2026-06-10</c:v>
                </c:pt>
                <c:pt idx="8">
                  <c:v>2026-06-11</c:v>
                </c:pt>
                <c:pt idx="9">
                  <c:v>2026-06-11</c:v>
                </c:pt>
                <c:pt idx="10">
                  <c:v>2026-06-12</c:v>
                </c:pt>
                <c:pt idx="11">
                  <c:v>2026-06-12</c:v>
                </c:pt>
              </c:strCache>
            </c:strRef>
          </c:cat>
          <c:val>
            <c:numRef>
              <c:f>Dashboard_Ejecutivo!$E$5:$E$16</c:f>
              <c:numCache>
                <c:formatCode>"$"#,##0.00</c:formatCode>
                <c:ptCount val="12"/>
                <c:pt idx="0">
                  <c:v>4528</c:v>
                </c:pt>
                <c:pt idx="1">
                  <c:v>18112</c:v>
                </c:pt>
                <c:pt idx="2">
                  <c:v>2830</c:v>
                </c:pt>
                <c:pt idx="3">
                  <c:v>28017</c:v>
                </c:pt>
                <c:pt idx="4">
                  <c:v>2830</c:v>
                </c:pt>
                <c:pt idx="5">
                  <c:v>22357</c:v>
                </c:pt>
                <c:pt idx="6">
                  <c:v>5943</c:v>
                </c:pt>
                <c:pt idx="7">
                  <c:v>9056</c:v>
                </c:pt>
                <c:pt idx="8">
                  <c:v>1981</c:v>
                </c:pt>
                <c:pt idx="9">
                  <c:v>13018</c:v>
                </c:pt>
                <c:pt idx="10">
                  <c:v>17546</c:v>
                </c:pt>
                <c:pt idx="11">
                  <c:v>15282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05-4955-817E-309108568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Cantidad / Costo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Salidas Marimba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Dashboard_Ejecutivo!$I$4</c:f>
              <c:strCache>
                <c:ptCount val="1"/>
                <c:pt idx="0">
                  <c:v>Salida (L)</c:v>
                </c:pt>
              </c:strCache>
            </c:strRef>
          </c:tx>
          <c:invertIfNegative val="0"/>
          <c:cat>
            <c:strRef>
              <c:f>Dashboard_Ejecutivo!$G$5:$G$12</c:f>
              <c:strCache>
                <c:ptCount val="8"/>
                <c:pt idx="0">
                  <c:v>2026-06-08</c:v>
                </c:pt>
                <c:pt idx="1">
                  <c:v>2026-06-08</c:v>
                </c:pt>
                <c:pt idx="2">
                  <c:v>2026-06-08</c:v>
                </c:pt>
                <c:pt idx="3">
                  <c:v>2026-06-09</c:v>
                </c:pt>
                <c:pt idx="4">
                  <c:v>2026-06-10</c:v>
                </c:pt>
                <c:pt idx="5">
                  <c:v>2026-06-11</c:v>
                </c:pt>
                <c:pt idx="6">
                  <c:v>2026-06-12</c:v>
                </c:pt>
                <c:pt idx="7">
                  <c:v>2026-06-12</c:v>
                </c:pt>
              </c:strCache>
            </c:strRef>
          </c:cat>
          <c:val>
            <c:numRef>
              <c:f>Dashboard_Ejecutivo!$I$5:$I$12</c:f>
              <c:numCache>
                <c:formatCode>General</c:formatCode>
                <c:ptCount val="8"/>
                <c:pt idx="0">
                  <c:v>455</c:v>
                </c:pt>
                <c:pt idx="1">
                  <c:v>97</c:v>
                </c:pt>
                <c:pt idx="2">
                  <c:v>369</c:v>
                </c:pt>
                <c:pt idx="3">
                  <c:v>736</c:v>
                </c:pt>
                <c:pt idx="4">
                  <c:v>300</c:v>
                </c:pt>
                <c:pt idx="5">
                  <c:v>256</c:v>
                </c:pt>
                <c:pt idx="6">
                  <c:v>502</c:v>
                </c:pt>
                <c:pt idx="7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9B-490F-91B3-6FB220771F47}"/>
            </c:ext>
          </c:extLst>
        </c:ser>
        <c:ser>
          <c:idx val="1"/>
          <c:order val="1"/>
          <c:tx>
            <c:strRef>
              <c:f>Dashboard_Ejecutivo!$J$4</c:f>
              <c:strCache>
                <c:ptCount val="1"/>
                <c:pt idx="0">
                  <c:v>Costo Surtido ($)</c:v>
                </c:pt>
              </c:strCache>
            </c:strRef>
          </c:tx>
          <c:invertIfNegative val="0"/>
          <c:cat>
            <c:strRef>
              <c:f>Dashboard_Ejecutivo!$G$5:$G$12</c:f>
              <c:strCache>
                <c:ptCount val="8"/>
                <c:pt idx="0">
                  <c:v>2026-06-08</c:v>
                </c:pt>
                <c:pt idx="1">
                  <c:v>2026-06-08</c:v>
                </c:pt>
                <c:pt idx="2">
                  <c:v>2026-06-08</c:v>
                </c:pt>
                <c:pt idx="3">
                  <c:v>2026-06-09</c:v>
                </c:pt>
                <c:pt idx="4">
                  <c:v>2026-06-10</c:v>
                </c:pt>
                <c:pt idx="5">
                  <c:v>2026-06-11</c:v>
                </c:pt>
                <c:pt idx="6">
                  <c:v>2026-06-12</c:v>
                </c:pt>
                <c:pt idx="7">
                  <c:v>2026-06-12</c:v>
                </c:pt>
              </c:strCache>
            </c:strRef>
          </c:cat>
          <c:val>
            <c:numRef>
              <c:f>Dashboard_Ejecutivo!$J$5:$J$12</c:f>
              <c:numCache>
                <c:formatCode>"$"#,##0.00</c:formatCode>
                <c:ptCount val="8"/>
                <c:pt idx="0">
                  <c:v>12876.5</c:v>
                </c:pt>
                <c:pt idx="1">
                  <c:v>2745.1</c:v>
                </c:pt>
                <c:pt idx="2">
                  <c:v>10442.700000000001</c:v>
                </c:pt>
                <c:pt idx="3">
                  <c:v>20828.8</c:v>
                </c:pt>
                <c:pt idx="4">
                  <c:v>8490</c:v>
                </c:pt>
                <c:pt idx="5">
                  <c:v>7244.8</c:v>
                </c:pt>
                <c:pt idx="6">
                  <c:v>14206.6</c:v>
                </c:pt>
                <c:pt idx="7">
                  <c:v>10188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9B-490F-91B3-6FB220771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Cantidad / Costo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Consumo Total Semanal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Dashboard_Ejecutivo!$W$4</c:f>
              <c:strCache>
                <c:ptCount val="1"/>
                <c:pt idx="0">
                  <c:v>Litros Recibidos</c:v>
                </c:pt>
              </c:strCache>
            </c:strRef>
          </c:tx>
          <c:invertIfNegative val="0"/>
          <c:cat>
            <c:strRef>
              <c:f>Dashboard_Ejecutivo!$V$5:$V$9</c:f>
              <c:strCache>
                <c:ptCount val="5"/>
                <c:pt idx="0">
                  <c:v>Bacheo Toluca</c:v>
                </c:pt>
                <c:pt idx="1">
                  <c:v>Chamapa-Lechería</c:v>
                </c:pt>
                <c:pt idx="2">
                  <c:v>Lerma - Tres Marías</c:v>
                </c:pt>
                <c:pt idx="3">
                  <c:v>México-Toluca</c:v>
                </c:pt>
                <c:pt idx="4">
                  <c:v>Planta Asfalto Pegaso</c:v>
                </c:pt>
              </c:strCache>
            </c:strRef>
          </c:cat>
          <c:val>
            <c:numRef>
              <c:f>Dashboard_Ejecutivo!$W$5:$W$9</c:f>
              <c:numCache>
                <c:formatCode>General</c:formatCode>
                <c:ptCount val="5"/>
                <c:pt idx="0">
                  <c:v>200</c:v>
                </c:pt>
                <c:pt idx="1">
                  <c:v>1693</c:v>
                </c:pt>
                <c:pt idx="2">
                  <c:v>872</c:v>
                </c:pt>
                <c:pt idx="3">
                  <c:v>1285</c:v>
                </c:pt>
                <c:pt idx="4">
                  <c:v>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2A-4BC3-82EA-419FC4AF9D62}"/>
            </c:ext>
          </c:extLst>
        </c:ser>
        <c:ser>
          <c:idx val="1"/>
          <c:order val="1"/>
          <c:tx>
            <c:strRef>
              <c:f>Dashboard_Ejecutivo!$X$4</c:f>
              <c:strCache>
                <c:ptCount val="1"/>
                <c:pt idx="0">
                  <c:v>Costo Surtido ($)</c:v>
                </c:pt>
              </c:strCache>
            </c:strRef>
          </c:tx>
          <c:invertIfNegative val="0"/>
          <c:cat>
            <c:strRef>
              <c:f>Dashboard_Ejecutivo!$V$5:$V$9</c:f>
              <c:strCache>
                <c:ptCount val="5"/>
                <c:pt idx="0">
                  <c:v>Bacheo Toluca</c:v>
                </c:pt>
                <c:pt idx="1">
                  <c:v>Chamapa-Lechería</c:v>
                </c:pt>
                <c:pt idx="2">
                  <c:v>Lerma - Tres Marías</c:v>
                </c:pt>
                <c:pt idx="3">
                  <c:v>México-Toluca</c:v>
                </c:pt>
                <c:pt idx="4">
                  <c:v>Planta Asfalto Pegaso</c:v>
                </c:pt>
              </c:strCache>
            </c:strRef>
          </c:cat>
          <c:val>
            <c:numRef>
              <c:f>Dashboard_Ejecutivo!$X$5:$X$9</c:f>
              <c:numCache>
                <c:formatCode>"$"#,##0.00</c:formatCode>
                <c:ptCount val="5"/>
                <c:pt idx="0">
                  <c:v>5660</c:v>
                </c:pt>
                <c:pt idx="1">
                  <c:v>47911.9</c:v>
                </c:pt>
                <c:pt idx="2">
                  <c:v>24677.599999999999</c:v>
                </c:pt>
                <c:pt idx="3">
                  <c:v>36365.5</c:v>
                </c:pt>
                <c:pt idx="4">
                  <c:v>18310.099999999999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2A-4BC3-82EA-419FC4AF9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Obra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Cantidad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Comparativa Costos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Dashboard_Ejecutivo!$C$37</c:f>
              <c:strCache>
                <c:ptCount val="1"/>
                <c:pt idx="0">
                  <c:v>Costo Solicitado ($)</c:v>
                </c:pt>
              </c:strCache>
            </c:strRef>
          </c:tx>
          <c:invertIfNegative val="0"/>
          <c:cat>
            <c:strRef>
              <c:f>Dashboard_Ejecutivo!$B$38:$B$43</c:f>
              <c:strCache>
                <c:ptCount val="6"/>
                <c:pt idx="0">
                  <c:v>2026-06-07</c:v>
                </c:pt>
                <c:pt idx="1">
                  <c:v>2026-06-08</c:v>
                </c:pt>
                <c:pt idx="2">
                  <c:v>2026-06-09</c:v>
                </c:pt>
                <c:pt idx="3">
                  <c:v>2026-06-10</c:v>
                </c:pt>
                <c:pt idx="4">
                  <c:v>2026-06-11</c:v>
                </c:pt>
                <c:pt idx="5">
                  <c:v>2026-06-12</c:v>
                </c:pt>
              </c:strCache>
            </c:strRef>
          </c:cat>
          <c:val>
            <c:numRef>
              <c:f>Dashboard_Ejecutivo!$C$38:$C$43</c:f>
              <c:numCache>
                <c:formatCode>"$"#,##0.00</c:formatCode>
                <c:ptCount val="6"/>
                <c:pt idx="0">
                  <c:v>22640</c:v>
                </c:pt>
                <c:pt idx="1">
                  <c:v>30847</c:v>
                </c:pt>
                <c:pt idx="2">
                  <c:v>31130</c:v>
                </c:pt>
                <c:pt idx="3">
                  <c:v>9056</c:v>
                </c:pt>
                <c:pt idx="4">
                  <c:v>14999</c:v>
                </c:pt>
                <c:pt idx="5">
                  <c:v>32828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4F-4BE7-99F7-2D965B12A74E}"/>
            </c:ext>
          </c:extLst>
        </c:ser>
        <c:ser>
          <c:idx val="1"/>
          <c:order val="1"/>
          <c:tx>
            <c:strRef>
              <c:f>Dashboard_Ejecutivo!$D$37</c:f>
              <c:strCache>
                <c:ptCount val="1"/>
                <c:pt idx="0">
                  <c:v>Costo Surtido ($)</c:v>
                </c:pt>
              </c:strCache>
            </c:strRef>
          </c:tx>
          <c:invertIfNegative val="0"/>
          <c:cat>
            <c:strRef>
              <c:f>Dashboard_Ejecutivo!$B$38:$B$43</c:f>
              <c:strCache>
                <c:ptCount val="6"/>
                <c:pt idx="0">
                  <c:v>2026-06-07</c:v>
                </c:pt>
                <c:pt idx="1">
                  <c:v>2026-06-08</c:v>
                </c:pt>
                <c:pt idx="2">
                  <c:v>2026-06-09</c:v>
                </c:pt>
                <c:pt idx="3">
                  <c:v>2026-06-10</c:v>
                </c:pt>
                <c:pt idx="4">
                  <c:v>2026-06-11</c:v>
                </c:pt>
                <c:pt idx="5">
                  <c:v>2026-06-12</c:v>
                </c:pt>
              </c:strCache>
            </c:strRef>
          </c:cat>
          <c:val>
            <c:numRef>
              <c:f>Dashboard_Ejecutivo!$D$38:$D$43</c:f>
              <c:numCache>
                <c:formatCode>"$"#,##0.00</c:formatCode>
                <c:ptCount val="6"/>
                <c:pt idx="0">
                  <c:v>0</c:v>
                </c:pt>
                <c:pt idx="1">
                  <c:v>42733</c:v>
                </c:pt>
                <c:pt idx="2">
                  <c:v>25922.799999999999</c:v>
                </c:pt>
                <c:pt idx="3">
                  <c:v>11320</c:v>
                </c:pt>
                <c:pt idx="4">
                  <c:v>30818.7</c:v>
                </c:pt>
                <c:pt idx="5">
                  <c:v>26375.599999999999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4F-4BE7-99F7-2D965B12A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Costo ($)</a:t>
                </a:r>
              </a:p>
            </c:rich>
          </c:tx>
          <c:overlay val="0"/>
        </c:title>
        <c:numFmt formatCode="&quot;$&quot;#,##0.00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Comparativa Costos por Obra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Dashboard_Ejecutivo!$H$37</c:f>
              <c:strCache>
                <c:ptCount val="1"/>
                <c:pt idx="0">
                  <c:v>Costo Solicitado ($)</c:v>
                </c:pt>
              </c:strCache>
            </c:strRef>
          </c:tx>
          <c:invertIfNegative val="0"/>
          <c:cat>
            <c:strRef>
              <c:f>Dashboard_Ejecutivo!$G$38:$G$42</c:f>
              <c:strCache>
                <c:ptCount val="5"/>
                <c:pt idx="0">
                  <c:v>Bacheo Toluca</c:v>
                </c:pt>
                <c:pt idx="1">
                  <c:v>Chamapa-Lechería</c:v>
                </c:pt>
                <c:pt idx="2">
                  <c:v>Lerma - Tres Marías</c:v>
                </c:pt>
                <c:pt idx="3">
                  <c:v>México-Toluca</c:v>
                </c:pt>
                <c:pt idx="4">
                  <c:v>Planta Asfalto Pegaso</c:v>
                </c:pt>
              </c:strCache>
            </c:strRef>
          </c:cat>
          <c:val>
            <c:numRef>
              <c:f>Dashboard_Ejecutivo!$H$38:$H$42</c:f>
              <c:numCache>
                <c:formatCode>"$"#,##0.00</c:formatCode>
                <c:ptCount val="5"/>
                <c:pt idx="0">
                  <c:v>7641</c:v>
                </c:pt>
                <c:pt idx="1">
                  <c:v>67920</c:v>
                </c:pt>
                <c:pt idx="2">
                  <c:v>23489</c:v>
                </c:pt>
                <c:pt idx="3">
                  <c:v>42450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4B-4881-B489-5D0800D67203}"/>
            </c:ext>
          </c:extLst>
        </c:ser>
        <c:ser>
          <c:idx val="1"/>
          <c:order val="1"/>
          <c:tx>
            <c:strRef>
              <c:f>Dashboard_Ejecutivo!$I$37</c:f>
              <c:strCache>
                <c:ptCount val="1"/>
                <c:pt idx="0">
                  <c:v>Costo Surtido ($)</c:v>
                </c:pt>
              </c:strCache>
            </c:strRef>
          </c:tx>
          <c:invertIfNegative val="0"/>
          <c:cat>
            <c:strRef>
              <c:f>Dashboard_Ejecutivo!$G$38:$G$42</c:f>
              <c:strCache>
                <c:ptCount val="5"/>
                <c:pt idx="0">
                  <c:v>Bacheo Toluca</c:v>
                </c:pt>
                <c:pt idx="1">
                  <c:v>Chamapa-Lechería</c:v>
                </c:pt>
                <c:pt idx="2">
                  <c:v>Lerma - Tres Marías</c:v>
                </c:pt>
                <c:pt idx="3">
                  <c:v>México-Toluca</c:v>
                </c:pt>
                <c:pt idx="4">
                  <c:v>Planta Asfalto Pegaso</c:v>
                </c:pt>
              </c:strCache>
            </c:strRef>
          </c:cat>
          <c:val>
            <c:numRef>
              <c:f>Dashboard_Ejecutivo!$I$38:$I$42</c:f>
              <c:numCache>
                <c:formatCode>"$"#,##0.00</c:formatCode>
                <c:ptCount val="5"/>
                <c:pt idx="0">
                  <c:v>9905</c:v>
                </c:pt>
                <c:pt idx="1">
                  <c:v>47911.9</c:v>
                </c:pt>
                <c:pt idx="2">
                  <c:v>24677.599999999999</c:v>
                </c:pt>
                <c:pt idx="3">
                  <c:v>36365.5</c:v>
                </c:pt>
                <c:pt idx="4">
                  <c:v>18310.099999999999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4B-4881-B489-5D0800D67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50001"/>
        <c:axId val="50050002"/>
      </c:barChart>
      <c:catAx>
        <c:axId val="500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Obra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Costo ($)</a:t>
                </a:r>
              </a:p>
            </c:rich>
          </c:tx>
          <c:overlay val="0"/>
        </c:title>
        <c:numFmt formatCode="&quot;$&quot;#,##0.00" sourceLinked="1"/>
        <c:majorTickMark val="out"/>
        <c:minorTickMark val="none"/>
        <c:tickLblPos val="nextTo"/>
        <c:crossAx val="500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53340</xdr:colOff>
      <xdr:row>17</xdr:row>
      <xdr:rowOff>53340</xdr:rowOff>
    </xdr:from>
    <xdr:to>
      <xdr:col>6</xdr:col>
      <xdr:colOff>220980</xdr:colOff>
      <xdr:row>31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543E3C-B075-4E82-821B-77B2528455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502920</xdr:colOff>
      <xdr:row>15</xdr:row>
      <xdr:rowOff>0</xdr:rowOff>
    </xdr:from>
    <xdr:to>
      <xdr:col>13</xdr:col>
      <xdr:colOff>7620</xdr:colOff>
      <xdr:row>32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2967A1-1FEB-4E6F-B493-B5BA8B2CCD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15</xdr:row>
      <xdr:rowOff>0</xdr:rowOff>
    </xdr:from>
    <xdr:to>
      <xdr:col>26</xdr:col>
      <xdr:colOff>142875</xdr:colOff>
      <xdr:row>32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5663C7-0557-43D8-8AC6-A65FEAB303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594360</xdr:colOff>
      <xdr:row>43</xdr:row>
      <xdr:rowOff>144780</xdr:rowOff>
    </xdr:from>
    <xdr:to>
      <xdr:col>6</xdr:col>
      <xdr:colOff>632460</xdr:colOff>
      <xdr:row>61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95D413E-68BD-4E87-9037-E224A4C675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1074420</xdr:colOff>
      <xdr:row>44</xdr:row>
      <xdr:rowOff>7620</xdr:rowOff>
    </xdr:from>
    <xdr:to>
      <xdr:col>12</xdr:col>
      <xdr:colOff>579120</xdr:colOff>
      <xdr:row>61</xdr:row>
      <xdr:rowOff>102870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CC4B658-F7D8-4FBF-94AF-11F2369E3C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Pegaso" displayName="TablaPegaso" ref="A4:L206">
  <tableColumns count="12">
    <tableColumn id="1" xr3:uid="{00000000-0010-0000-0000-000001000000}" name="Fecha"/>
    <tableColumn id="2" xr3:uid="{00000000-0010-0000-0000-000002000000}" name="Tipo Movimiento"/>
    <tableColumn id="3" xr3:uid="{00000000-0010-0000-0000-000003000000}" name="Origen/Destino"/>
    <tableColumn id="4" xr3:uid="{00000000-0010-0000-0000-000004000000}" name="Obra"/>
    <tableColumn id="12" xr3:uid="{6FC56168-92C9-4A15-92BB-9B6C0E40C899}" name="Equipo"/>
    <tableColumn id="5" xr3:uid="{00000000-0010-0000-0000-000005000000}" name="Economico" dataDxfId="6">
      <calculatedColumnFormula>VLOOKUP(TablaPegaso[[#This Row],[Equipo]],Catalogos!$I$4:$J$34,2,FALSE)</calculatedColumnFormula>
    </tableColumn>
    <tableColumn id="6" xr3:uid="{00000000-0010-0000-0000-000006000000}" name="Entrada (L)"/>
    <tableColumn id="7" xr3:uid="{00000000-0010-0000-0000-000007000000}" name="Salida (L)"/>
    <tableColumn id="8" xr3:uid="{00000000-0010-0000-0000-000008000000}" name="Existencia Teórica"/>
    <tableColumn id="9" xr3:uid="{00000000-0010-0000-0000-000009000000}" name="Costo/L"/>
    <tableColumn id="10" xr3:uid="{00000000-0010-0000-0000-00000A000000}" name="Importe"/>
    <tableColumn id="11" xr3:uid="{00000000-0010-0000-0000-00000B000000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Marimba" displayName="TablaMarimba" ref="A4:L204">
  <tableColumns count="12">
    <tableColumn id="1" xr3:uid="{00000000-0010-0000-0100-000001000000}" name="Fecha"/>
    <tableColumn id="2" xr3:uid="{00000000-0010-0000-0100-000002000000}" name="Movimiento"/>
    <tableColumn id="3" xr3:uid="{00000000-0010-0000-0100-000003000000}" name="Origen/Obra"/>
    <tableColumn id="4" xr3:uid="{00000000-0010-0000-0100-000004000000}" name="Equipo"/>
    <tableColumn id="5" xr3:uid="{00000000-0010-0000-0100-000005000000}" name="Económico" dataDxfId="5">
      <calculatedColumnFormula>VLOOKUP(TablaMarimba[[#This Row],[Equipo]],Catalogos!$I$4:$J$34,2,FALSE)</calculatedColumnFormula>
    </tableColumn>
    <tableColumn id="6" xr3:uid="{00000000-0010-0000-0100-000006000000}" name="Entrada (L)"/>
    <tableColumn id="7" xr3:uid="{00000000-0010-0000-0100-000007000000}" name="Salida (L)"/>
    <tableColumn id="8" xr3:uid="{00000000-0010-0000-0100-000008000000}" name="Existencia Teórica"/>
    <tableColumn id="9" xr3:uid="{00000000-0010-0000-0100-000009000000}" name="Costo/L"/>
    <tableColumn id="10" xr3:uid="{00000000-0010-0000-0100-00000A000000}" name="Importe"/>
    <tableColumn id="11" xr3:uid="{00000000-0010-0000-0100-00000B000000}" name="Firma/Validación"/>
    <tableColumn id="12" xr3:uid="{00000000-0010-0000-0100-00000C000000}" name="Observacion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51E1A0-46C0-4363-819E-C11C2C696F1C}" name="TablaObra5" displayName="TablaObra5" ref="A4:K306">
  <autoFilter ref="A4:K306" xr:uid="{9851E1A0-46C0-4363-819E-C11C2C696F1C}"/>
  <tableColumns count="11">
    <tableColumn id="1" xr3:uid="{1461E643-B1E3-492E-BC5A-066B8171677D}" name="Fecha de Solicitud"/>
    <tableColumn id="2" xr3:uid="{E50BD36F-ABD4-438F-AA45-39F57D395FF0}" name="Obra"/>
    <tableColumn id="3" xr3:uid="{53E110DB-361B-4AEE-AD5B-CE674074FD06}" name="Fecha de Trabajo"/>
    <tableColumn id="4" xr3:uid="{27E90FDA-03DE-4CAD-A83C-4B98937C8772}" name="Equipo"/>
    <tableColumn id="5" xr3:uid="{BB8BB4E0-3E58-479F-9990-B9C53949B459}" name="Económico" dataDxfId="4">
      <calculatedColumnFormula>VLOOKUP(TablaObra5[[#This Row],[Equipo]],Catalogos!$I$3:$J$34,2,FALSE)</calculatedColumnFormula>
    </tableColumn>
    <tableColumn id="6" xr3:uid="{A8C23F3C-BA7E-4A96-AF9D-0B9C2D8E2ED0}" name="Litros Solicitados"/>
    <tableColumn id="7" xr3:uid="{028C8286-16D5-4B91-A81F-1C92ED643D5D}" name="Costo/L"/>
    <tableColumn id="8" xr3:uid="{6B42E0B4-BE5B-4B8C-9683-6446D1D5811E}" name="Importe">
      <calculatedColumnFormula>IFERROR(F5*G5,0)</calculatedColumnFormula>
    </tableColumn>
    <tableColumn id="9" xr3:uid="{ED06D6D7-0C20-41DA-9A35-599A98082C50}" name="Solicitante" dataDxfId="3">
      <calculatedColumnFormula>VLOOKUP(TablaObra5[[#This Row],[Obra]],Catalogos!$B$3:$C$8,2,FALSE)</calculatedColumnFormula>
    </tableColumn>
    <tableColumn id="10" xr3:uid="{3356B847-A103-4C3D-AA1D-A6F252B567C6}" name="Incidencia"/>
    <tableColumn id="11" xr3:uid="{24ECEB33-E884-4825-9717-D5F9957DA85D}" name="Observacion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Obra" displayName="TablaObra" ref="A4:K304">
  <autoFilter ref="A4:K304" xr:uid="{00000000-000C-0000-FFFF-FFFF02000000}"/>
  <tableColumns count="11">
    <tableColumn id="1" xr3:uid="{00000000-0010-0000-0200-000001000000}" name="Fecha"/>
    <tableColumn id="2" xr3:uid="{00000000-0010-0000-0200-000002000000}" name="Obra"/>
    <tableColumn id="3" xr3:uid="{00000000-0010-0000-0200-000003000000}" name="Fuente"/>
    <tableColumn id="4" xr3:uid="{00000000-0010-0000-0200-000004000000}" name="Equipo"/>
    <tableColumn id="5" xr3:uid="{00000000-0010-0000-0200-000005000000}" name="Económico" dataDxfId="2">
      <calculatedColumnFormula>VLOOKUP(TablaObra[[#This Row],[Equipo]],Catalogos!I$4:J$34,2,FALSE)</calculatedColumnFormula>
    </tableColumn>
    <tableColumn id="6" xr3:uid="{00000000-0010-0000-0200-000006000000}" name="Litros Recibidos"/>
    <tableColumn id="7" xr3:uid="{00000000-0010-0000-0200-000007000000}" name="Costo/L"/>
    <tableColumn id="8" xr3:uid="{00000000-0010-0000-0200-000008000000}" name="Importe"/>
    <tableColumn id="9" xr3:uid="{00000000-0010-0000-0200-000009000000}" name="Actividad Ejecutada"/>
    <tableColumn id="10" xr3:uid="{00000000-0010-0000-0200-00000A000000}" name="Incidencia"/>
    <tableColumn id="11" xr3:uid="{00000000-0010-0000-0200-00000B000000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>
      <selection sqref="A1:H1"/>
    </sheetView>
  </sheetViews>
  <sheetFormatPr baseColWidth="10" defaultColWidth="8.796875" defaultRowHeight="13.8"/>
  <cols>
    <col min="1" max="1" width="28" customWidth="1"/>
    <col min="2" max="2" width="18" customWidth="1"/>
    <col min="3" max="3" width="22" customWidth="1"/>
    <col min="4" max="4" width="26" customWidth="1"/>
    <col min="5" max="6" width="16" customWidth="1"/>
    <col min="7" max="8" width="12" customWidth="1"/>
  </cols>
  <sheetData>
    <row r="1" spans="1:8" ht="22.35" customHeight="1">
      <c r="A1" s="17" t="s">
        <v>0</v>
      </c>
      <c r="B1" s="18"/>
      <c r="C1" s="18"/>
      <c r="D1" s="18"/>
      <c r="E1" s="18"/>
      <c r="F1" s="18"/>
      <c r="G1" s="18"/>
      <c r="H1" s="18"/>
    </row>
    <row r="3" spans="1:8">
      <c r="A3" s="1" t="s">
        <v>1</v>
      </c>
      <c r="B3" s="1" t="s">
        <v>2</v>
      </c>
      <c r="D3" s="1" t="s">
        <v>3</v>
      </c>
      <c r="E3" s="1" t="s">
        <v>2</v>
      </c>
      <c r="F3" s="1" t="s">
        <v>4</v>
      </c>
    </row>
    <row r="4" spans="1:8">
      <c r="A4" t="s">
        <v>5</v>
      </c>
      <c r="B4" s="3">
        <f>Conciliacion!B4</f>
        <v>2800</v>
      </c>
      <c r="D4" t="s">
        <v>6</v>
      </c>
      <c r="E4" s="3">
        <f>Conciliacion!B15</f>
        <v>1285</v>
      </c>
      <c r="F4" s="4">
        <f>Conciliacion!C15</f>
        <v>36365.5</v>
      </c>
    </row>
    <row r="5" spans="1:8">
      <c r="A5" t="s">
        <v>7</v>
      </c>
      <c r="B5" s="3">
        <f>Conciliacion!B5+Conciliacion!B6</f>
        <v>1772</v>
      </c>
      <c r="D5" t="s">
        <v>8</v>
      </c>
      <c r="E5" s="3">
        <f>Conciliacion!B16</f>
        <v>872</v>
      </c>
      <c r="F5" s="4">
        <f>Conciliacion!C16</f>
        <v>24677.599999999999</v>
      </c>
    </row>
    <row r="6" spans="1:8">
      <c r="A6" t="s">
        <v>9</v>
      </c>
      <c r="B6" s="3">
        <f>Conciliacion!B8</f>
        <v>3075</v>
      </c>
      <c r="D6" t="s">
        <v>10</v>
      </c>
      <c r="E6" s="3">
        <f>Conciliacion!B17</f>
        <v>1693</v>
      </c>
      <c r="F6" s="4">
        <f>Conciliacion!C17</f>
        <v>47911.9</v>
      </c>
    </row>
    <row r="7" spans="1:8">
      <c r="A7" t="s">
        <v>11</v>
      </c>
      <c r="B7" s="3">
        <f>Conciliacion!B9</f>
        <v>4697</v>
      </c>
      <c r="D7" t="s">
        <v>12</v>
      </c>
      <c r="E7" s="3">
        <f>Conciliacion!B21</f>
        <v>4697</v>
      </c>
      <c r="F7" s="4">
        <f>Conciliacion!C21</f>
        <v>132925.1</v>
      </c>
    </row>
    <row r="8" spans="1:8">
      <c r="A8" t="s">
        <v>13</v>
      </c>
      <c r="B8" s="3">
        <f>Conciliacion!B12</f>
        <v>150</v>
      </c>
    </row>
    <row r="10" spans="1:8">
      <c r="A10" s="1" t="s">
        <v>14</v>
      </c>
      <c r="B10" s="1"/>
      <c r="C10" s="1"/>
      <c r="D10" s="1"/>
      <c r="E10" s="1"/>
      <c r="F10" s="1"/>
      <c r="G10" s="1"/>
      <c r="H10" s="1"/>
    </row>
    <row r="11" spans="1:8">
      <c r="A11" t="s">
        <v>15</v>
      </c>
    </row>
    <row r="12" spans="1:8">
      <c r="A12" t="s">
        <v>16</v>
      </c>
    </row>
    <row r="13" spans="1:8">
      <c r="A13" t="s">
        <v>17</v>
      </c>
    </row>
    <row r="14" spans="1:8">
      <c r="A14" t="s">
        <v>18</v>
      </c>
    </row>
    <row r="15" spans="1:8">
      <c r="A15" t="s">
        <v>19</v>
      </c>
    </row>
    <row r="16" spans="1:8">
      <c r="A16" t="s">
        <v>20</v>
      </c>
    </row>
  </sheetData>
  <mergeCells count="1">
    <mergeCell ref="A1:H1"/>
  </mergeCells>
  <conditionalFormatting sqref="B8">
    <cfRule type="expression" dxfId="1" priority="1">
      <formula>B8&lt;&gt;0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3C530-3CEF-4812-A2D2-C7473890D598}">
  <dimension ref="B2:Z43"/>
  <sheetViews>
    <sheetView showGridLines="0" tabSelected="1" topLeftCell="P1" zoomScale="118" zoomScaleNormal="80" workbookViewId="0">
      <selection activeCell="X11" sqref="X11"/>
    </sheetView>
  </sheetViews>
  <sheetFormatPr baseColWidth="10" defaultColWidth="8" defaultRowHeight="14.4"/>
  <cols>
    <col min="1" max="1" width="8" style="11"/>
    <col min="2" max="5" width="15" style="11" customWidth="1"/>
    <col min="6" max="6" width="8" style="11"/>
    <col min="7" max="10" width="15" style="11" customWidth="1"/>
    <col min="11" max="11" width="8" style="11"/>
    <col min="12" max="15" width="15" style="11" customWidth="1"/>
    <col min="16" max="16" width="8" style="11"/>
    <col min="17" max="20" width="15" style="11" customWidth="1"/>
    <col min="21" max="21" width="8" style="11"/>
    <col min="22" max="26" width="15" style="11" customWidth="1"/>
    <col min="27" max="16384" width="8" style="11"/>
  </cols>
  <sheetData>
    <row r="2" spans="2:24" ht="18">
      <c r="B2" s="10" t="s">
        <v>227</v>
      </c>
      <c r="G2" s="10" t="s">
        <v>228</v>
      </c>
      <c r="L2" s="10" t="s">
        <v>229</v>
      </c>
      <c r="Q2" s="10" t="s">
        <v>230</v>
      </c>
      <c r="V2" s="10" t="s">
        <v>231</v>
      </c>
    </row>
    <row r="4" spans="2:24">
      <c r="B4" s="12" t="s">
        <v>28</v>
      </c>
      <c r="C4" s="12" t="s">
        <v>3</v>
      </c>
      <c r="D4" s="12" t="s">
        <v>162</v>
      </c>
      <c r="E4" s="12" t="s">
        <v>232</v>
      </c>
      <c r="G4" s="12" t="s">
        <v>28</v>
      </c>
      <c r="H4" s="12" t="s">
        <v>3</v>
      </c>
      <c r="I4" s="12" t="s">
        <v>33</v>
      </c>
      <c r="J4" s="12" t="s">
        <v>233</v>
      </c>
      <c r="L4" s="12" t="s">
        <v>28</v>
      </c>
      <c r="M4" s="12" t="s">
        <v>3</v>
      </c>
      <c r="N4" s="12" t="s">
        <v>33</v>
      </c>
      <c r="O4" s="12" t="s">
        <v>233</v>
      </c>
      <c r="Q4" s="12" t="s">
        <v>28</v>
      </c>
      <c r="R4" s="12" t="s">
        <v>3</v>
      </c>
      <c r="S4" s="12" t="s">
        <v>52</v>
      </c>
      <c r="T4" s="12" t="s">
        <v>233</v>
      </c>
      <c r="V4" s="12" t="s">
        <v>3</v>
      </c>
      <c r="W4" s="12" t="s">
        <v>52</v>
      </c>
      <c r="X4" s="12" t="s">
        <v>233</v>
      </c>
    </row>
    <row r="5" spans="2:24">
      <c r="B5" s="13" t="s">
        <v>234</v>
      </c>
      <c r="C5" s="13" t="s">
        <v>8</v>
      </c>
      <c r="D5" s="13">
        <v>160</v>
      </c>
      <c r="E5" s="14">
        <v>4528</v>
      </c>
      <c r="G5" s="13" t="s">
        <v>235</v>
      </c>
      <c r="H5" s="13" t="s">
        <v>10</v>
      </c>
      <c r="I5" s="13">
        <v>455</v>
      </c>
      <c r="J5" s="14">
        <v>12876.5</v>
      </c>
      <c r="L5" s="13" t="s">
        <v>235</v>
      </c>
      <c r="M5" s="13" t="s">
        <v>210</v>
      </c>
      <c r="N5" s="13">
        <v>180</v>
      </c>
      <c r="O5" s="14">
        <v>5094</v>
      </c>
      <c r="Q5" s="13" t="s">
        <v>235</v>
      </c>
      <c r="R5" s="13" t="s">
        <v>210</v>
      </c>
      <c r="S5" s="13">
        <v>100</v>
      </c>
      <c r="T5" s="14">
        <v>2830</v>
      </c>
      <c r="V5" s="13" t="s">
        <v>210</v>
      </c>
      <c r="W5" s="13">
        <v>200</v>
      </c>
      <c r="X5" s="14">
        <v>5660</v>
      </c>
    </row>
    <row r="6" spans="2:24">
      <c r="B6" s="13" t="s">
        <v>234</v>
      </c>
      <c r="C6" s="13" t="s">
        <v>6</v>
      </c>
      <c r="D6" s="13">
        <v>640</v>
      </c>
      <c r="E6" s="14">
        <v>18112</v>
      </c>
      <c r="G6" s="13" t="s">
        <v>235</v>
      </c>
      <c r="H6" s="13" t="s">
        <v>8</v>
      </c>
      <c r="I6" s="13">
        <v>97</v>
      </c>
      <c r="J6" s="14">
        <v>2745.1</v>
      </c>
      <c r="L6" s="13" t="s">
        <v>235</v>
      </c>
      <c r="M6" s="13" t="s">
        <v>214</v>
      </c>
      <c r="N6" s="13">
        <v>409</v>
      </c>
      <c r="O6" s="14">
        <v>11574.7</v>
      </c>
      <c r="Q6" s="13" t="s">
        <v>235</v>
      </c>
      <c r="R6" s="13" t="s">
        <v>10</v>
      </c>
      <c r="S6" s="13">
        <v>455</v>
      </c>
      <c r="T6" s="14">
        <v>12876.5</v>
      </c>
      <c r="V6" s="13" t="s">
        <v>10</v>
      </c>
      <c r="W6" s="13">
        <v>1693</v>
      </c>
      <c r="X6" s="14">
        <v>47911.9</v>
      </c>
    </row>
    <row r="7" spans="2:24">
      <c r="B7" s="13" t="s">
        <v>235</v>
      </c>
      <c r="C7" s="13" t="s">
        <v>210</v>
      </c>
      <c r="D7" s="13">
        <v>100</v>
      </c>
      <c r="E7" s="14">
        <v>2830</v>
      </c>
      <c r="G7" s="13" t="s">
        <v>235</v>
      </c>
      <c r="H7" s="13" t="s">
        <v>6</v>
      </c>
      <c r="I7" s="13">
        <v>369</v>
      </c>
      <c r="J7" s="14">
        <v>10442.700000000001</v>
      </c>
      <c r="L7" s="13" t="s">
        <v>236</v>
      </c>
      <c r="M7" s="13" t="s">
        <v>8</v>
      </c>
      <c r="N7" s="13">
        <v>180</v>
      </c>
      <c r="O7" s="14">
        <v>5094</v>
      </c>
      <c r="Q7" s="13" t="s">
        <v>235</v>
      </c>
      <c r="R7" s="13" t="s">
        <v>8</v>
      </c>
      <c r="S7" s="13">
        <v>97</v>
      </c>
      <c r="T7" s="14">
        <v>2745.1</v>
      </c>
      <c r="V7" s="13" t="s">
        <v>8</v>
      </c>
      <c r="W7" s="13">
        <v>872</v>
      </c>
      <c r="X7" s="14">
        <v>24677.599999999999</v>
      </c>
    </row>
    <row r="8" spans="2:24">
      <c r="B8" s="13" t="s">
        <v>235</v>
      </c>
      <c r="C8" s="13" t="s">
        <v>10</v>
      </c>
      <c r="D8" s="13">
        <v>990</v>
      </c>
      <c r="E8" s="14">
        <v>28017</v>
      </c>
      <c r="G8" s="13" t="s">
        <v>236</v>
      </c>
      <c r="H8" s="13" t="s">
        <v>10</v>
      </c>
      <c r="I8" s="13">
        <v>736</v>
      </c>
      <c r="J8" s="14">
        <v>20828.8</v>
      </c>
      <c r="L8" s="13" t="s">
        <v>237</v>
      </c>
      <c r="M8" s="13" t="s">
        <v>210</v>
      </c>
      <c r="N8" s="13">
        <v>100</v>
      </c>
      <c r="O8" s="14">
        <v>2830</v>
      </c>
      <c r="Q8" s="13" t="s">
        <v>235</v>
      </c>
      <c r="R8" s="13" t="s">
        <v>6</v>
      </c>
      <c r="S8" s="13">
        <v>369</v>
      </c>
      <c r="T8" s="14">
        <v>10442.700000000001</v>
      </c>
      <c r="V8" s="13" t="s">
        <v>6</v>
      </c>
      <c r="W8" s="13">
        <v>1285</v>
      </c>
      <c r="X8" s="14">
        <v>36365.5</v>
      </c>
    </row>
    <row r="9" spans="2:24">
      <c r="B9" s="13" t="s">
        <v>236</v>
      </c>
      <c r="C9" s="13" t="s">
        <v>210</v>
      </c>
      <c r="D9" s="13">
        <v>100</v>
      </c>
      <c r="E9" s="14">
        <v>2830</v>
      </c>
      <c r="G9" s="13" t="s">
        <v>237</v>
      </c>
      <c r="H9" s="13" t="s">
        <v>6</v>
      </c>
      <c r="I9" s="13">
        <v>300</v>
      </c>
      <c r="J9" s="14">
        <v>8490</v>
      </c>
      <c r="L9" s="13" t="s">
        <v>238</v>
      </c>
      <c r="M9" s="13" t="s">
        <v>8</v>
      </c>
      <c r="N9" s="13">
        <v>595</v>
      </c>
      <c r="O9" s="14">
        <v>16838.5</v>
      </c>
      <c r="Q9" s="13" t="s">
        <v>235</v>
      </c>
      <c r="R9" s="13" t="s">
        <v>214</v>
      </c>
      <c r="S9" s="13">
        <v>409</v>
      </c>
      <c r="T9" s="14">
        <v>11574.7</v>
      </c>
      <c r="V9" s="13" t="s">
        <v>214</v>
      </c>
      <c r="W9" s="13">
        <v>647</v>
      </c>
      <c r="X9" s="14">
        <v>18310.099999999999</v>
      </c>
    </row>
    <row r="10" spans="2:24">
      <c r="B10" s="13" t="s">
        <v>236</v>
      </c>
      <c r="C10" s="13" t="s">
        <v>10</v>
      </c>
      <c r="D10" s="13">
        <v>790</v>
      </c>
      <c r="E10" s="14">
        <v>22357</v>
      </c>
      <c r="G10" s="13" t="s">
        <v>238</v>
      </c>
      <c r="H10" s="13" t="s">
        <v>6</v>
      </c>
      <c r="I10" s="13">
        <v>256</v>
      </c>
      <c r="J10" s="14">
        <v>7244.8</v>
      </c>
      <c r="L10" s="13" t="s">
        <v>238</v>
      </c>
      <c r="M10" s="13" t="s">
        <v>214</v>
      </c>
      <c r="N10" s="13">
        <v>238</v>
      </c>
      <c r="O10" s="14">
        <v>6735.4000000000005</v>
      </c>
      <c r="Q10" s="13" t="s">
        <v>236</v>
      </c>
      <c r="R10" s="13" t="s">
        <v>10</v>
      </c>
      <c r="S10" s="13">
        <v>736</v>
      </c>
      <c r="T10" s="14">
        <v>20828.8</v>
      </c>
      <c r="X10" s="20">
        <f>SUM(X5:X9)</f>
        <v>132925.1</v>
      </c>
    </row>
    <row r="11" spans="2:24">
      <c r="B11" s="13" t="s">
        <v>236</v>
      </c>
      <c r="C11" s="13" t="s">
        <v>8</v>
      </c>
      <c r="D11" s="13">
        <v>210</v>
      </c>
      <c r="E11" s="14">
        <v>5943</v>
      </c>
      <c r="G11" s="13" t="s">
        <v>239</v>
      </c>
      <c r="H11" s="13" t="s">
        <v>10</v>
      </c>
      <c r="I11" s="13">
        <v>502</v>
      </c>
      <c r="J11" s="14">
        <v>14206.6</v>
      </c>
      <c r="L11" s="13" t="s">
        <v>239</v>
      </c>
      <c r="M11" s="13" t="s">
        <v>210</v>
      </c>
      <c r="N11" s="13">
        <v>70</v>
      </c>
      <c r="O11" s="14">
        <v>1981</v>
      </c>
      <c r="Q11" s="13" t="s">
        <v>236</v>
      </c>
      <c r="R11" s="13" t="s">
        <v>8</v>
      </c>
      <c r="S11" s="13">
        <v>180</v>
      </c>
      <c r="T11" s="14">
        <v>5094</v>
      </c>
    </row>
    <row r="12" spans="2:24">
      <c r="B12" s="13" t="s">
        <v>237</v>
      </c>
      <c r="C12" s="13" t="s">
        <v>6</v>
      </c>
      <c r="D12" s="13">
        <v>320</v>
      </c>
      <c r="E12" s="14">
        <v>9056</v>
      </c>
      <c r="G12" s="13" t="s">
        <v>239</v>
      </c>
      <c r="H12" s="13" t="s">
        <v>6</v>
      </c>
      <c r="I12" s="13">
        <v>360</v>
      </c>
      <c r="J12" s="14">
        <v>10188</v>
      </c>
      <c r="Q12" s="13" t="s">
        <v>237</v>
      </c>
      <c r="R12" s="13" t="s">
        <v>210</v>
      </c>
      <c r="S12" s="13">
        <v>100</v>
      </c>
      <c r="T12" s="14">
        <v>2830</v>
      </c>
    </row>
    <row r="13" spans="2:24">
      <c r="B13" s="13" t="s">
        <v>238</v>
      </c>
      <c r="C13" s="13" t="s">
        <v>210</v>
      </c>
      <c r="D13" s="13">
        <v>70</v>
      </c>
      <c r="E13" s="14">
        <v>1981</v>
      </c>
      <c r="Q13" s="13" t="s">
        <v>237</v>
      </c>
      <c r="R13" s="13" t="s">
        <v>6</v>
      </c>
      <c r="S13" s="13">
        <v>300</v>
      </c>
      <c r="T13" s="14">
        <v>8490</v>
      </c>
    </row>
    <row r="14" spans="2:24">
      <c r="B14" s="13" t="s">
        <v>238</v>
      </c>
      <c r="C14" s="13" t="s">
        <v>8</v>
      </c>
      <c r="D14" s="13">
        <v>460</v>
      </c>
      <c r="E14" s="14">
        <v>13018</v>
      </c>
      <c r="Q14" s="13" t="s">
        <v>238</v>
      </c>
      <c r="R14" s="13" t="s">
        <v>8</v>
      </c>
      <c r="S14" s="13">
        <v>595</v>
      </c>
      <c r="T14" s="14">
        <v>16838.5</v>
      </c>
    </row>
    <row r="15" spans="2:24">
      <c r="B15" s="13" t="s">
        <v>239</v>
      </c>
      <c r="C15" s="13" t="s">
        <v>10</v>
      </c>
      <c r="D15" s="13">
        <v>620</v>
      </c>
      <c r="E15" s="14">
        <v>17546</v>
      </c>
      <c r="Q15" s="13" t="s">
        <v>238</v>
      </c>
      <c r="R15" s="13" t="s">
        <v>6</v>
      </c>
      <c r="S15" s="13">
        <v>256</v>
      </c>
      <c r="T15" s="14">
        <v>7244.8</v>
      </c>
    </row>
    <row r="16" spans="2:24">
      <c r="B16" s="13" t="s">
        <v>239</v>
      </c>
      <c r="C16" s="13" t="s">
        <v>6</v>
      </c>
      <c r="D16" s="13">
        <v>540</v>
      </c>
      <c r="E16" s="14">
        <v>15282</v>
      </c>
      <c r="Q16" s="13" t="s">
        <v>238</v>
      </c>
      <c r="R16" s="13" t="s">
        <v>214</v>
      </c>
      <c r="S16" s="13">
        <v>238</v>
      </c>
      <c r="T16" s="14">
        <v>6735.4000000000005</v>
      </c>
    </row>
    <row r="17" spans="17:20">
      <c r="Q17" s="13" t="s">
        <v>239</v>
      </c>
      <c r="R17" s="13" t="s">
        <v>10</v>
      </c>
      <c r="S17" s="13">
        <v>502</v>
      </c>
      <c r="T17" s="14">
        <v>14206.6</v>
      </c>
    </row>
    <row r="18" spans="17:20">
      <c r="Q18" s="13" t="s">
        <v>239</v>
      </c>
      <c r="R18" s="13" t="s">
        <v>6</v>
      </c>
      <c r="S18" s="13">
        <v>360</v>
      </c>
      <c r="T18" s="14">
        <v>10188</v>
      </c>
    </row>
    <row r="35" spans="2:26" ht="18">
      <c r="B35" s="10" t="s">
        <v>240</v>
      </c>
      <c r="G35" s="10" t="s">
        <v>241</v>
      </c>
      <c r="L35" s="10" t="s">
        <v>242</v>
      </c>
      <c r="Q35" s="10" t="s">
        <v>243</v>
      </c>
      <c r="V35" s="15" t="s">
        <v>244</v>
      </c>
    </row>
    <row r="37" spans="2:26">
      <c r="B37" s="12" t="s">
        <v>28</v>
      </c>
      <c r="C37" s="12" t="s">
        <v>245</v>
      </c>
      <c r="D37" s="12" t="s">
        <v>233</v>
      </c>
      <c r="G37" s="12" t="s">
        <v>3</v>
      </c>
      <c r="H37" s="12" t="s">
        <v>245</v>
      </c>
      <c r="I37" s="12" t="s">
        <v>233</v>
      </c>
      <c r="L37" s="12" t="s">
        <v>28</v>
      </c>
      <c r="M37" s="12" t="s">
        <v>246</v>
      </c>
      <c r="N37" s="12" t="s">
        <v>247</v>
      </c>
      <c r="Q37" s="12" t="s">
        <v>3</v>
      </c>
      <c r="R37" s="12" t="s">
        <v>246</v>
      </c>
      <c r="S37" s="12" t="s">
        <v>247</v>
      </c>
      <c r="V37" s="16" t="s">
        <v>28</v>
      </c>
      <c r="W37" s="16" t="s">
        <v>3</v>
      </c>
      <c r="X37" s="16" t="s">
        <v>248</v>
      </c>
      <c r="Y37" s="16" t="s">
        <v>52</v>
      </c>
      <c r="Z37" s="16" t="s">
        <v>249</v>
      </c>
    </row>
    <row r="38" spans="2:26">
      <c r="B38" s="13" t="s">
        <v>234</v>
      </c>
      <c r="C38" s="14">
        <v>22640</v>
      </c>
      <c r="D38" s="14">
        <v>0</v>
      </c>
      <c r="G38" s="13" t="s">
        <v>210</v>
      </c>
      <c r="H38" s="14">
        <v>7641</v>
      </c>
      <c r="I38" s="14">
        <v>9905</v>
      </c>
      <c r="L38" s="13" t="s">
        <v>235</v>
      </c>
      <c r="M38" s="13">
        <v>1510</v>
      </c>
      <c r="N38" s="14">
        <v>42733</v>
      </c>
      <c r="Q38" s="13" t="s">
        <v>210</v>
      </c>
      <c r="R38" s="13">
        <v>350</v>
      </c>
      <c r="S38" s="14">
        <v>9905</v>
      </c>
      <c r="V38" s="13" t="s">
        <v>235</v>
      </c>
      <c r="W38" s="13" t="s">
        <v>210</v>
      </c>
      <c r="X38" s="13">
        <v>180</v>
      </c>
      <c r="Y38" s="13">
        <v>100</v>
      </c>
      <c r="Z38" s="13">
        <v>80</v>
      </c>
    </row>
    <row r="39" spans="2:26">
      <c r="B39" s="13" t="s">
        <v>235</v>
      </c>
      <c r="C39" s="14">
        <v>30847</v>
      </c>
      <c r="D39" s="14">
        <v>42733</v>
      </c>
      <c r="G39" s="13" t="s">
        <v>10</v>
      </c>
      <c r="H39" s="14">
        <v>67920</v>
      </c>
      <c r="I39" s="14">
        <v>47911.9</v>
      </c>
      <c r="L39" s="13" t="s">
        <v>236</v>
      </c>
      <c r="M39" s="13">
        <v>916</v>
      </c>
      <c r="N39" s="14">
        <v>25922.799999999999</v>
      </c>
      <c r="Q39" s="13" t="s">
        <v>10</v>
      </c>
      <c r="R39" s="13">
        <v>1693</v>
      </c>
      <c r="S39" s="14">
        <v>47911.9</v>
      </c>
      <c r="V39" s="13" t="s">
        <v>239</v>
      </c>
      <c r="W39" s="13" t="s">
        <v>210</v>
      </c>
      <c r="X39" s="13">
        <v>70</v>
      </c>
      <c r="Y39" s="13">
        <v>0</v>
      </c>
      <c r="Z39" s="13">
        <v>70</v>
      </c>
    </row>
    <row r="40" spans="2:26">
      <c r="B40" s="13" t="s">
        <v>236</v>
      </c>
      <c r="C40" s="14">
        <v>31130</v>
      </c>
      <c r="D40" s="14">
        <v>25922.799999999999</v>
      </c>
      <c r="G40" s="13" t="s">
        <v>8</v>
      </c>
      <c r="H40" s="14">
        <v>23489</v>
      </c>
      <c r="I40" s="14">
        <v>24677.599999999999</v>
      </c>
      <c r="L40" s="13" t="s">
        <v>237</v>
      </c>
      <c r="M40" s="13">
        <v>400</v>
      </c>
      <c r="N40" s="14">
        <v>11320</v>
      </c>
      <c r="Q40" s="13" t="s">
        <v>8</v>
      </c>
      <c r="R40" s="13">
        <v>872</v>
      </c>
      <c r="S40" s="14">
        <v>24677.599999999999</v>
      </c>
    </row>
    <row r="41" spans="2:26">
      <c r="B41" s="13" t="s">
        <v>237</v>
      </c>
      <c r="C41" s="14">
        <v>9056</v>
      </c>
      <c r="D41" s="14">
        <v>11320</v>
      </c>
      <c r="G41" s="13" t="s">
        <v>6</v>
      </c>
      <c r="H41" s="14">
        <v>42450</v>
      </c>
      <c r="I41" s="14">
        <v>36365.5</v>
      </c>
      <c r="L41" s="13" t="s">
        <v>238</v>
      </c>
      <c r="M41" s="13">
        <v>1089</v>
      </c>
      <c r="N41" s="14">
        <v>30818.7</v>
      </c>
      <c r="Q41" s="13" t="s">
        <v>6</v>
      </c>
      <c r="R41" s="13">
        <v>1285</v>
      </c>
      <c r="S41" s="14">
        <v>36365.5</v>
      </c>
    </row>
    <row r="42" spans="2:26">
      <c r="B42" s="13" t="s">
        <v>238</v>
      </c>
      <c r="C42" s="14">
        <v>14999</v>
      </c>
      <c r="D42" s="14">
        <v>30818.7</v>
      </c>
      <c r="G42" s="13" t="s">
        <v>214</v>
      </c>
      <c r="H42" s="14">
        <v>0</v>
      </c>
      <c r="I42" s="14">
        <v>18310.099999999999</v>
      </c>
      <c r="L42" s="13" t="s">
        <v>239</v>
      </c>
      <c r="M42" s="13">
        <v>932</v>
      </c>
      <c r="N42" s="14">
        <v>26375.599999999999</v>
      </c>
      <c r="Q42" s="13" t="s">
        <v>214</v>
      </c>
      <c r="R42" s="13">
        <v>647</v>
      </c>
      <c r="S42" s="14">
        <v>18310.099999999999</v>
      </c>
    </row>
    <row r="43" spans="2:26">
      <c r="B43" s="13" t="s">
        <v>239</v>
      </c>
      <c r="C43" s="14">
        <v>32828</v>
      </c>
      <c r="D43" s="14">
        <v>26375.599999999999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6"/>
  <sheetViews>
    <sheetView workbookViewId="0">
      <selection activeCell="L8" sqref="L8"/>
    </sheetView>
  </sheetViews>
  <sheetFormatPr baseColWidth="10" defaultColWidth="8.796875" defaultRowHeight="13.8"/>
  <cols>
    <col min="1" max="1" width="13" customWidth="1"/>
    <col min="2" max="2" width="18" customWidth="1"/>
    <col min="3" max="3" width="22" customWidth="1"/>
    <col min="4" max="5" width="20" customWidth="1"/>
    <col min="6" max="6" width="18" customWidth="1"/>
    <col min="7" max="8" width="12" customWidth="1"/>
    <col min="9" max="9" width="16" customWidth="1"/>
    <col min="10" max="10" width="12" customWidth="1"/>
    <col min="11" max="11" width="14" customWidth="1"/>
    <col min="12" max="12" width="30" customWidth="1"/>
  </cols>
  <sheetData>
    <row r="1" spans="1:12" ht="22.35" customHeight="1">
      <c r="A1" s="17" t="s">
        <v>21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>
      <c r="A2" t="s">
        <v>22</v>
      </c>
      <c r="C2" t="s">
        <v>23</v>
      </c>
      <c r="F2" t="s">
        <v>24</v>
      </c>
      <c r="H2" t="s">
        <v>25</v>
      </c>
      <c r="I2" t="s">
        <v>26</v>
      </c>
      <c r="J2" t="s">
        <v>27</v>
      </c>
    </row>
    <row r="4" spans="1:12" ht="27.6">
      <c r="A4" s="1" t="s">
        <v>28</v>
      </c>
      <c r="B4" s="1" t="s">
        <v>29</v>
      </c>
      <c r="C4" s="1" t="s">
        <v>30</v>
      </c>
      <c r="D4" s="1" t="s">
        <v>3</v>
      </c>
      <c r="E4" s="1" t="s">
        <v>45</v>
      </c>
      <c r="F4" s="1" t="s">
        <v>209</v>
      </c>
      <c r="G4" s="1" t="s">
        <v>32</v>
      </c>
      <c r="H4" s="1" t="s">
        <v>33</v>
      </c>
      <c r="I4" s="1" t="s">
        <v>34</v>
      </c>
      <c r="J4" s="1" t="s">
        <v>35</v>
      </c>
      <c r="K4" s="1" t="s">
        <v>36</v>
      </c>
      <c r="L4" s="1" t="s">
        <v>37</v>
      </c>
    </row>
    <row r="5" spans="1:12">
      <c r="A5" s="2">
        <v>46181</v>
      </c>
      <c r="B5" t="s">
        <v>154</v>
      </c>
      <c r="C5" t="s">
        <v>96</v>
      </c>
      <c r="D5" t="s">
        <v>210</v>
      </c>
      <c r="E5" t="s">
        <v>211</v>
      </c>
      <c r="F5" t="str">
        <f>VLOOKUP(TablaPegaso[[#This Row],[Equipo]],Catalogos!$I$4:$J$34,2,FALSE)</f>
        <v>BD-01</v>
      </c>
      <c r="G5" s="3"/>
      <c r="H5" s="3">
        <v>100</v>
      </c>
      <c r="I5" s="3">
        <f t="shared" ref="I5:I38" si="0">IF(ROW()=5,G5-H5,I4+G5-H5)</f>
        <v>-100</v>
      </c>
      <c r="J5" s="4">
        <v>28.3</v>
      </c>
      <c r="K5" s="4">
        <f t="shared" ref="K5:K38" si="1">IFERROR((G5+H5)*J5,0)</f>
        <v>2830</v>
      </c>
    </row>
    <row r="6" spans="1:12">
      <c r="A6" s="2">
        <v>46181</v>
      </c>
      <c r="B6" t="s">
        <v>154</v>
      </c>
      <c r="C6" t="s">
        <v>214</v>
      </c>
      <c r="D6" t="s">
        <v>214</v>
      </c>
      <c r="E6" t="s">
        <v>211</v>
      </c>
      <c r="F6" t="str">
        <f>VLOOKUP(TablaPegaso[[#This Row],[Equipo]],Catalogos!$I$4:$J$34,2,FALSE)</f>
        <v>BD-01</v>
      </c>
      <c r="G6" s="3"/>
      <c r="H6" s="3">
        <v>200</v>
      </c>
      <c r="I6" s="3">
        <f t="shared" si="0"/>
        <v>-300</v>
      </c>
      <c r="J6" s="4">
        <v>28.3</v>
      </c>
      <c r="K6" s="4">
        <f t="shared" si="1"/>
        <v>5660</v>
      </c>
    </row>
    <row r="7" spans="1:12">
      <c r="A7" s="2">
        <v>46181</v>
      </c>
      <c r="B7" t="s">
        <v>154</v>
      </c>
      <c r="C7" t="s">
        <v>215</v>
      </c>
      <c r="D7" t="s">
        <v>214</v>
      </c>
      <c r="E7" t="s">
        <v>211</v>
      </c>
      <c r="F7" t="str">
        <f>VLOOKUP(TablaPegaso[[#This Row],[Equipo]],Catalogos!$I$4:$J$34,2,FALSE)</f>
        <v>BD-01</v>
      </c>
      <c r="G7" s="3"/>
      <c r="H7" s="3">
        <v>209</v>
      </c>
      <c r="I7" s="3">
        <f t="shared" si="0"/>
        <v>-509</v>
      </c>
      <c r="J7" s="4">
        <v>28.3</v>
      </c>
      <c r="K7" s="4">
        <f t="shared" si="1"/>
        <v>5914.7</v>
      </c>
    </row>
    <row r="8" spans="1:12">
      <c r="A8" s="2">
        <v>46181</v>
      </c>
      <c r="B8" t="s">
        <v>225</v>
      </c>
      <c r="F8" t="e">
        <f>VLOOKUP(TablaPegaso[[#This Row],[Equipo]],Catalogos!$I$4:$J$34,2,FALSE)</f>
        <v>#N/A</v>
      </c>
      <c r="G8" s="3">
        <v>2800</v>
      </c>
      <c r="H8" s="3"/>
      <c r="I8" s="3">
        <f t="shared" si="0"/>
        <v>2291</v>
      </c>
      <c r="J8" s="4">
        <v>28.3</v>
      </c>
      <c r="K8" s="4">
        <f t="shared" si="1"/>
        <v>79240</v>
      </c>
    </row>
    <row r="9" spans="1:12">
      <c r="A9" s="2">
        <v>46181</v>
      </c>
      <c r="B9" t="s">
        <v>154</v>
      </c>
      <c r="C9" t="s">
        <v>93</v>
      </c>
      <c r="D9" t="s">
        <v>210</v>
      </c>
      <c r="E9" t="s">
        <v>211</v>
      </c>
      <c r="F9" t="str">
        <f>VLOOKUP(TablaPegaso[[#This Row],[Equipo]],Catalogos!$I$4:$J$34,2,FALSE)</f>
        <v>BD-01</v>
      </c>
      <c r="G9" s="3"/>
      <c r="H9" s="3">
        <v>80</v>
      </c>
      <c r="I9" s="3">
        <f t="shared" si="0"/>
        <v>2211</v>
      </c>
      <c r="J9" s="4">
        <v>28.3</v>
      </c>
      <c r="K9" s="4">
        <f t="shared" si="1"/>
        <v>2264</v>
      </c>
    </row>
    <row r="10" spans="1:12">
      <c r="A10" s="2">
        <v>46182</v>
      </c>
      <c r="B10" t="s">
        <v>154</v>
      </c>
      <c r="C10" t="s">
        <v>93</v>
      </c>
      <c r="D10" t="s">
        <v>8</v>
      </c>
      <c r="E10" t="s">
        <v>95</v>
      </c>
      <c r="F10" t="str">
        <f>VLOOKUP(TablaPegaso[[#This Row],[Equipo]],Catalogos!$I$4:$J$34,2,FALSE)</f>
        <v>RT-01</v>
      </c>
      <c r="G10" s="3"/>
      <c r="H10" s="3">
        <v>70</v>
      </c>
      <c r="I10" s="3">
        <f t="shared" si="0"/>
        <v>2141</v>
      </c>
      <c r="J10" s="4">
        <v>28.3</v>
      </c>
      <c r="K10" s="4">
        <f t="shared" si="1"/>
        <v>1981</v>
      </c>
    </row>
    <row r="11" spans="1:12">
      <c r="A11" s="2">
        <v>46182</v>
      </c>
      <c r="B11" t="s">
        <v>154</v>
      </c>
      <c r="C11" t="s">
        <v>93</v>
      </c>
      <c r="D11" t="s">
        <v>8</v>
      </c>
      <c r="E11" t="s">
        <v>200</v>
      </c>
      <c r="F11" t="str">
        <f>VLOOKUP(TablaPegaso[[#This Row],[Equipo]],Catalogos!$I$4:$J$34,2,FALSE)</f>
        <v>DR-01</v>
      </c>
      <c r="G11" s="3"/>
      <c r="H11" s="3">
        <v>50</v>
      </c>
      <c r="I11" s="3">
        <f t="shared" si="0"/>
        <v>2091</v>
      </c>
      <c r="J11" s="4">
        <v>28.3</v>
      </c>
      <c r="K11" s="4">
        <f t="shared" si="1"/>
        <v>1415</v>
      </c>
    </row>
    <row r="12" spans="1:12">
      <c r="A12" s="2">
        <v>46182</v>
      </c>
      <c r="B12" t="s">
        <v>154</v>
      </c>
      <c r="C12" t="s">
        <v>93</v>
      </c>
      <c r="D12" t="s">
        <v>8</v>
      </c>
      <c r="E12" t="s">
        <v>100</v>
      </c>
      <c r="F12" t="str">
        <f>VLOOKUP(TablaPegaso[[#This Row],[Equipo]],Catalogos!$I$4:$J$34,2,FALSE)</f>
        <v>PT-01</v>
      </c>
      <c r="G12" s="3"/>
      <c r="H12" s="3">
        <v>60</v>
      </c>
      <c r="I12" s="3">
        <f t="shared" si="0"/>
        <v>2031</v>
      </c>
      <c r="J12" s="4">
        <v>28.3</v>
      </c>
      <c r="K12" s="4">
        <f t="shared" si="1"/>
        <v>1698</v>
      </c>
    </row>
    <row r="13" spans="1:12">
      <c r="A13" s="2">
        <v>46183</v>
      </c>
      <c r="B13" t="s">
        <v>154</v>
      </c>
      <c r="C13" t="s">
        <v>96</v>
      </c>
      <c r="D13" t="s">
        <v>210</v>
      </c>
      <c r="E13" t="s">
        <v>211</v>
      </c>
      <c r="F13" t="str">
        <f>VLOOKUP(TablaPegaso[[#This Row],[Equipo]],Catalogos!$I$4:$J$34,2,FALSE)</f>
        <v>BD-01</v>
      </c>
      <c r="G13" s="3"/>
      <c r="H13" s="3">
        <v>100</v>
      </c>
      <c r="I13" s="3">
        <f t="shared" si="0"/>
        <v>1931</v>
      </c>
      <c r="J13" s="4">
        <v>28.3</v>
      </c>
      <c r="K13" s="4">
        <f t="shared" si="1"/>
        <v>2830</v>
      </c>
    </row>
    <row r="14" spans="1:12">
      <c r="A14" s="2">
        <v>46184</v>
      </c>
      <c r="B14" t="s">
        <v>154</v>
      </c>
      <c r="C14" t="s">
        <v>214</v>
      </c>
      <c r="D14" t="s">
        <v>214</v>
      </c>
      <c r="E14" t="s">
        <v>217</v>
      </c>
      <c r="F14" t="str">
        <f>VLOOKUP(TablaPegaso[[#This Row],[Equipo]],Catalogos!$I$4:$J$34,2,FALSE)</f>
        <v>PL-01</v>
      </c>
      <c r="G14" s="3"/>
      <c r="H14" s="3">
        <v>238</v>
      </c>
      <c r="I14" s="3">
        <f t="shared" si="0"/>
        <v>1693</v>
      </c>
      <c r="J14" s="4">
        <v>28.3</v>
      </c>
      <c r="K14" s="4">
        <f t="shared" si="1"/>
        <v>6735.4000000000005</v>
      </c>
    </row>
    <row r="15" spans="1:12">
      <c r="A15" s="2">
        <v>46184</v>
      </c>
      <c r="B15" t="s">
        <v>154</v>
      </c>
      <c r="C15" t="s">
        <v>93</v>
      </c>
      <c r="D15" t="s">
        <v>8</v>
      </c>
      <c r="E15" t="s">
        <v>100</v>
      </c>
      <c r="F15" t="str">
        <f>VLOOKUP(TablaPegaso[[#This Row],[Equipo]],Catalogos!$I$4:$J$34,2,FALSE)</f>
        <v>PT-01</v>
      </c>
      <c r="G15" s="3"/>
      <c r="H15" s="3">
        <v>80</v>
      </c>
      <c r="I15" s="3">
        <f t="shared" si="0"/>
        <v>1613</v>
      </c>
      <c r="J15" s="4">
        <v>28.3</v>
      </c>
      <c r="K15" s="4">
        <f t="shared" si="1"/>
        <v>2264</v>
      </c>
    </row>
    <row r="16" spans="1:12">
      <c r="A16" s="2">
        <v>46184</v>
      </c>
      <c r="B16" t="s">
        <v>154</v>
      </c>
      <c r="C16" t="s">
        <v>93</v>
      </c>
      <c r="D16" t="s">
        <v>8</v>
      </c>
      <c r="E16" t="s">
        <v>194</v>
      </c>
      <c r="F16" t="str">
        <f>VLOOKUP(TablaPegaso[[#This Row],[Equipo]],Catalogos!$I$4:$J$34,2,FALSE)</f>
        <v>CPR-01</v>
      </c>
      <c r="G16" s="3"/>
      <c r="H16" s="3">
        <v>50</v>
      </c>
      <c r="I16" s="3">
        <f t="shared" si="0"/>
        <v>1563</v>
      </c>
      <c r="J16" s="4">
        <v>28.3</v>
      </c>
      <c r="K16" s="4">
        <f t="shared" si="1"/>
        <v>1415</v>
      </c>
    </row>
    <row r="17" spans="1:11">
      <c r="A17" s="2">
        <v>46184</v>
      </c>
      <c r="B17" t="s">
        <v>154</v>
      </c>
      <c r="C17" t="s">
        <v>93</v>
      </c>
      <c r="D17" t="s">
        <v>8</v>
      </c>
      <c r="E17" t="s">
        <v>95</v>
      </c>
      <c r="F17" t="str">
        <f>VLOOKUP(TablaPegaso[[#This Row],[Equipo]],Catalogos!$I$4:$J$34,2,FALSE)</f>
        <v>RT-01</v>
      </c>
      <c r="G17" s="3"/>
      <c r="H17" s="3">
        <v>70</v>
      </c>
      <c r="I17" s="3">
        <f t="shared" si="0"/>
        <v>1493</v>
      </c>
      <c r="J17" s="4">
        <v>28.3</v>
      </c>
      <c r="K17" s="4">
        <f t="shared" si="1"/>
        <v>1981</v>
      </c>
    </row>
    <row r="18" spans="1:11">
      <c r="A18" s="2">
        <v>46184</v>
      </c>
      <c r="B18" t="s">
        <v>154</v>
      </c>
      <c r="C18" t="s">
        <v>93</v>
      </c>
      <c r="D18" t="s">
        <v>8</v>
      </c>
      <c r="E18" t="s">
        <v>190</v>
      </c>
      <c r="F18" t="str">
        <f>VLOOKUP(TablaPegaso[[#This Row],[Equipo]],Catalogos!$I$4:$J$34,2,FALSE)</f>
        <v>CI-01</v>
      </c>
      <c r="G18" s="3"/>
      <c r="H18" s="3">
        <v>80</v>
      </c>
      <c r="I18" s="3">
        <f t="shared" si="0"/>
        <v>1413</v>
      </c>
      <c r="J18" s="4">
        <v>28.3</v>
      </c>
      <c r="K18" s="4">
        <f t="shared" si="1"/>
        <v>2264</v>
      </c>
    </row>
    <row r="19" spans="1:11">
      <c r="A19" s="2">
        <v>46184</v>
      </c>
      <c r="B19" t="s">
        <v>154</v>
      </c>
      <c r="C19" t="s">
        <v>93</v>
      </c>
      <c r="D19" t="s">
        <v>8</v>
      </c>
      <c r="E19" t="s">
        <v>160</v>
      </c>
      <c r="F19" t="str">
        <f>VLOOKUP(TablaPegaso[[#This Row],[Equipo]],Catalogos!$I$4:$J$34,2,FALSE)</f>
        <v>VG-01</v>
      </c>
      <c r="G19" s="3"/>
      <c r="H19" s="3">
        <v>185</v>
      </c>
      <c r="I19" s="3">
        <f t="shared" si="0"/>
        <v>1228</v>
      </c>
      <c r="J19" s="4">
        <v>28.3</v>
      </c>
      <c r="K19" s="4">
        <f t="shared" si="1"/>
        <v>5235.5</v>
      </c>
    </row>
    <row r="20" spans="1:11">
      <c r="A20" s="2">
        <v>46184</v>
      </c>
      <c r="B20" t="s">
        <v>154</v>
      </c>
      <c r="C20" t="s">
        <v>93</v>
      </c>
      <c r="D20" t="s">
        <v>8</v>
      </c>
      <c r="E20" t="s">
        <v>200</v>
      </c>
      <c r="F20" t="str">
        <f>VLOOKUP(TablaPegaso[[#This Row],[Equipo]],Catalogos!$I$4:$J$34,2,FALSE)</f>
        <v>DR-01</v>
      </c>
      <c r="G20" s="3"/>
      <c r="H20" s="3">
        <v>50</v>
      </c>
      <c r="I20" s="3">
        <f t="shared" si="0"/>
        <v>1178</v>
      </c>
      <c r="J20" s="4">
        <v>28.3</v>
      </c>
      <c r="K20" s="4">
        <f t="shared" si="1"/>
        <v>1415</v>
      </c>
    </row>
    <row r="21" spans="1:11">
      <c r="A21" s="2">
        <v>46184</v>
      </c>
      <c r="B21" t="s">
        <v>154</v>
      </c>
      <c r="C21" t="s">
        <v>93</v>
      </c>
      <c r="D21" t="s">
        <v>8</v>
      </c>
      <c r="E21" t="s">
        <v>200</v>
      </c>
      <c r="F21" t="str">
        <f>VLOOKUP(TablaPegaso[[#This Row],[Equipo]],Catalogos!$I$4:$J$34,2,FALSE)</f>
        <v>DR-01</v>
      </c>
      <c r="G21" s="3"/>
      <c r="H21" s="3">
        <v>40</v>
      </c>
      <c r="I21" s="3">
        <f t="shared" si="0"/>
        <v>1138</v>
      </c>
      <c r="J21" s="4">
        <v>28.3</v>
      </c>
      <c r="K21" s="4">
        <f t="shared" si="1"/>
        <v>1132</v>
      </c>
    </row>
    <row r="22" spans="1:11">
      <c r="A22" s="2">
        <v>46184</v>
      </c>
      <c r="B22" t="s">
        <v>154</v>
      </c>
      <c r="C22" t="s">
        <v>93</v>
      </c>
      <c r="D22" t="s">
        <v>8</v>
      </c>
      <c r="E22" t="s">
        <v>181</v>
      </c>
      <c r="F22" t="str">
        <f>VLOOKUP(TablaPegaso[[#This Row],[Equipo]],Catalogos!$I$4:$J$34,2,FALSE)</f>
        <v>NM-01</v>
      </c>
      <c r="G22" s="3"/>
      <c r="H22" s="3">
        <v>40</v>
      </c>
      <c r="I22" s="3">
        <f t="shared" si="0"/>
        <v>1098</v>
      </c>
      <c r="J22" s="4">
        <v>28.3</v>
      </c>
      <c r="K22" s="4">
        <f t="shared" si="1"/>
        <v>1132</v>
      </c>
    </row>
    <row r="23" spans="1:11">
      <c r="A23" s="2">
        <v>46185</v>
      </c>
      <c r="B23" t="s">
        <v>154</v>
      </c>
      <c r="C23" t="s">
        <v>93</v>
      </c>
      <c r="D23" t="s">
        <v>210</v>
      </c>
      <c r="E23" t="s">
        <v>175</v>
      </c>
      <c r="F23" t="str">
        <f>VLOOKUP(TablaPegaso[[#This Row],[Equipo]],Catalogos!$I$4:$J$34,2,FALSE)</f>
        <v>BR-02</v>
      </c>
      <c r="G23" s="3"/>
      <c r="H23" s="3">
        <v>70</v>
      </c>
      <c r="I23" s="3">
        <f t="shared" si="0"/>
        <v>1028</v>
      </c>
      <c r="J23" s="4">
        <v>28.3</v>
      </c>
      <c r="K23" s="4">
        <f t="shared" si="1"/>
        <v>1981</v>
      </c>
    </row>
    <row r="24" spans="1:11">
      <c r="A24" s="2"/>
      <c r="F24" t="e">
        <f>VLOOKUP(TablaPegaso[[#This Row],[Equipo]],Catalogos!$I$4:$J$34,2,FALSE)</f>
        <v>#N/A</v>
      </c>
      <c r="G24" s="3"/>
      <c r="H24" s="3"/>
      <c r="I24" s="3">
        <f t="shared" si="0"/>
        <v>1028</v>
      </c>
      <c r="J24" s="4"/>
      <c r="K24" s="4">
        <f t="shared" si="1"/>
        <v>0</v>
      </c>
    </row>
    <row r="25" spans="1:11">
      <c r="A25" s="2"/>
      <c r="F25" t="e">
        <f>VLOOKUP(TablaPegaso[[#This Row],[Equipo]],Catalogos!$I$4:$J$34,2,FALSE)</f>
        <v>#N/A</v>
      </c>
      <c r="G25" s="3"/>
      <c r="H25" s="3"/>
      <c r="I25" s="3">
        <f t="shared" si="0"/>
        <v>1028</v>
      </c>
      <c r="J25" s="4"/>
      <c r="K25" s="4">
        <f t="shared" si="1"/>
        <v>0</v>
      </c>
    </row>
    <row r="26" spans="1:11">
      <c r="A26" s="2"/>
      <c r="F26" t="e">
        <f>VLOOKUP(TablaPegaso[[#This Row],[Equipo]],Catalogos!$I$4:$J$34,2,FALSE)</f>
        <v>#N/A</v>
      </c>
      <c r="G26" s="3"/>
      <c r="H26" s="3"/>
      <c r="I26" s="3">
        <f t="shared" si="0"/>
        <v>1028</v>
      </c>
      <c r="J26" s="4"/>
      <c r="K26" s="4">
        <f t="shared" si="1"/>
        <v>0</v>
      </c>
    </row>
    <row r="27" spans="1:11">
      <c r="A27" s="2"/>
      <c r="F27" t="e">
        <f>VLOOKUP(TablaPegaso[[#This Row],[Equipo]],Catalogos!$I$4:$J$34,2,FALSE)</f>
        <v>#N/A</v>
      </c>
      <c r="G27" s="3"/>
      <c r="H27" s="3"/>
      <c r="I27" s="3">
        <f t="shared" si="0"/>
        <v>1028</v>
      </c>
      <c r="J27" s="4"/>
      <c r="K27" s="4">
        <f t="shared" si="1"/>
        <v>0</v>
      </c>
    </row>
    <row r="28" spans="1:11">
      <c r="A28" s="2"/>
      <c r="F28" t="e">
        <f>VLOOKUP(TablaPegaso[[#This Row],[Equipo]],Catalogos!$I$4:$J$34,2,FALSE)</f>
        <v>#N/A</v>
      </c>
      <c r="G28" s="3"/>
      <c r="H28" s="3"/>
      <c r="I28" s="3">
        <f t="shared" si="0"/>
        <v>1028</v>
      </c>
      <c r="J28" s="4"/>
      <c r="K28" s="4">
        <f t="shared" si="1"/>
        <v>0</v>
      </c>
    </row>
    <row r="29" spans="1:11">
      <c r="A29" s="2"/>
      <c r="F29" t="e">
        <f>VLOOKUP(TablaPegaso[[#This Row],[Equipo]],Catalogos!$I$4:$J$34,2,FALSE)</f>
        <v>#N/A</v>
      </c>
      <c r="G29" s="3"/>
      <c r="H29" s="3"/>
      <c r="I29" s="3">
        <f t="shared" si="0"/>
        <v>1028</v>
      </c>
      <c r="J29" s="4"/>
      <c r="K29" s="4">
        <f t="shared" si="1"/>
        <v>0</v>
      </c>
    </row>
    <row r="30" spans="1:11">
      <c r="A30" s="2"/>
      <c r="F30" t="e">
        <f>VLOOKUP(TablaPegaso[[#This Row],[Equipo]],Catalogos!$I$4:$J$34,2,FALSE)</f>
        <v>#N/A</v>
      </c>
      <c r="G30" s="3"/>
      <c r="H30" s="3"/>
      <c r="I30" s="3">
        <f t="shared" si="0"/>
        <v>1028</v>
      </c>
      <c r="J30" s="4"/>
      <c r="K30" s="4">
        <f t="shared" si="1"/>
        <v>0</v>
      </c>
    </row>
    <row r="31" spans="1:11">
      <c r="A31" s="2"/>
      <c r="F31" t="e">
        <f>VLOOKUP(TablaPegaso[[#This Row],[Equipo]],Catalogos!$I$4:$J$34,2,FALSE)</f>
        <v>#N/A</v>
      </c>
      <c r="G31" s="3"/>
      <c r="H31" s="3"/>
      <c r="I31" s="3">
        <f t="shared" si="0"/>
        <v>1028</v>
      </c>
      <c r="J31" s="4"/>
      <c r="K31" s="4">
        <f t="shared" si="1"/>
        <v>0</v>
      </c>
    </row>
    <row r="32" spans="1:11">
      <c r="A32" s="2"/>
      <c r="F32" t="e">
        <f>VLOOKUP(TablaPegaso[[#This Row],[Equipo]],Catalogos!$I$4:$J$34,2,FALSE)</f>
        <v>#N/A</v>
      </c>
      <c r="G32" s="3"/>
      <c r="H32" s="3"/>
      <c r="I32" s="3">
        <f t="shared" si="0"/>
        <v>1028</v>
      </c>
      <c r="J32" s="4"/>
      <c r="K32" s="4">
        <f t="shared" si="1"/>
        <v>0</v>
      </c>
    </row>
    <row r="33" spans="1:11">
      <c r="A33" s="2"/>
      <c r="F33" t="e">
        <f>VLOOKUP(TablaPegaso[[#This Row],[Equipo]],Catalogos!$I$4:$J$34,2,FALSE)</f>
        <v>#N/A</v>
      </c>
      <c r="G33" s="3"/>
      <c r="H33" s="3"/>
      <c r="I33" s="3">
        <f t="shared" si="0"/>
        <v>1028</v>
      </c>
      <c r="J33" s="4"/>
      <c r="K33" s="4">
        <f t="shared" si="1"/>
        <v>0</v>
      </c>
    </row>
    <row r="34" spans="1:11">
      <c r="A34" s="2"/>
      <c r="F34" t="e">
        <f>VLOOKUP(TablaPegaso[[#This Row],[Equipo]],Catalogos!$I$4:$J$34,2,FALSE)</f>
        <v>#N/A</v>
      </c>
      <c r="G34" s="3"/>
      <c r="H34" s="3"/>
      <c r="I34" s="3">
        <f t="shared" si="0"/>
        <v>1028</v>
      </c>
      <c r="J34" s="4"/>
      <c r="K34" s="4">
        <f t="shared" si="1"/>
        <v>0</v>
      </c>
    </row>
    <row r="35" spans="1:11">
      <c r="A35" s="2"/>
      <c r="F35" t="e">
        <f>VLOOKUP(TablaPegaso[[#This Row],[Equipo]],Catalogos!$I$4:$J$34,2,FALSE)</f>
        <v>#N/A</v>
      </c>
      <c r="G35" s="3"/>
      <c r="H35" s="3"/>
      <c r="I35" s="3">
        <f t="shared" si="0"/>
        <v>1028</v>
      </c>
      <c r="J35" s="4"/>
      <c r="K35" s="4">
        <f t="shared" si="1"/>
        <v>0</v>
      </c>
    </row>
    <row r="36" spans="1:11">
      <c r="A36" s="2"/>
      <c r="F36" t="e">
        <f>VLOOKUP(TablaPegaso[[#This Row],[Equipo]],Catalogos!$I$4:$J$34,2,FALSE)</f>
        <v>#N/A</v>
      </c>
      <c r="G36" s="3"/>
      <c r="H36" s="3"/>
      <c r="I36" s="3">
        <f t="shared" si="0"/>
        <v>1028</v>
      </c>
      <c r="J36" s="4"/>
      <c r="K36" s="4">
        <f t="shared" si="1"/>
        <v>0</v>
      </c>
    </row>
    <row r="37" spans="1:11">
      <c r="A37" s="2"/>
      <c r="F37" t="e">
        <f>VLOOKUP(TablaPegaso[[#This Row],[Equipo]],Catalogos!$I$4:$J$34,2,FALSE)</f>
        <v>#N/A</v>
      </c>
      <c r="G37" s="3"/>
      <c r="H37" s="3"/>
      <c r="I37" s="3">
        <f t="shared" si="0"/>
        <v>1028</v>
      </c>
      <c r="J37" s="4"/>
      <c r="K37" s="4">
        <f t="shared" si="1"/>
        <v>0</v>
      </c>
    </row>
    <row r="38" spans="1:11">
      <c r="A38" s="2"/>
      <c r="F38" t="e">
        <f>VLOOKUP(TablaPegaso[[#This Row],[Equipo]],Catalogos!$I$4:$J$34,2,FALSE)</f>
        <v>#N/A</v>
      </c>
      <c r="G38" s="3"/>
      <c r="H38" s="3"/>
      <c r="I38" s="3">
        <f t="shared" si="0"/>
        <v>1028</v>
      </c>
      <c r="J38" s="4"/>
      <c r="K38" s="4">
        <f t="shared" si="1"/>
        <v>0</v>
      </c>
    </row>
    <row r="39" spans="1:11">
      <c r="A39" s="2"/>
      <c r="F39" t="e">
        <f>VLOOKUP(TablaPegaso[[#This Row],[Equipo]],Catalogos!$I$4:$J$34,2,FALSE)</f>
        <v>#N/A</v>
      </c>
      <c r="G39" s="3"/>
      <c r="H39" s="3"/>
      <c r="I39" s="3">
        <f t="shared" ref="I39:I70" si="2">IF(ROW()=5,G39-H39,I38+G39-H39)</f>
        <v>1028</v>
      </c>
      <c r="J39" s="4"/>
      <c r="K39" s="4">
        <f t="shared" ref="K39:K70" si="3">IFERROR((G39+H39)*J39,0)</f>
        <v>0</v>
      </c>
    </row>
    <row r="40" spans="1:11">
      <c r="A40" s="2"/>
      <c r="F40" t="e">
        <f>VLOOKUP(TablaPegaso[[#This Row],[Equipo]],Catalogos!$I$4:$J$34,2,FALSE)</f>
        <v>#N/A</v>
      </c>
      <c r="G40" s="3"/>
      <c r="H40" s="3"/>
      <c r="I40" s="3">
        <f t="shared" si="2"/>
        <v>1028</v>
      </c>
      <c r="J40" s="4"/>
      <c r="K40" s="4">
        <f t="shared" si="3"/>
        <v>0</v>
      </c>
    </row>
    <row r="41" spans="1:11">
      <c r="A41" s="2"/>
      <c r="F41" t="e">
        <f>VLOOKUP(TablaPegaso[[#This Row],[Equipo]],Catalogos!$I$4:$J$34,2,FALSE)</f>
        <v>#N/A</v>
      </c>
      <c r="G41" s="3"/>
      <c r="H41" s="3"/>
      <c r="I41" s="3">
        <f t="shared" si="2"/>
        <v>1028</v>
      </c>
      <c r="J41" s="4"/>
      <c r="K41" s="4">
        <f t="shared" si="3"/>
        <v>0</v>
      </c>
    </row>
    <row r="42" spans="1:11">
      <c r="A42" s="2"/>
      <c r="F42" t="e">
        <f>VLOOKUP(TablaPegaso[[#This Row],[Equipo]],Catalogos!$I$4:$J$34,2,FALSE)</f>
        <v>#N/A</v>
      </c>
      <c r="G42" s="3"/>
      <c r="H42" s="3"/>
      <c r="I42" s="3">
        <f t="shared" si="2"/>
        <v>1028</v>
      </c>
      <c r="J42" s="4"/>
      <c r="K42" s="4">
        <f t="shared" si="3"/>
        <v>0</v>
      </c>
    </row>
    <row r="43" spans="1:11">
      <c r="A43" s="2"/>
      <c r="F43" t="e">
        <f>VLOOKUP(TablaPegaso[[#This Row],[Equipo]],Catalogos!$I$4:$J$34,2,FALSE)</f>
        <v>#N/A</v>
      </c>
      <c r="G43" s="3"/>
      <c r="H43" s="3"/>
      <c r="I43" s="3">
        <f t="shared" si="2"/>
        <v>1028</v>
      </c>
      <c r="J43" s="4"/>
      <c r="K43" s="4">
        <f t="shared" si="3"/>
        <v>0</v>
      </c>
    </row>
    <row r="44" spans="1:11">
      <c r="A44" s="2"/>
      <c r="F44" t="e">
        <f>VLOOKUP(TablaPegaso[[#This Row],[Equipo]],Catalogos!$I$4:$J$34,2,FALSE)</f>
        <v>#N/A</v>
      </c>
      <c r="G44" s="3"/>
      <c r="H44" s="3"/>
      <c r="I44" s="3">
        <f t="shared" si="2"/>
        <v>1028</v>
      </c>
      <c r="J44" s="4"/>
      <c r="K44" s="4">
        <f t="shared" si="3"/>
        <v>0</v>
      </c>
    </row>
    <row r="45" spans="1:11">
      <c r="A45" s="2"/>
      <c r="F45" t="e">
        <f>VLOOKUP(TablaPegaso[[#This Row],[Equipo]],Catalogos!$I$4:$J$34,2,FALSE)</f>
        <v>#N/A</v>
      </c>
      <c r="G45" s="3"/>
      <c r="H45" s="3"/>
      <c r="I45" s="3">
        <f t="shared" si="2"/>
        <v>1028</v>
      </c>
      <c r="J45" s="4"/>
      <c r="K45" s="4">
        <f t="shared" si="3"/>
        <v>0</v>
      </c>
    </row>
    <row r="46" spans="1:11">
      <c r="A46" s="2"/>
      <c r="F46" t="e">
        <f>VLOOKUP(TablaPegaso[[#This Row],[Equipo]],Catalogos!$I$4:$J$34,2,FALSE)</f>
        <v>#N/A</v>
      </c>
      <c r="G46" s="3"/>
      <c r="H46" s="3"/>
      <c r="I46" s="3">
        <f t="shared" si="2"/>
        <v>1028</v>
      </c>
      <c r="J46" s="4"/>
      <c r="K46" s="4">
        <f t="shared" si="3"/>
        <v>0</v>
      </c>
    </row>
    <row r="47" spans="1:11">
      <c r="A47" s="2"/>
      <c r="F47" t="e">
        <f>VLOOKUP(TablaPegaso[[#This Row],[Equipo]],Catalogos!$I$4:$J$34,2,FALSE)</f>
        <v>#N/A</v>
      </c>
      <c r="G47" s="3"/>
      <c r="H47" s="3"/>
      <c r="I47" s="3">
        <f t="shared" si="2"/>
        <v>1028</v>
      </c>
      <c r="J47" s="4"/>
      <c r="K47" s="4">
        <f t="shared" si="3"/>
        <v>0</v>
      </c>
    </row>
    <row r="48" spans="1:11">
      <c r="A48" s="2"/>
      <c r="F48" t="e">
        <f>VLOOKUP(TablaPegaso[[#This Row],[Equipo]],Catalogos!$I$4:$J$34,2,FALSE)</f>
        <v>#N/A</v>
      </c>
      <c r="G48" s="3"/>
      <c r="H48" s="3"/>
      <c r="I48" s="3">
        <f t="shared" si="2"/>
        <v>1028</v>
      </c>
      <c r="J48" s="4"/>
      <c r="K48" s="4">
        <f t="shared" si="3"/>
        <v>0</v>
      </c>
    </row>
    <row r="49" spans="1:11">
      <c r="A49" s="2"/>
      <c r="F49" t="e">
        <f>VLOOKUP(TablaPegaso[[#This Row],[Equipo]],Catalogos!$I$4:$J$34,2,FALSE)</f>
        <v>#N/A</v>
      </c>
      <c r="G49" s="3"/>
      <c r="H49" s="3"/>
      <c r="I49" s="3">
        <f t="shared" si="2"/>
        <v>1028</v>
      </c>
      <c r="J49" s="4"/>
      <c r="K49" s="4">
        <f t="shared" si="3"/>
        <v>0</v>
      </c>
    </row>
    <row r="50" spans="1:11">
      <c r="A50" s="2"/>
      <c r="F50" t="e">
        <f>VLOOKUP(TablaPegaso[[#This Row],[Equipo]],Catalogos!$I$4:$J$34,2,FALSE)</f>
        <v>#N/A</v>
      </c>
      <c r="G50" s="3"/>
      <c r="H50" s="3"/>
      <c r="I50" s="3">
        <f t="shared" si="2"/>
        <v>1028</v>
      </c>
      <c r="J50" s="4"/>
      <c r="K50" s="4">
        <f t="shared" si="3"/>
        <v>0</v>
      </c>
    </row>
    <row r="51" spans="1:11">
      <c r="A51" s="2"/>
      <c r="F51" t="e">
        <f>VLOOKUP(TablaPegaso[[#This Row],[Equipo]],Catalogos!$I$4:$J$34,2,FALSE)</f>
        <v>#N/A</v>
      </c>
      <c r="G51" s="3"/>
      <c r="H51" s="3"/>
      <c r="I51" s="3">
        <f t="shared" si="2"/>
        <v>1028</v>
      </c>
      <c r="J51" s="4"/>
      <c r="K51" s="4">
        <f t="shared" si="3"/>
        <v>0</v>
      </c>
    </row>
    <row r="52" spans="1:11">
      <c r="A52" s="2"/>
      <c r="F52" t="e">
        <f>VLOOKUP(TablaPegaso[[#This Row],[Equipo]],Catalogos!$I$4:$J$34,2,FALSE)</f>
        <v>#N/A</v>
      </c>
      <c r="G52" s="3"/>
      <c r="H52" s="3"/>
      <c r="I52" s="3">
        <f t="shared" si="2"/>
        <v>1028</v>
      </c>
      <c r="J52" s="4"/>
      <c r="K52" s="4">
        <f t="shared" si="3"/>
        <v>0</v>
      </c>
    </row>
    <row r="53" spans="1:11">
      <c r="A53" s="2"/>
      <c r="F53" t="e">
        <f>VLOOKUP(TablaPegaso[[#This Row],[Equipo]],Catalogos!$I$4:$J$34,2,FALSE)</f>
        <v>#N/A</v>
      </c>
      <c r="G53" s="3"/>
      <c r="H53" s="3"/>
      <c r="I53" s="3">
        <f t="shared" si="2"/>
        <v>1028</v>
      </c>
      <c r="J53" s="4"/>
      <c r="K53" s="4">
        <f t="shared" si="3"/>
        <v>0</v>
      </c>
    </row>
    <row r="54" spans="1:11">
      <c r="A54" s="2"/>
      <c r="F54" t="e">
        <f>VLOOKUP(TablaPegaso[[#This Row],[Equipo]],Catalogos!$I$4:$J$34,2,FALSE)</f>
        <v>#N/A</v>
      </c>
      <c r="G54" s="3"/>
      <c r="H54" s="3"/>
      <c r="I54" s="3">
        <f t="shared" si="2"/>
        <v>1028</v>
      </c>
      <c r="J54" s="4"/>
      <c r="K54" s="4">
        <f t="shared" si="3"/>
        <v>0</v>
      </c>
    </row>
    <row r="55" spans="1:11">
      <c r="A55" s="2"/>
      <c r="F55" t="e">
        <f>VLOOKUP(TablaPegaso[[#This Row],[Equipo]],Catalogos!$I$4:$J$34,2,FALSE)</f>
        <v>#N/A</v>
      </c>
      <c r="G55" s="3"/>
      <c r="H55" s="3"/>
      <c r="I55" s="3">
        <f t="shared" si="2"/>
        <v>1028</v>
      </c>
      <c r="J55" s="4"/>
      <c r="K55" s="4">
        <f t="shared" si="3"/>
        <v>0</v>
      </c>
    </row>
    <row r="56" spans="1:11">
      <c r="A56" s="2"/>
      <c r="F56" t="e">
        <f>VLOOKUP(TablaPegaso[[#This Row],[Equipo]],Catalogos!$I$4:$J$34,2,FALSE)</f>
        <v>#N/A</v>
      </c>
      <c r="G56" s="3"/>
      <c r="H56" s="3"/>
      <c r="I56" s="3">
        <f t="shared" si="2"/>
        <v>1028</v>
      </c>
      <c r="J56" s="4"/>
      <c r="K56" s="4">
        <f t="shared" si="3"/>
        <v>0</v>
      </c>
    </row>
    <row r="57" spans="1:11">
      <c r="A57" s="2"/>
      <c r="F57" t="e">
        <f>VLOOKUP(TablaPegaso[[#This Row],[Equipo]],Catalogos!$I$4:$J$34,2,FALSE)</f>
        <v>#N/A</v>
      </c>
      <c r="G57" s="3"/>
      <c r="H57" s="3"/>
      <c r="I57" s="3">
        <f t="shared" si="2"/>
        <v>1028</v>
      </c>
      <c r="J57" s="4"/>
      <c r="K57" s="4">
        <f t="shared" si="3"/>
        <v>0</v>
      </c>
    </row>
    <row r="58" spans="1:11">
      <c r="A58" s="2"/>
      <c r="F58" t="e">
        <f>VLOOKUP(TablaPegaso[[#This Row],[Equipo]],Catalogos!$I$4:$J$34,2,FALSE)</f>
        <v>#N/A</v>
      </c>
      <c r="G58" s="3"/>
      <c r="H58" s="3"/>
      <c r="I58" s="3">
        <f t="shared" si="2"/>
        <v>1028</v>
      </c>
      <c r="J58" s="4"/>
      <c r="K58" s="4">
        <f t="shared" si="3"/>
        <v>0</v>
      </c>
    </row>
    <row r="59" spans="1:11">
      <c r="A59" s="2"/>
      <c r="F59" t="e">
        <f>VLOOKUP(TablaPegaso[[#This Row],[Equipo]],Catalogos!$I$4:$J$34,2,FALSE)</f>
        <v>#N/A</v>
      </c>
      <c r="G59" s="3"/>
      <c r="H59" s="3"/>
      <c r="I59" s="3">
        <f t="shared" si="2"/>
        <v>1028</v>
      </c>
      <c r="J59" s="4"/>
      <c r="K59" s="4">
        <f t="shared" si="3"/>
        <v>0</v>
      </c>
    </row>
    <row r="60" spans="1:11">
      <c r="A60" s="2"/>
      <c r="F60" t="e">
        <f>VLOOKUP(TablaPegaso[[#This Row],[Equipo]],Catalogos!$I$4:$J$34,2,FALSE)</f>
        <v>#N/A</v>
      </c>
      <c r="G60" s="3"/>
      <c r="H60" s="3"/>
      <c r="I60" s="3">
        <f t="shared" si="2"/>
        <v>1028</v>
      </c>
      <c r="J60" s="4"/>
      <c r="K60" s="4">
        <f t="shared" si="3"/>
        <v>0</v>
      </c>
    </row>
    <row r="61" spans="1:11">
      <c r="A61" s="2"/>
      <c r="F61" t="e">
        <f>VLOOKUP(TablaPegaso[[#This Row],[Equipo]],Catalogos!$I$4:$J$34,2,FALSE)</f>
        <v>#N/A</v>
      </c>
      <c r="G61" s="3"/>
      <c r="H61" s="3"/>
      <c r="I61" s="3">
        <f t="shared" si="2"/>
        <v>1028</v>
      </c>
      <c r="J61" s="4"/>
      <c r="K61" s="4">
        <f t="shared" si="3"/>
        <v>0</v>
      </c>
    </row>
    <row r="62" spans="1:11">
      <c r="A62" s="2"/>
      <c r="F62" t="e">
        <f>VLOOKUP(TablaPegaso[[#This Row],[Equipo]],Catalogos!$I$4:$J$34,2,FALSE)</f>
        <v>#N/A</v>
      </c>
      <c r="G62" s="3"/>
      <c r="H62" s="3"/>
      <c r="I62" s="3">
        <f t="shared" si="2"/>
        <v>1028</v>
      </c>
      <c r="J62" s="4"/>
      <c r="K62" s="4">
        <f t="shared" si="3"/>
        <v>0</v>
      </c>
    </row>
    <row r="63" spans="1:11">
      <c r="A63" s="2"/>
      <c r="F63" t="e">
        <f>VLOOKUP(TablaPegaso[[#This Row],[Equipo]],Catalogos!$I$4:$J$34,2,FALSE)</f>
        <v>#N/A</v>
      </c>
      <c r="G63" s="3"/>
      <c r="H63" s="3"/>
      <c r="I63" s="3">
        <f t="shared" si="2"/>
        <v>1028</v>
      </c>
      <c r="J63" s="4"/>
      <c r="K63" s="4">
        <f t="shared" si="3"/>
        <v>0</v>
      </c>
    </row>
    <row r="64" spans="1:11">
      <c r="A64" s="2"/>
      <c r="F64" t="e">
        <f>VLOOKUP(TablaPegaso[[#This Row],[Equipo]],Catalogos!$I$4:$J$34,2,FALSE)</f>
        <v>#N/A</v>
      </c>
      <c r="G64" s="3"/>
      <c r="H64" s="3"/>
      <c r="I64" s="3">
        <f t="shared" si="2"/>
        <v>1028</v>
      </c>
      <c r="J64" s="4"/>
      <c r="K64" s="4">
        <f t="shared" si="3"/>
        <v>0</v>
      </c>
    </row>
    <row r="65" spans="1:11">
      <c r="A65" s="2"/>
      <c r="F65" t="e">
        <f>VLOOKUP(TablaPegaso[[#This Row],[Equipo]],Catalogos!$I$4:$J$34,2,FALSE)</f>
        <v>#N/A</v>
      </c>
      <c r="G65" s="3"/>
      <c r="H65" s="3"/>
      <c r="I65" s="3">
        <f t="shared" si="2"/>
        <v>1028</v>
      </c>
      <c r="J65" s="4"/>
      <c r="K65" s="4">
        <f t="shared" si="3"/>
        <v>0</v>
      </c>
    </row>
    <row r="66" spans="1:11">
      <c r="A66" s="2"/>
      <c r="F66" t="e">
        <f>VLOOKUP(TablaPegaso[[#This Row],[Equipo]],Catalogos!$I$4:$J$34,2,FALSE)</f>
        <v>#N/A</v>
      </c>
      <c r="G66" s="3"/>
      <c r="H66" s="3"/>
      <c r="I66" s="3">
        <f t="shared" si="2"/>
        <v>1028</v>
      </c>
      <c r="J66" s="4"/>
      <c r="K66" s="4">
        <f t="shared" si="3"/>
        <v>0</v>
      </c>
    </row>
    <row r="67" spans="1:11">
      <c r="A67" s="2"/>
      <c r="F67" t="e">
        <f>VLOOKUP(TablaPegaso[[#This Row],[Equipo]],Catalogos!$I$4:$J$34,2,FALSE)</f>
        <v>#N/A</v>
      </c>
      <c r="G67" s="3"/>
      <c r="H67" s="3"/>
      <c r="I67" s="3">
        <f t="shared" si="2"/>
        <v>1028</v>
      </c>
      <c r="J67" s="4"/>
      <c r="K67" s="4">
        <f t="shared" si="3"/>
        <v>0</v>
      </c>
    </row>
    <row r="68" spans="1:11">
      <c r="A68" s="2"/>
      <c r="F68" t="e">
        <f>VLOOKUP(TablaPegaso[[#This Row],[Equipo]],Catalogos!$I$4:$J$34,2,FALSE)</f>
        <v>#N/A</v>
      </c>
      <c r="G68" s="3"/>
      <c r="H68" s="3"/>
      <c r="I68" s="3">
        <f t="shared" si="2"/>
        <v>1028</v>
      </c>
      <c r="J68" s="4"/>
      <c r="K68" s="4">
        <f t="shared" si="3"/>
        <v>0</v>
      </c>
    </row>
    <row r="69" spans="1:11">
      <c r="A69" s="2"/>
      <c r="F69" t="e">
        <f>VLOOKUP(TablaPegaso[[#This Row],[Equipo]],Catalogos!$I$4:$J$34,2,FALSE)</f>
        <v>#N/A</v>
      </c>
      <c r="G69" s="3"/>
      <c r="H69" s="3"/>
      <c r="I69" s="3">
        <f t="shared" si="2"/>
        <v>1028</v>
      </c>
      <c r="J69" s="4"/>
      <c r="K69" s="4">
        <f t="shared" si="3"/>
        <v>0</v>
      </c>
    </row>
    <row r="70" spans="1:11">
      <c r="A70" s="2"/>
      <c r="F70" t="e">
        <f>VLOOKUP(TablaPegaso[[#This Row],[Equipo]],Catalogos!$I$4:$J$34,2,FALSE)</f>
        <v>#N/A</v>
      </c>
      <c r="G70" s="3"/>
      <c r="H70" s="3"/>
      <c r="I70" s="3">
        <f t="shared" si="2"/>
        <v>1028</v>
      </c>
      <c r="J70" s="4"/>
      <c r="K70" s="4">
        <f t="shared" si="3"/>
        <v>0</v>
      </c>
    </row>
    <row r="71" spans="1:11">
      <c r="A71" s="2"/>
      <c r="F71" t="e">
        <f>VLOOKUP(TablaPegaso[[#This Row],[Equipo]],Catalogos!$I$4:$J$34,2,FALSE)</f>
        <v>#N/A</v>
      </c>
      <c r="G71" s="3"/>
      <c r="H71" s="3"/>
      <c r="I71" s="3">
        <f t="shared" ref="I71:I102" si="4">IF(ROW()=5,G71-H71,I70+G71-H71)</f>
        <v>1028</v>
      </c>
      <c r="J71" s="4"/>
      <c r="K71" s="4">
        <f t="shared" ref="K71:K102" si="5">IFERROR((G71+H71)*J71,0)</f>
        <v>0</v>
      </c>
    </row>
    <row r="72" spans="1:11">
      <c r="A72" s="2"/>
      <c r="F72" t="e">
        <f>VLOOKUP(TablaPegaso[[#This Row],[Equipo]],Catalogos!$I$4:$J$34,2,FALSE)</f>
        <v>#N/A</v>
      </c>
      <c r="G72" s="3"/>
      <c r="H72" s="3"/>
      <c r="I72" s="3">
        <f t="shared" si="4"/>
        <v>1028</v>
      </c>
      <c r="J72" s="4"/>
      <c r="K72" s="4">
        <f t="shared" si="5"/>
        <v>0</v>
      </c>
    </row>
    <row r="73" spans="1:11">
      <c r="A73" s="2"/>
      <c r="F73" t="e">
        <f>VLOOKUP(TablaPegaso[[#This Row],[Equipo]],Catalogos!$I$4:$J$34,2,FALSE)</f>
        <v>#N/A</v>
      </c>
      <c r="G73" s="3"/>
      <c r="H73" s="3"/>
      <c r="I73" s="3">
        <f t="shared" si="4"/>
        <v>1028</v>
      </c>
      <c r="J73" s="4"/>
      <c r="K73" s="4">
        <f t="shared" si="5"/>
        <v>0</v>
      </c>
    </row>
    <row r="74" spans="1:11">
      <c r="A74" s="2"/>
      <c r="F74" t="e">
        <f>VLOOKUP(TablaPegaso[[#This Row],[Equipo]],Catalogos!$I$4:$J$34,2,FALSE)</f>
        <v>#N/A</v>
      </c>
      <c r="G74" s="3"/>
      <c r="H74" s="3"/>
      <c r="I74" s="3">
        <f t="shared" si="4"/>
        <v>1028</v>
      </c>
      <c r="J74" s="4"/>
      <c r="K74" s="4">
        <f t="shared" si="5"/>
        <v>0</v>
      </c>
    </row>
    <row r="75" spans="1:11">
      <c r="A75" s="2"/>
      <c r="F75" t="e">
        <f>VLOOKUP(TablaPegaso[[#This Row],[Equipo]],Catalogos!$I$4:$J$34,2,FALSE)</f>
        <v>#N/A</v>
      </c>
      <c r="G75" s="3"/>
      <c r="H75" s="3"/>
      <c r="I75" s="3">
        <f t="shared" si="4"/>
        <v>1028</v>
      </c>
      <c r="J75" s="4"/>
      <c r="K75" s="4">
        <f t="shared" si="5"/>
        <v>0</v>
      </c>
    </row>
    <row r="76" spans="1:11">
      <c r="A76" s="2"/>
      <c r="F76" t="e">
        <f>VLOOKUP(TablaPegaso[[#This Row],[Equipo]],Catalogos!$I$4:$J$34,2,FALSE)</f>
        <v>#N/A</v>
      </c>
      <c r="G76" s="3"/>
      <c r="H76" s="3"/>
      <c r="I76" s="3">
        <f t="shared" si="4"/>
        <v>1028</v>
      </c>
      <c r="J76" s="4"/>
      <c r="K76" s="4">
        <f t="shared" si="5"/>
        <v>0</v>
      </c>
    </row>
    <row r="77" spans="1:11">
      <c r="A77" s="2"/>
      <c r="F77" t="e">
        <f>VLOOKUP(TablaPegaso[[#This Row],[Equipo]],Catalogos!$I$4:$J$34,2,FALSE)</f>
        <v>#N/A</v>
      </c>
      <c r="G77" s="3"/>
      <c r="H77" s="3"/>
      <c r="I77" s="3">
        <f t="shared" si="4"/>
        <v>1028</v>
      </c>
      <c r="J77" s="4"/>
      <c r="K77" s="4">
        <f t="shared" si="5"/>
        <v>0</v>
      </c>
    </row>
    <row r="78" spans="1:11">
      <c r="A78" s="2"/>
      <c r="F78" t="e">
        <f>VLOOKUP(TablaPegaso[[#This Row],[Equipo]],Catalogos!$I$4:$J$34,2,FALSE)</f>
        <v>#N/A</v>
      </c>
      <c r="G78" s="3"/>
      <c r="H78" s="3"/>
      <c r="I78" s="3">
        <f t="shared" si="4"/>
        <v>1028</v>
      </c>
      <c r="J78" s="4"/>
      <c r="K78" s="4">
        <f t="shared" si="5"/>
        <v>0</v>
      </c>
    </row>
    <row r="79" spans="1:11">
      <c r="A79" s="2"/>
      <c r="F79" t="e">
        <f>VLOOKUP(TablaPegaso[[#This Row],[Equipo]],Catalogos!$I$4:$J$34,2,FALSE)</f>
        <v>#N/A</v>
      </c>
      <c r="G79" s="3"/>
      <c r="H79" s="3"/>
      <c r="I79" s="3">
        <f t="shared" si="4"/>
        <v>1028</v>
      </c>
      <c r="J79" s="4"/>
      <c r="K79" s="4">
        <f t="shared" si="5"/>
        <v>0</v>
      </c>
    </row>
    <row r="80" spans="1:11">
      <c r="A80" s="2"/>
      <c r="F80" t="e">
        <f>VLOOKUP(TablaPegaso[[#This Row],[Equipo]],Catalogos!$I$4:$J$34,2,FALSE)</f>
        <v>#N/A</v>
      </c>
      <c r="G80" s="3"/>
      <c r="H80" s="3"/>
      <c r="I80" s="3">
        <f t="shared" si="4"/>
        <v>1028</v>
      </c>
      <c r="J80" s="4"/>
      <c r="K80" s="4">
        <f t="shared" si="5"/>
        <v>0</v>
      </c>
    </row>
    <row r="81" spans="1:11">
      <c r="A81" s="2"/>
      <c r="F81" t="e">
        <f>VLOOKUP(TablaPegaso[[#This Row],[Equipo]],Catalogos!$I$4:$J$34,2,FALSE)</f>
        <v>#N/A</v>
      </c>
      <c r="G81" s="3"/>
      <c r="H81" s="3"/>
      <c r="I81" s="3">
        <f t="shared" si="4"/>
        <v>1028</v>
      </c>
      <c r="J81" s="4"/>
      <c r="K81" s="4">
        <f t="shared" si="5"/>
        <v>0</v>
      </c>
    </row>
    <row r="82" spans="1:11">
      <c r="A82" s="2"/>
      <c r="F82" t="e">
        <f>VLOOKUP(TablaPegaso[[#This Row],[Equipo]],Catalogos!$I$4:$J$34,2,FALSE)</f>
        <v>#N/A</v>
      </c>
      <c r="G82" s="3"/>
      <c r="H82" s="3"/>
      <c r="I82" s="3">
        <f t="shared" si="4"/>
        <v>1028</v>
      </c>
      <c r="J82" s="4"/>
      <c r="K82" s="4">
        <f t="shared" si="5"/>
        <v>0</v>
      </c>
    </row>
    <row r="83" spans="1:11">
      <c r="A83" s="2"/>
      <c r="F83" t="e">
        <f>VLOOKUP(TablaPegaso[[#This Row],[Equipo]],Catalogos!$I$4:$J$34,2,FALSE)</f>
        <v>#N/A</v>
      </c>
      <c r="G83" s="3"/>
      <c r="H83" s="3"/>
      <c r="I83" s="3">
        <f t="shared" si="4"/>
        <v>1028</v>
      </c>
      <c r="J83" s="4"/>
      <c r="K83" s="4">
        <f t="shared" si="5"/>
        <v>0</v>
      </c>
    </row>
    <row r="84" spans="1:11">
      <c r="A84" s="2"/>
      <c r="F84" t="e">
        <f>VLOOKUP(TablaPegaso[[#This Row],[Equipo]],Catalogos!$I$4:$J$34,2,FALSE)</f>
        <v>#N/A</v>
      </c>
      <c r="G84" s="3"/>
      <c r="H84" s="3"/>
      <c r="I84" s="3">
        <f t="shared" si="4"/>
        <v>1028</v>
      </c>
      <c r="J84" s="4"/>
      <c r="K84" s="4">
        <f t="shared" si="5"/>
        <v>0</v>
      </c>
    </row>
    <row r="85" spans="1:11">
      <c r="A85" s="2"/>
      <c r="F85" t="e">
        <f>VLOOKUP(TablaPegaso[[#This Row],[Equipo]],Catalogos!$I$4:$J$34,2,FALSE)</f>
        <v>#N/A</v>
      </c>
      <c r="G85" s="3"/>
      <c r="H85" s="3"/>
      <c r="I85" s="3">
        <f t="shared" si="4"/>
        <v>1028</v>
      </c>
      <c r="J85" s="4"/>
      <c r="K85" s="4">
        <f t="shared" si="5"/>
        <v>0</v>
      </c>
    </row>
    <row r="86" spans="1:11">
      <c r="A86" s="2"/>
      <c r="F86" t="e">
        <f>VLOOKUP(TablaPegaso[[#This Row],[Equipo]],Catalogos!$I$4:$J$34,2,FALSE)</f>
        <v>#N/A</v>
      </c>
      <c r="G86" s="3"/>
      <c r="H86" s="3"/>
      <c r="I86" s="3">
        <f t="shared" si="4"/>
        <v>1028</v>
      </c>
      <c r="J86" s="4"/>
      <c r="K86" s="4">
        <f t="shared" si="5"/>
        <v>0</v>
      </c>
    </row>
    <row r="87" spans="1:11">
      <c r="A87" s="2"/>
      <c r="F87" t="e">
        <f>VLOOKUP(TablaPegaso[[#This Row],[Equipo]],Catalogos!$I$4:$J$34,2,FALSE)</f>
        <v>#N/A</v>
      </c>
      <c r="G87" s="3"/>
      <c r="H87" s="3"/>
      <c r="I87" s="3">
        <f t="shared" si="4"/>
        <v>1028</v>
      </c>
      <c r="J87" s="4"/>
      <c r="K87" s="4">
        <f t="shared" si="5"/>
        <v>0</v>
      </c>
    </row>
    <row r="88" spans="1:11">
      <c r="A88" s="2"/>
      <c r="F88" t="e">
        <f>VLOOKUP(TablaPegaso[[#This Row],[Equipo]],Catalogos!$I$4:$J$34,2,FALSE)</f>
        <v>#N/A</v>
      </c>
      <c r="G88" s="3"/>
      <c r="H88" s="3"/>
      <c r="I88" s="3">
        <f t="shared" si="4"/>
        <v>1028</v>
      </c>
      <c r="J88" s="4"/>
      <c r="K88" s="4">
        <f t="shared" si="5"/>
        <v>0</v>
      </c>
    </row>
    <row r="89" spans="1:11">
      <c r="A89" s="2"/>
      <c r="F89" t="e">
        <f>VLOOKUP(TablaPegaso[[#This Row],[Equipo]],Catalogos!$I$4:$J$34,2,FALSE)</f>
        <v>#N/A</v>
      </c>
      <c r="G89" s="3"/>
      <c r="H89" s="3"/>
      <c r="I89" s="3">
        <f t="shared" si="4"/>
        <v>1028</v>
      </c>
      <c r="J89" s="4"/>
      <c r="K89" s="4">
        <f t="shared" si="5"/>
        <v>0</v>
      </c>
    </row>
    <row r="90" spans="1:11">
      <c r="A90" s="2"/>
      <c r="F90" t="e">
        <f>VLOOKUP(TablaPegaso[[#This Row],[Equipo]],Catalogos!$I$4:$J$34,2,FALSE)</f>
        <v>#N/A</v>
      </c>
      <c r="G90" s="3"/>
      <c r="H90" s="3"/>
      <c r="I90" s="3">
        <f t="shared" si="4"/>
        <v>1028</v>
      </c>
      <c r="J90" s="4"/>
      <c r="K90" s="4">
        <f t="shared" si="5"/>
        <v>0</v>
      </c>
    </row>
    <row r="91" spans="1:11">
      <c r="A91" s="2"/>
      <c r="F91" t="e">
        <f>VLOOKUP(TablaPegaso[[#This Row],[Equipo]],Catalogos!$I$4:$J$34,2,FALSE)</f>
        <v>#N/A</v>
      </c>
      <c r="G91" s="3"/>
      <c r="H91" s="3"/>
      <c r="I91" s="3">
        <f t="shared" si="4"/>
        <v>1028</v>
      </c>
      <c r="J91" s="4"/>
      <c r="K91" s="4">
        <f t="shared" si="5"/>
        <v>0</v>
      </c>
    </row>
    <row r="92" spans="1:11">
      <c r="A92" s="2"/>
      <c r="F92" t="e">
        <f>VLOOKUP(TablaPegaso[[#This Row],[Equipo]],Catalogos!$I$4:$J$34,2,FALSE)</f>
        <v>#N/A</v>
      </c>
      <c r="G92" s="3"/>
      <c r="H92" s="3"/>
      <c r="I92" s="3">
        <f t="shared" si="4"/>
        <v>1028</v>
      </c>
      <c r="J92" s="4"/>
      <c r="K92" s="4">
        <f t="shared" si="5"/>
        <v>0</v>
      </c>
    </row>
    <row r="93" spans="1:11">
      <c r="A93" s="2"/>
      <c r="F93" t="e">
        <f>VLOOKUP(TablaPegaso[[#This Row],[Equipo]],Catalogos!$I$4:$J$34,2,FALSE)</f>
        <v>#N/A</v>
      </c>
      <c r="G93" s="3"/>
      <c r="H93" s="3"/>
      <c r="I93" s="3">
        <f t="shared" si="4"/>
        <v>1028</v>
      </c>
      <c r="J93" s="4"/>
      <c r="K93" s="4">
        <f t="shared" si="5"/>
        <v>0</v>
      </c>
    </row>
    <row r="94" spans="1:11">
      <c r="A94" s="2"/>
      <c r="F94" t="e">
        <f>VLOOKUP(TablaPegaso[[#This Row],[Equipo]],Catalogos!$I$4:$J$34,2,FALSE)</f>
        <v>#N/A</v>
      </c>
      <c r="G94" s="3"/>
      <c r="H94" s="3"/>
      <c r="I94" s="3">
        <f t="shared" si="4"/>
        <v>1028</v>
      </c>
      <c r="J94" s="4"/>
      <c r="K94" s="4">
        <f t="shared" si="5"/>
        <v>0</v>
      </c>
    </row>
    <row r="95" spans="1:11">
      <c r="A95" s="2"/>
      <c r="F95" t="e">
        <f>VLOOKUP(TablaPegaso[[#This Row],[Equipo]],Catalogos!$I$4:$J$34,2,FALSE)</f>
        <v>#N/A</v>
      </c>
      <c r="G95" s="3"/>
      <c r="H95" s="3"/>
      <c r="I95" s="3">
        <f t="shared" si="4"/>
        <v>1028</v>
      </c>
      <c r="J95" s="4"/>
      <c r="K95" s="4">
        <f t="shared" si="5"/>
        <v>0</v>
      </c>
    </row>
    <row r="96" spans="1:11">
      <c r="A96" s="2"/>
      <c r="F96" t="e">
        <f>VLOOKUP(TablaPegaso[[#This Row],[Equipo]],Catalogos!$I$4:$J$34,2,FALSE)</f>
        <v>#N/A</v>
      </c>
      <c r="G96" s="3"/>
      <c r="H96" s="3"/>
      <c r="I96" s="3">
        <f t="shared" si="4"/>
        <v>1028</v>
      </c>
      <c r="J96" s="4"/>
      <c r="K96" s="4">
        <f t="shared" si="5"/>
        <v>0</v>
      </c>
    </row>
    <row r="97" spans="1:11">
      <c r="A97" s="2"/>
      <c r="F97" t="e">
        <f>VLOOKUP(TablaPegaso[[#This Row],[Equipo]],Catalogos!$I$4:$J$34,2,FALSE)</f>
        <v>#N/A</v>
      </c>
      <c r="G97" s="3"/>
      <c r="H97" s="3"/>
      <c r="I97" s="3">
        <f t="shared" si="4"/>
        <v>1028</v>
      </c>
      <c r="J97" s="4"/>
      <c r="K97" s="4">
        <f t="shared" si="5"/>
        <v>0</v>
      </c>
    </row>
    <row r="98" spans="1:11">
      <c r="A98" s="2"/>
      <c r="F98" t="e">
        <f>VLOOKUP(TablaPegaso[[#This Row],[Equipo]],Catalogos!$I$4:$J$34,2,FALSE)</f>
        <v>#N/A</v>
      </c>
      <c r="G98" s="3"/>
      <c r="H98" s="3"/>
      <c r="I98" s="3">
        <f t="shared" si="4"/>
        <v>1028</v>
      </c>
      <c r="J98" s="4"/>
      <c r="K98" s="4">
        <f t="shared" si="5"/>
        <v>0</v>
      </c>
    </row>
    <row r="99" spans="1:11">
      <c r="A99" s="2"/>
      <c r="F99" t="e">
        <f>VLOOKUP(TablaPegaso[[#This Row],[Equipo]],Catalogos!$I$4:$J$34,2,FALSE)</f>
        <v>#N/A</v>
      </c>
      <c r="G99" s="3"/>
      <c r="H99" s="3"/>
      <c r="I99" s="3">
        <f t="shared" si="4"/>
        <v>1028</v>
      </c>
      <c r="J99" s="4"/>
      <c r="K99" s="4">
        <f t="shared" si="5"/>
        <v>0</v>
      </c>
    </row>
    <row r="100" spans="1:11">
      <c r="A100" s="2"/>
      <c r="F100" t="e">
        <f>VLOOKUP(TablaPegaso[[#This Row],[Equipo]],Catalogos!$I$4:$J$34,2,FALSE)</f>
        <v>#N/A</v>
      </c>
      <c r="G100" s="3"/>
      <c r="H100" s="3"/>
      <c r="I100" s="3">
        <f t="shared" si="4"/>
        <v>1028</v>
      </c>
      <c r="J100" s="4"/>
      <c r="K100" s="4">
        <f t="shared" si="5"/>
        <v>0</v>
      </c>
    </row>
    <row r="101" spans="1:11">
      <c r="A101" s="2"/>
      <c r="F101" t="e">
        <f>VLOOKUP(TablaPegaso[[#This Row],[Equipo]],Catalogos!$I$4:$J$34,2,FALSE)</f>
        <v>#N/A</v>
      </c>
      <c r="G101" s="3"/>
      <c r="H101" s="3"/>
      <c r="I101" s="3">
        <f t="shared" si="4"/>
        <v>1028</v>
      </c>
      <c r="J101" s="4"/>
      <c r="K101" s="4">
        <f t="shared" si="5"/>
        <v>0</v>
      </c>
    </row>
    <row r="102" spans="1:11">
      <c r="A102" s="2"/>
      <c r="F102" t="e">
        <f>VLOOKUP(TablaPegaso[[#This Row],[Equipo]],Catalogos!$I$4:$J$34,2,FALSE)</f>
        <v>#N/A</v>
      </c>
      <c r="G102" s="3"/>
      <c r="H102" s="3"/>
      <c r="I102" s="3">
        <f t="shared" si="4"/>
        <v>1028</v>
      </c>
      <c r="J102" s="4"/>
      <c r="K102" s="4">
        <f t="shared" si="5"/>
        <v>0</v>
      </c>
    </row>
    <row r="103" spans="1:11">
      <c r="A103" s="2"/>
      <c r="F103" t="e">
        <f>VLOOKUP(TablaPegaso[[#This Row],[Equipo]],Catalogos!$I$4:$J$34,2,FALSE)</f>
        <v>#N/A</v>
      </c>
      <c r="G103" s="3"/>
      <c r="H103" s="3"/>
      <c r="I103" s="3">
        <f t="shared" ref="I103:I134" si="6">IF(ROW()=5,G103-H103,I102+G103-H103)</f>
        <v>1028</v>
      </c>
      <c r="J103" s="4"/>
      <c r="K103" s="4">
        <f t="shared" ref="K103:K134" si="7">IFERROR((G103+H103)*J103,0)</f>
        <v>0</v>
      </c>
    </row>
    <row r="104" spans="1:11">
      <c r="A104" s="2"/>
      <c r="F104" t="e">
        <f>VLOOKUP(TablaPegaso[[#This Row],[Equipo]],Catalogos!$I$4:$J$34,2,FALSE)</f>
        <v>#N/A</v>
      </c>
      <c r="G104" s="3"/>
      <c r="H104" s="3"/>
      <c r="I104" s="3">
        <f t="shared" si="6"/>
        <v>1028</v>
      </c>
      <c r="J104" s="4"/>
      <c r="K104" s="4">
        <f t="shared" si="7"/>
        <v>0</v>
      </c>
    </row>
    <row r="105" spans="1:11">
      <c r="A105" s="2"/>
      <c r="F105" t="e">
        <f>VLOOKUP(TablaPegaso[[#This Row],[Equipo]],Catalogos!$I$4:$J$34,2,FALSE)</f>
        <v>#N/A</v>
      </c>
      <c r="G105" s="3"/>
      <c r="H105" s="3"/>
      <c r="I105" s="3">
        <f t="shared" si="6"/>
        <v>1028</v>
      </c>
      <c r="J105" s="4"/>
      <c r="K105" s="4">
        <f t="shared" si="7"/>
        <v>0</v>
      </c>
    </row>
    <row r="106" spans="1:11">
      <c r="A106" s="2"/>
      <c r="F106" t="e">
        <f>VLOOKUP(TablaPegaso[[#This Row],[Equipo]],Catalogos!$I$4:$J$34,2,FALSE)</f>
        <v>#N/A</v>
      </c>
      <c r="G106" s="3"/>
      <c r="H106" s="3"/>
      <c r="I106" s="3">
        <f t="shared" si="6"/>
        <v>1028</v>
      </c>
      <c r="J106" s="4"/>
      <c r="K106" s="4">
        <f t="shared" si="7"/>
        <v>0</v>
      </c>
    </row>
    <row r="107" spans="1:11">
      <c r="A107" s="2"/>
      <c r="F107" t="e">
        <f>VLOOKUP(TablaPegaso[[#This Row],[Equipo]],Catalogos!$I$4:$J$34,2,FALSE)</f>
        <v>#N/A</v>
      </c>
      <c r="G107" s="3"/>
      <c r="H107" s="3"/>
      <c r="I107" s="3">
        <f t="shared" si="6"/>
        <v>1028</v>
      </c>
      <c r="J107" s="4"/>
      <c r="K107" s="4">
        <f t="shared" si="7"/>
        <v>0</v>
      </c>
    </row>
    <row r="108" spans="1:11">
      <c r="A108" s="2"/>
      <c r="F108" t="e">
        <f>VLOOKUP(TablaPegaso[[#This Row],[Equipo]],Catalogos!$I$4:$J$34,2,FALSE)</f>
        <v>#N/A</v>
      </c>
      <c r="G108" s="3"/>
      <c r="H108" s="3"/>
      <c r="I108" s="3">
        <f t="shared" si="6"/>
        <v>1028</v>
      </c>
      <c r="J108" s="4"/>
      <c r="K108" s="4">
        <f t="shared" si="7"/>
        <v>0</v>
      </c>
    </row>
    <row r="109" spans="1:11">
      <c r="A109" s="2"/>
      <c r="F109" t="e">
        <f>VLOOKUP(TablaPegaso[[#This Row],[Equipo]],Catalogos!$I$4:$J$34,2,FALSE)</f>
        <v>#N/A</v>
      </c>
      <c r="G109" s="3"/>
      <c r="H109" s="3"/>
      <c r="I109" s="3">
        <f t="shared" si="6"/>
        <v>1028</v>
      </c>
      <c r="J109" s="4"/>
      <c r="K109" s="4">
        <f t="shared" si="7"/>
        <v>0</v>
      </c>
    </row>
    <row r="110" spans="1:11">
      <c r="A110" s="2"/>
      <c r="F110" t="e">
        <f>VLOOKUP(TablaPegaso[[#This Row],[Equipo]],Catalogos!$I$4:$J$34,2,FALSE)</f>
        <v>#N/A</v>
      </c>
      <c r="G110" s="3"/>
      <c r="H110" s="3"/>
      <c r="I110" s="3">
        <f t="shared" si="6"/>
        <v>1028</v>
      </c>
      <c r="J110" s="4"/>
      <c r="K110" s="4">
        <f t="shared" si="7"/>
        <v>0</v>
      </c>
    </row>
    <row r="111" spans="1:11">
      <c r="A111" s="2"/>
      <c r="F111" t="e">
        <f>VLOOKUP(TablaPegaso[[#This Row],[Equipo]],Catalogos!$I$4:$J$34,2,FALSE)</f>
        <v>#N/A</v>
      </c>
      <c r="G111" s="3"/>
      <c r="H111" s="3"/>
      <c r="I111" s="3">
        <f t="shared" si="6"/>
        <v>1028</v>
      </c>
      <c r="J111" s="4"/>
      <c r="K111" s="4">
        <f t="shared" si="7"/>
        <v>0</v>
      </c>
    </row>
    <row r="112" spans="1:11">
      <c r="A112" s="2"/>
      <c r="F112" t="e">
        <f>VLOOKUP(TablaPegaso[[#This Row],[Equipo]],Catalogos!$I$4:$J$34,2,FALSE)</f>
        <v>#N/A</v>
      </c>
      <c r="G112" s="3"/>
      <c r="H112" s="3"/>
      <c r="I112" s="3">
        <f t="shared" si="6"/>
        <v>1028</v>
      </c>
      <c r="J112" s="4"/>
      <c r="K112" s="4">
        <f t="shared" si="7"/>
        <v>0</v>
      </c>
    </row>
    <row r="113" spans="1:11">
      <c r="A113" s="2"/>
      <c r="F113" t="e">
        <f>VLOOKUP(TablaPegaso[[#This Row],[Equipo]],Catalogos!$I$4:$J$34,2,FALSE)</f>
        <v>#N/A</v>
      </c>
      <c r="G113" s="3"/>
      <c r="H113" s="3"/>
      <c r="I113" s="3">
        <f t="shared" si="6"/>
        <v>1028</v>
      </c>
      <c r="J113" s="4"/>
      <c r="K113" s="4">
        <f t="shared" si="7"/>
        <v>0</v>
      </c>
    </row>
    <row r="114" spans="1:11">
      <c r="A114" s="2"/>
      <c r="F114" t="e">
        <f>VLOOKUP(TablaPegaso[[#This Row],[Equipo]],Catalogos!$I$4:$J$34,2,FALSE)</f>
        <v>#N/A</v>
      </c>
      <c r="G114" s="3"/>
      <c r="H114" s="3"/>
      <c r="I114" s="3">
        <f t="shared" si="6"/>
        <v>1028</v>
      </c>
      <c r="J114" s="4"/>
      <c r="K114" s="4">
        <f t="shared" si="7"/>
        <v>0</v>
      </c>
    </row>
    <row r="115" spans="1:11">
      <c r="A115" s="2"/>
      <c r="F115" t="e">
        <f>VLOOKUP(TablaPegaso[[#This Row],[Equipo]],Catalogos!$I$4:$J$34,2,FALSE)</f>
        <v>#N/A</v>
      </c>
      <c r="G115" s="3"/>
      <c r="H115" s="3"/>
      <c r="I115" s="3">
        <f t="shared" si="6"/>
        <v>1028</v>
      </c>
      <c r="J115" s="4"/>
      <c r="K115" s="4">
        <f t="shared" si="7"/>
        <v>0</v>
      </c>
    </row>
    <row r="116" spans="1:11">
      <c r="A116" s="2"/>
      <c r="F116" t="e">
        <f>VLOOKUP(TablaPegaso[[#This Row],[Equipo]],Catalogos!$I$4:$J$34,2,FALSE)</f>
        <v>#N/A</v>
      </c>
      <c r="G116" s="3"/>
      <c r="H116" s="3"/>
      <c r="I116" s="3">
        <f t="shared" si="6"/>
        <v>1028</v>
      </c>
      <c r="J116" s="4"/>
      <c r="K116" s="4">
        <f t="shared" si="7"/>
        <v>0</v>
      </c>
    </row>
    <row r="117" spans="1:11">
      <c r="A117" s="2"/>
      <c r="F117" t="e">
        <f>VLOOKUP(TablaPegaso[[#This Row],[Equipo]],Catalogos!$I$4:$J$34,2,FALSE)</f>
        <v>#N/A</v>
      </c>
      <c r="G117" s="3"/>
      <c r="H117" s="3"/>
      <c r="I117" s="3">
        <f t="shared" si="6"/>
        <v>1028</v>
      </c>
      <c r="J117" s="4"/>
      <c r="K117" s="4">
        <f t="shared" si="7"/>
        <v>0</v>
      </c>
    </row>
    <row r="118" spans="1:11">
      <c r="A118" s="2"/>
      <c r="F118" t="e">
        <f>VLOOKUP(TablaPegaso[[#This Row],[Equipo]],Catalogos!$I$4:$J$34,2,FALSE)</f>
        <v>#N/A</v>
      </c>
      <c r="G118" s="3"/>
      <c r="H118" s="3"/>
      <c r="I118" s="3">
        <f t="shared" si="6"/>
        <v>1028</v>
      </c>
      <c r="J118" s="4"/>
      <c r="K118" s="4">
        <f t="shared" si="7"/>
        <v>0</v>
      </c>
    </row>
    <row r="119" spans="1:11">
      <c r="A119" s="2"/>
      <c r="F119" t="e">
        <f>VLOOKUP(TablaPegaso[[#This Row],[Equipo]],Catalogos!$I$4:$J$34,2,FALSE)</f>
        <v>#N/A</v>
      </c>
      <c r="G119" s="3"/>
      <c r="H119" s="3"/>
      <c r="I119" s="3">
        <f t="shared" si="6"/>
        <v>1028</v>
      </c>
      <c r="J119" s="4"/>
      <c r="K119" s="4">
        <f t="shared" si="7"/>
        <v>0</v>
      </c>
    </row>
    <row r="120" spans="1:11">
      <c r="A120" s="2"/>
      <c r="F120" t="e">
        <f>VLOOKUP(TablaPegaso[[#This Row],[Equipo]],Catalogos!$I$4:$J$34,2,FALSE)</f>
        <v>#N/A</v>
      </c>
      <c r="G120" s="3"/>
      <c r="H120" s="3"/>
      <c r="I120" s="3">
        <f t="shared" si="6"/>
        <v>1028</v>
      </c>
      <c r="J120" s="4"/>
      <c r="K120" s="4">
        <f t="shared" si="7"/>
        <v>0</v>
      </c>
    </row>
    <row r="121" spans="1:11">
      <c r="A121" s="2"/>
      <c r="F121" t="e">
        <f>VLOOKUP(TablaPegaso[[#This Row],[Equipo]],Catalogos!$I$4:$J$34,2,FALSE)</f>
        <v>#N/A</v>
      </c>
      <c r="G121" s="3"/>
      <c r="H121" s="3"/>
      <c r="I121" s="3">
        <f t="shared" si="6"/>
        <v>1028</v>
      </c>
      <c r="J121" s="4"/>
      <c r="K121" s="4">
        <f t="shared" si="7"/>
        <v>0</v>
      </c>
    </row>
    <row r="122" spans="1:11">
      <c r="A122" s="2"/>
      <c r="F122" t="e">
        <f>VLOOKUP(TablaPegaso[[#This Row],[Equipo]],Catalogos!$I$4:$J$34,2,FALSE)</f>
        <v>#N/A</v>
      </c>
      <c r="G122" s="3"/>
      <c r="H122" s="3"/>
      <c r="I122" s="3">
        <f t="shared" si="6"/>
        <v>1028</v>
      </c>
      <c r="J122" s="4"/>
      <c r="K122" s="4">
        <f t="shared" si="7"/>
        <v>0</v>
      </c>
    </row>
    <row r="123" spans="1:11">
      <c r="A123" s="2"/>
      <c r="F123" t="e">
        <f>VLOOKUP(TablaPegaso[[#This Row],[Equipo]],Catalogos!$I$4:$J$34,2,FALSE)</f>
        <v>#N/A</v>
      </c>
      <c r="G123" s="3"/>
      <c r="H123" s="3"/>
      <c r="I123" s="3">
        <f t="shared" si="6"/>
        <v>1028</v>
      </c>
      <c r="J123" s="4"/>
      <c r="K123" s="4">
        <f t="shared" si="7"/>
        <v>0</v>
      </c>
    </row>
    <row r="124" spans="1:11">
      <c r="A124" s="2"/>
      <c r="F124" t="e">
        <f>VLOOKUP(TablaPegaso[[#This Row],[Equipo]],Catalogos!$I$4:$J$34,2,FALSE)</f>
        <v>#N/A</v>
      </c>
      <c r="G124" s="3"/>
      <c r="H124" s="3"/>
      <c r="I124" s="3">
        <f t="shared" si="6"/>
        <v>1028</v>
      </c>
      <c r="J124" s="4"/>
      <c r="K124" s="4">
        <f t="shared" si="7"/>
        <v>0</v>
      </c>
    </row>
    <row r="125" spans="1:11">
      <c r="A125" s="2"/>
      <c r="F125" t="e">
        <f>VLOOKUP(TablaPegaso[[#This Row],[Equipo]],Catalogos!$I$4:$J$34,2,FALSE)</f>
        <v>#N/A</v>
      </c>
      <c r="G125" s="3"/>
      <c r="H125" s="3"/>
      <c r="I125" s="3">
        <f t="shared" si="6"/>
        <v>1028</v>
      </c>
      <c r="J125" s="4"/>
      <c r="K125" s="4">
        <f t="shared" si="7"/>
        <v>0</v>
      </c>
    </row>
    <row r="126" spans="1:11">
      <c r="A126" s="2"/>
      <c r="F126" t="e">
        <f>VLOOKUP(TablaPegaso[[#This Row],[Equipo]],Catalogos!$I$4:$J$34,2,FALSE)</f>
        <v>#N/A</v>
      </c>
      <c r="G126" s="3"/>
      <c r="H126" s="3"/>
      <c r="I126" s="3">
        <f t="shared" si="6"/>
        <v>1028</v>
      </c>
      <c r="J126" s="4"/>
      <c r="K126" s="4">
        <f t="shared" si="7"/>
        <v>0</v>
      </c>
    </row>
    <row r="127" spans="1:11">
      <c r="A127" s="2"/>
      <c r="F127" t="e">
        <f>VLOOKUP(TablaPegaso[[#This Row],[Equipo]],Catalogos!$I$4:$J$34,2,FALSE)</f>
        <v>#N/A</v>
      </c>
      <c r="G127" s="3"/>
      <c r="H127" s="3"/>
      <c r="I127" s="3">
        <f t="shared" si="6"/>
        <v>1028</v>
      </c>
      <c r="J127" s="4"/>
      <c r="K127" s="4">
        <f t="shared" si="7"/>
        <v>0</v>
      </c>
    </row>
    <row r="128" spans="1:11">
      <c r="A128" s="2"/>
      <c r="F128" t="e">
        <f>VLOOKUP(TablaPegaso[[#This Row],[Equipo]],Catalogos!$I$4:$J$34,2,FALSE)</f>
        <v>#N/A</v>
      </c>
      <c r="G128" s="3"/>
      <c r="H128" s="3"/>
      <c r="I128" s="3">
        <f t="shared" si="6"/>
        <v>1028</v>
      </c>
      <c r="J128" s="4"/>
      <c r="K128" s="4">
        <f t="shared" si="7"/>
        <v>0</v>
      </c>
    </row>
    <row r="129" spans="1:11">
      <c r="A129" s="2"/>
      <c r="F129" t="e">
        <f>VLOOKUP(TablaPegaso[[#This Row],[Equipo]],Catalogos!$I$4:$J$34,2,FALSE)</f>
        <v>#N/A</v>
      </c>
      <c r="G129" s="3"/>
      <c r="H129" s="3"/>
      <c r="I129" s="3">
        <f t="shared" si="6"/>
        <v>1028</v>
      </c>
      <c r="J129" s="4"/>
      <c r="K129" s="4">
        <f t="shared" si="7"/>
        <v>0</v>
      </c>
    </row>
    <row r="130" spans="1:11">
      <c r="A130" s="2"/>
      <c r="F130" t="e">
        <f>VLOOKUP(TablaPegaso[[#This Row],[Equipo]],Catalogos!$I$4:$J$34,2,FALSE)</f>
        <v>#N/A</v>
      </c>
      <c r="G130" s="3"/>
      <c r="H130" s="3"/>
      <c r="I130" s="3">
        <f t="shared" si="6"/>
        <v>1028</v>
      </c>
      <c r="J130" s="4"/>
      <c r="K130" s="4">
        <f t="shared" si="7"/>
        <v>0</v>
      </c>
    </row>
    <row r="131" spans="1:11">
      <c r="A131" s="2"/>
      <c r="F131" t="e">
        <f>VLOOKUP(TablaPegaso[[#This Row],[Equipo]],Catalogos!$I$4:$J$34,2,FALSE)</f>
        <v>#N/A</v>
      </c>
      <c r="G131" s="3"/>
      <c r="H131" s="3"/>
      <c r="I131" s="3">
        <f t="shared" si="6"/>
        <v>1028</v>
      </c>
      <c r="J131" s="4"/>
      <c r="K131" s="4">
        <f t="shared" si="7"/>
        <v>0</v>
      </c>
    </row>
    <row r="132" spans="1:11">
      <c r="A132" s="2"/>
      <c r="F132" t="e">
        <f>VLOOKUP(TablaPegaso[[#This Row],[Equipo]],Catalogos!$I$4:$J$34,2,FALSE)</f>
        <v>#N/A</v>
      </c>
      <c r="G132" s="3"/>
      <c r="H132" s="3"/>
      <c r="I132" s="3">
        <f t="shared" si="6"/>
        <v>1028</v>
      </c>
      <c r="J132" s="4"/>
      <c r="K132" s="4">
        <f t="shared" si="7"/>
        <v>0</v>
      </c>
    </row>
    <row r="133" spans="1:11">
      <c r="A133" s="2"/>
      <c r="F133" t="e">
        <f>VLOOKUP(TablaPegaso[[#This Row],[Equipo]],Catalogos!$I$4:$J$34,2,FALSE)</f>
        <v>#N/A</v>
      </c>
      <c r="G133" s="3"/>
      <c r="H133" s="3"/>
      <c r="I133" s="3">
        <f t="shared" si="6"/>
        <v>1028</v>
      </c>
      <c r="J133" s="4"/>
      <c r="K133" s="4">
        <f t="shared" si="7"/>
        <v>0</v>
      </c>
    </row>
    <row r="134" spans="1:11">
      <c r="A134" s="2"/>
      <c r="F134" t="e">
        <f>VLOOKUP(TablaPegaso[[#This Row],[Equipo]],Catalogos!$I$4:$J$34,2,FALSE)</f>
        <v>#N/A</v>
      </c>
      <c r="G134" s="3"/>
      <c r="H134" s="3"/>
      <c r="I134" s="3">
        <f t="shared" si="6"/>
        <v>1028</v>
      </c>
      <c r="J134" s="4"/>
      <c r="K134" s="4">
        <f t="shared" si="7"/>
        <v>0</v>
      </c>
    </row>
    <row r="135" spans="1:11">
      <c r="A135" s="2"/>
      <c r="F135" t="e">
        <f>VLOOKUP(TablaPegaso[[#This Row],[Equipo]],Catalogos!$I$4:$J$34,2,FALSE)</f>
        <v>#N/A</v>
      </c>
      <c r="G135" s="3"/>
      <c r="H135" s="3"/>
      <c r="I135" s="3">
        <f t="shared" ref="I135:I166" si="8">IF(ROW()=5,G135-H135,I134+G135-H135)</f>
        <v>1028</v>
      </c>
      <c r="J135" s="4"/>
      <c r="K135" s="4">
        <f t="shared" ref="K135:K166" si="9">IFERROR((G135+H135)*J135,0)</f>
        <v>0</v>
      </c>
    </row>
    <row r="136" spans="1:11">
      <c r="A136" s="2"/>
      <c r="F136" t="e">
        <f>VLOOKUP(TablaPegaso[[#This Row],[Equipo]],Catalogos!$I$4:$J$34,2,FALSE)</f>
        <v>#N/A</v>
      </c>
      <c r="G136" s="3"/>
      <c r="H136" s="3"/>
      <c r="I136" s="3">
        <f t="shared" si="8"/>
        <v>1028</v>
      </c>
      <c r="J136" s="4"/>
      <c r="K136" s="4">
        <f t="shared" si="9"/>
        <v>0</v>
      </c>
    </row>
    <row r="137" spans="1:11">
      <c r="A137" s="2"/>
      <c r="F137" t="e">
        <f>VLOOKUP(TablaPegaso[[#This Row],[Equipo]],Catalogos!$I$4:$J$34,2,FALSE)</f>
        <v>#N/A</v>
      </c>
      <c r="G137" s="3"/>
      <c r="H137" s="3"/>
      <c r="I137" s="3">
        <f t="shared" si="8"/>
        <v>1028</v>
      </c>
      <c r="J137" s="4"/>
      <c r="K137" s="4">
        <f t="shared" si="9"/>
        <v>0</v>
      </c>
    </row>
    <row r="138" spans="1:11">
      <c r="A138" s="2"/>
      <c r="F138" t="e">
        <f>VLOOKUP(TablaPegaso[[#This Row],[Equipo]],Catalogos!$I$4:$J$34,2,FALSE)</f>
        <v>#N/A</v>
      </c>
      <c r="G138" s="3"/>
      <c r="H138" s="3"/>
      <c r="I138" s="3">
        <f t="shared" si="8"/>
        <v>1028</v>
      </c>
      <c r="J138" s="4"/>
      <c r="K138" s="4">
        <f t="shared" si="9"/>
        <v>0</v>
      </c>
    </row>
    <row r="139" spans="1:11">
      <c r="A139" s="2"/>
      <c r="F139" t="e">
        <f>VLOOKUP(TablaPegaso[[#This Row],[Equipo]],Catalogos!$I$4:$J$34,2,FALSE)</f>
        <v>#N/A</v>
      </c>
      <c r="G139" s="3"/>
      <c r="H139" s="3"/>
      <c r="I139" s="3">
        <f t="shared" si="8"/>
        <v>1028</v>
      </c>
      <c r="J139" s="4"/>
      <c r="K139" s="4">
        <f t="shared" si="9"/>
        <v>0</v>
      </c>
    </row>
    <row r="140" spans="1:11">
      <c r="A140" s="2"/>
      <c r="F140" t="e">
        <f>VLOOKUP(TablaPegaso[[#This Row],[Equipo]],Catalogos!$I$4:$J$34,2,FALSE)</f>
        <v>#N/A</v>
      </c>
      <c r="G140" s="3"/>
      <c r="H140" s="3"/>
      <c r="I140" s="3">
        <f t="shared" si="8"/>
        <v>1028</v>
      </c>
      <c r="J140" s="4"/>
      <c r="K140" s="4">
        <f t="shared" si="9"/>
        <v>0</v>
      </c>
    </row>
    <row r="141" spans="1:11">
      <c r="A141" s="2"/>
      <c r="F141" t="e">
        <f>VLOOKUP(TablaPegaso[[#This Row],[Equipo]],Catalogos!$I$4:$J$34,2,FALSE)</f>
        <v>#N/A</v>
      </c>
      <c r="G141" s="3"/>
      <c r="H141" s="3"/>
      <c r="I141" s="3">
        <f t="shared" si="8"/>
        <v>1028</v>
      </c>
      <c r="J141" s="4"/>
      <c r="K141" s="4">
        <f t="shared" si="9"/>
        <v>0</v>
      </c>
    </row>
    <row r="142" spans="1:11">
      <c r="A142" s="2"/>
      <c r="F142" t="e">
        <f>VLOOKUP(TablaPegaso[[#This Row],[Equipo]],Catalogos!$I$4:$J$34,2,FALSE)</f>
        <v>#N/A</v>
      </c>
      <c r="G142" s="3"/>
      <c r="H142" s="3"/>
      <c r="I142" s="3">
        <f t="shared" si="8"/>
        <v>1028</v>
      </c>
      <c r="J142" s="4"/>
      <c r="K142" s="4">
        <f t="shared" si="9"/>
        <v>0</v>
      </c>
    </row>
    <row r="143" spans="1:11">
      <c r="A143" s="2"/>
      <c r="F143" t="e">
        <f>VLOOKUP(TablaPegaso[[#This Row],[Equipo]],Catalogos!$I$4:$J$34,2,FALSE)</f>
        <v>#N/A</v>
      </c>
      <c r="G143" s="3"/>
      <c r="H143" s="3"/>
      <c r="I143" s="3">
        <f t="shared" si="8"/>
        <v>1028</v>
      </c>
      <c r="J143" s="4"/>
      <c r="K143" s="4">
        <f t="shared" si="9"/>
        <v>0</v>
      </c>
    </row>
    <row r="144" spans="1:11">
      <c r="A144" s="2"/>
      <c r="F144" t="e">
        <f>VLOOKUP(TablaPegaso[[#This Row],[Equipo]],Catalogos!$I$4:$J$34,2,FALSE)</f>
        <v>#N/A</v>
      </c>
      <c r="G144" s="3"/>
      <c r="H144" s="3"/>
      <c r="I144" s="3">
        <f t="shared" si="8"/>
        <v>1028</v>
      </c>
      <c r="J144" s="4"/>
      <c r="K144" s="4">
        <f t="shared" si="9"/>
        <v>0</v>
      </c>
    </row>
    <row r="145" spans="1:11">
      <c r="A145" s="2"/>
      <c r="F145" t="e">
        <f>VLOOKUP(TablaPegaso[[#This Row],[Equipo]],Catalogos!$I$4:$J$34,2,FALSE)</f>
        <v>#N/A</v>
      </c>
      <c r="G145" s="3"/>
      <c r="H145" s="3"/>
      <c r="I145" s="3">
        <f t="shared" si="8"/>
        <v>1028</v>
      </c>
      <c r="J145" s="4"/>
      <c r="K145" s="4">
        <f t="shared" si="9"/>
        <v>0</v>
      </c>
    </row>
    <row r="146" spans="1:11">
      <c r="A146" s="2"/>
      <c r="F146" t="e">
        <f>VLOOKUP(TablaPegaso[[#This Row],[Equipo]],Catalogos!$I$4:$J$34,2,FALSE)</f>
        <v>#N/A</v>
      </c>
      <c r="G146" s="3"/>
      <c r="H146" s="3"/>
      <c r="I146" s="3">
        <f t="shared" si="8"/>
        <v>1028</v>
      </c>
      <c r="J146" s="4"/>
      <c r="K146" s="4">
        <f t="shared" si="9"/>
        <v>0</v>
      </c>
    </row>
    <row r="147" spans="1:11">
      <c r="A147" s="2"/>
      <c r="F147" t="e">
        <f>VLOOKUP(TablaPegaso[[#This Row],[Equipo]],Catalogos!$I$4:$J$34,2,FALSE)</f>
        <v>#N/A</v>
      </c>
      <c r="G147" s="3"/>
      <c r="H147" s="3"/>
      <c r="I147" s="3">
        <f t="shared" si="8"/>
        <v>1028</v>
      </c>
      <c r="J147" s="4"/>
      <c r="K147" s="4">
        <f t="shared" si="9"/>
        <v>0</v>
      </c>
    </row>
    <row r="148" spans="1:11">
      <c r="A148" s="2"/>
      <c r="F148" t="e">
        <f>VLOOKUP(TablaPegaso[[#This Row],[Equipo]],Catalogos!$I$4:$J$34,2,FALSE)</f>
        <v>#N/A</v>
      </c>
      <c r="G148" s="3"/>
      <c r="H148" s="3"/>
      <c r="I148" s="3">
        <f t="shared" si="8"/>
        <v>1028</v>
      </c>
      <c r="J148" s="4"/>
      <c r="K148" s="4">
        <f t="shared" si="9"/>
        <v>0</v>
      </c>
    </row>
    <row r="149" spans="1:11">
      <c r="A149" s="2"/>
      <c r="F149" t="e">
        <f>VLOOKUP(TablaPegaso[[#This Row],[Equipo]],Catalogos!$I$4:$J$34,2,FALSE)</f>
        <v>#N/A</v>
      </c>
      <c r="G149" s="3"/>
      <c r="H149" s="3"/>
      <c r="I149" s="3">
        <f t="shared" si="8"/>
        <v>1028</v>
      </c>
      <c r="J149" s="4"/>
      <c r="K149" s="4">
        <f t="shared" si="9"/>
        <v>0</v>
      </c>
    </row>
    <row r="150" spans="1:11">
      <c r="A150" s="2"/>
      <c r="F150" t="e">
        <f>VLOOKUP(TablaPegaso[[#This Row],[Equipo]],Catalogos!$I$4:$J$34,2,FALSE)</f>
        <v>#N/A</v>
      </c>
      <c r="G150" s="3"/>
      <c r="H150" s="3"/>
      <c r="I150" s="3">
        <f t="shared" si="8"/>
        <v>1028</v>
      </c>
      <c r="J150" s="4"/>
      <c r="K150" s="4">
        <f t="shared" si="9"/>
        <v>0</v>
      </c>
    </row>
    <row r="151" spans="1:11">
      <c r="A151" s="2"/>
      <c r="F151" t="e">
        <f>VLOOKUP(TablaPegaso[[#This Row],[Equipo]],Catalogos!$I$4:$J$34,2,FALSE)</f>
        <v>#N/A</v>
      </c>
      <c r="G151" s="3"/>
      <c r="H151" s="3"/>
      <c r="I151" s="3">
        <f t="shared" si="8"/>
        <v>1028</v>
      </c>
      <c r="J151" s="4"/>
      <c r="K151" s="4">
        <f t="shared" si="9"/>
        <v>0</v>
      </c>
    </row>
    <row r="152" spans="1:11">
      <c r="A152" s="2"/>
      <c r="F152" t="e">
        <f>VLOOKUP(TablaPegaso[[#This Row],[Equipo]],Catalogos!$I$4:$J$34,2,FALSE)</f>
        <v>#N/A</v>
      </c>
      <c r="G152" s="3"/>
      <c r="H152" s="3"/>
      <c r="I152" s="3">
        <f t="shared" si="8"/>
        <v>1028</v>
      </c>
      <c r="J152" s="4"/>
      <c r="K152" s="4">
        <f t="shared" si="9"/>
        <v>0</v>
      </c>
    </row>
    <row r="153" spans="1:11">
      <c r="A153" s="2"/>
      <c r="F153" t="e">
        <f>VLOOKUP(TablaPegaso[[#This Row],[Equipo]],Catalogos!$I$4:$J$34,2,FALSE)</f>
        <v>#N/A</v>
      </c>
      <c r="G153" s="3"/>
      <c r="H153" s="3"/>
      <c r="I153" s="3">
        <f t="shared" si="8"/>
        <v>1028</v>
      </c>
      <c r="J153" s="4"/>
      <c r="K153" s="4">
        <f t="shared" si="9"/>
        <v>0</v>
      </c>
    </row>
    <row r="154" spans="1:11">
      <c r="A154" s="2"/>
      <c r="F154" t="e">
        <f>VLOOKUP(TablaPegaso[[#This Row],[Equipo]],Catalogos!$I$4:$J$34,2,FALSE)</f>
        <v>#N/A</v>
      </c>
      <c r="G154" s="3"/>
      <c r="H154" s="3"/>
      <c r="I154" s="3">
        <f t="shared" si="8"/>
        <v>1028</v>
      </c>
      <c r="J154" s="4"/>
      <c r="K154" s="4">
        <f t="shared" si="9"/>
        <v>0</v>
      </c>
    </row>
    <row r="155" spans="1:11">
      <c r="A155" s="2"/>
      <c r="F155" t="e">
        <f>VLOOKUP(TablaPegaso[[#This Row],[Equipo]],Catalogos!$I$4:$J$34,2,FALSE)</f>
        <v>#N/A</v>
      </c>
      <c r="G155" s="3"/>
      <c r="H155" s="3"/>
      <c r="I155" s="3">
        <f t="shared" si="8"/>
        <v>1028</v>
      </c>
      <c r="J155" s="4"/>
      <c r="K155" s="4">
        <f t="shared" si="9"/>
        <v>0</v>
      </c>
    </row>
    <row r="156" spans="1:11">
      <c r="A156" s="2"/>
      <c r="F156" t="e">
        <f>VLOOKUP(TablaPegaso[[#This Row],[Equipo]],Catalogos!$I$4:$J$34,2,FALSE)</f>
        <v>#N/A</v>
      </c>
      <c r="G156" s="3"/>
      <c r="H156" s="3"/>
      <c r="I156" s="3">
        <f t="shared" si="8"/>
        <v>1028</v>
      </c>
      <c r="J156" s="4"/>
      <c r="K156" s="4">
        <f t="shared" si="9"/>
        <v>0</v>
      </c>
    </row>
    <row r="157" spans="1:11">
      <c r="A157" s="2"/>
      <c r="F157" t="e">
        <f>VLOOKUP(TablaPegaso[[#This Row],[Equipo]],Catalogos!$I$4:$J$34,2,FALSE)</f>
        <v>#N/A</v>
      </c>
      <c r="G157" s="3"/>
      <c r="H157" s="3"/>
      <c r="I157" s="3">
        <f t="shared" si="8"/>
        <v>1028</v>
      </c>
      <c r="J157" s="4"/>
      <c r="K157" s="4">
        <f t="shared" si="9"/>
        <v>0</v>
      </c>
    </row>
    <row r="158" spans="1:11">
      <c r="A158" s="2"/>
      <c r="F158" t="e">
        <f>VLOOKUP(TablaPegaso[[#This Row],[Equipo]],Catalogos!$I$4:$J$34,2,FALSE)</f>
        <v>#N/A</v>
      </c>
      <c r="G158" s="3"/>
      <c r="H158" s="3"/>
      <c r="I158" s="3">
        <f t="shared" si="8"/>
        <v>1028</v>
      </c>
      <c r="J158" s="4"/>
      <c r="K158" s="4">
        <f t="shared" si="9"/>
        <v>0</v>
      </c>
    </row>
    <row r="159" spans="1:11">
      <c r="A159" s="2"/>
      <c r="F159" t="e">
        <f>VLOOKUP(TablaPegaso[[#This Row],[Equipo]],Catalogos!$I$4:$J$34,2,FALSE)</f>
        <v>#N/A</v>
      </c>
      <c r="G159" s="3"/>
      <c r="H159" s="3"/>
      <c r="I159" s="3">
        <f t="shared" si="8"/>
        <v>1028</v>
      </c>
      <c r="J159" s="4"/>
      <c r="K159" s="4">
        <f t="shared" si="9"/>
        <v>0</v>
      </c>
    </row>
    <row r="160" spans="1:11">
      <c r="A160" s="2"/>
      <c r="F160" t="e">
        <f>VLOOKUP(TablaPegaso[[#This Row],[Equipo]],Catalogos!$I$4:$J$34,2,FALSE)</f>
        <v>#N/A</v>
      </c>
      <c r="G160" s="3"/>
      <c r="H160" s="3"/>
      <c r="I160" s="3">
        <f t="shared" si="8"/>
        <v>1028</v>
      </c>
      <c r="J160" s="4"/>
      <c r="K160" s="4">
        <f t="shared" si="9"/>
        <v>0</v>
      </c>
    </row>
    <row r="161" spans="1:11">
      <c r="A161" s="2"/>
      <c r="F161" t="e">
        <f>VLOOKUP(TablaPegaso[[#This Row],[Equipo]],Catalogos!$I$4:$J$34,2,FALSE)</f>
        <v>#N/A</v>
      </c>
      <c r="G161" s="3"/>
      <c r="H161" s="3"/>
      <c r="I161" s="3">
        <f t="shared" si="8"/>
        <v>1028</v>
      </c>
      <c r="J161" s="4"/>
      <c r="K161" s="4">
        <f t="shared" si="9"/>
        <v>0</v>
      </c>
    </row>
    <row r="162" spans="1:11">
      <c r="A162" s="2"/>
      <c r="F162" t="e">
        <f>VLOOKUP(TablaPegaso[[#This Row],[Equipo]],Catalogos!$I$4:$J$34,2,FALSE)</f>
        <v>#N/A</v>
      </c>
      <c r="G162" s="3"/>
      <c r="H162" s="3"/>
      <c r="I162" s="3">
        <f t="shared" si="8"/>
        <v>1028</v>
      </c>
      <c r="J162" s="4"/>
      <c r="K162" s="4">
        <f t="shared" si="9"/>
        <v>0</v>
      </c>
    </row>
    <row r="163" spans="1:11">
      <c r="A163" s="2"/>
      <c r="F163" t="e">
        <f>VLOOKUP(TablaPegaso[[#This Row],[Equipo]],Catalogos!$I$4:$J$34,2,FALSE)</f>
        <v>#N/A</v>
      </c>
      <c r="G163" s="3"/>
      <c r="H163" s="3"/>
      <c r="I163" s="3">
        <f t="shared" si="8"/>
        <v>1028</v>
      </c>
      <c r="J163" s="4"/>
      <c r="K163" s="4">
        <f t="shared" si="9"/>
        <v>0</v>
      </c>
    </row>
    <row r="164" spans="1:11">
      <c r="A164" s="2"/>
      <c r="F164" t="e">
        <f>VLOOKUP(TablaPegaso[[#This Row],[Equipo]],Catalogos!$I$4:$J$34,2,FALSE)</f>
        <v>#N/A</v>
      </c>
      <c r="G164" s="3"/>
      <c r="H164" s="3"/>
      <c r="I164" s="3">
        <f t="shared" si="8"/>
        <v>1028</v>
      </c>
      <c r="J164" s="4"/>
      <c r="K164" s="4">
        <f t="shared" si="9"/>
        <v>0</v>
      </c>
    </row>
    <row r="165" spans="1:11">
      <c r="A165" s="2"/>
      <c r="F165" t="e">
        <f>VLOOKUP(TablaPegaso[[#This Row],[Equipo]],Catalogos!$I$4:$J$34,2,FALSE)</f>
        <v>#N/A</v>
      </c>
      <c r="G165" s="3"/>
      <c r="H165" s="3"/>
      <c r="I165" s="3">
        <f t="shared" si="8"/>
        <v>1028</v>
      </c>
      <c r="J165" s="4"/>
      <c r="K165" s="4">
        <f t="shared" si="9"/>
        <v>0</v>
      </c>
    </row>
    <row r="166" spans="1:11">
      <c r="A166" s="2"/>
      <c r="F166" t="e">
        <f>VLOOKUP(TablaPegaso[[#This Row],[Equipo]],Catalogos!$I$4:$J$34,2,FALSE)</f>
        <v>#N/A</v>
      </c>
      <c r="G166" s="3"/>
      <c r="H166" s="3"/>
      <c r="I166" s="3">
        <f t="shared" si="8"/>
        <v>1028</v>
      </c>
      <c r="J166" s="4"/>
      <c r="K166" s="4">
        <f t="shared" si="9"/>
        <v>0</v>
      </c>
    </row>
    <row r="167" spans="1:11">
      <c r="A167" s="2"/>
      <c r="F167" t="e">
        <f>VLOOKUP(TablaPegaso[[#This Row],[Equipo]],Catalogos!$I$4:$J$34,2,FALSE)</f>
        <v>#N/A</v>
      </c>
      <c r="G167" s="3"/>
      <c r="H167" s="3"/>
      <c r="I167" s="3">
        <f t="shared" ref="I167:I198" si="10">IF(ROW()=5,G167-H167,I166+G167-H167)</f>
        <v>1028</v>
      </c>
      <c r="J167" s="4"/>
      <c r="K167" s="4">
        <f t="shared" ref="K167:K198" si="11">IFERROR((G167+H167)*J167,0)</f>
        <v>0</v>
      </c>
    </row>
    <row r="168" spans="1:11">
      <c r="A168" s="2"/>
      <c r="F168" t="e">
        <f>VLOOKUP(TablaPegaso[[#This Row],[Equipo]],Catalogos!$I$4:$J$34,2,FALSE)</f>
        <v>#N/A</v>
      </c>
      <c r="G168" s="3"/>
      <c r="H168" s="3"/>
      <c r="I168" s="3">
        <f t="shared" si="10"/>
        <v>1028</v>
      </c>
      <c r="J168" s="4"/>
      <c r="K168" s="4">
        <f t="shared" si="11"/>
        <v>0</v>
      </c>
    </row>
    <row r="169" spans="1:11">
      <c r="A169" s="2"/>
      <c r="F169" t="e">
        <f>VLOOKUP(TablaPegaso[[#This Row],[Equipo]],Catalogos!$I$4:$J$34,2,FALSE)</f>
        <v>#N/A</v>
      </c>
      <c r="G169" s="3"/>
      <c r="H169" s="3"/>
      <c r="I169" s="3">
        <f t="shared" si="10"/>
        <v>1028</v>
      </c>
      <c r="J169" s="4"/>
      <c r="K169" s="4">
        <f t="shared" si="11"/>
        <v>0</v>
      </c>
    </row>
    <row r="170" spans="1:11">
      <c r="A170" s="2"/>
      <c r="F170" t="e">
        <f>VLOOKUP(TablaPegaso[[#This Row],[Equipo]],Catalogos!$I$4:$J$34,2,FALSE)</f>
        <v>#N/A</v>
      </c>
      <c r="G170" s="3"/>
      <c r="H170" s="3"/>
      <c r="I170" s="3">
        <f t="shared" si="10"/>
        <v>1028</v>
      </c>
      <c r="J170" s="4"/>
      <c r="K170" s="4">
        <f t="shared" si="11"/>
        <v>0</v>
      </c>
    </row>
    <row r="171" spans="1:11">
      <c r="A171" s="2"/>
      <c r="F171" t="e">
        <f>VLOOKUP(TablaPegaso[[#This Row],[Equipo]],Catalogos!$I$4:$J$34,2,FALSE)</f>
        <v>#N/A</v>
      </c>
      <c r="G171" s="3"/>
      <c r="H171" s="3"/>
      <c r="I171" s="3">
        <f t="shared" si="10"/>
        <v>1028</v>
      </c>
      <c r="J171" s="4"/>
      <c r="K171" s="4">
        <f t="shared" si="11"/>
        <v>0</v>
      </c>
    </row>
    <row r="172" spans="1:11">
      <c r="A172" s="2"/>
      <c r="F172" t="e">
        <f>VLOOKUP(TablaPegaso[[#This Row],[Equipo]],Catalogos!$I$4:$J$34,2,FALSE)</f>
        <v>#N/A</v>
      </c>
      <c r="G172" s="3"/>
      <c r="H172" s="3"/>
      <c r="I172" s="3">
        <f t="shared" si="10"/>
        <v>1028</v>
      </c>
      <c r="J172" s="4"/>
      <c r="K172" s="4">
        <f t="shared" si="11"/>
        <v>0</v>
      </c>
    </row>
    <row r="173" spans="1:11">
      <c r="A173" s="2"/>
      <c r="F173" t="e">
        <f>VLOOKUP(TablaPegaso[[#This Row],[Equipo]],Catalogos!$I$4:$J$34,2,FALSE)</f>
        <v>#N/A</v>
      </c>
      <c r="G173" s="3"/>
      <c r="H173" s="3"/>
      <c r="I173" s="3">
        <f t="shared" si="10"/>
        <v>1028</v>
      </c>
      <c r="J173" s="4"/>
      <c r="K173" s="4">
        <f t="shared" si="11"/>
        <v>0</v>
      </c>
    </row>
    <row r="174" spans="1:11">
      <c r="A174" s="2"/>
      <c r="F174" t="e">
        <f>VLOOKUP(TablaPegaso[[#This Row],[Equipo]],Catalogos!$I$4:$J$34,2,FALSE)</f>
        <v>#N/A</v>
      </c>
      <c r="G174" s="3"/>
      <c r="H174" s="3"/>
      <c r="I174" s="3">
        <f t="shared" si="10"/>
        <v>1028</v>
      </c>
      <c r="J174" s="4"/>
      <c r="K174" s="4">
        <f t="shared" si="11"/>
        <v>0</v>
      </c>
    </row>
    <row r="175" spans="1:11">
      <c r="A175" s="2"/>
      <c r="F175" t="e">
        <f>VLOOKUP(TablaPegaso[[#This Row],[Equipo]],Catalogos!$I$4:$J$34,2,FALSE)</f>
        <v>#N/A</v>
      </c>
      <c r="G175" s="3"/>
      <c r="H175" s="3"/>
      <c r="I175" s="3">
        <f t="shared" si="10"/>
        <v>1028</v>
      </c>
      <c r="J175" s="4"/>
      <c r="K175" s="4">
        <f t="shared" si="11"/>
        <v>0</v>
      </c>
    </row>
    <row r="176" spans="1:11">
      <c r="A176" s="2"/>
      <c r="F176" t="e">
        <f>VLOOKUP(TablaPegaso[[#This Row],[Equipo]],Catalogos!$I$4:$J$34,2,FALSE)</f>
        <v>#N/A</v>
      </c>
      <c r="G176" s="3"/>
      <c r="H176" s="3"/>
      <c r="I176" s="3">
        <f t="shared" si="10"/>
        <v>1028</v>
      </c>
      <c r="J176" s="4"/>
      <c r="K176" s="4">
        <f t="shared" si="11"/>
        <v>0</v>
      </c>
    </row>
    <row r="177" spans="1:11">
      <c r="A177" s="2"/>
      <c r="F177" t="e">
        <f>VLOOKUP(TablaPegaso[[#This Row],[Equipo]],Catalogos!$I$4:$J$34,2,FALSE)</f>
        <v>#N/A</v>
      </c>
      <c r="G177" s="3"/>
      <c r="H177" s="3"/>
      <c r="I177" s="3">
        <f t="shared" si="10"/>
        <v>1028</v>
      </c>
      <c r="J177" s="4"/>
      <c r="K177" s="4">
        <f t="shared" si="11"/>
        <v>0</v>
      </c>
    </row>
    <row r="178" spans="1:11">
      <c r="A178" s="2"/>
      <c r="F178" t="e">
        <f>VLOOKUP(TablaPegaso[[#This Row],[Equipo]],Catalogos!$I$4:$J$34,2,FALSE)</f>
        <v>#N/A</v>
      </c>
      <c r="G178" s="3"/>
      <c r="H178" s="3"/>
      <c r="I178" s="3">
        <f t="shared" si="10"/>
        <v>1028</v>
      </c>
      <c r="J178" s="4"/>
      <c r="K178" s="4">
        <f t="shared" si="11"/>
        <v>0</v>
      </c>
    </row>
    <row r="179" spans="1:11">
      <c r="A179" s="2"/>
      <c r="F179" t="e">
        <f>VLOOKUP(TablaPegaso[[#This Row],[Equipo]],Catalogos!$I$4:$J$34,2,FALSE)</f>
        <v>#N/A</v>
      </c>
      <c r="G179" s="3"/>
      <c r="H179" s="3"/>
      <c r="I179" s="3">
        <f t="shared" si="10"/>
        <v>1028</v>
      </c>
      <c r="J179" s="4"/>
      <c r="K179" s="4">
        <f t="shared" si="11"/>
        <v>0</v>
      </c>
    </row>
    <row r="180" spans="1:11">
      <c r="A180" s="2"/>
      <c r="F180" t="e">
        <f>VLOOKUP(TablaPegaso[[#This Row],[Equipo]],Catalogos!$I$4:$J$34,2,FALSE)</f>
        <v>#N/A</v>
      </c>
      <c r="G180" s="3"/>
      <c r="H180" s="3"/>
      <c r="I180" s="3">
        <f t="shared" si="10"/>
        <v>1028</v>
      </c>
      <c r="J180" s="4"/>
      <c r="K180" s="4">
        <f t="shared" si="11"/>
        <v>0</v>
      </c>
    </row>
    <row r="181" spans="1:11">
      <c r="A181" s="2"/>
      <c r="F181" t="e">
        <f>VLOOKUP(TablaPegaso[[#This Row],[Equipo]],Catalogos!$I$4:$J$34,2,FALSE)</f>
        <v>#N/A</v>
      </c>
      <c r="G181" s="3"/>
      <c r="H181" s="3"/>
      <c r="I181" s="3">
        <f t="shared" si="10"/>
        <v>1028</v>
      </c>
      <c r="J181" s="4"/>
      <c r="K181" s="4">
        <f t="shared" si="11"/>
        <v>0</v>
      </c>
    </row>
    <row r="182" spans="1:11">
      <c r="A182" s="2"/>
      <c r="F182" t="e">
        <f>VLOOKUP(TablaPegaso[[#This Row],[Equipo]],Catalogos!$I$4:$J$34,2,FALSE)</f>
        <v>#N/A</v>
      </c>
      <c r="G182" s="3"/>
      <c r="H182" s="3"/>
      <c r="I182" s="3">
        <f t="shared" si="10"/>
        <v>1028</v>
      </c>
      <c r="J182" s="4"/>
      <c r="K182" s="4">
        <f t="shared" si="11"/>
        <v>0</v>
      </c>
    </row>
    <row r="183" spans="1:11">
      <c r="A183" s="2"/>
      <c r="F183" t="e">
        <f>VLOOKUP(TablaPegaso[[#This Row],[Equipo]],Catalogos!$I$4:$J$34,2,FALSE)</f>
        <v>#N/A</v>
      </c>
      <c r="G183" s="3"/>
      <c r="H183" s="3"/>
      <c r="I183" s="3">
        <f t="shared" si="10"/>
        <v>1028</v>
      </c>
      <c r="J183" s="4"/>
      <c r="K183" s="4">
        <f t="shared" si="11"/>
        <v>0</v>
      </c>
    </row>
    <row r="184" spans="1:11">
      <c r="A184" s="2"/>
      <c r="F184" t="e">
        <f>VLOOKUP(TablaPegaso[[#This Row],[Equipo]],Catalogos!$I$4:$J$34,2,FALSE)</f>
        <v>#N/A</v>
      </c>
      <c r="G184" s="3"/>
      <c r="H184" s="3"/>
      <c r="I184" s="3">
        <f t="shared" si="10"/>
        <v>1028</v>
      </c>
      <c r="J184" s="4"/>
      <c r="K184" s="4">
        <f t="shared" si="11"/>
        <v>0</v>
      </c>
    </row>
    <row r="185" spans="1:11">
      <c r="A185" s="2"/>
      <c r="F185" t="e">
        <f>VLOOKUP(TablaPegaso[[#This Row],[Equipo]],Catalogos!$I$4:$J$34,2,FALSE)</f>
        <v>#N/A</v>
      </c>
      <c r="G185" s="3"/>
      <c r="H185" s="3"/>
      <c r="I185" s="3">
        <f t="shared" si="10"/>
        <v>1028</v>
      </c>
      <c r="J185" s="4"/>
      <c r="K185" s="4">
        <f t="shared" si="11"/>
        <v>0</v>
      </c>
    </row>
    <row r="186" spans="1:11">
      <c r="A186" s="2"/>
      <c r="F186" t="e">
        <f>VLOOKUP(TablaPegaso[[#This Row],[Equipo]],Catalogos!$I$4:$J$34,2,FALSE)</f>
        <v>#N/A</v>
      </c>
      <c r="G186" s="3"/>
      <c r="H186" s="3"/>
      <c r="I186" s="3">
        <f t="shared" si="10"/>
        <v>1028</v>
      </c>
      <c r="J186" s="4"/>
      <c r="K186" s="4">
        <f t="shared" si="11"/>
        <v>0</v>
      </c>
    </row>
    <row r="187" spans="1:11">
      <c r="A187" s="2"/>
      <c r="F187" t="e">
        <f>VLOOKUP(TablaPegaso[[#This Row],[Equipo]],Catalogos!$I$4:$J$34,2,FALSE)</f>
        <v>#N/A</v>
      </c>
      <c r="G187" s="3"/>
      <c r="H187" s="3"/>
      <c r="I187" s="3">
        <f t="shared" si="10"/>
        <v>1028</v>
      </c>
      <c r="J187" s="4"/>
      <c r="K187" s="4">
        <f t="shared" si="11"/>
        <v>0</v>
      </c>
    </row>
    <row r="188" spans="1:11">
      <c r="A188" s="2"/>
      <c r="F188" t="e">
        <f>VLOOKUP(TablaPegaso[[#This Row],[Equipo]],Catalogos!$I$4:$J$34,2,FALSE)</f>
        <v>#N/A</v>
      </c>
      <c r="G188" s="3"/>
      <c r="H188" s="3"/>
      <c r="I188" s="3">
        <f t="shared" si="10"/>
        <v>1028</v>
      </c>
      <c r="J188" s="4"/>
      <c r="K188" s="4">
        <f t="shared" si="11"/>
        <v>0</v>
      </c>
    </row>
    <row r="189" spans="1:11">
      <c r="A189" s="2"/>
      <c r="F189" t="e">
        <f>VLOOKUP(TablaPegaso[[#This Row],[Equipo]],Catalogos!$I$4:$J$34,2,FALSE)</f>
        <v>#N/A</v>
      </c>
      <c r="G189" s="3"/>
      <c r="H189" s="3"/>
      <c r="I189" s="3">
        <f t="shared" si="10"/>
        <v>1028</v>
      </c>
      <c r="J189" s="4"/>
      <c r="K189" s="4">
        <f t="shared" si="11"/>
        <v>0</v>
      </c>
    </row>
    <row r="190" spans="1:11">
      <c r="A190" s="2"/>
      <c r="F190" t="e">
        <f>VLOOKUP(TablaPegaso[[#This Row],[Equipo]],Catalogos!$I$4:$J$34,2,FALSE)</f>
        <v>#N/A</v>
      </c>
      <c r="G190" s="3"/>
      <c r="H190" s="3"/>
      <c r="I190" s="3">
        <f t="shared" si="10"/>
        <v>1028</v>
      </c>
      <c r="J190" s="4"/>
      <c r="K190" s="4">
        <f t="shared" si="11"/>
        <v>0</v>
      </c>
    </row>
    <row r="191" spans="1:11">
      <c r="A191" s="2"/>
      <c r="F191" t="e">
        <f>VLOOKUP(TablaPegaso[[#This Row],[Equipo]],Catalogos!$I$4:$J$34,2,FALSE)</f>
        <v>#N/A</v>
      </c>
      <c r="G191" s="3"/>
      <c r="H191" s="3"/>
      <c r="I191" s="3">
        <f t="shared" si="10"/>
        <v>1028</v>
      </c>
      <c r="J191" s="4"/>
      <c r="K191" s="4">
        <f t="shared" si="11"/>
        <v>0</v>
      </c>
    </row>
    <row r="192" spans="1:11">
      <c r="A192" s="2"/>
      <c r="F192" t="e">
        <f>VLOOKUP(TablaPegaso[[#This Row],[Equipo]],Catalogos!$I$4:$J$34,2,FALSE)</f>
        <v>#N/A</v>
      </c>
      <c r="G192" s="3"/>
      <c r="H192" s="3"/>
      <c r="I192" s="3">
        <f t="shared" si="10"/>
        <v>1028</v>
      </c>
      <c r="J192" s="4"/>
      <c r="K192" s="4">
        <f t="shared" si="11"/>
        <v>0</v>
      </c>
    </row>
    <row r="193" spans="1:11">
      <c r="A193" s="2"/>
      <c r="F193" t="e">
        <f>VLOOKUP(TablaPegaso[[#This Row],[Equipo]],Catalogos!$I$4:$J$34,2,FALSE)</f>
        <v>#N/A</v>
      </c>
      <c r="G193" s="3"/>
      <c r="H193" s="3"/>
      <c r="I193" s="3">
        <f t="shared" si="10"/>
        <v>1028</v>
      </c>
      <c r="J193" s="4"/>
      <c r="K193" s="4">
        <f t="shared" si="11"/>
        <v>0</v>
      </c>
    </row>
    <row r="194" spans="1:11">
      <c r="A194" s="2"/>
      <c r="F194" t="e">
        <f>VLOOKUP(TablaPegaso[[#This Row],[Equipo]],Catalogos!$I$4:$J$34,2,FALSE)</f>
        <v>#N/A</v>
      </c>
      <c r="G194" s="3"/>
      <c r="H194" s="3"/>
      <c r="I194" s="3">
        <f t="shared" si="10"/>
        <v>1028</v>
      </c>
      <c r="J194" s="4"/>
      <c r="K194" s="4">
        <f t="shared" si="11"/>
        <v>0</v>
      </c>
    </row>
    <row r="195" spans="1:11">
      <c r="A195" s="2"/>
      <c r="F195" t="e">
        <f>VLOOKUP(TablaPegaso[[#This Row],[Equipo]],Catalogos!$I$4:$J$34,2,FALSE)</f>
        <v>#N/A</v>
      </c>
      <c r="G195" s="3"/>
      <c r="H195" s="3"/>
      <c r="I195" s="3">
        <f t="shared" si="10"/>
        <v>1028</v>
      </c>
      <c r="J195" s="4"/>
      <c r="K195" s="4">
        <f t="shared" si="11"/>
        <v>0</v>
      </c>
    </row>
    <row r="196" spans="1:11">
      <c r="A196" s="2"/>
      <c r="F196" t="e">
        <f>VLOOKUP(TablaPegaso[[#This Row],[Equipo]],Catalogos!$I$4:$J$34,2,FALSE)</f>
        <v>#N/A</v>
      </c>
      <c r="G196" s="3"/>
      <c r="H196" s="3"/>
      <c r="I196" s="3">
        <f t="shared" si="10"/>
        <v>1028</v>
      </c>
      <c r="J196" s="4"/>
      <c r="K196" s="4">
        <f t="shared" si="11"/>
        <v>0</v>
      </c>
    </row>
    <row r="197" spans="1:11">
      <c r="A197" s="2"/>
      <c r="F197" t="e">
        <f>VLOOKUP(TablaPegaso[[#This Row],[Equipo]],Catalogos!$I$4:$J$34,2,FALSE)</f>
        <v>#N/A</v>
      </c>
      <c r="G197" s="3"/>
      <c r="H197" s="3"/>
      <c r="I197" s="3">
        <f t="shared" si="10"/>
        <v>1028</v>
      </c>
      <c r="J197" s="4"/>
      <c r="K197" s="4">
        <f t="shared" si="11"/>
        <v>0</v>
      </c>
    </row>
    <row r="198" spans="1:11">
      <c r="A198" s="2"/>
      <c r="F198" t="e">
        <f>VLOOKUP(TablaPegaso[[#This Row],[Equipo]],Catalogos!$I$4:$J$34,2,FALSE)</f>
        <v>#N/A</v>
      </c>
      <c r="G198" s="3"/>
      <c r="H198" s="3"/>
      <c r="I198" s="3">
        <f t="shared" si="10"/>
        <v>1028</v>
      </c>
      <c r="J198" s="4"/>
      <c r="K198" s="4">
        <f t="shared" si="11"/>
        <v>0</v>
      </c>
    </row>
    <row r="199" spans="1:11">
      <c r="A199" s="2"/>
      <c r="F199" t="e">
        <f>VLOOKUP(TablaPegaso[[#This Row],[Equipo]],Catalogos!$I$4:$J$34,2,FALSE)</f>
        <v>#N/A</v>
      </c>
      <c r="G199" s="3"/>
      <c r="H199" s="3"/>
      <c r="I199" s="3">
        <f t="shared" ref="I199:I206" si="12">IF(ROW()=5,G199-H199,I198+G199-H199)</f>
        <v>1028</v>
      </c>
      <c r="J199" s="4"/>
      <c r="K199" s="4">
        <f t="shared" ref="K199:K206" si="13">IFERROR((G199+H199)*J199,0)</f>
        <v>0</v>
      </c>
    </row>
    <row r="200" spans="1:11">
      <c r="A200" s="2"/>
      <c r="F200" t="e">
        <f>VLOOKUP(TablaPegaso[[#This Row],[Equipo]],Catalogos!$I$4:$J$34,2,FALSE)</f>
        <v>#N/A</v>
      </c>
      <c r="G200" s="3"/>
      <c r="H200" s="3"/>
      <c r="I200" s="3">
        <f t="shared" si="12"/>
        <v>1028</v>
      </c>
      <c r="J200" s="4"/>
      <c r="K200" s="4">
        <f t="shared" si="13"/>
        <v>0</v>
      </c>
    </row>
    <row r="201" spans="1:11">
      <c r="A201" s="2"/>
      <c r="F201" t="e">
        <f>VLOOKUP(TablaPegaso[[#This Row],[Equipo]],Catalogos!$I$4:$J$34,2,FALSE)</f>
        <v>#N/A</v>
      </c>
      <c r="G201" s="3"/>
      <c r="H201" s="3"/>
      <c r="I201" s="3">
        <f t="shared" si="12"/>
        <v>1028</v>
      </c>
      <c r="J201" s="4"/>
      <c r="K201" s="4">
        <f t="shared" si="13"/>
        <v>0</v>
      </c>
    </row>
    <row r="202" spans="1:11">
      <c r="A202" s="2"/>
      <c r="F202" t="e">
        <f>VLOOKUP(TablaPegaso[[#This Row],[Equipo]],Catalogos!$I$4:$J$34,2,FALSE)</f>
        <v>#N/A</v>
      </c>
      <c r="G202" s="3"/>
      <c r="H202" s="3"/>
      <c r="I202" s="3">
        <f t="shared" si="12"/>
        <v>1028</v>
      </c>
      <c r="J202" s="4"/>
      <c r="K202" s="4">
        <f t="shared" si="13"/>
        <v>0</v>
      </c>
    </row>
    <row r="203" spans="1:11">
      <c r="A203" s="2"/>
      <c r="F203" t="e">
        <f>VLOOKUP(TablaPegaso[[#This Row],[Equipo]],Catalogos!$I$4:$J$34,2,FALSE)</f>
        <v>#N/A</v>
      </c>
      <c r="G203" s="3"/>
      <c r="H203" s="3"/>
      <c r="I203" s="3">
        <f t="shared" si="12"/>
        <v>1028</v>
      </c>
      <c r="J203" s="4"/>
      <c r="K203" s="4">
        <f t="shared" si="13"/>
        <v>0</v>
      </c>
    </row>
    <row r="204" spans="1:11">
      <c r="A204" s="2"/>
      <c r="F204" t="e">
        <f>VLOOKUP(TablaPegaso[[#This Row],[Equipo]],Catalogos!$I$4:$J$34,2,FALSE)</f>
        <v>#N/A</v>
      </c>
      <c r="G204" s="3"/>
      <c r="H204" s="3"/>
      <c r="I204" s="3">
        <f t="shared" si="12"/>
        <v>1028</v>
      </c>
      <c r="J204" s="4"/>
      <c r="K204" s="4">
        <f t="shared" si="13"/>
        <v>0</v>
      </c>
    </row>
    <row r="205" spans="1:11">
      <c r="A205" s="2"/>
      <c r="F205" t="e">
        <f>VLOOKUP(TablaPegaso[[#This Row],[Equipo]],Catalogos!$I$4:$J$34,2,FALSE)</f>
        <v>#N/A</v>
      </c>
      <c r="G205" s="3"/>
      <c r="H205" s="3"/>
      <c r="I205" s="3">
        <f t="shared" si="12"/>
        <v>1028</v>
      </c>
      <c r="J205" s="4"/>
      <c r="K205" s="4">
        <f t="shared" si="13"/>
        <v>0</v>
      </c>
    </row>
    <row r="206" spans="1:11">
      <c r="A206" s="2"/>
      <c r="F206" t="e">
        <f>VLOOKUP(TablaPegaso[[#This Row],[Equipo]],Catalogos!$I$4:$J$34,2,FALSE)</f>
        <v>#N/A</v>
      </c>
      <c r="G206" s="3"/>
      <c r="H206" s="3"/>
      <c r="I206" s="3">
        <f t="shared" si="12"/>
        <v>1028</v>
      </c>
      <c r="J206" s="4"/>
      <c r="K206" s="4">
        <f t="shared" si="13"/>
        <v>0</v>
      </c>
    </row>
  </sheetData>
  <mergeCells count="1">
    <mergeCell ref="A1:L1"/>
  </mergeCells>
  <dataValidations count="1">
    <dataValidation type="list" sqref="B5:B206" xr:uid="{00000000-0002-0000-0100-000000000000}">
      <formula1>"Entrada,Salida a Marimba,Salida Directa Máquina,Ajuste"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100-000002000000}">
          <x14:formula1>
            <xm:f>Catalogos!$F$4:$F$10</xm:f>
          </x14:formula1>
          <xm:sqref>C5:C206</xm:sqref>
        </x14:dataValidation>
        <x14:dataValidation type="list" xr:uid="{7B984EB1-655C-4D3B-8650-CA17F7D94687}">
          <x14:formula1>
            <xm:f>Catalogos!$I$4:$I$34</xm:f>
          </x14:formula1>
          <xm:sqref>E5:E206</xm:sqref>
        </x14:dataValidation>
        <x14:dataValidation type="list" allowBlank="1" showInputMessage="1" showErrorMessage="1" xr:uid="{FB469301-41B0-4BE9-B3E1-9A5865756AE3}">
          <x14:formula1>
            <xm:f>Catalogos!$B$4:$B$8</xm:f>
          </x14:formula1>
          <xm:sqref>D23:D206</xm:sqref>
        </x14:dataValidation>
        <x14:dataValidation type="list" allowBlank="1" showInputMessage="1" showErrorMessage="1" xr:uid="{C1F6665C-5A85-44AD-A8F1-7F889B86B46E}">
          <x14:formula1>
            <xm:f>Catalogos!$B$4:$B$10</xm:f>
          </x14:formula1>
          <xm:sqref>D5:D22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04"/>
  <sheetViews>
    <sheetView workbookViewId="0">
      <selection activeCell="F36" sqref="F36"/>
    </sheetView>
  </sheetViews>
  <sheetFormatPr baseColWidth="10" defaultColWidth="8.796875" defaultRowHeight="13.8"/>
  <cols>
    <col min="1" max="1" width="13" customWidth="1"/>
    <col min="2" max="2" width="18" customWidth="1"/>
    <col min="3" max="4" width="22" customWidth="1"/>
    <col min="5" max="5" width="14" customWidth="1"/>
    <col min="6" max="7" width="12" customWidth="1"/>
    <col min="8" max="8" width="16" customWidth="1"/>
    <col min="9" max="9" width="12" customWidth="1"/>
    <col min="10" max="10" width="14" customWidth="1"/>
    <col min="11" max="11" width="18" customWidth="1"/>
    <col min="12" max="12" width="30" customWidth="1"/>
  </cols>
  <sheetData>
    <row r="1" spans="1:12" ht="22.35" customHeight="1">
      <c r="A1" s="17" t="s">
        <v>38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>
      <c r="A2" t="s">
        <v>39</v>
      </c>
      <c r="C2" t="s">
        <v>23</v>
      </c>
      <c r="E2" t="s">
        <v>24</v>
      </c>
      <c r="G2" t="s">
        <v>40</v>
      </c>
      <c r="H2" t="s">
        <v>41</v>
      </c>
      <c r="I2" t="s">
        <v>42</v>
      </c>
    </row>
    <row r="4" spans="1:12" ht="27.6">
      <c r="A4" s="1" t="s">
        <v>28</v>
      </c>
      <c r="B4" s="1" t="s">
        <v>43</v>
      </c>
      <c r="C4" s="1" t="s">
        <v>44</v>
      </c>
      <c r="D4" s="1" t="s">
        <v>45</v>
      </c>
      <c r="E4" s="1" t="s">
        <v>46</v>
      </c>
      <c r="F4" s="1" t="s">
        <v>32</v>
      </c>
      <c r="G4" s="1" t="s">
        <v>33</v>
      </c>
      <c r="H4" s="1" t="s">
        <v>34</v>
      </c>
      <c r="I4" s="1" t="s">
        <v>35</v>
      </c>
      <c r="J4" s="1" t="s">
        <v>36</v>
      </c>
      <c r="K4" s="1" t="s">
        <v>47</v>
      </c>
      <c r="L4" s="1" t="s">
        <v>37</v>
      </c>
    </row>
    <row r="5" spans="1:12">
      <c r="A5" s="2">
        <v>46181</v>
      </c>
      <c r="B5" t="s">
        <v>155</v>
      </c>
      <c r="C5" t="s">
        <v>6</v>
      </c>
      <c r="D5" t="s">
        <v>181</v>
      </c>
      <c r="E5" t="str">
        <f>VLOOKUP(TablaMarimba[[#This Row],[Equipo]],Catalogos!$I$4:$J$34,2,FALSE)</f>
        <v>NM-01</v>
      </c>
      <c r="F5" s="3">
        <v>0</v>
      </c>
      <c r="G5" s="3">
        <v>30</v>
      </c>
      <c r="H5" s="3">
        <f t="shared" ref="H5:H36" si="0">IF(ROW()=5,F5-G5,H4+F5-G5)</f>
        <v>-30</v>
      </c>
      <c r="I5" s="4">
        <v>28.3</v>
      </c>
      <c r="J5" s="4">
        <f t="shared" ref="J5:J36" si="1">IFERROR((F5+G5)*I5,0)</f>
        <v>849</v>
      </c>
    </row>
    <row r="6" spans="1:12">
      <c r="A6" s="2">
        <v>46181</v>
      </c>
      <c r="B6" t="s">
        <v>155</v>
      </c>
      <c r="C6" t="s">
        <v>6</v>
      </c>
      <c r="D6" t="s">
        <v>86</v>
      </c>
      <c r="E6" t="str">
        <f>VLOOKUP(TablaMarimba[[#This Row],[Equipo]],Catalogos!$I$4:$J$34,2,FALSE)</f>
        <v>CP-01</v>
      </c>
      <c r="F6" s="3"/>
      <c r="G6" s="3">
        <v>32</v>
      </c>
      <c r="H6" s="3">
        <f t="shared" si="0"/>
        <v>-62</v>
      </c>
      <c r="I6" s="4">
        <v>28.3</v>
      </c>
      <c r="J6" s="4">
        <f t="shared" si="1"/>
        <v>905.6</v>
      </c>
    </row>
    <row r="7" spans="1:12">
      <c r="A7" s="2">
        <v>46181</v>
      </c>
      <c r="B7" t="s">
        <v>155</v>
      </c>
      <c r="C7" t="s">
        <v>6</v>
      </c>
      <c r="D7" t="s">
        <v>164</v>
      </c>
      <c r="E7" t="str">
        <f>VLOOKUP(TablaMarimba[[#This Row],[Equipo]],Catalogos!$I$4:$J$34,2,FALSE)</f>
        <v>PR-01</v>
      </c>
      <c r="F7" s="3"/>
      <c r="G7" s="3">
        <v>277</v>
      </c>
      <c r="H7" s="3">
        <f t="shared" si="0"/>
        <v>-339</v>
      </c>
      <c r="I7" s="4">
        <v>28.3</v>
      </c>
      <c r="J7" s="4">
        <f t="shared" si="1"/>
        <v>7839.1</v>
      </c>
    </row>
    <row r="8" spans="1:12">
      <c r="A8" s="2">
        <v>46181</v>
      </c>
      <c r="B8" t="s">
        <v>155</v>
      </c>
      <c r="C8" t="s">
        <v>6</v>
      </c>
      <c r="D8" t="s">
        <v>95</v>
      </c>
      <c r="E8" t="str">
        <f>VLOOKUP(TablaMarimba[[#This Row],[Equipo]],Catalogos!$I$4:$J$34,2,FALSE)</f>
        <v>RT-01</v>
      </c>
      <c r="F8" s="3"/>
      <c r="G8" s="3">
        <v>30</v>
      </c>
      <c r="H8" s="3">
        <f t="shared" si="0"/>
        <v>-369</v>
      </c>
      <c r="I8" s="4">
        <v>28.3</v>
      </c>
      <c r="J8" s="4">
        <f t="shared" si="1"/>
        <v>849</v>
      </c>
    </row>
    <row r="9" spans="1:12">
      <c r="A9" s="2">
        <v>46181</v>
      </c>
      <c r="B9" t="s">
        <v>155</v>
      </c>
      <c r="C9" t="s">
        <v>8</v>
      </c>
      <c r="D9" t="s">
        <v>160</v>
      </c>
      <c r="E9" t="str">
        <f>VLOOKUP(TablaMarimba[[#This Row],[Equipo]],Catalogos!$I$4:$J$34,2,FALSE)</f>
        <v>VG-01</v>
      </c>
      <c r="F9" s="3"/>
      <c r="G9" s="3">
        <v>97</v>
      </c>
      <c r="H9" s="3">
        <f t="shared" si="0"/>
        <v>-466</v>
      </c>
      <c r="I9" s="4">
        <v>28.3</v>
      </c>
      <c r="J9" s="4">
        <f t="shared" si="1"/>
        <v>2745.1</v>
      </c>
    </row>
    <row r="10" spans="1:12">
      <c r="A10" s="2">
        <v>46181</v>
      </c>
      <c r="B10" t="s">
        <v>155</v>
      </c>
      <c r="C10" t="s">
        <v>10</v>
      </c>
      <c r="D10" t="s">
        <v>171</v>
      </c>
      <c r="E10" t="str">
        <f>VLOOKUP(TablaMarimba[[#This Row],[Equipo]],Catalogos!$I$4:$J$34,2,FALSE)</f>
        <v>PR-02</v>
      </c>
      <c r="F10" s="3"/>
      <c r="G10" s="3">
        <v>198</v>
      </c>
      <c r="H10" s="3">
        <f t="shared" si="0"/>
        <v>-664</v>
      </c>
      <c r="I10" s="4">
        <v>28.3</v>
      </c>
      <c r="J10" s="4">
        <f t="shared" si="1"/>
        <v>5603.4000000000005</v>
      </c>
    </row>
    <row r="11" spans="1:12">
      <c r="A11" s="2">
        <v>46181</v>
      </c>
      <c r="B11" t="s">
        <v>155</v>
      </c>
      <c r="C11" t="s">
        <v>10</v>
      </c>
      <c r="D11" t="s">
        <v>192</v>
      </c>
      <c r="E11" t="str">
        <f>VLOOKUP(TablaMarimba[[#This Row],[Equipo]],Catalogos!$I$4:$J$34,2,FALSE)</f>
        <v>MX-01</v>
      </c>
      <c r="F11" s="3"/>
      <c r="G11" s="3">
        <v>10</v>
      </c>
      <c r="H11" s="3">
        <f t="shared" si="0"/>
        <v>-674</v>
      </c>
      <c r="I11" s="4">
        <v>28.3</v>
      </c>
      <c r="J11" s="4">
        <f t="shared" si="1"/>
        <v>283</v>
      </c>
    </row>
    <row r="12" spans="1:12">
      <c r="A12" s="2">
        <v>46181</v>
      </c>
      <c r="B12" t="s">
        <v>155</v>
      </c>
      <c r="C12" t="s">
        <v>10</v>
      </c>
      <c r="D12" t="s">
        <v>186</v>
      </c>
      <c r="E12" t="str">
        <f>VLOOKUP(TablaMarimba[[#This Row],[Equipo]],Catalogos!$I$4:$J$34,2,FALSE)</f>
        <v>NM-02</v>
      </c>
      <c r="F12" s="3"/>
      <c r="G12" s="3">
        <v>27</v>
      </c>
      <c r="H12" s="3">
        <f t="shared" si="0"/>
        <v>-701</v>
      </c>
      <c r="I12" s="4">
        <v>28.3</v>
      </c>
      <c r="J12" s="4">
        <f t="shared" si="1"/>
        <v>764.1</v>
      </c>
    </row>
    <row r="13" spans="1:12">
      <c r="A13" s="2">
        <v>46181</v>
      </c>
      <c r="B13" t="s">
        <v>155</v>
      </c>
      <c r="C13" t="s">
        <v>10</v>
      </c>
      <c r="D13" t="s">
        <v>194</v>
      </c>
      <c r="E13" t="str">
        <f>VLOOKUP(TablaMarimba[[#This Row],[Equipo]],Catalogos!$I$4:$J$34,2,FALSE)</f>
        <v>CPR-01</v>
      </c>
      <c r="F13" s="3"/>
      <c r="G13" s="3">
        <v>30</v>
      </c>
      <c r="H13" s="3">
        <f t="shared" si="0"/>
        <v>-731</v>
      </c>
      <c r="I13" s="4">
        <v>28.3</v>
      </c>
      <c r="J13" s="4">
        <f t="shared" si="1"/>
        <v>849</v>
      </c>
    </row>
    <row r="14" spans="1:12">
      <c r="A14" s="2">
        <v>46181</v>
      </c>
      <c r="B14" t="s">
        <v>155</v>
      </c>
      <c r="C14" t="s">
        <v>10</v>
      </c>
      <c r="D14" t="s">
        <v>177</v>
      </c>
      <c r="E14" t="str">
        <f>VLOOKUP(TablaMarimba[[#This Row],[Equipo]],Catalogos!$I$4:$J$34,2,FALSE)</f>
        <v>RT-02</v>
      </c>
      <c r="F14" s="3"/>
      <c r="G14" s="3">
        <v>40</v>
      </c>
      <c r="H14" s="3">
        <f t="shared" si="0"/>
        <v>-771</v>
      </c>
      <c r="I14" s="4">
        <v>28.3</v>
      </c>
      <c r="J14" s="4">
        <f t="shared" si="1"/>
        <v>1132</v>
      </c>
    </row>
    <row r="15" spans="1:12">
      <c r="A15" s="2">
        <v>46181</v>
      </c>
      <c r="B15" t="s">
        <v>155</v>
      </c>
      <c r="C15" t="s">
        <v>10</v>
      </c>
      <c r="D15" t="s">
        <v>182</v>
      </c>
      <c r="E15" t="str">
        <f>VLOOKUP(TablaMarimba[[#This Row],[Equipo]],Catalogos!$I$4:$J$34,2,FALSE)</f>
        <v>VG-02</v>
      </c>
      <c r="F15" s="3"/>
      <c r="G15" s="3">
        <v>120</v>
      </c>
      <c r="H15" s="3">
        <f t="shared" si="0"/>
        <v>-891</v>
      </c>
      <c r="I15" s="4">
        <v>28.3</v>
      </c>
      <c r="J15" s="4">
        <f t="shared" si="1"/>
        <v>3396</v>
      </c>
    </row>
    <row r="16" spans="1:12">
      <c r="A16" s="2">
        <v>46181</v>
      </c>
      <c r="B16" t="s">
        <v>155</v>
      </c>
      <c r="C16" t="s">
        <v>10</v>
      </c>
      <c r="D16" t="s">
        <v>188</v>
      </c>
      <c r="E16" t="str">
        <f>VLOOKUP(TablaMarimba[[#This Row],[Equipo]],Catalogos!$I$4:$J$34,2,FALSE)</f>
        <v>PT-02</v>
      </c>
      <c r="F16" s="3"/>
      <c r="G16" s="3">
        <v>30</v>
      </c>
      <c r="H16" s="3">
        <f t="shared" si="0"/>
        <v>-921</v>
      </c>
      <c r="I16" s="4">
        <v>28.3</v>
      </c>
      <c r="J16" s="4">
        <f t="shared" si="1"/>
        <v>849</v>
      </c>
    </row>
    <row r="17" spans="1:10">
      <c r="A17" s="2">
        <v>46182</v>
      </c>
      <c r="B17" t="s">
        <v>155</v>
      </c>
      <c r="C17" t="s">
        <v>10</v>
      </c>
      <c r="D17" t="s">
        <v>175</v>
      </c>
      <c r="E17" t="str">
        <f>VLOOKUP(TablaMarimba[[#This Row],[Equipo]],Catalogos!$I$4:$J$34,2,FALSE)</f>
        <v>BR-02</v>
      </c>
      <c r="F17" s="3"/>
      <c r="G17" s="3">
        <v>30</v>
      </c>
      <c r="H17" s="3">
        <f t="shared" si="0"/>
        <v>-951</v>
      </c>
      <c r="I17" s="4">
        <v>28.3</v>
      </c>
      <c r="J17" s="4">
        <f t="shared" si="1"/>
        <v>849</v>
      </c>
    </row>
    <row r="18" spans="1:10">
      <c r="A18" s="2">
        <v>46182</v>
      </c>
      <c r="B18" t="s">
        <v>155</v>
      </c>
      <c r="C18" t="s">
        <v>10</v>
      </c>
      <c r="D18" t="s">
        <v>179</v>
      </c>
      <c r="E18" t="str">
        <f>VLOOKUP(TablaMarimba[[#This Row],[Equipo]],Catalogos!$I$4:$J$34,2,FALSE)</f>
        <v>BG-01</v>
      </c>
      <c r="F18" s="3"/>
      <c r="G18" s="3">
        <v>100</v>
      </c>
      <c r="H18" s="3">
        <f t="shared" si="0"/>
        <v>-1051</v>
      </c>
      <c r="I18" s="4">
        <v>28.3</v>
      </c>
      <c r="J18" s="4">
        <f t="shared" si="1"/>
        <v>2830</v>
      </c>
    </row>
    <row r="19" spans="1:10">
      <c r="A19" s="2">
        <v>46182</v>
      </c>
      <c r="B19" t="s">
        <v>155</v>
      </c>
      <c r="C19" t="s">
        <v>10</v>
      </c>
      <c r="D19" t="s">
        <v>184</v>
      </c>
      <c r="E19" t="str">
        <f>VLOOKUP(TablaMarimba[[#This Row],[Equipo]],Catalogos!$I$4:$J$34,2,FALSE)</f>
        <v>TD-01</v>
      </c>
      <c r="F19" s="3"/>
      <c r="G19" s="3">
        <v>30</v>
      </c>
      <c r="H19" s="3">
        <f t="shared" si="0"/>
        <v>-1081</v>
      </c>
      <c r="I19" s="4">
        <v>28.3</v>
      </c>
      <c r="J19" s="4">
        <f t="shared" si="1"/>
        <v>849</v>
      </c>
    </row>
    <row r="20" spans="1:10">
      <c r="A20" s="2">
        <v>46182</v>
      </c>
      <c r="B20" t="s">
        <v>155</v>
      </c>
      <c r="C20" t="s">
        <v>10</v>
      </c>
      <c r="D20" t="s">
        <v>171</v>
      </c>
      <c r="E20" t="str">
        <f>VLOOKUP(TablaMarimba[[#This Row],[Equipo]],Catalogos!$I$4:$J$34,2,FALSE)</f>
        <v>PR-02</v>
      </c>
      <c r="F20" s="3"/>
      <c r="G20" s="3">
        <v>150</v>
      </c>
      <c r="H20" s="3">
        <f t="shared" si="0"/>
        <v>-1231</v>
      </c>
      <c r="I20" s="4">
        <v>28.3</v>
      </c>
      <c r="J20" s="4">
        <f t="shared" si="1"/>
        <v>4245</v>
      </c>
    </row>
    <row r="21" spans="1:10">
      <c r="A21" s="2">
        <v>46182</v>
      </c>
      <c r="B21" t="s">
        <v>155</v>
      </c>
      <c r="C21" t="s">
        <v>10</v>
      </c>
      <c r="D21" t="s">
        <v>188</v>
      </c>
      <c r="E21" t="str">
        <f>VLOOKUP(TablaMarimba[[#This Row],[Equipo]],Catalogos!$I$4:$J$34,2,FALSE)</f>
        <v>PT-02</v>
      </c>
      <c r="F21" s="3"/>
      <c r="G21" s="3">
        <v>50</v>
      </c>
      <c r="H21" s="3">
        <f t="shared" si="0"/>
        <v>-1281</v>
      </c>
      <c r="I21" s="4">
        <v>28.3</v>
      </c>
      <c r="J21" s="4">
        <f t="shared" si="1"/>
        <v>1415</v>
      </c>
    </row>
    <row r="22" spans="1:10">
      <c r="A22" s="2">
        <v>46182</v>
      </c>
      <c r="B22" t="s">
        <v>155</v>
      </c>
      <c r="C22" t="s">
        <v>10</v>
      </c>
      <c r="D22" t="s">
        <v>182</v>
      </c>
      <c r="E22" t="str">
        <f>VLOOKUP(TablaMarimba[[#This Row],[Equipo]],Catalogos!$I$4:$J$34,2,FALSE)</f>
        <v>VG-02</v>
      </c>
      <c r="F22" s="3"/>
      <c r="G22" s="3">
        <v>136</v>
      </c>
      <c r="H22" s="3">
        <f t="shared" si="0"/>
        <v>-1417</v>
      </c>
      <c r="I22" s="4">
        <v>28.3</v>
      </c>
      <c r="J22" s="4">
        <f t="shared" si="1"/>
        <v>3848.8</v>
      </c>
    </row>
    <row r="23" spans="1:10">
      <c r="A23" s="2">
        <v>46182</v>
      </c>
      <c r="B23" t="s">
        <v>155</v>
      </c>
      <c r="C23" t="s">
        <v>10</v>
      </c>
      <c r="D23" t="s">
        <v>184</v>
      </c>
      <c r="E23" t="str">
        <f>VLOOKUP(TablaMarimba[[#This Row],[Equipo]],Catalogos!$I$4:$J$34,2,FALSE)</f>
        <v>TD-01</v>
      </c>
      <c r="F23" s="3"/>
      <c r="G23" s="3">
        <v>30</v>
      </c>
      <c r="H23" s="3">
        <f t="shared" si="0"/>
        <v>-1447</v>
      </c>
      <c r="I23" s="4">
        <v>28.3</v>
      </c>
      <c r="J23" s="4">
        <f t="shared" si="1"/>
        <v>849</v>
      </c>
    </row>
    <row r="24" spans="1:10">
      <c r="A24" s="2">
        <v>46182</v>
      </c>
      <c r="B24" t="s">
        <v>155</v>
      </c>
      <c r="C24" t="s">
        <v>10</v>
      </c>
      <c r="D24" t="s">
        <v>181</v>
      </c>
      <c r="E24" t="str">
        <f>VLOOKUP(TablaMarimba[[#This Row],[Equipo]],Catalogos!$I$4:$J$34,2,FALSE)</f>
        <v>NM-01</v>
      </c>
      <c r="F24" s="3"/>
      <c r="G24" s="3">
        <v>30</v>
      </c>
      <c r="H24" s="3">
        <f t="shared" si="0"/>
        <v>-1477</v>
      </c>
      <c r="I24" s="4">
        <v>28.3</v>
      </c>
      <c r="J24" s="4">
        <f t="shared" si="1"/>
        <v>849</v>
      </c>
    </row>
    <row r="25" spans="1:10">
      <c r="A25" s="2">
        <v>46182</v>
      </c>
      <c r="B25" t="s">
        <v>155</v>
      </c>
      <c r="C25" t="s">
        <v>10</v>
      </c>
      <c r="D25" t="s">
        <v>179</v>
      </c>
      <c r="E25" t="str">
        <f>VLOOKUP(TablaMarimba[[#This Row],[Equipo]],Catalogos!$I$4:$J$34,2,FALSE)</f>
        <v>BG-01</v>
      </c>
      <c r="F25" s="3"/>
      <c r="G25" s="3">
        <v>100</v>
      </c>
      <c r="H25" s="3">
        <f t="shared" si="0"/>
        <v>-1577</v>
      </c>
      <c r="I25" s="4">
        <v>28.3</v>
      </c>
      <c r="J25" s="4">
        <f t="shared" si="1"/>
        <v>2830</v>
      </c>
    </row>
    <row r="26" spans="1:10">
      <c r="A26" s="2">
        <v>46182</v>
      </c>
      <c r="B26" t="s">
        <v>155</v>
      </c>
      <c r="C26" t="s">
        <v>10</v>
      </c>
      <c r="D26" t="s">
        <v>177</v>
      </c>
      <c r="E26" t="str">
        <f>VLOOKUP(TablaMarimba[[#This Row],[Equipo]],Catalogos!$I$4:$J$34,2,FALSE)</f>
        <v>RT-02</v>
      </c>
      <c r="F26" s="3"/>
      <c r="G26" s="3">
        <v>60</v>
      </c>
      <c r="H26" s="3">
        <f t="shared" si="0"/>
        <v>-1637</v>
      </c>
      <c r="I26" s="4">
        <v>28.3</v>
      </c>
      <c r="J26" s="4">
        <f t="shared" si="1"/>
        <v>1698</v>
      </c>
    </row>
    <row r="27" spans="1:10">
      <c r="A27" s="2">
        <v>46182</v>
      </c>
      <c r="B27" t="s">
        <v>155</v>
      </c>
      <c r="C27" t="s">
        <v>10</v>
      </c>
      <c r="D27" t="s">
        <v>194</v>
      </c>
      <c r="E27" t="str">
        <f>VLOOKUP(TablaMarimba[[#This Row],[Equipo]],Catalogos!$I$4:$J$34,2,FALSE)</f>
        <v>CPR-01</v>
      </c>
      <c r="F27" s="3"/>
      <c r="G27" s="3">
        <v>20</v>
      </c>
      <c r="H27" s="3">
        <f t="shared" si="0"/>
        <v>-1657</v>
      </c>
      <c r="I27" s="4">
        <v>28.3</v>
      </c>
      <c r="J27" s="4">
        <f t="shared" si="1"/>
        <v>566</v>
      </c>
    </row>
    <row r="28" spans="1:10">
      <c r="A28" s="2">
        <v>46183</v>
      </c>
      <c r="B28" t="s">
        <v>155</v>
      </c>
      <c r="C28" t="s">
        <v>6</v>
      </c>
      <c r="D28" t="s">
        <v>165</v>
      </c>
      <c r="E28" t="str">
        <f>VLOOKUP(TablaMarimba[[#This Row],[Equipo]],Catalogos!$I$4:$J$34,2,FALSE)</f>
        <v>BR-01</v>
      </c>
      <c r="F28" s="3"/>
      <c r="G28" s="3">
        <v>20</v>
      </c>
      <c r="H28" s="3">
        <f t="shared" si="0"/>
        <v>-1677</v>
      </c>
      <c r="I28" s="4">
        <v>28.3</v>
      </c>
      <c r="J28" s="4">
        <f t="shared" si="1"/>
        <v>566</v>
      </c>
    </row>
    <row r="29" spans="1:10">
      <c r="A29" s="2">
        <v>46183</v>
      </c>
      <c r="B29" t="s">
        <v>155</v>
      </c>
      <c r="C29" t="s">
        <v>6</v>
      </c>
      <c r="D29" t="s">
        <v>164</v>
      </c>
      <c r="E29" t="str">
        <f>VLOOKUP(TablaMarimba[[#This Row],[Equipo]],Catalogos!$I$4:$J$34,2,FALSE)</f>
        <v>PR-01</v>
      </c>
      <c r="F29" s="3"/>
      <c r="G29" s="3">
        <v>250</v>
      </c>
      <c r="H29" s="3">
        <f t="shared" si="0"/>
        <v>-1927</v>
      </c>
      <c r="I29" s="4">
        <v>28.3</v>
      </c>
      <c r="J29" s="4">
        <f t="shared" si="1"/>
        <v>7075</v>
      </c>
    </row>
    <row r="30" spans="1:10">
      <c r="A30" s="2">
        <v>46183</v>
      </c>
      <c r="B30" t="s">
        <v>155</v>
      </c>
      <c r="C30" t="s">
        <v>6</v>
      </c>
      <c r="D30" t="s">
        <v>95</v>
      </c>
      <c r="E30" t="str">
        <f>VLOOKUP(TablaMarimba[[#This Row],[Equipo]],Catalogos!$I$4:$J$34,2,FALSE)</f>
        <v>RT-01</v>
      </c>
      <c r="F30" s="3"/>
      <c r="G30" s="3">
        <v>30</v>
      </c>
      <c r="H30" s="3">
        <f t="shared" si="0"/>
        <v>-1957</v>
      </c>
      <c r="I30" s="4">
        <v>28.3</v>
      </c>
      <c r="J30" s="4">
        <f t="shared" si="1"/>
        <v>849</v>
      </c>
    </row>
    <row r="31" spans="1:10">
      <c r="A31" s="2">
        <v>46184</v>
      </c>
      <c r="B31" t="s">
        <v>155</v>
      </c>
      <c r="C31" t="s">
        <v>6</v>
      </c>
      <c r="D31" t="s">
        <v>86</v>
      </c>
      <c r="E31" t="str">
        <f>VLOOKUP(TablaMarimba[[#This Row],[Equipo]],Catalogos!$I$4:$J$34,2,FALSE)</f>
        <v>CP-01</v>
      </c>
      <c r="F31" s="3"/>
      <c r="G31" s="3">
        <v>30</v>
      </c>
      <c r="H31" s="3">
        <f t="shared" si="0"/>
        <v>-1987</v>
      </c>
      <c r="I31" s="4">
        <v>28.3</v>
      </c>
      <c r="J31" s="4">
        <f t="shared" si="1"/>
        <v>849</v>
      </c>
    </row>
    <row r="32" spans="1:10">
      <c r="A32" s="2">
        <v>46184</v>
      </c>
      <c r="B32" t="s">
        <v>155</v>
      </c>
      <c r="C32" t="s">
        <v>6</v>
      </c>
      <c r="D32" t="s">
        <v>181</v>
      </c>
      <c r="E32" t="str">
        <f>VLOOKUP(TablaMarimba[[#This Row],[Equipo]],Catalogos!$I$4:$J$34,2,FALSE)</f>
        <v>NM-01</v>
      </c>
      <c r="F32" s="3"/>
      <c r="G32" s="3">
        <v>30</v>
      </c>
      <c r="H32" s="3">
        <f t="shared" si="0"/>
        <v>-2017</v>
      </c>
      <c r="I32" s="4">
        <v>28.3</v>
      </c>
      <c r="J32" s="4">
        <f t="shared" si="1"/>
        <v>849</v>
      </c>
    </row>
    <row r="33" spans="1:14">
      <c r="A33" s="2">
        <v>46184</v>
      </c>
      <c r="B33" t="s">
        <v>155</v>
      </c>
      <c r="C33" t="s">
        <v>6</v>
      </c>
      <c r="D33" t="s">
        <v>160</v>
      </c>
      <c r="E33" t="str">
        <f>VLOOKUP(TablaMarimba[[#This Row],[Equipo]],Catalogos!$I$4:$J$34,2,FALSE)</f>
        <v>VG-01</v>
      </c>
      <c r="F33" s="3"/>
      <c r="G33" s="3">
        <v>136</v>
      </c>
      <c r="H33" s="3">
        <f t="shared" si="0"/>
        <v>-2153</v>
      </c>
      <c r="I33" s="4">
        <v>28.3</v>
      </c>
      <c r="J33" s="4">
        <f t="shared" si="1"/>
        <v>3848.8</v>
      </c>
    </row>
    <row r="34" spans="1:14">
      <c r="A34" s="2">
        <v>46184</v>
      </c>
      <c r="B34" t="s">
        <v>155</v>
      </c>
      <c r="C34" t="s">
        <v>6</v>
      </c>
      <c r="D34" t="s">
        <v>165</v>
      </c>
      <c r="E34" t="str">
        <f>VLOOKUP(TablaMarimba[[#This Row],[Equipo]],Catalogos!$I$4:$J$34,2,FALSE)</f>
        <v>BR-01</v>
      </c>
      <c r="F34" s="3"/>
      <c r="G34" s="3">
        <v>20</v>
      </c>
      <c r="H34" s="3">
        <f t="shared" si="0"/>
        <v>-2173</v>
      </c>
      <c r="I34" s="4">
        <v>28.3</v>
      </c>
      <c r="J34" s="4">
        <f t="shared" si="1"/>
        <v>566</v>
      </c>
    </row>
    <row r="35" spans="1:14">
      <c r="A35" s="2">
        <v>46184</v>
      </c>
      <c r="B35" t="s">
        <v>155</v>
      </c>
      <c r="C35" t="s">
        <v>6</v>
      </c>
      <c r="D35" t="s">
        <v>95</v>
      </c>
      <c r="E35" t="str">
        <f>VLOOKUP(TablaMarimba[[#This Row],[Equipo]],Catalogos!$I$4:$J$34,2,FALSE)</f>
        <v>RT-01</v>
      </c>
      <c r="F35" s="3"/>
      <c r="G35" s="3">
        <v>20</v>
      </c>
      <c r="H35" s="3">
        <f t="shared" si="0"/>
        <v>-2193</v>
      </c>
      <c r="I35" s="4">
        <v>28.3</v>
      </c>
      <c r="J35" s="4">
        <f t="shared" si="1"/>
        <v>566</v>
      </c>
    </row>
    <row r="36" spans="1:14">
      <c r="A36" s="2">
        <v>46184</v>
      </c>
      <c r="B36" t="s">
        <v>155</v>
      </c>
      <c r="C36" t="s">
        <v>6</v>
      </c>
      <c r="D36" t="s">
        <v>192</v>
      </c>
      <c r="E36" t="str">
        <f>VLOOKUP(TablaMarimba[[#This Row],[Equipo]],Catalogos!$I$4:$J$34,2,FALSE)</f>
        <v>MX-01</v>
      </c>
      <c r="F36" s="3"/>
      <c r="G36" s="3">
        <v>20</v>
      </c>
      <c r="H36" s="3">
        <f t="shared" si="0"/>
        <v>-2213</v>
      </c>
      <c r="I36" s="4">
        <v>28.3</v>
      </c>
      <c r="J36" s="4">
        <f t="shared" si="1"/>
        <v>566</v>
      </c>
    </row>
    <row r="37" spans="1:14">
      <c r="A37" s="2">
        <v>46185</v>
      </c>
      <c r="B37" t="s">
        <v>155</v>
      </c>
      <c r="C37" t="s">
        <v>10</v>
      </c>
      <c r="D37" t="s">
        <v>184</v>
      </c>
      <c r="E37" t="str">
        <f>VLOOKUP(TablaMarimba[[#This Row],[Equipo]],Catalogos!$I$4:$J$34,2,FALSE)</f>
        <v>TD-01</v>
      </c>
      <c r="F37" s="3"/>
      <c r="G37" s="3">
        <v>32</v>
      </c>
      <c r="H37" s="3">
        <f t="shared" ref="H37:H68" si="2">IF(ROW()=5,F37-G37,H36+F37-G37)</f>
        <v>-2245</v>
      </c>
      <c r="I37" s="4">
        <v>28.3</v>
      </c>
      <c r="J37" s="4">
        <f t="shared" ref="J37:J68" si="3">IFERROR((F37+G37)*I37,0)</f>
        <v>905.6</v>
      </c>
    </row>
    <row r="38" spans="1:14">
      <c r="A38" s="2">
        <v>46185</v>
      </c>
      <c r="B38" t="s">
        <v>155</v>
      </c>
      <c r="C38" t="s">
        <v>10</v>
      </c>
      <c r="D38" t="s">
        <v>186</v>
      </c>
      <c r="E38" t="str">
        <f>VLOOKUP(TablaMarimba[[#This Row],[Equipo]],Catalogos!$I$4:$J$34,2,FALSE)</f>
        <v>NM-02</v>
      </c>
      <c r="F38" s="3"/>
      <c r="G38" s="3">
        <v>30</v>
      </c>
      <c r="H38" s="3">
        <f t="shared" si="2"/>
        <v>-2275</v>
      </c>
      <c r="I38" s="4">
        <v>28.3</v>
      </c>
      <c r="J38" s="4">
        <f t="shared" si="3"/>
        <v>849</v>
      </c>
    </row>
    <row r="39" spans="1:14">
      <c r="A39" s="2">
        <v>46185</v>
      </c>
      <c r="B39" t="s">
        <v>155</v>
      </c>
      <c r="C39" t="s">
        <v>10</v>
      </c>
      <c r="D39" t="s">
        <v>175</v>
      </c>
      <c r="E39" t="str">
        <f>VLOOKUP(TablaMarimba[[#This Row],[Equipo]],Catalogos!$I$4:$J$34,2,FALSE)</f>
        <v>BR-02</v>
      </c>
      <c r="F39" s="3"/>
      <c r="G39" s="3">
        <v>30</v>
      </c>
      <c r="H39" s="3">
        <f t="shared" si="2"/>
        <v>-2305</v>
      </c>
      <c r="I39" s="4">
        <v>28.3</v>
      </c>
      <c r="J39" s="4">
        <f t="shared" si="3"/>
        <v>849</v>
      </c>
    </row>
    <row r="40" spans="1:14">
      <c r="A40" s="2">
        <v>46185</v>
      </c>
      <c r="B40" t="s">
        <v>155</v>
      </c>
      <c r="C40" t="s">
        <v>10</v>
      </c>
      <c r="D40" t="s">
        <v>177</v>
      </c>
      <c r="E40" t="str">
        <f>VLOOKUP(TablaMarimba[[#This Row],[Equipo]],Catalogos!$I$4:$J$34,2,FALSE)</f>
        <v>RT-02</v>
      </c>
      <c r="F40" s="3"/>
      <c r="G40" s="3">
        <v>50</v>
      </c>
      <c r="H40" s="3">
        <f t="shared" si="2"/>
        <v>-2355</v>
      </c>
      <c r="I40" s="4">
        <v>28.3</v>
      </c>
      <c r="J40" s="4">
        <f t="shared" si="3"/>
        <v>1415</v>
      </c>
    </row>
    <row r="41" spans="1:14">
      <c r="A41" s="2">
        <v>46185</v>
      </c>
      <c r="B41" t="s">
        <v>155</v>
      </c>
      <c r="C41" t="s">
        <v>10</v>
      </c>
      <c r="D41" t="s">
        <v>182</v>
      </c>
      <c r="E41" t="str">
        <f>VLOOKUP(TablaMarimba[[#This Row],[Equipo]],Catalogos!$I$4:$J$34,2,FALSE)</f>
        <v>VG-02</v>
      </c>
      <c r="F41" s="3"/>
      <c r="G41" s="3">
        <v>120</v>
      </c>
      <c r="H41" s="3">
        <f t="shared" si="2"/>
        <v>-2475</v>
      </c>
      <c r="I41" s="4">
        <v>28.3</v>
      </c>
      <c r="J41" s="4">
        <f t="shared" si="3"/>
        <v>3396</v>
      </c>
    </row>
    <row r="42" spans="1:14">
      <c r="A42" s="2">
        <v>46185</v>
      </c>
      <c r="B42" t="s">
        <v>155</v>
      </c>
      <c r="C42" t="s">
        <v>10</v>
      </c>
      <c r="D42" t="s">
        <v>188</v>
      </c>
      <c r="E42" t="str">
        <f>VLOOKUP(TablaMarimba[[#This Row],[Equipo]],Catalogos!$I$4:$J$34,2,FALSE)</f>
        <v>PT-02</v>
      </c>
      <c r="F42" s="3"/>
      <c r="G42" s="3">
        <v>40</v>
      </c>
      <c r="H42" s="3">
        <f t="shared" si="2"/>
        <v>-2515</v>
      </c>
      <c r="I42" s="4">
        <v>28.3</v>
      </c>
      <c r="J42" s="4">
        <f t="shared" si="3"/>
        <v>1132</v>
      </c>
    </row>
    <row r="43" spans="1:14">
      <c r="A43" s="2">
        <v>46185</v>
      </c>
      <c r="B43" t="s">
        <v>155</v>
      </c>
      <c r="C43" t="s">
        <v>10</v>
      </c>
      <c r="D43" t="s">
        <v>171</v>
      </c>
      <c r="E43" t="str">
        <f>VLOOKUP(TablaMarimba[[#This Row],[Equipo]],Catalogos!$I$4:$J$34,2,FALSE)</f>
        <v>PR-02</v>
      </c>
      <c r="F43" s="3"/>
      <c r="G43" s="3">
        <v>200</v>
      </c>
      <c r="H43" s="3">
        <f t="shared" si="2"/>
        <v>-2715</v>
      </c>
      <c r="I43" s="4">
        <v>28.3</v>
      </c>
      <c r="J43" s="4">
        <f t="shared" si="3"/>
        <v>5660</v>
      </c>
      <c r="N43" s="3">
        <f>SUM(G5:G48)</f>
        <v>3075</v>
      </c>
    </row>
    <row r="44" spans="1:14">
      <c r="A44" s="2">
        <v>46185</v>
      </c>
      <c r="B44" t="s">
        <v>155</v>
      </c>
      <c r="C44" t="s">
        <v>6</v>
      </c>
      <c r="D44" t="s">
        <v>165</v>
      </c>
      <c r="E44" t="str">
        <f>VLOOKUP(TablaMarimba[[#This Row],[Equipo]],Catalogos!$I$4:$J$34,2,FALSE)</f>
        <v>BR-01</v>
      </c>
      <c r="F44" s="3"/>
      <c r="G44" s="3">
        <v>20</v>
      </c>
      <c r="H44" s="3">
        <f t="shared" si="2"/>
        <v>-2735</v>
      </c>
      <c r="I44" s="4">
        <v>28.3</v>
      </c>
      <c r="J44" s="4">
        <f t="shared" si="3"/>
        <v>566</v>
      </c>
    </row>
    <row r="45" spans="1:14">
      <c r="A45" s="2">
        <v>46185</v>
      </c>
      <c r="B45" t="s">
        <v>155</v>
      </c>
      <c r="C45" t="s">
        <v>6</v>
      </c>
      <c r="D45" t="s">
        <v>181</v>
      </c>
      <c r="E45" t="str">
        <f>VLOOKUP(TablaMarimba[[#This Row],[Equipo]],Catalogos!$I$4:$J$34,2,FALSE)</f>
        <v>NM-01</v>
      </c>
      <c r="F45" s="3"/>
      <c r="G45" s="3">
        <v>30</v>
      </c>
      <c r="H45" s="3">
        <f t="shared" si="2"/>
        <v>-2765</v>
      </c>
      <c r="I45" s="4">
        <v>28.3</v>
      </c>
      <c r="J45" s="4">
        <f t="shared" si="3"/>
        <v>849</v>
      </c>
    </row>
    <row r="46" spans="1:14">
      <c r="A46" s="2">
        <v>46185</v>
      </c>
      <c r="B46" t="s">
        <v>155</v>
      </c>
      <c r="C46" t="s">
        <v>6</v>
      </c>
      <c r="D46" t="s">
        <v>192</v>
      </c>
      <c r="E46" t="str">
        <f>VLOOKUP(TablaMarimba[[#This Row],[Equipo]],Catalogos!$I$4:$J$34,2,FALSE)</f>
        <v>MX-01</v>
      </c>
      <c r="F46" s="3"/>
      <c r="G46" s="3">
        <v>20</v>
      </c>
      <c r="H46" s="3">
        <f t="shared" si="2"/>
        <v>-2785</v>
      </c>
      <c r="I46" s="4">
        <v>28.3</v>
      </c>
      <c r="J46" s="4">
        <f t="shared" si="3"/>
        <v>566</v>
      </c>
    </row>
    <row r="47" spans="1:14">
      <c r="A47" s="2">
        <v>46185</v>
      </c>
      <c r="B47" t="s">
        <v>155</v>
      </c>
      <c r="C47" t="s">
        <v>6</v>
      </c>
      <c r="D47" t="s">
        <v>86</v>
      </c>
      <c r="E47" t="str">
        <f>VLOOKUP(TablaMarimba[[#This Row],[Equipo]],Catalogos!$I$4:$J$34,2,FALSE)</f>
        <v>CP-01</v>
      </c>
      <c r="F47" s="3"/>
      <c r="G47" s="3">
        <v>40</v>
      </c>
      <c r="H47" s="3">
        <f t="shared" si="2"/>
        <v>-2825</v>
      </c>
      <c r="I47" s="4">
        <v>28.3</v>
      </c>
      <c r="J47" s="4">
        <f t="shared" si="3"/>
        <v>1132</v>
      </c>
    </row>
    <row r="48" spans="1:14">
      <c r="A48" s="2">
        <v>46185</v>
      </c>
      <c r="B48" t="s">
        <v>155</v>
      </c>
      <c r="C48" t="s">
        <v>6</v>
      </c>
      <c r="D48" t="s">
        <v>164</v>
      </c>
      <c r="E48" t="str">
        <f>VLOOKUP(TablaMarimba[[#This Row],[Equipo]],Catalogos!$I$4:$J$34,2,FALSE)</f>
        <v>PR-01</v>
      </c>
      <c r="F48" s="3"/>
      <c r="G48" s="3">
        <v>250</v>
      </c>
      <c r="H48" s="3">
        <f t="shared" si="2"/>
        <v>-3075</v>
      </c>
      <c r="I48" s="4">
        <v>28.3</v>
      </c>
      <c r="J48" s="4">
        <f t="shared" si="3"/>
        <v>7075</v>
      </c>
    </row>
    <row r="49" spans="1:10">
      <c r="A49" s="2"/>
      <c r="E49" t="e">
        <f>VLOOKUP(TablaMarimba[[#This Row],[Equipo]],Catalogos!$I$4:$J$34,2,FALSE)</f>
        <v>#N/A</v>
      </c>
      <c r="F49" s="3"/>
      <c r="G49" s="3"/>
      <c r="H49" s="3">
        <f t="shared" si="2"/>
        <v>-3075</v>
      </c>
      <c r="I49" s="4">
        <v>28.3</v>
      </c>
      <c r="J49" s="4">
        <f t="shared" si="3"/>
        <v>0</v>
      </c>
    </row>
    <row r="50" spans="1:10">
      <c r="A50" s="2"/>
      <c r="E50" t="e">
        <f>VLOOKUP(TablaMarimba[[#This Row],[Equipo]],Catalogos!$I$4:$J$34,2,FALSE)</f>
        <v>#N/A</v>
      </c>
      <c r="F50" s="3"/>
      <c r="G50" s="3"/>
      <c r="H50" s="3">
        <f t="shared" si="2"/>
        <v>-3075</v>
      </c>
      <c r="I50" s="4">
        <v>28.3</v>
      </c>
      <c r="J50" s="4">
        <f t="shared" si="3"/>
        <v>0</v>
      </c>
    </row>
    <row r="51" spans="1:10">
      <c r="A51" s="2"/>
      <c r="E51" t="e">
        <f>VLOOKUP(TablaMarimba[[#This Row],[Equipo]],Catalogos!$I$4:$J$34,2,FALSE)</f>
        <v>#N/A</v>
      </c>
      <c r="F51" s="3"/>
      <c r="G51" s="3"/>
      <c r="H51" s="3">
        <f t="shared" si="2"/>
        <v>-3075</v>
      </c>
      <c r="I51" s="4">
        <v>28.3</v>
      </c>
      <c r="J51" s="4">
        <f t="shared" si="3"/>
        <v>0</v>
      </c>
    </row>
    <row r="52" spans="1:10">
      <c r="A52" s="2"/>
      <c r="E52" t="e">
        <f>VLOOKUP(TablaMarimba[[#This Row],[Equipo]],Catalogos!$I$4:$J$34,2,FALSE)</f>
        <v>#N/A</v>
      </c>
      <c r="F52" s="3"/>
      <c r="G52" s="3"/>
      <c r="H52" s="3">
        <f t="shared" si="2"/>
        <v>-3075</v>
      </c>
      <c r="I52" s="4">
        <v>28.3</v>
      </c>
      <c r="J52" s="4">
        <f t="shared" si="3"/>
        <v>0</v>
      </c>
    </row>
    <row r="53" spans="1:10">
      <c r="A53" s="2"/>
      <c r="E53" t="e">
        <f>VLOOKUP(TablaMarimba[[#This Row],[Equipo]],Catalogos!$I$4:$J$34,2,FALSE)</f>
        <v>#N/A</v>
      </c>
      <c r="F53" s="3"/>
      <c r="G53" s="3"/>
      <c r="H53" s="3">
        <f t="shared" si="2"/>
        <v>-3075</v>
      </c>
      <c r="I53" s="4">
        <v>28.3</v>
      </c>
      <c r="J53" s="4">
        <f t="shared" si="3"/>
        <v>0</v>
      </c>
    </row>
    <row r="54" spans="1:10">
      <c r="A54" s="2"/>
      <c r="E54" t="e">
        <f>VLOOKUP(TablaMarimba[[#This Row],[Equipo]],Catalogos!$I$4:$J$34,2,FALSE)</f>
        <v>#N/A</v>
      </c>
      <c r="F54" s="3"/>
      <c r="G54" s="3"/>
      <c r="H54" s="3">
        <f t="shared" si="2"/>
        <v>-3075</v>
      </c>
      <c r="I54" s="4">
        <v>28.3</v>
      </c>
      <c r="J54" s="4">
        <f t="shared" si="3"/>
        <v>0</v>
      </c>
    </row>
    <row r="55" spans="1:10">
      <c r="A55" s="2"/>
      <c r="E55" t="e">
        <f>VLOOKUP(TablaMarimba[[#This Row],[Equipo]],Catalogos!$I$4:$J$34,2,FALSE)</f>
        <v>#N/A</v>
      </c>
      <c r="F55" s="3"/>
      <c r="G55" s="3"/>
      <c r="H55" s="3">
        <f t="shared" si="2"/>
        <v>-3075</v>
      </c>
      <c r="I55" s="4">
        <v>28.3</v>
      </c>
      <c r="J55" s="4">
        <f t="shared" si="3"/>
        <v>0</v>
      </c>
    </row>
    <row r="56" spans="1:10">
      <c r="A56" s="2"/>
      <c r="E56" t="e">
        <f>VLOOKUP(TablaMarimba[[#This Row],[Equipo]],Catalogos!$I$4:$J$34,2,FALSE)</f>
        <v>#N/A</v>
      </c>
      <c r="F56" s="3"/>
      <c r="G56" s="3"/>
      <c r="H56" s="3">
        <f t="shared" si="2"/>
        <v>-3075</v>
      </c>
      <c r="I56" s="4">
        <v>28.3</v>
      </c>
      <c r="J56" s="4">
        <f t="shared" si="3"/>
        <v>0</v>
      </c>
    </row>
    <row r="57" spans="1:10">
      <c r="A57" s="2"/>
      <c r="E57" t="e">
        <f>VLOOKUP(TablaMarimba[[#This Row],[Equipo]],Catalogos!$I$4:$J$34,2,FALSE)</f>
        <v>#N/A</v>
      </c>
      <c r="F57" s="3"/>
      <c r="G57" s="3"/>
      <c r="H57" s="3">
        <f t="shared" si="2"/>
        <v>-3075</v>
      </c>
      <c r="I57" s="4">
        <v>28.3</v>
      </c>
      <c r="J57" s="4">
        <f t="shared" si="3"/>
        <v>0</v>
      </c>
    </row>
    <row r="58" spans="1:10">
      <c r="A58" s="2"/>
      <c r="E58" t="e">
        <f>VLOOKUP(TablaMarimba[[#This Row],[Equipo]],Catalogos!$I$4:$J$34,2,FALSE)</f>
        <v>#N/A</v>
      </c>
      <c r="F58" s="3"/>
      <c r="G58" s="3"/>
      <c r="H58" s="3">
        <f t="shared" si="2"/>
        <v>-3075</v>
      </c>
      <c r="I58" s="4">
        <v>28.3</v>
      </c>
      <c r="J58" s="4">
        <f t="shared" si="3"/>
        <v>0</v>
      </c>
    </row>
    <row r="59" spans="1:10">
      <c r="A59" s="2"/>
      <c r="E59" t="e">
        <f>VLOOKUP(TablaMarimba[[#This Row],[Equipo]],Catalogos!$I$4:$J$34,2,FALSE)</f>
        <v>#N/A</v>
      </c>
      <c r="F59" s="3"/>
      <c r="G59" s="3"/>
      <c r="H59" s="3">
        <f t="shared" si="2"/>
        <v>-3075</v>
      </c>
      <c r="I59" s="4">
        <v>28.3</v>
      </c>
      <c r="J59" s="4">
        <f t="shared" si="3"/>
        <v>0</v>
      </c>
    </row>
    <row r="60" spans="1:10">
      <c r="A60" s="2"/>
      <c r="E60" t="e">
        <f>VLOOKUP(TablaMarimba[[#This Row],[Equipo]],Catalogos!$I$4:$J$34,2,FALSE)</f>
        <v>#N/A</v>
      </c>
      <c r="F60" s="3"/>
      <c r="G60" s="3"/>
      <c r="H60" s="3">
        <f t="shared" si="2"/>
        <v>-3075</v>
      </c>
      <c r="I60" s="4">
        <v>28.3</v>
      </c>
      <c r="J60" s="4">
        <f t="shared" si="3"/>
        <v>0</v>
      </c>
    </row>
    <row r="61" spans="1:10">
      <c r="A61" s="2"/>
      <c r="E61" t="e">
        <f>VLOOKUP(TablaMarimba[[#This Row],[Equipo]],Catalogos!$I$4:$J$34,2,FALSE)</f>
        <v>#N/A</v>
      </c>
      <c r="F61" s="3"/>
      <c r="G61" s="3"/>
      <c r="H61" s="3">
        <f t="shared" si="2"/>
        <v>-3075</v>
      </c>
      <c r="I61" s="4">
        <v>28.3</v>
      </c>
      <c r="J61" s="4">
        <f t="shared" si="3"/>
        <v>0</v>
      </c>
    </row>
    <row r="62" spans="1:10">
      <c r="A62" s="2"/>
      <c r="E62" t="e">
        <f>VLOOKUP(TablaMarimba[[#This Row],[Equipo]],Catalogos!$I$4:$J$34,2,FALSE)</f>
        <v>#N/A</v>
      </c>
      <c r="F62" s="3"/>
      <c r="G62" s="3"/>
      <c r="H62" s="3">
        <f t="shared" si="2"/>
        <v>-3075</v>
      </c>
      <c r="I62" s="4">
        <v>28.3</v>
      </c>
      <c r="J62" s="4">
        <f t="shared" si="3"/>
        <v>0</v>
      </c>
    </row>
    <row r="63" spans="1:10">
      <c r="A63" s="2"/>
      <c r="E63" t="e">
        <f>VLOOKUP(TablaMarimba[[#This Row],[Equipo]],Catalogos!$I$4:$J$34,2,FALSE)</f>
        <v>#N/A</v>
      </c>
      <c r="F63" s="3"/>
      <c r="G63" s="3"/>
      <c r="H63" s="3">
        <f t="shared" si="2"/>
        <v>-3075</v>
      </c>
      <c r="I63" s="4">
        <v>28.3</v>
      </c>
      <c r="J63" s="4">
        <f t="shared" si="3"/>
        <v>0</v>
      </c>
    </row>
    <row r="64" spans="1:10">
      <c r="A64" s="2"/>
      <c r="E64" t="e">
        <f>VLOOKUP(TablaMarimba[[#This Row],[Equipo]],Catalogos!$I$4:$J$34,2,FALSE)</f>
        <v>#N/A</v>
      </c>
      <c r="F64" s="3"/>
      <c r="G64" s="3"/>
      <c r="H64" s="3">
        <f t="shared" si="2"/>
        <v>-3075</v>
      </c>
      <c r="I64" s="4">
        <v>28.3</v>
      </c>
      <c r="J64" s="4">
        <f t="shared" si="3"/>
        <v>0</v>
      </c>
    </row>
    <row r="65" spans="1:10">
      <c r="A65" s="2"/>
      <c r="E65" t="e">
        <f>VLOOKUP(TablaMarimba[[#This Row],[Equipo]],Catalogos!$I$4:$J$34,2,FALSE)</f>
        <v>#N/A</v>
      </c>
      <c r="F65" s="3"/>
      <c r="G65" s="3"/>
      <c r="H65" s="3">
        <f t="shared" si="2"/>
        <v>-3075</v>
      </c>
      <c r="I65" s="4">
        <v>28.3</v>
      </c>
      <c r="J65" s="4">
        <f t="shared" si="3"/>
        <v>0</v>
      </c>
    </row>
    <row r="66" spans="1:10">
      <c r="A66" s="2"/>
      <c r="E66" t="e">
        <f>VLOOKUP(TablaMarimba[[#This Row],[Equipo]],Catalogos!$I$4:$J$34,2,FALSE)</f>
        <v>#N/A</v>
      </c>
      <c r="F66" s="3"/>
      <c r="G66" s="3"/>
      <c r="H66" s="3">
        <f t="shared" si="2"/>
        <v>-3075</v>
      </c>
      <c r="I66" s="4">
        <v>28.3</v>
      </c>
      <c r="J66" s="4">
        <f t="shared" si="3"/>
        <v>0</v>
      </c>
    </row>
    <row r="67" spans="1:10">
      <c r="A67" s="2"/>
      <c r="E67" t="e">
        <f>VLOOKUP(TablaMarimba[[#This Row],[Equipo]],Catalogos!$I$4:$J$34,2,FALSE)</f>
        <v>#N/A</v>
      </c>
      <c r="F67" s="3"/>
      <c r="G67" s="3"/>
      <c r="H67" s="3">
        <f t="shared" si="2"/>
        <v>-3075</v>
      </c>
      <c r="I67" s="4">
        <v>28.3</v>
      </c>
      <c r="J67" s="4">
        <f t="shared" si="3"/>
        <v>0</v>
      </c>
    </row>
    <row r="68" spans="1:10">
      <c r="A68" s="2"/>
      <c r="E68" t="e">
        <f>VLOOKUP(TablaMarimba[[#This Row],[Equipo]],Catalogos!$I$4:$J$34,2,FALSE)</f>
        <v>#N/A</v>
      </c>
      <c r="F68" s="3"/>
      <c r="G68" s="3"/>
      <c r="H68" s="3">
        <f t="shared" si="2"/>
        <v>-3075</v>
      </c>
      <c r="I68" s="4">
        <v>28.3</v>
      </c>
      <c r="J68" s="4">
        <f t="shared" si="3"/>
        <v>0</v>
      </c>
    </row>
    <row r="69" spans="1:10">
      <c r="A69" s="2"/>
      <c r="E69" t="e">
        <f>VLOOKUP(TablaMarimba[[#This Row],[Equipo]],Catalogos!$I$4:$J$34,2,FALSE)</f>
        <v>#N/A</v>
      </c>
      <c r="F69" s="3"/>
      <c r="G69" s="3"/>
      <c r="H69" s="3">
        <f t="shared" ref="H69:H100" si="4">IF(ROW()=5,F69-G69,H68+F69-G69)</f>
        <v>-3075</v>
      </c>
      <c r="I69" s="4">
        <v>28.3</v>
      </c>
      <c r="J69" s="4">
        <f t="shared" ref="J69:J100" si="5">IFERROR((F69+G69)*I69,0)</f>
        <v>0</v>
      </c>
    </row>
    <row r="70" spans="1:10">
      <c r="A70" s="2"/>
      <c r="E70" t="e">
        <f>VLOOKUP(TablaMarimba[[#This Row],[Equipo]],Catalogos!$I$4:$J$34,2,FALSE)</f>
        <v>#N/A</v>
      </c>
      <c r="F70" s="3"/>
      <c r="G70" s="3"/>
      <c r="H70" s="3">
        <f t="shared" si="4"/>
        <v>-3075</v>
      </c>
      <c r="I70" s="4">
        <v>28.3</v>
      </c>
      <c r="J70" s="4">
        <f t="shared" si="5"/>
        <v>0</v>
      </c>
    </row>
    <row r="71" spans="1:10">
      <c r="A71" s="2"/>
      <c r="E71" t="e">
        <f>VLOOKUP(TablaMarimba[[#This Row],[Equipo]],Catalogos!$I$4:$J$34,2,FALSE)</f>
        <v>#N/A</v>
      </c>
      <c r="F71" s="3"/>
      <c r="G71" s="3"/>
      <c r="H71" s="3">
        <f t="shared" si="4"/>
        <v>-3075</v>
      </c>
      <c r="I71" s="4">
        <v>28.3</v>
      </c>
      <c r="J71" s="4">
        <f t="shared" si="5"/>
        <v>0</v>
      </c>
    </row>
    <row r="72" spans="1:10">
      <c r="A72" s="2"/>
      <c r="E72" t="e">
        <f>VLOOKUP(TablaMarimba[[#This Row],[Equipo]],Catalogos!$I$4:$J$34,2,FALSE)</f>
        <v>#N/A</v>
      </c>
      <c r="F72" s="3"/>
      <c r="G72" s="3"/>
      <c r="H72" s="3">
        <f t="shared" si="4"/>
        <v>-3075</v>
      </c>
      <c r="I72" s="4">
        <v>28.3</v>
      </c>
      <c r="J72" s="4">
        <f t="shared" si="5"/>
        <v>0</v>
      </c>
    </row>
    <row r="73" spans="1:10">
      <c r="A73" s="2"/>
      <c r="E73" t="e">
        <f>VLOOKUP(TablaMarimba[[#This Row],[Equipo]],Catalogos!$I$4:$J$34,2,FALSE)</f>
        <v>#N/A</v>
      </c>
      <c r="F73" s="3"/>
      <c r="G73" s="3"/>
      <c r="H73" s="3">
        <f t="shared" si="4"/>
        <v>-3075</v>
      </c>
      <c r="I73" s="4">
        <v>28.3</v>
      </c>
      <c r="J73" s="4">
        <f t="shared" si="5"/>
        <v>0</v>
      </c>
    </row>
    <row r="74" spans="1:10">
      <c r="A74" s="2"/>
      <c r="E74" t="e">
        <f>VLOOKUP(TablaMarimba[[#This Row],[Equipo]],Catalogos!$I$4:$J$34,2,FALSE)</f>
        <v>#N/A</v>
      </c>
      <c r="F74" s="3"/>
      <c r="G74" s="3"/>
      <c r="H74" s="3">
        <f t="shared" si="4"/>
        <v>-3075</v>
      </c>
      <c r="I74" s="4">
        <v>28.3</v>
      </c>
      <c r="J74" s="4">
        <f t="shared" si="5"/>
        <v>0</v>
      </c>
    </row>
    <row r="75" spans="1:10">
      <c r="A75" s="2"/>
      <c r="E75" t="e">
        <f>VLOOKUP(TablaMarimba[[#This Row],[Equipo]],Catalogos!$I$4:$J$34,2,FALSE)</f>
        <v>#N/A</v>
      </c>
      <c r="F75" s="3"/>
      <c r="G75" s="3"/>
      <c r="H75" s="3">
        <f t="shared" si="4"/>
        <v>-3075</v>
      </c>
      <c r="I75" s="4">
        <v>28.3</v>
      </c>
      <c r="J75" s="4">
        <f t="shared" si="5"/>
        <v>0</v>
      </c>
    </row>
    <row r="76" spans="1:10">
      <c r="A76" s="2"/>
      <c r="E76" t="e">
        <f>VLOOKUP(TablaMarimba[[#This Row],[Equipo]],Catalogos!$I$4:$J$34,2,FALSE)</f>
        <v>#N/A</v>
      </c>
      <c r="F76" s="3"/>
      <c r="G76" s="3"/>
      <c r="H76" s="3">
        <f t="shared" si="4"/>
        <v>-3075</v>
      </c>
      <c r="I76" s="4">
        <v>28.3</v>
      </c>
      <c r="J76" s="4">
        <f t="shared" si="5"/>
        <v>0</v>
      </c>
    </row>
    <row r="77" spans="1:10">
      <c r="A77" s="2"/>
      <c r="E77" t="e">
        <f>VLOOKUP(TablaMarimba[[#This Row],[Equipo]],Catalogos!$I$4:$J$34,2,FALSE)</f>
        <v>#N/A</v>
      </c>
      <c r="F77" s="3"/>
      <c r="G77" s="3"/>
      <c r="H77" s="3">
        <f t="shared" si="4"/>
        <v>-3075</v>
      </c>
      <c r="I77" s="4">
        <v>28.3</v>
      </c>
      <c r="J77" s="4">
        <f t="shared" si="5"/>
        <v>0</v>
      </c>
    </row>
    <row r="78" spans="1:10">
      <c r="A78" s="2"/>
      <c r="E78" t="e">
        <f>VLOOKUP(TablaMarimba[[#This Row],[Equipo]],Catalogos!$I$4:$J$34,2,FALSE)</f>
        <v>#N/A</v>
      </c>
      <c r="F78" s="3"/>
      <c r="G78" s="3"/>
      <c r="H78" s="3">
        <f t="shared" si="4"/>
        <v>-3075</v>
      </c>
      <c r="I78" s="4">
        <v>28.3</v>
      </c>
      <c r="J78" s="4">
        <f t="shared" si="5"/>
        <v>0</v>
      </c>
    </row>
    <row r="79" spans="1:10">
      <c r="A79" s="2"/>
      <c r="E79" t="e">
        <f>VLOOKUP(TablaMarimba[[#This Row],[Equipo]],Catalogos!$I$4:$J$34,2,FALSE)</f>
        <v>#N/A</v>
      </c>
      <c r="F79" s="3"/>
      <c r="G79" s="3"/>
      <c r="H79" s="3">
        <f t="shared" si="4"/>
        <v>-3075</v>
      </c>
      <c r="I79" s="4">
        <v>28.3</v>
      </c>
      <c r="J79" s="4">
        <f t="shared" si="5"/>
        <v>0</v>
      </c>
    </row>
    <row r="80" spans="1:10">
      <c r="A80" s="2"/>
      <c r="E80" t="e">
        <f>VLOOKUP(TablaMarimba[[#This Row],[Equipo]],Catalogos!$I$4:$J$34,2,FALSE)</f>
        <v>#N/A</v>
      </c>
      <c r="F80" s="3"/>
      <c r="G80" s="3"/>
      <c r="H80" s="3">
        <f t="shared" si="4"/>
        <v>-3075</v>
      </c>
      <c r="I80" s="4">
        <v>28.3</v>
      </c>
      <c r="J80" s="4">
        <f t="shared" si="5"/>
        <v>0</v>
      </c>
    </row>
    <row r="81" spans="1:10">
      <c r="A81" s="2"/>
      <c r="E81" t="e">
        <f>VLOOKUP(TablaMarimba[[#This Row],[Equipo]],Catalogos!$I$4:$J$34,2,FALSE)</f>
        <v>#N/A</v>
      </c>
      <c r="F81" s="3"/>
      <c r="G81" s="3"/>
      <c r="H81" s="3">
        <f t="shared" si="4"/>
        <v>-3075</v>
      </c>
      <c r="I81" s="4">
        <v>28.3</v>
      </c>
      <c r="J81" s="4">
        <f t="shared" si="5"/>
        <v>0</v>
      </c>
    </row>
    <row r="82" spans="1:10">
      <c r="A82" s="2"/>
      <c r="E82" t="e">
        <f>VLOOKUP(TablaMarimba[[#This Row],[Equipo]],Catalogos!$I$4:$J$34,2,FALSE)</f>
        <v>#N/A</v>
      </c>
      <c r="F82" s="3"/>
      <c r="G82" s="3"/>
      <c r="H82" s="3">
        <f t="shared" si="4"/>
        <v>-3075</v>
      </c>
      <c r="I82" s="4">
        <v>28.3</v>
      </c>
      <c r="J82" s="4">
        <f t="shared" si="5"/>
        <v>0</v>
      </c>
    </row>
    <row r="83" spans="1:10">
      <c r="A83" s="2"/>
      <c r="E83" t="e">
        <f>VLOOKUP(TablaMarimba[[#This Row],[Equipo]],Catalogos!$I$4:$J$34,2,FALSE)</f>
        <v>#N/A</v>
      </c>
      <c r="F83" s="3"/>
      <c r="G83" s="3"/>
      <c r="H83" s="3">
        <f t="shared" si="4"/>
        <v>-3075</v>
      </c>
      <c r="I83" s="4">
        <v>28.3</v>
      </c>
      <c r="J83" s="4">
        <f t="shared" si="5"/>
        <v>0</v>
      </c>
    </row>
    <row r="84" spans="1:10">
      <c r="A84" s="2"/>
      <c r="E84" t="e">
        <f>VLOOKUP(TablaMarimba[[#This Row],[Equipo]],Catalogos!$I$4:$J$34,2,FALSE)</f>
        <v>#N/A</v>
      </c>
      <c r="F84" s="3"/>
      <c r="G84" s="3"/>
      <c r="H84" s="3">
        <f t="shared" si="4"/>
        <v>-3075</v>
      </c>
      <c r="I84" s="4">
        <v>28.3</v>
      </c>
      <c r="J84" s="4">
        <f t="shared" si="5"/>
        <v>0</v>
      </c>
    </row>
    <row r="85" spans="1:10">
      <c r="A85" s="2"/>
      <c r="E85" t="e">
        <f>VLOOKUP(TablaMarimba[[#This Row],[Equipo]],Catalogos!$I$4:$J$34,2,FALSE)</f>
        <v>#N/A</v>
      </c>
      <c r="F85" s="3"/>
      <c r="G85" s="3"/>
      <c r="H85" s="3">
        <f t="shared" si="4"/>
        <v>-3075</v>
      </c>
      <c r="I85" s="4">
        <v>28.3</v>
      </c>
      <c r="J85" s="4">
        <f t="shared" si="5"/>
        <v>0</v>
      </c>
    </row>
    <row r="86" spans="1:10">
      <c r="A86" s="2"/>
      <c r="E86" t="e">
        <f>VLOOKUP(TablaMarimba[[#This Row],[Equipo]],Catalogos!$I$4:$J$34,2,FALSE)</f>
        <v>#N/A</v>
      </c>
      <c r="F86" s="3"/>
      <c r="G86" s="3"/>
      <c r="H86" s="3">
        <f t="shared" si="4"/>
        <v>-3075</v>
      </c>
      <c r="I86" s="4">
        <v>28.3</v>
      </c>
      <c r="J86" s="4">
        <f t="shared" si="5"/>
        <v>0</v>
      </c>
    </row>
    <row r="87" spans="1:10">
      <c r="A87" s="2"/>
      <c r="E87" t="e">
        <f>VLOOKUP(TablaMarimba[[#This Row],[Equipo]],Catalogos!$I$4:$J$34,2,FALSE)</f>
        <v>#N/A</v>
      </c>
      <c r="F87" s="3"/>
      <c r="G87" s="3"/>
      <c r="H87" s="3">
        <f t="shared" si="4"/>
        <v>-3075</v>
      </c>
      <c r="I87" s="4">
        <v>28.3</v>
      </c>
      <c r="J87" s="4">
        <f t="shared" si="5"/>
        <v>0</v>
      </c>
    </row>
    <row r="88" spans="1:10">
      <c r="A88" s="2"/>
      <c r="E88" t="e">
        <f>VLOOKUP(TablaMarimba[[#This Row],[Equipo]],Catalogos!$I$4:$J$34,2,FALSE)</f>
        <v>#N/A</v>
      </c>
      <c r="F88" s="3"/>
      <c r="G88" s="3"/>
      <c r="H88" s="3">
        <f t="shared" si="4"/>
        <v>-3075</v>
      </c>
      <c r="I88" s="4">
        <v>28.3</v>
      </c>
      <c r="J88" s="4">
        <f t="shared" si="5"/>
        <v>0</v>
      </c>
    </row>
    <row r="89" spans="1:10">
      <c r="A89" s="2"/>
      <c r="E89" t="e">
        <f>VLOOKUP(TablaMarimba[[#This Row],[Equipo]],Catalogos!$I$4:$J$34,2,FALSE)</f>
        <v>#N/A</v>
      </c>
      <c r="F89" s="3"/>
      <c r="G89" s="3"/>
      <c r="H89" s="3">
        <f t="shared" si="4"/>
        <v>-3075</v>
      </c>
      <c r="I89" s="4">
        <v>28.3</v>
      </c>
      <c r="J89" s="4">
        <f t="shared" si="5"/>
        <v>0</v>
      </c>
    </row>
    <row r="90" spans="1:10">
      <c r="A90" s="2"/>
      <c r="E90" t="e">
        <f>VLOOKUP(TablaMarimba[[#This Row],[Equipo]],Catalogos!$I$4:$J$34,2,FALSE)</f>
        <v>#N/A</v>
      </c>
      <c r="F90" s="3"/>
      <c r="G90" s="3"/>
      <c r="H90" s="3">
        <f t="shared" si="4"/>
        <v>-3075</v>
      </c>
      <c r="I90" s="4">
        <v>28.3</v>
      </c>
      <c r="J90" s="4">
        <f t="shared" si="5"/>
        <v>0</v>
      </c>
    </row>
    <row r="91" spans="1:10">
      <c r="A91" s="2"/>
      <c r="E91" t="e">
        <f>VLOOKUP(TablaMarimba[[#This Row],[Equipo]],Catalogos!$I$4:$J$34,2,FALSE)</f>
        <v>#N/A</v>
      </c>
      <c r="F91" s="3"/>
      <c r="G91" s="3"/>
      <c r="H91" s="3">
        <f t="shared" si="4"/>
        <v>-3075</v>
      </c>
      <c r="I91" s="4">
        <v>28.3</v>
      </c>
      <c r="J91" s="4">
        <f t="shared" si="5"/>
        <v>0</v>
      </c>
    </row>
    <row r="92" spans="1:10">
      <c r="A92" s="2"/>
      <c r="E92" t="e">
        <f>VLOOKUP(TablaMarimba[[#This Row],[Equipo]],Catalogos!$I$4:$J$34,2,FALSE)</f>
        <v>#N/A</v>
      </c>
      <c r="F92" s="3"/>
      <c r="G92" s="3"/>
      <c r="H92" s="3">
        <f t="shared" si="4"/>
        <v>-3075</v>
      </c>
      <c r="I92" s="4">
        <v>28.3</v>
      </c>
      <c r="J92" s="4">
        <f t="shared" si="5"/>
        <v>0</v>
      </c>
    </row>
    <row r="93" spans="1:10">
      <c r="A93" s="2"/>
      <c r="E93" t="e">
        <f>VLOOKUP(TablaMarimba[[#This Row],[Equipo]],Catalogos!$I$4:$J$34,2,FALSE)</f>
        <v>#N/A</v>
      </c>
      <c r="F93" s="3"/>
      <c r="G93" s="3"/>
      <c r="H93" s="3">
        <f t="shared" si="4"/>
        <v>-3075</v>
      </c>
      <c r="I93" s="4">
        <v>28.3</v>
      </c>
      <c r="J93" s="4">
        <f t="shared" si="5"/>
        <v>0</v>
      </c>
    </row>
    <row r="94" spans="1:10">
      <c r="A94" s="2"/>
      <c r="E94" t="e">
        <f>VLOOKUP(TablaMarimba[[#This Row],[Equipo]],Catalogos!$I$4:$J$34,2,FALSE)</f>
        <v>#N/A</v>
      </c>
      <c r="F94" s="3"/>
      <c r="G94" s="3"/>
      <c r="H94" s="3">
        <f t="shared" si="4"/>
        <v>-3075</v>
      </c>
      <c r="I94" s="4">
        <v>28.3</v>
      </c>
      <c r="J94" s="4">
        <f t="shared" si="5"/>
        <v>0</v>
      </c>
    </row>
    <row r="95" spans="1:10">
      <c r="A95" s="2"/>
      <c r="E95" t="e">
        <f>VLOOKUP(TablaMarimba[[#This Row],[Equipo]],Catalogos!$I$4:$J$34,2,FALSE)</f>
        <v>#N/A</v>
      </c>
      <c r="F95" s="3"/>
      <c r="G95" s="3"/>
      <c r="H95" s="3">
        <f t="shared" si="4"/>
        <v>-3075</v>
      </c>
      <c r="I95" s="4">
        <v>28.3</v>
      </c>
      <c r="J95" s="4">
        <f t="shared" si="5"/>
        <v>0</v>
      </c>
    </row>
    <row r="96" spans="1:10">
      <c r="A96" s="2"/>
      <c r="E96" t="e">
        <f>VLOOKUP(TablaMarimba[[#This Row],[Equipo]],Catalogos!$I$4:$J$34,2,FALSE)</f>
        <v>#N/A</v>
      </c>
      <c r="F96" s="3"/>
      <c r="G96" s="3"/>
      <c r="H96" s="3">
        <f t="shared" si="4"/>
        <v>-3075</v>
      </c>
      <c r="I96" s="4">
        <v>28.3</v>
      </c>
      <c r="J96" s="4">
        <f t="shared" si="5"/>
        <v>0</v>
      </c>
    </row>
    <row r="97" spans="1:10">
      <c r="A97" s="2"/>
      <c r="E97" t="e">
        <f>VLOOKUP(TablaMarimba[[#This Row],[Equipo]],Catalogos!$I$4:$J$34,2,FALSE)</f>
        <v>#N/A</v>
      </c>
      <c r="F97" s="3"/>
      <c r="G97" s="3"/>
      <c r="H97" s="3">
        <f t="shared" si="4"/>
        <v>-3075</v>
      </c>
      <c r="I97" s="4">
        <v>28.3</v>
      </c>
      <c r="J97" s="4">
        <f t="shared" si="5"/>
        <v>0</v>
      </c>
    </row>
    <row r="98" spans="1:10">
      <c r="A98" s="2"/>
      <c r="E98" t="e">
        <f>VLOOKUP(TablaMarimba[[#This Row],[Equipo]],Catalogos!$I$4:$J$34,2,FALSE)</f>
        <v>#N/A</v>
      </c>
      <c r="F98" s="3"/>
      <c r="G98" s="3"/>
      <c r="H98" s="3">
        <f t="shared" si="4"/>
        <v>-3075</v>
      </c>
      <c r="I98" s="4">
        <v>28.3</v>
      </c>
      <c r="J98" s="4">
        <f t="shared" si="5"/>
        <v>0</v>
      </c>
    </row>
    <row r="99" spans="1:10">
      <c r="A99" s="2"/>
      <c r="E99" t="e">
        <f>VLOOKUP(TablaMarimba[[#This Row],[Equipo]],Catalogos!$I$4:$J$34,2,FALSE)</f>
        <v>#N/A</v>
      </c>
      <c r="F99" s="3"/>
      <c r="G99" s="3"/>
      <c r="H99" s="3">
        <f t="shared" si="4"/>
        <v>-3075</v>
      </c>
      <c r="I99" s="4">
        <v>28.3</v>
      </c>
      <c r="J99" s="4">
        <f t="shared" si="5"/>
        <v>0</v>
      </c>
    </row>
    <row r="100" spans="1:10">
      <c r="A100" s="2"/>
      <c r="E100" t="e">
        <f>VLOOKUP(TablaMarimba[[#This Row],[Equipo]],Catalogos!$I$4:$J$34,2,FALSE)</f>
        <v>#N/A</v>
      </c>
      <c r="F100" s="3"/>
      <c r="G100" s="3"/>
      <c r="H100" s="3">
        <f t="shared" si="4"/>
        <v>-3075</v>
      </c>
      <c r="I100" s="4">
        <v>28.3</v>
      </c>
      <c r="J100" s="4">
        <f t="shared" si="5"/>
        <v>0</v>
      </c>
    </row>
    <row r="101" spans="1:10">
      <c r="A101" s="2"/>
      <c r="E101" t="e">
        <f>VLOOKUP(TablaMarimba[[#This Row],[Equipo]],Catalogos!$I$4:$J$34,2,FALSE)</f>
        <v>#N/A</v>
      </c>
      <c r="F101" s="3"/>
      <c r="G101" s="3"/>
      <c r="H101" s="3">
        <f t="shared" ref="H101:H132" si="6">IF(ROW()=5,F101-G101,H100+F101-G101)</f>
        <v>-3075</v>
      </c>
      <c r="I101" s="4">
        <v>28.3</v>
      </c>
      <c r="J101" s="4">
        <f t="shared" ref="J101:J132" si="7">IFERROR((F101+G101)*I101,0)</f>
        <v>0</v>
      </c>
    </row>
    <row r="102" spans="1:10">
      <c r="A102" s="2"/>
      <c r="E102" t="e">
        <f>VLOOKUP(TablaMarimba[[#This Row],[Equipo]],Catalogos!$I$4:$J$34,2,FALSE)</f>
        <v>#N/A</v>
      </c>
      <c r="F102" s="3"/>
      <c r="G102" s="3"/>
      <c r="H102" s="3">
        <f t="shared" si="6"/>
        <v>-3075</v>
      </c>
      <c r="I102" s="4">
        <v>28.3</v>
      </c>
      <c r="J102" s="4">
        <f t="shared" si="7"/>
        <v>0</v>
      </c>
    </row>
    <row r="103" spans="1:10">
      <c r="A103" s="2"/>
      <c r="E103" t="e">
        <f>VLOOKUP(TablaMarimba[[#This Row],[Equipo]],Catalogos!$I$4:$J$34,2,FALSE)</f>
        <v>#N/A</v>
      </c>
      <c r="F103" s="3"/>
      <c r="G103" s="3"/>
      <c r="H103" s="3">
        <f t="shared" si="6"/>
        <v>-3075</v>
      </c>
      <c r="I103" s="4">
        <v>28.3</v>
      </c>
      <c r="J103" s="4">
        <f t="shared" si="7"/>
        <v>0</v>
      </c>
    </row>
    <row r="104" spans="1:10">
      <c r="A104" s="2"/>
      <c r="E104" t="e">
        <f>VLOOKUP(TablaMarimba[[#This Row],[Equipo]],Catalogos!$I$4:$J$34,2,FALSE)</f>
        <v>#N/A</v>
      </c>
      <c r="F104" s="3"/>
      <c r="G104" s="3"/>
      <c r="H104" s="3">
        <f t="shared" si="6"/>
        <v>-3075</v>
      </c>
      <c r="I104" s="4">
        <v>28.3</v>
      </c>
      <c r="J104" s="4">
        <f t="shared" si="7"/>
        <v>0</v>
      </c>
    </row>
    <row r="105" spans="1:10">
      <c r="A105" s="2"/>
      <c r="E105" t="e">
        <f>VLOOKUP(TablaMarimba[[#This Row],[Equipo]],Catalogos!$I$4:$J$34,2,FALSE)</f>
        <v>#N/A</v>
      </c>
      <c r="F105" s="3"/>
      <c r="G105" s="3"/>
      <c r="H105" s="3">
        <f t="shared" si="6"/>
        <v>-3075</v>
      </c>
      <c r="I105" s="4">
        <v>28.3</v>
      </c>
      <c r="J105" s="4">
        <f t="shared" si="7"/>
        <v>0</v>
      </c>
    </row>
    <row r="106" spans="1:10">
      <c r="A106" s="2"/>
      <c r="E106" t="e">
        <f>VLOOKUP(TablaMarimba[[#This Row],[Equipo]],Catalogos!$I$4:$J$34,2,FALSE)</f>
        <v>#N/A</v>
      </c>
      <c r="F106" s="3"/>
      <c r="G106" s="3"/>
      <c r="H106" s="3">
        <f t="shared" si="6"/>
        <v>-3075</v>
      </c>
      <c r="I106" s="4">
        <v>28.3</v>
      </c>
      <c r="J106" s="4">
        <f t="shared" si="7"/>
        <v>0</v>
      </c>
    </row>
    <row r="107" spans="1:10">
      <c r="A107" s="2"/>
      <c r="E107" t="e">
        <f>VLOOKUP(TablaMarimba[[#This Row],[Equipo]],Catalogos!$I$4:$J$34,2,FALSE)</f>
        <v>#N/A</v>
      </c>
      <c r="F107" s="3"/>
      <c r="G107" s="3"/>
      <c r="H107" s="3">
        <f t="shared" si="6"/>
        <v>-3075</v>
      </c>
      <c r="I107" s="4">
        <v>28.3</v>
      </c>
      <c r="J107" s="4">
        <f t="shared" si="7"/>
        <v>0</v>
      </c>
    </row>
    <row r="108" spans="1:10">
      <c r="A108" s="2"/>
      <c r="E108" t="e">
        <f>VLOOKUP(TablaMarimba[[#This Row],[Equipo]],Catalogos!$I$4:$J$34,2,FALSE)</f>
        <v>#N/A</v>
      </c>
      <c r="F108" s="3"/>
      <c r="G108" s="3"/>
      <c r="H108" s="3">
        <f t="shared" si="6"/>
        <v>-3075</v>
      </c>
      <c r="I108" s="4">
        <v>28.3</v>
      </c>
      <c r="J108" s="4">
        <f t="shared" si="7"/>
        <v>0</v>
      </c>
    </row>
    <row r="109" spans="1:10">
      <c r="A109" s="2"/>
      <c r="E109" t="e">
        <f>VLOOKUP(TablaMarimba[[#This Row],[Equipo]],Catalogos!$I$4:$J$34,2,FALSE)</f>
        <v>#N/A</v>
      </c>
      <c r="F109" s="3"/>
      <c r="G109" s="3"/>
      <c r="H109" s="3">
        <f t="shared" si="6"/>
        <v>-3075</v>
      </c>
      <c r="I109" s="4">
        <v>28.3</v>
      </c>
      <c r="J109" s="4">
        <f t="shared" si="7"/>
        <v>0</v>
      </c>
    </row>
    <row r="110" spans="1:10">
      <c r="A110" s="2"/>
      <c r="E110" t="e">
        <f>VLOOKUP(TablaMarimba[[#This Row],[Equipo]],Catalogos!$I$4:$J$34,2,FALSE)</f>
        <v>#N/A</v>
      </c>
      <c r="F110" s="3"/>
      <c r="G110" s="3"/>
      <c r="H110" s="3">
        <f t="shared" si="6"/>
        <v>-3075</v>
      </c>
      <c r="I110" s="4">
        <v>28.3</v>
      </c>
      <c r="J110" s="4">
        <f t="shared" si="7"/>
        <v>0</v>
      </c>
    </row>
    <row r="111" spans="1:10">
      <c r="A111" s="2"/>
      <c r="E111" t="e">
        <f>VLOOKUP(TablaMarimba[[#This Row],[Equipo]],Catalogos!$I$4:$J$34,2,FALSE)</f>
        <v>#N/A</v>
      </c>
      <c r="F111" s="3"/>
      <c r="G111" s="3"/>
      <c r="H111" s="3">
        <f t="shared" si="6"/>
        <v>-3075</v>
      </c>
      <c r="I111" s="4">
        <v>28.3</v>
      </c>
      <c r="J111" s="4">
        <f t="shared" si="7"/>
        <v>0</v>
      </c>
    </row>
    <row r="112" spans="1:10">
      <c r="A112" s="2"/>
      <c r="E112" t="e">
        <f>VLOOKUP(TablaMarimba[[#This Row],[Equipo]],Catalogos!$I$4:$J$34,2,FALSE)</f>
        <v>#N/A</v>
      </c>
      <c r="F112" s="3"/>
      <c r="G112" s="3"/>
      <c r="H112" s="3">
        <f t="shared" si="6"/>
        <v>-3075</v>
      </c>
      <c r="I112" s="4">
        <v>28.3</v>
      </c>
      <c r="J112" s="4">
        <f t="shared" si="7"/>
        <v>0</v>
      </c>
    </row>
    <row r="113" spans="1:10">
      <c r="A113" s="2"/>
      <c r="E113" t="e">
        <f>VLOOKUP(TablaMarimba[[#This Row],[Equipo]],Catalogos!$I$4:$J$34,2,FALSE)</f>
        <v>#N/A</v>
      </c>
      <c r="F113" s="3"/>
      <c r="G113" s="3"/>
      <c r="H113" s="3">
        <f t="shared" si="6"/>
        <v>-3075</v>
      </c>
      <c r="I113" s="4">
        <v>28.3</v>
      </c>
      <c r="J113" s="4">
        <f t="shared" si="7"/>
        <v>0</v>
      </c>
    </row>
    <row r="114" spans="1:10">
      <c r="A114" s="2"/>
      <c r="E114" t="e">
        <f>VLOOKUP(TablaMarimba[[#This Row],[Equipo]],Catalogos!$I$4:$J$34,2,FALSE)</f>
        <v>#N/A</v>
      </c>
      <c r="F114" s="3"/>
      <c r="G114" s="3"/>
      <c r="H114" s="3">
        <f t="shared" si="6"/>
        <v>-3075</v>
      </c>
      <c r="I114" s="4">
        <v>28.3</v>
      </c>
      <c r="J114" s="4">
        <f t="shared" si="7"/>
        <v>0</v>
      </c>
    </row>
    <row r="115" spans="1:10">
      <c r="A115" s="2"/>
      <c r="E115" t="e">
        <f>VLOOKUP(TablaMarimba[[#This Row],[Equipo]],Catalogos!$I$4:$J$34,2,FALSE)</f>
        <v>#N/A</v>
      </c>
      <c r="F115" s="3"/>
      <c r="G115" s="3"/>
      <c r="H115" s="3">
        <f t="shared" si="6"/>
        <v>-3075</v>
      </c>
      <c r="I115" s="4">
        <v>28.3</v>
      </c>
      <c r="J115" s="4">
        <f t="shared" si="7"/>
        <v>0</v>
      </c>
    </row>
    <row r="116" spans="1:10">
      <c r="A116" s="2"/>
      <c r="E116" t="e">
        <f>VLOOKUP(TablaMarimba[[#This Row],[Equipo]],Catalogos!$I$4:$J$34,2,FALSE)</f>
        <v>#N/A</v>
      </c>
      <c r="F116" s="3"/>
      <c r="G116" s="3"/>
      <c r="H116" s="3">
        <f t="shared" si="6"/>
        <v>-3075</v>
      </c>
      <c r="I116" s="4">
        <v>28.3</v>
      </c>
      <c r="J116" s="4">
        <f t="shared" si="7"/>
        <v>0</v>
      </c>
    </row>
    <row r="117" spans="1:10">
      <c r="A117" s="2"/>
      <c r="E117" t="e">
        <f>VLOOKUP(TablaMarimba[[#This Row],[Equipo]],Catalogos!$I$4:$J$34,2,FALSE)</f>
        <v>#N/A</v>
      </c>
      <c r="F117" s="3"/>
      <c r="G117" s="3"/>
      <c r="H117" s="3">
        <f t="shared" si="6"/>
        <v>-3075</v>
      </c>
      <c r="I117" s="4">
        <v>28.3</v>
      </c>
      <c r="J117" s="4">
        <f t="shared" si="7"/>
        <v>0</v>
      </c>
    </row>
    <row r="118" spans="1:10">
      <c r="A118" s="2"/>
      <c r="E118" t="e">
        <f>VLOOKUP(TablaMarimba[[#This Row],[Equipo]],Catalogos!$I$4:$J$34,2,FALSE)</f>
        <v>#N/A</v>
      </c>
      <c r="F118" s="3"/>
      <c r="G118" s="3"/>
      <c r="H118" s="3">
        <f t="shared" si="6"/>
        <v>-3075</v>
      </c>
      <c r="I118" s="4">
        <v>28.3</v>
      </c>
      <c r="J118" s="4">
        <f t="shared" si="7"/>
        <v>0</v>
      </c>
    </row>
    <row r="119" spans="1:10">
      <c r="A119" s="2"/>
      <c r="E119" t="e">
        <f>VLOOKUP(TablaMarimba[[#This Row],[Equipo]],Catalogos!$I$4:$J$34,2,FALSE)</f>
        <v>#N/A</v>
      </c>
      <c r="F119" s="3"/>
      <c r="G119" s="3"/>
      <c r="H119" s="3">
        <f t="shared" si="6"/>
        <v>-3075</v>
      </c>
      <c r="I119" s="4">
        <v>28.3</v>
      </c>
      <c r="J119" s="4">
        <f t="shared" si="7"/>
        <v>0</v>
      </c>
    </row>
    <row r="120" spans="1:10">
      <c r="A120" s="2"/>
      <c r="E120" t="e">
        <f>VLOOKUP(TablaMarimba[[#This Row],[Equipo]],Catalogos!$I$4:$J$34,2,FALSE)</f>
        <v>#N/A</v>
      </c>
      <c r="F120" s="3"/>
      <c r="G120" s="3"/>
      <c r="H120" s="3">
        <f t="shared" si="6"/>
        <v>-3075</v>
      </c>
      <c r="I120" s="4">
        <v>28.3</v>
      </c>
      <c r="J120" s="4">
        <f t="shared" si="7"/>
        <v>0</v>
      </c>
    </row>
    <row r="121" spans="1:10">
      <c r="A121" s="2"/>
      <c r="E121" t="e">
        <f>VLOOKUP(TablaMarimba[[#This Row],[Equipo]],Catalogos!$I$4:$J$34,2,FALSE)</f>
        <v>#N/A</v>
      </c>
      <c r="F121" s="3"/>
      <c r="G121" s="3"/>
      <c r="H121" s="3">
        <f t="shared" si="6"/>
        <v>-3075</v>
      </c>
      <c r="I121" s="4">
        <v>28.3</v>
      </c>
      <c r="J121" s="4">
        <f t="shared" si="7"/>
        <v>0</v>
      </c>
    </row>
    <row r="122" spans="1:10">
      <c r="A122" s="2"/>
      <c r="E122" t="e">
        <f>VLOOKUP(TablaMarimba[[#This Row],[Equipo]],Catalogos!$I$4:$J$34,2,FALSE)</f>
        <v>#N/A</v>
      </c>
      <c r="F122" s="3"/>
      <c r="G122" s="3"/>
      <c r="H122" s="3">
        <f t="shared" si="6"/>
        <v>-3075</v>
      </c>
      <c r="I122" s="4">
        <v>28.3</v>
      </c>
      <c r="J122" s="4">
        <f t="shared" si="7"/>
        <v>0</v>
      </c>
    </row>
    <row r="123" spans="1:10">
      <c r="A123" s="2"/>
      <c r="E123" t="e">
        <f>VLOOKUP(TablaMarimba[[#This Row],[Equipo]],Catalogos!$I$4:$J$34,2,FALSE)</f>
        <v>#N/A</v>
      </c>
      <c r="F123" s="3"/>
      <c r="G123" s="3"/>
      <c r="H123" s="3">
        <f t="shared" si="6"/>
        <v>-3075</v>
      </c>
      <c r="I123" s="4">
        <v>28.3</v>
      </c>
      <c r="J123" s="4">
        <f t="shared" si="7"/>
        <v>0</v>
      </c>
    </row>
    <row r="124" spans="1:10">
      <c r="A124" s="2"/>
      <c r="E124" t="e">
        <f>VLOOKUP(TablaMarimba[[#This Row],[Equipo]],Catalogos!$I$4:$J$34,2,FALSE)</f>
        <v>#N/A</v>
      </c>
      <c r="F124" s="3"/>
      <c r="G124" s="3"/>
      <c r="H124" s="3">
        <f t="shared" si="6"/>
        <v>-3075</v>
      </c>
      <c r="I124" s="4">
        <v>28.3</v>
      </c>
      <c r="J124" s="4">
        <f t="shared" si="7"/>
        <v>0</v>
      </c>
    </row>
    <row r="125" spans="1:10">
      <c r="A125" s="2"/>
      <c r="E125" t="e">
        <f>VLOOKUP(TablaMarimba[[#This Row],[Equipo]],Catalogos!$I$4:$J$34,2,FALSE)</f>
        <v>#N/A</v>
      </c>
      <c r="F125" s="3"/>
      <c r="G125" s="3"/>
      <c r="H125" s="3">
        <f t="shared" si="6"/>
        <v>-3075</v>
      </c>
      <c r="I125" s="4">
        <v>28.3</v>
      </c>
      <c r="J125" s="4">
        <f t="shared" si="7"/>
        <v>0</v>
      </c>
    </row>
    <row r="126" spans="1:10">
      <c r="A126" s="2"/>
      <c r="E126" t="e">
        <f>VLOOKUP(TablaMarimba[[#This Row],[Equipo]],Catalogos!$I$4:$J$34,2,FALSE)</f>
        <v>#N/A</v>
      </c>
      <c r="F126" s="3"/>
      <c r="G126" s="3"/>
      <c r="H126" s="3">
        <f t="shared" si="6"/>
        <v>-3075</v>
      </c>
      <c r="I126" s="4">
        <v>28.3</v>
      </c>
      <c r="J126" s="4">
        <f t="shared" si="7"/>
        <v>0</v>
      </c>
    </row>
    <row r="127" spans="1:10">
      <c r="A127" s="2"/>
      <c r="E127" t="e">
        <f>VLOOKUP(TablaMarimba[[#This Row],[Equipo]],Catalogos!$I$4:$J$34,2,FALSE)</f>
        <v>#N/A</v>
      </c>
      <c r="F127" s="3"/>
      <c r="G127" s="3"/>
      <c r="H127" s="3">
        <f t="shared" si="6"/>
        <v>-3075</v>
      </c>
      <c r="I127" s="4">
        <v>28.3</v>
      </c>
      <c r="J127" s="4">
        <f t="shared" si="7"/>
        <v>0</v>
      </c>
    </row>
    <row r="128" spans="1:10">
      <c r="A128" s="2"/>
      <c r="E128" t="e">
        <f>VLOOKUP(TablaMarimba[[#This Row],[Equipo]],Catalogos!$I$4:$J$34,2,FALSE)</f>
        <v>#N/A</v>
      </c>
      <c r="F128" s="3"/>
      <c r="G128" s="3"/>
      <c r="H128" s="3">
        <f t="shared" si="6"/>
        <v>-3075</v>
      </c>
      <c r="I128" s="4">
        <v>28.3</v>
      </c>
      <c r="J128" s="4">
        <f t="shared" si="7"/>
        <v>0</v>
      </c>
    </row>
    <row r="129" spans="1:10">
      <c r="A129" s="2"/>
      <c r="E129" t="e">
        <f>VLOOKUP(TablaMarimba[[#This Row],[Equipo]],Catalogos!$I$4:$J$34,2,FALSE)</f>
        <v>#N/A</v>
      </c>
      <c r="F129" s="3"/>
      <c r="G129" s="3"/>
      <c r="H129" s="3">
        <f t="shared" si="6"/>
        <v>-3075</v>
      </c>
      <c r="I129" s="4">
        <v>28.3</v>
      </c>
      <c r="J129" s="4">
        <f t="shared" si="7"/>
        <v>0</v>
      </c>
    </row>
    <row r="130" spans="1:10">
      <c r="A130" s="2"/>
      <c r="E130" t="e">
        <f>VLOOKUP(TablaMarimba[[#This Row],[Equipo]],Catalogos!$I$4:$J$34,2,FALSE)</f>
        <v>#N/A</v>
      </c>
      <c r="F130" s="3"/>
      <c r="G130" s="3"/>
      <c r="H130" s="3">
        <f t="shared" si="6"/>
        <v>-3075</v>
      </c>
      <c r="I130" s="4">
        <v>28.3</v>
      </c>
      <c r="J130" s="4">
        <f t="shared" si="7"/>
        <v>0</v>
      </c>
    </row>
    <row r="131" spans="1:10">
      <c r="A131" s="2"/>
      <c r="E131" t="e">
        <f>VLOOKUP(TablaMarimba[[#This Row],[Equipo]],Catalogos!$I$4:$J$34,2,FALSE)</f>
        <v>#N/A</v>
      </c>
      <c r="F131" s="3"/>
      <c r="G131" s="3"/>
      <c r="H131" s="3">
        <f t="shared" si="6"/>
        <v>-3075</v>
      </c>
      <c r="I131" s="4">
        <v>28.3</v>
      </c>
      <c r="J131" s="4">
        <f t="shared" si="7"/>
        <v>0</v>
      </c>
    </row>
    <row r="132" spans="1:10">
      <c r="A132" s="2"/>
      <c r="E132" t="e">
        <f>VLOOKUP(TablaMarimba[[#This Row],[Equipo]],Catalogos!$I$4:$J$34,2,FALSE)</f>
        <v>#N/A</v>
      </c>
      <c r="F132" s="3"/>
      <c r="G132" s="3"/>
      <c r="H132" s="3">
        <f t="shared" si="6"/>
        <v>-3075</v>
      </c>
      <c r="I132" s="4">
        <v>28.3</v>
      </c>
      <c r="J132" s="4">
        <f t="shared" si="7"/>
        <v>0</v>
      </c>
    </row>
    <row r="133" spans="1:10">
      <c r="A133" s="2"/>
      <c r="E133" t="e">
        <f>VLOOKUP(TablaMarimba[[#This Row],[Equipo]],Catalogos!$I$4:$J$34,2,FALSE)</f>
        <v>#N/A</v>
      </c>
      <c r="F133" s="3"/>
      <c r="G133" s="3"/>
      <c r="H133" s="3">
        <f t="shared" ref="H133:H164" si="8">IF(ROW()=5,F133-G133,H132+F133-G133)</f>
        <v>-3075</v>
      </c>
      <c r="I133" s="4">
        <v>28.3</v>
      </c>
      <c r="J133" s="4">
        <f t="shared" ref="J133:J164" si="9">IFERROR((F133+G133)*I133,0)</f>
        <v>0</v>
      </c>
    </row>
    <row r="134" spans="1:10">
      <c r="A134" s="2"/>
      <c r="E134" t="e">
        <f>VLOOKUP(TablaMarimba[[#This Row],[Equipo]],Catalogos!$I$4:$J$34,2,FALSE)</f>
        <v>#N/A</v>
      </c>
      <c r="F134" s="3"/>
      <c r="G134" s="3"/>
      <c r="H134" s="3">
        <f t="shared" si="8"/>
        <v>-3075</v>
      </c>
      <c r="I134" s="4">
        <v>28.3</v>
      </c>
      <c r="J134" s="4">
        <f t="shared" si="9"/>
        <v>0</v>
      </c>
    </row>
    <row r="135" spans="1:10">
      <c r="A135" s="2"/>
      <c r="E135" t="e">
        <f>VLOOKUP(TablaMarimba[[#This Row],[Equipo]],Catalogos!$I$4:$J$34,2,FALSE)</f>
        <v>#N/A</v>
      </c>
      <c r="F135" s="3"/>
      <c r="G135" s="3"/>
      <c r="H135" s="3">
        <f t="shared" si="8"/>
        <v>-3075</v>
      </c>
      <c r="I135" s="4">
        <v>28.3</v>
      </c>
      <c r="J135" s="4">
        <f t="shared" si="9"/>
        <v>0</v>
      </c>
    </row>
    <row r="136" spans="1:10">
      <c r="A136" s="2"/>
      <c r="E136" t="e">
        <f>VLOOKUP(TablaMarimba[[#This Row],[Equipo]],Catalogos!$I$4:$J$34,2,FALSE)</f>
        <v>#N/A</v>
      </c>
      <c r="F136" s="3"/>
      <c r="G136" s="3"/>
      <c r="H136" s="3">
        <f t="shared" si="8"/>
        <v>-3075</v>
      </c>
      <c r="I136" s="4">
        <v>28.3</v>
      </c>
      <c r="J136" s="4">
        <f t="shared" si="9"/>
        <v>0</v>
      </c>
    </row>
    <row r="137" spans="1:10">
      <c r="A137" s="2"/>
      <c r="E137" t="e">
        <f>VLOOKUP(TablaMarimba[[#This Row],[Equipo]],Catalogos!$I$4:$J$34,2,FALSE)</f>
        <v>#N/A</v>
      </c>
      <c r="F137" s="3"/>
      <c r="G137" s="3"/>
      <c r="H137" s="3">
        <f t="shared" si="8"/>
        <v>-3075</v>
      </c>
      <c r="I137" s="4">
        <v>28.3</v>
      </c>
      <c r="J137" s="4">
        <f t="shared" si="9"/>
        <v>0</v>
      </c>
    </row>
    <row r="138" spans="1:10">
      <c r="A138" s="2"/>
      <c r="E138" t="e">
        <f>VLOOKUP(TablaMarimba[[#This Row],[Equipo]],Catalogos!$I$4:$J$34,2,FALSE)</f>
        <v>#N/A</v>
      </c>
      <c r="F138" s="3"/>
      <c r="G138" s="3"/>
      <c r="H138" s="3">
        <f t="shared" si="8"/>
        <v>-3075</v>
      </c>
      <c r="I138" s="4">
        <v>28.3</v>
      </c>
      <c r="J138" s="4">
        <f t="shared" si="9"/>
        <v>0</v>
      </c>
    </row>
    <row r="139" spans="1:10">
      <c r="A139" s="2"/>
      <c r="E139" t="e">
        <f>VLOOKUP(TablaMarimba[[#This Row],[Equipo]],Catalogos!$I$4:$J$34,2,FALSE)</f>
        <v>#N/A</v>
      </c>
      <c r="F139" s="3"/>
      <c r="G139" s="3"/>
      <c r="H139" s="3">
        <f t="shared" si="8"/>
        <v>-3075</v>
      </c>
      <c r="I139" s="4">
        <v>28.3</v>
      </c>
      <c r="J139" s="4">
        <f t="shared" si="9"/>
        <v>0</v>
      </c>
    </row>
    <row r="140" spans="1:10">
      <c r="A140" s="2"/>
      <c r="E140" t="e">
        <f>VLOOKUP(TablaMarimba[[#This Row],[Equipo]],Catalogos!$I$4:$J$34,2,FALSE)</f>
        <v>#N/A</v>
      </c>
      <c r="F140" s="3"/>
      <c r="G140" s="3"/>
      <c r="H140" s="3">
        <f t="shared" si="8"/>
        <v>-3075</v>
      </c>
      <c r="I140" s="4">
        <v>28.3</v>
      </c>
      <c r="J140" s="4">
        <f t="shared" si="9"/>
        <v>0</v>
      </c>
    </row>
    <row r="141" spans="1:10">
      <c r="A141" s="2"/>
      <c r="E141" t="e">
        <f>VLOOKUP(TablaMarimba[[#This Row],[Equipo]],Catalogos!$I$4:$J$34,2,FALSE)</f>
        <v>#N/A</v>
      </c>
      <c r="F141" s="3"/>
      <c r="G141" s="3"/>
      <c r="H141" s="3">
        <f t="shared" si="8"/>
        <v>-3075</v>
      </c>
      <c r="I141" s="4">
        <v>28.3</v>
      </c>
      <c r="J141" s="4">
        <f t="shared" si="9"/>
        <v>0</v>
      </c>
    </row>
    <row r="142" spans="1:10">
      <c r="A142" s="2"/>
      <c r="E142" t="e">
        <f>VLOOKUP(TablaMarimba[[#This Row],[Equipo]],Catalogos!$I$4:$J$34,2,FALSE)</f>
        <v>#N/A</v>
      </c>
      <c r="F142" s="3"/>
      <c r="G142" s="3"/>
      <c r="H142" s="3">
        <f t="shared" si="8"/>
        <v>-3075</v>
      </c>
      <c r="I142" s="4">
        <v>28.3</v>
      </c>
      <c r="J142" s="4">
        <f t="shared" si="9"/>
        <v>0</v>
      </c>
    </row>
    <row r="143" spans="1:10">
      <c r="A143" s="2"/>
      <c r="E143" t="e">
        <f>VLOOKUP(TablaMarimba[[#This Row],[Equipo]],Catalogos!$I$4:$J$34,2,FALSE)</f>
        <v>#N/A</v>
      </c>
      <c r="F143" s="3"/>
      <c r="G143" s="3"/>
      <c r="H143" s="3">
        <f t="shared" si="8"/>
        <v>-3075</v>
      </c>
      <c r="I143" s="4">
        <v>28.3</v>
      </c>
      <c r="J143" s="4">
        <f t="shared" si="9"/>
        <v>0</v>
      </c>
    </row>
    <row r="144" spans="1:10">
      <c r="A144" s="2"/>
      <c r="E144" t="e">
        <f>VLOOKUP(TablaMarimba[[#This Row],[Equipo]],Catalogos!$I$4:$J$34,2,FALSE)</f>
        <v>#N/A</v>
      </c>
      <c r="F144" s="3"/>
      <c r="G144" s="3"/>
      <c r="H144" s="3">
        <f t="shared" si="8"/>
        <v>-3075</v>
      </c>
      <c r="I144" s="4">
        <v>28.3</v>
      </c>
      <c r="J144" s="4">
        <f t="shared" si="9"/>
        <v>0</v>
      </c>
    </row>
    <row r="145" spans="1:10">
      <c r="A145" s="2"/>
      <c r="E145" t="e">
        <f>VLOOKUP(TablaMarimba[[#This Row],[Equipo]],Catalogos!$I$4:$J$34,2,FALSE)</f>
        <v>#N/A</v>
      </c>
      <c r="F145" s="3"/>
      <c r="G145" s="3"/>
      <c r="H145" s="3">
        <f t="shared" si="8"/>
        <v>-3075</v>
      </c>
      <c r="I145" s="4">
        <v>28.3</v>
      </c>
      <c r="J145" s="4">
        <f t="shared" si="9"/>
        <v>0</v>
      </c>
    </row>
    <row r="146" spans="1:10">
      <c r="A146" s="2"/>
      <c r="E146" t="e">
        <f>VLOOKUP(TablaMarimba[[#This Row],[Equipo]],Catalogos!$I$4:$J$34,2,FALSE)</f>
        <v>#N/A</v>
      </c>
      <c r="F146" s="3"/>
      <c r="G146" s="3"/>
      <c r="H146" s="3">
        <f t="shared" si="8"/>
        <v>-3075</v>
      </c>
      <c r="I146" s="4">
        <v>28.3</v>
      </c>
      <c r="J146" s="4">
        <f t="shared" si="9"/>
        <v>0</v>
      </c>
    </row>
    <row r="147" spans="1:10">
      <c r="A147" s="2"/>
      <c r="E147" t="e">
        <f>VLOOKUP(TablaMarimba[[#This Row],[Equipo]],Catalogos!$I$4:$J$34,2,FALSE)</f>
        <v>#N/A</v>
      </c>
      <c r="F147" s="3"/>
      <c r="G147" s="3"/>
      <c r="H147" s="3">
        <f t="shared" si="8"/>
        <v>-3075</v>
      </c>
      <c r="I147" s="4">
        <v>28.3</v>
      </c>
      <c r="J147" s="4">
        <f t="shared" si="9"/>
        <v>0</v>
      </c>
    </row>
    <row r="148" spans="1:10">
      <c r="A148" s="2"/>
      <c r="E148" t="e">
        <f>VLOOKUP(TablaMarimba[[#This Row],[Equipo]],Catalogos!$I$4:$J$34,2,FALSE)</f>
        <v>#N/A</v>
      </c>
      <c r="F148" s="3"/>
      <c r="G148" s="3"/>
      <c r="H148" s="3">
        <f t="shared" si="8"/>
        <v>-3075</v>
      </c>
      <c r="I148" s="4">
        <v>28.3</v>
      </c>
      <c r="J148" s="4">
        <f t="shared" si="9"/>
        <v>0</v>
      </c>
    </row>
    <row r="149" spans="1:10">
      <c r="A149" s="2"/>
      <c r="E149" t="e">
        <f>VLOOKUP(TablaMarimba[[#This Row],[Equipo]],Catalogos!$I$4:$J$34,2,FALSE)</f>
        <v>#N/A</v>
      </c>
      <c r="F149" s="3"/>
      <c r="G149" s="3"/>
      <c r="H149" s="3">
        <f t="shared" si="8"/>
        <v>-3075</v>
      </c>
      <c r="I149" s="4">
        <v>28.3</v>
      </c>
      <c r="J149" s="4">
        <f t="shared" si="9"/>
        <v>0</v>
      </c>
    </row>
    <row r="150" spans="1:10">
      <c r="A150" s="2"/>
      <c r="E150" t="e">
        <f>VLOOKUP(TablaMarimba[[#This Row],[Equipo]],Catalogos!$I$4:$J$34,2,FALSE)</f>
        <v>#N/A</v>
      </c>
      <c r="F150" s="3"/>
      <c r="G150" s="3"/>
      <c r="H150" s="3">
        <f t="shared" si="8"/>
        <v>-3075</v>
      </c>
      <c r="I150" s="4">
        <v>28.3</v>
      </c>
      <c r="J150" s="4">
        <f t="shared" si="9"/>
        <v>0</v>
      </c>
    </row>
    <row r="151" spans="1:10">
      <c r="A151" s="2"/>
      <c r="E151" t="e">
        <f>VLOOKUP(TablaMarimba[[#This Row],[Equipo]],Catalogos!$I$4:$J$34,2,FALSE)</f>
        <v>#N/A</v>
      </c>
      <c r="F151" s="3"/>
      <c r="G151" s="3"/>
      <c r="H151" s="3">
        <f t="shared" si="8"/>
        <v>-3075</v>
      </c>
      <c r="I151" s="4">
        <v>28.3</v>
      </c>
      <c r="J151" s="4">
        <f t="shared" si="9"/>
        <v>0</v>
      </c>
    </row>
    <row r="152" spans="1:10">
      <c r="A152" s="2"/>
      <c r="E152" t="e">
        <f>VLOOKUP(TablaMarimba[[#This Row],[Equipo]],Catalogos!$I$4:$J$34,2,FALSE)</f>
        <v>#N/A</v>
      </c>
      <c r="F152" s="3"/>
      <c r="G152" s="3"/>
      <c r="H152" s="3">
        <f t="shared" si="8"/>
        <v>-3075</v>
      </c>
      <c r="I152" s="4">
        <v>28.3</v>
      </c>
      <c r="J152" s="4">
        <f t="shared" si="9"/>
        <v>0</v>
      </c>
    </row>
    <row r="153" spans="1:10">
      <c r="A153" s="2"/>
      <c r="E153" t="e">
        <f>VLOOKUP(TablaMarimba[[#This Row],[Equipo]],Catalogos!$I$4:$J$34,2,FALSE)</f>
        <v>#N/A</v>
      </c>
      <c r="F153" s="3"/>
      <c r="G153" s="3"/>
      <c r="H153" s="3">
        <f t="shared" si="8"/>
        <v>-3075</v>
      </c>
      <c r="I153" s="4">
        <v>28.3</v>
      </c>
      <c r="J153" s="4">
        <f t="shared" si="9"/>
        <v>0</v>
      </c>
    </row>
    <row r="154" spans="1:10">
      <c r="A154" s="2"/>
      <c r="E154" t="e">
        <f>VLOOKUP(TablaMarimba[[#This Row],[Equipo]],Catalogos!$I$4:$J$34,2,FALSE)</f>
        <v>#N/A</v>
      </c>
      <c r="F154" s="3"/>
      <c r="G154" s="3"/>
      <c r="H154" s="3">
        <f t="shared" si="8"/>
        <v>-3075</v>
      </c>
      <c r="I154" s="4">
        <v>28.3</v>
      </c>
      <c r="J154" s="4">
        <f t="shared" si="9"/>
        <v>0</v>
      </c>
    </row>
    <row r="155" spans="1:10">
      <c r="A155" s="2"/>
      <c r="E155" t="e">
        <f>VLOOKUP(TablaMarimba[[#This Row],[Equipo]],Catalogos!$I$4:$J$34,2,FALSE)</f>
        <v>#N/A</v>
      </c>
      <c r="F155" s="3"/>
      <c r="G155" s="3"/>
      <c r="H155" s="3">
        <f t="shared" si="8"/>
        <v>-3075</v>
      </c>
      <c r="I155" s="4">
        <v>28.3</v>
      </c>
      <c r="J155" s="4">
        <f t="shared" si="9"/>
        <v>0</v>
      </c>
    </row>
    <row r="156" spans="1:10">
      <c r="A156" s="2"/>
      <c r="E156" t="e">
        <f>VLOOKUP(TablaMarimba[[#This Row],[Equipo]],Catalogos!$I$4:$J$34,2,FALSE)</f>
        <v>#N/A</v>
      </c>
      <c r="F156" s="3"/>
      <c r="G156" s="3"/>
      <c r="H156" s="3">
        <f t="shared" si="8"/>
        <v>-3075</v>
      </c>
      <c r="I156" s="4">
        <v>28.3</v>
      </c>
      <c r="J156" s="4">
        <f t="shared" si="9"/>
        <v>0</v>
      </c>
    </row>
    <row r="157" spans="1:10">
      <c r="A157" s="2"/>
      <c r="E157" t="e">
        <f>VLOOKUP(TablaMarimba[[#This Row],[Equipo]],Catalogos!$I$4:$J$34,2,FALSE)</f>
        <v>#N/A</v>
      </c>
      <c r="F157" s="3"/>
      <c r="G157" s="3"/>
      <c r="H157" s="3">
        <f t="shared" si="8"/>
        <v>-3075</v>
      </c>
      <c r="I157" s="4">
        <v>28.3</v>
      </c>
      <c r="J157" s="4">
        <f t="shared" si="9"/>
        <v>0</v>
      </c>
    </row>
    <row r="158" spans="1:10">
      <c r="A158" s="2"/>
      <c r="E158" t="e">
        <f>VLOOKUP(TablaMarimba[[#This Row],[Equipo]],Catalogos!$I$4:$J$34,2,FALSE)</f>
        <v>#N/A</v>
      </c>
      <c r="F158" s="3"/>
      <c r="G158" s="3"/>
      <c r="H158" s="3">
        <f t="shared" si="8"/>
        <v>-3075</v>
      </c>
      <c r="I158" s="4">
        <v>28.3</v>
      </c>
      <c r="J158" s="4">
        <f t="shared" si="9"/>
        <v>0</v>
      </c>
    </row>
    <row r="159" spans="1:10">
      <c r="A159" s="2"/>
      <c r="E159" t="e">
        <f>VLOOKUP(TablaMarimba[[#This Row],[Equipo]],Catalogos!$I$4:$J$34,2,FALSE)</f>
        <v>#N/A</v>
      </c>
      <c r="F159" s="3"/>
      <c r="G159" s="3"/>
      <c r="H159" s="3">
        <f t="shared" si="8"/>
        <v>-3075</v>
      </c>
      <c r="I159" s="4">
        <v>28.3</v>
      </c>
      <c r="J159" s="4">
        <f t="shared" si="9"/>
        <v>0</v>
      </c>
    </row>
    <row r="160" spans="1:10">
      <c r="A160" s="2"/>
      <c r="E160" t="e">
        <f>VLOOKUP(TablaMarimba[[#This Row],[Equipo]],Catalogos!$I$4:$J$34,2,FALSE)</f>
        <v>#N/A</v>
      </c>
      <c r="F160" s="3"/>
      <c r="G160" s="3"/>
      <c r="H160" s="3">
        <f t="shared" si="8"/>
        <v>-3075</v>
      </c>
      <c r="I160" s="4">
        <v>28.3</v>
      </c>
      <c r="J160" s="4">
        <f t="shared" si="9"/>
        <v>0</v>
      </c>
    </row>
    <row r="161" spans="1:10">
      <c r="A161" s="2"/>
      <c r="E161" t="e">
        <f>VLOOKUP(TablaMarimba[[#This Row],[Equipo]],Catalogos!$I$4:$J$34,2,FALSE)</f>
        <v>#N/A</v>
      </c>
      <c r="F161" s="3"/>
      <c r="G161" s="3"/>
      <c r="H161" s="3">
        <f t="shared" si="8"/>
        <v>-3075</v>
      </c>
      <c r="I161" s="4">
        <v>28.3</v>
      </c>
      <c r="J161" s="4">
        <f t="shared" si="9"/>
        <v>0</v>
      </c>
    </row>
    <row r="162" spans="1:10">
      <c r="A162" s="2"/>
      <c r="E162" t="e">
        <f>VLOOKUP(TablaMarimba[[#This Row],[Equipo]],Catalogos!$I$4:$J$34,2,FALSE)</f>
        <v>#N/A</v>
      </c>
      <c r="F162" s="3"/>
      <c r="G162" s="3"/>
      <c r="H162" s="3">
        <f t="shared" si="8"/>
        <v>-3075</v>
      </c>
      <c r="I162" s="4">
        <v>28.3</v>
      </c>
      <c r="J162" s="4">
        <f t="shared" si="9"/>
        <v>0</v>
      </c>
    </row>
    <row r="163" spans="1:10">
      <c r="A163" s="2"/>
      <c r="E163" t="e">
        <f>VLOOKUP(TablaMarimba[[#This Row],[Equipo]],Catalogos!$I$4:$J$34,2,FALSE)</f>
        <v>#N/A</v>
      </c>
      <c r="F163" s="3"/>
      <c r="G163" s="3"/>
      <c r="H163" s="3">
        <f t="shared" si="8"/>
        <v>-3075</v>
      </c>
      <c r="I163" s="4">
        <v>28.3</v>
      </c>
      <c r="J163" s="4">
        <f t="shared" si="9"/>
        <v>0</v>
      </c>
    </row>
    <row r="164" spans="1:10">
      <c r="A164" s="2"/>
      <c r="E164" t="e">
        <f>VLOOKUP(TablaMarimba[[#This Row],[Equipo]],Catalogos!$I$4:$J$34,2,FALSE)</f>
        <v>#N/A</v>
      </c>
      <c r="F164" s="3"/>
      <c r="G164" s="3"/>
      <c r="H164" s="3">
        <f t="shared" si="8"/>
        <v>-3075</v>
      </c>
      <c r="I164" s="4">
        <v>28.3</v>
      </c>
      <c r="J164" s="4">
        <f t="shared" si="9"/>
        <v>0</v>
      </c>
    </row>
    <row r="165" spans="1:10">
      <c r="A165" s="2"/>
      <c r="E165" t="e">
        <f>VLOOKUP(TablaMarimba[[#This Row],[Equipo]],Catalogos!$I$4:$J$34,2,FALSE)</f>
        <v>#N/A</v>
      </c>
      <c r="F165" s="3"/>
      <c r="G165" s="3"/>
      <c r="H165" s="3">
        <f t="shared" ref="H165:H196" si="10">IF(ROW()=5,F165-G165,H164+F165-G165)</f>
        <v>-3075</v>
      </c>
      <c r="I165" s="4">
        <v>28.3</v>
      </c>
      <c r="J165" s="4">
        <f t="shared" ref="J165:J196" si="11">IFERROR((F165+G165)*I165,0)</f>
        <v>0</v>
      </c>
    </row>
    <row r="166" spans="1:10">
      <c r="A166" s="2"/>
      <c r="E166" t="e">
        <f>VLOOKUP(TablaMarimba[[#This Row],[Equipo]],Catalogos!$I$4:$J$34,2,FALSE)</f>
        <v>#N/A</v>
      </c>
      <c r="F166" s="3"/>
      <c r="G166" s="3"/>
      <c r="H166" s="3">
        <f t="shared" si="10"/>
        <v>-3075</v>
      </c>
      <c r="I166" s="4">
        <v>28.3</v>
      </c>
      <c r="J166" s="4">
        <f t="shared" si="11"/>
        <v>0</v>
      </c>
    </row>
    <row r="167" spans="1:10">
      <c r="A167" s="2"/>
      <c r="E167" t="e">
        <f>VLOOKUP(TablaMarimba[[#This Row],[Equipo]],Catalogos!$I$4:$J$34,2,FALSE)</f>
        <v>#N/A</v>
      </c>
      <c r="F167" s="3"/>
      <c r="G167" s="3"/>
      <c r="H167" s="3">
        <f t="shared" si="10"/>
        <v>-3075</v>
      </c>
      <c r="I167" s="4">
        <v>28.3</v>
      </c>
      <c r="J167" s="4">
        <f t="shared" si="11"/>
        <v>0</v>
      </c>
    </row>
    <row r="168" spans="1:10">
      <c r="A168" s="2"/>
      <c r="E168" t="e">
        <f>VLOOKUP(TablaMarimba[[#This Row],[Equipo]],Catalogos!$I$4:$J$34,2,FALSE)</f>
        <v>#N/A</v>
      </c>
      <c r="F168" s="3"/>
      <c r="G168" s="3"/>
      <c r="H168" s="3">
        <f t="shared" si="10"/>
        <v>-3075</v>
      </c>
      <c r="I168" s="4">
        <v>28.3</v>
      </c>
      <c r="J168" s="4">
        <f t="shared" si="11"/>
        <v>0</v>
      </c>
    </row>
    <row r="169" spans="1:10">
      <c r="A169" s="2"/>
      <c r="E169" t="e">
        <f>VLOOKUP(TablaMarimba[[#This Row],[Equipo]],Catalogos!$I$4:$J$34,2,FALSE)</f>
        <v>#N/A</v>
      </c>
      <c r="F169" s="3"/>
      <c r="G169" s="3"/>
      <c r="H169" s="3">
        <f t="shared" si="10"/>
        <v>-3075</v>
      </c>
      <c r="I169" s="4">
        <v>28.3</v>
      </c>
      <c r="J169" s="4">
        <f t="shared" si="11"/>
        <v>0</v>
      </c>
    </row>
    <row r="170" spans="1:10">
      <c r="A170" s="2"/>
      <c r="E170" t="e">
        <f>VLOOKUP(TablaMarimba[[#This Row],[Equipo]],Catalogos!$I$4:$J$34,2,FALSE)</f>
        <v>#N/A</v>
      </c>
      <c r="F170" s="3"/>
      <c r="G170" s="3"/>
      <c r="H170" s="3">
        <f t="shared" si="10"/>
        <v>-3075</v>
      </c>
      <c r="I170" s="4">
        <v>28.3</v>
      </c>
      <c r="J170" s="4">
        <f t="shared" si="11"/>
        <v>0</v>
      </c>
    </row>
    <row r="171" spans="1:10">
      <c r="A171" s="2"/>
      <c r="E171" t="e">
        <f>VLOOKUP(TablaMarimba[[#This Row],[Equipo]],Catalogos!$I$4:$J$34,2,FALSE)</f>
        <v>#N/A</v>
      </c>
      <c r="F171" s="3"/>
      <c r="G171" s="3"/>
      <c r="H171" s="3">
        <f t="shared" si="10"/>
        <v>-3075</v>
      </c>
      <c r="I171" s="4">
        <v>28.3</v>
      </c>
      <c r="J171" s="4">
        <f t="shared" si="11"/>
        <v>0</v>
      </c>
    </row>
    <row r="172" spans="1:10">
      <c r="A172" s="2"/>
      <c r="E172" t="e">
        <f>VLOOKUP(TablaMarimba[[#This Row],[Equipo]],Catalogos!$I$4:$J$34,2,FALSE)</f>
        <v>#N/A</v>
      </c>
      <c r="F172" s="3"/>
      <c r="G172" s="3"/>
      <c r="H172" s="3">
        <f t="shared" si="10"/>
        <v>-3075</v>
      </c>
      <c r="I172" s="4">
        <v>28.3</v>
      </c>
      <c r="J172" s="4">
        <f t="shared" si="11"/>
        <v>0</v>
      </c>
    </row>
    <row r="173" spans="1:10">
      <c r="A173" s="2"/>
      <c r="E173" t="e">
        <f>VLOOKUP(TablaMarimba[[#This Row],[Equipo]],Catalogos!$I$4:$J$34,2,FALSE)</f>
        <v>#N/A</v>
      </c>
      <c r="F173" s="3"/>
      <c r="G173" s="3"/>
      <c r="H173" s="3">
        <f t="shared" si="10"/>
        <v>-3075</v>
      </c>
      <c r="I173" s="4">
        <v>28.3</v>
      </c>
      <c r="J173" s="4">
        <f t="shared" si="11"/>
        <v>0</v>
      </c>
    </row>
    <row r="174" spans="1:10">
      <c r="A174" s="2"/>
      <c r="E174" t="e">
        <f>VLOOKUP(TablaMarimba[[#This Row],[Equipo]],Catalogos!$I$4:$J$34,2,FALSE)</f>
        <v>#N/A</v>
      </c>
      <c r="F174" s="3"/>
      <c r="G174" s="3"/>
      <c r="H174" s="3">
        <f t="shared" si="10"/>
        <v>-3075</v>
      </c>
      <c r="I174" s="4">
        <v>28.3</v>
      </c>
      <c r="J174" s="4">
        <f t="shared" si="11"/>
        <v>0</v>
      </c>
    </row>
    <row r="175" spans="1:10">
      <c r="A175" s="2"/>
      <c r="E175" t="e">
        <f>VLOOKUP(TablaMarimba[[#This Row],[Equipo]],Catalogos!$I$4:$J$34,2,FALSE)</f>
        <v>#N/A</v>
      </c>
      <c r="F175" s="3"/>
      <c r="G175" s="3"/>
      <c r="H175" s="3">
        <f t="shared" si="10"/>
        <v>-3075</v>
      </c>
      <c r="I175" s="4">
        <v>28.3</v>
      </c>
      <c r="J175" s="4">
        <f t="shared" si="11"/>
        <v>0</v>
      </c>
    </row>
    <row r="176" spans="1:10">
      <c r="A176" s="2"/>
      <c r="E176" t="e">
        <f>VLOOKUP(TablaMarimba[[#This Row],[Equipo]],Catalogos!$I$4:$J$34,2,FALSE)</f>
        <v>#N/A</v>
      </c>
      <c r="F176" s="3"/>
      <c r="G176" s="3"/>
      <c r="H176" s="3">
        <f t="shared" si="10"/>
        <v>-3075</v>
      </c>
      <c r="I176" s="4">
        <v>28.3</v>
      </c>
      <c r="J176" s="4">
        <f t="shared" si="11"/>
        <v>0</v>
      </c>
    </row>
    <row r="177" spans="1:10">
      <c r="A177" s="2"/>
      <c r="E177" t="e">
        <f>VLOOKUP(TablaMarimba[[#This Row],[Equipo]],Catalogos!$I$4:$J$34,2,FALSE)</f>
        <v>#N/A</v>
      </c>
      <c r="F177" s="3"/>
      <c r="G177" s="3"/>
      <c r="H177" s="3">
        <f t="shared" si="10"/>
        <v>-3075</v>
      </c>
      <c r="I177" s="4">
        <v>28.3</v>
      </c>
      <c r="J177" s="4">
        <f t="shared" si="11"/>
        <v>0</v>
      </c>
    </row>
    <row r="178" spans="1:10">
      <c r="A178" s="2"/>
      <c r="E178" t="e">
        <f>VLOOKUP(TablaMarimba[[#This Row],[Equipo]],Catalogos!$I$4:$J$34,2,FALSE)</f>
        <v>#N/A</v>
      </c>
      <c r="F178" s="3"/>
      <c r="G178" s="3"/>
      <c r="H178" s="3">
        <f t="shared" si="10"/>
        <v>-3075</v>
      </c>
      <c r="I178" s="4">
        <v>28.3</v>
      </c>
      <c r="J178" s="4">
        <f t="shared" si="11"/>
        <v>0</v>
      </c>
    </row>
    <row r="179" spans="1:10">
      <c r="A179" s="2"/>
      <c r="E179" t="e">
        <f>VLOOKUP(TablaMarimba[[#This Row],[Equipo]],Catalogos!$I$4:$J$34,2,FALSE)</f>
        <v>#N/A</v>
      </c>
      <c r="F179" s="3"/>
      <c r="G179" s="3"/>
      <c r="H179" s="3">
        <f t="shared" si="10"/>
        <v>-3075</v>
      </c>
      <c r="I179" s="4">
        <v>28.3</v>
      </c>
      <c r="J179" s="4">
        <f t="shared" si="11"/>
        <v>0</v>
      </c>
    </row>
    <row r="180" spans="1:10">
      <c r="A180" s="2"/>
      <c r="E180" t="e">
        <f>VLOOKUP(TablaMarimba[[#This Row],[Equipo]],Catalogos!$I$4:$J$34,2,FALSE)</f>
        <v>#N/A</v>
      </c>
      <c r="F180" s="3"/>
      <c r="G180" s="3"/>
      <c r="H180" s="3">
        <f t="shared" si="10"/>
        <v>-3075</v>
      </c>
      <c r="I180" s="4">
        <v>28.3</v>
      </c>
      <c r="J180" s="4">
        <f t="shared" si="11"/>
        <v>0</v>
      </c>
    </row>
    <row r="181" spans="1:10">
      <c r="A181" s="2"/>
      <c r="E181" t="e">
        <f>VLOOKUP(TablaMarimba[[#This Row],[Equipo]],Catalogos!$I$4:$J$34,2,FALSE)</f>
        <v>#N/A</v>
      </c>
      <c r="F181" s="3"/>
      <c r="G181" s="3"/>
      <c r="H181" s="3">
        <f t="shared" si="10"/>
        <v>-3075</v>
      </c>
      <c r="I181" s="4">
        <v>28.3</v>
      </c>
      <c r="J181" s="4">
        <f t="shared" si="11"/>
        <v>0</v>
      </c>
    </row>
    <row r="182" spans="1:10">
      <c r="A182" s="2"/>
      <c r="E182" t="e">
        <f>VLOOKUP(TablaMarimba[[#This Row],[Equipo]],Catalogos!$I$4:$J$34,2,FALSE)</f>
        <v>#N/A</v>
      </c>
      <c r="F182" s="3"/>
      <c r="G182" s="3"/>
      <c r="H182" s="3">
        <f t="shared" si="10"/>
        <v>-3075</v>
      </c>
      <c r="I182" s="4">
        <v>28.3</v>
      </c>
      <c r="J182" s="4">
        <f t="shared" si="11"/>
        <v>0</v>
      </c>
    </row>
    <row r="183" spans="1:10">
      <c r="A183" s="2"/>
      <c r="E183" t="e">
        <f>VLOOKUP(TablaMarimba[[#This Row],[Equipo]],Catalogos!$I$4:$J$34,2,FALSE)</f>
        <v>#N/A</v>
      </c>
      <c r="F183" s="3"/>
      <c r="G183" s="3"/>
      <c r="H183" s="3">
        <f t="shared" si="10"/>
        <v>-3075</v>
      </c>
      <c r="I183" s="4">
        <v>28.3</v>
      </c>
      <c r="J183" s="4">
        <f t="shared" si="11"/>
        <v>0</v>
      </c>
    </row>
    <row r="184" spans="1:10">
      <c r="A184" s="2"/>
      <c r="E184" t="e">
        <f>VLOOKUP(TablaMarimba[[#This Row],[Equipo]],Catalogos!$I$4:$J$34,2,FALSE)</f>
        <v>#N/A</v>
      </c>
      <c r="F184" s="3"/>
      <c r="G184" s="3"/>
      <c r="H184" s="3">
        <f t="shared" si="10"/>
        <v>-3075</v>
      </c>
      <c r="I184" s="4">
        <v>28.3</v>
      </c>
      <c r="J184" s="4">
        <f t="shared" si="11"/>
        <v>0</v>
      </c>
    </row>
    <row r="185" spans="1:10">
      <c r="A185" s="2"/>
      <c r="E185" t="e">
        <f>VLOOKUP(TablaMarimba[[#This Row],[Equipo]],Catalogos!$I$4:$J$34,2,FALSE)</f>
        <v>#N/A</v>
      </c>
      <c r="F185" s="3"/>
      <c r="G185" s="3"/>
      <c r="H185" s="3">
        <f t="shared" si="10"/>
        <v>-3075</v>
      </c>
      <c r="I185" s="4">
        <v>28.3</v>
      </c>
      <c r="J185" s="4">
        <f t="shared" si="11"/>
        <v>0</v>
      </c>
    </row>
    <row r="186" spans="1:10">
      <c r="A186" s="2"/>
      <c r="E186" t="e">
        <f>VLOOKUP(TablaMarimba[[#This Row],[Equipo]],Catalogos!$I$4:$J$34,2,FALSE)</f>
        <v>#N/A</v>
      </c>
      <c r="F186" s="3"/>
      <c r="G186" s="3"/>
      <c r="H186" s="3">
        <f t="shared" si="10"/>
        <v>-3075</v>
      </c>
      <c r="I186" s="4">
        <v>28.3</v>
      </c>
      <c r="J186" s="4">
        <f t="shared" si="11"/>
        <v>0</v>
      </c>
    </row>
    <row r="187" spans="1:10">
      <c r="A187" s="2"/>
      <c r="E187" t="e">
        <f>VLOOKUP(TablaMarimba[[#This Row],[Equipo]],Catalogos!$I$4:$J$34,2,FALSE)</f>
        <v>#N/A</v>
      </c>
      <c r="F187" s="3"/>
      <c r="G187" s="3"/>
      <c r="H187" s="3">
        <f t="shared" si="10"/>
        <v>-3075</v>
      </c>
      <c r="I187" s="4">
        <v>28.3</v>
      </c>
      <c r="J187" s="4">
        <f t="shared" si="11"/>
        <v>0</v>
      </c>
    </row>
    <row r="188" spans="1:10">
      <c r="A188" s="2"/>
      <c r="E188" t="e">
        <f>VLOOKUP(TablaMarimba[[#This Row],[Equipo]],Catalogos!$I$4:$J$34,2,FALSE)</f>
        <v>#N/A</v>
      </c>
      <c r="F188" s="3"/>
      <c r="G188" s="3"/>
      <c r="H188" s="3">
        <f t="shared" si="10"/>
        <v>-3075</v>
      </c>
      <c r="I188" s="4">
        <v>28.3</v>
      </c>
      <c r="J188" s="4">
        <f t="shared" si="11"/>
        <v>0</v>
      </c>
    </row>
    <row r="189" spans="1:10">
      <c r="A189" s="2"/>
      <c r="E189" t="e">
        <f>VLOOKUP(TablaMarimba[[#This Row],[Equipo]],Catalogos!$I$4:$J$34,2,FALSE)</f>
        <v>#N/A</v>
      </c>
      <c r="F189" s="3"/>
      <c r="G189" s="3"/>
      <c r="H189" s="3">
        <f t="shared" si="10"/>
        <v>-3075</v>
      </c>
      <c r="I189" s="4">
        <v>28.3</v>
      </c>
      <c r="J189" s="4">
        <f t="shared" si="11"/>
        <v>0</v>
      </c>
    </row>
    <row r="190" spans="1:10">
      <c r="A190" s="2"/>
      <c r="E190" t="e">
        <f>VLOOKUP(TablaMarimba[[#This Row],[Equipo]],Catalogos!$I$4:$J$34,2,FALSE)</f>
        <v>#N/A</v>
      </c>
      <c r="F190" s="3"/>
      <c r="G190" s="3"/>
      <c r="H190" s="3">
        <f t="shared" si="10"/>
        <v>-3075</v>
      </c>
      <c r="I190" s="4">
        <v>28.3</v>
      </c>
      <c r="J190" s="4">
        <f t="shared" si="11"/>
        <v>0</v>
      </c>
    </row>
    <row r="191" spans="1:10">
      <c r="A191" s="2"/>
      <c r="E191" t="e">
        <f>VLOOKUP(TablaMarimba[[#This Row],[Equipo]],Catalogos!$I$4:$J$34,2,FALSE)</f>
        <v>#N/A</v>
      </c>
      <c r="F191" s="3"/>
      <c r="G191" s="3"/>
      <c r="H191" s="3">
        <f t="shared" si="10"/>
        <v>-3075</v>
      </c>
      <c r="I191" s="4">
        <v>28.3</v>
      </c>
      <c r="J191" s="4">
        <f t="shared" si="11"/>
        <v>0</v>
      </c>
    </row>
    <row r="192" spans="1:10">
      <c r="A192" s="2"/>
      <c r="E192" t="e">
        <f>VLOOKUP(TablaMarimba[[#This Row],[Equipo]],Catalogos!$I$4:$J$34,2,FALSE)</f>
        <v>#N/A</v>
      </c>
      <c r="F192" s="3"/>
      <c r="G192" s="3"/>
      <c r="H192" s="3">
        <f t="shared" si="10"/>
        <v>-3075</v>
      </c>
      <c r="I192" s="4">
        <v>28.3</v>
      </c>
      <c r="J192" s="4">
        <f t="shared" si="11"/>
        <v>0</v>
      </c>
    </row>
    <row r="193" spans="1:10">
      <c r="A193" s="2"/>
      <c r="E193" t="e">
        <f>VLOOKUP(TablaMarimba[[#This Row],[Equipo]],Catalogos!$I$4:$J$34,2,FALSE)</f>
        <v>#N/A</v>
      </c>
      <c r="F193" s="3"/>
      <c r="G193" s="3"/>
      <c r="H193" s="3">
        <f t="shared" si="10"/>
        <v>-3075</v>
      </c>
      <c r="I193" s="4">
        <v>28.3</v>
      </c>
      <c r="J193" s="4">
        <f t="shared" si="11"/>
        <v>0</v>
      </c>
    </row>
    <row r="194" spans="1:10">
      <c r="A194" s="2"/>
      <c r="E194" t="e">
        <f>VLOOKUP(TablaMarimba[[#This Row],[Equipo]],Catalogos!$I$4:$J$34,2,FALSE)</f>
        <v>#N/A</v>
      </c>
      <c r="F194" s="3"/>
      <c r="G194" s="3"/>
      <c r="H194" s="3">
        <f t="shared" si="10"/>
        <v>-3075</v>
      </c>
      <c r="I194" s="4">
        <v>28.3</v>
      </c>
      <c r="J194" s="4">
        <f t="shared" si="11"/>
        <v>0</v>
      </c>
    </row>
    <row r="195" spans="1:10">
      <c r="A195" s="2"/>
      <c r="E195" t="e">
        <f>VLOOKUP(TablaMarimba[[#This Row],[Equipo]],Catalogos!$I$4:$J$34,2,FALSE)</f>
        <v>#N/A</v>
      </c>
      <c r="F195" s="3"/>
      <c r="G195" s="3"/>
      <c r="H195" s="3">
        <f t="shared" si="10"/>
        <v>-3075</v>
      </c>
      <c r="I195" s="4">
        <v>28.3</v>
      </c>
      <c r="J195" s="4">
        <f t="shared" si="11"/>
        <v>0</v>
      </c>
    </row>
    <row r="196" spans="1:10">
      <c r="A196" s="2"/>
      <c r="E196" t="e">
        <f>VLOOKUP(TablaMarimba[[#This Row],[Equipo]],Catalogos!$I$4:$J$34,2,FALSE)</f>
        <v>#N/A</v>
      </c>
      <c r="F196" s="3"/>
      <c r="G196" s="3"/>
      <c r="H196" s="3">
        <f t="shared" si="10"/>
        <v>-3075</v>
      </c>
      <c r="I196" s="4">
        <v>28.3</v>
      </c>
      <c r="J196" s="4">
        <f t="shared" si="11"/>
        <v>0</v>
      </c>
    </row>
    <row r="197" spans="1:10">
      <c r="A197" s="2"/>
      <c r="E197" t="e">
        <f>VLOOKUP(TablaMarimba[[#This Row],[Equipo]],Catalogos!$I$4:$J$34,2,FALSE)</f>
        <v>#N/A</v>
      </c>
      <c r="F197" s="3"/>
      <c r="G197" s="3"/>
      <c r="H197" s="3">
        <f t="shared" ref="H197:H204" si="12">IF(ROW()=5,F197-G197,H196+F197-G197)</f>
        <v>-3075</v>
      </c>
      <c r="I197" s="4">
        <v>28.3</v>
      </c>
      <c r="J197" s="4">
        <f t="shared" ref="J197:J204" si="13">IFERROR((F197+G197)*I197,0)</f>
        <v>0</v>
      </c>
    </row>
    <row r="198" spans="1:10">
      <c r="A198" s="2"/>
      <c r="E198" t="e">
        <f>VLOOKUP(TablaMarimba[[#This Row],[Equipo]],Catalogos!$I$4:$J$34,2,FALSE)</f>
        <v>#N/A</v>
      </c>
      <c r="F198" s="3"/>
      <c r="G198" s="3"/>
      <c r="H198" s="3">
        <f t="shared" si="12"/>
        <v>-3075</v>
      </c>
      <c r="I198" s="4">
        <v>28.3</v>
      </c>
      <c r="J198" s="4">
        <f t="shared" si="13"/>
        <v>0</v>
      </c>
    </row>
    <row r="199" spans="1:10">
      <c r="A199" s="2"/>
      <c r="E199" t="e">
        <f>VLOOKUP(TablaMarimba[[#This Row],[Equipo]],Catalogos!$I$4:$J$34,2,FALSE)</f>
        <v>#N/A</v>
      </c>
      <c r="F199" s="3"/>
      <c r="G199" s="3"/>
      <c r="H199" s="3">
        <f t="shared" si="12"/>
        <v>-3075</v>
      </c>
      <c r="I199" s="4">
        <v>28.3</v>
      </c>
      <c r="J199" s="4">
        <f t="shared" si="13"/>
        <v>0</v>
      </c>
    </row>
    <row r="200" spans="1:10">
      <c r="A200" s="2"/>
      <c r="E200" t="e">
        <f>VLOOKUP(TablaMarimba[[#This Row],[Equipo]],Catalogos!$I$4:$J$34,2,FALSE)</f>
        <v>#N/A</v>
      </c>
      <c r="F200" s="3"/>
      <c r="G200" s="3"/>
      <c r="H200" s="3">
        <f t="shared" si="12"/>
        <v>-3075</v>
      </c>
      <c r="I200" s="4">
        <v>28.3</v>
      </c>
      <c r="J200" s="4">
        <f t="shared" si="13"/>
        <v>0</v>
      </c>
    </row>
    <row r="201" spans="1:10">
      <c r="A201" s="2"/>
      <c r="E201" t="e">
        <f>VLOOKUP(TablaMarimba[[#This Row],[Equipo]],Catalogos!$I$4:$J$34,2,FALSE)</f>
        <v>#N/A</v>
      </c>
      <c r="F201" s="3"/>
      <c r="G201" s="3"/>
      <c r="H201" s="3">
        <f t="shared" si="12"/>
        <v>-3075</v>
      </c>
      <c r="I201" s="4">
        <v>28.3</v>
      </c>
      <c r="J201" s="4">
        <f t="shared" si="13"/>
        <v>0</v>
      </c>
    </row>
    <row r="202" spans="1:10">
      <c r="A202" s="2"/>
      <c r="E202" t="e">
        <f>VLOOKUP(TablaMarimba[[#This Row],[Equipo]],Catalogos!$I$4:$J$34,2,FALSE)</f>
        <v>#N/A</v>
      </c>
      <c r="F202" s="3"/>
      <c r="G202" s="3"/>
      <c r="H202" s="3">
        <f t="shared" si="12"/>
        <v>-3075</v>
      </c>
      <c r="I202" s="4">
        <v>28.3</v>
      </c>
      <c r="J202" s="4">
        <f t="shared" si="13"/>
        <v>0</v>
      </c>
    </row>
    <row r="203" spans="1:10">
      <c r="A203" s="2"/>
      <c r="E203" t="e">
        <f>VLOOKUP(TablaMarimba[[#This Row],[Equipo]],Catalogos!$I$4:$J$34,2,FALSE)</f>
        <v>#N/A</v>
      </c>
      <c r="F203" s="3"/>
      <c r="G203" s="3"/>
      <c r="H203" s="3">
        <f t="shared" si="12"/>
        <v>-3075</v>
      </c>
      <c r="I203" s="4">
        <v>28.3</v>
      </c>
      <c r="J203" s="4">
        <f t="shared" si="13"/>
        <v>0</v>
      </c>
    </row>
    <row r="204" spans="1:10">
      <c r="A204" s="2"/>
      <c r="E204" t="e">
        <f>VLOOKUP(TablaMarimba[[#This Row],[Equipo]],Catalogos!$I$4:$J$34,2,FALSE)</f>
        <v>#N/A</v>
      </c>
      <c r="F204" s="3"/>
      <c r="G204" s="3"/>
      <c r="H204" s="3">
        <f t="shared" si="12"/>
        <v>-3075</v>
      </c>
      <c r="I204" s="4">
        <v>28.3</v>
      </c>
      <c r="J204" s="4">
        <f t="shared" si="13"/>
        <v>0</v>
      </c>
    </row>
  </sheetData>
  <mergeCells count="1">
    <mergeCell ref="A1:L1"/>
  </mergeCells>
  <dataValidations count="2">
    <dataValidation type="list" sqref="B5:B204" xr:uid="{00000000-0002-0000-0200-000000000000}">
      <formula1>"Entrada desde Pegaso,Salida a Obra,Ajuste"</formula1>
    </dataValidation>
    <dataValidation sqref="E5:E204" xr:uid="{00000000-0002-0000-0200-000002000000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200-000001000000}">
          <x14:formula1>
            <xm:f>Catalogos!$B$4:$B$7</xm:f>
          </x14:formula1>
          <xm:sqref>C5:C204</xm:sqref>
        </x14:dataValidation>
        <x14:dataValidation type="list" allowBlank="1" showInputMessage="1" showErrorMessage="1" xr:uid="{3E6D9B6D-EF91-479C-AFA6-53D2BE2844F1}">
          <x14:formula1>
            <xm:f>Catalogos!$I$4:$I$34</xm:f>
          </x14:formula1>
          <xm:sqref>D5:D204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1EB62-CA52-438F-916E-51DDA6085DD1}">
  <dimension ref="A1:K306"/>
  <sheetViews>
    <sheetView workbookViewId="0">
      <selection activeCell="A4" sqref="A4:K4"/>
    </sheetView>
  </sheetViews>
  <sheetFormatPr baseColWidth="10" defaultColWidth="8.796875" defaultRowHeight="13.8"/>
  <cols>
    <col min="1" max="1" width="13" customWidth="1"/>
    <col min="2" max="2" width="20" customWidth="1"/>
    <col min="3" max="3" width="17" customWidth="1"/>
    <col min="4" max="4" width="22" customWidth="1"/>
    <col min="5" max="6" width="14" customWidth="1"/>
    <col min="7" max="7" width="12" customWidth="1"/>
    <col min="8" max="8" width="14" customWidth="1"/>
    <col min="9" max="9" width="25" customWidth="1"/>
    <col min="10" max="10" width="16" customWidth="1"/>
    <col min="11" max="11" width="30" customWidth="1"/>
  </cols>
  <sheetData>
    <row r="1" spans="1:11" ht="22.35" customHeight="1">
      <c r="A1" s="17" t="s">
        <v>159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>
      <c r="A2" t="s">
        <v>49</v>
      </c>
      <c r="C2" t="s">
        <v>23</v>
      </c>
      <c r="E2" t="s">
        <v>24</v>
      </c>
      <c r="G2" t="s">
        <v>50</v>
      </c>
      <c r="I2" t="s">
        <v>42</v>
      </c>
    </row>
    <row r="4" spans="1:11" ht="27.6">
      <c r="A4" s="1" t="s">
        <v>170</v>
      </c>
      <c r="B4" s="1" t="s">
        <v>3</v>
      </c>
      <c r="C4" s="1" t="s">
        <v>169</v>
      </c>
      <c r="D4" s="1" t="s">
        <v>45</v>
      </c>
      <c r="E4" s="1" t="s">
        <v>46</v>
      </c>
      <c r="F4" s="1" t="s">
        <v>162</v>
      </c>
      <c r="G4" s="1" t="s">
        <v>35</v>
      </c>
      <c r="H4" s="1" t="s">
        <v>36</v>
      </c>
      <c r="I4" s="1" t="s">
        <v>203</v>
      </c>
      <c r="J4" s="1" t="s">
        <v>54</v>
      </c>
      <c r="K4" s="1" t="s">
        <v>37</v>
      </c>
    </row>
    <row r="5" spans="1:11">
      <c r="A5" s="2">
        <v>46180</v>
      </c>
      <c r="B5" t="s">
        <v>6</v>
      </c>
      <c r="C5" s="2">
        <v>46181</v>
      </c>
      <c r="D5" t="s">
        <v>160</v>
      </c>
      <c r="E5" t="str">
        <f>VLOOKUP(TablaObra5[[#This Row],[Equipo]],Catalogos!$I$3:$J$34,2,FALSE)</f>
        <v>VG-01</v>
      </c>
      <c r="F5" s="3">
        <v>200</v>
      </c>
      <c r="G5" s="4">
        <v>28.3</v>
      </c>
      <c r="H5" s="4">
        <f t="shared" ref="H5:H70" si="0">IFERROR(F5*G5,0)</f>
        <v>5660</v>
      </c>
      <c r="I5" t="str">
        <f>VLOOKUP(TablaObra5[[#This Row],[Obra]],Catalogos!$B$3:$C$8,2,FALSE)</f>
        <v>Samuel Ortega</v>
      </c>
    </row>
    <row r="6" spans="1:11">
      <c r="A6" s="2">
        <v>46180</v>
      </c>
      <c r="B6" t="s">
        <v>6</v>
      </c>
      <c r="C6" s="2">
        <v>46181</v>
      </c>
      <c r="D6" t="s">
        <v>164</v>
      </c>
      <c r="E6" t="str">
        <f>VLOOKUP(TablaObra5[[#This Row],[Equipo]],Catalogos!$I$3:$J$34,2,FALSE)</f>
        <v>PR-01</v>
      </c>
      <c r="F6" s="3">
        <v>300</v>
      </c>
      <c r="G6" s="4">
        <v>28.3</v>
      </c>
      <c r="H6" s="4">
        <f t="shared" si="0"/>
        <v>8490</v>
      </c>
      <c r="I6" t="str">
        <f>VLOOKUP(TablaObra5[[#This Row],[Obra]],Catalogos!$B$3:$C$8,2,FALSE)</f>
        <v>Samuel Ortega</v>
      </c>
    </row>
    <row r="7" spans="1:11">
      <c r="A7" s="2">
        <v>46180</v>
      </c>
      <c r="B7" t="s">
        <v>6</v>
      </c>
      <c r="C7" s="2">
        <v>46181</v>
      </c>
      <c r="D7" t="s">
        <v>95</v>
      </c>
      <c r="E7" t="str">
        <f>VLOOKUP(TablaObra5[[#This Row],[Equipo]],Catalogos!$I$3:$J$34,2,FALSE)</f>
        <v>RT-01</v>
      </c>
      <c r="F7" s="3">
        <v>30</v>
      </c>
      <c r="G7" s="4">
        <v>28.3</v>
      </c>
      <c r="H7" s="4">
        <f t="shared" si="0"/>
        <v>849</v>
      </c>
      <c r="I7" t="str">
        <f>VLOOKUP(TablaObra5[[#This Row],[Obra]],Catalogos!$B$3:$C$8,2,FALSE)</f>
        <v>Samuel Ortega</v>
      </c>
    </row>
    <row r="8" spans="1:11">
      <c r="A8" s="2">
        <v>46180</v>
      </c>
      <c r="B8" t="s">
        <v>6</v>
      </c>
      <c r="C8" s="2">
        <v>46181</v>
      </c>
      <c r="D8" t="s">
        <v>165</v>
      </c>
      <c r="E8" t="str">
        <f>VLOOKUP(TablaObra5[[#This Row],[Equipo]],Catalogos!$I$3:$J$34,2,FALSE)</f>
        <v>BR-01</v>
      </c>
      <c r="F8" s="3">
        <v>20</v>
      </c>
      <c r="G8" s="4">
        <v>28.3</v>
      </c>
      <c r="H8" s="4">
        <f t="shared" si="0"/>
        <v>566</v>
      </c>
      <c r="I8" t="str">
        <f>VLOOKUP(TablaObra5[[#This Row],[Obra]],Catalogos!$B$3:$C$8,2,FALSE)</f>
        <v>Samuel Ortega</v>
      </c>
    </row>
    <row r="9" spans="1:11">
      <c r="A9" s="2">
        <v>46180</v>
      </c>
      <c r="B9" t="s">
        <v>6</v>
      </c>
      <c r="C9" s="2">
        <v>46181</v>
      </c>
      <c r="D9" t="s">
        <v>181</v>
      </c>
      <c r="E9" t="str">
        <f>VLOOKUP(TablaObra5[[#This Row],[Equipo]],Catalogos!$I$3:$J$34,2,FALSE)</f>
        <v>NM-01</v>
      </c>
      <c r="F9" s="3">
        <v>30</v>
      </c>
      <c r="G9" s="4">
        <v>28.3</v>
      </c>
      <c r="H9" s="4">
        <f t="shared" si="0"/>
        <v>849</v>
      </c>
      <c r="I9" t="str">
        <f>VLOOKUP(TablaObra5[[#This Row],[Obra]],Catalogos!$B$3:$C$8,2,FALSE)</f>
        <v>Samuel Ortega</v>
      </c>
    </row>
    <row r="10" spans="1:11">
      <c r="A10" s="2">
        <v>46180</v>
      </c>
      <c r="B10" t="s">
        <v>6</v>
      </c>
      <c r="C10" s="2">
        <v>46181</v>
      </c>
      <c r="D10" t="s">
        <v>86</v>
      </c>
      <c r="E10" t="str">
        <f>VLOOKUP(TablaObra5[[#This Row],[Equipo]],Catalogos!$I$3:$J$34,2,FALSE)</f>
        <v>CP-01</v>
      </c>
      <c r="F10" s="3">
        <v>30</v>
      </c>
      <c r="G10" s="4">
        <v>28.3</v>
      </c>
      <c r="H10" s="4">
        <f t="shared" si="0"/>
        <v>849</v>
      </c>
      <c r="I10" t="str">
        <f>VLOOKUP(TablaObra5[[#This Row],[Obra]],Catalogos!$B$3:$C$8,2,FALSE)</f>
        <v>Samuel Ortega</v>
      </c>
    </row>
    <row r="11" spans="1:11">
      <c r="A11" s="2">
        <v>46180</v>
      </c>
      <c r="B11" t="s">
        <v>6</v>
      </c>
      <c r="C11" s="2">
        <v>46181</v>
      </c>
      <c r="D11" t="s">
        <v>198</v>
      </c>
      <c r="E11" t="str">
        <f>VLOOKUP(TablaObra5[[#This Row],[Equipo]],Catalogos!$I$3:$J$34,2,FALSE)</f>
        <v>LP-01</v>
      </c>
      <c r="F11" s="3">
        <v>30</v>
      </c>
      <c r="G11" s="4">
        <v>28.3</v>
      </c>
      <c r="H11" s="4">
        <f t="shared" si="0"/>
        <v>849</v>
      </c>
      <c r="I11" t="str">
        <f>VLOOKUP(TablaObra5[[#This Row],[Obra]],Catalogos!$B$3:$C$8,2,FALSE)</f>
        <v>Samuel Ortega</v>
      </c>
    </row>
    <row r="12" spans="1:11">
      <c r="A12" s="2">
        <v>46180</v>
      </c>
      <c r="B12" t="s">
        <v>8</v>
      </c>
      <c r="C12" s="2">
        <v>46181</v>
      </c>
      <c r="D12" t="s">
        <v>95</v>
      </c>
      <c r="E12" t="str">
        <f>VLOOKUP(TablaObra5[[#This Row],[Equipo]],Catalogos!$I$3:$J$34,2,FALSE)</f>
        <v>RT-01</v>
      </c>
      <c r="F12" s="3">
        <v>50</v>
      </c>
      <c r="G12" s="4">
        <v>28.3</v>
      </c>
      <c r="H12" s="4">
        <f t="shared" si="0"/>
        <v>1415</v>
      </c>
      <c r="I12" t="str">
        <f>VLOOKUP(TablaObra5[[#This Row],[Obra]],Catalogos!$B$3:$C$8,2,FALSE)</f>
        <v>Apolinar</v>
      </c>
    </row>
    <row r="13" spans="1:11">
      <c r="A13" s="2">
        <v>46180</v>
      </c>
      <c r="B13" t="s">
        <v>8</v>
      </c>
      <c r="C13" s="2">
        <v>46181</v>
      </c>
      <c r="D13" t="s">
        <v>181</v>
      </c>
      <c r="E13" t="str">
        <f>VLOOKUP(TablaObra5[[#This Row],[Equipo]],Catalogos!$I$3:$J$34,2,FALSE)</f>
        <v>NM-01</v>
      </c>
      <c r="F13" s="3">
        <v>50</v>
      </c>
      <c r="G13" s="4">
        <v>28.3</v>
      </c>
      <c r="H13" s="4">
        <f t="shared" si="0"/>
        <v>1415</v>
      </c>
      <c r="I13" t="str">
        <f>VLOOKUP(TablaObra5[[#This Row],[Obra]],Catalogos!$B$3:$C$8,2,FALSE)</f>
        <v>Apolinar</v>
      </c>
    </row>
    <row r="14" spans="1:11">
      <c r="A14" s="2">
        <v>46180</v>
      </c>
      <c r="B14" t="s">
        <v>8</v>
      </c>
      <c r="C14" s="2">
        <v>46181</v>
      </c>
      <c r="D14" t="s">
        <v>100</v>
      </c>
      <c r="E14" t="str">
        <f>VLOOKUP(TablaObra5[[#This Row],[Equipo]],Catalogos!$I$3:$J$34,2,FALSE)</f>
        <v>PT-01</v>
      </c>
      <c r="F14" s="3">
        <v>60</v>
      </c>
      <c r="G14" s="4">
        <v>28.3</v>
      </c>
      <c r="H14" s="4">
        <f t="shared" si="0"/>
        <v>1698</v>
      </c>
      <c r="I14" t="str">
        <f>VLOOKUP(TablaObra5[[#This Row],[Obra]],Catalogos!$B$3:$C$8,2,FALSE)</f>
        <v>Apolinar</v>
      </c>
    </row>
    <row r="15" spans="1:11">
      <c r="A15" s="2">
        <v>46181</v>
      </c>
      <c r="B15" t="s">
        <v>210</v>
      </c>
      <c r="C15" s="2"/>
      <c r="D15" t="s">
        <v>95</v>
      </c>
      <c r="E15" t="str">
        <f>VLOOKUP(TablaObra5[[#This Row],[Equipo]],Catalogos!$I$3:$J$34,2,FALSE)</f>
        <v>RT-01</v>
      </c>
      <c r="F15" s="3">
        <v>100</v>
      </c>
      <c r="G15" s="4">
        <v>28.3</v>
      </c>
      <c r="H15" s="4">
        <f>IFERROR(F15*G15,0)</f>
        <v>2830</v>
      </c>
      <c r="I15" t="str">
        <f>VLOOKUP(TablaObra5[[#This Row],[Obra]],Catalogos!$B$3:$C$8,2,FALSE)</f>
        <v>Diego Carreola</v>
      </c>
    </row>
    <row r="16" spans="1:11">
      <c r="A16" s="2">
        <v>46181</v>
      </c>
      <c r="B16" t="s">
        <v>10</v>
      </c>
      <c r="C16" s="2">
        <v>46181</v>
      </c>
      <c r="D16" t="s">
        <v>171</v>
      </c>
      <c r="E16" t="str">
        <f>VLOOKUP(TablaObra5[[#This Row],[Equipo]],Catalogos!$I$3:$J$34,2,FALSE)</f>
        <v>PR-02</v>
      </c>
      <c r="F16" s="3">
        <v>250</v>
      </c>
      <c r="G16" s="4">
        <v>28.3</v>
      </c>
      <c r="H16" s="4">
        <f t="shared" si="0"/>
        <v>7075</v>
      </c>
      <c r="I16" t="str">
        <f>VLOOKUP(TablaObra5[[#This Row],[Obra]],Catalogos!$B$3:$C$8,2,FALSE)</f>
        <v>Francisco Javier</v>
      </c>
    </row>
    <row r="17" spans="1:9">
      <c r="A17" s="2">
        <v>46181</v>
      </c>
      <c r="B17" t="s">
        <v>10</v>
      </c>
      <c r="C17" s="2">
        <v>46181</v>
      </c>
      <c r="D17" t="s">
        <v>173</v>
      </c>
      <c r="E17" t="str">
        <f>VLOOKUP(TablaObra5[[#This Row],[Equipo]],Catalogos!$I$3:$J$34,2,FALSE)</f>
        <v>PR-03</v>
      </c>
      <c r="F17" s="3">
        <v>150</v>
      </c>
      <c r="G17" s="4">
        <v>28.3</v>
      </c>
      <c r="H17" s="4">
        <f t="shared" si="0"/>
        <v>4245</v>
      </c>
      <c r="I17" t="str">
        <f>VLOOKUP(TablaObra5[[#This Row],[Obra]],Catalogos!$B$3:$C$8,2,FALSE)</f>
        <v>Francisco Javier</v>
      </c>
    </row>
    <row r="18" spans="1:9">
      <c r="A18" s="2">
        <v>46181</v>
      </c>
      <c r="B18" t="s">
        <v>10</v>
      </c>
      <c r="C18" s="2">
        <v>46181</v>
      </c>
      <c r="D18" t="s">
        <v>175</v>
      </c>
      <c r="E18" t="str">
        <f>VLOOKUP(TablaObra5[[#This Row],[Equipo]],Catalogos!$I$3:$J$34,2,FALSE)</f>
        <v>BR-02</v>
      </c>
      <c r="F18" s="3">
        <v>40</v>
      </c>
      <c r="G18" s="4">
        <v>28.3</v>
      </c>
      <c r="H18" s="4">
        <f t="shared" si="0"/>
        <v>1132</v>
      </c>
      <c r="I18" t="str">
        <f>VLOOKUP(TablaObra5[[#This Row],[Obra]],Catalogos!$B$3:$C$8,2,FALSE)</f>
        <v>Francisco Javier</v>
      </c>
    </row>
    <row r="19" spans="1:9">
      <c r="A19" s="2">
        <v>46181</v>
      </c>
      <c r="B19" t="s">
        <v>10</v>
      </c>
      <c r="C19" s="2">
        <v>46181</v>
      </c>
      <c r="D19" t="s">
        <v>177</v>
      </c>
      <c r="E19" t="str">
        <f>VLOOKUP(TablaObra5[[#This Row],[Equipo]],Catalogos!$I$3:$J$34,2,FALSE)</f>
        <v>RT-02</v>
      </c>
      <c r="F19" s="3">
        <v>60</v>
      </c>
      <c r="G19" s="4">
        <v>28.3</v>
      </c>
      <c r="H19" s="4">
        <f t="shared" si="0"/>
        <v>1698</v>
      </c>
      <c r="I19" t="str">
        <f>VLOOKUP(TablaObra5[[#This Row],[Obra]],Catalogos!$B$3:$C$8,2,FALSE)</f>
        <v>Francisco Javier</v>
      </c>
    </row>
    <row r="20" spans="1:9">
      <c r="A20" s="2">
        <v>46181</v>
      </c>
      <c r="B20" t="s">
        <v>10</v>
      </c>
      <c r="C20" s="2">
        <v>46181</v>
      </c>
      <c r="D20" t="s">
        <v>179</v>
      </c>
      <c r="E20" t="str">
        <f>VLOOKUP(TablaObra5[[#This Row],[Equipo]],Catalogos!$I$3:$J$34,2,FALSE)</f>
        <v>BG-01</v>
      </c>
      <c r="F20" s="3">
        <v>100</v>
      </c>
      <c r="G20" s="4">
        <v>28.3</v>
      </c>
      <c r="H20" s="4">
        <f t="shared" si="0"/>
        <v>2830</v>
      </c>
      <c r="I20" t="str">
        <f>VLOOKUP(TablaObra5[[#This Row],[Obra]],Catalogos!$B$3:$C$8,2,FALSE)</f>
        <v>Francisco Javier</v>
      </c>
    </row>
    <row r="21" spans="1:9">
      <c r="A21" s="2">
        <v>46181</v>
      </c>
      <c r="B21" t="s">
        <v>10</v>
      </c>
      <c r="C21" s="2">
        <v>46181</v>
      </c>
      <c r="D21" t="s">
        <v>182</v>
      </c>
      <c r="E21" t="str">
        <f>VLOOKUP(TablaObra5[[#This Row],[Equipo]],Catalogos!$I$3:$J$34,2,FALSE)</f>
        <v>VG-02</v>
      </c>
      <c r="F21" s="3">
        <v>100</v>
      </c>
      <c r="G21" s="4">
        <v>28.3</v>
      </c>
      <c r="H21" s="4">
        <f t="shared" si="0"/>
        <v>2830</v>
      </c>
      <c r="I21" t="str">
        <f>VLOOKUP(TablaObra5[[#This Row],[Obra]],Catalogos!$B$3:$C$8,2,FALSE)</f>
        <v>Francisco Javier</v>
      </c>
    </row>
    <row r="22" spans="1:9">
      <c r="A22" s="2">
        <v>46181</v>
      </c>
      <c r="B22" t="s">
        <v>10</v>
      </c>
      <c r="C22" s="2">
        <v>46181</v>
      </c>
      <c r="D22" t="s">
        <v>198</v>
      </c>
      <c r="E22" t="str">
        <f>VLOOKUP(TablaObra5[[#This Row],[Equipo]],Catalogos!$I$3:$J$34,2,FALSE)</f>
        <v>LP-01</v>
      </c>
      <c r="F22" s="3">
        <v>20</v>
      </c>
      <c r="G22" s="4">
        <v>28.3</v>
      </c>
      <c r="H22" s="4">
        <f t="shared" si="0"/>
        <v>566</v>
      </c>
      <c r="I22" t="str">
        <f>VLOOKUP(TablaObra5[[#This Row],[Obra]],Catalogos!$B$3:$C$8,2,FALSE)</f>
        <v>Francisco Javier</v>
      </c>
    </row>
    <row r="23" spans="1:9">
      <c r="A23" s="2">
        <v>46181</v>
      </c>
      <c r="B23" t="s">
        <v>10</v>
      </c>
      <c r="C23" s="2">
        <v>46181</v>
      </c>
      <c r="D23" t="s">
        <v>184</v>
      </c>
      <c r="E23" t="str">
        <f>VLOOKUP(TablaObra5[[#This Row],[Equipo]],Catalogos!$I$3:$J$34,2,FALSE)</f>
        <v>TD-01</v>
      </c>
      <c r="F23" s="3">
        <v>50</v>
      </c>
      <c r="G23" s="4">
        <v>28.3</v>
      </c>
      <c r="H23" s="4">
        <f t="shared" si="0"/>
        <v>1415</v>
      </c>
      <c r="I23" t="str">
        <f>VLOOKUP(TablaObra5[[#This Row],[Obra]],Catalogos!$B$3:$C$8,2,FALSE)</f>
        <v>Francisco Javier</v>
      </c>
    </row>
    <row r="24" spans="1:9">
      <c r="A24" s="2">
        <v>46181</v>
      </c>
      <c r="B24" t="s">
        <v>10</v>
      </c>
      <c r="C24" s="2">
        <v>46181</v>
      </c>
      <c r="D24" t="s">
        <v>186</v>
      </c>
      <c r="E24" t="str">
        <f>VLOOKUP(TablaObra5[[#This Row],[Equipo]],Catalogos!$I$3:$J$34,2,FALSE)</f>
        <v>NM-02</v>
      </c>
      <c r="F24" s="3">
        <v>50</v>
      </c>
      <c r="G24" s="4">
        <v>28.3</v>
      </c>
      <c r="H24" s="4">
        <f t="shared" si="0"/>
        <v>1415</v>
      </c>
      <c r="I24" t="str">
        <f>VLOOKUP(TablaObra5[[#This Row],[Obra]],Catalogos!$B$3:$C$8,2,FALSE)</f>
        <v>Francisco Javier</v>
      </c>
    </row>
    <row r="25" spans="1:9">
      <c r="A25" s="2">
        <v>46181</v>
      </c>
      <c r="B25" t="s">
        <v>10</v>
      </c>
      <c r="C25" s="2">
        <v>46181</v>
      </c>
      <c r="D25" t="s">
        <v>188</v>
      </c>
      <c r="E25" t="str">
        <f>VLOOKUP(TablaObra5[[#This Row],[Equipo]],Catalogos!$I$3:$J$34,2,FALSE)</f>
        <v>PT-02</v>
      </c>
      <c r="F25" s="3">
        <v>50</v>
      </c>
      <c r="G25" s="4">
        <v>28.3</v>
      </c>
      <c r="H25" s="4">
        <f t="shared" si="0"/>
        <v>1415</v>
      </c>
      <c r="I25" t="str">
        <f>VLOOKUP(TablaObra5[[#This Row],[Obra]],Catalogos!$B$3:$C$8,2,FALSE)</f>
        <v>Francisco Javier</v>
      </c>
    </row>
    <row r="26" spans="1:9">
      <c r="A26" s="2">
        <v>46181</v>
      </c>
      <c r="B26" t="s">
        <v>10</v>
      </c>
      <c r="C26" s="2">
        <v>46181</v>
      </c>
      <c r="D26" t="s">
        <v>190</v>
      </c>
      <c r="E26" t="str">
        <f>VLOOKUP(TablaObra5[[#This Row],[Equipo]],Catalogos!$I$3:$J$34,2,FALSE)</f>
        <v>CI-01</v>
      </c>
      <c r="F26" s="3">
        <v>20</v>
      </c>
      <c r="G26" s="4">
        <v>28.3</v>
      </c>
      <c r="H26" s="4">
        <f t="shared" si="0"/>
        <v>566</v>
      </c>
      <c r="I26" t="str">
        <f>VLOOKUP(TablaObra5[[#This Row],[Obra]],Catalogos!$B$3:$C$8,2,FALSE)</f>
        <v>Francisco Javier</v>
      </c>
    </row>
    <row r="27" spans="1:9">
      <c r="A27" s="2">
        <v>46181</v>
      </c>
      <c r="B27" t="s">
        <v>10</v>
      </c>
      <c r="C27" s="2">
        <v>46181</v>
      </c>
      <c r="D27" t="s">
        <v>192</v>
      </c>
      <c r="E27" t="str">
        <f>VLOOKUP(TablaObra5[[#This Row],[Equipo]],Catalogos!$I$3:$J$34,2,FALSE)</f>
        <v>MX-01</v>
      </c>
      <c r="F27" s="3">
        <v>50</v>
      </c>
      <c r="G27" s="4">
        <v>28.3</v>
      </c>
      <c r="H27" s="4">
        <f t="shared" si="0"/>
        <v>1415</v>
      </c>
      <c r="I27" t="str">
        <f>VLOOKUP(TablaObra5[[#This Row],[Obra]],Catalogos!$B$3:$C$8,2,FALSE)</f>
        <v>Francisco Javier</v>
      </c>
    </row>
    <row r="28" spans="1:9">
      <c r="A28" s="2">
        <v>46181</v>
      </c>
      <c r="B28" t="s">
        <v>10</v>
      </c>
      <c r="C28" s="2">
        <v>46181</v>
      </c>
      <c r="D28" t="s">
        <v>194</v>
      </c>
      <c r="E28" t="str">
        <f>VLOOKUP(TablaObra5[[#This Row],[Equipo]],Catalogos!$I$3:$J$34,2,FALSE)</f>
        <v>CPR-01</v>
      </c>
      <c r="F28" s="3">
        <v>40</v>
      </c>
      <c r="G28" s="4">
        <v>28.3</v>
      </c>
      <c r="H28" s="4">
        <f t="shared" si="0"/>
        <v>1132</v>
      </c>
      <c r="I28" t="str">
        <f>VLOOKUP(TablaObra5[[#This Row],[Obra]],Catalogos!$B$3:$C$8,2,FALSE)</f>
        <v>Francisco Javier</v>
      </c>
    </row>
    <row r="29" spans="1:9">
      <c r="A29" s="2">
        <v>46181</v>
      </c>
      <c r="B29" t="s">
        <v>10</v>
      </c>
      <c r="C29" s="2">
        <v>46181</v>
      </c>
      <c r="D29" t="s">
        <v>196</v>
      </c>
      <c r="E29" t="str">
        <f>VLOOKUP(TablaObra5[[#This Row],[Equipo]],Catalogos!$I$3:$J$34,2,FALSE)</f>
        <v>RS-01</v>
      </c>
      <c r="F29" s="3">
        <v>10</v>
      </c>
      <c r="G29" s="4">
        <v>28.3</v>
      </c>
      <c r="H29" s="4">
        <f t="shared" si="0"/>
        <v>283</v>
      </c>
      <c r="I29" t="str">
        <f>VLOOKUP(TablaObra5[[#This Row],[Obra]],Catalogos!$B$3:$C$8,2,FALSE)</f>
        <v>Francisco Javier</v>
      </c>
    </row>
    <row r="30" spans="1:9">
      <c r="A30" s="2">
        <v>46182</v>
      </c>
      <c r="B30" t="s">
        <v>10</v>
      </c>
      <c r="C30" s="2">
        <v>46182</v>
      </c>
      <c r="D30" t="s">
        <v>171</v>
      </c>
      <c r="E30" t="str">
        <f>VLOOKUP(TablaObra5[[#This Row],[Equipo]],Catalogos!$I$3:$J$34,2,FALSE)</f>
        <v>PR-02</v>
      </c>
      <c r="F30" s="3">
        <v>250</v>
      </c>
      <c r="G30" s="4">
        <v>28.3</v>
      </c>
      <c r="H30" s="4">
        <f t="shared" si="0"/>
        <v>7075</v>
      </c>
      <c r="I30" t="str">
        <f>VLOOKUP(TablaObra5[[#This Row],[Obra]],Catalogos!$B$3:$C$8,2,FALSE)</f>
        <v>Francisco Javier</v>
      </c>
    </row>
    <row r="31" spans="1:9">
      <c r="A31" s="2">
        <v>46182</v>
      </c>
      <c r="B31" t="s">
        <v>10</v>
      </c>
      <c r="C31" s="2">
        <v>46182</v>
      </c>
      <c r="D31" t="s">
        <v>175</v>
      </c>
      <c r="E31" t="str">
        <f>VLOOKUP(TablaObra5[[#This Row],[Equipo]],Catalogos!$I$3:$J$34,2,FALSE)</f>
        <v>BR-02</v>
      </c>
      <c r="F31" s="3">
        <v>40</v>
      </c>
      <c r="G31" s="4">
        <v>28.3</v>
      </c>
      <c r="H31" s="4">
        <f t="shared" si="0"/>
        <v>1132</v>
      </c>
      <c r="I31" t="str">
        <f>VLOOKUP(TablaObra5[[#This Row],[Obra]],Catalogos!$B$3:$C$8,2,FALSE)</f>
        <v>Francisco Javier</v>
      </c>
    </row>
    <row r="32" spans="1:9">
      <c r="A32" s="2">
        <v>46182</v>
      </c>
      <c r="B32" t="s">
        <v>10</v>
      </c>
      <c r="C32" s="2">
        <v>46182</v>
      </c>
      <c r="D32" t="s">
        <v>177</v>
      </c>
      <c r="E32" t="str">
        <f>VLOOKUP(TablaObra5[[#This Row],[Equipo]],Catalogos!$I$3:$J$34,2,FALSE)</f>
        <v>RT-02</v>
      </c>
      <c r="F32" s="3">
        <v>60</v>
      </c>
      <c r="G32" s="4">
        <v>28.3</v>
      </c>
      <c r="H32" s="4">
        <f t="shared" si="0"/>
        <v>1698</v>
      </c>
      <c r="I32" t="str">
        <f>VLOOKUP(TablaObra5[[#This Row],[Obra]],Catalogos!$B$3:$C$8,2,FALSE)</f>
        <v>Francisco Javier</v>
      </c>
    </row>
    <row r="33" spans="1:11">
      <c r="A33" s="2">
        <v>46182</v>
      </c>
      <c r="B33" t="s">
        <v>10</v>
      </c>
      <c r="C33" s="2">
        <v>46182</v>
      </c>
      <c r="D33" t="s">
        <v>179</v>
      </c>
      <c r="E33" t="str">
        <f>VLOOKUP(TablaObra5[[#This Row],[Equipo]],Catalogos!$I$3:$J$34,2,FALSE)</f>
        <v>BG-01</v>
      </c>
      <c r="F33" s="3">
        <v>100</v>
      </c>
      <c r="G33" s="4">
        <v>28.3</v>
      </c>
      <c r="H33" s="4">
        <f t="shared" si="0"/>
        <v>2830</v>
      </c>
      <c r="I33" t="str">
        <f>VLOOKUP(TablaObra5[[#This Row],[Obra]],Catalogos!$B$3:$C$8,2,FALSE)</f>
        <v>Francisco Javier</v>
      </c>
    </row>
    <row r="34" spans="1:11">
      <c r="A34" s="2">
        <v>46182</v>
      </c>
      <c r="B34" t="s">
        <v>10</v>
      </c>
      <c r="C34" s="2">
        <v>46182</v>
      </c>
      <c r="D34" t="s">
        <v>182</v>
      </c>
      <c r="E34" t="str">
        <f>VLOOKUP(TablaObra5[[#This Row],[Equipo]],Catalogos!$I$3:$J$34,2,FALSE)</f>
        <v>VG-02</v>
      </c>
      <c r="F34" s="3">
        <v>100</v>
      </c>
      <c r="G34" s="4">
        <v>28.3</v>
      </c>
      <c r="H34" s="4">
        <f t="shared" si="0"/>
        <v>2830</v>
      </c>
      <c r="I34" t="str">
        <f>VLOOKUP(TablaObra5[[#This Row],[Obra]],Catalogos!$B$3:$C$8,2,FALSE)</f>
        <v>Francisco Javier</v>
      </c>
    </row>
    <row r="35" spans="1:11">
      <c r="A35" s="2">
        <v>46182</v>
      </c>
      <c r="B35" t="s">
        <v>10</v>
      </c>
      <c r="C35" s="2">
        <v>46182</v>
      </c>
      <c r="D35" t="s">
        <v>198</v>
      </c>
      <c r="E35" t="str">
        <f>VLOOKUP(TablaObra5[[#This Row],[Equipo]],Catalogos!$I$3:$J$34,2,FALSE)</f>
        <v>LP-01</v>
      </c>
      <c r="F35" s="3">
        <v>20</v>
      </c>
      <c r="G35" s="4">
        <v>28.3</v>
      </c>
      <c r="H35" s="4">
        <f t="shared" si="0"/>
        <v>566</v>
      </c>
      <c r="I35" t="str">
        <f>VLOOKUP(TablaObra5[[#This Row],[Obra]],Catalogos!$B$3:$C$8,2,FALSE)</f>
        <v>Francisco Javier</v>
      </c>
    </row>
    <row r="36" spans="1:11">
      <c r="A36" s="2">
        <v>46182</v>
      </c>
      <c r="B36" t="s">
        <v>10</v>
      </c>
      <c r="C36" s="2">
        <v>46182</v>
      </c>
      <c r="D36" t="s">
        <v>184</v>
      </c>
      <c r="E36" t="str">
        <f>VLOOKUP(TablaObra5[[#This Row],[Equipo]],Catalogos!$I$3:$J$34,2,FALSE)</f>
        <v>TD-01</v>
      </c>
      <c r="F36" s="3">
        <v>50</v>
      </c>
      <c r="G36" s="4">
        <v>28.3</v>
      </c>
      <c r="H36" s="4">
        <f t="shared" si="0"/>
        <v>1415</v>
      </c>
      <c r="I36" t="str">
        <f>VLOOKUP(TablaObra5[[#This Row],[Obra]],Catalogos!$B$3:$C$8,2,FALSE)</f>
        <v>Francisco Javier</v>
      </c>
    </row>
    <row r="37" spans="1:11">
      <c r="A37" s="2">
        <v>46182</v>
      </c>
      <c r="B37" t="s">
        <v>10</v>
      </c>
      <c r="C37" s="2">
        <v>46182</v>
      </c>
      <c r="D37" t="s">
        <v>186</v>
      </c>
      <c r="E37" t="str">
        <f>VLOOKUP(TablaObra5[[#This Row],[Equipo]],Catalogos!$I$3:$J$34,2,FALSE)</f>
        <v>NM-02</v>
      </c>
      <c r="F37" s="3">
        <v>50</v>
      </c>
      <c r="G37" s="4">
        <v>28.3</v>
      </c>
      <c r="H37" s="4">
        <f t="shared" si="0"/>
        <v>1415</v>
      </c>
      <c r="I37" t="str">
        <f>VLOOKUP(TablaObra5[[#This Row],[Obra]],Catalogos!$B$3:$C$8,2,FALSE)</f>
        <v>Francisco Javier</v>
      </c>
    </row>
    <row r="38" spans="1:11">
      <c r="A38" s="2">
        <v>46182</v>
      </c>
      <c r="B38" t="s">
        <v>10</v>
      </c>
      <c r="C38" s="2">
        <v>46182</v>
      </c>
      <c r="D38" t="s">
        <v>188</v>
      </c>
      <c r="E38" t="str">
        <f>VLOOKUP(TablaObra5[[#This Row],[Equipo]],Catalogos!$I$3:$J$34,2,FALSE)</f>
        <v>PT-02</v>
      </c>
      <c r="F38" s="3">
        <v>50</v>
      </c>
      <c r="G38" s="4">
        <v>28.3</v>
      </c>
      <c r="H38" s="4">
        <f t="shared" si="0"/>
        <v>1415</v>
      </c>
      <c r="I38" t="str">
        <f>VLOOKUP(TablaObra5[[#This Row],[Obra]],Catalogos!$B$3:$C$8,2,FALSE)</f>
        <v>Francisco Javier</v>
      </c>
    </row>
    <row r="39" spans="1:11">
      <c r="A39" s="2">
        <v>46182</v>
      </c>
      <c r="B39" t="s">
        <v>10</v>
      </c>
      <c r="C39" s="2">
        <v>46182</v>
      </c>
      <c r="D39" t="s">
        <v>192</v>
      </c>
      <c r="E39" t="str">
        <f>VLOOKUP(TablaObra5[[#This Row],[Equipo]],Catalogos!$I$3:$J$34,2,FALSE)</f>
        <v>MX-01</v>
      </c>
      <c r="F39" s="3">
        <v>40</v>
      </c>
      <c r="G39" s="4">
        <v>28.3</v>
      </c>
      <c r="H39" s="4">
        <f t="shared" si="0"/>
        <v>1132</v>
      </c>
      <c r="I39" t="str">
        <f>VLOOKUP(TablaObra5[[#This Row],[Obra]],Catalogos!$B$3:$C$8,2,FALSE)</f>
        <v>Francisco Javier</v>
      </c>
    </row>
    <row r="40" spans="1:11">
      <c r="A40" s="2">
        <v>46182</v>
      </c>
      <c r="B40" t="s">
        <v>10</v>
      </c>
      <c r="C40" s="2">
        <v>46182</v>
      </c>
      <c r="D40" t="s">
        <v>194</v>
      </c>
      <c r="E40" t="str">
        <f>VLOOKUP(TablaObra5[[#This Row],[Equipo]],Catalogos!$I$3:$J$34,2,FALSE)</f>
        <v>CPR-01</v>
      </c>
      <c r="F40" s="3">
        <v>30</v>
      </c>
      <c r="G40" s="4">
        <v>28.3</v>
      </c>
      <c r="H40" s="4">
        <f t="shared" si="0"/>
        <v>849</v>
      </c>
      <c r="I40" t="str">
        <f>VLOOKUP(TablaObra5[[#This Row],[Obra]],Catalogos!$B$3:$C$8,2,FALSE)</f>
        <v>Francisco Javier</v>
      </c>
    </row>
    <row r="41" spans="1:11">
      <c r="A41" s="2">
        <v>46182</v>
      </c>
      <c r="B41" t="s">
        <v>8</v>
      </c>
      <c r="C41" s="2">
        <v>46182</v>
      </c>
      <c r="D41" t="s">
        <v>95</v>
      </c>
      <c r="E41" t="str">
        <f>VLOOKUP(TablaObra5[[#This Row],[Equipo]],Catalogos!$I$3:$J$34,2,FALSE)</f>
        <v>RT-01</v>
      </c>
      <c r="F41" s="3">
        <v>50</v>
      </c>
      <c r="G41" s="4">
        <v>28.3</v>
      </c>
      <c r="H41" s="4">
        <f t="shared" si="0"/>
        <v>1415</v>
      </c>
      <c r="I41" t="str">
        <f>VLOOKUP(TablaObra5[[#This Row],[Obra]],Catalogos!$B$3:$C$8,2,FALSE)</f>
        <v>Apolinar</v>
      </c>
      <c r="K41" t="s">
        <v>202</v>
      </c>
    </row>
    <row r="42" spans="1:11">
      <c r="A42" s="2">
        <v>46182</v>
      </c>
      <c r="B42" t="s">
        <v>8</v>
      </c>
      <c r="C42" s="2">
        <v>46182</v>
      </c>
      <c r="D42" t="s">
        <v>181</v>
      </c>
      <c r="E42" t="str">
        <f>VLOOKUP(TablaObra5[[#This Row],[Equipo]],Catalogos!$I$3:$J$34,2,FALSE)</f>
        <v>NM-01</v>
      </c>
      <c r="F42" s="3">
        <v>50</v>
      </c>
      <c r="G42" s="4">
        <v>28.3</v>
      </c>
      <c r="H42" s="4">
        <f t="shared" si="0"/>
        <v>1415</v>
      </c>
      <c r="I42" t="str">
        <f>VLOOKUP(TablaObra5[[#This Row],[Obra]],Catalogos!$B$3:$C$8,2,FALSE)</f>
        <v>Apolinar</v>
      </c>
    </row>
    <row r="43" spans="1:11">
      <c r="A43" s="2">
        <v>46182</v>
      </c>
      <c r="B43" t="s">
        <v>8</v>
      </c>
      <c r="C43" s="2">
        <v>46182</v>
      </c>
      <c r="D43" t="s">
        <v>100</v>
      </c>
      <c r="E43" t="str">
        <f>VLOOKUP(TablaObra5[[#This Row],[Equipo]],Catalogos!$I$3:$J$34,2,FALSE)</f>
        <v>PT-01</v>
      </c>
      <c r="F43" s="3">
        <v>60</v>
      </c>
      <c r="G43" s="4">
        <v>28.3</v>
      </c>
      <c r="H43" s="4">
        <f t="shared" si="0"/>
        <v>1698</v>
      </c>
      <c r="I43" t="str">
        <f>VLOOKUP(TablaObra5[[#This Row],[Obra]],Catalogos!$B$3:$C$8,2,FALSE)</f>
        <v>Apolinar</v>
      </c>
    </row>
    <row r="44" spans="1:11">
      <c r="A44" s="2">
        <v>46182</v>
      </c>
      <c r="B44" t="s">
        <v>8</v>
      </c>
      <c r="C44" s="2">
        <v>46182</v>
      </c>
      <c r="D44" t="s">
        <v>200</v>
      </c>
      <c r="E44" t="str">
        <f>VLOOKUP(TablaObra5[[#This Row],[Equipo]],Catalogos!$I$3:$J$34,2,FALSE)</f>
        <v>DR-01</v>
      </c>
      <c r="F44" s="3">
        <v>50</v>
      </c>
      <c r="G44" s="4">
        <v>28.3</v>
      </c>
      <c r="H44" s="4">
        <f t="shared" si="0"/>
        <v>1415</v>
      </c>
      <c r="I44" t="str">
        <f>VLOOKUP(TablaObra5[[#This Row],[Obra]],Catalogos!$B$3:$C$8,2,FALSE)</f>
        <v>Apolinar</v>
      </c>
    </row>
    <row r="45" spans="1:11">
      <c r="A45" s="2">
        <v>46182</v>
      </c>
      <c r="B45" t="s">
        <v>210</v>
      </c>
      <c r="C45" s="2"/>
      <c r="D45" t="s">
        <v>95</v>
      </c>
      <c r="E45" t="str">
        <f>VLOOKUP(TablaObra5[[#This Row],[Equipo]],Catalogos!$I$3:$J$34,2,FALSE)</f>
        <v>RT-01</v>
      </c>
      <c r="F45" s="3">
        <v>100</v>
      </c>
      <c r="G45" s="4">
        <v>28.3</v>
      </c>
      <c r="H45" s="4">
        <f>IFERROR(F45*G45,0)</f>
        <v>2830</v>
      </c>
      <c r="I45" t="str">
        <f>VLOOKUP(TablaObra5[[#This Row],[Obra]],Catalogos!$B$3:$C$8,2,FALSE)</f>
        <v>Diego Carreola</v>
      </c>
    </row>
    <row r="46" spans="1:11">
      <c r="A46" s="2">
        <v>46183</v>
      </c>
      <c r="B46" t="s">
        <v>6</v>
      </c>
      <c r="C46" s="2">
        <v>46183</v>
      </c>
      <c r="D46" t="s">
        <v>164</v>
      </c>
      <c r="E46" t="str">
        <f>VLOOKUP(TablaObra5[[#This Row],[Equipo]],Catalogos!$I$3:$J$34,2,FALSE)</f>
        <v>PR-01</v>
      </c>
      <c r="F46" s="3">
        <v>250</v>
      </c>
      <c r="G46" s="4">
        <v>28.3</v>
      </c>
      <c r="H46" s="4">
        <f t="shared" si="0"/>
        <v>7075</v>
      </c>
      <c r="I46" t="str">
        <f>VLOOKUP(TablaObra5[[#This Row],[Obra]],Catalogos!$B$3:$C$8,2,FALSE)</f>
        <v>Samuel Ortega</v>
      </c>
    </row>
    <row r="47" spans="1:11">
      <c r="A47" s="2">
        <v>46183</v>
      </c>
      <c r="B47" t="s">
        <v>6</v>
      </c>
      <c r="C47" s="2">
        <v>46183</v>
      </c>
      <c r="D47" t="s">
        <v>95</v>
      </c>
      <c r="E47" t="str">
        <f>VLOOKUP(TablaObra5[[#This Row],[Equipo]],Catalogos!$I$3:$J$34,2,FALSE)</f>
        <v>RT-01</v>
      </c>
      <c r="F47" s="3">
        <v>30</v>
      </c>
      <c r="G47" s="4">
        <v>28.3</v>
      </c>
      <c r="H47" s="4">
        <f t="shared" si="0"/>
        <v>849</v>
      </c>
      <c r="I47" t="str">
        <f>VLOOKUP(TablaObra5[[#This Row],[Obra]],Catalogos!$B$3:$C$8,2,FALSE)</f>
        <v>Samuel Ortega</v>
      </c>
    </row>
    <row r="48" spans="1:11">
      <c r="A48" s="2">
        <v>46183</v>
      </c>
      <c r="B48" t="s">
        <v>6</v>
      </c>
      <c r="C48" s="2">
        <v>46183</v>
      </c>
      <c r="D48" t="s">
        <v>165</v>
      </c>
      <c r="E48" t="str">
        <f>VLOOKUP(TablaObra5[[#This Row],[Equipo]],Catalogos!$I$3:$J$34,2,FALSE)</f>
        <v>BR-01</v>
      </c>
      <c r="F48" s="3">
        <v>20</v>
      </c>
      <c r="G48" s="4">
        <v>28.3</v>
      </c>
      <c r="H48" s="4">
        <f t="shared" si="0"/>
        <v>566</v>
      </c>
      <c r="I48" t="str">
        <f>VLOOKUP(TablaObra5[[#This Row],[Obra]],Catalogos!$B$3:$C$8,2,FALSE)</f>
        <v>Samuel Ortega</v>
      </c>
    </row>
    <row r="49" spans="1:11">
      <c r="A49" s="2">
        <v>46183</v>
      </c>
      <c r="B49" t="s">
        <v>6</v>
      </c>
      <c r="C49" s="2">
        <v>46183</v>
      </c>
      <c r="D49" t="s">
        <v>192</v>
      </c>
      <c r="E49" t="str">
        <f>VLOOKUP(TablaObra5[[#This Row],[Equipo]],Catalogos!$I$3:$J$34,2,FALSE)</f>
        <v>MX-01</v>
      </c>
      <c r="F49" s="3">
        <v>20</v>
      </c>
      <c r="G49" s="4">
        <v>28.3</v>
      </c>
      <c r="H49" s="4">
        <f t="shared" si="0"/>
        <v>566</v>
      </c>
      <c r="I49" t="str">
        <f>VLOOKUP(TablaObra5[[#This Row],[Obra]],Catalogos!$B$3:$C$8,2,FALSE)</f>
        <v>Samuel Ortega</v>
      </c>
    </row>
    <row r="50" spans="1:11">
      <c r="A50" s="2">
        <v>46184</v>
      </c>
      <c r="B50" t="s">
        <v>8</v>
      </c>
      <c r="C50" s="2">
        <v>46184</v>
      </c>
      <c r="D50" t="s">
        <v>100</v>
      </c>
      <c r="E50" t="str">
        <f>VLOOKUP(TablaObra5[[#This Row],[Equipo]],Catalogos!$I$3:$J$34,2,FALSE)</f>
        <v>PT-01</v>
      </c>
      <c r="F50" s="3">
        <v>80</v>
      </c>
      <c r="G50" s="4">
        <v>28.3</v>
      </c>
      <c r="H50" s="4">
        <f t="shared" si="0"/>
        <v>2264</v>
      </c>
      <c r="I50" t="str">
        <f>VLOOKUP(TablaObra5[[#This Row],[Obra]],Catalogos!$B$3:$C$8,2,FALSE)</f>
        <v>Apolinar</v>
      </c>
    </row>
    <row r="51" spans="1:11">
      <c r="A51" s="2">
        <v>46184</v>
      </c>
      <c r="B51" t="s">
        <v>8</v>
      </c>
      <c r="C51" s="2">
        <v>46184</v>
      </c>
      <c r="D51" t="s">
        <v>190</v>
      </c>
      <c r="E51" t="str">
        <f>VLOOKUP(TablaObra5[[#This Row],[Equipo]],Catalogos!$I$3:$J$34,2,FALSE)</f>
        <v>CI-01</v>
      </c>
      <c r="F51" s="3">
        <v>80</v>
      </c>
      <c r="G51" s="4">
        <v>28.3</v>
      </c>
      <c r="H51" s="4">
        <f t="shared" si="0"/>
        <v>2264</v>
      </c>
      <c r="I51" t="str">
        <f>VLOOKUP(TablaObra5[[#This Row],[Obra]],Catalogos!$B$3:$C$8,2,FALSE)</f>
        <v>Apolinar</v>
      </c>
    </row>
    <row r="52" spans="1:11">
      <c r="A52" s="2">
        <v>46184</v>
      </c>
      <c r="B52" t="s">
        <v>8</v>
      </c>
      <c r="C52" s="2">
        <v>46184</v>
      </c>
      <c r="D52" t="s">
        <v>95</v>
      </c>
      <c r="E52" t="str">
        <f>VLOOKUP(TablaObra5[[#This Row],[Equipo]],Catalogos!$I$3:$J$34,2,FALSE)</f>
        <v>RT-01</v>
      </c>
      <c r="F52" s="3">
        <v>70</v>
      </c>
      <c r="G52" s="4">
        <v>28.3</v>
      </c>
      <c r="H52" s="4">
        <f t="shared" si="0"/>
        <v>1981</v>
      </c>
      <c r="I52" t="str">
        <f>VLOOKUP(TablaObra5[[#This Row],[Obra]],Catalogos!$B$3:$C$8,2,FALSE)</f>
        <v>Apolinar</v>
      </c>
    </row>
    <row r="53" spans="1:11">
      <c r="A53" s="2">
        <v>46184</v>
      </c>
      <c r="B53" t="s">
        <v>8</v>
      </c>
      <c r="C53" s="2">
        <v>46184</v>
      </c>
      <c r="D53" t="s">
        <v>200</v>
      </c>
      <c r="E53" t="str">
        <f>VLOOKUP(TablaObra5[[#This Row],[Equipo]],Catalogos!$I$3:$J$34,2,FALSE)</f>
        <v>DR-01</v>
      </c>
      <c r="F53" s="3">
        <v>40</v>
      </c>
      <c r="G53" s="4">
        <v>28.3</v>
      </c>
      <c r="H53" s="4">
        <f t="shared" si="0"/>
        <v>1132</v>
      </c>
      <c r="I53" t="str">
        <f>VLOOKUP(TablaObra5[[#This Row],[Obra]],Catalogos!$B$3:$C$8,2,FALSE)</f>
        <v>Apolinar</v>
      </c>
    </row>
    <row r="54" spans="1:11">
      <c r="A54" s="2">
        <v>46184</v>
      </c>
      <c r="B54" t="s">
        <v>8</v>
      </c>
      <c r="C54" s="2">
        <v>46184</v>
      </c>
      <c r="D54" t="s">
        <v>160</v>
      </c>
      <c r="E54" t="str">
        <f>VLOOKUP(TablaObra5[[#This Row],[Equipo]],Catalogos!$I$3:$J$34,2,FALSE)</f>
        <v>VG-01</v>
      </c>
      <c r="F54" s="3">
        <v>150</v>
      </c>
      <c r="G54" s="4">
        <v>28.3</v>
      </c>
      <c r="H54" s="4">
        <f t="shared" si="0"/>
        <v>4245</v>
      </c>
      <c r="I54" t="str">
        <f>VLOOKUP(TablaObra5[[#This Row],[Obra]],Catalogos!$B$3:$C$8,2,FALSE)</f>
        <v>Apolinar</v>
      </c>
    </row>
    <row r="55" spans="1:11">
      <c r="A55" s="2">
        <v>46184</v>
      </c>
      <c r="B55" t="s">
        <v>8</v>
      </c>
      <c r="C55" s="2">
        <v>46184</v>
      </c>
      <c r="D55" t="s">
        <v>198</v>
      </c>
      <c r="E55" t="str">
        <f>VLOOKUP(TablaObra5[[#This Row],[Equipo]],Catalogos!$I$3:$J$34,2,FALSE)</f>
        <v>LP-01</v>
      </c>
      <c r="F55" s="3">
        <v>30</v>
      </c>
      <c r="G55" s="4">
        <v>28.3</v>
      </c>
      <c r="H55" s="4">
        <f t="shared" si="0"/>
        <v>849</v>
      </c>
      <c r="I55" t="str">
        <f>VLOOKUP(TablaObra5[[#This Row],[Obra]],Catalogos!$B$3:$C$8,2,FALSE)</f>
        <v>Apolinar</v>
      </c>
    </row>
    <row r="56" spans="1:11">
      <c r="A56" s="2">
        <v>46184</v>
      </c>
      <c r="B56" t="s">
        <v>8</v>
      </c>
      <c r="C56" s="2">
        <v>46184</v>
      </c>
      <c r="D56" t="s">
        <v>196</v>
      </c>
      <c r="E56" t="str">
        <f>VLOOKUP(TablaObra5[[#This Row],[Equipo]],Catalogos!$I$3:$J$34,2,FALSE)</f>
        <v>RS-01</v>
      </c>
      <c r="F56" s="3">
        <v>10</v>
      </c>
      <c r="G56" s="4">
        <v>28.3</v>
      </c>
      <c r="H56" s="4">
        <f t="shared" si="0"/>
        <v>283</v>
      </c>
      <c r="I56" t="str">
        <f>VLOOKUP(TablaObra5[[#This Row],[Obra]],Catalogos!$B$3:$C$8,2,FALSE)</f>
        <v>Apolinar</v>
      </c>
    </row>
    <row r="57" spans="1:11">
      <c r="A57" s="2">
        <v>46184</v>
      </c>
      <c r="B57" t="s">
        <v>210</v>
      </c>
      <c r="C57" s="2"/>
      <c r="D57" t="s">
        <v>95</v>
      </c>
      <c r="E57" t="str">
        <f>VLOOKUP(TablaObra5[[#This Row],[Equipo]],Catalogos!$I$3:$J$34,2,FALSE)</f>
        <v>RT-01</v>
      </c>
      <c r="F57" s="3">
        <v>50</v>
      </c>
      <c r="G57" s="4">
        <v>28.3</v>
      </c>
      <c r="H57" s="4">
        <f t="shared" si="0"/>
        <v>1415</v>
      </c>
      <c r="I57" t="str">
        <f>VLOOKUP(TablaObra5[[#This Row],[Obra]],Catalogos!$B$3:$C$8,2,FALSE)</f>
        <v>Diego Carreola</v>
      </c>
      <c r="K57" t="s">
        <v>208</v>
      </c>
    </row>
    <row r="58" spans="1:11">
      <c r="A58" s="2">
        <v>46184</v>
      </c>
      <c r="B58" t="s">
        <v>210</v>
      </c>
      <c r="D58" t="s">
        <v>96</v>
      </c>
      <c r="E58" t="str">
        <f>VLOOKUP(TablaObra5[[#This Row],[Equipo]],Catalogos!$I$3:$J$34,2,FALSE)</f>
        <v>OT-01</v>
      </c>
      <c r="F58" s="3">
        <v>10</v>
      </c>
      <c r="G58" s="4">
        <v>28.3</v>
      </c>
      <c r="H58" s="4">
        <f t="shared" si="0"/>
        <v>283</v>
      </c>
      <c r="I58" t="str">
        <f>VLOOKUP(TablaObra5[[#This Row],[Obra]],Catalogos!$B$3:$C$8,2,FALSE)</f>
        <v>Diego Carreola</v>
      </c>
      <c r="K58" t="s">
        <v>208</v>
      </c>
    </row>
    <row r="59" spans="1:11">
      <c r="A59" s="2">
        <v>46184</v>
      </c>
      <c r="B59" t="s">
        <v>210</v>
      </c>
      <c r="D59" t="s">
        <v>198</v>
      </c>
      <c r="E59" t="str">
        <f>VLOOKUP(TablaObra5[[#This Row],[Equipo]],Catalogos!$I$3:$J$34,2,FALSE)</f>
        <v>LP-01</v>
      </c>
      <c r="F59" s="3">
        <v>10</v>
      </c>
      <c r="G59" s="4">
        <v>28.3</v>
      </c>
      <c r="H59" s="4">
        <f t="shared" si="0"/>
        <v>283</v>
      </c>
      <c r="I59" t="str">
        <f>VLOOKUP(TablaObra5[[#This Row],[Obra]],Catalogos!$B$3:$C$8,2,FALSE)</f>
        <v>Diego Carreola</v>
      </c>
      <c r="K59" t="s">
        <v>208</v>
      </c>
    </row>
    <row r="60" spans="1:11">
      <c r="A60" s="2">
        <v>46185</v>
      </c>
      <c r="B60" t="s">
        <v>6</v>
      </c>
      <c r="C60" s="2">
        <v>46185</v>
      </c>
      <c r="D60" t="s">
        <v>164</v>
      </c>
      <c r="E60" t="str">
        <f>VLOOKUP(TablaObra5[[#This Row],[Equipo]],Catalogos!$I$3:$J$34,2,FALSE)</f>
        <v>PR-01</v>
      </c>
      <c r="F60" s="3">
        <v>250</v>
      </c>
      <c r="G60" s="4">
        <v>28.3</v>
      </c>
      <c r="H60" s="4">
        <f t="shared" si="0"/>
        <v>7075</v>
      </c>
      <c r="I60" t="str">
        <f>VLOOKUP(TablaObra5[[#This Row],[Obra]],Catalogos!$B$3:$C$8,2,FALSE)</f>
        <v>Samuel Ortega</v>
      </c>
    </row>
    <row r="61" spans="1:11">
      <c r="A61" s="2">
        <v>46185</v>
      </c>
      <c r="B61" t="s">
        <v>6</v>
      </c>
      <c r="C61" s="2">
        <v>46185</v>
      </c>
      <c r="D61" t="s">
        <v>160</v>
      </c>
      <c r="E61" t="str">
        <f>VLOOKUP(TablaObra5[[#This Row],[Equipo]],Catalogos!$I$3:$J$34,2,FALSE)</f>
        <v>VG-01</v>
      </c>
      <c r="F61" s="3">
        <v>150</v>
      </c>
      <c r="G61" s="4">
        <v>28.3</v>
      </c>
      <c r="H61" s="4">
        <f t="shared" si="0"/>
        <v>4245</v>
      </c>
      <c r="I61" t="str">
        <f>VLOOKUP(TablaObra5[[#This Row],[Obra]],Catalogos!$B$3:$C$8,2,FALSE)</f>
        <v>Samuel Ortega</v>
      </c>
    </row>
    <row r="62" spans="1:11">
      <c r="A62" s="2">
        <v>46185</v>
      </c>
      <c r="B62" t="s">
        <v>6</v>
      </c>
      <c r="C62" s="2">
        <v>46185</v>
      </c>
      <c r="D62" t="s">
        <v>86</v>
      </c>
      <c r="E62" t="str">
        <f>VLOOKUP(TablaObra5[[#This Row],[Equipo]],Catalogos!$I$3:$J$34,2,FALSE)</f>
        <v>CP-01</v>
      </c>
      <c r="F62" s="3">
        <v>40</v>
      </c>
      <c r="G62" s="4">
        <v>28.3</v>
      </c>
      <c r="H62" s="4">
        <f t="shared" si="0"/>
        <v>1132</v>
      </c>
      <c r="I62" t="str">
        <f>VLOOKUP(TablaObra5[[#This Row],[Obra]],Catalogos!$B$3:$C$8,2,FALSE)</f>
        <v>Samuel Ortega</v>
      </c>
    </row>
    <row r="63" spans="1:11">
      <c r="A63" s="2">
        <v>46185</v>
      </c>
      <c r="B63" t="s">
        <v>6</v>
      </c>
      <c r="C63" s="2">
        <v>46185</v>
      </c>
      <c r="D63" t="s">
        <v>181</v>
      </c>
      <c r="E63" t="str">
        <f>VLOOKUP(TablaObra5[[#This Row],[Equipo]],Catalogos!$I$3:$J$34,2,FALSE)</f>
        <v>NM-01</v>
      </c>
      <c r="F63" s="3">
        <v>30</v>
      </c>
      <c r="G63" s="4">
        <v>28.3</v>
      </c>
      <c r="H63" s="4">
        <f t="shared" si="0"/>
        <v>849</v>
      </c>
      <c r="I63" t="str">
        <f>VLOOKUP(TablaObra5[[#This Row],[Obra]],Catalogos!$B$3:$C$8,2,FALSE)</f>
        <v>Samuel Ortega</v>
      </c>
    </row>
    <row r="64" spans="1:11">
      <c r="A64" s="2">
        <v>46185</v>
      </c>
      <c r="B64" t="s">
        <v>6</v>
      </c>
      <c r="C64" s="2">
        <v>46185</v>
      </c>
      <c r="D64" t="s">
        <v>95</v>
      </c>
      <c r="E64" t="str">
        <f>VLOOKUP(TablaObra5[[#This Row],[Equipo]],Catalogos!$I$3:$J$34,2,FALSE)</f>
        <v>RT-01</v>
      </c>
      <c r="F64" s="3">
        <v>30</v>
      </c>
      <c r="G64" s="4">
        <v>28.3</v>
      </c>
      <c r="H64" s="4">
        <f t="shared" si="0"/>
        <v>849</v>
      </c>
      <c r="I64" t="str">
        <f>VLOOKUP(TablaObra5[[#This Row],[Obra]],Catalogos!$B$3:$C$8,2,FALSE)</f>
        <v>Samuel Ortega</v>
      </c>
    </row>
    <row r="65" spans="1:9">
      <c r="A65" s="2">
        <v>46185</v>
      </c>
      <c r="B65" t="s">
        <v>6</v>
      </c>
      <c r="C65" s="2">
        <v>46185</v>
      </c>
      <c r="D65" t="s">
        <v>165</v>
      </c>
      <c r="E65" t="str">
        <f>VLOOKUP(TablaObra5[[#This Row],[Equipo]],Catalogos!$I$3:$J$34,2,FALSE)</f>
        <v>BR-01</v>
      </c>
      <c r="F65" s="3">
        <v>20</v>
      </c>
      <c r="G65" s="4">
        <v>28.3</v>
      </c>
      <c r="H65" s="4">
        <f t="shared" si="0"/>
        <v>566</v>
      </c>
      <c r="I65" t="str">
        <f>VLOOKUP(TablaObra5[[#This Row],[Obra]],Catalogos!$B$3:$C$8,2,FALSE)</f>
        <v>Samuel Ortega</v>
      </c>
    </row>
    <row r="66" spans="1:9">
      <c r="A66" s="2">
        <v>46185</v>
      </c>
      <c r="B66" t="s">
        <v>6</v>
      </c>
      <c r="C66" s="2">
        <v>46185</v>
      </c>
      <c r="D66" t="s">
        <v>192</v>
      </c>
      <c r="E66" t="str">
        <f>VLOOKUP(TablaObra5[[#This Row],[Equipo]],Catalogos!$I$3:$J$34,2,FALSE)</f>
        <v>MX-01</v>
      </c>
      <c r="F66" s="3">
        <v>20</v>
      </c>
      <c r="G66" s="4">
        <v>28.3</v>
      </c>
      <c r="H66" s="4">
        <f t="shared" si="0"/>
        <v>566</v>
      </c>
      <c r="I66" t="str">
        <f>VLOOKUP(TablaObra5[[#This Row],[Obra]],Catalogos!$B$3:$C$8,2,FALSE)</f>
        <v>Samuel Ortega</v>
      </c>
    </row>
    <row r="67" spans="1:9">
      <c r="A67" s="2">
        <v>46185</v>
      </c>
      <c r="B67" t="s">
        <v>10</v>
      </c>
      <c r="C67" s="2">
        <v>46185</v>
      </c>
      <c r="D67" t="s">
        <v>171</v>
      </c>
      <c r="E67" t="str">
        <f>VLOOKUP(TablaObra5[[#This Row],[Equipo]],Catalogos!$I$3:$J$34,2,FALSE)</f>
        <v>PR-02</v>
      </c>
      <c r="F67" s="3">
        <v>250</v>
      </c>
      <c r="G67" s="4">
        <v>28.3</v>
      </c>
      <c r="H67" s="4">
        <f t="shared" si="0"/>
        <v>7075</v>
      </c>
      <c r="I67" t="str">
        <f>VLOOKUP(TablaObra5[[#This Row],[Obra]],Catalogos!$B$3:$C$8,2,FALSE)</f>
        <v>Francisco Javier</v>
      </c>
    </row>
    <row r="68" spans="1:9">
      <c r="A68" s="2">
        <v>46185</v>
      </c>
      <c r="B68" t="s">
        <v>10</v>
      </c>
      <c r="C68" s="2">
        <v>46185</v>
      </c>
      <c r="D68" t="s">
        <v>175</v>
      </c>
      <c r="E68" t="str">
        <f>VLOOKUP(TablaObra5[[#This Row],[Equipo]],Catalogos!$I$3:$J$34,2,FALSE)</f>
        <v>BR-02</v>
      </c>
      <c r="F68" s="3">
        <v>40</v>
      </c>
      <c r="G68" s="4">
        <v>28.3</v>
      </c>
      <c r="H68" s="4">
        <f t="shared" si="0"/>
        <v>1132</v>
      </c>
      <c r="I68" t="str">
        <f>VLOOKUP(TablaObra5[[#This Row],[Obra]],Catalogos!$B$3:$C$8,2,FALSE)</f>
        <v>Francisco Javier</v>
      </c>
    </row>
    <row r="69" spans="1:9">
      <c r="A69" s="2">
        <v>46185</v>
      </c>
      <c r="B69" t="s">
        <v>10</v>
      </c>
      <c r="C69" s="2">
        <v>46185</v>
      </c>
      <c r="D69" t="s">
        <v>177</v>
      </c>
      <c r="E69" t="str">
        <f>VLOOKUP(TablaObra5[[#This Row],[Equipo]],Catalogos!$I$3:$J$34,2,FALSE)</f>
        <v>RT-02</v>
      </c>
      <c r="F69" s="3">
        <v>60</v>
      </c>
      <c r="G69" s="4">
        <v>28.3</v>
      </c>
      <c r="H69" s="4">
        <f t="shared" si="0"/>
        <v>1698</v>
      </c>
      <c r="I69" t="str">
        <f>VLOOKUP(TablaObra5[[#This Row],[Obra]],Catalogos!$B$3:$C$8,2,FALSE)</f>
        <v>Francisco Javier</v>
      </c>
    </row>
    <row r="70" spans="1:9">
      <c r="A70" s="2">
        <v>46185</v>
      </c>
      <c r="B70" t="s">
        <v>10</v>
      </c>
      <c r="C70" s="2">
        <v>46185</v>
      </c>
      <c r="D70" t="s">
        <v>182</v>
      </c>
      <c r="E70" t="str">
        <f>VLOOKUP(TablaObra5[[#This Row],[Equipo]],Catalogos!$I$3:$J$34,2,FALSE)</f>
        <v>VG-02</v>
      </c>
      <c r="F70" s="3">
        <v>100</v>
      </c>
      <c r="G70" s="4">
        <v>28.3</v>
      </c>
      <c r="H70" s="4">
        <f t="shared" si="0"/>
        <v>2830</v>
      </c>
      <c r="I70" t="str">
        <f>VLOOKUP(TablaObra5[[#This Row],[Obra]],Catalogos!$B$3:$C$8,2,FALSE)</f>
        <v>Francisco Javier</v>
      </c>
    </row>
    <row r="71" spans="1:9">
      <c r="A71" s="2">
        <v>46185</v>
      </c>
      <c r="B71" t="s">
        <v>10</v>
      </c>
      <c r="C71" s="2">
        <v>46185</v>
      </c>
      <c r="D71" t="s">
        <v>198</v>
      </c>
      <c r="E71" t="str">
        <f>VLOOKUP(TablaObra5[[#This Row],[Equipo]],Catalogos!$I$3:$J$34,2,FALSE)</f>
        <v>LP-01</v>
      </c>
      <c r="F71" s="3">
        <v>20</v>
      </c>
      <c r="G71" s="4">
        <v>28.3</v>
      </c>
      <c r="H71" s="4">
        <f t="shared" ref="H71:H134" si="1">IFERROR(F71*G71,0)</f>
        <v>566</v>
      </c>
      <c r="I71" t="str">
        <f>VLOOKUP(TablaObra5[[#This Row],[Obra]],Catalogos!$B$3:$C$8,2,FALSE)</f>
        <v>Francisco Javier</v>
      </c>
    </row>
    <row r="72" spans="1:9">
      <c r="A72" s="2">
        <v>46185</v>
      </c>
      <c r="B72" t="s">
        <v>10</v>
      </c>
      <c r="C72" s="2">
        <v>46185</v>
      </c>
      <c r="D72" t="s">
        <v>184</v>
      </c>
      <c r="E72" t="str">
        <f>VLOOKUP(TablaObra5[[#This Row],[Equipo]],Catalogos!$I$3:$J$34,2,FALSE)</f>
        <v>TD-01</v>
      </c>
      <c r="F72" s="3">
        <v>50</v>
      </c>
      <c r="G72" s="4">
        <v>28.3</v>
      </c>
      <c r="H72" s="4">
        <f t="shared" si="1"/>
        <v>1415</v>
      </c>
      <c r="I72" t="str">
        <f>VLOOKUP(TablaObra5[[#This Row],[Obra]],Catalogos!$B$3:$C$8,2,FALSE)</f>
        <v>Francisco Javier</v>
      </c>
    </row>
    <row r="73" spans="1:9">
      <c r="A73" s="2">
        <v>46185</v>
      </c>
      <c r="B73" t="s">
        <v>10</v>
      </c>
      <c r="C73" s="2">
        <v>46185</v>
      </c>
      <c r="D73" t="s">
        <v>186</v>
      </c>
      <c r="E73" t="str">
        <f>VLOOKUP(TablaObra5[[#This Row],[Equipo]],Catalogos!$I$3:$J$34,2,FALSE)</f>
        <v>NM-02</v>
      </c>
      <c r="F73" s="3">
        <v>50</v>
      </c>
      <c r="G73" s="4">
        <v>28.3</v>
      </c>
      <c r="H73" s="4">
        <f t="shared" si="1"/>
        <v>1415</v>
      </c>
      <c r="I73" t="str">
        <f>VLOOKUP(TablaObra5[[#This Row],[Obra]],Catalogos!$B$3:$C$8,2,FALSE)</f>
        <v>Francisco Javier</v>
      </c>
    </row>
    <row r="74" spans="1:9">
      <c r="A74" s="2">
        <v>46185</v>
      </c>
      <c r="B74" t="s">
        <v>10</v>
      </c>
      <c r="C74" s="2">
        <v>46185</v>
      </c>
      <c r="D74" t="s">
        <v>188</v>
      </c>
      <c r="E74" t="str">
        <f>VLOOKUP(TablaObra5[[#This Row],[Equipo]],Catalogos!$I$3:$J$34,2,FALSE)</f>
        <v>PT-02</v>
      </c>
      <c r="F74" s="3">
        <v>50</v>
      </c>
      <c r="G74" s="4">
        <v>28.3</v>
      </c>
      <c r="H74" s="4">
        <f t="shared" si="1"/>
        <v>1415</v>
      </c>
      <c r="I74" t="str">
        <f>VLOOKUP(TablaObra5[[#This Row],[Obra]],Catalogos!$B$3:$C$8,2,FALSE)</f>
        <v>Francisco Javier</v>
      </c>
    </row>
    <row r="75" spans="1:9">
      <c r="A75" s="2"/>
      <c r="E75" t="e">
        <f>VLOOKUP(TablaObra5[[#This Row],[Equipo]],Catalogos!$I$3:$J$34,2,FALSE)</f>
        <v>#N/A</v>
      </c>
      <c r="F75" s="3"/>
      <c r="G75" s="4">
        <v>28.3</v>
      </c>
      <c r="H75" s="4">
        <f t="shared" si="1"/>
        <v>0</v>
      </c>
      <c r="I75" t="e">
        <f>VLOOKUP(TablaObra5[[#This Row],[Obra]],Catalogos!$B$3:$C$8,2,FALSE)</f>
        <v>#N/A</v>
      </c>
    </row>
    <row r="76" spans="1:9">
      <c r="A76" s="2"/>
      <c r="E76" t="e">
        <f>VLOOKUP(TablaObra5[[#This Row],[Equipo]],Catalogos!$I$3:$J$34,2,FALSE)</f>
        <v>#N/A</v>
      </c>
      <c r="F76" s="3"/>
      <c r="G76" s="4">
        <v>28.3</v>
      </c>
      <c r="H76" s="4">
        <f t="shared" si="1"/>
        <v>0</v>
      </c>
      <c r="I76" t="e">
        <f>VLOOKUP(TablaObra5[[#This Row],[Obra]],Catalogos!$B$3:$C$8,2,FALSE)</f>
        <v>#N/A</v>
      </c>
    </row>
    <row r="77" spans="1:9">
      <c r="A77" s="2"/>
      <c r="E77" t="e">
        <f>VLOOKUP(TablaObra5[[#This Row],[Equipo]],Catalogos!$I$3:$J$34,2,FALSE)</f>
        <v>#N/A</v>
      </c>
      <c r="F77" s="3"/>
      <c r="G77" s="4">
        <v>28.3</v>
      </c>
      <c r="H77" s="4">
        <f t="shared" si="1"/>
        <v>0</v>
      </c>
      <c r="I77" t="e">
        <f>VLOOKUP(TablaObra5[[#This Row],[Obra]],Catalogos!$B$3:$C$8,2,FALSE)</f>
        <v>#N/A</v>
      </c>
    </row>
    <row r="78" spans="1:9">
      <c r="A78" s="2"/>
      <c r="E78" t="e">
        <f>VLOOKUP(TablaObra5[[#This Row],[Equipo]],Catalogos!$I$3:$J$34,2,FALSE)</f>
        <v>#N/A</v>
      </c>
      <c r="F78" s="3"/>
      <c r="G78" s="4">
        <v>28.3</v>
      </c>
      <c r="H78" s="4">
        <f t="shared" si="1"/>
        <v>0</v>
      </c>
      <c r="I78" t="e">
        <f>VLOOKUP(TablaObra5[[#This Row],[Obra]],Catalogos!$B$3:$C$8,2,FALSE)</f>
        <v>#N/A</v>
      </c>
    </row>
    <row r="79" spans="1:9">
      <c r="A79" s="2"/>
      <c r="E79" t="e">
        <f>VLOOKUP(TablaObra5[[#This Row],[Equipo]],Catalogos!$I$3:$J$34,2,FALSE)</f>
        <v>#N/A</v>
      </c>
      <c r="F79" s="3"/>
      <c r="G79" s="4">
        <v>28.3</v>
      </c>
      <c r="H79" s="4">
        <f t="shared" si="1"/>
        <v>0</v>
      </c>
      <c r="I79" t="e">
        <f>VLOOKUP(TablaObra5[[#This Row],[Obra]],Catalogos!$B$3:$C$8,2,FALSE)</f>
        <v>#N/A</v>
      </c>
    </row>
    <row r="80" spans="1:9">
      <c r="A80" s="2"/>
      <c r="E80" t="e">
        <f>VLOOKUP(TablaObra5[[#This Row],[Equipo]],Catalogos!$I$3:$J$34,2,FALSE)</f>
        <v>#N/A</v>
      </c>
      <c r="F80" s="3"/>
      <c r="G80" s="4">
        <v>28.3</v>
      </c>
      <c r="H80" s="4">
        <f t="shared" si="1"/>
        <v>0</v>
      </c>
      <c r="I80" t="e">
        <f>VLOOKUP(TablaObra5[[#This Row],[Obra]],Catalogos!$B$3:$C$8,2,FALSE)</f>
        <v>#N/A</v>
      </c>
    </row>
    <row r="81" spans="1:9">
      <c r="A81" s="2"/>
      <c r="E81" t="e">
        <f>VLOOKUP(TablaObra5[[#This Row],[Equipo]],Catalogos!$I$3:$J$34,2,FALSE)</f>
        <v>#N/A</v>
      </c>
      <c r="F81" s="3"/>
      <c r="G81" s="4">
        <v>28.3</v>
      </c>
      <c r="H81" s="4">
        <f t="shared" si="1"/>
        <v>0</v>
      </c>
      <c r="I81" t="e">
        <f>VLOOKUP(TablaObra5[[#This Row],[Obra]],Catalogos!$B$3:$C$8,2,FALSE)</f>
        <v>#N/A</v>
      </c>
    </row>
    <row r="82" spans="1:9">
      <c r="A82" s="2"/>
      <c r="E82" t="e">
        <f>VLOOKUP(TablaObra5[[#This Row],[Equipo]],Catalogos!$I$3:$J$34,2,FALSE)</f>
        <v>#N/A</v>
      </c>
      <c r="F82" s="3"/>
      <c r="G82" s="4">
        <v>28.3</v>
      </c>
      <c r="H82" s="4">
        <f t="shared" si="1"/>
        <v>0</v>
      </c>
      <c r="I82" t="e">
        <f>VLOOKUP(TablaObra5[[#This Row],[Obra]],Catalogos!$B$3:$C$8,2,FALSE)</f>
        <v>#N/A</v>
      </c>
    </row>
    <row r="83" spans="1:9">
      <c r="A83" s="2"/>
      <c r="E83" t="e">
        <f>VLOOKUP(TablaObra5[[#This Row],[Equipo]],Catalogos!$I$3:$J$34,2,FALSE)</f>
        <v>#N/A</v>
      </c>
      <c r="F83" s="3"/>
      <c r="G83" s="4">
        <v>28.3</v>
      </c>
      <c r="H83" s="4">
        <f t="shared" si="1"/>
        <v>0</v>
      </c>
      <c r="I83" t="e">
        <f>VLOOKUP(TablaObra5[[#This Row],[Obra]],Catalogos!$B$3:$C$8,2,FALSE)</f>
        <v>#N/A</v>
      </c>
    </row>
    <row r="84" spans="1:9">
      <c r="A84" s="2"/>
      <c r="E84" t="e">
        <f>VLOOKUP(TablaObra5[[#This Row],[Equipo]],Catalogos!$I$3:$J$34,2,FALSE)</f>
        <v>#N/A</v>
      </c>
      <c r="F84" s="3"/>
      <c r="G84" s="4">
        <v>28.3</v>
      </c>
      <c r="H84" s="4">
        <f t="shared" si="1"/>
        <v>0</v>
      </c>
      <c r="I84" t="e">
        <f>VLOOKUP(TablaObra5[[#This Row],[Obra]],Catalogos!$B$3:$C$8,2,FALSE)</f>
        <v>#N/A</v>
      </c>
    </row>
    <row r="85" spans="1:9">
      <c r="A85" s="2"/>
      <c r="E85" t="e">
        <f>VLOOKUP(TablaObra5[[#This Row],[Equipo]],Catalogos!$I$3:$J$34,2,FALSE)</f>
        <v>#N/A</v>
      </c>
      <c r="F85" s="3"/>
      <c r="G85" s="4">
        <v>28.3</v>
      </c>
      <c r="H85" s="4">
        <f t="shared" si="1"/>
        <v>0</v>
      </c>
      <c r="I85" t="e">
        <f>VLOOKUP(TablaObra5[[#This Row],[Obra]],Catalogos!$B$3:$C$8,2,FALSE)</f>
        <v>#N/A</v>
      </c>
    </row>
    <row r="86" spans="1:9">
      <c r="A86" s="2"/>
      <c r="E86" t="e">
        <f>VLOOKUP(TablaObra5[[#This Row],[Equipo]],Catalogos!$I$3:$J$34,2,FALSE)</f>
        <v>#N/A</v>
      </c>
      <c r="F86" s="3"/>
      <c r="G86" s="4">
        <v>28.3</v>
      </c>
      <c r="H86" s="4">
        <f t="shared" si="1"/>
        <v>0</v>
      </c>
      <c r="I86" t="e">
        <f>VLOOKUP(TablaObra5[[#This Row],[Obra]],Catalogos!$B$3:$C$8,2,FALSE)</f>
        <v>#N/A</v>
      </c>
    </row>
    <row r="87" spans="1:9">
      <c r="A87" s="2"/>
      <c r="E87" t="e">
        <f>VLOOKUP(TablaObra5[[#This Row],[Equipo]],Catalogos!$I$3:$J$34,2,FALSE)</f>
        <v>#N/A</v>
      </c>
      <c r="F87" s="3"/>
      <c r="G87" s="4">
        <v>28.3</v>
      </c>
      <c r="H87" s="4">
        <f t="shared" si="1"/>
        <v>0</v>
      </c>
      <c r="I87" t="e">
        <f>VLOOKUP(TablaObra5[[#This Row],[Obra]],Catalogos!$B$3:$C$8,2,FALSE)</f>
        <v>#N/A</v>
      </c>
    </row>
    <row r="88" spans="1:9">
      <c r="A88" s="2"/>
      <c r="E88" t="e">
        <f>VLOOKUP(TablaObra5[[#This Row],[Equipo]],Catalogos!$I$3:$J$34,2,FALSE)</f>
        <v>#N/A</v>
      </c>
      <c r="F88" s="3"/>
      <c r="G88" s="4">
        <v>28.3</v>
      </c>
      <c r="H88" s="4">
        <f t="shared" si="1"/>
        <v>0</v>
      </c>
      <c r="I88" t="e">
        <f>VLOOKUP(TablaObra5[[#This Row],[Obra]],Catalogos!$B$3:$C$8,2,FALSE)</f>
        <v>#N/A</v>
      </c>
    </row>
    <row r="89" spans="1:9">
      <c r="A89" s="2"/>
      <c r="E89" t="e">
        <f>VLOOKUP(TablaObra5[[#This Row],[Equipo]],Catalogos!$I$3:$J$34,2,FALSE)</f>
        <v>#N/A</v>
      </c>
      <c r="F89" s="3"/>
      <c r="G89" s="4">
        <v>28.3</v>
      </c>
      <c r="H89" s="4">
        <f t="shared" si="1"/>
        <v>0</v>
      </c>
      <c r="I89" t="e">
        <f>VLOOKUP(TablaObra5[[#This Row],[Obra]],Catalogos!$B$3:$C$8,2,FALSE)</f>
        <v>#N/A</v>
      </c>
    </row>
    <row r="90" spans="1:9">
      <c r="A90" s="2"/>
      <c r="E90" t="e">
        <f>VLOOKUP(TablaObra5[[#This Row],[Equipo]],Catalogos!$I$3:$J$34,2,FALSE)</f>
        <v>#N/A</v>
      </c>
      <c r="F90" s="3"/>
      <c r="G90" s="4">
        <v>28.3</v>
      </c>
      <c r="H90" s="4">
        <f t="shared" si="1"/>
        <v>0</v>
      </c>
      <c r="I90" t="e">
        <f>VLOOKUP(TablaObra5[[#This Row],[Obra]],Catalogos!$B$3:$C$8,2,FALSE)</f>
        <v>#N/A</v>
      </c>
    </row>
    <row r="91" spans="1:9">
      <c r="A91" s="2"/>
      <c r="E91" t="e">
        <f>VLOOKUP(TablaObra5[[#This Row],[Equipo]],Catalogos!$I$3:$J$34,2,FALSE)</f>
        <v>#N/A</v>
      </c>
      <c r="F91" s="3"/>
      <c r="G91" s="4">
        <v>28.3</v>
      </c>
      <c r="H91" s="4">
        <f t="shared" si="1"/>
        <v>0</v>
      </c>
      <c r="I91" t="e">
        <f>VLOOKUP(TablaObra5[[#This Row],[Obra]],Catalogos!$B$3:$C$8,2,FALSE)</f>
        <v>#N/A</v>
      </c>
    </row>
    <row r="92" spans="1:9">
      <c r="A92" s="2"/>
      <c r="E92" t="e">
        <f>VLOOKUP(TablaObra5[[#This Row],[Equipo]],Catalogos!$I$3:$J$34,2,FALSE)</f>
        <v>#N/A</v>
      </c>
      <c r="F92" s="3"/>
      <c r="G92" s="4">
        <v>28.3</v>
      </c>
      <c r="H92" s="4">
        <f t="shared" si="1"/>
        <v>0</v>
      </c>
      <c r="I92" t="e">
        <f>VLOOKUP(TablaObra5[[#This Row],[Obra]],Catalogos!$B$3:$C$8,2,FALSE)</f>
        <v>#N/A</v>
      </c>
    </row>
    <row r="93" spans="1:9">
      <c r="A93" s="2"/>
      <c r="E93" t="e">
        <f>VLOOKUP(TablaObra5[[#This Row],[Equipo]],Catalogos!$I$3:$J$34,2,FALSE)</f>
        <v>#N/A</v>
      </c>
      <c r="F93" s="3"/>
      <c r="G93" s="4">
        <v>28.3</v>
      </c>
      <c r="H93" s="4">
        <f t="shared" si="1"/>
        <v>0</v>
      </c>
      <c r="I93" t="e">
        <f>VLOOKUP(TablaObra5[[#This Row],[Obra]],Catalogos!$B$3:$C$8,2,FALSE)</f>
        <v>#N/A</v>
      </c>
    </row>
    <row r="94" spans="1:9">
      <c r="A94" s="2"/>
      <c r="E94" t="e">
        <f>VLOOKUP(TablaObra5[[#This Row],[Equipo]],Catalogos!$I$3:$J$34,2,FALSE)</f>
        <v>#N/A</v>
      </c>
      <c r="F94" s="3"/>
      <c r="G94" s="4">
        <v>28.3</v>
      </c>
      <c r="H94" s="4">
        <f t="shared" si="1"/>
        <v>0</v>
      </c>
      <c r="I94" t="e">
        <f>VLOOKUP(TablaObra5[[#This Row],[Obra]],Catalogos!$B$3:$C$8,2,FALSE)</f>
        <v>#N/A</v>
      </c>
    </row>
    <row r="95" spans="1:9">
      <c r="A95" s="2"/>
      <c r="E95" t="e">
        <f>VLOOKUP(TablaObra5[[#This Row],[Equipo]],Catalogos!$I$3:$J$34,2,FALSE)</f>
        <v>#N/A</v>
      </c>
      <c r="F95" s="3"/>
      <c r="G95" s="4">
        <v>28.3</v>
      </c>
      <c r="H95" s="4">
        <f t="shared" si="1"/>
        <v>0</v>
      </c>
      <c r="I95" t="e">
        <f>VLOOKUP(TablaObra5[[#This Row],[Obra]],Catalogos!$B$3:$C$8,2,FALSE)</f>
        <v>#N/A</v>
      </c>
    </row>
    <row r="96" spans="1:9">
      <c r="A96" s="2"/>
      <c r="E96" t="e">
        <f>VLOOKUP(TablaObra5[[#This Row],[Equipo]],Catalogos!$I$3:$J$34,2,FALSE)</f>
        <v>#N/A</v>
      </c>
      <c r="F96" s="3"/>
      <c r="G96" s="4">
        <v>28.3</v>
      </c>
      <c r="H96" s="4">
        <f t="shared" si="1"/>
        <v>0</v>
      </c>
      <c r="I96" t="e">
        <f>VLOOKUP(TablaObra5[[#This Row],[Obra]],Catalogos!$B$3:$C$8,2,FALSE)</f>
        <v>#N/A</v>
      </c>
    </row>
    <row r="97" spans="1:9">
      <c r="A97" s="2"/>
      <c r="E97" t="e">
        <f>VLOOKUP(TablaObra5[[#This Row],[Equipo]],Catalogos!$I$3:$J$34,2,FALSE)</f>
        <v>#N/A</v>
      </c>
      <c r="F97" s="3"/>
      <c r="G97" s="4">
        <v>28.3</v>
      </c>
      <c r="H97" s="4">
        <f t="shared" si="1"/>
        <v>0</v>
      </c>
      <c r="I97" t="e">
        <f>VLOOKUP(TablaObra5[[#This Row],[Obra]],Catalogos!$B$3:$C$8,2,FALSE)</f>
        <v>#N/A</v>
      </c>
    </row>
    <row r="98" spans="1:9">
      <c r="A98" s="2"/>
      <c r="E98" t="e">
        <f>VLOOKUP(TablaObra5[[#This Row],[Equipo]],Catalogos!$I$3:$J$34,2,FALSE)</f>
        <v>#N/A</v>
      </c>
      <c r="F98" s="3"/>
      <c r="G98" s="4">
        <v>28.3</v>
      </c>
      <c r="H98" s="4">
        <f t="shared" si="1"/>
        <v>0</v>
      </c>
      <c r="I98" t="e">
        <f>VLOOKUP(TablaObra5[[#This Row],[Obra]],Catalogos!$B$3:$C$8,2,FALSE)</f>
        <v>#N/A</v>
      </c>
    </row>
    <row r="99" spans="1:9">
      <c r="A99" s="2"/>
      <c r="E99" t="e">
        <f>VLOOKUP(TablaObra5[[#This Row],[Equipo]],Catalogos!$I$3:$J$34,2,FALSE)</f>
        <v>#N/A</v>
      </c>
      <c r="F99" s="3"/>
      <c r="G99" s="4">
        <v>28.3</v>
      </c>
      <c r="H99" s="4">
        <f t="shared" si="1"/>
        <v>0</v>
      </c>
      <c r="I99" t="e">
        <f>VLOOKUP(TablaObra5[[#This Row],[Obra]],Catalogos!$B$3:$C$8,2,FALSE)</f>
        <v>#N/A</v>
      </c>
    </row>
    <row r="100" spans="1:9">
      <c r="A100" s="2"/>
      <c r="E100" t="e">
        <f>VLOOKUP(TablaObra5[[#This Row],[Equipo]],Catalogos!$I$3:$J$34,2,FALSE)</f>
        <v>#N/A</v>
      </c>
      <c r="F100" s="3"/>
      <c r="G100" s="4">
        <v>28.3</v>
      </c>
      <c r="H100" s="4">
        <f t="shared" si="1"/>
        <v>0</v>
      </c>
      <c r="I100" t="e">
        <f>VLOOKUP(TablaObra5[[#This Row],[Obra]],Catalogos!$B$3:$C$8,2,FALSE)</f>
        <v>#N/A</v>
      </c>
    </row>
    <row r="101" spans="1:9">
      <c r="A101" s="2"/>
      <c r="E101" t="e">
        <f>VLOOKUP(TablaObra5[[#This Row],[Equipo]],Catalogos!$I$3:$J$34,2,FALSE)</f>
        <v>#N/A</v>
      </c>
      <c r="F101" s="3"/>
      <c r="G101" s="4">
        <v>28.3</v>
      </c>
      <c r="H101" s="4">
        <f t="shared" si="1"/>
        <v>0</v>
      </c>
      <c r="I101" t="e">
        <f>VLOOKUP(TablaObra5[[#This Row],[Obra]],Catalogos!$B$3:$C$8,2,FALSE)</f>
        <v>#N/A</v>
      </c>
    </row>
    <row r="102" spans="1:9">
      <c r="A102" s="2"/>
      <c r="E102" t="e">
        <f>VLOOKUP(TablaObra5[[#This Row],[Equipo]],Catalogos!$I$3:$J$34,2,FALSE)</f>
        <v>#N/A</v>
      </c>
      <c r="F102" s="3"/>
      <c r="G102" s="4">
        <v>28.3</v>
      </c>
      <c r="H102" s="4">
        <f t="shared" si="1"/>
        <v>0</v>
      </c>
      <c r="I102" t="e">
        <f>VLOOKUP(TablaObra5[[#This Row],[Obra]],Catalogos!$B$3:$C$8,2,FALSE)</f>
        <v>#N/A</v>
      </c>
    </row>
    <row r="103" spans="1:9">
      <c r="A103" s="2"/>
      <c r="E103" t="e">
        <f>VLOOKUP(TablaObra5[[#This Row],[Equipo]],Catalogos!$I$3:$J$34,2,FALSE)</f>
        <v>#N/A</v>
      </c>
      <c r="F103" s="3"/>
      <c r="G103" s="4">
        <v>28.3</v>
      </c>
      <c r="H103" s="4">
        <f t="shared" si="1"/>
        <v>0</v>
      </c>
      <c r="I103" t="e">
        <f>VLOOKUP(TablaObra5[[#This Row],[Obra]],Catalogos!$B$3:$C$8,2,FALSE)</f>
        <v>#N/A</v>
      </c>
    </row>
    <row r="104" spans="1:9">
      <c r="A104" s="2"/>
      <c r="E104" t="e">
        <f>VLOOKUP(TablaObra5[[#This Row],[Equipo]],Catalogos!$I$3:$J$34,2,FALSE)</f>
        <v>#N/A</v>
      </c>
      <c r="F104" s="3"/>
      <c r="G104" s="4">
        <v>28.3</v>
      </c>
      <c r="H104" s="4">
        <f t="shared" si="1"/>
        <v>0</v>
      </c>
      <c r="I104" t="e">
        <f>VLOOKUP(TablaObra5[[#This Row],[Obra]],Catalogos!$B$3:$C$8,2,FALSE)</f>
        <v>#N/A</v>
      </c>
    </row>
    <row r="105" spans="1:9">
      <c r="A105" s="2"/>
      <c r="E105" t="e">
        <f>VLOOKUP(TablaObra5[[#This Row],[Equipo]],Catalogos!$I$3:$J$34,2,FALSE)</f>
        <v>#N/A</v>
      </c>
      <c r="F105" s="3"/>
      <c r="G105" s="4">
        <v>28.3</v>
      </c>
      <c r="H105" s="4">
        <f t="shared" si="1"/>
        <v>0</v>
      </c>
      <c r="I105" t="e">
        <f>VLOOKUP(TablaObra5[[#This Row],[Obra]],Catalogos!$B$3:$C$8,2,FALSE)</f>
        <v>#N/A</v>
      </c>
    </row>
    <row r="106" spans="1:9">
      <c r="A106" s="2"/>
      <c r="E106" t="e">
        <f>VLOOKUP(TablaObra5[[#This Row],[Equipo]],Catalogos!$I$3:$J$34,2,FALSE)</f>
        <v>#N/A</v>
      </c>
      <c r="F106" s="3"/>
      <c r="G106" s="4">
        <v>28.3</v>
      </c>
      <c r="H106" s="4">
        <f t="shared" si="1"/>
        <v>0</v>
      </c>
      <c r="I106" t="e">
        <f>VLOOKUP(TablaObra5[[#This Row],[Obra]],Catalogos!$B$3:$C$8,2,FALSE)</f>
        <v>#N/A</v>
      </c>
    </row>
    <row r="107" spans="1:9">
      <c r="A107" s="2"/>
      <c r="E107" t="e">
        <f>VLOOKUP(TablaObra5[[#This Row],[Equipo]],Catalogos!$I$3:$J$34,2,FALSE)</f>
        <v>#N/A</v>
      </c>
      <c r="F107" s="3"/>
      <c r="G107" s="4">
        <v>28.3</v>
      </c>
      <c r="H107" s="4">
        <f t="shared" si="1"/>
        <v>0</v>
      </c>
      <c r="I107" t="e">
        <f>VLOOKUP(TablaObra5[[#This Row],[Obra]],Catalogos!$B$3:$C$8,2,FALSE)</f>
        <v>#N/A</v>
      </c>
    </row>
    <row r="108" spans="1:9">
      <c r="A108" s="2"/>
      <c r="E108" t="e">
        <f>VLOOKUP(TablaObra5[[#This Row],[Equipo]],Catalogos!$I$3:$J$34,2,FALSE)</f>
        <v>#N/A</v>
      </c>
      <c r="F108" s="3"/>
      <c r="G108" s="4">
        <v>28.3</v>
      </c>
      <c r="H108" s="4">
        <f t="shared" si="1"/>
        <v>0</v>
      </c>
      <c r="I108" t="e">
        <f>VLOOKUP(TablaObra5[[#This Row],[Obra]],Catalogos!$B$3:$C$8,2,FALSE)</f>
        <v>#N/A</v>
      </c>
    </row>
    <row r="109" spans="1:9">
      <c r="A109" s="2"/>
      <c r="E109" t="e">
        <f>VLOOKUP(TablaObra5[[#This Row],[Equipo]],Catalogos!$I$3:$J$34,2,FALSE)</f>
        <v>#N/A</v>
      </c>
      <c r="F109" s="3"/>
      <c r="G109" s="4">
        <v>28.3</v>
      </c>
      <c r="H109" s="4">
        <f t="shared" si="1"/>
        <v>0</v>
      </c>
      <c r="I109" t="e">
        <f>VLOOKUP(TablaObra5[[#This Row],[Obra]],Catalogos!$B$3:$C$8,2,FALSE)</f>
        <v>#N/A</v>
      </c>
    </row>
    <row r="110" spans="1:9">
      <c r="A110" s="2"/>
      <c r="E110" t="e">
        <f>VLOOKUP(TablaObra5[[#This Row],[Equipo]],Catalogos!$I$3:$J$34,2,FALSE)</f>
        <v>#N/A</v>
      </c>
      <c r="F110" s="3"/>
      <c r="G110" s="4">
        <v>28.3</v>
      </c>
      <c r="H110" s="4">
        <f t="shared" si="1"/>
        <v>0</v>
      </c>
      <c r="I110" t="e">
        <f>VLOOKUP(TablaObra5[[#This Row],[Obra]],Catalogos!$B$3:$C$8,2,FALSE)</f>
        <v>#N/A</v>
      </c>
    </row>
    <row r="111" spans="1:9">
      <c r="A111" s="2"/>
      <c r="E111" t="e">
        <f>VLOOKUP(TablaObra5[[#This Row],[Equipo]],Catalogos!$I$3:$J$34,2,FALSE)</f>
        <v>#N/A</v>
      </c>
      <c r="F111" s="3"/>
      <c r="G111" s="4">
        <v>28.3</v>
      </c>
      <c r="H111" s="4">
        <f t="shared" si="1"/>
        <v>0</v>
      </c>
      <c r="I111" t="e">
        <f>VLOOKUP(TablaObra5[[#This Row],[Obra]],Catalogos!$B$3:$C$8,2,FALSE)</f>
        <v>#N/A</v>
      </c>
    </row>
    <row r="112" spans="1:9">
      <c r="A112" s="2"/>
      <c r="E112" t="e">
        <f>VLOOKUP(TablaObra5[[#This Row],[Equipo]],Catalogos!$I$3:$J$34,2,FALSE)</f>
        <v>#N/A</v>
      </c>
      <c r="F112" s="3"/>
      <c r="G112" s="4">
        <v>28.3</v>
      </c>
      <c r="H112" s="4">
        <f t="shared" si="1"/>
        <v>0</v>
      </c>
      <c r="I112" t="e">
        <f>VLOOKUP(TablaObra5[[#This Row],[Obra]],Catalogos!$B$3:$C$8,2,FALSE)</f>
        <v>#N/A</v>
      </c>
    </row>
    <row r="113" spans="1:9">
      <c r="A113" s="2"/>
      <c r="E113" t="e">
        <f>VLOOKUP(TablaObra5[[#This Row],[Equipo]],Catalogos!$I$3:$J$34,2,FALSE)</f>
        <v>#N/A</v>
      </c>
      <c r="F113" s="3"/>
      <c r="G113" s="4">
        <v>28.3</v>
      </c>
      <c r="H113" s="4">
        <f t="shared" si="1"/>
        <v>0</v>
      </c>
      <c r="I113" t="e">
        <f>VLOOKUP(TablaObra5[[#This Row],[Obra]],Catalogos!$B$3:$C$8,2,FALSE)</f>
        <v>#N/A</v>
      </c>
    </row>
    <row r="114" spans="1:9">
      <c r="A114" s="2"/>
      <c r="E114" t="e">
        <f>VLOOKUP(TablaObra5[[#This Row],[Equipo]],Catalogos!$I$3:$J$34,2,FALSE)</f>
        <v>#N/A</v>
      </c>
      <c r="F114" s="3"/>
      <c r="G114" s="4">
        <v>28.3</v>
      </c>
      <c r="H114" s="4">
        <f t="shared" si="1"/>
        <v>0</v>
      </c>
      <c r="I114" t="e">
        <f>VLOOKUP(TablaObra5[[#This Row],[Obra]],Catalogos!$B$3:$C$8,2,FALSE)</f>
        <v>#N/A</v>
      </c>
    </row>
    <row r="115" spans="1:9">
      <c r="A115" s="2"/>
      <c r="E115" t="e">
        <f>VLOOKUP(TablaObra5[[#This Row],[Equipo]],Catalogos!$I$3:$J$34,2,FALSE)</f>
        <v>#N/A</v>
      </c>
      <c r="F115" s="3"/>
      <c r="G115" s="4">
        <v>28.3</v>
      </c>
      <c r="H115" s="4">
        <f t="shared" si="1"/>
        <v>0</v>
      </c>
      <c r="I115" t="e">
        <f>VLOOKUP(TablaObra5[[#This Row],[Obra]],Catalogos!$B$3:$C$8,2,FALSE)</f>
        <v>#N/A</v>
      </c>
    </row>
    <row r="116" spans="1:9">
      <c r="A116" s="2"/>
      <c r="E116" t="e">
        <f>VLOOKUP(TablaObra5[[#This Row],[Equipo]],Catalogos!$I$3:$J$34,2,FALSE)</f>
        <v>#N/A</v>
      </c>
      <c r="F116" s="3"/>
      <c r="G116" s="4">
        <v>28.3</v>
      </c>
      <c r="H116" s="4">
        <f t="shared" si="1"/>
        <v>0</v>
      </c>
      <c r="I116" t="e">
        <f>VLOOKUP(TablaObra5[[#This Row],[Obra]],Catalogos!$B$3:$C$8,2,FALSE)</f>
        <v>#N/A</v>
      </c>
    </row>
    <row r="117" spans="1:9">
      <c r="A117" s="2"/>
      <c r="E117" t="e">
        <f>VLOOKUP(TablaObra5[[#This Row],[Equipo]],Catalogos!$I$3:$J$34,2,FALSE)</f>
        <v>#N/A</v>
      </c>
      <c r="F117" s="3"/>
      <c r="G117" s="4">
        <v>28.3</v>
      </c>
      <c r="H117" s="4">
        <f t="shared" si="1"/>
        <v>0</v>
      </c>
      <c r="I117" t="e">
        <f>VLOOKUP(TablaObra5[[#This Row],[Obra]],Catalogos!$B$3:$C$8,2,FALSE)</f>
        <v>#N/A</v>
      </c>
    </row>
    <row r="118" spans="1:9">
      <c r="A118" s="2"/>
      <c r="E118" t="e">
        <f>VLOOKUP(TablaObra5[[#This Row],[Equipo]],Catalogos!$I$3:$J$34,2,FALSE)</f>
        <v>#N/A</v>
      </c>
      <c r="F118" s="3"/>
      <c r="G118" s="4">
        <v>28.3</v>
      </c>
      <c r="H118" s="4">
        <f t="shared" si="1"/>
        <v>0</v>
      </c>
      <c r="I118" t="e">
        <f>VLOOKUP(TablaObra5[[#This Row],[Obra]],Catalogos!$B$3:$C$8,2,FALSE)</f>
        <v>#N/A</v>
      </c>
    </row>
    <row r="119" spans="1:9">
      <c r="A119" s="2"/>
      <c r="E119" t="e">
        <f>VLOOKUP(TablaObra5[[#This Row],[Equipo]],Catalogos!$I$3:$J$34,2,FALSE)</f>
        <v>#N/A</v>
      </c>
      <c r="F119" s="3"/>
      <c r="G119" s="4">
        <v>28.3</v>
      </c>
      <c r="H119" s="4">
        <f t="shared" si="1"/>
        <v>0</v>
      </c>
      <c r="I119" t="e">
        <f>VLOOKUP(TablaObra5[[#This Row],[Obra]],Catalogos!$B$3:$C$8,2,FALSE)</f>
        <v>#N/A</v>
      </c>
    </row>
    <row r="120" spans="1:9">
      <c r="A120" s="2"/>
      <c r="E120" t="e">
        <f>VLOOKUP(TablaObra5[[#This Row],[Equipo]],Catalogos!$I$3:$J$34,2,FALSE)</f>
        <v>#N/A</v>
      </c>
      <c r="F120" s="3"/>
      <c r="G120" s="4">
        <v>28.3</v>
      </c>
      <c r="H120" s="4">
        <f t="shared" si="1"/>
        <v>0</v>
      </c>
      <c r="I120" t="e">
        <f>VLOOKUP(TablaObra5[[#This Row],[Obra]],Catalogos!$B$3:$C$8,2,FALSE)</f>
        <v>#N/A</v>
      </c>
    </row>
    <row r="121" spans="1:9">
      <c r="A121" s="2"/>
      <c r="E121" t="e">
        <f>VLOOKUP(TablaObra5[[#This Row],[Equipo]],Catalogos!$I$3:$J$34,2,FALSE)</f>
        <v>#N/A</v>
      </c>
      <c r="F121" s="3"/>
      <c r="G121" s="4">
        <v>28.3</v>
      </c>
      <c r="H121" s="4">
        <f t="shared" si="1"/>
        <v>0</v>
      </c>
      <c r="I121" t="e">
        <f>VLOOKUP(TablaObra5[[#This Row],[Obra]],Catalogos!$B$3:$C$8,2,FALSE)</f>
        <v>#N/A</v>
      </c>
    </row>
    <row r="122" spans="1:9">
      <c r="A122" s="2"/>
      <c r="E122" t="e">
        <f>VLOOKUP(TablaObra5[[#This Row],[Equipo]],Catalogos!$I$3:$J$34,2,FALSE)</f>
        <v>#N/A</v>
      </c>
      <c r="F122" s="3"/>
      <c r="G122" s="4">
        <v>28.3</v>
      </c>
      <c r="H122" s="4">
        <f t="shared" si="1"/>
        <v>0</v>
      </c>
      <c r="I122" t="e">
        <f>VLOOKUP(TablaObra5[[#This Row],[Obra]],Catalogos!$B$3:$C$8,2,FALSE)</f>
        <v>#N/A</v>
      </c>
    </row>
    <row r="123" spans="1:9">
      <c r="A123" s="2"/>
      <c r="E123" t="e">
        <f>VLOOKUP(TablaObra5[[#This Row],[Equipo]],Catalogos!$I$3:$J$34,2,FALSE)</f>
        <v>#N/A</v>
      </c>
      <c r="F123" s="3"/>
      <c r="G123" s="4">
        <v>28.3</v>
      </c>
      <c r="H123" s="4">
        <f t="shared" si="1"/>
        <v>0</v>
      </c>
      <c r="I123" t="e">
        <f>VLOOKUP(TablaObra5[[#This Row],[Obra]],Catalogos!$B$3:$C$8,2,FALSE)</f>
        <v>#N/A</v>
      </c>
    </row>
    <row r="124" spans="1:9">
      <c r="A124" s="2"/>
      <c r="E124" t="e">
        <f>VLOOKUP(TablaObra5[[#This Row],[Equipo]],Catalogos!$I$3:$J$34,2,FALSE)</f>
        <v>#N/A</v>
      </c>
      <c r="F124" s="3"/>
      <c r="G124" s="4">
        <v>28.3</v>
      </c>
      <c r="H124" s="4">
        <f t="shared" si="1"/>
        <v>0</v>
      </c>
      <c r="I124" t="e">
        <f>VLOOKUP(TablaObra5[[#This Row],[Obra]],Catalogos!$B$3:$C$8,2,FALSE)</f>
        <v>#N/A</v>
      </c>
    </row>
    <row r="125" spans="1:9">
      <c r="A125" s="2"/>
      <c r="E125" t="e">
        <f>VLOOKUP(TablaObra5[[#This Row],[Equipo]],Catalogos!$I$3:$J$34,2,FALSE)</f>
        <v>#N/A</v>
      </c>
      <c r="F125" s="3"/>
      <c r="G125" s="4">
        <v>28.3</v>
      </c>
      <c r="H125" s="4">
        <f t="shared" si="1"/>
        <v>0</v>
      </c>
      <c r="I125" t="e">
        <f>VLOOKUP(TablaObra5[[#This Row],[Obra]],Catalogos!$B$3:$C$8,2,FALSE)</f>
        <v>#N/A</v>
      </c>
    </row>
    <row r="126" spans="1:9">
      <c r="A126" s="2"/>
      <c r="E126" t="e">
        <f>VLOOKUP(TablaObra5[[#This Row],[Equipo]],Catalogos!$I$3:$J$34,2,FALSE)</f>
        <v>#N/A</v>
      </c>
      <c r="F126" s="3"/>
      <c r="G126" s="4">
        <v>28.3</v>
      </c>
      <c r="H126" s="4">
        <f t="shared" si="1"/>
        <v>0</v>
      </c>
      <c r="I126" t="e">
        <f>VLOOKUP(TablaObra5[[#This Row],[Obra]],Catalogos!$B$3:$C$8,2,FALSE)</f>
        <v>#N/A</v>
      </c>
    </row>
    <row r="127" spans="1:9">
      <c r="A127" s="2"/>
      <c r="E127" t="e">
        <f>VLOOKUP(TablaObra5[[#This Row],[Equipo]],Catalogos!$I$3:$J$34,2,FALSE)</f>
        <v>#N/A</v>
      </c>
      <c r="F127" s="3"/>
      <c r="G127" s="4">
        <v>28.3</v>
      </c>
      <c r="H127" s="4">
        <f t="shared" si="1"/>
        <v>0</v>
      </c>
      <c r="I127" t="e">
        <f>VLOOKUP(TablaObra5[[#This Row],[Obra]],Catalogos!$B$3:$C$8,2,FALSE)</f>
        <v>#N/A</v>
      </c>
    </row>
    <row r="128" spans="1:9">
      <c r="A128" s="2"/>
      <c r="E128" t="e">
        <f>VLOOKUP(TablaObra5[[#This Row],[Equipo]],Catalogos!$I$3:$J$34,2,FALSE)</f>
        <v>#N/A</v>
      </c>
      <c r="F128" s="3"/>
      <c r="G128" s="4">
        <v>28.3</v>
      </c>
      <c r="H128" s="4">
        <f t="shared" si="1"/>
        <v>0</v>
      </c>
      <c r="I128" t="e">
        <f>VLOOKUP(TablaObra5[[#This Row],[Obra]],Catalogos!$B$3:$C$8,2,FALSE)</f>
        <v>#N/A</v>
      </c>
    </row>
    <row r="129" spans="1:9">
      <c r="A129" s="2"/>
      <c r="E129" t="e">
        <f>VLOOKUP(TablaObra5[[#This Row],[Equipo]],Catalogos!$I$3:$J$34,2,FALSE)</f>
        <v>#N/A</v>
      </c>
      <c r="F129" s="3"/>
      <c r="G129" s="4">
        <v>28.3</v>
      </c>
      <c r="H129" s="4">
        <f t="shared" si="1"/>
        <v>0</v>
      </c>
      <c r="I129" t="e">
        <f>VLOOKUP(TablaObra5[[#This Row],[Obra]],Catalogos!$B$3:$C$8,2,FALSE)</f>
        <v>#N/A</v>
      </c>
    </row>
    <row r="130" spans="1:9">
      <c r="A130" s="2"/>
      <c r="E130" t="e">
        <f>VLOOKUP(TablaObra5[[#This Row],[Equipo]],Catalogos!$I$3:$J$34,2,FALSE)</f>
        <v>#N/A</v>
      </c>
      <c r="F130" s="3"/>
      <c r="G130" s="4">
        <v>28.3</v>
      </c>
      <c r="H130" s="4">
        <f t="shared" si="1"/>
        <v>0</v>
      </c>
      <c r="I130" t="e">
        <f>VLOOKUP(TablaObra5[[#This Row],[Obra]],Catalogos!$B$3:$C$8,2,FALSE)</f>
        <v>#N/A</v>
      </c>
    </row>
    <row r="131" spans="1:9">
      <c r="A131" s="2"/>
      <c r="E131" t="e">
        <f>VLOOKUP(TablaObra5[[#This Row],[Equipo]],Catalogos!$I$3:$J$34,2,FALSE)</f>
        <v>#N/A</v>
      </c>
      <c r="F131" s="3"/>
      <c r="G131" s="4">
        <v>28.3</v>
      </c>
      <c r="H131" s="4">
        <f t="shared" si="1"/>
        <v>0</v>
      </c>
      <c r="I131" t="e">
        <f>VLOOKUP(TablaObra5[[#This Row],[Obra]],Catalogos!$B$3:$C$8,2,FALSE)</f>
        <v>#N/A</v>
      </c>
    </row>
    <row r="132" spans="1:9">
      <c r="A132" s="2"/>
      <c r="E132" t="e">
        <f>VLOOKUP(TablaObra5[[#This Row],[Equipo]],Catalogos!$I$3:$J$34,2,FALSE)</f>
        <v>#N/A</v>
      </c>
      <c r="F132" s="3"/>
      <c r="G132" s="4">
        <v>28.3</v>
      </c>
      <c r="H132" s="4">
        <f t="shared" si="1"/>
        <v>0</v>
      </c>
      <c r="I132" t="e">
        <f>VLOOKUP(TablaObra5[[#This Row],[Obra]],Catalogos!$B$3:$C$8,2,FALSE)</f>
        <v>#N/A</v>
      </c>
    </row>
    <row r="133" spans="1:9">
      <c r="A133" s="2"/>
      <c r="E133" t="e">
        <f>VLOOKUP(TablaObra5[[#This Row],[Equipo]],Catalogos!$I$3:$J$34,2,FALSE)</f>
        <v>#N/A</v>
      </c>
      <c r="F133" s="3"/>
      <c r="G133" s="4">
        <v>28.3</v>
      </c>
      <c r="H133" s="4">
        <f t="shared" si="1"/>
        <v>0</v>
      </c>
      <c r="I133" t="e">
        <f>VLOOKUP(TablaObra5[[#This Row],[Obra]],Catalogos!$B$3:$C$8,2,FALSE)</f>
        <v>#N/A</v>
      </c>
    </row>
    <row r="134" spans="1:9">
      <c r="A134" s="2"/>
      <c r="E134" t="e">
        <f>VLOOKUP(TablaObra5[[#This Row],[Equipo]],Catalogos!$I$3:$J$34,2,FALSE)</f>
        <v>#N/A</v>
      </c>
      <c r="F134" s="3"/>
      <c r="G134" s="4">
        <v>28.3</v>
      </c>
      <c r="H134" s="4">
        <f t="shared" si="1"/>
        <v>0</v>
      </c>
      <c r="I134" t="e">
        <f>VLOOKUP(TablaObra5[[#This Row],[Obra]],Catalogos!$B$3:$C$8,2,FALSE)</f>
        <v>#N/A</v>
      </c>
    </row>
    <row r="135" spans="1:9">
      <c r="A135" s="2"/>
      <c r="E135" t="e">
        <f>VLOOKUP(TablaObra5[[#This Row],[Equipo]],Catalogos!$I$3:$J$34,2,FALSE)</f>
        <v>#N/A</v>
      </c>
      <c r="F135" s="3"/>
      <c r="G135" s="4">
        <v>28.3</v>
      </c>
      <c r="H135" s="4">
        <f t="shared" ref="H135:H198" si="2">IFERROR(F135*G135,0)</f>
        <v>0</v>
      </c>
      <c r="I135" t="e">
        <f>VLOOKUP(TablaObra5[[#This Row],[Obra]],Catalogos!$B$3:$C$8,2,FALSE)</f>
        <v>#N/A</v>
      </c>
    </row>
    <row r="136" spans="1:9">
      <c r="A136" s="2"/>
      <c r="E136" t="e">
        <f>VLOOKUP(TablaObra5[[#This Row],[Equipo]],Catalogos!$I$3:$J$34,2,FALSE)</f>
        <v>#N/A</v>
      </c>
      <c r="F136" s="3"/>
      <c r="G136" s="4">
        <v>28.3</v>
      </c>
      <c r="H136" s="4">
        <f t="shared" si="2"/>
        <v>0</v>
      </c>
      <c r="I136" t="e">
        <f>VLOOKUP(TablaObra5[[#This Row],[Obra]],Catalogos!$B$3:$C$8,2,FALSE)</f>
        <v>#N/A</v>
      </c>
    </row>
    <row r="137" spans="1:9">
      <c r="A137" s="2"/>
      <c r="E137" t="e">
        <f>VLOOKUP(TablaObra5[[#This Row],[Equipo]],Catalogos!$I$3:$J$34,2,FALSE)</f>
        <v>#N/A</v>
      </c>
      <c r="F137" s="3"/>
      <c r="G137" s="4">
        <v>28.3</v>
      </c>
      <c r="H137" s="4">
        <f t="shared" si="2"/>
        <v>0</v>
      </c>
      <c r="I137" t="e">
        <f>VLOOKUP(TablaObra5[[#This Row],[Obra]],Catalogos!$B$3:$C$8,2,FALSE)</f>
        <v>#N/A</v>
      </c>
    </row>
    <row r="138" spans="1:9">
      <c r="A138" s="2"/>
      <c r="E138" t="e">
        <f>VLOOKUP(TablaObra5[[#This Row],[Equipo]],Catalogos!$I$3:$J$34,2,FALSE)</f>
        <v>#N/A</v>
      </c>
      <c r="F138" s="3"/>
      <c r="G138" s="4">
        <v>28.3</v>
      </c>
      <c r="H138" s="4">
        <f t="shared" si="2"/>
        <v>0</v>
      </c>
      <c r="I138" t="e">
        <f>VLOOKUP(TablaObra5[[#This Row],[Obra]],Catalogos!$B$3:$C$8,2,FALSE)</f>
        <v>#N/A</v>
      </c>
    </row>
    <row r="139" spans="1:9">
      <c r="A139" s="2"/>
      <c r="E139" t="e">
        <f>VLOOKUP(TablaObra5[[#This Row],[Equipo]],Catalogos!$I$3:$J$34,2,FALSE)</f>
        <v>#N/A</v>
      </c>
      <c r="F139" s="3"/>
      <c r="G139" s="4">
        <v>28.3</v>
      </c>
      <c r="H139" s="4">
        <f t="shared" si="2"/>
        <v>0</v>
      </c>
      <c r="I139" t="e">
        <f>VLOOKUP(TablaObra5[[#This Row],[Obra]],Catalogos!$B$3:$C$8,2,FALSE)</f>
        <v>#N/A</v>
      </c>
    </row>
    <row r="140" spans="1:9">
      <c r="A140" s="2"/>
      <c r="E140" t="e">
        <f>VLOOKUP(TablaObra5[[#This Row],[Equipo]],Catalogos!$I$3:$J$34,2,FALSE)</f>
        <v>#N/A</v>
      </c>
      <c r="F140" s="3"/>
      <c r="G140" s="4">
        <v>28.3</v>
      </c>
      <c r="H140" s="4">
        <f t="shared" si="2"/>
        <v>0</v>
      </c>
      <c r="I140" t="e">
        <f>VLOOKUP(TablaObra5[[#This Row],[Obra]],Catalogos!$B$3:$C$8,2,FALSE)</f>
        <v>#N/A</v>
      </c>
    </row>
    <row r="141" spans="1:9">
      <c r="A141" s="2"/>
      <c r="E141" t="e">
        <f>VLOOKUP(TablaObra5[[#This Row],[Equipo]],Catalogos!$I$3:$J$34,2,FALSE)</f>
        <v>#N/A</v>
      </c>
      <c r="F141" s="3"/>
      <c r="G141" s="4">
        <v>28.3</v>
      </c>
      <c r="H141" s="4">
        <f t="shared" si="2"/>
        <v>0</v>
      </c>
      <c r="I141" t="e">
        <f>VLOOKUP(TablaObra5[[#This Row],[Obra]],Catalogos!$B$3:$C$8,2,FALSE)</f>
        <v>#N/A</v>
      </c>
    </row>
    <row r="142" spans="1:9">
      <c r="A142" s="2"/>
      <c r="E142" t="e">
        <f>VLOOKUP(TablaObra5[[#This Row],[Equipo]],Catalogos!$I$3:$J$34,2,FALSE)</f>
        <v>#N/A</v>
      </c>
      <c r="F142" s="3"/>
      <c r="G142" s="4">
        <v>28.3</v>
      </c>
      <c r="H142" s="4">
        <f t="shared" si="2"/>
        <v>0</v>
      </c>
      <c r="I142" t="e">
        <f>VLOOKUP(TablaObra5[[#This Row],[Obra]],Catalogos!$B$3:$C$8,2,FALSE)</f>
        <v>#N/A</v>
      </c>
    </row>
    <row r="143" spans="1:9">
      <c r="A143" s="2"/>
      <c r="E143" t="e">
        <f>VLOOKUP(TablaObra5[[#This Row],[Equipo]],Catalogos!$I$3:$J$34,2,FALSE)</f>
        <v>#N/A</v>
      </c>
      <c r="F143" s="3"/>
      <c r="G143" s="4">
        <v>28.3</v>
      </c>
      <c r="H143" s="4">
        <f t="shared" si="2"/>
        <v>0</v>
      </c>
      <c r="I143" t="e">
        <f>VLOOKUP(TablaObra5[[#This Row],[Obra]],Catalogos!$B$3:$C$8,2,FALSE)</f>
        <v>#N/A</v>
      </c>
    </row>
    <row r="144" spans="1:9">
      <c r="A144" s="2"/>
      <c r="E144" t="e">
        <f>VLOOKUP(TablaObra5[[#This Row],[Equipo]],Catalogos!$I$3:$J$34,2,FALSE)</f>
        <v>#N/A</v>
      </c>
      <c r="F144" s="3"/>
      <c r="G144" s="4">
        <v>28.3</v>
      </c>
      <c r="H144" s="4">
        <f t="shared" si="2"/>
        <v>0</v>
      </c>
      <c r="I144" t="e">
        <f>VLOOKUP(TablaObra5[[#This Row],[Obra]],Catalogos!$B$3:$C$8,2,FALSE)</f>
        <v>#N/A</v>
      </c>
    </row>
    <row r="145" spans="1:9">
      <c r="A145" s="2"/>
      <c r="E145" t="e">
        <f>VLOOKUP(TablaObra5[[#This Row],[Equipo]],Catalogos!$I$3:$J$34,2,FALSE)</f>
        <v>#N/A</v>
      </c>
      <c r="F145" s="3"/>
      <c r="G145" s="4">
        <v>28.3</v>
      </c>
      <c r="H145" s="4">
        <f t="shared" si="2"/>
        <v>0</v>
      </c>
      <c r="I145" t="e">
        <f>VLOOKUP(TablaObra5[[#This Row],[Obra]],Catalogos!$B$3:$C$8,2,FALSE)</f>
        <v>#N/A</v>
      </c>
    </row>
    <row r="146" spans="1:9">
      <c r="A146" s="2"/>
      <c r="E146" t="e">
        <f>VLOOKUP(TablaObra5[[#This Row],[Equipo]],Catalogos!$I$3:$J$34,2,FALSE)</f>
        <v>#N/A</v>
      </c>
      <c r="F146" s="3"/>
      <c r="G146" s="4">
        <v>28.3</v>
      </c>
      <c r="H146" s="4">
        <f t="shared" si="2"/>
        <v>0</v>
      </c>
      <c r="I146" t="e">
        <f>VLOOKUP(TablaObra5[[#This Row],[Obra]],Catalogos!$B$3:$C$8,2,FALSE)</f>
        <v>#N/A</v>
      </c>
    </row>
    <row r="147" spans="1:9">
      <c r="A147" s="2"/>
      <c r="E147" t="e">
        <f>VLOOKUP(TablaObra5[[#This Row],[Equipo]],Catalogos!$I$3:$J$34,2,FALSE)</f>
        <v>#N/A</v>
      </c>
      <c r="F147" s="3"/>
      <c r="G147" s="4">
        <v>28.3</v>
      </c>
      <c r="H147" s="4">
        <f t="shared" si="2"/>
        <v>0</v>
      </c>
      <c r="I147" t="e">
        <f>VLOOKUP(TablaObra5[[#This Row],[Obra]],Catalogos!$B$3:$C$8,2,FALSE)</f>
        <v>#N/A</v>
      </c>
    </row>
    <row r="148" spans="1:9">
      <c r="A148" s="2"/>
      <c r="E148" t="e">
        <f>VLOOKUP(TablaObra5[[#This Row],[Equipo]],Catalogos!$I$3:$J$34,2,FALSE)</f>
        <v>#N/A</v>
      </c>
      <c r="F148" s="3"/>
      <c r="G148" s="4">
        <v>28.3</v>
      </c>
      <c r="H148" s="4">
        <f t="shared" si="2"/>
        <v>0</v>
      </c>
      <c r="I148" t="e">
        <f>VLOOKUP(TablaObra5[[#This Row],[Obra]],Catalogos!$B$3:$C$8,2,FALSE)</f>
        <v>#N/A</v>
      </c>
    </row>
    <row r="149" spans="1:9">
      <c r="A149" s="2"/>
      <c r="E149" t="e">
        <f>VLOOKUP(TablaObra5[[#This Row],[Equipo]],Catalogos!$I$3:$J$34,2,FALSE)</f>
        <v>#N/A</v>
      </c>
      <c r="F149" s="3"/>
      <c r="G149" s="4">
        <v>28.3</v>
      </c>
      <c r="H149" s="4">
        <f t="shared" si="2"/>
        <v>0</v>
      </c>
      <c r="I149" t="e">
        <f>VLOOKUP(TablaObra5[[#This Row],[Obra]],Catalogos!$B$3:$C$8,2,FALSE)</f>
        <v>#N/A</v>
      </c>
    </row>
    <row r="150" spans="1:9">
      <c r="A150" s="2"/>
      <c r="E150" t="e">
        <f>VLOOKUP(TablaObra5[[#This Row],[Equipo]],Catalogos!$I$3:$J$34,2,FALSE)</f>
        <v>#N/A</v>
      </c>
      <c r="F150" s="3"/>
      <c r="G150" s="4">
        <v>28.3</v>
      </c>
      <c r="H150" s="4">
        <f t="shared" si="2"/>
        <v>0</v>
      </c>
      <c r="I150" t="e">
        <f>VLOOKUP(TablaObra5[[#This Row],[Obra]],Catalogos!$B$3:$C$8,2,FALSE)</f>
        <v>#N/A</v>
      </c>
    </row>
    <row r="151" spans="1:9">
      <c r="A151" s="2"/>
      <c r="E151" t="e">
        <f>VLOOKUP(TablaObra5[[#This Row],[Equipo]],Catalogos!$I$3:$J$34,2,FALSE)</f>
        <v>#N/A</v>
      </c>
      <c r="F151" s="3"/>
      <c r="G151" s="4">
        <v>28.3</v>
      </c>
      <c r="H151" s="4">
        <f t="shared" si="2"/>
        <v>0</v>
      </c>
      <c r="I151" t="e">
        <f>VLOOKUP(TablaObra5[[#This Row],[Obra]],Catalogos!$B$3:$C$8,2,FALSE)</f>
        <v>#N/A</v>
      </c>
    </row>
    <row r="152" spans="1:9">
      <c r="A152" s="2"/>
      <c r="E152" t="e">
        <f>VLOOKUP(TablaObra5[[#This Row],[Equipo]],Catalogos!$I$3:$J$34,2,FALSE)</f>
        <v>#N/A</v>
      </c>
      <c r="F152" s="3"/>
      <c r="G152" s="4">
        <v>28.3</v>
      </c>
      <c r="H152" s="4">
        <f t="shared" si="2"/>
        <v>0</v>
      </c>
      <c r="I152" t="e">
        <f>VLOOKUP(TablaObra5[[#This Row],[Obra]],Catalogos!$B$3:$C$8,2,FALSE)</f>
        <v>#N/A</v>
      </c>
    </row>
    <row r="153" spans="1:9">
      <c r="A153" s="2"/>
      <c r="E153" t="e">
        <f>VLOOKUP(TablaObra5[[#This Row],[Equipo]],Catalogos!$I$3:$J$34,2,FALSE)</f>
        <v>#N/A</v>
      </c>
      <c r="F153" s="3"/>
      <c r="G153" s="4">
        <v>28.3</v>
      </c>
      <c r="H153" s="4">
        <f t="shared" si="2"/>
        <v>0</v>
      </c>
      <c r="I153" t="e">
        <f>VLOOKUP(TablaObra5[[#This Row],[Obra]],Catalogos!$B$3:$C$8,2,FALSE)</f>
        <v>#N/A</v>
      </c>
    </row>
    <row r="154" spans="1:9">
      <c r="A154" s="2"/>
      <c r="E154" t="e">
        <f>VLOOKUP(TablaObra5[[#This Row],[Equipo]],Catalogos!$I$3:$J$34,2,FALSE)</f>
        <v>#N/A</v>
      </c>
      <c r="F154" s="3"/>
      <c r="G154" s="4">
        <v>28.3</v>
      </c>
      <c r="H154" s="4">
        <f t="shared" si="2"/>
        <v>0</v>
      </c>
      <c r="I154" t="e">
        <f>VLOOKUP(TablaObra5[[#This Row],[Obra]],Catalogos!$B$3:$C$8,2,FALSE)</f>
        <v>#N/A</v>
      </c>
    </row>
    <row r="155" spans="1:9">
      <c r="A155" s="2"/>
      <c r="E155" t="e">
        <f>VLOOKUP(TablaObra5[[#This Row],[Equipo]],Catalogos!$I$3:$J$34,2,FALSE)</f>
        <v>#N/A</v>
      </c>
      <c r="F155" s="3"/>
      <c r="G155" s="4">
        <v>28.3</v>
      </c>
      <c r="H155" s="4">
        <f t="shared" si="2"/>
        <v>0</v>
      </c>
      <c r="I155" t="e">
        <f>VLOOKUP(TablaObra5[[#This Row],[Obra]],Catalogos!$B$3:$C$8,2,FALSE)</f>
        <v>#N/A</v>
      </c>
    </row>
    <row r="156" spans="1:9">
      <c r="A156" s="2"/>
      <c r="E156" t="e">
        <f>VLOOKUP(TablaObra5[[#This Row],[Equipo]],Catalogos!$I$3:$J$34,2,FALSE)</f>
        <v>#N/A</v>
      </c>
      <c r="F156" s="3"/>
      <c r="G156" s="4">
        <v>28.3</v>
      </c>
      <c r="H156" s="4">
        <f t="shared" si="2"/>
        <v>0</v>
      </c>
      <c r="I156" t="e">
        <f>VLOOKUP(TablaObra5[[#This Row],[Obra]],Catalogos!$B$3:$C$8,2,FALSE)</f>
        <v>#N/A</v>
      </c>
    </row>
    <row r="157" spans="1:9">
      <c r="A157" s="2"/>
      <c r="E157" t="e">
        <f>VLOOKUP(TablaObra5[[#This Row],[Equipo]],Catalogos!$I$3:$J$34,2,FALSE)</f>
        <v>#N/A</v>
      </c>
      <c r="F157" s="3"/>
      <c r="G157" s="4">
        <v>28.3</v>
      </c>
      <c r="H157" s="4">
        <f t="shared" si="2"/>
        <v>0</v>
      </c>
      <c r="I157" t="e">
        <f>VLOOKUP(TablaObra5[[#This Row],[Obra]],Catalogos!$B$3:$C$8,2,FALSE)</f>
        <v>#N/A</v>
      </c>
    </row>
    <row r="158" spans="1:9">
      <c r="A158" s="2"/>
      <c r="E158" t="e">
        <f>VLOOKUP(TablaObra5[[#This Row],[Equipo]],Catalogos!$I$3:$J$34,2,FALSE)</f>
        <v>#N/A</v>
      </c>
      <c r="F158" s="3"/>
      <c r="G158" s="4">
        <v>28.3</v>
      </c>
      <c r="H158" s="4">
        <f t="shared" si="2"/>
        <v>0</v>
      </c>
      <c r="I158" t="e">
        <f>VLOOKUP(TablaObra5[[#This Row],[Obra]],Catalogos!$B$3:$C$8,2,FALSE)</f>
        <v>#N/A</v>
      </c>
    </row>
    <row r="159" spans="1:9">
      <c r="A159" s="2"/>
      <c r="E159" t="e">
        <f>VLOOKUP(TablaObra5[[#This Row],[Equipo]],Catalogos!$I$3:$J$34,2,FALSE)</f>
        <v>#N/A</v>
      </c>
      <c r="F159" s="3"/>
      <c r="G159" s="4">
        <v>28.3</v>
      </c>
      <c r="H159" s="4">
        <f t="shared" si="2"/>
        <v>0</v>
      </c>
      <c r="I159" t="e">
        <f>VLOOKUP(TablaObra5[[#This Row],[Obra]],Catalogos!$B$3:$C$8,2,FALSE)</f>
        <v>#N/A</v>
      </c>
    </row>
    <row r="160" spans="1:9">
      <c r="A160" s="2"/>
      <c r="E160" t="e">
        <f>VLOOKUP(TablaObra5[[#This Row],[Equipo]],Catalogos!$I$3:$J$34,2,FALSE)</f>
        <v>#N/A</v>
      </c>
      <c r="F160" s="3"/>
      <c r="G160" s="4">
        <v>28.3</v>
      </c>
      <c r="H160" s="4">
        <f t="shared" si="2"/>
        <v>0</v>
      </c>
      <c r="I160" t="e">
        <f>VLOOKUP(TablaObra5[[#This Row],[Obra]],Catalogos!$B$3:$C$8,2,FALSE)</f>
        <v>#N/A</v>
      </c>
    </row>
    <row r="161" spans="1:9">
      <c r="A161" s="2"/>
      <c r="E161" t="e">
        <f>VLOOKUP(TablaObra5[[#This Row],[Equipo]],Catalogos!$I$3:$J$34,2,FALSE)</f>
        <v>#N/A</v>
      </c>
      <c r="F161" s="3"/>
      <c r="G161" s="4">
        <v>28.3</v>
      </c>
      <c r="H161" s="4">
        <f t="shared" si="2"/>
        <v>0</v>
      </c>
      <c r="I161" t="e">
        <f>VLOOKUP(TablaObra5[[#This Row],[Obra]],Catalogos!$B$3:$C$8,2,FALSE)</f>
        <v>#N/A</v>
      </c>
    </row>
    <row r="162" spans="1:9">
      <c r="A162" s="2"/>
      <c r="E162" t="e">
        <f>VLOOKUP(TablaObra5[[#This Row],[Equipo]],Catalogos!$I$3:$J$34,2,FALSE)</f>
        <v>#N/A</v>
      </c>
      <c r="F162" s="3"/>
      <c r="G162" s="4">
        <v>28.3</v>
      </c>
      <c r="H162" s="4">
        <f t="shared" si="2"/>
        <v>0</v>
      </c>
      <c r="I162" t="e">
        <f>VLOOKUP(TablaObra5[[#This Row],[Obra]],Catalogos!$B$3:$C$8,2,FALSE)</f>
        <v>#N/A</v>
      </c>
    </row>
    <row r="163" spans="1:9">
      <c r="A163" s="2"/>
      <c r="E163" t="e">
        <f>VLOOKUP(TablaObra5[[#This Row],[Equipo]],Catalogos!$I$3:$J$34,2,FALSE)</f>
        <v>#N/A</v>
      </c>
      <c r="F163" s="3"/>
      <c r="G163" s="4">
        <v>28.3</v>
      </c>
      <c r="H163" s="4">
        <f t="shared" si="2"/>
        <v>0</v>
      </c>
      <c r="I163" t="e">
        <f>VLOOKUP(TablaObra5[[#This Row],[Obra]],Catalogos!$B$3:$C$8,2,FALSE)</f>
        <v>#N/A</v>
      </c>
    </row>
    <row r="164" spans="1:9">
      <c r="A164" s="2"/>
      <c r="E164" t="e">
        <f>VLOOKUP(TablaObra5[[#This Row],[Equipo]],Catalogos!$I$3:$J$34,2,FALSE)</f>
        <v>#N/A</v>
      </c>
      <c r="F164" s="3"/>
      <c r="G164" s="4">
        <v>28.3</v>
      </c>
      <c r="H164" s="4">
        <f t="shared" si="2"/>
        <v>0</v>
      </c>
      <c r="I164" t="e">
        <f>VLOOKUP(TablaObra5[[#This Row],[Obra]],Catalogos!$B$3:$C$8,2,FALSE)</f>
        <v>#N/A</v>
      </c>
    </row>
    <row r="165" spans="1:9">
      <c r="A165" s="2"/>
      <c r="E165" t="e">
        <f>VLOOKUP(TablaObra5[[#This Row],[Equipo]],Catalogos!$I$3:$J$34,2,FALSE)</f>
        <v>#N/A</v>
      </c>
      <c r="F165" s="3"/>
      <c r="G165" s="4">
        <v>28.3</v>
      </c>
      <c r="H165" s="4">
        <f t="shared" si="2"/>
        <v>0</v>
      </c>
      <c r="I165" t="e">
        <f>VLOOKUP(TablaObra5[[#This Row],[Obra]],Catalogos!$B$3:$C$8,2,FALSE)</f>
        <v>#N/A</v>
      </c>
    </row>
    <row r="166" spans="1:9">
      <c r="A166" s="2"/>
      <c r="E166" t="e">
        <f>VLOOKUP(TablaObra5[[#This Row],[Equipo]],Catalogos!$I$3:$J$34,2,FALSE)</f>
        <v>#N/A</v>
      </c>
      <c r="F166" s="3"/>
      <c r="G166" s="4">
        <v>28.3</v>
      </c>
      <c r="H166" s="4">
        <f t="shared" si="2"/>
        <v>0</v>
      </c>
      <c r="I166" t="e">
        <f>VLOOKUP(TablaObra5[[#This Row],[Obra]],Catalogos!$B$3:$C$8,2,FALSE)</f>
        <v>#N/A</v>
      </c>
    </row>
    <row r="167" spans="1:9">
      <c r="A167" s="2"/>
      <c r="E167" t="e">
        <f>VLOOKUP(TablaObra5[[#This Row],[Equipo]],Catalogos!$I$3:$J$34,2,FALSE)</f>
        <v>#N/A</v>
      </c>
      <c r="F167" s="3"/>
      <c r="G167" s="4">
        <v>28.3</v>
      </c>
      <c r="H167" s="4">
        <f t="shared" si="2"/>
        <v>0</v>
      </c>
      <c r="I167" t="e">
        <f>VLOOKUP(TablaObra5[[#This Row],[Obra]],Catalogos!$B$3:$C$8,2,FALSE)</f>
        <v>#N/A</v>
      </c>
    </row>
    <row r="168" spans="1:9">
      <c r="A168" s="2"/>
      <c r="E168" t="e">
        <f>VLOOKUP(TablaObra5[[#This Row],[Equipo]],Catalogos!$I$3:$J$34,2,FALSE)</f>
        <v>#N/A</v>
      </c>
      <c r="F168" s="3"/>
      <c r="G168" s="4">
        <v>28.3</v>
      </c>
      <c r="H168" s="4">
        <f t="shared" si="2"/>
        <v>0</v>
      </c>
      <c r="I168" t="e">
        <f>VLOOKUP(TablaObra5[[#This Row],[Obra]],Catalogos!$B$3:$C$8,2,FALSE)</f>
        <v>#N/A</v>
      </c>
    </row>
    <row r="169" spans="1:9">
      <c r="A169" s="2"/>
      <c r="E169" t="e">
        <f>VLOOKUP(TablaObra5[[#This Row],[Equipo]],Catalogos!$I$3:$J$34,2,FALSE)</f>
        <v>#N/A</v>
      </c>
      <c r="F169" s="3"/>
      <c r="G169" s="4">
        <v>28.3</v>
      </c>
      <c r="H169" s="4">
        <f t="shared" si="2"/>
        <v>0</v>
      </c>
      <c r="I169" t="e">
        <f>VLOOKUP(TablaObra5[[#This Row],[Obra]],Catalogos!$B$3:$C$8,2,FALSE)</f>
        <v>#N/A</v>
      </c>
    </row>
    <row r="170" spans="1:9">
      <c r="A170" s="2"/>
      <c r="E170" t="e">
        <f>VLOOKUP(TablaObra5[[#This Row],[Equipo]],Catalogos!$I$3:$J$34,2,FALSE)</f>
        <v>#N/A</v>
      </c>
      <c r="F170" s="3"/>
      <c r="G170" s="4">
        <v>28.3</v>
      </c>
      <c r="H170" s="4">
        <f t="shared" si="2"/>
        <v>0</v>
      </c>
      <c r="I170" t="e">
        <f>VLOOKUP(TablaObra5[[#This Row],[Obra]],Catalogos!$B$3:$C$8,2,FALSE)</f>
        <v>#N/A</v>
      </c>
    </row>
    <row r="171" spans="1:9">
      <c r="A171" s="2"/>
      <c r="E171" t="e">
        <f>VLOOKUP(TablaObra5[[#This Row],[Equipo]],Catalogos!$I$3:$J$34,2,FALSE)</f>
        <v>#N/A</v>
      </c>
      <c r="F171" s="3"/>
      <c r="G171" s="4">
        <v>28.3</v>
      </c>
      <c r="H171" s="4">
        <f t="shared" si="2"/>
        <v>0</v>
      </c>
      <c r="I171" t="e">
        <f>VLOOKUP(TablaObra5[[#This Row],[Obra]],Catalogos!$B$3:$C$8,2,FALSE)</f>
        <v>#N/A</v>
      </c>
    </row>
    <row r="172" spans="1:9">
      <c r="A172" s="2"/>
      <c r="E172" t="e">
        <f>VLOOKUP(TablaObra5[[#This Row],[Equipo]],Catalogos!$I$3:$J$34,2,FALSE)</f>
        <v>#N/A</v>
      </c>
      <c r="F172" s="3"/>
      <c r="G172" s="4">
        <v>28.3</v>
      </c>
      <c r="H172" s="4">
        <f t="shared" si="2"/>
        <v>0</v>
      </c>
      <c r="I172" t="e">
        <f>VLOOKUP(TablaObra5[[#This Row],[Obra]],Catalogos!$B$3:$C$8,2,FALSE)</f>
        <v>#N/A</v>
      </c>
    </row>
    <row r="173" spans="1:9">
      <c r="A173" s="2"/>
      <c r="E173" t="e">
        <f>VLOOKUP(TablaObra5[[#This Row],[Equipo]],Catalogos!$I$3:$J$34,2,FALSE)</f>
        <v>#N/A</v>
      </c>
      <c r="F173" s="3"/>
      <c r="G173" s="4">
        <v>28.3</v>
      </c>
      <c r="H173" s="4">
        <f t="shared" si="2"/>
        <v>0</v>
      </c>
      <c r="I173" t="e">
        <f>VLOOKUP(TablaObra5[[#This Row],[Obra]],Catalogos!$B$3:$C$8,2,FALSE)</f>
        <v>#N/A</v>
      </c>
    </row>
    <row r="174" spans="1:9">
      <c r="A174" s="2"/>
      <c r="E174" t="e">
        <f>VLOOKUP(TablaObra5[[#This Row],[Equipo]],Catalogos!$I$3:$J$34,2,FALSE)</f>
        <v>#N/A</v>
      </c>
      <c r="F174" s="3"/>
      <c r="G174" s="4">
        <v>28.3</v>
      </c>
      <c r="H174" s="4">
        <f t="shared" si="2"/>
        <v>0</v>
      </c>
      <c r="I174" t="e">
        <f>VLOOKUP(TablaObra5[[#This Row],[Obra]],Catalogos!$B$3:$C$8,2,FALSE)</f>
        <v>#N/A</v>
      </c>
    </row>
    <row r="175" spans="1:9">
      <c r="A175" s="2"/>
      <c r="E175" t="e">
        <f>VLOOKUP(TablaObra5[[#This Row],[Equipo]],Catalogos!$I$3:$J$34,2,FALSE)</f>
        <v>#N/A</v>
      </c>
      <c r="F175" s="3"/>
      <c r="G175" s="4">
        <v>28.3</v>
      </c>
      <c r="H175" s="4">
        <f t="shared" si="2"/>
        <v>0</v>
      </c>
      <c r="I175" t="e">
        <f>VLOOKUP(TablaObra5[[#This Row],[Obra]],Catalogos!$B$3:$C$8,2,FALSE)</f>
        <v>#N/A</v>
      </c>
    </row>
    <row r="176" spans="1:9">
      <c r="A176" s="2"/>
      <c r="E176" t="e">
        <f>VLOOKUP(TablaObra5[[#This Row],[Equipo]],Catalogos!$I$3:$J$34,2,FALSE)</f>
        <v>#N/A</v>
      </c>
      <c r="F176" s="3"/>
      <c r="G176" s="4">
        <v>28.3</v>
      </c>
      <c r="H176" s="4">
        <f t="shared" si="2"/>
        <v>0</v>
      </c>
      <c r="I176" t="e">
        <f>VLOOKUP(TablaObra5[[#This Row],[Obra]],Catalogos!$B$3:$C$8,2,FALSE)</f>
        <v>#N/A</v>
      </c>
    </row>
    <row r="177" spans="1:9">
      <c r="A177" s="2"/>
      <c r="E177" t="e">
        <f>VLOOKUP(TablaObra5[[#This Row],[Equipo]],Catalogos!$I$3:$J$34,2,FALSE)</f>
        <v>#N/A</v>
      </c>
      <c r="F177" s="3"/>
      <c r="G177" s="4">
        <v>28.3</v>
      </c>
      <c r="H177" s="4">
        <f t="shared" si="2"/>
        <v>0</v>
      </c>
      <c r="I177" t="e">
        <f>VLOOKUP(TablaObra5[[#This Row],[Obra]],Catalogos!$B$3:$C$8,2,FALSE)</f>
        <v>#N/A</v>
      </c>
    </row>
    <row r="178" spans="1:9">
      <c r="A178" s="2"/>
      <c r="E178" t="e">
        <f>VLOOKUP(TablaObra5[[#This Row],[Equipo]],Catalogos!$I$3:$J$34,2,FALSE)</f>
        <v>#N/A</v>
      </c>
      <c r="F178" s="3"/>
      <c r="G178" s="4">
        <v>28.3</v>
      </c>
      <c r="H178" s="4">
        <f t="shared" si="2"/>
        <v>0</v>
      </c>
      <c r="I178" t="e">
        <f>VLOOKUP(TablaObra5[[#This Row],[Obra]],Catalogos!$B$3:$C$8,2,FALSE)</f>
        <v>#N/A</v>
      </c>
    </row>
    <row r="179" spans="1:9">
      <c r="A179" s="2"/>
      <c r="E179" t="e">
        <f>VLOOKUP(TablaObra5[[#This Row],[Equipo]],Catalogos!$I$3:$J$34,2,FALSE)</f>
        <v>#N/A</v>
      </c>
      <c r="F179" s="3"/>
      <c r="G179" s="4">
        <v>28.3</v>
      </c>
      <c r="H179" s="4">
        <f t="shared" si="2"/>
        <v>0</v>
      </c>
      <c r="I179" t="e">
        <f>VLOOKUP(TablaObra5[[#This Row],[Obra]],Catalogos!$B$3:$C$8,2,FALSE)</f>
        <v>#N/A</v>
      </c>
    </row>
    <row r="180" spans="1:9">
      <c r="A180" s="2"/>
      <c r="E180" t="e">
        <f>VLOOKUP(TablaObra5[[#This Row],[Equipo]],Catalogos!$I$3:$J$34,2,FALSE)</f>
        <v>#N/A</v>
      </c>
      <c r="F180" s="3"/>
      <c r="G180" s="4">
        <v>28.3</v>
      </c>
      <c r="H180" s="4">
        <f t="shared" si="2"/>
        <v>0</v>
      </c>
      <c r="I180" t="e">
        <f>VLOOKUP(TablaObra5[[#This Row],[Obra]],Catalogos!$B$3:$C$8,2,FALSE)</f>
        <v>#N/A</v>
      </c>
    </row>
    <row r="181" spans="1:9">
      <c r="A181" s="2"/>
      <c r="E181" t="e">
        <f>VLOOKUP(TablaObra5[[#This Row],[Equipo]],Catalogos!$I$3:$J$34,2,FALSE)</f>
        <v>#N/A</v>
      </c>
      <c r="F181" s="3"/>
      <c r="G181" s="4">
        <v>28.3</v>
      </c>
      <c r="H181" s="4">
        <f t="shared" si="2"/>
        <v>0</v>
      </c>
      <c r="I181" t="e">
        <f>VLOOKUP(TablaObra5[[#This Row],[Obra]],Catalogos!$B$3:$C$8,2,FALSE)</f>
        <v>#N/A</v>
      </c>
    </row>
    <row r="182" spans="1:9">
      <c r="A182" s="2"/>
      <c r="E182" t="e">
        <f>VLOOKUP(TablaObra5[[#This Row],[Equipo]],Catalogos!$I$3:$J$34,2,FALSE)</f>
        <v>#N/A</v>
      </c>
      <c r="F182" s="3"/>
      <c r="G182" s="4">
        <v>28.3</v>
      </c>
      <c r="H182" s="4">
        <f t="shared" si="2"/>
        <v>0</v>
      </c>
      <c r="I182" t="e">
        <f>VLOOKUP(TablaObra5[[#This Row],[Obra]],Catalogos!$B$3:$C$8,2,FALSE)</f>
        <v>#N/A</v>
      </c>
    </row>
    <row r="183" spans="1:9">
      <c r="A183" s="2"/>
      <c r="E183" t="e">
        <f>VLOOKUP(TablaObra5[[#This Row],[Equipo]],Catalogos!$I$3:$J$34,2,FALSE)</f>
        <v>#N/A</v>
      </c>
      <c r="F183" s="3"/>
      <c r="G183" s="4">
        <v>28.3</v>
      </c>
      <c r="H183" s="4">
        <f t="shared" si="2"/>
        <v>0</v>
      </c>
      <c r="I183" t="e">
        <f>VLOOKUP(TablaObra5[[#This Row],[Obra]],Catalogos!$B$3:$C$8,2,FALSE)</f>
        <v>#N/A</v>
      </c>
    </row>
    <row r="184" spans="1:9">
      <c r="A184" s="2"/>
      <c r="E184" t="e">
        <f>VLOOKUP(TablaObra5[[#This Row],[Equipo]],Catalogos!$I$3:$J$34,2,FALSE)</f>
        <v>#N/A</v>
      </c>
      <c r="F184" s="3"/>
      <c r="G184" s="4">
        <v>28.3</v>
      </c>
      <c r="H184" s="4">
        <f t="shared" si="2"/>
        <v>0</v>
      </c>
      <c r="I184" t="e">
        <f>VLOOKUP(TablaObra5[[#This Row],[Obra]],Catalogos!$B$3:$C$8,2,FALSE)</f>
        <v>#N/A</v>
      </c>
    </row>
    <row r="185" spans="1:9">
      <c r="A185" s="2"/>
      <c r="E185" t="e">
        <f>VLOOKUP(TablaObra5[[#This Row],[Equipo]],Catalogos!$I$3:$J$34,2,FALSE)</f>
        <v>#N/A</v>
      </c>
      <c r="F185" s="3"/>
      <c r="G185" s="4">
        <v>28.3</v>
      </c>
      <c r="H185" s="4">
        <f t="shared" si="2"/>
        <v>0</v>
      </c>
      <c r="I185" t="e">
        <f>VLOOKUP(TablaObra5[[#This Row],[Obra]],Catalogos!$B$3:$C$8,2,FALSE)</f>
        <v>#N/A</v>
      </c>
    </row>
    <row r="186" spans="1:9">
      <c r="A186" s="2"/>
      <c r="E186" t="e">
        <f>VLOOKUP(TablaObra5[[#This Row],[Equipo]],Catalogos!$I$3:$J$34,2,FALSE)</f>
        <v>#N/A</v>
      </c>
      <c r="F186" s="3"/>
      <c r="G186" s="4">
        <v>28.3</v>
      </c>
      <c r="H186" s="4">
        <f t="shared" si="2"/>
        <v>0</v>
      </c>
      <c r="I186" t="e">
        <f>VLOOKUP(TablaObra5[[#This Row],[Obra]],Catalogos!$B$3:$C$8,2,FALSE)</f>
        <v>#N/A</v>
      </c>
    </row>
    <row r="187" spans="1:9">
      <c r="A187" s="2"/>
      <c r="E187" t="e">
        <f>VLOOKUP(TablaObra5[[#This Row],[Equipo]],Catalogos!$I$3:$J$34,2,FALSE)</f>
        <v>#N/A</v>
      </c>
      <c r="F187" s="3"/>
      <c r="G187" s="4">
        <v>28.3</v>
      </c>
      <c r="H187" s="4">
        <f t="shared" si="2"/>
        <v>0</v>
      </c>
      <c r="I187" t="e">
        <f>VLOOKUP(TablaObra5[[#This Row],[Obra]],Catalogos!$B$3:$C$8,2,FALSE)</f>
        <v>#N/A</v>
      </c>
    </row>
    <row r="188" spans="1:9">
      <c r="A188" s="2"/>
      <c r="E188" t="e">
        <f>VLOOKUP(TablaObra5[[#This Row],[Equipo]],Catalogos!$I$3:$J$34,2,FALSE)</f>
        <v>#N/A</v>
      </c>
      <c r="F188" s="3"/>
      <c r="G188" s="4">
        <v>28.3</v>
      </c>
      <c r="H188" s="4">
        <f t="shared" si="2"/>
        <v>0</v>
      </c>
      <c r="I188" t="e">
        <f>VLOOKUP(TablaObra5[[#This Row],[Obra]],Catalogos!$B$3:$C$8,2,FALSE)</f>
        <v>#N/A</v>
      </c>
    </row>
    <row r="189" spans="1:9">
      <c r="A189" s="2"/>
      <c r="E189" t="e">
        <f>VLOOKUP(TablaObra5[[#This Row],[Equipo]],Catalogos!$I$3:$J$34,2,FALSE)</f>
        <v>#N/A</v>
      </c>
      <c r="F189" s="3"/>
      <c r="G189" s="4">
        <v>28.3</v>
      </c>
      <c r="H189" s="4">
        <f t="shared" si="2"/>
        <v>0</v>
      </c>
      <c r="I189" t="e">
        <f>VLOOKUP(TablaObra5[[#This Row],[Obra]],Catalogos!$B$3:$C$8,2,FALSE)</f>
        <v>#N/A</v>
      </c>
    </row>
    <row r="190" spans="1:9">
      <c r="A190" s="2"/>
      <c r="E190" t="e">
        <f>VLOOKUP(TablaObra5[[#This Row],[Equipo]],Catalogos!$I$3:$J$34,2,FALSE)</f>
        <v>#N/A</v>
      </c>
      <c r="F190" s="3"/>
      <c r="G190" s="4">
        <v>28.3</v>
      </c>
      <c r="H190" s="4">
        <f t="shared" si="2"/>
        <v>0</v>
      </c>
      <c r="I190" t="e">
        <f>VLOOKUP(TablaObra5[[#This Row],[Obra]],Catalogos!$B$3:$C$8,2,FALSE)</f>
        <v>#N/A</v>
      </c>
    </row>
    <row r="191" spans="1:9">
      <c r="A191" s="2"/>
      <c r="E191" t="e">
        <f>VLOOKUP(TablaObra5[[#This Row],[Equipo]],Catalogos!$I$3:$J$34,2,FALSE)</f>
        <v>#N/A</v>
      </c>
      <c r="F191" s="3"/>
      <c r="G191" s="4">
        <v>28.3</v>
      </c>
      <c r="H191" s="4">
        <f t="shared" si="2"/>
        <v>0</v>
      </c>
      <c r="I191" t="e">
        <f>VLOOKUP(TablaObra5[[#This Row],[Obra]],Catalogos!$B$3:$C$8,2,FALSE)</f>
        <v>#N/A</v>
      </c>
    </row>
    <row r="192" spans="1:9">
      <c r="A192" s="2"/>
      <c r="E192" t="e">
        <f>VLOOKUP(TablaObra5[[#This Row],[Equipo]],Catalogos!$I$3:$J$34,2,FALSE)</f>
        <v>#N/A</v>
      </c>
      <c r="F192" s="3"/>
      <c r="G192" s="4">
        <v>28.3</v>
      </c>
      <c r="H192" s="4">
        <f t="shared" si="2"/>
        <v>0</v>
      </c>
      <c r="I192" t="e">
        <f>VLOOKUP(TablaObra5[[#This Row],[Obra]],Catalogos!$B$3:$C$8,2,FALSE)</f>
        <v>#N/A</v>
      </c>
    </row>
    <row r="193" spans="1:9">
      <c r="A193" s="2"/>
      <c r="E193" t="e">
        <f>VLOOKUP(TablaObra5[[#This Row],[Equipo]],Catalogos!$I$3:$J$34,2,FALSE)</f>
        <v>#N/A</v>
      </c>
      <c r="F193" s="3"/>
      <c r="G193" s="4">
        <v>28.3</v>
      </c>
      <c r="H193" s="4">
        <f t="shared" si="2"/>
        <v>0</v>
      </c>
      <c r="I193" t="e">
        <f>VLOOKUP(TablaObra5[[#This Row],[Obra]],Catalogos!$B$3:$C$8,2,FALSE)</f>
        <v>#N/A</v>
      </c>
    </row>
    <row r="194" spans="1:9">
      <c r="A194" s="2"/>
      <c r="E194" t="e">
        <f>VLOOKUP(TablaObra5[[#This Row],[Equipo]],Catalogos!$I$3:$J$34,2,FALSE)</f>
        <v>#N/A</v>
      </c>
      <c r="F194" s="3"/>
      <c r="G194" s="4">
        <v>28.3</v>
      </c>
      <c r="H194" s="4">
        <f t="shared" si="2"/>
        <v>0</v>
      </c>
      <c r="I194" t="e">
        <f>VLOOKUP(TablaObra5[[#This Row],[Obra]],Catalogos!$B$3:$C$8,2,FALSE)</f>
        <v>#N/A</v>
      </c>
    </row>
    <row r="195" spans="1:9">
      <c r="A195" s="2"/>
      <c r="E195" t="e">
        <f>VLOOKUP(TablaObra5[[#This Row],[Equipo]],Catalogos!$I$3:$J$34,2,FALSE)</f>
        <v>#N/A</v>
      </c>
      <c r="F195" s="3"/>
      <c r="G195" s="4">
        <v>28.3</v>
      </c>
      <c r="H195" s="4">
        <f t="shared" si="2"/>
        <v>0</v>
      </c>
      <c r="I195" t="e">
        <f>VLOOKUP(TablaObra5[[#This Row],[Obra]],Catalogos!$B$3:$C$8,2,FALSE)</f>
        <v>#N/A</v>
      </c>
    </row>
    <row r="196" spans="1:9">
      <c r="A196" s="2"/>
      <c r="E196" t="e">
        <f>VLOOKUP(TablaObra5[[#This Row],[Equipo]],Catalogos!$I$3:$J$34,2,FALSE)</f>
        <v>#N/A</v>
      </c>
      <c r="F196" s="3"/>
      <c r="G196" s="4">
        <v>28.3</v>
      </c>
      <c r="H196" s="4">
        <f t="shared" si="2"/>
        <v>0</v>
      </c>
      <c r="I196" t="e">
        <f>VLOOKUP(TablaObra5[[#This Row],[Obra]],Catalogos!$B$3:$C$8,2,FALSE)</f>
        <v>#N/A</v>
      </c>
    </row>
    <row r="197" spans="1:9">
      <c r="A197" s="2"/>
      <c r="E197" t="e">
        <f>VLOOKUP(TablaObra5[[#This Row],[Equipo]],Catalogos!$I$3:$J$34,2,FALSE)</f>
        <v>#N/A</v>
      </c>
      <c r="F197" s="3"/>
      <c r="G197" s="4">
        <v>28.3</v>
      </c>
      <c r="H197" s="4">
        <f t="shared" si="2"/>
        <v>0</v>
      </c>
      <c r="I197" t="e">
        <f>VLOOKUP(TablaObra5[[#This Row],[Obra]],Catalogos!$B$3:$C$8,2,FALSE)</f>
        <v>#N/A</v>
      </c>
    </row>
    <row r="198" spans="1:9">
      <c r="A198" s="2"/>
      <c r="E198" t="e">
        <f>VLOOKUP(TablaObra5[[#This Row],[Equipo]],Catalogos!$I$3:$J$34,2,FALSE)</f>
        <v>#N/A</v>
      </c>
      <c r="F198" s="3"/>
      <c r="G198" s="4">
        <v>28.3</v>
      </c>
      <c r="H198" s="4">
        <f t="shared" si="2"/>
        <v>0</v>
      </c>
      <c r="I198" t="e">
        <f>VLOOKUP(TablaObra5[[#This Row],[Obra]],Catalogos!$B$3:$C$8,2,FALSE)</f>
        <v>#N/A</v>
      </c>
    </row>
    <row r="199" spans="1:9">
      <c r="A199" s="2"/>
      <c r="E199" t="e">
        <f>VLOOKUP(TablaObra5[[#This Row],[Equipo]],Catalogos!$I$3:$J$34,2,FALSE)</f>
        <v>#N/A</v>
      </c>
      <c r="F199" s="3"/>
      <c r="G199" s="4">
        <v>28.3</v>
      </c>
      <c r="H199" s="4">
        <f t="shared" ref="H199:H262" si="3">IFERROR(F199*G199,0)</f>
        <v>0</v>
      </c>
      <c r="I199" t="e">
        <f>VLOOKUP(TablaObra5[[#This Row],[Obra]],Catalogos!$B$3:$C$8,2,FALSE)</f>
        <v>#N/A</v>
      </c>
    </row>
    <row r="200" spans="1:9">
      <c r="A200" s="2"/>
      <c r="E200" t="e">
        <f>VLOOKUP(TablaObra5[[#This Row],[Equipo]],Catalogos!$I$3:$J$34,2,FALSE)</f>
        <v>#N/A</v>
      </c>
      <c r="F200" s="3"/>
      <c r="G200" s="4">
        <v>28.3</v>
      </c>
      <c r="H200" s="4">
        <f t="shared" si="3"/>
        <v>0</v>
      </c>
      <c r="I200" t="e">
        <f>VLOOKUP(TablaObra5[[#This Row],[Obra]],Catalogos!$B$3:$C$8,2,FALSE)</f>
        <v>#N/A</v>
      </c>
    </row>
    <row r="201" spans="1:9">
      <c r="A201" s="2"/>
      <c r="E201" t="e">
        <f>VLOOKUP(TablaObra5[[#This Row],[Equipo]],Catalogos!$I$3:$J$34,2,FALSE)</f>
        <v>#N/A</v>
      </c>
      <c r="F201" s="3"/>
      <c r="G201" s="4">
        <v>28.3</v>
      </c>
      <c r="H201" s="4">
        <f t="shared" si="3"/>
        <v>0</v>
      </c>
      <c r="I201" t="e">
        <f>VLOOKUP(TablaObra5[[#This Row],[Obra]],Catalogos!$B$3:$C$8,2,FALSE)</f>
        <v>#N/A</v>
      </c>
    </row>
    <row r="202" spans="1:9">
      <c r="A202" s="2"/>
      <c r="E202" t="e">
        <f>VLOOKUP(TablaObra5[[#This Row],[Equipo]],Catalogos!$I$3:$J$34,2,FALSE)</f>
        <v>#N/A</v>
      </c>
      <c r="F202" s="3"/>
      <c r="G202" s="4">
        <v>28.3</v>
      </c>
      <c r="H202" s="4">
        <f t="shared" si="3"/>
        <v>0</v>
      </c>
      <c r="I202" t="e">
        <f>VLOOKUP(TablaObra5[[#This Row],[Obra]],Catalogos!$B$3:$C$8,2,FALSE)</f>
        <v>#N/A</v>
      </c>
    </row>
    <row r="203" spans="1:9">
      <c r="A203" s="2"/>
      <c r="E203" t="e">
        <f>VLOOKUP(TablaObra5[[#This Row],[Equipo]],Catalogos!$I$3:$J$34,2,FALSE)</f>
        <v>#N/A</v>
      </c>
      <c r="F203" s="3"/>
      <c r="G203" s="4">
        <v>28.3</v>
      </c>
      <c r="H203" s="4">
        <f t="shared" si="3"/>
        <v>0</v>
      </c>
      <c r="I203" t="e">
        <f>VLOOKUP(TablaObra5[[#This Row],[Obra]],Catalogos!$B$3:$C$8,2,FALSE)</f>
        <v>#N/A</v>
      </c>
    </row>
    <row r="204" spans="1:9">
      <c r="A204" s="2"/>
      <c r="E204" t="e">
        <f>VLOOKUP(TablaObra5[[#This Row],[Equipo]],Catalogos!$I$3:$J$34,2,FALSE)</f>
        <v>#N/A</v>
      </c>
      <c r="F204" s="3"/>
      <c r="G204" s="4">
        <v>28.3</v>
      </c>
      <c r="H204" s="4">
        <f t="shared" si="3"/>
        <v>0</v>
      </c>
      <c r="I204" t="e">
        <f>VLOOKUP(TablaObra5[[#This Row],[Obra]],Catalogos!$B$3:$C$8,2,FALSE)</f>
        <v>#N/A</v>
      </c>
    </row>
    <row r="205" spans="1:9">
      <c r="A205" s="2"/>
      <c r="E205" t="e">
        <f>VLOOKUP(TablaObra5[[#This Row],[Equipo]],Catalogos!$I$3:$J$34,2,FALSE)</f>
        <v>#N/A</v>
      </c>
      <c r="F205" s="3"/>
      <c r="G205" s="4">
        <v>28.3</v>
      </c>
      <c r="H205" s="4">
        <f t="shared" si="3"/>
        <v>0</v>
      </c>
      <c r="I205" t="e">
        <f>VLOOKUP(TablaObra5[[#This Row],[Obra]],Catalogos!$B$3:$C$8,2,FALSE)</f>
        <v>#N/A</v>
      </c>
    </row>
    <row r="206" spans="1:9">
      <c r="A206" s="2"/>
      <c r="E206" t="e">
        <f>VLOOKUP(TablaObra5[[#This Row],[Equipo]],Catalogos!$I$3:$J$34,2,FALSE)</f>
        <v>#N/A</v>
      </c>
      <c r="F206" s="3"/>
      <c r="G206" s="4">
        <v>28.3</v>
      </c>
      <c r="H206" s="4">
        <f t="shared" si="3"/>
        <v>0</v>
      </c>
      <c r="I206" t="e">
        <f>VLOOKUP(TablaObra5[[#This Row],[Obra]],Catalogos!$B$3:$C$8,2,FALSE)</f>
        <v>#N/A</v>
      </c>
    </row>
    <row r="207" spans="1:9">
      <c r="A207" s="2"/>
      <c r="E207" t="e">
        <f>VLOOKUP(TablaObra5[[#This Row],[Equipo]],Catalogos!$I$3:$J$34,2,FALSE)</f>
        <v>#N/A</v>
      </c>
      <c r="F207" s="3"/>
      <c r="G207" s="4">
        <v>28.3</v>
      </c>
      <c r="H207" s="4">
        <f t="shared" si="3"/>
        <v>0</v>
      </c>
      <c r="I207" t="e">
        <f>VLOOKUP(TablaObra5[[#This Row],[Obra]],Catalogos!$B$3:$C$8,2,FALSE)</f>
        <v>#N/A</v>
      </c>
    </row>
    <row r="208" spans="1:9">
      <c r="A208" s="2"/>
      <c r="E208" t="e">
        <f>VLOOKUP(TablaObra5[[#This Row],[Equipo]],Catalogos!$I$3:$J$34,2,FALSE)</f>
        <v>#N/A</v>
      </c>
      <c r="F208" s="3"/>
      <c r="G208" s="4">
        <v>28.3</v>
      </c>
      <c r="H208" s="4">
        <f t="shared" si="3"/>
        <v>0</v>
      </c>
      <c r="I208" t="e">
        <f>VLOOKUP(TablaObra5[[#This Row],[Obra]],Catalogos!$B$3:$C$8,2,FALSE)</f>
        <v>#N/A</v>
      </c>
    </row>
    <row r="209" spans="1:9">
      <c r="A209" s="2"/>
      <c r="E209" t="e">
        <f>VLOOKUP(TablaObra5[[#This Row],[Equipo]],Catalogos!$I$3:$J$34,2,FALSE)</f>
        <v>#N/A</v>
      </c>
      <c r="F209" s="3"/>
      <c r="G209" s="4">
        <v>28.3</v>
      </c>
      <c r="H209" s="4">
        <f t="shared" si="3"/>
        <v>0</v>
      </c>
      <c r="I209" t="e">
        <f>VLOOKUP(TablaObra5[[#This Row],[Obra]],Catalogos!$B$3:$C$8,2,FALSE)</f>
        <v>#N/A</v>
      </c>
    </row>
    <row r="210" spans="1:9">
      <c r="A210" s="2"/>
      <c r="E210" t="e">
        <f>VLOOKUP(TablaObra5[[#This Row],[Equipo]],Catalogos!$I$3:$J$34,2,FALSE)</f>
        <v>#N/A</v>
      </c>
      <c r="F210" s="3"/>
      <c r="G210" s="4">
        <v>28.3</v>
      </c>
      <c r="H210" s="4">
        <f t="shared" si="3"/>
        <v>0</v>
      </c>
      <c r="I210" t="e">
        <f>VLOOKUP(TablaObra5[[#This Row],[Obra]],Catalogos!$B$3:$C$8,2,FALSE)</f>
        <v>#N/A</v>
      </c>
    </row>
    <row r="211" spans="1:9">
      <c r="A211" s="2"/>
      <c r="E211" t="e">
        <f>VLOOKUP(TablaObra5[[#This Row],[Equipo]],Catalogos!$I$3:$J$34,2,FALSE)</f>
        <v>#N/A</v>
      </c>
      <c r="F211" s="3"/>
      <c r="G211" s="4">
        <v>28.3</v>
      </c>
      <c r="H211" s="4">
        <f t="shared" si="3"/>
        <v>0</v>
      </c>
      <c r="I211" t="e">
        <f>VLOOKUP(TablaObra5[[#This Row],[Obra]],Catalogos!$B$3:$C$8,2,FALSE)</f>
        <v>#N/A</v>
      </c>
    </row>
    <row r="212" spans="1:9">
      <c r="A212" s="2"/>
      <c r="E212" t="e">
        <f>VLOOKUP(TablaObra5[[#This Row],[Equipo]],Catalogos!$I$3:$J$34,2,FALSE)</f>
        <v>#N/A</v>
      </c>
      <c r="F212" s="3"/>
      <c r="G212" s="4">
        <v>28.3</v>
      </c>
      <c r="H212" s="4">
        <f t="shared" si="3"/>
        <v>0</v>
      </c>
      <c r="I212" t="e">
        <f>VLOOKUP(TablaObra5[[#This Row],[Obra]],Catalogos!$B$3:$C$8,2,FALSE)</f>
        <v>#N/A</v>
      </c>
    </row>
    <row r="213" spans="1:9">
      <c r="A213" s="2"/>
      <c r="E213" t="e">
        <f>VLOOKUP(TablaObra5[[#This Row],[Equipo]],Catalogos!$I$3:$J$34,2,FALSE)</f>
        <v>#N/A</v>
      </c>
      <c r="F213" s="3"/>
      <c r="G213" s="4">
        <v>28.3</v>
      </c>
      <c r="H213" s="4">
        <f t="shared" si="3"/>
        <v>0</v>
      </c>
      <c r="I213" t="e">
        <f>VLOOKUP(TablaObra5[[#This Row],[Obra]],Catalogos!$B$3:$C$8,2,FALSE)</f>
        <v>#N/A</v>
      </c>
    </row>
    <row r="214" spans="1:9">
      <c r="A214" s="2"/>
      <c r="E214" t="e">
        <f>VLOOKUP(TablaObra5[[#This Row],[Equipo]],Catalogos!$I$3:$J$34,2,FALSE)</f>
        <v>#N/A</v>
      </c>
      <c r="F214" s="3"/>
      <c r="G214" s="4">
        <v>28.3</v>
      </c>
      <c r="H214" s="4">
        <f t="shared" si="3"/>
        <v>0</v>
      </c>
      <c r="I214" t="e">
        <f>VLOOKUP(TablaObra5[[#This Row],[Obra]],Catalogos!$B$3:$C$8,2,FALSE)</f>
        <v>#N/A</v>
      </c>
    </row>
    <row r="215" spans="1:9">
      <c r="A215" s="2"/>
      <c r="E215" t="e">
        <f>VLOOKUP(TablaObra5[[#This Row],[Equipo]],Catalogos!$I$3:$J$34,2,FALSE)</f>
        <v>#N/A</v>
      </c>
      <c r="F215" s="3"/>
      <c r="G215" s="4">
        <v>28.3</v>
      </c>
      <c r="H215" s="4">
        <f t="shared" si="3"/>
        <v>0</v>
      </c>
      <c r="I215" t="e">
        <f>VLOOKUP(TablaObra5[[#This Row],[Obra]],Catalogos!$B$3:$C$8,2,FALSE)</f>
        <v>#N/A</v>
      </c>
    </row>
    <row r="216" spans="1:9">
      <c r="A216" s="2"/>
      <c r="E216" t="e">
        <f>VLOOKUP(TablaObra5[[#This Row],[Equipo]],Catalogos!$I$3:$J$34,2,FALSE)</f>
        <v>#N/A</v>
      </c>
      <c r="F216" s="3"/>
      <c r="G216" s="4">
        <v>28.3</v>
      </c>
      <c r="H216" s="4">
        <f t="shared" si="3"/>
        <v>0</v>
      </c>
      <c r="I216" t="e">
        <f>VLOOKUP(TablaObra5[[#This Row],[Obra]],Catalogos!$B$3:$C$8,2,FALSE)</f>
        <v>#N/A</v>
      </c>
    </row>
    <row r="217" spans="1:9">
      <c r="A217" s="2"/>
      <c r="E217" t="e">
        <f>VLOOKUP(TablaObra5[[#This Row],[Equipo]],Catalogos!$I$3:$J$34,2,FALSE)</f>
        <v>#N/A</v>
      </c>
      <c r="F217" s="3"/>
      <c r="G217" s="4">
        <v>28.3</v>
      </c>
      <c r="H217" s="4">
        <f t="shared" si="3"/>
        <v>0</v>
      </c>
      <c r="I217" t="e">
        <f>VLOOKUP(TablaObra5[[#This Row],[Obra]],Catalogos!$B$3:$C$8,2,FALSE)</f>
        <v>#N/A</v>
      </c>
    </row>
    <row r="218" spans="1:9">
      <c r="A218" s="2"/>
      <c r="E218" t="e">
        <f>VLOOKUP(TablaObra5[[#This Row],[Equipo]],Catalogos!$I$3:$J$34,2,FALSE)</f>
        <v>#N/A</v>
      </c>
      <c r="F218" s="3"/>
      <c r="G218" s="4">
        <v>28.3</v>
      </c>
      <c r="H218" s="4">
        <f t="shared" si="3"/>
        <v>0</v>
      </c>
      <c r="I218" t="e">
        <f>VLOOKUP(TablaObra5[[#This Row],[Obra]],Catalogos!$B$3:$C$8,2,FALSE)</f>
        <v>#N/A</v>
      </c>
    </row>
    <row r="219" spans="1:9">
      <c r="A219" s="2"/>
      <c r="E219" t="e">
        <f>VLOOKUP(TablaObra5[[#This Row],[Equipo]],Catalogos!$I$3:$J$34,2,FALSE)</f>
        <v>#N/A</v>
      </c>
      <c r="F219" s="3"/>
      <c r="G219" s="4">
        <v>28.3</v>
      </c>
      <c r="H219" s="4">
        <f t="shared" si="3"/>
        <v>0</v>
      </c>
      <c r="I219" t="e">
        <f>VLOOKUP(TablaObra5[[#This Row],[Obra]],Catalogos!$B$3:$C$8,2,FALSE)</f>
        <v>#N/A</v>
      </c>
    </row>
    <row r="220" spans="1:9">
      <c r="A220" s="2"/>
      <c r="E220" t="e">
        <f>VLOOKUP(TablaObra5[[#This Row],[Equipo]],Catalogos!$I$3:$J$34,2,FALSE)</f>
        <v>#N/A</v>
      </c>
      <c r="F220" s="3"/>
      <c r="G220" s="4">
        <v>28.3</v>
      </c>
      <c r="H220" s="4">
        <f t="shared" si="3"/>
        <v>0</v>
      </c>
      <c r="I220" t="e">
        <f>VLOOKUP(TablaObra5[[#This Row],[Obra]],Catalogos!$B$3:$C$8,2,FALSE)</f>
        <v>#N/A</v>
      </c>
    </row>
    <row r="221" spans="1:9">
      <c r="A221" s="2"/>
      <c r="E221" t="e">
        <f>VLOOKUP(TablaObra5[[#This Row],[Equipo]],Catalogos!$I$3:$J$34,2,FALSE)</f>
        <v>#N/A</v>
      </c>
      <c r="F221" s="3"/>
      <c r="G221" s="4">
        <v>28.3</v>
      </c>
      <c r="H221" s="4">
        <f t="shared" si="3"/>
        <v>0</v>
      </c>
      <c r="I221" t="e">
        <f>VLOOKUP(TablaObra5[[#This Row],[Obra]],Catalogos!$B$3:$C$8,2,FALSE)</f>
        <v>#N/A</v>
      </c>
    </row>
    <row r="222" spans="1:9">
      <c r="A222" s="2"/>
      <c r="E222" t="e">
        <f>VLOOKUP(TablaObra5[[#This Row],[Equipo]],Catalogos!$I$3:$J$34,2,FALSE)</f>
        <v>#N/A</v>
      </c>
      <c r="F222" s="3"/>
      <c r="G222" s="4">
        <v>28.3</v>
      </c>
      <c r="H222" s="4">
        <f t="shared" si="3"/>
        <v>0</v>
      </c>
      <c r="I222" t="e">
        <f>VLOOKUP(TablaObra5[[#This Row],[Obra]],Catalogos!$B$3:$C$8,2,FALSE)</f>
        <v>#N/A</v>
      </c>
    </row>
    <row r="223" spans="1:9">
      <c r="A223" s="2"/>
      <c r="E223" t="e">
        <f>VLOOKUP(TablaObra5[[#This Row],[Equipo]],Catalogos!$I$3:$J$34,2,FALSE)</f>
        <v>#N/A</v>
      </c>
      <c r="F223" s="3"/>
      <c r="G223" s="4">
        <v>28.3</v>
      </c>
      <c r="H223" s="4">
        <f t="shared" si="3"/>
        <v>0</v>
      </c>
      <c r="I223" t="e">
        <f>VLOOKUP(TablaObra5[[#This Row],[Obra]],Catalogos!$B$3:$C$8,2,FALSE)</f>
        <v>#N/A</v>
      </c>
    </row>
    <row r="224" spans="1:9">
      <c r="A224" s="2"/>
      <c r="E224" t="e">
        <f>VLOOKUP(TablaObra5[[#This Row],[Equipo]],Catalogos!$I$3:$J$34,2,FALSE)</f>
        <v>#N/A</v>
      </c>
      <c r="F224" s="3"/>
      <c r="G224" s="4">
        <v>28.3</v>
      </c>
      <c r="H224" s="4">
        <f t="shared" si="3"/>
        <v>0</v>
      </c>
      <c r="I224" t="e">
        <f>VLOOKUP(TablaObra5[[#This Row],[Obra]],Catalogos!$B$3:$C$8,2,FALSE)</f>
        <v>#N/A</v>
      </c>
    </row>
    <row r="225" spans="1:9">
      <c r="A225" s="2"/>
      <c r="E225" t="e">
        <f>VLOOKUP(TablaObra5[[#This Row],[Equipo]],Catalogos!$I$3:$J$34,2,FALSE)</f>
        <v>#N/A</v>
      </c>
      <c r="F225" s="3"/>
      <c r="G225" s="4">
        <v>28.3</v>
      </c>
      <c r="H225" s="4">
        <f t="shared" si="3"/>
        <v>0</v>
      </c>
      <c r="I225" t="e">
        <f>VLOOKUP(TablaObra5[[#This Row],[Obra]],Catalogos!$B$3:$C$8,2,FALSE)</f>
        <v>#N/A</v>
      </c>
    </row>
    <row r="226" spans="1:9">
      <c r="A226" s="2"/>
      <c r="E226" t="e">
        <f>VLOOKUP(TablaObra5[[#This Row],[Equipo]],Catalogos!$I$3:$J$34,2,FALSE)</f>
        <v>#N/A</v>
      </c>
      <c r="F226" s="3"/>
      <c r="G226" s="4">
        <v>28.3</v>
      </c>
      <c r="H226" s="4">
        <f t="shared" si="3"/>
        <v>0</v>
      </c>
      <c r="I226" t="e">
        <f>VLOOKUP(TablaObra5[[#This Row],[Obra]],Catalogos!$B$3:$C$8,2,FALSE)</f>
        <v>#N/A</v>
      </c>
    </row>
    <row r="227" spans="1:9">
      <c r="A227" s="2"/>
      <c r="E227" t="e">
        <f>VLOOKUP(TablaObra5[[#This Row],[Equipo]],Catalogos!$I$3:$J$34,2,FALSE)</f>
        <v>#N/A</v>
      </c>
      <c r="F227" s="3"/>
      <c r="G227" s="4">
        <v>28.3</v>
      </c>
      <c r="H227" s="4">
        <f t="shared" si="3"/>
        <v>0</v>
      </c>
      <c r="I227" t="e">
        <f>VLOOKUP(TablaObra5[[#This Row],[Obra]],Catalogos!$B$3:$C$8,2,FALSE)</f>
        <v>#N/A</v>
      </c>
    </row>
    <row r="228" spans="1:9">
      <c r="A228" s="2"/>
      <c r="E228" t="e">
        <f>VLOOKUP(TablaObra5[[#This Row],[Equipo]],Catalogos!$I$3:$J$34,2,FALSE)</f>
        <v>#N/A</v>
      </c>
      <c r="F228" s="3"/>
      <c r="G228" s="4">
        <v>28.3</v>
      </c>
      <c r="H228" s="4">
        <f t="shared" si="3"/>
        <v>0</v>
      </c>
      <c r="I228" t="e">
        <f>VLOOKUP(TablaObra5[[#This Row],[Obra]],Catalogos!$B$3:$C$8,2,FALSE)</f>
        <v>#N/A</v>
      </c>
    </row>
    <row r="229" spans="1:9">
      <c r="A229" s="2"/>
      <c r="E229" t="e">
        <f>VLOOKUP(TablaObra5[[#This Row],[Equipo]],Catalogos!$I$3:$J$34,2,FALSE)</f>
        <v>#N/A</v>
      </c>
      <c r="F229" s="3"/>
      <c r="G229" s="4">
        <v>28.3</v>
      </c>
      <c r="H229" s="4">
        <f t="shared" si="3"/>
        <v>0</v>
      </c>
      <c r="I229" t="e">
        <f>VLOOKUP(TablaObra5[[#This Row],[Obra]],Catalogos!$B$3:$C$8,2,FALSE)</f>
        <v>#N/A</v>
      </c>
    </row>
    <row r="230" spans="1:9">
      <c r="A230" s="2"/>
      <c r="E230" t="e">
        <f>VLOOKUP(TablaObra5[[#This Row],[Equipo]],Catalogos!$I$3:$J$34,2,FALSE)</f>
        <v>#N/A</v>
      </c>
      <c r="F230" s="3"/>
      <c r="G230" s="4">
        <v>28.3</v>
      </c>
      <c r="H230" s="4">
        <f t="shared" si="3"/>
        <v>0</v>
      </c>
      <c r="I230" t="e">
        <f>VLOOKUP(TablaObra5[[#This Row],[Obra]],Catalogos!$B$3:$C$8,2,FALSE)</f>
        <v>#N/A</v>
      </c>
    </row>
    <row r="231" spans="1:9">
      <c r="A231" s="2"/>
      <c r="E231" t="e">
        <f>VLOOKUP(TablaObra5[[#This Row],[Equipo]],Catalogos!$I$3:$J$34,2,FALSE)</f>
        <v>#N/A</v>
      </c>
      <c r="F231" s="3"/>
      <c r="G231" s="4">
        <v>28.3</v>
      </c>
      <c r="H231" s="4">
        <f t="shared" si="3"/>
        <v>0</v>
      </c>
      <c r="I231" t="e">
        <f>VLOOKUP(TablaObra5[[#This Row],[Obra]],Catalogos!$B$3:$C$8,2,FALSE)</f>
        <v>#N/A</v>
      </c>
    </row>
    <row r="232" spans="1:9">
      <c r="A232" s="2"/>
      <c r="E232" t="e">
        <f>VLOOKUP(TablaObra5[[#This Row],[Equipo]],Catalogos!$I$3:$J$34,2,FALSE)</f>
        <v>#N/A</v>
      </c>
      <c r="F232" s="3"/>
      <c r="G232" s="4">
        <v>28.3</v>
      </c>
      <c r="H232" s="4">
        <f t="shared" si="3"/>
        <v>0</v>
      </c>
      <c r="I232" t="e">
        <f>VLOOKUP(TablaObra5[[#This Row],[Obra]],Catalogos!$B$3:$C$8,2,FALSE)</f>
        <v>#N/A</v>
      </c>
    </row>
    <row r="233" spans="1:9">
      <c r="A233" s="2"/>
      <c r="E233" t="e">
        <f>VLOOKUP(TablaObra5[[#This Row],[Equipo]],Catalogos!$I$3:$J$34,2,FALSE)</f>
        <v>#N/A</v>
      </c>
      <c r="F233" s="3"/>
      <c r="G233" s="4">
        <v>28.3</v>
      </c>
      <c r="H233" s="4">
        <f t="shared" si="3"/>
        <v>0</v>
      </c>
      <c r="I233" t="e">
        <f>VLOOKUP(TablaObra5[[#This Row],[Obra]],Catalogos!$B$3:$C$8,2,FALSE)</f>
        <v>#N/A</v>
      </c>
    </row>
    <row r="234" spans="1:9">
      <c r="A234" s="2"/>
      <c r="E234" t="e">
        <f>VLOOKUP(TablaObra5[[#This Row],[Equipo]],Catalogos!$I$3:$J$34,2,FALSE)</f>
        <v>#N/A</v>
      </c>
      <c r="F234" s="3"/>
      <c r="G234" s="4">
        <v>28.3</v>
      </c>
      <c r="H234" s="4">
        <f t="shared" si="3"/>
        <v>0</v>
      </c>
      <c r="I234" t="e">
        <f>VLOOKUP(TablaObra5[[#This Row],[Obra]],Catalogos!$B$3:$C$8,2,FALSE)</f>
        <v>#N/A</v>
      </c>
    </row>
    <row r="235" spans="1:9">
      <c r="A235" s="2"/>
      <c r="E235" t="e">
        <f>VLOOKUP(TablaObra5[[#This Row],[Equipo]],Catalogos!$I$3:$J$34,2,FALSE)</f>
        <v>#N/A</v>
      </c>
      <c r="F235" s="3"/>
      <c r="G235" s="4">
        <v>28.3</v>
      </c>
      <c r="H235" s="4">
        <f t="shared" si="3"/>
        <v>0</v>
      </c>
      <c r="I235" t="e">
        <f>VLOOKUP(TablaObra5[[#This Row],[Obra]],Catalogos!$B$3:$C$8,2,FALSE)</f>
        <v>#N/A</v>
      </c>
    </row>
    <row r="236" spans="1:9">
      <c r="A236" s="2"/>
      <c r="E236" t="e">
        <f>VLOOKUP(TablaObra5[[#This Row],[Equipo]],Catalogos!$I$3:$J$34,2,FALSE)</f>
        <v>#N/A</v>
      </c>
      <c r="F236" s="3"/>
      <c r="G236" s="4">
        <v>28.3</v>
      </c>
      <c r="H236" s="4">
        <f t="shared" si="3"/>
        <v>0</v>
      </c>
      <c r="I236" t="e">
        <f>VLOOKUP(TablaObra5[[#This Row],[Obra]],Catalogos!$B$3:$C$8,2,FALSE)</f>
        <v>#N/A</v>
      </c>
    </row>
    <row r="237" spans="1:9">
      <c r="A237" s="2"/>
      <c r="E237" t="e">
        <f>VLOOKUP(TablaObra5[[#This Row],[Equipo]],Catalogos!$I$3:$J$34,2,FALSE)</f>
        <v>#N/A</v>
      </c>
      <c r="F237" s="3"/>
      <c r="G237" s="4">
        <v>28.3</v>
      </c>
      <c r="H237" s="4">
        <f t="shared" si="3"/>
        <v>0</v>
      </c>
      <c r="I237" t="e">
        <f>VLOOKUP(TablaObra5[[#This Row],[Obra]],Catalogos!$B$3:$C$8,2,FALSE)</f>
        <v>#N/A</v>
      </c>
    </row>
    <row r="238" spans="1:9">
      <c r="A238" s="2"/>
      <c r="E238" t="e">
        <f>VLOOKUP(TablaObra5[[#This Row],[Equipo]],Catalogos!$I$3:$J$34,2,FALSE)</f>
        <v>#N/A</v>
      </c>
      <c r="F238" s="3"/>
      <c r="G238" s="4">
        <v>28.3</v>
      </c>
      <c r="H238" s="4">
        <f t="shared" si="3"/>
        <v>0</v>
      </c>
      <c r="I238" t="e">
        <f>VLOOKUP(TablaObra5[[#This Row],[Obra]],Catalogos!$B$3:$C$8,2,FALSE)</f>
        <v>#N/A</v>
      </c>
    </row>
    <row r="239" spans="1:9">
      <c r="A239" s="2"/>
      <c r="E239" t="e">
        <f>VLOOKUP(TablaObra5[[#This Row],[Equipo]],Catalogos!$I$3:$J$34,2,FALSE)</f>
        <v>#N/A</v>
      </c>
      <c r="F239" s="3"/>
      <c r="G239" s="4">
        <v>28.3</v>
      </c>
      <c r="H239" s="4">
        <f t="shared" si="3"/>
        <v>0</v>
      </c>
      <c r="I239" t="e">
        <f>VLOOKUP(TablaObra5[[#This Row],[Obra]],Catalogos!$B$3:$C$8,2,FALSE)</f>
        <v>#N/A</v>
      </c>
    </row>
    <row r="240" spans="1:9">
      <c r="A240" s="2"/>
      <c r="E240" t="e">
        <f>VLOOKUP(TablaObra5[[#This Row],[Equipo]],Catalogos!$I$3:$J$34,2,FALSE)</f>
        <v>#N/A</v>
      </c>
      <c r="F240" s="3"/>
      <c r="G240" s="4">
        <v>28.3</v>
      </c>
      <c r="H240" s="4">
        <f t="shared" si="3"/>
        <v>0</v>
      </c>
      <c r="I240" t="e">
        <f>VLOOKUP(TablaObra5[[#This Row],[Obra]],Catalogos!$B$3:$C$8,2,FALSE)</f>
        <v>#N/A</v>
      </c>
    </row>
    <row r="241" spans="1:9">
      <c r="A241" s="2"/>
      <c r="E241" t="e">
        <f>VLOOKUP(TablaObra5[[#This Row],[Equipo]],Catalogos!$I$3:$J$34,2,FALSE)</f>
        <v>#N/A</v>
      </c>
      <c r="F241" s="3"/>
      <c r="G241" s="4">
        <v>28.3</v>
      </c>
      <c r="H241" s="4">
        <f t="shared" si="3"/>
        <v>0</v>
      </c>
      <c r="I241" t="e">
        <f>VLOOKUP(TablaObra5[[#This Row],[Obra]],Catalogos!$B$3:$C$8,2,FALSE)</f>
        <v>#N/A</v>
      </c>
    </row>
    <row r="242" spans="1:9">
      <c r="A242" s="2"/>
      <c r="E242" t="e">
        <f>VLOOKUP(TablaObra5[[#This Row],[Equipo]],Catalogos!$I$3:$J$34,2,FALSE)</f>
        <v>#N/A</v>
      </c>
      <c r="F242" s="3"/>
      <c r="G242" s="4">
        <v>28.3</v>
      </c>
      <c r="H242" s="4">
        <f t="shared" si="3"/>
        <v>0</v>
      </c>
      <c r="I242" t="e">
        <f>VLOOKUP(TablaObra5[[#This Row],[Obra]],Catalogos!$B$3:$C$8,2,FALSE)</f>
        <v>#N/A</v>
      </c>
    </row>
    <row r="243" spans="1:9">
      <c r="A243" s="2"/>
      <c r="E243" t="e">
        <f>VLOOKUP(TablaObra5[[#This Row],[Equipo]],Catalogos!$I$3:$J$34,2,FALSE)</f>
        <v>#N/A</v>
      </c>
      <c r="F243" s="3"/>
      <c r="G243" s="4">
        <v>28.3</v>
      </c>
      <c r="H243" s="4">
        <f t="shared" si="3"/>
        <v>0</v>
      </c>
      <c r="I243" t="e">
        <f>VLOOKUP(TablaObra5[[#This Row],[Obra]],Catalogos!$B$3:$C$8,2,FALSE)</f>
        <v>#N/A</v>
      </c>
    </row>
    <row r="244" spans="1:9">
      <c r="A244" s="2"/>
      <c r="E244" t="e">
        <f>VLOOKUP(TablaObra5[[#This Row],[Equipo]],Catalogos!$I$3:$J$34,2,FALSE)</f>
        <v>#N/A</v>
      </c>
      <c r="F244" s="3"/>
      <c r="G244" s="4">
        <v>28.3</v>
      </c>
      <c r="H244" s="4">
        <f t="shared" si="3"/>
        <v>0</v>
      </c>
      <c r="I244" t="e">
        <f>VLOOKUP(TablaObra5[[#This Row],[Obra]],Catalogos!$B$3:$C$8,2,FALSE)</f>
        <v>#N/A</v>
      </c>
    </row>
    <row r="245" spans="1:9">
      <c r="A245" s="2"/>
      <c r="E245" t="e">
        <f>VLOOKUP(TablaObra5[[#This Row],[Equipo]],Catalogos!$I$3:$J$34,2,FALSE)</f>
        <v>#N/A</v>
      </c>
      <c r="F245" s="3"/>
      <c r="G245" s="4">
        <v>28.3</v>
      </c>
      <c r="H245" s="4">
        <f t="shared" si="3"/>
        <v>0</v>
      </c>
      <c r="I245" t="e">
        <f>VLOOKUP(TablaObra5[[#This Row],[Obra]],Catalogos!$B$3:$C$8,2,FALSE)</f>
        <v>#N/A</v>
      </c>
    </row>
    <row r="246" spans="1:9">
      <c r="A246" s="2"/>
      <c r="E246" t="e">
        <f>VLOOKUP(TablaObra5[[#This Row],[Equipo]],Catalogos!$I$3:$J$34,2,FALSE)</f>
        <v>#N/A</v>
      </c>
      <c r="F246" s="3"/>
      <c r="G246" s="4">
        <v>28.3</v>
      </c>
      <c r="H246" s="4">
        <f t="shared" si="3"/>
        <v>0</v>
      </c>
      <c r="I246" t="e">
        <f>VLOOKUP(TablaObra5[[#This Row],[Obra]],Catalogos!$B$3:$C$8,2,FALSE)</f>
        <v>#N/A</v>
      </c>
    </row>
    <row r="247" spans="1:9">
      <c r="A247" s="2"/>
      <c r="E247" t="e">
        <f>VLOOKUP(TablaObra5[[#This Row],[Equipo]],Catalogos!$I$3:$J$34,2,FALSE)</f>
        <v>#N/A</v>
      </c>
      <c r="F247" s="3"/>
      <c r="G247" s="4">
        <v>28.3</v>
      </c>
      <c r="H247" s="4">
        <f t="shared" si="3"/>
        <v>0</v>
      </c>
      <c r="I247" t="e">
        <f>VLOOKUP(TablaObra5[[#This Row],[Obra]],Catalogos!$B$3:$C$8,2,FALSE)</f>
        <v>#N/A</v>
      </c>
    </row>
    <row r="248" spans="1:9">
      <c r="A248" s="2"/>
      <c r="E248" t="e">
        <f>VLOOKUP(TablaObra5[[#This Row],[Equipo]],Catalogos!$I$3:$J$34,2,FALSE)</f>
        <v>#N/A</v>
      </c>
      <c r="F248" s="3"/>
      <c r="G248" s="4">
        <v>28.3</v>
      </c>
      <c r="H248" s="4">
        <f t="shared" si="3"/>
        <v>0</v>
      </c>
      <c r="I248" t="e">
        <f>VLOOKUP(TablaObra5[[#This Row],[Obra]],Catalogos!$B$3:$C$8,2,FALSE)</f>
        <v>#N/A</v>
      </c>
    </row>
    <row r="249" spans="1:9">
      <c r="A249" s="2"/>
      <c r="E249" t="e">
        <f>VLOOKUP(TablaObra5[[#This Row],[Equipo]],Catalogos!$I$3:$J$34,2,FALSE)</f>
        <v>#N/A</v>
      </c>
      <c r="F249" s="3"/>
      <c r="G249" s="4">
        <v>28.3</v>
      </c>
      <c r="H249" s="4">
        <f t="shared" si="3"/>
        <v>0</v>
      </c>
      <c r="I249" t="e">
        <f>VLOOKUP(TablaObra5[[#This Row],[Obra]],Catalogos!$B$3:$C$8,2,FALSE)</f>
        <v>#N/A</v>
      </c>
    </row>
    <row r="250" spans="1:9">
      <c r="A250" s="2"/>
      <c r="E250" t="e">
        <f>VLOOKUP(TablaObra5[[#This Row],[Equipo]],Catalogos!$I$3:$J$34,2,FALSE)</f>
        <v>#N/A</v>
      </c>
      <c r="F250" s="3"/>
      <c r="G250" s="4">
        <v>28.3</v>
      </c>
      <c r="H250" s="4">
        <f t="shared" si="3"/>
        <v>0</v>
      </c>
      <c r="I250" t="e">
        <f>VLOOKUP(TablaObra5[[#This Row],[Obra]],Catalogos!$B$3:$C$8,2,FALSE)</f>
        <v>#N/A</v>
      </c>
    </row>
    <row r="251" spans="1:9">
      <c r="A251" s="2"/>
      <c r="E251" t="e">
        <f>VLOOKUP(TablaObra5[[#This Row],[Equipo]],Catalogos!$I$3:$J$34,2,FALSE)</f>
        <v>#N/A</v>
      </c>
      <c r="F251" s="3"/>
      <c r="G251" s="4">
        <v>28.3</v>
      </c>
      <c r="H251" s="4">
        <f t="shared" si="3"/>
        <v>0</v>
      </c>
      <c r="I251" t="e">
        <f>VLOOKUP(TablaObra5[[#This Row],[Obra]],Catalogos!$B$3:$C$8,2,FALSE)</f>
        <v>#N/A</v>
      </c>
    </row>
    <row r="252" spans="1:9">
      <c r="A252" s="2"/>
      <c r="E252" t="e">
        <f>VLOOKUP(TablaObra5[[#This Row],[Equipo]],Catalogos!$I$3:$J$34,2,FALSE)</f>
        <v>#N/A</v>
      </c>
      <c r="F252" s="3"/>
      <c r="G252" s="4">
        <v>28.3</v>
      </c>
      <c r="H252" s="4">
        <f t="shared" si="3"/>
        <v>0</v>
      </c>
      <c r="I252" t="e">
        <f>VLOOKUP(TablaObra5[[#This Row],[Obra]],Catalogos!$B$3:$C$8,2,FALSE)</f>
        <v>#N/A</v>
      </c>
    </row>
    <row r="253" spans="1:9">
      <c r="A253" s="2"/>
      <c r="E253" t="e">
        <f>VLOOKUP(TablaObra5[[#This Row],[Equipo]],Catalogos!$I$3:$J$34,2,FALSE)</f>
        <v>#N/A</v>
      </c>
      <c r="F253" s="3"/>
      <c r="G253" s="4">
        <v>28.3</v>
      </c>
      <c r="H253" s="4">
        <f t="shared" si="3"/>
        <v>0</v>
      </c>
      <c r="I253" t="e">
        <f>VLOOKUP(TablaObra5[[#This Row],[Obra]],Catalogos!$B$3:$C$8,2,FALSE)</f>
        <v>#N/A</v>
      </c>
    </row>
    <row r="254" spans="1:9">
      <c r="A254" s="2"/>
      <c r="E254" t="e">
        <f>VLOOKUP(TablaObra5[[#This Row],[Equipo]],Catalogos!$I$3:$J$34,2,FALSE)</f>
        <v>#N/A</v>
      </c>
      <c r="F254" s="3"/>
      <c r="G254" s="4">
        <v>28.3</v>
      </c>
      <c r="H254" s="4">
        <f t="shared" si="3"/>
        <v>0</v>
      </c>
      <c r="I254" t="e">
        <f>VLOOKUP(TablaObra5[[#This Row],[Obra]],Catalogos!$B$3:$C$8,2,FALSE)</f>
        <v>#N/A</v>
      </c>
    </row>
    <row r="255" spans="1:9">
      <c r="A255" s="2"/>
      <c r="E255" t="e">
        <f>VLOOKUP(TablaObra5[[#This Row],[Equipo]],Catalogos!$I$3:$J$34,2,FALSE)</f>
        <v>#N/A</v>
      </c>
      <c r="F255" s="3"/>
      <c r="G255" s="4">
        <v>28.3</v>
      </c>
      <c r="H255" s="4">
        <f t="shared" si="3"/>
        <v>0</v>
      </c>
      <c r="I255" t="e">
        <f>VLOOKUP(TablaObra5[[#This Row],[Obra]],Catalogos!$B$3:$C$8,2,FALSE)</f>
        <v>#N/A</v>
      </c>
    </row>
    <row r="256" spans="1:9">
      <c r="A256" s="2"/>
      <c r="E256" t="e">
        <f>VLOOKUP(TablaObra5[[#This Row],[Equipo]],Catalogos!$I$3:$J$34,2,FALSE)</f>
        <v>#N/A</v>
      </c>
      <c r="F256" s="3"/>
      <c r="G256" s="4">
        <v>28.3</v>
      </c>
      <c r="H256" s="4">
        <f t="shared" si="3"/>
        <v>0</v>
      </c>
      <c r="I256" t="e">
        <f>VLOOKUP(TablaObra5[[#This Row],[Obra]],Catalogos!$B$3:$C$8,2,FALSE)</f>
        <v>#N/A</v>
      </c>
    </row>
    <row r="257" spans="1:9">
      <c r="A257" s="2"/>
      <c r="E257" t="e">
        <f>VLOOKUP(TablaObra5[[#This Row],[Equipo]],Catalogos!$I$3:$J$34,2,FALSE)</f>
        <v>#N/A</v>
      </c>
      <c r="F257" s="3"/>
      <c r="G257" s="4">
        <v>28.3</v>
      </c>
      <c r="H257" s="4">
        <f t="shared" si="3"/>
        <v>0</v>
      </c>
      <c r="I257" t="e">
        <f>VLOOKUP(TablaObra5[[#This Row],[Obra]],Catalogos!$B$3:$C$8,2,FALSE)</f>
        <v>#N/A</v>
      </c>
    </row>
    <row r="258" spans="1:9">
      <c r="A258" s="2"/>
      <c r="E258" t="e">
        <f>VLOOKUP(TablaObra5[[#This Row],[Equipo]],Catalogos!$I$3:$J$34,2,FALSE)</f>
        <v>#N/A</v>
      </c>
      <c r="F258" s="3"/>
      <c r="G258" s="4">
        <v>28.3</v>
      </c>
      <c r="H258" s="4">
        <f t="shared" si="3"/>
        <v>0</v>
      </c>
      <c r="I258" t="e">
        <f>VLOOKUP(TablaObra5[[#This Row],[Obra]],Catalogos!$B$3:$C$8,2,FALSE)</f>
        <v>#N/A</v>
      </c>
    </row>
    <row r="259" spans="1:9">
      <c r="A259" s="2"/>
      <c r="E259" t="e">
        <f>VLOOKUP(TablaObra5[[#This Row],[Equipo]],Catalogos!$I$3:$J$34,2,FALSE)</f>
        <v>#N/A</v>
      </c>
      <c r="F259" s="3"/>
      <c r="G259" s="4">
        <v>28.3</v>
      </c>
      <c r="H259" s="4">
        <f t="shared" si="3"/>
        <v>0</v>
      </c>
      <c r="I259" t="e">
        <f>VLOOKUP(TablaObra5[[#This Row],[Obra]],Catalogos!$B$3:$C$8,2,FALSE)</f>
        <v>#N/A</v>
      </c>
    </row>
    <row r="260" spans="1:9">
      <c r="A260" s="2"/>
      <c r="E260" t="e">
        <f>VLOOKUP(TablaObra5[[#This Row],[Equipo]],Catalogos!$I$3:$J$34,2,FALSE)</f>
        <v>#N/A</v>
      </c>
      <c r="F260" s="3"/>
      <c r="G260" s="4">
        <v>28.3</v>
      </c>
      <c r="H260" s="4">
        <f t="shared" si="3"/>
        <v>0</v>
      </c>
      <c r="I260" t="e">
        <f>VLOOKUP(TablaObra5[[#This Row],[Obra]],Catalogos!$B$3:$C$8,2,FALSE)</f>
        <v>#N/A</v>
      </c>
    </row>
    <row r="261" spans="1:9">
      <c r="A261" s="2"/>
      <c r="E261" t="e">
        <f>VLOOKUP(TablaObra5[[#This Row],[Equipo]],Catalogos!$I$3:$J$34,2,FALSE)</f>
        <v>#N/A</v>
      </c>
      <c r="F261" s="3"/>
      <c r="G261" s="4">
        <v>28.3</v>
      </c>
      <c r="H261" s="4">
        <f t="shared" si="3"/>
        <v>0</v>
      </c>
      <c r="I261" t="e">
        <f>VLOOKUP(TablaObra5[[#This Row],[Obra]],Catalogos!$B$3:$C$8,2,FALSE)</f>
        <v>#N/A</v>
      </c>
    </row>
    <row r="262" spans="1:9">
      <c r="A262" s="2"/>
      <c r="E262" t="e">
        <f>VLOOKUP(TablaObra5[[#This Row],[Equipo]],Catalogos!$I$3:$J$34,2,FALSE)</f>
        <v>#N/A</v>
      </c>
      <c r="F262" s="3"/>
      <c r="G262" s="4">
        <v>28.3</v>
      </c>
      <c r="H262" s="4">
        <f t="shared" si="3"/>
        <v>0</v>
      </c>
      <c r="I262" t="e">
        <f>VLOOKUP(TablaObra5[[#This Row],[Obra]],Catalogos!$B$3:$C$8,2,FALSE)</f>
        <v>#N/A</v>
      </c>
    </row>
    <row r="263" spans="1:9">
      <c r="A263" s="2"/>
      <c r="E263" t="e">
        <f>VLOOKUP(TablaObra5[[#This Row],[Equipo]],Catalogos!$I$3:$J$34,2,FALSE)</f>
        <v>#N/A</v>
      </c>
      <c r="F263" s="3"/>
      <c r="G263" s="4">
        <v>28.3</v>
      </c>
      <c r="H263" s="4">
        <f t="shared" ref="H263:H306" si="4">IFERROR(F263*G263,0)</f>
        <v>0</v>
      </c>
      <c r="I263" t="e">
        <f>VLOOKUP(TablaObra5[[#This Row],[Obra]],Catalogos!$B$3:$C$8,2,FALSE)</f>
        <v>#N/A</v>
      </c>
    </row>
    <row r="264" spans="1:9">
      <c r="A264" s="2"/>
      <c r="E264" t="e">
        <f>VLOOKUP(TablaObra5[[#This Row],[Equipo]],Catalogos!$I$3:$J$34,2,FALSE)</f>
        <v>#N/A</v>
      </c>
      <c r="F264" s="3"/>
      <c r="G264" s="4">
        <v>28.3</v>
      </c>
      <c r="H264" s="4">
        <f t="shared" si="4"/>
        <v>0</v>
      </c>
      <c r="I264" t="e">
        <f>VLOOKUP(TablaObra5[[#This Row],[Obra]],Catalogos!$B$3:$C$8,2,FALSE)</f>
        <v>#N/A</v>
      </c>
    </row>
    <row r="265" spans="1:9">
      <c r="A265" s="2"/>
      <c r="E265" t="e">
        <f>VLOOKUP(TablaObra5[[#This Row],[Equipo]],Catalogos!$I$3:$J$34,2,FALSE)</f>
        <v>#N/A</v>
      </c>
      <c r="F265" s="3"/>
      <c r="G265" s="4">
        <v>28.3</v>
      </c>
      <c r="H265" s="4">
        <f t="shared" si="4"/>
        <v>0</v>
      </c>
      <c r="I265" t="e">
        <f>VLOOKUP(TablaObra5[[#This Row],[Obra]],Catalogos!$B$3:$C$8,2,FALSE)</f>
        <v>#N/A</v>
      </c>
    </row>
    <row r="266" spans="1:9">
      <c r="A266" s="2"/>
      <c r="E266" t="e">
        <f>VLOOKUP(TablaObra5[[#This Row],[Equipo]],Catalogos!$I$3:$J$34,2,FALSE)</f>
        <v>#N/A</v>
      </c>
      <c r="F266" s="3"/>
      <c r="G266" s="4">
        <v>28.3</v>
      </c>
      <c r="H266" s="4">
        <f t="shared" si="4"/>
        <v>0</v>
      </c>
      <c r="I266" t="e">
        <f>VLOOKUP(TablaObra5[[#This Row],[Obra]],Catalogos!$B$3:$C$8,2,FALSE)</f>
        <v>#N/A</v>
      </c>
    </row>
    <row r="267" spans="1:9">
      <c r="A267" s="2"/>
      <c r="E267" t="e">
        <f>VLOOKUP(TablaObra5[[#This Row],[Equipo]],Catalogos!$I$3:$J$34,2,FALSE)</f>
        <v>#N/A</v>
      </c>
      <c r="F267" s="3"/>
      <c r="G267" s="4">
        <v>28.3</v>
      </c>
      <c r="H267" s="4">
        <f t="shared" si="4"/>
        <v>0</v>
      </c>
      <c r="I267" t="e">
        <f>VLOOKUP(TablaObra5[[#This Row],[Obra]],Catalogos!$B$3:$C$8,2,FALSE)</f>
        <v>#N/A</v>
      </c>
    </row>
    <row r="268" spans="1:9">
      <c r="A268" s="2"/>
      <c r="E268" t="e">
        <f>VLOOKUP(TablaObra5[[#This Row],[Equipo]],Catalogos!$I$3:$J$34,2,FALSE)</f>
        <v>#N/A</v>
      </c>
      <c r="F268" s="3"/>
      <c r="G268" s="4">
        <v>28.3</v>
      </c>
      <c r="H268" s="4">
        <f t="shared" si="4"/>
        <v>0</v>
      </c>
      <c r="I268" t="e">
        <f>VLOOKUP(TablaObra5[[#This Row],[Obra]],Catalogos!$B$3:$C$8,2,FALSE)</f>
        <v>#N/A</v>
      </c>
    </row>
    <row r="269" spans="1:9">
      <c r="A269" s="2"/>
      <c r="E269" t="e">
        <f>VLOOKUP(TablaObra5[[#This Row],[Equipo]],Catalogos!$I$3:$J$34,2,FALSE)</f>
        <v>#N/A</v>
      </c>
      <c r="F269" s="3"/>
      <c r="G269" s="4">
        <v>28.3</v>
      </c>
      <c r="H269" s="4">
        <f t="shared" si="4"/>
        <v>0</v>
      </c>
      <c r="I269" t="e">
        <f>VLOOKUP(TablaObra5[[#This Row],[Obra]],Catalogos!$B$3:$C$8,2,FALSE)</f>
        <v>#N/A</v>
      </c>
    </row>
    <row r="270" spans="1:9">
      <c r="A270" s="2"/>
      <c r="E270" t="e">
        <f>VLOOKUP(TablaObra5[[#This Row],[Equipo]],Catalogos!$I$3:$J$34,2,FALSE)</f>
        <v>#N/A</v>
      </c>
      <c r="F270" s="3"/>
      <c r="G270" s="4">
        <v>28.3</v>
      </c>
      <c r="H270" s="4">
        <f t="shared" si="4"/>
        <v>0</v>
      </c>
      <c r="I270" t="e">
        <f>VLOOKUP(TablaObra5[[#This Row],[Obra]],Catalogos!$B$3:$C$8,2,FALSE)</f>
        <v>#N/A</v>
      </c>
    </row>
    <row r="271" spans="1:9">
      <c r="A271" s="2"/>
      <c r="E271" t="e">
        <f>VLOOKUP(TablaObra5[[#This Row],[Equipo]],Catalogos!$I$3:$J$34,2,FALSE)</f>
        <v>#N/A</v>
      </c>
      <c r="F271" s="3"/>
      <c r="G271" s="4">
        <v>28.3</v>
      </c>
      <c r="H271" s="4">
        <f t="shared" si="4"/>
        <v>0</v>
      </c>
      <c r="I271" t="e">
        <f>VLOOKUP(TablaObra5[[#This Row],[Obra]],Catalogos!$B$3:$C$8,2,FALSE)</f>
        <v>#N/A</v>
      </c>
    </row>
    <row r="272" spans="1:9">
      <c r="A272" s="2"/>
      <c r="E272" t="e">
        <f>VLOOKUP(TablaObra5[[#This Row],[Equipo]],Catalogos!$I$3:$J$34,2,FALSE)</f>
        <v>#N/A</v>
      </c>
      <c r="F272" s="3"/>
      <c r="G272" s="4">
        <v>28.3</v>
      </c>
      <c r="H272" s="4">
        <f t="shared" si="4"/>
        <v>0</v>
      </c>
      <c r="I272" t="e">
        <f>VLOOKUP(TablaObra5[[#This Row],[Obra]],Catalogos!$B$3:$C$8,2,FALSE)</f>
        <v>#N/A</v>
      </c>
    </row>
    <row r="273" spans="1:9">
      <c r="A273" s="2"/>
      <c r="E273" t="e">
        <f>VLOOKUP(TablaObra5[[#This Row],[Equipo]],Catalogos!$I$3:$J$34,2,FALSE)</f>
        <v>#N/A</v>
      </c>
      <c r="F273" s="3"/>
      <c r="G273" s="4">
        <v>28.3</v>
      </c>
      <c r="H273" s="4">
        <f t="shared" si="4"/>
        <v>0</v>
      </c>
      <c r="I273" t="e">
        <f>VLOOKUP(TablaObra5[[#This Row],[Obra]],Catalogos!$B$3:$C$8,2,FALSE)</f>
        <v>#N/A</v>
      </c>
    </row>
    <row r="274" spans="1:9">
      <c r="A274" s="2"/>
      <c r="E274" t="e">
        <f>VLOOKUP(TablaObra5[[#This Row],[Equipo]],Catalogos!$I$3:$J$34,2,FALSE)</f>
        <v>#N/A</v>
      </c>
      <c r="F274" s="3"/>
      <c r="G274" s="4">
        <v>28.3</v>
      </c>
      <c r="H274" s="4">
        <f t="shared" si="4"/>
        <v>0</v>
      </c>
      <c r="I274" t="e">
        <f>VLOOKUP(TablaObra5[[#This Row],[Obra]],Catalogos!$B$3:$C$8,2,FALSE)</f>
        <v>#N/A</v>
      </c>
    </row>
    <row r="275" spans="1:9">
      <c r="A275" s="2"/>
      <c r="E275" t="e">
        <f>VLOOKUP(TablaObra5[[#This Row],[Equipo]],Catalogos!$I$3:$J$34,2,FALSE)</f>
        <v>#N/A</v>
      </c>
      <c r="F275" s="3"/>
      <c r="G275" s="4">
        <v>28.3</v>
      </c>
      <c r="H275" s="4">
        <f t="shared" si="4"/>
        <v>0</v>
      </c>
      <c r="I275" t="e">
        <f>VLOOKUP(TablaObra5[[#This Row],[Obra]],Catalogos!$B$3:$C$8,2,FALSE)</f>
        <v>#N/A</v>
      </c>
    </row>
    <row r="276" spans="1:9">
      <c r="A276" s="2"/>
      <c r="E276" t="e">
        <f>VLOOKUP(TablaObra5[[#This Row],[Equipo]],Catalogos!$I$3:$J$34,2,FALSE)</f>
        <v>#N/A</v>
      </c>
      <c r="F276" s="3"/>
      <c r="G276" s="4">
        <v>28.3</v>
      </c>
      <c r="H276" s="4">
        <f t="shared" si="4"/>
        <v>0</v>
      </c>
      <c r="I276" t="e">
        <f>VLOOKUP(TablaObra5[[#This Row],[Obra]],Catalogos!$B$3:$C$8,2,FALSE)</f>
        <v>#N/A</v>
      </c>
    </row>
    <row r="277" spans="1:9">
      <c r="A277" s="2"/>
      <c r="E277" t="e">
        <f>VLOOKUP(TablaObra5[[#This Row],[Equipo]],Catalogos!$I$3:$J$34,2,FALSE)</f>
        <v>#N/A</v>
      </c>
      <c r="F277" s="3"/>
      <c r="G277" s="4">
        <v>28.3</v>
      </c>
      <c r="H277" s="4">
        <f t="shared" si="4"/>
        <v>0</v>
      </c>
      <c r="I277" t="e">
        <f>VLOOKUP(TablaObra5[[#This Row],[Obra]],Catalogos!$B$3:$C$8,2,FALSE)</f>
        <v>#N/A</v>
      </c>
    </row>
    <row r="278" spans="1:9">
      <c r="A278" s="2"/>
      <c r="E278" t="e">
        <f>VLOOKUP(TablaObra5[[#This Row],[Equipo]],Catalogos!$I$3:$J$34,2,FALSE)</f>
        <v>#N/A</v>
      </c>
      <c r="F278" s="3"/>
      <c r="G278" s="4">
        <v>28.3</v>
      </c>
      <c r="H278" s="4">
        <f t="shared" si="4"/>
        <v>0</v>
      </c>
      <c r="I278" t="e">
        <f>VLOOKUP(TablaObra5[[#This Row],[Obra]],Catalogos!$B$3:$C$8,2,FALSE)</f>
        <v>#N/A</v>
      </c>
    </row>
    <row r="279" spans="1:9">
      <c r="A279" s="2"/>
      <c r="E279" t="e">
        <f>VLOOKUP(TablaObra5[[#This Row],[Equipo]],Catalogos!$I$3:$J$34,2,FALSE)</f>
        <v>#N/A</v>
      </c>
      <c r="F279" s="3"/>
      <c r="G279" s="4">
        <v>28.3</v>
      </c>
      <c r="H279" s="4">
        <f t="shared" si="4"/>
        <v>0</v>
      </c>
      <c r="I279" t="e">
        <f>VLOOKUP(TablaObra5[[#This Row],[Obra]],Catalogos!$B$3:$C$8,2,FALSE)</f>
        <v>#N/A</v>
      </c>
    </row>
    <row r="280" spans="1:9">
      <c r="A280" s="2"/>
      <c r="E280" t="e">
        <f>VLOOKUP(TablaObra5[[#This Row],[Equipo]],Catalogos!$I$3:$J$34,2,FALSE)</f>
        <v>#N/A</v>
      </c>
      <c r="F280" s="3"/>
      <c r="G280" s="4">
        <v>28.3</v>
      </c>
      <c r="H280" s="4">
        <f t="shared" si="4"/>
        <v>0</v>
      </c>
      <c r="I280" t="e">
        <f>VLOOKUP(TablaObra5[[#This Row],[Obra]],Catalogos!$B$3:$C$8,2,FALSE)</f>
        <v>#N/A</v>
      </c>
    </row>
    <row r="281" spans="1:9">
      <c r="A281" s="2"/>
      <c r="E281" t="e">
        <f>VLOOKUP(TablaObra5[[#This Row],[Equipo]],Catalogos!$I$3:$J$34,2,FALSE)</f>
        <v>#N/A</v>
      </c>
      <c r="F281" s="3"/>
      <c r="G281" s="4">
        <v>28.3</v>
      </c>
      <c r="H281" s="4">
        <f t="shared" si="4"/>
        <v>0</v>
      </c>
      <c r="I281" t="e">
        <f>VLOOKUP(TablaObra5[[#This Row],[Obra]],Catalogos!$B$3:$C$8,2,FALSE)</f>
        <v>#N/A</v>
      </c>
    </row>
    <row r="282" spans="1:9">
      <c r="A282" s="2"/>
      <c r="E282" t="e">
        <f>VLOOKUP(TablaObra5[[#This Row],[Equipo]],Catalogos!$I$3:$J$34,2,FALSE)</f>
        <v>#N/A</v>
      </c>
      <c r="F282" s="3"/>
      <c r="G282" s="4">
        <v>28.3</v>
      </c>
      <c r="H282" s="4">
        <f t="shared" si="4"/>
        <v>0</v>
      </c>
      <c r="I282" t="e">
        <f>VLOOKUP(TablaObra5[[#This Row],[Obra]],Catalogos!$B$3:$C$8,2,FALSE)</f>
        <v>#N/A</v>
      </c>
    </row>
    <row r="283" spans="1:9">
      <c r="A283" s="2"/>
      <c r="E283" t="e">
        <f>VLOOKUP(TablaObra5[[#This Row],[Equipo]],Catalogos!$I$3:$J$34,2,FALSE)</f>
        <v>#N/A</v>
      </c>
      <c r="F283" s="3"/>
      <c r="G283" s="4">
        <v>28.3</v>
      </c>
      <c r="H283" s="4">
        <f t="shared" si="4"/>
        <v>0</v>
      </c>
      <c r="I283" t="e">
        <f>VLOOKUP(TablaObra5[[#This Row],[Obra]],Catalogos!$B$3:$C$8,2,FALSE)</f>
        <v>#N/A</v>
      </c>
    </row>
    <row r="284" spans="1:9">
      <c r="A284" s="2"/>
      <c r="E284" t="e">
        <f>VLOOKUP(TablaObra5[[#This Row],[Equipo]],Catalogos!$I$3:$J$34,2,FALSE)</f>
        <v>#N/A</v>
      </c>
      <c r="F284" s="3"/>
      <c r="G284" s="4">
        <v>28.3</v>
      </c>
      <c r="H284" s="4">
        <f t="shared" si="4"/>
        <v>0</v>
      </c>
      <c r="I284" t="e">
        <f>VLOOKUP(TablaObra5[[#This Row],[Obra]],Catalogos!$B$3:$C$8,2,FALSE)</f>
        <v>#N/A</v>
      </c>
    </row>
    <row r="285" spans="1:9">
      <c r="A285" s="2"/>
      <c r="E285" t="e">
        <f>VLOOKUP(TablaObra5[[#This Row],[Equipo]],Catalogos!$I$3:$J$34,2,FALSE)</f>
        <v>#N/A</v>
      </c>
      <c r="F285" s="3"/>
      <c r="G285" s="4">
        <v>28.3</v>
      </c>
      <c r="H285" s="4">
        <f t="shared" si="4"/>
        <v>0</v>
      </c>
      <c r="I285" t="e">
        <f>VLOOKUP(TablaObra5[[#This Row],[Obra]],Catalogos!$B$3:$C$8,2,FALSE)</f>
        <v>#N/A</v>
      </c>
    </row>
    <row r="286" spans="1:9">
      <c r="A286" s="2"/>
      <c r="E286" t="e">
        <f>VLOOKUP(TablaObra5[[#This Row],[Equipo]],Catalogos!$I$3:$J$34,2,FALSE)</f>
        <v>#N/A</v>
      </c>
      <c r="F286" s="3"/>
      <c r="G286" s="4">
        <v>28.3</v>
      </c>
      <c r="H286" s="4">
        <f t="shared" si="4"/>
        <v>0</v>
      </c>
      <c r="I286" t="e">
        <f>VLOOKUP(TablaObra5[[#This Row],[Obra]],Catalogos!$B$3:$C$8,2,FALSE)</f>
        <v>#N/A</v>
      </c>
    </row>
    <row r="287" spans="1:9">
      <c r="A287" s="2"/>
      <c r="E287" t="e">
        <f>VLOOKUP(TablaObra5[[#This Row],[Equipo]],Catalogos!$I$3:$J$34,2,FALSE)</f>
        <v>#N/A</v>
      </c>
      <c r="F287" s="3"/>
      <c r="G287" s="4">
        <v>28.3</v>
      </c>
      <c r="H287" s="4">
        <f t="shared" si="4"/>
        <v>0</v>
      </c>
      <c r="I287" t="e">
        <f>VLOOKUP(TablaObra5[[#This Row],[Obra]],Catalogos!$B$3:$C$8,2,FALSE)</f>
        <v>#N/A</v>
      </c>
    </row>
    <row r="288" spans="1:9">
      <c r="A288" s="2"/>
      <c r="E288" t="e">
        <f>VLOOKUP(TablaObra5[[#This Row],[Equipo]],Catalogos!$I$3:$J$34,2,FALSE)</f>
        <v>#N/A</v>
      </c>
      <c r="F288" s="3"/>
      <c r="G288" s="4">
        <v>28.3</v>
      </c>
      <c r="H288" s="4">
        <f t="shared" si="4"/>
        <v>0</v>
      </c>
      <c r="I288" t="e">
        <f>VLOOKUP(TablaObra5[[#This Row],[Obra]],Catalogos!$B$3:$C$8,2,FALSE)</f>
        <v>#N/A</v>
      </c>
    </row>
    <row r="289" spans="1:9">
      <c r="A289" s="2"/>
      <c r="E289" t="e">
        <f>VLOOKUP(TablaObra5[[#This Row],[Equipo]],Catalogos!$I$3:$J$34,2,FALSE)</f>
        <v>#N/A</v>
      </c>
      <c r="F289" s="3"/>
      <c r="G289" s="4">
        <v>28.3</v>
      </c>
      <c r="H289" s="4">
        <f t="shared" si="4"/>
        <v>0</v>
      </c>
      <c r="I289" t="e">
        <f>VLOOKUP(TablaObra5[[#This Row],[Obra]],Catalogos!$B$3:$C$8,2,FALSE)</f>
        <v>#N/A</v>
      </c>
    </row>
    <row r="290" spans="1:9">
      <c r="A290" s="2"/>
      <c r="E290" t="e">
        <f>VLOOKUP(TablaObra5[[#This Row],[Equipo]],Catalogos!$I$3:$J$34,2,FALSE)</f>
        <v>#N/A</v>
      </c>
      <c r="F290" s="3"/>
      <c r="G290" s="4">
        <v>28.3</v>
      </c>
      <c r="H290" s="4">
        <f t="shared" si="4"/>
        <v>0</v>
      </c>
      <c r="I290" t="e">
        <f>VLOOKUP(TablaObra5[[#This Row],[Obra]],Catalogos!$B$3:$C$8,2,FALSE)</f>
        <v>#N/A</v>
      </c>
    </row>
    <row r="291" spans="1:9">
      <c r="A291" s="2"/>
      <c r="E291" t="e">
        <f>VLOOKUP(TablaObra5[[#This Row],[Equipo]],Catalogos!$I$3:$J$34,2,FALSE)</f>
        <v>#N/A</v>
      </c>
      <c r="F291" s="3"/>
      <c r="G291" s="4">
        <v>28.3</v>
      </c>
      <c r="H291" s="4">
        <f t="shared" si="4"/>
        <v>0</v>
      </c>
      <c r="I291" t="e">
        <f>VLOOKUP(TablaObra5[[#This Row],[Obra]],Catalogos!$B$3:$C$8,2,FALSE)</f>
        <v>#N/A</v>
      </c>
    </row>
    <row r="292" spans="1:9">
      <c r="A292" s="2"/>
      <c r="E292" t="e">
        <f>VLOOKUP(TablaObra5[[#This Row],[Equipo]],Catalogos!$I$3:$J$34,2,FALSE)</f>
        <v>#N/A</v>
      </c>
      <c r="F292" s="3"/>
      <c r="G292" s="4">
        <v>28.3</v>
      </c>
      <c r="H292" s="4">
        <f t="shared" si="4"/>
        <v>0</v>
      </c>
      <c r="I292" t="e">
        <f>VLOOKUP(TablaObra5[[#This Row],[Obra]],Catalogos!$B$3:$C$8,2,FALSE)</f>
        <v>#N/A</v>
      </c>
    </row>
    <row r="293" spans="1:9">
      <c r="A293" s="2"/>
      <c r="E293" t="e">
        <f>VLOOKUP(TablaObra5[[#This Row],[Equipo]],Catalogos!$I$3:$J$34,2,FALSE)</f>
        <v>#N/A</v>
      </c>
      <c r="F293" s="3"/>
      <c r="G293" s="4">
        <v>28.3</v>
      </c>
      <c r="H293" s="4">
        <f t="shared" si="4"/>
        <v>0</v>
      </c>
      <c r="I293" t="e">
        <f>VLOOKUP(TablaObra5[[#This Row],[Obra]],Catalogos!$B$3:$C$8,2,FALSE)</f>
        <v>#N/A</v>
      </c>
    </row>
    <row r="294" spans="1:9">
      <c r="A294" s="2"/>
      <c r="E294" t="e">
        <f>VLOOKUP(TablaObra5[[#This Row],[Equipo]],Catalogos!$I$3:$J$34,2,FALSE)</f>
        <v>#N/A</v>
      </c>
      <c r="F294" s="3"/>
      <c r="G294" s="4">
        <v>28.3</v>
      </c>
      <c r="H294" s="4">
        <f t="shared" si="4"/>
        <v>0</v>
      </c>
      <c r="I294" t="e">
        <f>VLOOKUP(TablaObra5[[#This Row],[Obra]],Catalogos!$B$3:$C$8,2,FALSE)</f>
        <v>#N/A</v>
      </c>
    </row>
    <row r="295" spans="1:9">
      <c r="A295" s="2"/>
      <c r="E295" t="e">
        <f>VLOOKUP(TablaObra5[[#This Row],[Equipo]],Catalogos!$I$3:$J$34,2,FALSE)</f>
        <v>#N/A</v>
      </c>
      <c r="F295" s="3"/>
      <c r="G295" s="4">
        <v>28.3</v>
      </c>
      <c r="H295" s="4">
        <f t="shared" si="4"/>
        <v>0</v>
      </c>
      <c r="I295" t="e">
        <f>VLOOKUP(TablaObra5[[#This Row],[Obra]],Catalogos!$B$3:$C$8,2,FALSE)</f>
        <v>#N/A</v>
      </c>
    </row>
    <row r="296" spans="1:9">
      <c r="A296" s="2"/>
      <c r="E296" t="e">
        <f>VLOOKUP(TablaObra5[[#This Row],[Equipo]],Catalogos!$I$3:$J$34,2,FALSE)</f>
        <v>#N/A</v>
      </c>
      <c r="F296" s="3"/>
      <c r="G296" s="4">
        <v>28.3</v>
      </c>
      <c r="H296" s="4">
        <f t="shared" si="4"/>
        <v>0</v>
      </c>
      <c r="I296" t="e">
        <f>VLOOKUP(TablaObra5[[#This Row],[Obra]],Catalogos!$B$3:$C$8,2,FALSE)</f>
        <v>#N/A</v>
      </c>
    </row>
    <row r="297" spans="1:9">
      <c r="A297" s="2"/>
      <c r="E297" t="e">
        <f>VLOOKUP(TablaObra5[[#This Row],[Equipo]],Catalogos!$I$3:$J$34,2,FALSE)</f>
        <v>#N/A</v>
      </c>
      <c r="F297" s="3"/>
      <c r="G297" s="4">
        <v>28.3</v>
      </c>
      <c r="H297" s="4">
        <f t="shared" si="4"/>
        <v>0</v>
      </c>
      <c r="I297" t="e">
        <f>VLOOKUP(TablaObra5[[#This Row],[Obra]],Catalogos!$B$3:$C$8,2,FALSE)</f>
        <v>#N/A</v>
      </c>
    </row>
    <row r="298" spans="1:9">
      <c r="A298" s="2"/>
      <c r="E298" t="e">
        <f>VLOOKUP(TablaObra5[[#This Row],[Equipo]],Catalogos!$I$3:$J$34,2,FALSE)</f>
        <v>#N/A</v>
      </c>
      <c r="F298" s="3"/>
      <c r="G298" s="4">
        <v>28.3</v>
      </c>
      <c r="H298" s="4">
        <f t="shared" si="4"/>
        <v>0</v>
      </c>
      <c r="I298" t="e">
        <f>VLOOKUP(TablaObra5[[#This Row],[Obra]],Catalogos!$B$3:$C$8,2,FALSE)</f>
        <v>#N/A</v>
      </c>
    </row>
    <row r="299" spans="1:9">
      <c r="A299" s="2"/>
      <c r="E299" t="e">
        <f>VLOOKUP(TablaObra5[[#This Row],[Equipo]],Catalogos!$I$3:$J$34,2,FALSE)</f>
        <v>#N/A</v>
      </c>
      <c r="F299" s="3"/>
      <c r="G299" s="4">
        <v>28.3</v>
      </c>
      <c r="H299" s="4">
        <f t="shared" si="4"/>
        <v>0</v>
      </c>
      <c r="I299" t="e">
        <f>VLOOKUP(TablaObra5[[#This Row],[Obra]],Catalogos!$B$3:$C$8,2,FALSE)</f>
        <v>#N/A</v>
      </c>
    </row>
    <row r="300" spans="1:9">
      <c r="A300" s="2"/>
      <c r="E300" t="e">
        <f>VLOOKUP(TablaObra5[[#This Row],[Equipo]],Catalogos!$I$3:$J$34,2,FALSE)</f>
        <v>#N/A</v>
      </c>
      <c r="F300" s="3"/>
      <c r="G300" s="4">
        <v>28.3</v>
      </c>
      <c r="H300" s="4">
        <f t="shared" si="4"/>
        <v>0</v>
      </c>
      <c r="I300" t="e">
        <f>VLOOKUP(TablaObra5[[#This Row],[Obra]],Catalogos!$B$3:$C$8,2,FALSE)</f>
        <v>#N/A</v>
      </c>
    </row>
    <row r="301" spans="1:9">
      <c r="A301" s="2"/>
      <c r="E301" t="e">
        <f>VLOOKUP(TablaObra5[[#This Row],[Equipo]],Catalogos!$I$3:$J$34,2,FALSE)</f>
        <v>#N/A</v>
      </c>
      <c r="F301" s="3"/>
      <c r="G301" s="4">
        <v>28.3</v>
      </c>
      <c r="H301" s="4">
        <f t="shared" si="4"/>
        <v>0</v>
      </c>
      <c r="I301" t="e">
        <f>VLOOKUP(TablaObra5[[#This Row],[Obra]],Catalogos!$B$3:$C$8,2,FALSE)</f>
        <v>#N/A</v>
      </c>
    </row>
    <row r="302" spans="1:9">
      <c r="A302" s="2"/>
      <c r="E302" t="e">
        <f>VLOOKUP(TablaObra5[[#This Row],[Equipo]],Catalogos!$I$3:$J$34,2,FALSE)</f>
        <v>#N/A</v>
      </c>
      <c r="F302" s="3"/>
      <c r="G302" s="4">
        <v>28.3</v>
      </c>
      <c r="H302" s="4">
        <f t="shared" si="4"/>
        <v>0</v>
      </c>
      <c r="I302" t="e">
        <f>VLOOKUP(TablaObra5[[#This Row],[Obra]],Catalogos!$B$3:$C$8,2,FALSE)</f>
        <v>#N/A</v>
      </c>
    </row>
    <row r="303" spans="1:9">
      <c r="A303" s="2"/>
      <c r="E303" t="e">
        <f>VLOOKUP(TablaObra5[[#This Row],[Equipo]],Catalogos!$I$3:$J$34,2,FALSE)</f>
        <v>#N/A</v>
      </c>
      <c r="F303" s="3"/>
      <c r="G303" s="4">
        <v>28.3</v>
      </c>
      <c r="H303" s="4">
        <f t="shared" si="4"/>
        <v>0</v>
      </c>
      <c r="I303" t="e">
        <f>VLOOKUP(TablaObra5[[#This Row],[Obra]],Catalogos!$B$3:$C$8,2,FALSE)</f>
        <v>#N/A</v>
      </c>
    </row>
    <row r="304" spans="1:9">
      <c r="A304" s="2"/>
      <c r="E304" t="e">
        <f>VLOOKUP(TablaObra5[[#This Row],[Equipo]],Catalogos!$I$3:$J$34,2,FALSE)</f>
        <v>#N/A</v>
      </c>
      <c r="F304" s="3"/>
      <c r="G304" s="4">
        <v>28.3</v>
      </c>
      <c r="H304" s="4">
        <f t="shared" si="4"/>
        <v>0</v>
      </c>
      <c r="I304" t="e">
        <f>VLOOKUP(TablaObra5[[#This Row],[Obra]],Catalogos!$B$3:$C$8,2,FALSE)</f>
        <v>#N/A</v>
      </c>
    </row>
    <row r="305" spans="1:9">
      <c r="A305" s="2"/>
      <c r="E305" t="e">
        <f>VLOOKUP(TablaObra5[[#This Row],[Equipo]],Catalogos!$I$3:$J$34,2,FALSE)</f>
        <v>#N/A</v>
      </c>
      <c r="F305" s="3"/>
      <c r="G305" s="4">
        <v>28.3</v>
      </c>
      <c r="H305" s="4">
        <f t="shared" si="4"/>
        <v>0</v>
      </c>
      <c r="I305" t="e">
        <f>VLOOKUP(TablaObra5[[#This Row],[Obra]],Catalogos!$B$3:$C$8,2,FALSE)</f>
        <v>#N/A</v>
      </c>
    </row>
    <row r="306" spans="1:9">
      <c r="A306" s="2"/>
      <c r="E306" t="e">
        <f>VLOOKUP(TablaObra5[[#This Row],[Equipo]],Catalogos!$I$3:$J$34,2,FALSE)</f>
        <v>#N/A</v>
      </c>
      <c r="F306" s="3"/>
      <c r="G306" s="4">
        <v>28.3</v>
      </c>
      <c r="H306" s="4">
        <f t="shared" si="4"/>
        <v>0</v>
      </c>
      <c r="I306" t="e">
        <f>VLOOKUP(TablaObra5[[#This Row],[Obra]],Catalogos!$B$3:$C$8,2,FALSE)</f>
        <v>#N/A</v>
      </c>
    </row>
  </sheetData>
  <mergeCells count="1">
    <mergeCell ref="A1:K1"/>
  </mergeCells>
  <dataValidations count="3">
    <dataValidation type="list" sqref="J5:J306" xr:uid="{F088CA72-B887-4919-9599-320A81590B37}">
      <formula1>"Sin incidencia,Fuga,Reparación,Equipo parado,Consumo extraordinario,Otro"</formula1>
    </dataValidation>
    <dataValidation type="list" sqref="C297:C306" xr:uid="{D8D37BB4-CAF1-4599-8863-3A840616BA64}">
      <formula1>"Marimba M-01,Pegaso Directo,Otro"</formula1>
    </dataValidation>
    <dataValidation sqref="C5:C296" xr:uid="{C565FAA6-1CA1-46BD-AD92-EB4A143CBC04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81A2BCB4-9A02-457A-8743-3B88717955A6}">
          <x14:formula1>
            <xm:f>Catalogos!$B$4:$B$8</xm:f>
          </x14:formula1>
          <xm:sqref>B5:B306</xm:sqref>
        </x14:dataValidation>
        <x14:dataValidation type="list" allowBlank="1" showInputMessage="1" showErrorMessage="1" xr:uid="{EDD8FA59-820A-4415-A53B-84EF3A3D37B6}">
          <x14:formula1>
            <xm:f>Catalogos!$I$4:$I$34</xm:f>
          </x14:formula1>
          <xm:sqref>D5:D306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04"/>
  <sheetViews>
    <sheetView zoomScale="88" workbookViewId="0">
      <selection activeCell="L39" sqref="L39"/>
    </sheetView>
  </sheetViews>
  <sheetFormatPr baseColWidth="10" defaultColWidth="8.796875" defaultRowHeight="13.8"/>
  <cols>
    <col min="1" max="1" width="13" customWidth="1"/>
    <col min="2" max="2" width="20" customWidth="1"/>
    <col min="3" max="3" width="17" customWidth="1"/>
    <col min="4" max="4" width="22" customWidth="1"/>
    <col min="5" max="6" width="14" customWidth="1"/>
    <col min="7" max="7" width="12" customWidth="1"/>
    <col min="8" max="8" width="14" customWidth="1"/>
    <col min="9" max="9" width="25" customWidth="1"/>
    <col min="10" max="10" width="16" customWidth="1"/>
    <col min="11" max="11" width="30" customWidth="1"/>
  </cols>
  <sheetData>
    <row r="1" spans="1:13" ht="22.35" customHeight="1">
      <c r="A1" s="17" t="s">
        <v>48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3">
      <c r="A2" t="s">
        <v>49</v>
      </c>
      <c r="C2" t="s">
        <v>23</v>
      </c>
      <c r="E2" t="s">
        <v>24</v>
      </c>
      <c r="G2" t="s">
        <v>50</v>
      </c>
      <c r="I2" t="s">
        <v>42</v>
      </c>
    </row>
    <row r="4" spans="1:13" ht="27.6">
      <c r="A4" s="1" t="s">
        <v>28</v>
      </c>
      <c r="B4" s="1" t="s">
        <v>3</v>
      </c>
      <c r="C4" s="1" t="s">
        <v>51</v>
      </c>
      <c r="D4" s="1" t="s">
        <v>45</v>
      </c>
      <c r="E4" s="1" t="s">
        <v>46</v>
      </c>
      <c r="F4" s="1" t="s">
        <v>52</v>
      </c>
      <c r="G4" s="1" t="s">
        <v>35</v>
      </c>
      <c r="H4" s="1" t="s">
        <v>36</v>
      </c>
      <c r="I4" s="1" t="s">
        <v>53</v>
      </c>
      <c r="J4" s="1" t="s">
        <v>54</v>
      </c>
      <c r="K4" s="1" t="s">
        <v>37</v>
      </c>
    </row>
    <row r="5" spans="1:13">
      <c r="A5" s="2">
        <v>46181</v>
      </c>
      <c r="B5" t="s">
        <v>6</v>
      </c>
      <c r="C5" t="s">
        <v>89</v>
      </c>
      <c r="D5" t="s">
        <v>181</v>
      </c>
      <c r="E5" t="str">
        <f>VLOOKUP(TablaObra[[#This Row],[Equipo]],Catalogos!I$4:J$34,2,FALSE)</f>
        <v>NM-01</v>
      </c>
      <c r="F5" s="3">
        <v>30</v>
      </c>
      <c r="G5" s="4">
        <v>28.3</v>
      </c>
      <c r="H5" s="4">
        <f t="shared" ref="H5:H68" si="0">IFERROR(F5*G5,0)</f>
        <v>849</v>
      </c>
    </row>
    <row r="6" spans="1:13">
      <c r="A6" s="2">
        <v>46181</v>
      </c>
      <c r="B6" t="s">
        <v>6</v>
      </c>
      <c r="C6" t="s">
        <v>89</v>
      </c>
      <c r="D6" t="s">
        <v>86</v>
      </c>
      <c r="E6" t="str">
        <f>VLOOKUP(TablaObra[[#This Row],[Equipo]],Catalogos!I$4:J$34,2,FALSE)</f>
        <v>CP-01</v>
      </c>
      <c r="F6" s="3">
        <v>32</v>
      </c>
      <c r="G6" s="4">
        <v>28.3</v>
      </c>
      <c r="H6" s="4">
        <f t="shared" si="0"/>
        <v>905.6</v>
      </c>
    </row>
    <row r="7" spans="1:13">
      <c r="A7" s="2">
        <v>46181</v>
      </c>
      <c r="B7" t="s">
        <v>6</v>
      </c>
      <c r="C7" t="s">
        <v>89</v>
      </c>
      <c r="D7" t="s">
        <v>164</v>
      </c>
      <c r="E7" t="str">
        <f>VLOOKUP(TablaObra[[#This Row],[Equipo]],Catalogos!I$4:J$34,2,FALSE)</f>
        <v>PR-01</v>
      </c>
      <c r="F7" s="3">
        <v>277</v>
      </c>
      <c r="G7" s="4">
        <v>28.3</v>
      </c>
      <c r="H7" s="4">
        <f t="shared" si="0"/>
        <v>7839.1</v>
      </c>
    </row>
    <row r="8" spans="1:13">
      <c r="A8" s="2">
        <v>46181</v>
      </c>
      <c r="B8" t="s">
        <v>6</v>
      </c>
      <c r="C8" t="s">
        <v>89</v>
      </c>
      <c r="D8" t="s">
        <v>95</v>
      </c>
      <c r="E8" t="str">
        <f>VLOOKUP(TablaObra[[#This Row],[Equipo]],Catalogos!I$4:J$34,2,FALSE)</f>
        <v>RT-01</v>
      </c>
      <c r="F8" s="3">
        <v>30</v>
      </c>
      <c r="G8" s="4">
        <v>28.3</v>
      </c>
      <c r="H8" s="4">
        <f t="shared" si="0"/>
        <v>849</v>
      </c>
    </row>
    <row r="9" spans="1:13">
      <c r="A9" s="2">
        <v>46181</v>
      </c>
      <c r="B9" t="s">
        <v>8</v>
      </c>
      <c r="C9" t="s">
        <v>89</v>
      </c>
      <c r="D9" t="s">
        <v>160</v>
      </c>
      <c r="E9" t="str">
        <f>VLOOKUP(TablaObra[[#This Row],[Equipo]],Catalogos!I$4:J$34,2,FALSE)</f>
        <v>VG-01</v>
      </c>
      <c r="F9" s="3">
        <v>97</v>
      </c>
      <c r="G9" s="4">
        <v>28.3</v>
      </c>
      <c r="H9" s="4">
        <f t="shared" si="0"/>
        <v>2745.1</v>
      </c>
    </row>
    <row r="10" spans="1:13">
      <c r="A10" s="2">
        <v>46181</v>
      </c>
      <c r="B10" t="s">
        <v>10</v>
      </c>
      <c r="C10" t="s">
        <v>89</v>
      </c>
      <c r="D10" t="s">
        <v>171</v>
      </c>
      <c r="E10" t="str">
        <f>VLOOKUP(TablaObra[[#This Row],[Equipo]],Catalogos!I$4:J$34,2,FALSE)</f>
        <v>PR-02</v>
      </c>
      <c r="F10" s="3">
        <v>198</v>
      </c>
      <c r="G10" s="4">
        <v>28.3</v>
      </c>
      <c r="H10" s="4">
        <f t="shared" si="0"/>
        <v>5603.4000000000005</v>
      </c>
    </row>
    <row r="11" spans="1:13">
      <c r="A11" s="2">
        <v>46181</v>
      </c>
      <c r="B11" t="s">
        <v>10</v>
      </c>
      <c r="C11" t="s">
        <v>89</v>
      </c>
      <c r="D11" t="s">
        <v>192</v>
      </c>
      <c r="E11" t="str">
        <f>VLOOKUP(TablaObra[[#This Row],[Equipo]],Catalogos!I$4:J$34,2,FALSE)</f>
        <v>MX-01</v>
      </c>
      <c r="F11" s="3">
        <v>10</v>
      </c>
      <c r="G11" s="4">
        <v>28.3</v>
      </c>
      <c r="H11" s="4">
        <f t="shared" si="0"/>
        <v>283</v>
      </c>
    </row>
    <row r="12" spans="1:13">
      <c r="A12" s="2">
        <v>46181</v>
      </c>
      <c r="B12" t="s">
        <v>10</v>
      </c>
      <c r="C12" t="s">
        <v>89</v>
      </c>
      <c r="D12" t="s">
        <v>186</v>
      </c>
      <c r="E12" t="str">
        <f>VLOOKUP(TablaObra[[#This Row],[Equipo]],Catalogos!I$4:J$34,2,FALSE)</f>
        <v>NM-02</v>
      </c>
      <c r="F12" s="3">
        <v>27</v>
      </c>
      <c r="G12" s="4">
        <v>28.3</v>
      </c>
      <c r="H12" s="4">
        <f t="shared" si="0"/>
        <v>764.1</v>
      </c>
    </row>
    <row r="13" spans="1:13">
      <c r="A13" s="2">
        <v>46181</v>
      </c>
      <c r="B13" t="s">
        <v>10</v>
      </c>
      <c r="C13" t="s">
        <v>89</v>
      </c>
      <c r="D13" t="s">
        <v>194</v>
      </c>
      <c r="E13" t="str">
        <f>VLOOKUP(TablaObra[[#This Row],[Equipo]],Catalogos!I$4:J$34,2,FALSE)</f>
        <v>CPR-01</v>
      </c>
      <c r="F13" s="3">
        <v>30</v>
      </c>
      <c r="G13" s="4">
        <v>28.3</v>
      </c>
      <c r="H13" s="4">
        <f t="shared" si="0"/>
        <v>849</v>
      </c>
    </row>
    <row r="14" spans="1:13">
      <c r="A14" s="2">
        <v>46181</v>
      </c>
      <c r="B14" t="s">
        <v>10</v>
      </c>
      <c r="C14" t="s">
        <v>89</v>
      </c>
      <c r="D14" t="s">
        <v>177</v>
      </c>
      <c r="E14" t="str">
        <f>VLOOKUP(TablaObra[[#This Row],[Equipo]],Catalogos!I$4:J$34,2,FALSE)</f>
        <v>RT-02</v>
      </c>
      <c r="F14" s="3">
        <v>40</v>
      </c>
      <c r="G14" s="4">
        <v>28.3</v>
      </c>
      <c r="H14" s="4">
        <f t="shared" si="0"/>
        <v>1132</v>
      </c>
      <c r="M14" s="3">
        <f>SUM(F5:F64)</f>
        <v>4697</v>
      </c>
    </row>
    <row r="15" spans="1:13">
      <c r="A15" s="2">
        <v>46181</v>
      </c>
      <c r="B15" t="s">
        <v>10</v>
      </c>
      <c r="C15" t="s">
        <v>89</v>
      </c>
      <c r="D15" t="s">
        <v>182</v>
      </c>
      <c r="E15" t="str">
        <f>VLOOKUP(TablaObra[[#This Row],[Equipo]],Catalogos!I$4:J$34,2,FALSE)</f>
        <v>VG-02</v>
      </c>
      <c r="F15" s="3">
        <v>120</v>
      </c>
      <c r="G15" s="4">
        <v>28.3</v>
      </c>
      <c r="H15" s="4">
        <f t="shared" si="0"/>
        <v>3396</v>
      </c>
    </row>
    <row r="16" spans="1:13">
      <c r="A16" s="2">
        <v>46181</v>
      </c>
      <c r="B16" t="s">
        <v>10</v>
      </c>
      <c r="C16" t="s">
        <v>89</v>
      </c>
      <c r="D16" t="s">
        <v>188</v>
      </c>
      <c r="E16" t="str">
        <f>VLOOKUP(TablaObra[[#This Row],[Equipo]],Catalogos!I$4:J$34,2,FALSE)</f>
        <v>PT-02</v>
      </c>
      <c r="F16" s="3">
        <v>30</v>
      </c>
      <c r="G16" s="4">
        <v>28.3</v>
      </c>
      <c r="H16" s="4">
        <f t="shared" si="0"/>
        <v>849</v>
      </c>
    </row>
    <row r="17" spans="1:8">
      <c r="A17" s="2">
        <v>46181</v>
      </c>
      <c r="B17" t="s">
        <v>210</v>
      </c>
      <c r="C17" t="s">
        <v>156</v>
      </c>
      <c r="D17" t="s">
        <v>211</v>
      </c>
      <c r="E17" t="str">
        <f>VLOOKUP(TablaObra[[#This Row],[Equipo]],Catalogos!I$4:J$34,2,FALSE)</f>
        <v>BD-01</v>
      </c>
      <c r="F17" s="3">
        <v>100</v>
      </c>
      <c r="G17" s="4">
        <v>28.3</v>
      </c>
      <c r="H17" s="4">
        <f t="shared" si="0"/>
        <v>2830</v>
      </c>
    </row>
    <row r="18" spans="1:8">
      <c r="A18" s="2">
        <v>46181</v>
      </c>
      <c r="B18" t="s">
        <v>214</v>
      </c>
      <c r="C18" t="s">
        <v>156</v>
      </c>
      <c r="D18" t="s">
        <v>211</v>
      </c>
      <c r="E18" t="str">
        <f>VLOOKUP(TablaObra[[#This Row],[Equipo]],Catalogos!I$4:J$34,2,FALSE)</f>
        <v>BD-01</v>
      </c>
      <c r="F18" s="3">
        <v>200</v>
      </c>
      <c r="G18" s="4">
        <v>28.3</v>
      </c>
      <c r="H18" s="4">
        <f t="shared" si="0"/>
        <v>5660</v>
      </c>
    </row>
    <row r="19" spans="1:8">
      <c r="A19" s="2">
        <v>46181</v>
      </c>
      <c r="B19" t="s">
        <v>214</v>
      </c>
      <c r="C19" t="s">
        <v>156</v>
      </c>
      <c r="D19" t="s">
        <v>211</v>
      </c>
      <c r="E19" t="str">
        <f>VLOOKUP(TablaObra[[#This Row],[Equipo]],Catalogos!I$4:J$34,2,FALSE)</f>
        <v>BD-01</v>
      </c>
      <c r="F19" s="3">
        <v>209</v>
      </c>
      <c r="G19" s="4">
        <v>28.3</v>
      </c>
      <c r="H19" s="4">
        <f t="shared" si="0"/>
        <v>5914.7</v>
      </c>
    </row>
    <row r="20" spans="1:8">
      <c r="A20" s="2">
        <v>46182</v>
      </c>
      <c r="B20" t="s">
        <v>10</v>
      </c>
      <c r="C20" t="s">
        <v>89</v>
      </c>
      <c r="D20" t="s">
        <v>175</v>
      </c>
      <c r="E20" t="str">
        <f>VLOOKUP(TablaObra[[#This Row],[Equipo]],Catalogos!I$4:J$34,2,FALSE)</f>
        <v>BR-02</v>
      </c>
      <c r="F20" s="3">
        <v>30</v>
      </c>
      <c r="G20" s="4">
        <v>28.3</v>
      </c>
      <c r="H20" s="4">
        <f t="shared" si="0"/>
        <v>849</v>
      </c>
    </row>
    <row r="21" spans="1:8">
      <c r="A21" s="2">
        <v>46182</v>
      </c>
      <c r="B21" t="s">
        <v>10</v>
      </c>
      <c r="C21" t="s">
        <v>89</v>
      </c>
      <c r="D21" t="s">
        <v>179</v>
      </c>
      <c r="E21" t="str">
        <f>VLOOKUP(TablaObra[[#This Row],[Equipo]],Catalogos!I$4:J$34,2,FALSE)</f>
        <v>BG-01</v>
      </c>
      <c r="F21" s="3">
        <v>100</v>
      </c>
      <c r="G21" s="4">
        <v>28.3</v>
      </c>
      <c r="H21" s="4">
        <f t="shared" si="0"/>
        <v>2830</v>
      </c>
    </row>
    <row r="22" spans="1:8">
      <c r="A22" s="2">
        <v>46182</v>
      </c>
      <c r="B22" t="s">
        <v>10</v>
      </c>
      <c r="C22" t="s">
        <v>89</v>
      </c>
      <c r="D22" t="s">
        <v>184</v>
      </c>
      <c r="E22" t="str">
        <f>VLOOKUP(TablaObra[[#This Row],[Equipo]],Catalogos!I$4:J$34,2,FALSE)</f>
        <v>TD-01</v>
      </c>
      <c r="F22" s="3">
        <v>30</v>
      </c>
      <c r="G22" s="4">
        <v>28.3</v>
      </c>
      <c r="H22" s="4">
        <f t="shared" si="0"/>
        <v>849</v>
      </c>
    </row>
    <row r="23" spans="1:8">
      <c r="A23" s="2">
        <v>46182</v>
      </c>
      <c r="B23" t="s">
        <v>10</v>
      </c>
      <c r="C23" t="s">
        <v>89</v>
      </c>
      <c r="D23" t="s">
        <v>171</v>
      </c>
      <c r="E23" t="str">
        <f>VLOOKUP(TablaObra[[#This Row],[Equipo]],Catalogos!I$4:J$34,2,FALSE)</f>
        <v>PR-02</v>
      </c>
      <c r="F23" s="3">
        <v>150</v>
      </c>
      <c r="G23" s="4">
        <v>28.3</v>
      </c>
      <c r="H23" s="4">
        <f t="shared" si="0"/>
        <v>4245</v>
      </c>
    </row>
    <row r="24" spans="1:8">
      <c r="A24" s="2">
        <v>46182</v>
      </c>
      <c r="B24" t="s">
        <v>10</v>
      </c>
      <c r="C24" t="s">
        <v>89</v>
      </c>
      <c r="D24" t="s">
        <v>188</v>
      </c>
      <c r="E24" t="str">
        <f>VLOOKUP(TablaObra[[#This Row],[Equipo]],Catalogos!I$4:J$34,2,FALSE)</f>
        <v>PT-02</v>
      </c>
      <c r="F24" s="3">
        <v>50</v>
      </c>
      <c r="G24" s="4">
        <v>28.3</v>
      </c>
      <c r="H24" s="4">
        <f t="shared" si="0"/>
        <v>1415</v>
      </c>
    </row>
    <row r="25" spans="1:8">
      <c r="A25" s="2">
        <v>46182</v>
      </c>
      <c r="B25" t="s">
        <v>10</v>
      </c>
      <c r="C25" t="s">
        <v>89</v>
      </c>
      <c r="D25" t="s">
        <v>182</v>
      </c>
      <c r="E25" t="str">
        <f>VLOOKUP(TablaObra[[#This Row],[Equipo]],Catalogos!I$4:J$34,2,FALSE)</f>
        <v>VG-02</v>
      </c>
      <c r="F25" s="3">
        <v>136</v>
      </c>
      <c r="G25" s="4">
        <v>28.3</v>
      </c>
      <c r="H25" s="4">
        <f t="shared" si="0"/>
        <v>3848.8</v>
      </c>
    </row>
    <row r="26" spans="1:8">
      <c r="A26" s="2">
        <v>46182</v>
      </c>
      <c r="B26" t="s">
        <v>10</v>
      </c>
      <c r="C26" t="s">
        <v>89</v>
      </c>
      <c r="D26" t="s">
        <v>184</v>
      </c>
      <c r="E26" t="str">
        <f>VLOOKUP(TablaObra[[#This Row],[Equipo]],Catalogos!I$4:J$34,2,FALSE)</f>
        <v>TD-01</v>
      </c>
      <c r="F26" s="3">
        <v>30</v>
      </c>
      <c r="G26" s="4">
        <v>28.3</v>
      </c>
      <c r="H26" s="4">
        <f t="shared" si="0"/>
        <v>849</v>
      </c>
    </row>
    <row r="27" spans="1:8">
      <c r="A27" s="2">
        <v>46182</v>
      </c>
      <c r="B27" t="s">
        <v>10</v>
      </c>
      <c r="C27" t="s">
        <v>89</v>
      </c>
      <c r="D27" t="s">
        <v>181</v>
      </c>
      <c r="E27" t="str">
        <f>VLOOKUP(TablaObra[[#This Row],[Equipo]],Catalogos!I$4:J$34,2,FALSE)</f>
        <v>NM-01</v>
      </c>
      <c r="F27" s="3">
        <v>30</v>
      </c>
      <c r="G27" s="4">
        <v>28.3</v>
      </c>
      <c r="H27" s="4">
        <f t="shared" si="0"/>
        <v>849</v>
      </c>
    </row>
    <row r="28" spans="1:8">
      <c r="A28" s="2">
        <v>46182</v>
      </c>
      <c r="B28" t="s">
        <v>10</v>
      </c>
      <c r="C28" t="s">
        <v>89</v>
      </c>
      <c r="D28" t="s">
        <v>179</v>
      </c>
      <c r="E28" t="str">
        <f>VLOOKUP(TablaObra[[#This Row],[Equipo]],Catalogos!I$4:J$34,2,FALSE)</f>
        <v>BG-01</v>
      </c>
      <c r="F28" s="3">
        <v>100</v>
      </c>
      <c r="G28" s="4">
        <v>28.3</v>
      </c>
      <c r="H28" s="4">
        <f t="shared" si="0"/>
        <v>2830</v>
      </c>
    </row>
    <row r="29" spans="1:8">
      <c r="A29" s="2">
        <v>46182</v>
      </c>
      <c r="B29" t="s">
        <v>10</v>
      </c>
      <c r="C29" t="s">
        <v>89</v>
      </c>
      <c r="D29" t="s">
        <v>177</v>
      </c>
      <c r="E29" t="str">
        <f>VLOOKUP(TablaObra[[#This Row],[Equipo]],Catalogos!I$4:J$34,2,FALSE)</f>
        <v>RT-02</v>
      </c>
      <c r="F29" s="3">
        <v>60</v>
      </c>
      <c r="G29" s="4">
        <v>28.3</v>
      </c>
      <c r="H29" s="4">
        <f t="shared" si="0"/>
        <v>1698</v>
      </c>
    </row>
    <row r="30" spans="1:8">
      <c r="A30" s="2">
        <v>46182</v>
      </c>
      <c r="B30" t="s">
        <v>10</v>
      </c>
      <c r="C30" t="s">
        <v>89</v>
      </c>
      <c r="D30" t="s">
        <v>194</v>
      </c>
      <c r="E30" t="str">
        <f>VLOOKUP(TablaObra[[#This Row],[Equipo]],Catalogos!I$4:J$34,2,FALSE)</f>
        <v>CPR-01</v>
      </c>
      <c r="F30" s="3">
        <v>20</v>
      </c>
      <c r="G30" s="4">
        <v>28.3</v>
      </c>
      <c r="H30" s="4">
        <f t="shared" si="0"/>
        <v>566</v>
      </c>
    </row>
    <row r="31" spans="1:8">
      <c r="A31" s="2">
        <v>46182</v>
      </c>
      <c r="B31" t="s">
        <v>8</v>
      </c>
      <c r="C31" t="s">
        <v>156</v>
      </c>
      <c r="D31" t="s">
        <v>95</v>
      </c>
      <c r="E31" t="str">
        <f>VLOOKUP(TablaObra[[#This Row],[Equipo]],Catalogos!I$4:J$34,2,FALSE)</f>
        <v>RT-01</v>
      </c>
      <c r="F31" s="3">
        <v>70</v>
      </c>
      <c r="G31" s="4">
        <v>28.3</v>
      </c>
      <c r="H31" s="4">
        <f t="shared" si="0"/>
        <v>1981</v>
      </c>
    </row>
    <row r="32" spans="1:8">
      <c r="A32" s="2">
        <v>46182</v>
      </c>
      <c r="B32" t="s">
        <v>8</v>
      </c>
      <c r="C32" t="s">
        <v>156</v>
      </c>
      <c r="D32" t="s">
        <v>200</v>
      </c>
      <c r="E32" t="str">
        <f>VLOOKUP(TablaObra[[#This Row],[Equipo]],Catalogos!I$4:J$34,2,FALSE)</f>
        <v>DR-01</v>
      </c>
      <c r="F32" s="3">
        <v>50</v>
      </c>
      <c r="G32" s="4">
        <v>28.3</v>
      </c>
      <c r="H32" s="4">
        <f t="shared" si="0"/>
        <v>1415</v>
      </c>
    </row>
    <row r="33" spans="1:11">
      <c r="A33" s="2">
        <v>46182</v>
      </c>
      <c r="B33" t="s">
        <v>8</v>
      </c>
      <c r="C33" t="s">
        <v>156</v>
      </c>
      <c r="D33" t="s">
        <v>100</v>
      </c>
      <c r="E33" t="str">
        <f>VLOOKUP(TablaObra[[#This Row],[Equipo]],Catalogos!I$4:J$34,2,FALSE)</f>
        <v>PT-01</v>
      </c>
      <c r="F33" s="3">
        <v>60</v>
      </c>
      <c r="G33" s="4">
        <v>28.3</v>
      </c>
      <c r="H33" s="4">
        <f t="shared" si="0"/>
        <v>1698</v>
      </c>
    </row>
    <row r="34" spans="1:11">
      <c r="A34" s="2">
        <v>46183</v>
      </c>
      <c r="B34" t="s">
        <v>6</v>
      </c>
      <c r="C34" t="s">
        <v>89</v>
      </c>
      <c r="D34" t="s">
        <v>165</v>
      </c>
      <c r="E34" t="str">
        <f>VLOOKUP(TablaObra[[#This Row],[Equipo]],Catalogos!I$4:J$34,2,FALSE)</f>
        <v>BR-01</v>
      </c>
      <c r="F34" s="3">
        <v>20</v>
      </c>
      <c r="G34" s="4">
        <v>28.3</v>
      </c>
      <c r="H34" s="4">
        <f t="shared" si="0"/>
        <v>566</v>
      </c>
    </row>
    <row r="35" spans="1:11">
      <c r="A35" s="2">
        <v>46183</v>
      </c>
      <c r="B35" t="s">
        <v>6</v>
      </c>
      <c r="C35" t="s">
        <v>89</v>
      </c>
      <c r="D35" t="s">
        <v>164</v>
      </c>
      <c r="E35" t="str">
        <f>VLOOKUP(TablaObra[[#This Row],[Equipo]],Catalogos!I$4:J$34,2,FALSE)</f>
        <v>PR-01</v>
      </c>
      <c r="F35" s="3">
        <v>250</v>
      </c>
      <c r="G35" s="4">
        <v>28.3</v>
      </c>
      <c r="H35" s="4">
        <f t="shared" si="0"/>
        <v>7075</v>
      </c>
    </row>
    <row r="36" spans="1:11">
      <c r="A36" s="2">
        <v>46183</v>
      </c>
      <c r="B36" t="s">
        <v>6</v>
      </c>
      <c r="C36" t="s">
        <v>89</v>
      </c>
      <c r="D36" t="s">
        <v>95</v>
      </c>
      <c r="E36" t="str">
        <f>VLOOKUP(TablaObra[[#This Row],[Equipo]],Catalogos!I$4:J$34,2,FALSE)</f>
        <v>RT-01</v>
      </c>
      <c r="F36" s="3">
        <v>30</v>
      </c>
      <c r="G36" s="4">
        <v>28.3</v>
      </c>
      <c r="H36" s="4">
        <f t="shared" si="0"/>
        <v>849</v>
      </c>
    </row>
    <row r="37" spans="1:11">
      <c r="A37" s="2">
        <v>46183</v>
      </c>
      <c r="B37" t="s">
        <v>210</v>
      </c>
      <c r="C37" t="s">
        <v>156</v>
      </c>
      <c r="D37" t="s">
        <v>211</v>
      </c>
      <c r="E37" t="str">
        <f>VLOOKUP(TablaObra[[#This Row],[Equipo]],Catalogos!I$4:J$34,2,FALSE)</f>
        <v>BD-01</v>
      </c>
      <c r="F37" s="3">
        <v>100</v>
      </c>
      <c r="G37" s="4">
        <v>28.3</v>
      </c>
      <c r="H37" s="4">
        <f t="shared" si="0"/>
        <v>2830</v>
      </c>
    </row>
    <row r="38" spans="1:11">
      <c r="A38" s="2">
        <v>46184</v>
      </c>
      <c r="B38" t="s">
        <v>6</v>
      </c>
      <c r="C38" t="s">
        <v>89</v>
      </c>
      <c r="D38" t="s">
        <v>86</v>
      </c>
      <c r="E38" t="str">
        <f>VLOOKUP(TablaObra[[#This Row],[Equipo]],Catalogos!I$4:J$34,2,FALSE)</f>
        <v>CP-01</v>
      </c>
      <c r="F38" s="3">
        <v>30</v>
      </c>
      <c r="G38" s="4">
        <v>28.3</v>
      </c>
      <c r="H38" s="4">
        <f t="shared" si="0"/>
        <v>849</v>
      </c>
      <c r="K38" t="s">
        <v>226</v>
      </c>
    </row>
    <row r="39" spans="1:11">
      <c r="A39" s="2">
        <v>46184</v>
      </c>
      <c r="B39" t="s">
        <v>6</v>
      </c>
      <c r="C39" t="s">
        <v>89</v>
      </c>
      <c r="D39" t="s">
        <v>181</v>
      </c>
      <c r="E39" t="str">
        <f>VLOOKUP(TablaObra[[#This Row],[Equipo]],Catalogos!I$4:J$34,2,FALSE)</f>
        <v>NM-01</v>
      </c>
      <c r="F39" s="3">
        <v>30</v>
      </c>
      <c r="G39" s="4">
        <v>28.3</v>
      </c>
      <c r="H39" s="4">
        <f t="shared" si="0"/>
        <v>849</v>
      </c>
      <c r="K39" t="s">
        <v>226</v>
      </c>
    </row>
    <row r="40" spans="1:11">
      <c r="A40" s="2">
        <v>46184</v>
      </c>
      <c r="B40" t="s">
        <v>6</v>
      </c>
      <c r="C40" t="s">
        <v>89</v>
      </c>
      <c r="D40" t="s">
        <v>160</v>
      </c>
      <c r="E40" t="str">
        <f>VLOOKUP(TablaObra[[#This Row],[Equipo]],Catalogos!I$4:J$34,2,FALSE)</f>
        <v>VG-01</v>
      </c>
      <c r="F40" s="3">
        <v>136</v>
      </c>
      <c r="G40" s="4">
        <v>28.3</v>
      </c>
      <c r="H40" s="4">
        <f t="shared" si="0"/>
        <v>3848.8</v>
      </c>
      <c r="K40" t="s">
        <v>226</v>
      </c>
    </row>
    <row r="41" spans="1:11">
      <c r="A41" s="2">
        <v>46184</v>
      </c>
      <c r="B41" t="s">
        <v>6</v>
      </c>
      <c r="C41" t="s">
        <v>89</v>
      </c>
      <c r="D41" t="s">
        <v>165</v>
      </c>
      <c r="E41" t="str">
        <f>VLOOKUP(TablaObra[[#This Row],[Equipo]],Catalogos!I$4:J$34,2,FALSE)</f>
        <v>BR-01</v>
      </c>
      <c r="F41" s="3">
        <v>20</v>
      </c>
      <c r="G41" s="4">
        <v>28.3</v>
      </c>
      <c r="H41" s="4">
        <f t="shared" si="0"/>
        <v>566</v>
      </c>
      <c r="K41" t="s">
        <v>226</v>
      </c>
    </row>
    <row r="42" spans="1:11">
      <c r="A42" s="2">
        <v>46184</v>
      </c>
      <c r="B42" t="s">
        <v>6</v>
      </c>
      <c r="C42" t="s">
        <v>89</v>
      </c>
      <c r="D42" t="s">
        <v>95</v>
      </c>
      <c r="E42" t="str">
        <f>VLOOKUP(TablaObra[[#This Row],[Equipo]],Catalogos!I$4:J$34,2,FALSE)</f>
        <v>RT-01</v>
      </c>
      <c r="F42" s="3">
        <v>20</v>
      </c>
      <c r="G42" s="4">
        <v>28.3</v>
      </c>
      <c r="H42" s="4">
        <f t="shared" si="0"/>
        <v>566</v>
      </c>
      <c r="K42" t="s">
        <v>226</v>
      </c>
    </row>
    <row r="43" spans="1:11">
      <c r="A43" s="2">
        <v>46184</v>
      </c>
      <c r="B43" t="s">
        <v>6</v>
      </c>
      <c r="C43" t="s">
        <v>89</v>
      </c>
      <c r="D43" t="s">
        <v>192</v>
      </c>
      <c r="E43" t="str">
        <f>VLOOKUP(TablaObra[[#This Row],[Equipo]],Catalogos!I$4:J$34,2,FALSE)</f>
        <v>MX-01</v>
      </c>
      <c r="F43" s="3">
        <v>20</v>
      </c>
      <c r="G43" s="4">
        <v>28.3</v>
      </c>
      <c r="H43" s="4">
        <f t="shared" si="0"/>
        <v>566</v>
      </c>
      <c r="K43" t="s">
        <v>226</v>
      </c>
    </row>
    <row r="44" spans="1:11">
      <c r="A44" s="2">
        <v>46184</v>
      </c>
      <c r="B44" t="s">
        <v>214</v>
      </c>
      <c r="C44" t="s">
        <v>156</v>
      </c>
      <c r="D44" t="s">
        <v>217</v>
      </c>
      <c r="E44" t="str">
        <f>VLOOKUP(TablaObra[[#This Row],[Equipo]],Catalogos!I$4:J$34,2,FALSE)</f>
        <v>PL-01</v>
      </c>
      <c r="F44" s="3">
        <v>238</v>
      </c>
      <c r="G44" s="4">
        <v>28.3</v>
      </c>
      <c r="H44" s="4">
        <f t="shared" si="0"/>
        <v>6735.4000000000005</v>
      </c>
    </row>
    <row r="45" spans="1:11">
      <c r="A45" s="2">
        <v>46184</v>
      </c>
      <c r="B45" t="s">
        <v>8</v>
      </c>
      <c r="C45" t="s">
        <v>156</v>
      </c>
      <c r="D45" t="s">
        <v>100</v>
      </c>
      <c r="E45" t="str">
        <f>VLOOKUP(TablaObra[[#This Row],[Equipo]],Catalogos!I$4:J$34,2,FALSE)</f>
        <v>PT-01</v>
      </c>
      <c r="F45" s="3">
        <v>80</v>
      </c>
      <c r="G45" s="4">
        <v>28.3</v>
      </c>
      <c r="H45" s="4">
        <f t="shared" si="0"/>
        <v>2264</v>
      </c>
    </row>
    <row r="46" spans="1:11">
      <c r="A46" s="2">
        <v>46184</v>
      </c>
      <c r="B46" t="s">
        <v>8</v>
      </c>
      <c r="C46" t="s">
        <v>156</v>
      </c>
      <c r="D46" t="s">
        <v>194</v>
      </c>
      <c r="E46" t="str">
        <f>VLOOKUP(TablaObra[[#This Row],[Equipo]],Catalogos!I$4:J$34,2,FALSE)</f>
        <v>CPR-01</v>
      </c>
      <c r="F46" s="3">
        <v>50</v>
      </c>
      <c r="G46" s="4">
        <v>28.3</v>
      </c>
      <c r="H46" s="4">
        <f t="shared" si="0"/>
        <v>1415</v>
      </c>
    </row>
    <row r="47" spans="1:11">
      <c r="A47" s="2">
        <v>46184</v>
      </c>
      <c r="B47" t="s">
        <v>8</v>
      </c>
      <c r="C47" t="s">
        <v>156</v>
      </c>
      <c r="D47" t="s">
        <v>95</v>
      </c>
      <c r="E47" t="str">
        <f>VLOOKUP(TablaObra[[#This Row],[Equipo]],Catalogos!I$4:J$34,2,FALSE)</f>
        <v>RT-01</v>
      </c>
      <c r="F47" s="3">
        <v>70</v>
      </c>
      <c r="G47" s="4">
        <v>28.3</v>
      </c>
      <c r="H47" s="4">
        <f t="shared" si="0"/>
        <v>1981</v>
      </c>
    </row>
    <row r="48" spans="1:11">
      <c r="A48" s="2">
        <v>46184</v>
      </c>
      <c r="B48" t="s">
        <v>8</v>
      </c>
      <c r="C48" t="s">
        <v>156</v>
      </c>
      <c r="D48" t="s">
        <v>190</v>
      </c>
      <c r="E48" t="str">
        <f>VLOOKUP(TablaObra[[#This Row],[Equipo]],Catalogos!I$4:J$34,2,FALSE)</f>
        <v>CI-01</v>
      </c>
      <c r="F48" s="3">
        <v>80</v>
      </c>
      <c r="G48" s="4">
        <v>28.3</v>
      </c>
      <c r="H48" s="4">
        <f t="shared" si="0"/>
        <v>2264</v>
      </c>
    </row>
    <row r="49" spans="1:8">
      <c r="A49" s="2">
        <v>46184</v>
      </c>
      <c r="B49" t="s">
        <v>8</v>
      </c>
      <c r="C49" t="s">
        <v>156</v>
      </c>
      <c r="D49" t="s">
        <v>160</v>
      </c>
      <c r="E49" t="str">
        <f>VLOOKUP(TablaObra[[#This Row],[Equipo]],Catalogos!I$4:J$34,2,FALSE)</f>
        <v>VG-01</v>
      </c>
      <c r="F49" s="3">
        <v>185</v>
      </c>
      <c r="G49" s="4">
        <v>28.3</v>
      </c>
      <c r="H49" s="4">
        <f t="shared" si="0"/>
        <v>5235.5</v>
      </c>
    </row>
    <row r="50" spans="1:8">
      <c r="A50" s="2">
        <v>46184</v>
      </c>
      <c r="B50" t="s">
        <v>8</v>
      </c>
      <c r="C50" t="s">
        <v>156</v>
      </c>
      <c r="D50" t="s">
        <v>200</v>
      </c>
      <c r="E50" t="str">
        <f>VLOOKUP(TablaObra[[#This Row],[Equipo]],Catalogos!I$4:J$34,2,FALSE)</f>
        <v>DR-01</v>
      </c>
      <c r="F50" s="3">
        <v>50</v>
      </c>
      <c r="G50" s="4">
        <v>28.3</v>
      </c>
      <c r="H50" s="4">
        <f t="shared" si="0"/>
        <v>1415</v>
      </c>
    </row>
    <row r="51" spans="1:8">
      <c r="A51" s="2">
        <v>46184</v>
      </c>
      <c r="B51" t="s">
        <v>8</v>
      </c>
      <c r="C51" t="s">
        <v>156</v>
      </c>
      <c r="D51" t="s">
        <v>200</v>
      </c>
      <c r="E51" t="str">
        <f>VLOOKUP(TablaObra[[#This Row],[Equipo]],Catalogos!I$4:J$34,2,FALSE)</f>
        <v>DR-01</v>
      </c>
      <c r="F51" s="3">
        <v>40</v>
      </c>
      <c r="G51" s="4">
        <v>28.3</v>
      </c>
      <c r="H51" s="4">
        <f t="shared" si="0"/>
        <v>1132</v>
      </c>
    </row>
    <row r="52" spans="1:8">
      <c r="A52" s="2">
        <v>46184</v>
      </c>
      <c r="B52" t="s">
        <v>8</v>
      </c>
      <c r="C52" t="s">
        <v>156</v>
      </c>
      <c r="D52" t="s">
        <v>181</v>
      </c>
      <c r="E52" t="str">
        <f>VLOOKUP(TablaObra[[#This Row],[Equipo]],Catalogos!I$4:J$34,2,FALSE)</f>
        <v>NM-01</v>
      </c>
      <c r="F52" s="3">
        <v>40</v>
      </c>
      <c r="G52" s="4">
        <v>28.3</v>
      </c>
      <c r="H52" s="4">
        <f t="shared" si="0"/>
        <v>1132</v>
      </c>
    </row>
    <row r="53" spans="1:8">
      <c r="A53" s="2">
        <v>46185</v>
      </c>
      <c r="B53" t="s">
        <v>10</v>
      </c>
      <c r="C53" t="s">
        <v>89</v>
      </c>
      <c r="D53" t="s">
        <v>184</v>
      </c>
      <c r="E53" t="str">
        <f>VLOOKUP(TablaObra[[#This Row],[Equipo]],Catalogos!I$4:J$34,2,FALSE)</f>
        <v>TD-01</v>
      </c>
      <c r="F53" s="3">
        <v>32</v>
      </c>
      <c r="G53" s="4">
        <v>28.3</v>
      </c>
      <c r="H53" s="4">
        <f t="shared" si="0"/>
        <v>905.6</v>
      </c>
    </row>
    <row r="54" spans="1:8">
      <c r="A54" s="2">
        <v>46185</v>
      </c>
      <c r="B54" t="s">
        <v>10</v>
      </c>
      <c r="C54" t="s">
        <v>89</v>
      </c>
      <c r="D54" t="s">
        <v>186</v>
      </c>
      <c r="E54" t="str">
        <f>VLOOKUP(TablaObra[[#This Row],[Equipo]],Catalogos!I$4:J$34,2,FALSE)</f>
        <v>NM-02</v>
      </c>
      <c r="F54" s="3">
        <v>30</v>
      </c>
      <c r="G54" s="4">
        <v>28.3</v>
      </c>
      <c r="H54" s="4">
        <f t="shared" si="0"/>
        <v>849</v>
      </c>
    </row>
    <row r="55" spans="1:8">
      <c r="A55" s="2">
        <v>46185</v>
      </c>
      <c r="B55" t="s">
        <v>10</v>
      </c>
      <c r="C55" t="s">
        <v>89</v>
      </c>
      <c r="D55" t="s">
        <v>175</v>
      </c>
      <c r="E55" t="str">
        <f>VLOOKUP(TablaObra[[#This Row],[Equipo]],Catalogos!I$4:J$34,2,FALSE)</f>
        <v>BR-02</v>
      </c>
      <c r="F55" s="3">
        <v>30</v>
      </c>
      <c r="G55" s="4">
        <v>28.3</v>
      </c>
      <c r="H55" s="4">
        <f t="shared" si="0"/>
        <v>849</v>
      </c>
    </row>
    <row r="56" spans="1:8">
      <c r="A56" s="2">
        <v>46185</v>
      </c>
      <c r="B56" t="s">
        <v>10</v>
      </c>
      <c r="C56" t="s">
        <v>89</v>
      </c>
      <c r="D56" t="s">
        <v>177</v>
      </c>
      <c r="E56" t="str">
        <f>VLOOKUP(TablaObra[[#This Row],[Equipo]],Catalogos!I$4:J$34,2,FALSE)</f>
        <v>RT-02</v>
      </c>
      <c r="F56" s="3">
        <v>50</v>
      </c>
      <c r="G56" s="4">
        <v>28.3</v>
      </c>
      <c r="H56" s="4">
        <f t="shared" si="0"/>
        <v>1415</v>
      </c>
    </row>
    <row r="57" spans="1:8">
      <c r="A57" s="2">
        <v>46185</v>
      </c>
      <c r="B57" t="s">
        <v>10</v>
      </c>
      <c r="C57" t="s">
        <v>89</v>
      </c>
      <c r="D57" t="s">
        <v>182</v>
      </c>
      <c r="E57" t="str">
        <f>VLOOKUP(TablaObra[[#This Row],[Equipo]],Catalogos!I$4:J$34,2,FALSE)</f>
        <v>VG-02</v>
      </c>
      <c r="F57" s="3">
        <v>120</v>
      </c>
      <c r="G57" s="4">
        <v>28.3</v>
      </c>
      <c r="H57" s="4">
        <f t="shared" si="0"/>
        <v>3396</v>
      </c>
    </row>
    <row r="58" spans="1:8">
      <c r="A58" s="2">
        <v>46185</v>
      </c>
      <c r="B58" t="s">
        <v>10</v>
      </c>
      <c r="C58" t="s">
        <v>89</v>
      </c>
      <c r="D58" t="s">
        <v>188</v>
      </c>
      <c r="E58" t="str">
        <f>VLOOKUP(TablaObra[[#This Row],[Equipo]],Catalogos!I$4:J$34,2,FALSE)</f>
        <v>PT-02</v>
      </c>
      <c r="F58" s="3">
        <v>40</v>
      </c>
      <c r="G58" s="4">
        <v>28.3</v>
      </c>
      <c r="H58" s="4">
        <f t="shared" si="0"/>
        <v>1132</v>
      </c>
    </row>
    <row r="59" spans="1:8">
      <c r="A59" s="2">
        <v>46185</v>
      </c>
      <c r="B59" t="s">
        <v>10</v>
      </c>
      <c r="C59" t="s">
        <v>89</v>
      </c>
      <c r="D59" t="s">
        <v>171</v>
      </c>
      <c r="E59" t="str">
        <f>VLOOKUP(TablaObra[[#This Row],[Equipo]],Catalogos!I$4:J$34,2,FALSE)</f>
        <v>PR-02</v>
      </c>
      <c r="F59" s="3">
        <v>200</v>
      </c>
      <c r="G59" s="4">
        <v>28.3</v>
      </c>
      <c r="H59" s="4">
        <f t="shared" si="0"/>
        <v>5660</v>
      </c>
    </row>
    <row r="60" spans="1:8">
      <c r="A60" s="2">
        <v>46185</v>
      </c>
      <c r="B60" t="s">
        <v>6</v>
      </c>
      <c r="C60" t="s">
        <v>89</v>
      </c>
      <c r="D60" t="s">
        <v>165</v>
      </c>
      <c r="E60" t="str">
        <f>VLOOKUP(TablaObra[[#This Row],[Equipo]],Catalogos!I$4:J$34,2,FALSE)</f>
        <v>BR-01</v>
      </c>
      <c r="F60" s="3">
        <v>20</v>
      </c>
      <c r="G60" s="4">
        <v>28.3</v>
      </c>
      <c r="H60" s="4">
        <f t="shared" si="0"/>
        <v>566</v>
      </c>
    </row>
    <row r="61" spans="1:8">
      <c r="A61" s="2">
        <v>46185</v>
      </c>
      <c r="B61" t="s">
        <v>6</v>
      </c>
      <c r="C61" t="s">
        <v>89</v>
      </c>
      <c r="D61" t="s">
        <v>181</v>
      </c>
      <c r="E61" t="str">
        <f>VLOOKUP(TablaObra[[#This Row],[Equipo]],Catalogos!I$4:J$34,2,FALSE)</f>
        <v>NM-01</v>
      </c>
      <c r="F61" s="3">
        <v>30</v>
      </c>
      <c r="G61" s="4">
        <v>28.3</v>
      </c>
      <c r="H61" s="4">
        <f t="shared" si="0"/>
        <v>849</v>
      </c>
    </row>
    <row r="62" spans="1:8">
      <c r="A62" s="2">
        <v>46185</v>
      </c>
      <c r="B62" t="s">
        <v>6</v>
      </c>
      <c r="C62" t="s">
        <v>89</v>
      </c>
      <c r="D62" t="s">
        <v>192</v>
      </c>
      <c r="E62" t="str">
        <f>VLOOKUP(TablaObra[[#This Row],[Equipo]],Catalogos!I$4:J$34,2,FALSE)</f>
        <v>MX-01</v>
      </c>
      <c r="F62" s="3">
        <v>20</v>
      </c>
      <c r="G62" s="4">
        <v>28.3</v>
      </c>
      <c r="H62" s="4">
        <f t="shared" si="0"/>
        <v>566</v>
      </c>
    </row>
    <row r="63" spans="1:8">
      <c r="A63" s="2">
        <v>46185</v>
      </c>
      <c r="B63" t="s">
        <v>6</v>
      </c>
      <c r="C63" t="s">
        <v>89</v>
      </c>
      <c r="D63" t="s">
        <v>86</v>
      </c>
      <c r="E63" t="str">
        <f>VLOOKUP(TablaObra[[#This Row],[Equipo]],Catalogos!I$4:J$34,2,FALSE)</f>
        <v>CP-01</v>
      </c>
      <c r="F63" s="3">
        <v>40</v>
      </c>
      <c r="G63" s="4">
        <v>28.3</v>
      </c>
      <c r="H63" s="4">
        <f t="shared" si="0"/>
        <v>1132</v>
      </c>
    </row>
    <row r="64" spans="1:8">
      <c r="A64" s="2">
        <v>46185</v>
      </c>
      <c r="B64" t="s">
        <v>6</v>
      </c>
      <c r="C64" t="s">
        <v>89</v>
      </c>
      <c r="D64" t="s">
        <v>164</v>
      </c>
      <c r="E64" t="str">
        <f>VLOOKUP(TablaObra[[#This Row],[Equipo]],Catalogos!I$4:J$34,2,FALSE)</f>
        <v>PR-01</v>
      </c>
      <c r="F64" s="3">
        <v>250</v>
      </c>
      <c r="G64" s="4">
        <v>28.3</v>
      </c>
      <c r="H64" s="4">
        <f t="shared" si="0"/>
        <v>7075</v>
      </c>
    </row>
    <row r="65" spans="1:8">
      <c r="A65" s="2"/>
      <c r="E65" t="e">
        <f>VLOOKUP(TablaObra[[#This Row],[Equipo]],Catalogos!I$4:J$34,2,FALSE)</f>
        <v>#N/A</v>
      </c>
      <c r="F65" s="3"/>
      <c r="G65" s="4">
        <v>28.3</v>
      </c>
      <c r="H65" s="4">
        <f t="shared" si="0"/>
        <v>0</v>
      </c>
    </row>
    <row r="66" spans="1:8">
      <c r="A66" s="2"/>
      <c r="E66" t="e">
        <f>VLOOKUP(TablaObra[[#This Row],[Equipo]],Catalogos!I$4:J$34,2,FALSE)</f>
        <v>#N/A</v>
      </c>
      <c r="F66" s="3"/>
      <c r="G66" s="4">
        <v>28.3</v>
      </c>
      <c r="H66" s="4">
        <f t="shared" si="0"/>
        <v>0</v>
      </c>
    </row>
    <row r="67" spans="1:8">
      <c r="A67" s="2"/>
      <c r="E67" t="e">
        <f>VLOOKUP(TablaObra[[#This Row],[Equipo]],Catalogos!I$4:J$34,2,FALSE)</f>
        <v>#N/A</v>
      </c>
      <c r="F67" s="3"/>
      <c r="G67" s="4">
        <v>28.3</v>
      </c>
      <c r="H67" s="4">
        <f t="shared" si="0"/>
        <v>0</v>
      </c>
    </row>
    <row r="68" spans="1:8">
      <c r="A68" s="2"/>
      <c r="E68" t="e">
        <f>VLOOKUP(TablaObra[[#This Row],[Equipo]],Catalogos!I$4:J$34,2,FALSE)</f>
        <v>#N/A</v>
      </c>
      <c r="F68" s="3"/>
      <c r="G68" s="4">
        <v>28.3</v>
      </c>
      <c r="H68" s="4">
        <f t="shared" si="0"/>
        <v>0</v>
      </c>
    </row>
    <row r="69" spans="1:8">
      <c r="A69" s="2"/>
      <c r="E69" t="e">
        <f>VLOOKUP(TablaObra[[#This Row],[Equipo]],Catalogos!I$4:J$34,2,FALSE)</f>
        <v>#N/A</v>
      </c>
      <c r="F69" s="3"/>
      <c r="G69" s="4">
        <v>28.3</v>
      </c>
      <c r="H69" s="4">
        <f t="shared" ref="H69:H132" si="1">IFERROR(F69*G69,0)</f>
        <v>0</v>
      </c>
    </row>
    <row r="70" spans="1:8">
      <c r="A70" s="2"/>
      <c r="E70" t="e">
        <f>VLOOKUP(TablaObra[[#This Row],[Equipo]],Catalogos!I$4:J$34,2,FALSE)</f>
        <v>#N/A</v>
      </c>
      <c r="F70" s="3"/>
      <c r="G70" s="4">
        <v>28.3</v>
      </c>
      <c r="H70" s="4">
        <f t="shared" si="1"/>
        <v>0</v>
      </c>
    </row>
    <row r="71" spans="1:8">
      <c r="A71" s="2"/>
      <c r="E71" t="e">
        <f>VLOOKUP(TablaObra[[#This Row],[Equipo]],Catalogos!I$4:J$34,2,FALSE)</f>
        <v>#N/A</v>
      </c>
      <c r="F71" s="3"/>
      <c r="G71" s="4">
        <v>28.3</v>
      </c>
      <c r="H71" s="4">
        <f t="shared" si="1"/>
        <v>0</v>
      </c>
    </row>
    <row r="72" spans="1:8">
      <c r="A72" s="2"/>
      <c r="E72" t="e">
        <f>VLOOKUP(TablaObra[[#This Row],[Equipo]],Catalogos!I$4:J$34,2,FALSE)</f>
        <v>#N/A</v>
      </c>
      <c r="F72" s="3"/>
      <c r="G72" s="4">
        <v>28.3</v>
      </c>
      <c r="H72" s="4">
        <f t="shared" si="1"/>
        <v>0</v>
      </c>
    </row>
    <row r="73" spans="1:8">
      <c r="A73" s="2"/>
      <c r="E73" t="e">
        <f>VLOOKUP(TablaObra[[#This Row],[Equipo]],Catalogos!I$4:J$34,2,FALSE)</f>
        <v>#N/A</v>
      </c>
      <c r="F73" s="3"/>
      <c r="G73" s="4">
        <v>28.3</v>
      </c>
      <c r="H73" s="4">
        <f t="shared" si="1"/>
        <v>0</v>
      </c>
    </row>
    <row r="74" spans="1:8">
      <c r="A74" s="2"/>
      <c r="E74" t="e">
        <f>VLOOKUP(TablaObra[[#This Row],[Equipo]],Catalogos!I$4:J$34,2,FALSE)</f>
        <v>#N/A</v>
      </c>
      <c r="F74" s="3"/>
      <c r="G74" s="4">
        <v>28.3</v>
      </c>
      <c r="H74" s="4">
        <f t="shared" si="1"/>
        <v>0</v>
      </c>
    </row>
    <row r="75" spans="1:8">
      <c r="A75" s="2"/>
      <c r="E75" t="e">
        <f>VLOOKUP(TablaObra[[#This Row],[Equipo]],Catalogos!I$4:J$34,2,FALSE)</f>
        <v>#N/A</v>
      </c>
      <c r="F75" s="3"/>
      <c r="G75" s="4">
        <v>28.3</v>
      </c>
      <c r="H75" s="4">
        <f t="shared" si="1"/>
        <v>0</v>
      </c>
    </row>
    <row r="76" spans="1:8">
      <c r="A76" s="2"/>
      <c r="E76" t="e">
        <f>VLOOKUP(TablaObra[[#This Row],[Equipo]],Catalogos!I$4:J$34,2,FALSE)</f>
        <v>#N/A</v>
      </c>
      <c r="F76" s="3"/>
      <c r="G76" s="4">
        <v>28.3</v>
      </c>
      <c r="H76" s="4">
        <f t="shared" si="1"/>
        <v>0</v>
      </c>
    </row>
    <row r="77" spans="1:8">
      <c r="A77" s="2"/>
      <c r="E77" t="e">
        <f>VLOOKUP(TablaObra[[#This Row],[Equipo]],Catalogos!I$4:J$34,2,FALSE)</f>
        <v>#N/A</v>
      </c>
      <c r="F77" s="3"/>
      <c r="G77" s="4">
        <v>28.3</v>
      </c>
      <c r="H77" s="4">
        <f t="shared" si="1"/>
        <v>0</v>
      </c>
    </row>
    <row r="78" spans="1:8">
      <c r="A78" s="2"/>
      <c r="E78" t="e">
        <f>VLOOKUP(TablaObra[[#This Row],[Equipo]],Catalogos!I$4:J$34,2,FALSE)</f>
        <v>#N/A</v>
      </c>
      <c r="F78" s="3"/>
      <c r="G78" s="4">
        <v>28.3</v>
      </c>
      <c r="H78" s="4">
        <f t="shared" si="1"/>
        <v>0</v>
      </c>
    </row>
    <row r="79" spans="1:8">
      <c r="A79" s="2"/>
      <c r="E79" t="e">
        <f>VLOOKUP(TablaObra[[#This Row],[Equipo]],Catalogos!I$4:J$34,2,FALSE)</f>
        <v>#N/A</v>
      </c>
      <c r="F79" s="3"/>
      <c r="G79" s="4">
        <v>28.3</v>
      </c>
      <c r="H79" s="4">
        <f t="shared" si="1"/>
        <v>0</v>
      </c>
    </row>
    <row r="80" spans="1:8">
      <c r="A80" s="2"/>
      <c r="E80" t="e">
        <f>VLOOKUP(TablaObra[[#This Row],[Equipo]],Catalogos!I$4:J$34,2,FALSE)</f>
        <v>#N/A</v>
      </c>
      <c r="F80" s="3"/>
      <c r="G80" s="4">
        <v>28.3</v>
      </c>
      <c r="H80" s="4">
        <f t="shared" si="1"/>
        <v>0</v>
      </c>
    </row>
    <row r="81" spans="1:8">
      <c r="A81" s="2"/>
      <c r="E81" t="e">
        <f>VLOOKUP(TablaObra[[#This Row],[Equipo]],Catalogos!I$4:J$34,2,FALSE)</f>
        <v>#N/A</v>
      </c>
      <c r="F81" s="3"/>
      <c r="G81" s="4">
        <v>28.3</v>
      </c>
      <c r="H81" s="4">
        <f t="shared" si="1"/>
        <v>0</v>
      </c>
    </row>
    <row r="82" spans="1:8">
      <c r="A82" s="2"/>
      <c r="E82" t="e">
        <f>VLOOKUP(TablaObra[[#This Row],[Equipo]],Catalogos!I$4:J$34,2,FALSE)</f>
        <v>#N/A</v>
      </c>
      <c r="F82" s="3"/>
      <c r="G82" s="4">
        <v>28.3</v>
      </c>
      <c r="H82" s="4">
        <f t="shared" si="1"/>
        <v>0</v>
      </c>
    </row>
    <row r="83" spans="1:8">
      <c r="A83" s="2"/>
      <c r="E83" t="e">
        <f>VLOOKUP(TablaObra[[#This Row],[Equipo]],Catalogos!I$4:J$34,2,FALSE)</f>
        <v>#N/A</v>
      </c>
      <c r="F83" s="3"/>
      <c r="G83" s="4">
        <v>28.3</v>
      </c>
      <c r="H83" s="4">
        <f t="shared" si="1"/>
        <v>0</v>
      </c>
    </row>
    <row r="84" spans="1:8">
      <c r="A84" s="2"/>
      <c r="E84" t="e">
        <f>VLOOKUP(TablaObra[[#This Row],[Equipo]],Catalogos!I$4:J$34,2,FALSE)</f>
        <v>#N/A</v>
      </c>
      <c r="F84" s="3"/>
      <c r="G84" s="4">
        <v>28.3</v>
      </c>
      <c r="H84" s="4">
        <f t="shared" si="1"/>
        <v>0</v>
      </c>
    </row>
    <row r="85" spans="1:8">
      <c r="A85" s="2"/>
      <c r="E85" t="e">
        <f>VLOOKUP(TablaObra[[#This Row],[Equipo]],Catalogos!I$4:J$34,2,FALSE)</f>
        <v>#N/A</v>
      </c>
      <c r="F85" s="3"/>
      <c r="G85" s="4">
        <v>28.3</v>
      </c>
      <c r="H85" s="4">
        <f t="shared" si="1"/>
        <v>0</v>
      </c>
    </row>
    <row r="86" spans="1:8">
      <c r="A86" s="2"/>
      <c r="E86" t="e">
        <f>VLOOKUP(TablaObra[[#This Row],[Equipo]],Catalogos!I$4:J$34,2,FALSE)</f>
        <v>#N/A</v>
      </c>
      <c r="F86" s="3"/>
      <c r="G86" s="4">
        <v>28.3</v>
      </c>
      <c r="H86" s="4">
        <f t="shared" si="1"/>
        <v>0</v>
      </c>
    </row>
    <row r="87" spans="1:8">
      <c r="A87" s="2"/>
      <c r="E87" t="e">
        <f>VLOOKUP(TablaObra[[#This Row],[Equipo]],Catalogos!I$4:J$34,2,FALSE)</f>
        <v>#N/A</v>
      </c>
      <c r="F87" s="3"/>
      <c r="G87" s="4">
        <v>28.3</v>
      </c>
      <c r="H87" s="4">
        <f t="shared" si="1"/>
        <v>0</v>
      </c>
    </row>
    <row r="88" spans="1:8">
      <c r="A88" s="2"/>
      <c r="E88" t="e">
        <f>VLOOKUP(TablaObra[[#This Row],[Equipo]],Catalogos!I$4:J$34,2,FALSE)</f>
        <v>#N/A</v>
      </c>
      <c r="F88" s="3"/>
      <c r="G88" s="4">
        <v>28.3</v>
      </c>
      <c r="H88" s="4">
        <f t="shared" si="1"/>
        <v>0</v>
      </c>
    </row>
    <row r="89" spans="1:8">
      <c r="A89" s="2"/>
      <c r="E89" t="e">
        <f>VLOOKUP(TablaObra[[#This Row],[Equipo]],Catalogos!I$4:J$34,2,FALSE)</f>
        <v>#N/A</v>
      </c>
      <c r="F89" s="3"/>
      <c r="G89" s="4">
        <v>28.3</v>
      </c>
      <c r="H89" s="4">
        <f t="shared" si="1"/>
        <v>0</v>
      </c>
    </row>
    <row r="90" spans="1:8">
      <c r="A90" s="2"/>
      <c r="E90" t="e">
        <f>VLOOKUP(TablaObra[[#This Row],[Equipo]],Catalogos!I$4:J$34,2,FALSE)</f>
        <v>#N/A</v>
      </c>
      <c r="F90" s="3"/>
      <c r="G90" s="4">
        <v>28.3</v>
      </c>
      <c r="H90" s="4">
        <f t="shared" si="1"/>
        <v>0</v>
      </c>
    </row>
    <row r="91" spans="1:8">
      <c r="A91" s="2"/>
      <c r="E91" t="e">
        <f>VLOOKUP(TablaObra[[#This Row],[Equipo]],Catalogos!I$4:J$34,2,FALSE)</f>
        <v>#N/A</v>
      </c>
      <c r="F91" s="3"/>
      <c r="G91" s="4">
        <v>28.3</v>
      </c>
      <c r="H91" s="4">
        <f t="shared" si="1"/>
        <v>0</v>
      </c>
    </row>
    <row r="92" spans="1:8">
      <c r="A92" s="2"/>
      <c r="E92" t="e">
        <f>VLOOKUP(TablaObra[[#This Row],[Equipo]],Catalogos!I$4:J$34,2,FALSE)</f>
        <v>#N/A</v>
      </c>
      <c r="F92" s="3"/>
      <c r="G92" s="4">
        <v>28.3</v>
      </c>
      <c r="H92" s="4">
        <f t="shared" si="1"/>
        <v>0</v>
      </c>
    </row>
    <row r="93" spans="1:8">
      <c r="A93" s="2"/>
      <c r="E93" t="e">
        <f>VLOOKUP(TablaObra[[#This Row],[Equipo]],Catalogos!I$4:J$34,2,FALSE)</f>
        <v>#N/A</v>
      </c>
      <c r="F93" s="3"/>
      <c r="G93" s="4">
        <v>28.3</v>
      </c>
      <c r="H93" s="4">
        <f t="shared" si="1"/>
        <v>0</v>
      </c>
    </row>
    <row r="94" spans="1:8">
      <c r="A94" s="2"/>
      <c r="E94" t="e">
        <f>VLOOKUP(TablaObra[[#This Row],[Equipo]],Catalogos!I$4:J$34,2,FALSE)</f>
        <v>#N/A</v>
      </c>
      <c r="F94" s="3"/>
      <c r="G94" s="4">
        <v>28.3</v>
      </c>
      <c r="H94" s="4">
        <f t="shared" si="1"/>
        <v>0</v>
      </c>
    </row>
    <row r="95" spans="1:8">
      <c r="A95" s="2"/>
      <c r="E95" t="e">
        <f>VLOOKUP(TablaObra[[#This Row],[Equipo]],Catalogos!I$4:J$34,2,FALSE)</f>
        <v>#N/A</v>
      </c>
      <c r="F95" s="3"/>
      <c r="G95" s="4">
        <v>28.3</v>
      </c>
      <c r="H95" s="4">
        <f t="shared" si="1"/>
        <v>0</v>
      </c>
    </row>
    <row r="96" spans="1:8">
      <c r="A96" s="2"/>
      <c r="E96" t="e">
        <f>VLOOKUP(TablaObra[[#This Row],[Equipo]],Catalogos!I$4:J$34,2,FALSE)</f>
        <v>#N/A</v>
      </c>
      <c r="F96" s="3"/>
      <c r="G96" s="4">
        <v>28.3</v>
      </c>
      <c r="H96" s="4">
        <f t="shared" si="1"/>
        <v>0</v>
      </c>
    </row>
    <row r="97" spans="1:8">
      <c r="A97" s="2"/>
      <c r="E97" t="e">
        <f>VLOOKUP(TablaObra[[#This Row],[Equipo]],Catalogos!I$4:J$34,2,FALSE)</f>
        <v>#N/A</v>
      </c>
      <c r="F97" s="3"/>
      <c r="G97" s="4">
        <v>28.3</v>
      </c>
      <c r="H97" s="4">
        <f t="shared" si="1"/>
        <v>0</v>
      </c>
    </row>
    <row r="98" spans="1:8">
      <c r="A98" s="2"/>
      <c r="E98" t="e">
        <f>VLOOKUP(TablaObra[[#This Row],[Equipo]],Catalogos!I$4:J$34,2,FALSE)</f>
        <v>#N/A</v>
      </c>
      <c r="F98" s="3"/>
      <c r="G98" s="4">
        <v>28.3</v>
      </c>
      <c r="H98" s="4">
        <f t="shared" si="1"/>
        <v>0</v>
      </c>
    </row>
    <row r="99" spans="1:8">
      <c r="A99" s="2"/>
      <c r="E99" t="e">
        <f>VLOOKUP(TablaObra[[#This Row],[Equipo]],Catalogos!I$4:J$34,2,FALSE)</f>
        <v>#N/A</v>
      </c>
      <c r="F99" s="3"/>
      <c r="G99" s="4">
        <v>28.3</v>
      </c>
      <c r="H99" s="4">
        <f t="shared" si="1"/>
        <v>0</v>
      </c>
    </row>
    <row r="100" spans="1:8">
      <c r="A100" s="2"/>
      <c r="E100" t="e">
        <f>VLOOKUP(TablaObra[[#This Row],[Equipo]],Catalogos!I$4:J$34,2,FALSE)</f>
        <v>#N/A</v>
      </c>
      <c r="F100" s="3"/>
      <c r="G100" s="4">
        <v>28.3</v>
      </c>
      <c r="H100" s="4">
        <f t="shared" si="1"/>
        <v>0</v>
      </c>
    </row>
    <row r="101" spans="1:8">
      <c r="A101" s="2"/>
      <c r="E101" t="e">
        <f>VLOOKUP(TablaObra[[#This Row],[Equipo]],Catalogos!I$4:J$34,2,FALSE)</f>
        <v>#N/A</v>
      </c>
      <c r="F101" s="3"/>
      <c r="G101" s="4">
        <v>28.3</v>
      </c>
      <c r="H101" s="4">
        <f t="shared" si="1"/>
        <v>0</v>
      </c>
    </row>
    <row r="102" spans="1:8">
      <c r="A102" s="2"/>
      <c r="E102" t="e">
        <f>VLOOKUP(TablaObra[[#This Row],[Equipo]],Catalogos!I$4:J$34,2,FALSE)</f>
        <v>#N/A</v>
      </c>
      <c r="F102" s="3"/>
      <c r="G102" s="4">
        <v>28.3</v>
      </c>
      <c r="H102" s="4">
        <f t="shared" si="1"/>
        <v>0</v>
      </c>
    </row>
    <row r="103" spans="1:8">
      <c r="A103" s="2"/>
      <c r="E103" t="e">
        <f>VLOOKUP(TablaObra[[#This Row],[Equipo]],Catalogos!I$4:J$34,2,FALSE)</f>
        <v>#N/A</v>
      </c>
      <c r="F103" s="3"/>
      <c r="G103" s="4">
        <v>28.3</v>
      </c>
      <c r="H103" s="4">
        <f t="shared" si="1"/>
        <v>0</v>
      </c>
    </row>
    <row r="104" spans="1:8">
      <c r="A104" s="2"/>
      <c r="E104" t="e">
        <f>VLOOKUP(TablaObra[[#This Row],[Equipo]],Catalogos!I$4:J$34,2,FALSE)</f>
        <v>#N/A</v>
      </c>
      <c r="F104" s="3"/>
      <c r="G104" s="4">
        <v>28.3</v>
      </c>
      <c r="H104" s="4">
        <f t="shared" si="1"/>
        <v>0</v>
      </c>
    </row>
    <row r="105" spans="1:8">
      <c r="A105" s="2"/>
      <c r="E105" t="e">
        <f>VLOOKUP(TablaObra[[#This Row],[Equipo]],Catalogos!I$4:J$34,2,FALSE)</f>
        <v>#N/A</v>
      </c>
      <c r="F105" s="3"/>
      <c r="G105" s="4">
        <v>28.3</v>
      </c>
      <c r="H105" s="4">
        <f t="shared" si="1"/>
        <v>0</v>
      </c>
    </row>
    <row r="106" spans="1:8">
      <c r="A106" s="2"/>
      <c r="E106" t="e">
        <f>VLOOKUP(TablaObra[[#This Row],[Equipo]],Catalogos!I$4:J$34,2,FALSE)</f>
        <v>#N/A</v>
      </c>
      <c r="F106" s="3"/>
      <c r="G106" s="4">
        <v>28.3</v>
      </c>
      <c r="H106" s="4">
        <f t="shared" si="1"/>
        <v>0</v>
      </c>
    </row>
    <row r="107" spans="1:8">
      <c r="A107" s="2"/>
      <c r="E107" t="e">
        <f>VLOOKUP(TablaObra[[#This Row],[Equipo]],Catalogos!I$4:J$34,2,FALSE)</f>
        <v>#N/A</v>
      </c>
      <c r="F107" s="3"/>
      <c r="G107" s="4">
        <v>28.3</v>
      </c>
      <c r="H107" s="4">
        <f t="shared" si="1"/>
        <v>0</v>
      </c>
    </row>
    <row r="108" spans="1:8">
      <c r="A108" s="2"/>
      <c r="E108" t="e">
        <f>VLOOKUP(TablaObra[[#This Row],[Equipo]],Catalogos!I$4:J$34,2,FALSE)</f>
        <v>#N/A</v>
      </c>
      <c r="F108" s="3"/>
      <c r="G108" s="4">
        <v>28.3</v>
      </c>
      <c r="H108" s="4">
        <f t="shared" si="1"/>
        <v>0</v>
      </c>
    </row>
    <row r="109" spans="1:8">
      <c r="A109" s="2"/>
      <c r="E109" t="e">
        <f>VLOOKUP(TablaObra[[#This Row],[Equipo]],Catalogos!I$4:J$34,2,FALSE)</f>
        <v>#N/A</v>
      </c>
      <c r="F109" s="3"/>
      <c r="G109" s="4">
        <v>28.3</v>
      </c>
      <c r="H109" s="4">
        <f t="shared" si="1"/>
        <v>0</v>
      </c>
    </row>
    <row r="110" spans="1:8">
      <c r="A110" s="2"/>
      <c r="E110" t="e">
        <f>VLOOKUP(TablaObra[[#This Row],[Equipo]],Catalogos!I$4:J$34,2,FALSE)</f>
        <v>#N/A</v>
      </c>
      <c r="F110" s="3"/>
      <c r="G110" s="4">
        <v>28.3</v>
      </c>
      <c r="H110" s="4">
        <f t="shared" si="1"/>
        <v>0</v>
      </c>
    </row>
    <row r="111" spans="1:8">
      <c r="A111" s="2"/>
      <c r="E111" t="e">
        <f>VLOOKUP(TablaObra[[#This Row],[Equipo]],Catalogos!I$4:J$34,2,FALSE)</f>
        <v>#N/A</v>
      </c>
      <c r="F111" s="3"/>
      <c r="G111" s="4">
        <v>28.3</v>
      </c>
      <c r="H111" s="4">
        <f t="shared" si="1"/>
        <v>0</v>
      </c>
    </row>
    <row r="112" spans="1:8">
      <c r="A112" s="2"/>
      <c r="E112" t="e">
        <f>VLOOKUP(TablaObra[[#This Row],[Equipo]],Catalogos!I$4:J$34,2,FALSE)</f>
        <v>#N/A</v>
      </c>
      <c r="F112" s="3"/>
      <c r="G112" s="4">
        <v>28.3</v>
      </c>
      <c r="H112" s="4">
        <f t="shared" si="1"/>
        <v>0</v>
      </c>
    </row>
    <row r="113" spans="1:8">
      <c r="A113" s="2"/>
      <c r="E113" t="e">
        <f>VLOOKUP(TablaObra[[#This Row],[Equipo]],Catalogos!I$4:J$34,2,FALSE)</f>
        <v>#N/A</v>
      </c>
      <c r="F113" s="3"/>
      <c r="G113" s="4">
        <v>28.3</v>
      </c>
      <c r="H113" s="4">
        <f t="shared" si="1"/>
        <v>0</v>
      </c>
    </row>
    <row r="114" spans="1:8">
      <c r="A114" s="2"/>
      <c r="E114" t="e">
        <f>VLOOKUP(TablaObra[[#This Row],[Equipo]],Catalogos!I$4:J$34,2,FALSE)</f>
        <v>#N/A</v>
      </c>
      <c r="F114" s="3"/>
      <c r="G114" s="4">
        <v>28.3</v>
      </c>
      <c r="H114" s="4">
        <f t="shared" si="1"/>
        <v>0</v>
      </c>
    </row>
    <row r="115" spans="1:8">
      <c r="A115" s="2"/>
      <c r="E115" t="e">
        <f>VLOOKUP(TablaObra[[#This Row],[Equipo]],Catalogos!I$4:J$34,2,FALSE)</f>
        <v>#N/A</v>
      </c>
      <c r="F115" s="3"/>
      <c r="G115" s="4">
        <v>28.3</v>
      </c>
      <c r="H115" s="4">
        <f t="shared" si="1"/>
        <v>0</v>
      </c>
    </row>
    <row r="116" spans="1:8">
      <c r="A116" s="2"/>
      <c r="E116" t="e">
        <f>VLOOKUP(TablaObra[[#This Row],[Equipo]],Catalogos!I$4:J$34,2,FALSE)</f>
        <v>#N/A</v>
      </c>
      <c r="F116" s="3"/>
      <c r="G116" s="4">
        <v>28.3</v>
      </c>
      <c r="H116" s="4">
        <f t="shared" si="1"/>
        <v>0</v>
      </c>
    </row>
    <row r="117" spans="1:8">
      <c r="A117" s="2"/>
      <c r="E117" t="e">
        <f>VLOOKUP(TablaObra[[#This Row],[Equipo]],Catalogos!I$4:J$34,2,FALSE)</f>
        <v>#N/A</v>
      </c>
      <c r="F117" s="3"/>
      <c r="G117" s="4">
        <v>28.3</v>
      </c>
      <c r="H117" s="4">
        <f t="shared" si="1"/>
        <v>0</v>
      </c>
    </row>
    <row r="118" spans="1:8">
      <c r="A118" s="2"/>
      <c r="E118" t="e">
        <f>VLOOKUP(TablaObra[[#This Row],[Equipo]],Catalogos!I$4:J$34,2,FALSE)</f>
        <v>#N/A</v>
      </c>
      <c r="F118" s="3"/>
      <c r="G118" s="4">
        <v>28.3</v>
      </c>
      <c r="H118" s="4">
        <f t="shared" si="1"/>
        <v>0</v>
      </c>
    </row>
    <row r="119" spans="1:8">
      <c r="A119" s="2"/>
      <c r="E119" t="e">
        <f>VLOOKUP(TablaObra[[#This Row],[Equipo]],Catalogos!I$4:J$34,2,FALSE)</f>
        <v>#N/A</v>
      </c>
      <c r="F119" s="3"/>
      <c r="G119" s="4">
        <v>28.3</v>
      </c>
      <c r="H119" s="4">
        <f t="shared" si="1"/>
        <v>0</v>
      </c>
    </row>
    <row r="120" spans="1:8">
      <c r="A120" s="2"/>
      <c r="E120" t="e">
        <f>VLOOKUP(TablaObra[[#This Row],[Equipo]],Catalogos!I$4:J$34,2,FALSE)</f>
        <v>#N/A</v>
      </c>
      <c r="F120" s="3"/>
      <c r="G120" s="4">
        <v>28.3</v>
      </c>
      <c r="H120" s="4">
        <f t="shared" si="1"/>
        <v>0</v>
      </c>
    </row>
    <row r="121" spans="1:8">
      <c r="A121" s="2"/>
      <c r="E121" t="e">
        <f>VLOOKUP(TablaObra[[#This Row],[Equipo]],Catalogos!I$4:J$34,2,FALSE)</f>
        <v>#N/A</v>
      </c>
      <c r="F121" s="3"/>
      <c r="G121" s="4">
        <v>28.3</v>
      </c>
      <c r="H121" s="4">
        <f t="shared" si="1"/>
        <v>0</v>
      </c>
    </row>
    <row r="122" spans="1:8">
      <c r="A122" s="2"/>
      <c r="E122" t="e">
        <f>VLOOKUP(TablaObra[[#This Row],[Equipo]],Catalogos!I$4:J$34,2,FALSE)</f>
        <v>#N/A</v>
      </c>
      <c r="F122" s="3"/>
      <c r="G122" s="4">
        <v>28.3</v>
      </c>
      <c r="H122" s="4">
        <f t="shared" si="1"/>
        <v>0</v>
      </c>
    </row>
    <row r="123" spans="1:8">
      <c r="A123" s="2"/>
      <c r="E123" t="e">
        <f>VLOOKUP(TablaObra[[#This Row],[Equipo]],Catalogos!I$4:J$34,2,FALSE)</f>
        <v>#N/A</v>
      </c>
      <c r="F123" s="3"/>
      <c r="G123" s="4">
        <v>28.3</v>
      </c>
      <c r="H123" s="4">
        <f t="shared" si="1"/>
        <v>0</v>
      </c>
    </row>
    <row r="124" spans="1:8">
      <c r="A124" s="2"/>
      <c r="E124" t="e">
        <f>VLOOKUP(TablaObra[[#This Row],[Equipo]],Catalogos!I$4:J$34,2,FALSE)</f>
        <v>#N/A</v>
      </c>
      <c r="F124" s="3"/>
      <c r="G124" s="4">
        <v>28.3</v>
      </c>
      <c r="H124" s="4">
        <f t="shared" si="1"/>
        <v>0</v>
      </c>
    </row>
    <row r="125" spans="1:8">
      <c r="A125" s="2"/>
      <c r="E125" t="e">
        <f>VLOOKUP(TablaObra[[#This Row],[Equipo]],Catalogos!I$4:J$34,2,FALSE)</f>
        <v>#N/A</v>
      </c>
      <c r="F125" s="3"/>
      <c r="G125" s="4">
        <v>28.3</v>
      </c>
      <c r="H125" s="4">
        <f t="shared" si="1"/>
        <v>0</v>
      </c>
    </row>
    <row r="126" spans="1:8">
      <c r="A126" s="2"/>
      <c r="E126" t="e">
        <f>VLOOKUP(TablaObra[[#This Row],[Equipo]],Catalogos!I$4:J$34,2,FALSE)</f>
        <v>#N/A</v>
      </c>
      <c r="F126" s="3"/>
      <c r="G126" s="4">
        <v>28.3</v>
      </c>
      <c r="H126" s="4">
        <f t="shared" si="1"/>
        <v>0</v>
      </c>
    </row>
    <row r="127" spans="1:8">
      <c r="A127" s="2"/>
      <c r="E127" t="e">
        <f>VLOOKUP(TablaObra[[#This Row],[Equipo]],Catalogos!I$4:J$34,2,FALSE)</f>
        <v>#N/A</v>
      </c>
      <c r="F127" s="3"/>
      <c r="G127" s="4">
        <v>28.3</v>
      </c>
      <c r="H127" s="4">
        <f t="shared" si="1"/>
        <v>0</v>
      </c>
    </row>
    <row r="128" spans="1:8">
      <c r="A128" s="2"/>
      <c r="E128" t="e">
        <f>VLOOKUP(TablaObra[[#This Row],[Equipo]],Catalogos!I$4:J$34,2,FALSE)</f>
        <v>#N/A</v>
      </c>
      <c r="F128" s="3"/>
      <c r="G128" s="4">
        <v>28.3</v>
      </c>
      <c r="H128" s="4">
        <f t="shared" si="1"/>
        <v>0</v>
      </c>
    </row>
    <row r="129" spans="1:8">
      <c r="A129" s="2"/>
      <c r="E129" t="e">
        <f>VLOOKUP(TablaObra[[#This Row],[Equipo]],Catalogos!I$4:J$34,2,FALSE)</f>
        <v>#N/A</v>
      </c>
      <c r="F129" s="3"/>
      <c r="G129" s="4">
        <v>28.3</v>
      </c>
      <c r="H129" s="4">
        <f t="shared" si="1"/>
        <v>0</v>
      </c>
    </row>
    <row r="130" spans="1:8">
      <c r="A130" s="2"/>
      <c r="E130" t="e">
        <f>VLOOKUP(TablaObra[[#This Row],[Equipo]],Catalogos!I$4:J$34,2,FALSE)</f>
        <v>#N/A</v>
      </c>
      <c r="F130" s="3"/>
      <c r="G130" s="4">
        <v>28.3</v>
      </c>
      <c r="H130" s="4">
        <f t="shared" si="1"/>
        <v>0</v>
      </c>
    </row>
    <row r="131" spans="1:8">
      <c r="A131" s="2"/>
      <c r="E131" t="e">
        <f>VLOOKUP(TablaObra[[#This Row],[Equipo]],Catalogos!I$4:J$34,2,FALSE)</f>
        <v>#N/A</v>
      </c>
      <c r="F131" s="3"/>
      <c r="G131" s="4">
        <v>28.3</v>
      </c>
      <c r="H131" s="4">
        <f t="shared" si="1"/>
        <v>0</v>
      </c>
    </row>
    <row r="132" spans="1:8">
      <c r="A132" s="2"/>
      <c r="E132" t="e">
        <f>VLOOKUP(TablaObra[[#This Row],[Equipo]],Catalogos!I$4:J$34,2,FALSE)</f>
        <v>#N/A</v>
      </c>
      <c r="F132" s="3"/>
      <c r="G132" s="4">
        <v>28.3</v>
      </c>
      <c r="H132" s="4">
        <f t="shared" si="1"/>
        <v>0</v>
      </c>
    </row>
    <row r="133" spans="1:8">
      <c r="A133" s="2"/>
      <c r="E133" t="e">
        <f>VLOOKUP(TablaObra[[#This Row],[Equipo]],Catalogos!I$4:J$34,2,FALSE)</f>
        <v>#N/A</v>
      </c>
      <c r="F133" s="3"/>
      <c r="G133" s="4">
        <v>28.3</v>
      </c>
      <c r="H133" s="4">
        <f t="shared" ref="H133:H196" si="2">IFERROR(F133*G133,0)</f>
        <v>0</v>
      </c>
    </row>
    <row r="134" spans="1:8">
      <c r="A134" s="2"/>
      <c r="E134" t="e">
        <f>VLOOKUP(TablaObra[[#This Row],[Equipo]],Catalogos!I$4:J$34,2,FALSE)</f>
        <v>#N/A</v>
      </c>
      <c r="F134" s="3"/>
      <c r="G134" s="4">
        <v>28.3</v>
      </c>
      <c r="H134" s="4">
        <f t="shared" si="2"/>
        <v>0</v>
      </c>
    </row>
    <row r="135" spans="1:8">
      <c r="A135" s="2"/>
      <c r="E135" t="e">
        <f>VLOOKUP(TablaObra[[#This Row],[Equipo]],Catalogos!I$4:J$34,2,FALSE)</f>
        <v>#N/A</v>
      </c>
      <c r="F135" s="3"/>
      <c r="G135" s="4">
        <v>28.3</v>
      </c>
      <c r="H135" s="4">
        <f t="shared" si="2"/>
        <v>0</v>
      </c>
    </row>
    <row r="136" spans="1:8">
      <c r="A136" s="2"/>
      <c r="E136" t="e">
        <f>VLOOKUP(TablaObra[[#This Row],[Equipo]],Catalogos!I$4:J$34,2,FALSE)</f>
        <v>#N/A</v>
      </c>
      <c r="F136" s="3"/>
      <c r="G136" s="4">
        <v>28.3</v>
      </c>
      <c r="H136" s="4">
        <f t="shared" si="2"/>
        <v>0</v>
      </c>
    </row>
    <row r="137" spans="1:8">
      <c r="A137" s="2"/>
      <c r="E137" t="e">
        <f>VLOOKUP(TablaObra[[#This Row],[Equipo]],Catalogos!I$4:J$34,2,FALSE)</f>
        <v>#N/A</v>
      </c>
      <c r="F137" s="3"/>
      <c r="G137" s="4">
        <v>28.3</v>
      </c>
      <c r="H137" s="4">
        <f t="shared" si="2"/>
        <v>0</v>
      </c>
    </row>
    <row r="138" spans="1:8">
      <c r="A138" s="2"/>
      <c r="E138" t="e">
        <f>VLOOKUP(TablaObra[[#This Row],[Equipo]],Catalogos!I$4:J$34,2,FALSE)</f>
        <v>#N/A</v>
      </c>
      <c r="F138" s="3"/>
      <c r="G138" s="4">
        <v>28.3</v>
      </c>
      <c r="H138" s="4">
        <f t="shared" si="2"/>
        <v>0</v>
      </c>
    </row>
    <row r="139" spans="1:8">
      <c r="A139" s="2"/>
      <c r="E139" t="e">
        <f>VLOOKUP(TablaObra[[#This Row],[Equipo]],Catalogos!I$4:J$34,2,FALSE)</f>
        <v>#N/A</v>
      </c>
      <c r="F139" s="3"/>
      <c r="G139" s="4">
        <v>28.3</v>
      </c>
      <c r="H139" s="4">
        <f t="shared" si="2"/>
        <v>0</v>
      </c>
    </row>
    <row r="140" spans="1:8">
      <c r="A140" s="2"/>
      <c r="E140" t="e">
        <f>VLOOKUP(TablaObra[[#This Row],[Equipo]],Catalogos!I$4:J$34,2,FALSE)</f>
        <v>#N/A</v>
      </c>
      <c r="F140" s="3"/>
      <c r="G140" s="4">
        <v>28.3</v>
      </c>
      <c r="H140" s="4">
        <f t="shared" si="2"/>
        <v>0</v>
      </c>
    </row>
    <row r="141" spans="1:8">
      <c r="A141" s="2"/>
      <c r="E141" t="e">
        <f>VLOOKUP(TablaObra[[#This Row],[Equipo]],Catalogos!I$4:J$34,2,FALSE)</f>
        <v>#N/A</v>
      </c>
      <c r="F141" s="3"/>
      <c r="G141" s="4">
        <v>28.3</v>
      </c>
      <c r="H141" s="4">
        <f t="shared" si="2"/>
        <v>0</v>
      </c>
    </row>
    <row r="142" spans="1:8">
      <c r="A142" s="2"/>
      <c r="E142" t="e">
        <f>VLOOKUP(TablaObra[[#This Row],[Equipo]],Catalogos!I$4:J$34,2,FALSE)</f>
        <v>#N/A</v>
      </c>
      <c r="F142" s="3"/>
      <c r="G142" s="4">
        <v>28.3</v>
      </c>
      <c r="H142" s="4">
        <f t="shared" si="2"/>
        <v>0</v>
      </c>
    </row>
    <row r="143" spans="1:8">
      <c r="A143" s="2"/>
      <c r="E143" t="e">
        <f>VLOOKUP(TablaObra[[#This Row],[Equipo]],Catalogos!I$4:J$34,2,FALSE)</f>
        <v>#N/A</v>
      </c>
      <c r="F143" s="3"/>
      <c r="G143" s="4">
        <v>28.3</v>
      </c>
      <c r="H143" s="4">
        <f t="shared" si="2"/>
        <v>0</v>
      </c>
    </row>
    <row r="144" spans="1:8">
      <c r="A144" s="2"/>
      <c r="E144" t="e">
        <f>VLOOKUP(TablaObra[[#This Row],[Equipo]],Catalogos!I$4:J$34,2,FALSE)</f>
        <v>#N/A</v>
      </c>
      <c r="F144" s="3"/>
      <c r="G144" s="4">
        <v>28.3</v>
      </c>
      <c r="H144" s="4">
        <f t="shared" si="2"/>
        <v>0</v>
      </c>
    </row>
    <row r="145" spans="1:8">
      <c r="A145" s="2"/>
      <c r="E145" t="e">
        <f>VLOOKUP(TablaObra[[#This Row],[Equipo]],Catalogos!I$4:J$34,2,FALSE)</f>
        <v>#N/A</v>
      </c>
      <c r="F145" s="3"/>
      <c r="G145" s="4">
        <v>28.3</v>
      </c>
      <c r="H145" s="4">
        <f t="shared" si="2"/>
        <v>0</v>
      </c>
    </row>
    <row r="146" spans="1:8">
      <c r="A146" s="2"/>
      <c r="E146" t="e">
        <f>VLOOKUP(TablaObra[[#This Row],[Equipo]],Catalogos!I$4:J$34,2,FALSE)</f>
        <v>#N/A</v>
      </c>
      <c r="F146" s="3"/>
      <c r="G146" s="4"/>
      <c r="H146" s="4">
        <f t="shared" si="2"/>
        <v>0</v>
      </c>
    </row>
    <row r="147" spans="1:8">
      <c r="A147" s="2"/>
      <c r="E147" t="e">
        <f>VLOOKUP(TablaObra[[#This Row],[Equipo]],Catalogos!I$4:J$34,2,FALSE)</f>
        <v>#N/A</v>
      </c>
      <c r="F147" s="3"/>
      <c r="G147" s="4"/>
      <c r="H147" s="4">
        <f t="shared" si="2"/>
        <v>0</v>
      </c>
    </row>
    <row r="148" spans="1:8">
      <c r="A148" s="2"/>
      <c r="E148" t="e">
        <f>VLOOKUP(TablaObra[[#This Row],[Equipo]],Catalogos!I$4:J$34,2,FALSE)</f>
        <v>#N/A</v>
      </c>
      <c r="F148" s="3"/>
      <c r="G148" s="4"/>
      <c r="H148" s="4">
        <f t="shared" si="2"/>
        <v>0</v>
      </c>
    </row>
    <row r="149" spans="1:8">
      <c r="A149" s="2"/>
      <c r="E149" t="e">
        <f>VLOOKUP(TablaObra[[#This Row],[Equipo]],Catalogos!I$4:J$34,2,FALSE)</f>
        <v>#N/A</v>
      </c>
      <c r="F149" s="3"/>
      <c r="G149" s="4"/>
      <c r="H149" s="4">
        <f t="shared" si="2"/>
        <v>0</v>
      </c>
    </row>
    <row r="150" spans="1:8">
      <c r="A150" s="2"/>
      <c r="E150" t="e">
        <f>VLOOKUP(TablaObra[[#This Row],[Equipo]],Catalogos!I$4:J$34,2,FALSE)</f>
        <v>#N/A</v>
      </c>
      <c r="F150" s="3"/>
      <c r="G150" s="4"/>
      <c r="H150" s="4">
        <f t="shared" si="2"/>
        <v>0</v>
      </c>
    </row>
    <row r="151" spans="1:8">
      <c r="A151" s="2"/>
      <c r="E151" t="e">
        <f>VLOOKUP(TablaObra[[#This Row],[Equipo]],Catalogos!I$4:J$34,2,FALSE)</f>
        <v>#N/A</v>
      </c>
      <c r="F151" s="3"/>
      <c r="G151" s="4"/>
      <c r="H151" s="4">
        <f t="shared" si="2"/>
        <v>0</v>
      </c>
    </row>
    <row r="152" spans="1:8">
      <c r="A152" s="2"/>
      <c r="E152" t="e">
        <f>VLOOKUP(TablaObra[[#This Row],[Equipo]],Catalogos!I$4:J$34,2,FALSE)</f>
        <v>#N/A</v>
      </c>
      <c r="F152" s="3"/>
      <c r="G152" s="4"/>
      <c r="H152" s="4">
        <f t="shared" si="2"/>
        <v>0</v>
      </c>
    </row>
    <row r="153" spans="1:8">
      <c r="A153" s="2"/>
      <c r="E153" t="e">
        <f>VLOOKUP(TablaObra[[#This Row],[Equipo]],Catalogos!I$4:J$34,2,FALSE)</f>
        <v>#N/A</v>
      </c>
      <c r="F153" s="3"/>
      <c r="G153" s="4"/>
      <c r="H153" s="4">
        <f t="shared" si="2"/>
        <v>0</v>
      </c>
    </row>
    <row r="154" spans="1:8">
      <c r="A154" s="2"/>
      <c r="E154" t="e">
        <f>VLOOKUP(TablaObra[[#This Row],[Equipo]],Catalogos!I$4:J$34,2,FALSE)</f>
        <v>#N/A</v>
      </c>
      <c r="F154" s="3"/>
      <c r="G154" s="4"/>
      <c r="H154" s="4">
        <f t="shared" si="2"/>
        <v>0</v>
      </c>
    </row>
    <row r="155" spans="1:8">
      <c r="A155" s="2"/>
      <c r="E155" t="e">
        <f>VLOOKUP(TablaObra[[#This Row],[Equipo]],Catalogos!I$4:J$34,2,FALSE)</f>
        <v>#N/A</v>
      </c>
      <c r="F155" s="3"/>
      <c r="G155" s="4"/>
      <c r="H155" s="4">
        <f t="shared" si="2"/>
        <v>0</v>
      </c>
    </row>
    <row r="156" spans="1:8">
      <c r="A156" s="2"/>
      <c r="E156" t="e">
        <f>VLOOKUP(TablaObra[[#This Row],[Equipo]],Catalogos!I$4:J$34,2,FALSE)</f>
        <v>#N/A</v>
      </c>
      <c r="F156" s="3"/>
      <c r="G156" s="4"/>
      <c r="H156" s="4">
        <f t="shared" si="2"/>
        <v>0</v>
      </c>
    </row>
    <row r="157" spans="1:8">
      <c r="A157" s="2"/>
      <c r="E157" t="e">
        <f>VLOOKUP(TablaObra[[#This Row],[Equipo]],Catalogos!I$4:J$34,2,FALSE)</f>
        <v>#N/A</v>
      </c>
      <c r="F157" s="3"/>
      <c r="G157" s="4"/>
      <c r="H157" s="4">
        <f t="shared" si="2"/>
        <v>0</v>
      </c>
    </row>
    <row r="158" spans="1:8">
      <c r="A158" s="2"/>
      <c r="E158" t="e">
        <f>VLOOKUP(TablaObra[[#This Row],[Equipo]],Catalogos!I$4:J$34,2,FALSE)</f>
        <v>#N/A</v>
      </c>
      <c r="F158" s="3"/>
      <c r="G158" s="4"/>
      <c r="H158" s="4">
        <f t="shared" si="2"/>
        <v>0</v>
      </c>
    </row>
    <row r="159" spans="1:8">
      <c r="A159" s="2"/>
      <c r="E159" t="e">
        <f>VLOOKUP(TablaObra[[#This Row],[Equipo]],Catalogos!I$4:J$34,2,FALSE)</f>
        <v>#N/A</v>
      </c>
      <c r="F159" s="3"/>
      <c r="G159" s="4"/>
      <c r="H159" s="4">
        <f t="shared" si="2"/>
        <v>0</v>
      </c>
    </row>
    <row r="160" spans="1:8">
      <c r="A160" s="2"/>
      <c r="E160" t="e">
        <f>VLOOKUP(TablaObra[[#This Row],[Equipo]],Catalogos!I$4:J$34,2,FALSE)</f>
        <v>#N/A</v>
      </c>
      <c r="F160" s="3"/>
      <c r="G160" s="4"/>
      <c r="H160" s="4">
        <f t="shared" si="2"/>
        <v>0</v>
      </c>
    </row>
    <row r="161" spans="1:8">
      <c r="A161" s="2"/>
      <c r="E161" t="e">
        <f>VLOOKUP(TablaObra[[#This Row],[Equipo]],Catalogos!I$4:J$34,2,FALSE)</f>
        <v>#N/A</v>
      </c>
      <c r="F161" s="3"/>
      <c r="G161" s="4"/>
      <c r="H161" s="4">
        <f t="shared" si="2"/>
        <v>0</v>
      </c>
    </row>
    <row r="162" spans="1:8">
      <c r="A162" s="2"/>
      <c r="E162" t="e">
        <f>VLOOKUP(TablaObra[[#This Row],[Equipo]],Catalogos!I$4:J$34,2,FALSE)</f>
        <v>#N/A</v>
      </c>
      <c r="F162" s="3"/>
      <c r="G162" s="4"/>
      <c r="H162" s="4">
        <f t="shared" si="2"/>
        <v>0</v>
      </c>
    </row>
    <row r="163" spans="1:8">
      <c r="A163" s="2"/>
      <c r="E163" t="e">
        <f>VLOOKUP(TablaObra[[#This Row],[Equipo]],Catalogos!I$4:J$34,2,FALSE)</f>
        <v>#N/A</v>
      </c>
      <c r="F163" s="3"/>
      <c r="G163" s="4"/>
      <c r="H163" s="4">
        <f t="shared" si="2"/>
        <v>0</v>
      </c>
    </row>
    <row r="164" spans="1:8">
      <c r="A164" s="2"/>
      <c r="E164" t="e">
        <f>VLOOKUP(TablaObra[[#This Row],[Equipo]],Catalogos!I$4:J$34,2,FALSE)</f>
        <v>#N/A</v>
      </c>
      <c r="F164" s="3"/>
      <c r="G164" s="4"/>
      <c r="H164" s="4">
        <f t="shared" si="2"/>
        <v>0</v>
      </c>
    </row>
    <row r="165" spans="1:8">
      <c r="A165" s="2"/>
      <c r="E165" t="e">
        <f>VLOOKUP(TablaObra[[#This Row],[Equipo]],Catalogos!I$4:J$34,2,FALSE)</f>
        <v>#N/A</v>
      </c>
      <c r="F165" s="3"/>
      <c r="G165" s="4"/>
      <c r="H165" s="4">
        <f t="shared" si="2"/>
        <v>0</v>
      </c>
    </row>
    <row r="166" spans="1:8">
      <c r="A166" s="2"/>
      <c r="E166" t="e">
        <f>VLOOKUP(TablaObra[[#This Row],[Equipo]],Catalogos!I$4:J$34,2,FALSE)</f>
        <v>#N/A</v>
      </c>
      <c r="F166" s="3"/>
      <c r="G166" s="4"/>
      <c r="H166" s="4">
        <f t="shared" si="2"/>
        <v>0</v>
      </c>
    </row>
    <row r="167" spans="1:8">
      <c r="A167" s="2"/>
      <c r="E167" t="e">
        <f>VLOOKUP(TablaObra[[#This Row],[Equipo]],Catalogos!I$4:J$34,2,FALSE)</f>
        <v>#N/A</v>
      </c>
      <c r="F167" s="3"/>
      <c r="G167" s="4"/>
      <c r="H167" s="4">
        <f t="shared" si="2"/>
        <v>0</v>
      </c>
    </row>
    <row r="168" spans="1:8">
      <c r="A168" s="2"/>
      <c r="E168" t="e">
        <f>VLOOKUP(TablaObra[[#This Row],[Equipo]],Catalogos!I$4:J$34,2,FALSE)</f>
        <v>#N/A</v>
      </c>
      <c r="F168" s="3"/>
      <c r="G168" s="4"/>
      <c r="H168" s="4">
        <f t="shared" si="2"/>
        <v>0</v>
      </c>
    </row>
    <row r="169" spans="1:8">
      <c r="A169" s="2"/>
      <c r="E169" t="e">
        <f>VLOOKUP(TablaObra[[#This Row],[Equipo]],Catalogos!I$4:J$34,2,FALSE)</f>
        <v>#N/A</v>
      </c>
      <c r="F169" s="3"/>
      <c r="G169" s="4"/>
      <c r="H169" s="4">
        <f t="shared" si="2"/>
        <v>0</v>
      </c>
    </row>
    <row r="170" spans="1:8">
      <c r="A170" s="2"/>
      <c r="E170" t="e">
        <f>VLOOKUP(TablaObra[[#This Row],[Equipo]],Catalogos!I$4:J$34,2,FALSE)</f>
        <v>#N/A</v>
      </c>
      <c r="F170" s="3"/>
      <c r="G170" s="4"/>
      <c r="H170" s="4">
        <f t="shared" si="2"/>
        <v>0</v>
      </c>
    </row>
    <row r="171" spans="1:8">
      <c r="A171" s="2"/>
      <c r="E171" t="e">
        <f>VLOOKUP(TablaObra[[#This Row],[Equipo]],Catalogos!I$4:J$34,2,FALSE)</f>
        <v>#N/A</v>
      </c>
      <c r="F171" s="3"/>
      <c r="G171" s="4"/>
      <c r="H171" s="4">
        <f t="shared" si="2"/>
        <v>0</v>
      </c>
    </row>
    <row r="172" spans="1:8">
      <c r="A172" s="2"/>
      <c r="E172" t="e">
        <f>VLOOKUP(TablaObra[[#This Row],[Equipo]],Catalogos!I$4:J$34,2,FALSE)</f>
        <v>#N/A</v>
      </c>
      <c r="F172" s="3"/>
      <c r="G172" s="4"/>
      <c r="H172" s="4">
        <f t="shared" si="2"/>
        <v>0</v>
      </c>
    </row>
    <row r="173" spans="1:8">
      <c r="A173" s="2"/>
      <c r="E173" t="e">
        <f>VLOOKUP(TablaObra[[#This Row],[Equipo]],Catalogos!I$4:J$34,2,FALSE)</f>
        <v>#N/A</v>
      </c>
      <c r="F173" s="3"/>
      <c r="G173" s="4"/>
      <c r="H173" s="4">
        <f t="shared" si="2"/>
        <v>0</v>
      </c>
    </row>
    <row r="174" spans="1:8">
      <c r="A174" s="2"/>
      <c r="E174" t="e">
        <f>VLOOKUP(TablaObra[[#This Row],[Equipo]],Catalogos!I$4:J$34,2,FALSE)</f>
        <v>#N/A</v>
      </c>
      <c r="F174" s="3"/>
      <c r="G174" s="4"/>
      <c r="H174" s="4">
        <f t="shared" si="2"/>
        <v>0</v>
      </c>
    </row>
    <row r="175" spans="1:8">
      <c r="A175" s="2"/>
      <c r="E175" t="e">
        <f>VLOOKUP(TablaObra[[#This Row],[Equipo]],Catalogos!I$4:J$34,2,FALSE)</f>
        <v>#N/A</v>
      </c>
      <c r="F175" s="3"/>
      <c r="G175" s="4"/>
      <c r="H175" s="4">
        <f t="shared" si="2"/>
        <v>0</v>
      </c>
    </row>
    <row r="176" spans="1:8">
      <c r="A176" s="2"/>
      <c r="E176" t="e">
        <f>VLOOKUP(TablaObra[[#This Row],[Equipo]],Catalogos!I$4:J$34,2,FALSE)</f>
        <v>#N/A</v>
      </c>
      <c r="F176" s="3"/>
      <c r="G176" s="4"/>
      <c r="H176" s="4">
        <f t="shared" si="2"/>
        <v>0</v>
      </c>
    </row>
    <row r="177" spans="1:8">
      <c r="A177" s="2"/>
      <c r="E177" t="e">
        <f>VLOOKUP(TablaObra[[#This Row],[Equipo]],Catalogos!I$4:J$34,2,FALSE)</f>
        <v>#N/A</v>
      </c>
      <c r="F177" s="3"/>
      <c r="G177" s="4"/>
      <c r="H177" s="4">
        <f t="shared" si="2"/>
        <v>0</v>
      </c>
    </row>
    <row r="178" spans="1:8">
      <c r="A178" s="2"/>
      <c r="E178" t="e">
        <f>VLOOKUP(TablaObra[[#This Row],[Equipo]],Catalogos!I$4:J$34,2,FALSE)</f>
        <v>#N/A</v>
      </c>
      <c r="F178" s="3"/>
      <c r="G178" s="4"/>
      <c r="H178" s="4">
        <f t="shared" si="2"/>
        <v>0</v>
      </c>
    </row>
    <row r="179" spans="1:8">
      <c r="A179" s="2"/>
      <c r="E179" t="e">
        <f>VLOOKUP(TablaObra[[#This Row],[Equipo]],Catalogos!I$4:J$34,2,FALSE)</f>
        <v>#N/A</v>
      </c>
      <c r="F179" s="3"/>
      <c r="G179" s="4"/>
      <c r="H179" s="4">
        <f t="shared" si="2"/>
        <v>0</v>
      </c>
    </row>
    <row r="180" spans="1:8">
      <c r="A180" s="2"/>
      <c r="E180" t="e">
        <f>VLOOKUP(TablaObra[[#This Row],[Equipo]],Catalogos!I$4:J$34,2,FALSE)</f>
        <v>#N/A</v>
      </c>
      <c r="F180" s="3"/>
      <c r="G180" s="4"/>
      <c r="H180" s="4">
        <f t="shared" si="2"/>
        <v>0</v>
      </c>
    </row>
    <row r="181" spans="1:8">
      <c r="A181" s="2"/>
      <c r="E181" t="e">
        <f>VLOOKUP(TablaObra[[#This Row],[Equipo]],Catalogos!I$4:J$34,2,FALSE)</f>
        <v>#N/A</v>
      </c>
      <c r="F181" s="3"/>
      <c r="G181" s="4"/>
      <c r="H181" s="4">
        <f t="shared" si="2"/>
        <v>0</v>
      </c>
    </row>
    <row r="182" spans="1:8">
      <c r="A182" s="2"/>
      <c r="E182" t="e">
        <f>VLOOKUP(TablaObra[[#This Row],[Equipo]],Catalogos!I$4:J$34,2,FALSE)</f>
        <v>#N/A</v>
      </c>
      <c r="F182" s="3"/>
      <c r="G182" s="4"/>
      <c r="H182" s="4">
        <f t="shared" si="2"/>
        <v>0</v>
      </c>
    </row>
    <row r="183" spans="1:8">
      <c r="A183" s="2"/>
      <c r="E183" t="e">
        <f>VLOOKUP(TablaObra[[#This Row],[Equipo]],Catalogos!I$4:J$34,2,FALSE)</f>
        <v>#N/A</v>
      </c>
      <c r="F183" s="3"/>
      <c r="G183" s="4"/>
      <c r="H183" s="4">
        <f t="shared" si="2"/>
        <v>0</v>
      </c>
    </row>
    <row r="184" spans="1:8">
      <c r="A184" s="2"/>
      <c r="E184" t="e">
        <f>VLOOKUP(TablaObra[[#This Row],[Equipo]],Catalogos!I$4:J$34,2,FALSE)</f>
        <v>#N/A</v>
      </c>
      <c r="F184" s="3"/>
      <c r="G184" s="4"/>
      <c r="H184" s="4">
        <f t="shared" si="2"/>
        <v>0</v>
      </c>
    </row>
    <row r="185" spans="1:8">
      <c r="A185" s="2"/>
      <c r="E185" t="e">
        <f>VLOOKUP(TablaObra[[#This Row],[Equipo]],Catalogos!I$4:J$34,2,FALSE)</f>
        <v>#N/A</v>
      </c>
      <c r="F185" s="3"/>
      <c r="G185" s="4"/>
      <c r="H185" s="4">
        <f t="shared" si="2"/>
        <v>0</v>
      </c>
    </row>
    <row r="186" spans="1:8">
      <c r="A186" s="2"/>
      <c r="E186" t="e">
        <f>VLOOKUP(TablaObra[[#This Row],[Equipo]],Catalogos!I$4:J$34,2,FALSE)</f>
        <v>#N/A</v>
      </c>
      <c r="F186" s="3"/>
      <c r="G186" s="4"/>
      <c r="H186" s="4">
        <f t="shared" si="2"/>
        <v>0</v>
      </c>
    </row>
    <row r="187" spans="1:8">
      <c r="A187" s="2"/>
      <c r="E187" t="e">
        <f>VLOOKUP(TablaObra[[#This Row],[Equipo]],Catalogos!I$4:J$34,2,FALSE)</f>
        <v>#N/A</v>
      </c>
      <c r="F187" s="3"/>
      <c r="G187" s="4"/>
      <c r="H187" s="4">
        <f t="shared" si="2"/>
        <v>0</v>
      </c>
    </row>
    <row r="188" spans="1:8">
      <c r="A188" s="2"/>
      <c r="E188" t="e">
        <f>VLOOKUP(TablaObra[[#This Row],[Equipo]],Catalogos!I$4:J$34,2,FALSE)</f>
        <v>#N/A</v>
      </c>
      <c r="F188" s="3"/>
      <c r="G188" s="4"/>
      <c r="H188" s="4">
        <f t="shared" si="2"/>
        <v>0</v>
      </c>
    </row>
    <row r="189" spans="1:8">
      <c r="A189" s="2"/>
      <c r="E189" t="e">
        <f>VLOOKUP(TablaObra[[#This Row],[Equipo]],Catalogos!I$4:J$34,2,FALSE)</f>
        <v>#N/A</v>
      </c>
      <c r="F189" s="3"/>
      <c r="G189" s="4"/>
      <c r="H189" s="4">
        <f t="shared" si="2"/>
        <v>0</v>
      </c>
    </row>
    <row r="190" spans="1:8">
      <c r="A190" s="2"/>
      <c r="E190" t="e">
        <f>VLOOKUP(TablaObra[[#This Row],[Equipo]],Catalogos!I$4:J$34,2,FALSE)</f>
        <v>#N/A</v>
      </c>
      <c r="F190" s="3"/>
      <c r="G190" s="4"/>
      <c r="H190" s="4">
        <f t="shared" si="2"/>
        <v>0</v>
      </c>
    </row>
    <row r="191" spans="1:8">
      <c r="A191" s="2"/>
      <c r="E191" t="e">
        <f>VLOOKUP(TablaObra[[#This Row],[Equipo]],Catalogos!I$4:J$34,2,FALSE)</f>
        <v>#N/A</v>
      </c>
      <c r="F191" s="3"/>
      <c r="G191" s="4"/>
      <c r="H191" s="4">
        <f t="shared" si="2"/>
        <v>0</v>
      </c>
    </row>
    <row r="192" spans="1:8">
      <c r="A192" s="2"/>
      <c r="E192" t="e">
        <f>VLOOKUP(TablaObra[[#This Row],[Equipo]],Catalogos!I$4:J$34,2,FALSE)</f>
        <v>#N/A</v>
      </c>
      <c r="F192" s="3"/>
      <c r="G192" s="4"/>
      <c r="H192" s="4">
        <f t="shared" si="2"/>
        <v>0</v>
      </c>
    </row>
    <row r="193" spans="1:8">
      <c r="A193" s="2"/>
      <c r="E193" t="e">
        <f>VLOOKUP(TablaObra[[#This Row],[Equipo]],Catalogos!I$4:J$34,2,FALSE)</f>
        <v>#N/A</v>
      </c>
      <c r="F193" s="3"/>
      <c r="G193" s="4"/>
      <c r="H193" s="4">
        <f t="shared" si="2"/>
        <v>0</v>
      </c>
    </row>
    <row r="194" spans="1:8">
      <c r="A194" s="2"/>
      <c r="E194" t="e">
        <f>VLOOKUP(TablaObra[[#This Row],[Equipo]],Catalogos!I$4:J$34,2,FALSE)</f>
        <v>#N/A</v>
      </c>
      <c r="F194" s="3"/>
      <c r="G194" s="4"/>
      <c r="H194" s="4">
        <f t="shared" si="2"/>
        <v>0</v>
      </c>
    </row>
    <row r="195" spans="1:8">
      <c r="A195" s="2"/>
      <c r="E195" t="e">
        <f>VLOOKUP(TablaObra[[#This Row],[Equipo]],Catalogos!I$4:J$34,2,FALSE)</f>
        <v>#N/A</v>
      </c>
      <c r="F195" s="3"/>
      <c r="G195" s="4"/>
      <c r="H195" s="4">
        <f t="shared" si="2"/>
        <v>0</v>
      </c>
    </row>
    <row r="196" spans="1:8">
      <c r="A196" s="2"/>
      <c r="E196" t="e">
        <f>VLOOKUP(TablaObra[[#This Row],[Equipo]],Catalogos!I$4:J$34,2,FALSE)</f>
        <v>#N/A</v>
      </c>
      <c r="F196" s="3"/>
      <c r="G196" s="4"/>
      <c r="H196" s="4">
        <f t="shared" si="2"/>
        <v>0</v>
      </c>
    </row>
    <row r="197" spans="1:8">
      <c r="A197" s="2"/>
      <c r="E197" t="e">
        <f>VLOOKUP(TablaObra[[#This Row],[Equipo]],Catalogos!I$4:J$34,2,FALSE)</f>
        <v>#N/A</v>
      </c>
      <c r="F197" s="3"/>
      <c r="G197" s="4"/>
      <c r="H197" s="4">
        <f t="shared" ref="H197:H260" si="3">IFERROR(F197*G197,0)</f>
        <v>0</v>
      </c>
    </row>
    <row r="198" spans="1:8">
      <c r="A198" s="2"/>
      <c r="E198" t="e">
        <f>VLOOKUP(TablaObra[[#This Row],[Equipo]],Catalogos!I$4:J$34,2,FALSE)</f>
        <v>#N/A</v>
      </c>
      <c r="F198" s="3"/>
      <c r="G198" s="4"/>
      <c r="H198" s="4">
        <f t="shared" si="3"/>
        <v>0</v>
      </c>
    </row>
    <row r="199" spans="1:8">
      <c r="A199" s="2"/>
      <c r="E199" t="e">
        <f>VLOOKUP(TablaObra[[#This Row],[Equipo]],Catalogos!I$4:J$34,2,FALSE)</f>
        <v>#N/A</v>
      </c>
      <c r="F199" s="3"/>
      <c r="G199" s="4"/>
      <c r="H199" s="4">
        <f t="shared" si="3"/>
        <v>0</v>
      </c>
    </row>
    <row r="200" spans="1:8">
      <c r="A200" s="2"/>
      <c r="E200" t="e">
        <f>VLOOKUP(TablaObra[[#This Row],[Equipo]],Catalogos!I$4:J$34,2,FALSE)</f>
        <v>#N/A</v>
      </c>
      <c r="F200" s="3"/>
      <c r="G200" s="4"/>
      <c r="H200" s="4">
        <f t="shared" si="3"/>
        <v>0</v>
      </c>
    </row>
    <row r="201" spans="1:8">
      <c r="A201" s="2"/>
      <c r="E201" t="e">
        <f>VLOOKUP(TablaObra[[#This Row],[Equipo]],Catalogos!I$4:J$34,2,FALSE)</f>
        <v>#N/A</v>
      </c>
      <c r="F201" s="3"/>
      <c r="G201" s="4"/>
      <c r="H201" s="4">
        <f t="shared" si="3"/>
        <v>0</v>
      </c>
    </row>
    <row r="202" spans="1:8">
      <c r="A202" s="2"/>
      <c r="E202" t="e">
        <f>VLOOKUP(TablaObra[[#This Row],[Equipo]],Catalogos!I$4:J$34,2,FALSE)</f>
        <v>#N/A</v>
      </c>
      <c r="F202" s="3"/>
      <c r="G202" s="4"/>
      <c r="H202" s="4">
        <f t="shared" si="3"/>
        <v>0</v>
      </c>
    </row>
    <row r="203" spans="1:8">
      <c r="A203" s="2"/>
      <c r="E203" t="e">
        <f>VLOOKUP(TablaObra[[#This Row],[Equipo]],Catalogos!I$4:J$34,2,FALSE)</f>
        <v>#N/A</v>
      </c>
      <c r="F203" s="3"/>
      <c r="G203" s="4"/>
      <c r="H203" s="4">
        <f t="shared" si="3"/>
        <v>0</v>
      </c>
    </row>
    <row r="204" spans="1:8">
      <c r="A204" s="2"/>
      <c r="E204" t="e">
        <f>VLOOKUP(TablaObra[[#This Row],[Equipo]],Catalogos!I$4:J$34,2,FALSE)</f>
        <v>#N/A</v>
      </c>
      <c r="F204" s="3"/>
      <c r="G204" s="4"/>
      <c r="H204" s="4">
        <f t="shared" si="3"/>
        <v>0</v>
      </c>
    </row>
    <row r="205" spans="1:8">
      <c r="A205" s="2"/>
      <c r="E205" t="e">
        <f>VLOOKUP(TablaObra[[#This Row],[Equipo]],Catalogos!I$4:J$34,2,FALSE)</f>
        <v>#N/A</v>
      </c>
      <c r="F205" s="3"/>
      <c r="G205" s="4"/>
      <c r="H205" s="4">
        <f t="shared" si="3"/>
        <v>0</v>
      </c>
    </row>
    <row r="206" spans="1:8">
      <c r="A206" s="2"/>
      <c r="E206" t="e">
        <f>VLOOKUP(TablaObra[[#This Row],[Equipo]],Catalogos!I$4:J$34,2,FALSE)</f>
        <v>#N/A</v>
      </c>
      <c r="F206" s="3"/>
      <c r="G206" s="4"/>
      <c r="H206" s="4">
        <f t="shared" si="3"/>
        <v>0</v>
      </c>
    </row>
    <row r="207" spans="1:8">
      <c r="A207" s="2"/>
      <c r="E207" t="e">
        <f>VLOOKUP(TablaObra[[#This Row],[Equipo]],Catalogos!I$4:J$34,2,FALSE)</f>
        <v>#N/A</v>
      </c>
      <c r="F207" s="3"/>
      <c r="G207" s="4"/>
      <c r="H207" s="4">
        <f t="shared" si="3"/>
        <v>0</v>
      </c>
    </row>
    <row r="208" spans="1:8">
      <c r="A208" s="2"/>
      <c r="E208" t="e">
        <f>VLOOKUP(TablaObra[[#This Row],[Equipo]],Catalogos!I$4:J$34,2,FALSE)</f>
        <v>#N/A</v>
      </c>
      <c r="F208" s="3"/>
      <c r="G208" s="4"/>
      <c r="H208" s="4">
        <f t="shared" si="3"/>
        <v>0</v>
      </c>
    </row>
    <row r="209" spans="1:8">
      <c r="A209" s="2"/>
      <c r="E209" t="e">
        <f>VLOOKUP(TablaObra[[#This Row],[Equipo]],Catalogos!I$4:J$34,2,FALSE)</f>
        <v>#N/A</v>
      </c>
      <c r="F209" s="3"/>
      <c r="G209" s="4"/>
      <c r="H209" s="4">
        <f t="shared" si="3"/>
        <v>0</v>
      </c>
    </row>
    <row r="210" spans="1:8">
      <c r="A210" s="2"/>
      <c r="E210" t="e">
        <f>VLOOKUP(TablaObra[[#This Row],[Equipo]],Catalogos!I$4:J$34,2,FALSE)</f>
        <v>#N/A</v>
      </c>
      <c r="F210" s="3"/>
      <c r="G210" s="4"/>
      <c r="H210" s="4">
        <f t="shared" si="3"/>
        <v>0</v>
      </c>
    </row>
    <row r="211" spans="1:8">
      <c r="A211" s="2"/>
      <c r="E211" t="e">
        <f>VLOOKUP(TablaObra[[#This Row],[Equipo]],Catalogos!I$4:J$34,2,FALSE)</f>
        <v>#N/A</v>
      </c>
      <c r="F211" s="3"/>
      <c r="G211" s="4"/>
      <c r="H211" s="4">
        <f t="shared" si="3"/>
        <v>0</v>
      </c>
    </row>
    <row r="212" spans="1:8">
      <c r="A212" s="2"/>
      <c r="E212" t="e">
        <f>VLOOKUP(TablaObra[[#This Row],[Equipo]],Catalogos!I$4:J$34,2,FALSE)</f>
        <v>#N/A</v>
      </c>
      <c r="F212" s="3"/>
      <c r="G212" s="4"/>
      <c r="H212" s="4">
        <f t="shared" si="3"/>
        <v>0</v>
      </c>
    </row>
    <row r="213" spans="1:8">
      <c r="A213" s="2"/>
      <c r="E213" t="e">
        <f>VLOOKUP(TablaObra[[#This Row],[Equipo]],Catalogos!I$4:J$34,2,FALSE)</f>
        <v>#N/A</v>
      </c>
      <c r="F213" s="3"/>
      <c r="G213" s="4"/>
      <c r="H213" s="4">
        <f t="shared" si="3"/>
        <v>0</v>
      </c>
    </row>
    <row r="214" spans="1:8">
      <c r="A214" s="2"/>
      <c r="E214" t="e">
        <f>VLOOKUP(TablaObra[[#This Row],[Equipo]],Catalogos!I$4:J$34,2,FALSE)</f>
        <v>#N/A</v>
      </c>
      <c r="F214" s="3"/>
      <c r="G214" s="4"/>
      <c r="H214" s="4">
        <f t="shared" si="3"/>
        <v>0</v>
      </c>
    </row>
    <row r="215" spans="1:8">
      <c r="A215" s="2"/>
      <c r="E215" t="e">
        <f>VLOOKUP(TablaObra[[#This Row],[Equipo]],Catalogos!I$4:J$34,2,FALSE)</f>
        <v>#N/A</v>
      </c>
      <c r="F215" s="3"/>
      <c r="G215" s="4"/>
      <c r="H215" s="4">
        <f t="shared" si="3"/>
        <v>0</v>
      </c>
    </row>
    <row r="216" spans="1:8">
      <c r="A216" s="2"/>
      <c r="E216" t="e">
        <f>VLOOKUP(TablaObra[[#This Row],[Equipo]],Catalogos!I$4:J$34,2,FALSE)</f>
        <v>#N/A</v>
      </c>
      <c r="F216" s="3"/>
      <c r="G216" s="4"/>
      <c r="H216" s="4">
        <f t="shared" si="3"/>
        <v>0</v>
      </c>
    </row>
    <row r="217" spans="1:8">
      <c r="A217" s="2"/>
      <c r="E217" t="e">
        <f>VLOOKUP(TablaObra[[#This Row],[Equipo]],Catalogos!I$4:J$34,2,FALSE)</f>
        <v>#N/A</v>
      </c>
      <c r="F217" s="3"/>
      <c r="G217" s="4"/>
      <c r="H217" s="4">
        <f t="shared" si="3"/>
        <v>0</v>
      </c>
    </row>
    <row r="218" spans="1:8">
      <c r="A218" s="2"/>
      <c r="E218" t="e">
        <f>VLOOKUP(TablaObra[[#This Row],[Equipo]],Catalogos!I$4:J$34,2,FALSE)</f>
        <v>#N/A</v>
      </c>
      <c r="F218" s="3"/>
      <c r="G218" s="4"/>
      <c r="H218" s="4">
        <f t="shared" si="3"/>
        <v>0</v>
      </c>
    </row>
    <row r="219" spans="1:8">
      <c r="A219" s="2"/>
      <c r="E219" t="e">
        <f>VLOOKUP(TablaObra[[#This Row],[Equipo]],Catalogos!I$4:J$34,2,FALSE)</f>
        <v>#N/A</v>
      </c>
      <c r="F219" s="3"/>
      <c r="G219" s="4"/>
      <c r="H219" s="4">
        <f t="shared" si="3"/>
        <v>0</v>
      </c>
    </row>
    <row r="220" spans="1:8">
      <c r="A220" s="2"/>
      <c r="E220" t="e">
        <f>VLOOKUP(TablaObra[[#This Row],[Equipo]],Catalogos!I$4:J$34,2,FALSE)</f>
        <v>#N/A</v>
      </c>
      <c r="F220" s="3"/>
      <c r="G220" s="4"/>
      <c r="H220" s="4">
        <f t="shared" si="3"/>
        <v>0</v>
      </c>
    </row>
    <row r="221" spans="1:8">
      <c r="A221" s="2"/>
      <c r="E221" t="e">
        <f>VLOOKUP(TablaObra[[#This Row],[Equipo]],Catalogos!I$4:J$34,2,FALSE)</f>
        <v>#N/A</v>
      </c>
      <c r="F221" s="3"/>
      <c r="G221" s="4"/>
      <c r="H221" s="4">
        <f t="shared" si="3"/>
        <v>0</v>
      </c>
    </row>
    <row r="222" spans="1:8">
      <c r="A222" s="2"/>
      <c r="E222" t="e">
        <f>VLOOKUP(TablaObra[[#This Row],[Equipo]],Catalogos!I$4:J$34,2,FALSE)</f>
        <v>#N/A</v>
      </c>
      <c r="F222" s="3"/>
      <c r="G222" s="4"/>
      <c r="H222" s="4">
        <f t="shared" si="3"/>
        <v>0</v>
      </c>
    </row>
    <row r="223" spans="1:8">
      <c r="A223" s="2"/>
      <c r="E223" t="e">
        <f>VLOOKUP(TablaObra[[#This Row],[Equipo]],Catalogos!I$4:J$34,2,FALSE)</f>
        <v>#N/A</v>
      </c>
      <c r="F223" s="3"/>
      <c r="G223" s="4"/>
      <c r="H223" s="4">
        <f t="shared" si="3"/>
        <v>0</v>
      </c>
    </row>
    <row r="224" spans="1:8">
      <c r="A224" s="2"/>
      <c r="E224" t="e">
        <f>VLOOKUP(TablaObra[[#This Row],[Equipo]],Catalogos!I$4:J$34,2,FALSE)</f>
        <v>#N/A</v>
      </c>
      <c r="F224" s="3"/>
      <c r="G224" s="4"/>
      <c r="H224" s="4">
        <f t="shared" si="3"/>
        <v>0</v>
      </c>
    </row>
    <row r="225" spans="1:8">
      <c r="A225" s="2"/>
      <c r="E225" t="e">
        <f>VLOOKUP(TablaObra[[#This Row],[Equipo]],Catalogos!I$4:J$34,2,FALSE)</f>
        <v>#N/A</v>
      </c>
      <c r="F225" s="3"/>
      <c r="G225" s="4"/>
      <c r="H225" s="4">
        <f t="shared" si="3"/>
        <v>0</v>
      </c>
    </row>
    <row r="226" spans="1:8">
      <c r="A226" s="2"/>
      <c r="E226" t="e">
        <f>VLOOKUP(TablaObra[[#This Row],[Equipo]],Catalogos!I$4:J$34,2,FALSE)</f>
        <v>#N/A</v>
      </c>
      <c r="F226" s="3"/>
      <c r="G226" s="4"/>
      <c r="H226" s="4">
        <f t="shared" si="3"/>
        <v>0</v>
      </c>
    </row>
    <row r="227" spans="1:8">
      <c r="A227" s="2"/>
      <c r="E227" t="e">
        <f>VLOOKUP(TablaObra[[#This Row],[Equipo]],Catalogos!I$4:J$34,2,FALSE)</f>
        <v>#N/A</v>
      </c>
      <c r="F227" s="3"/>
      <c r="G227" s="4"/>
      <c r="H227" s="4">
        <f t="shared" si="3"/>
        <v>0</v>
      </c>
    </row>
    <row r="228" spans="1:8">
      <c r="A228" s="2"/>
      <c r="E228" t="e">
        <f>VLOOKUP(TablaObra[[#This Row],[Equipo]],Catalogos!I$4:J$34,2,FALSE)</f>
        <v>#N/A</v>
      </c>
      <c r="F228" s="3"/>
      <c r="G228" s="4"/>
      <c r="H228" s="4">
        <f t="shared" si="3"/>
        <v>0</v>
      </c>
    </row>
    <row r="229" spans="1:8">
      <c r="A229" s="2"/>
      <c r="E229" t="e">
        <f>VLOOKUP(TablaObra[[#This Row],[Equipo]],Catalogos!I$4:J$34,2,FALSE)</f>
        <v>#N/A</v>
      </c>
      <c r="F229" s="3"/>
      <c r="G229" s="4"/>
      <c r="H229" s="4">
        <f t="shared" si="3"/>
        <v>0</v>
      </c>
    </row>
    <row r="230" spans="1:8">
      <c r="A230" s="2"/>
      <c r="E230" t="e">
        <f>VLOOKUP(TablaObra[[#This Row],[Equipo]],Catalogos!I$4:J$34,2,FALSE)</f>
        <v>#N/A</v>
      </c>
      <c r="F230" s="3"/>
      <c r="G230" s="4"/>
      <c r="H230" s="4">
        <f t="shared" si="3"/>
        <v>0</v>
      </c>
    </row>
    <row r="231" spans="1:8">
      <c r="A231" s="2"/>
      <c r="E231" t="e">
        <f>VLOOKUP(TablaObra[[#This Row],[Equipo]],Catalogos!I$4:J$34,2,FALSE)</f>
        <v>#N/A</v>
      </c>
      <c r="F231" s="3"/>
      <c r="G231" s="4"/>
      <c r="H231" s="4">
        <f t="shared" si="3"/>
        <v>0</v>
      </c>
    </row>
    <row r="232" spans="1:8">
      <c r="A232" s="2"/>
      <c r="E232" t="e">
        <f>VLOOKUP(TablaObra[[#This Row],[Equipo]],Catalogos!I$4:J$34,2,FALSE)</f>
        <v>#N/A</v>
      </c>
      <c r="F232" s="3"/>
      <c r="G232" s="4"/>
      <c r="H232" s="4">
        <f t="shared" si="3"/>
        <v>0</v>
      </c>
    </row>
    <row r="233" spans="1:8">
      <c r="A233" s="2"/>
      <c r="E233" t="e">
        <f>VLOOKUP(TablaObra[[#This Row],[Equipo]],Catalogos!I$4:J$34,2,FALSE)</f>
        <v>#N/A</v>
      </c>
      <c r="F233" s="3"/>
      <c r="G233" s="4"/>
      <c r="H233" s="4">
        <f t="shared" si="3"/>
        <v>0</v>
      </c>
    </row>
    <row r="234" spans="1:8">
      <c r="A234" s="2"/>
      <c r="E234" t="e">
        <f>VLOOKUP(TablaObra[[#This Row],[Equipo]],Catalogos!I$4:J$34,2,FALSE)</f>
        <v>#N/A</v>
      </c>
      <c r="F234" s="3"/>
      <c r="G234" s="4"/>
      <c r="H234" s="4">
        <f t="shared" si="3"/>
        <v>0</v>
      </c>
    </row>
    <row r="235" spans="1:8">
      <c r="A235" s="2"/>
      <c r="E235" t="e">
        <f>VLOOKUP(TablaObra[[#This Row],[Equipo]],Catalogos!I$4:J$34,2,FALSE)</f>
        <v>#N/A</v>
      </c>
      <c r="F235" s="3"/>
      <c r="G235" s="4"/>
      <c r="H235" s="4">
        <f t="shared" si="3"/>
        <v>0</v>
      </c>
    </row>
    <row r="236" spans="1:8">
      <c r="A236" s="2"/>
      <c r="E236" t="e">
        <f>VLOOKUP(TablaObra[[#This Row],[Equipo]],Catalogos!I$4:J$34,2,FALSE)</f>
        <v>#N/A</v>
      </c>
      <c r="F236" s="3"/>
      <c r="G236" s="4"/>
      <c r="H236" s="4">
        <f t="shared" si="3"/>
        <v>0</v>
      </c>
    </row>
    <row r="237" spans="1:8">
      <c r="A237" s="2"/>
      <c r="E237" t="e">
        <f>VLOOKUP(TablaObra[[#This Row],[Equipo]],Catalogos!I$4:J$34,2,FALSE)</f>
        <v>#N/A</v>
      </c>
      <c r="F237" s="3"/>
      <c r="G237" s="4"/>
      <c r="H237" s="4">
        <f t="shared" si="3"/>
        <v>0</v>
      </c>
    </row>
    <row r="238" spans="1:8">
      <c r="A238" s="2"/>
      <c r="E238" t="e">
        <f>VLOOKUP(TablaObra[[#This Row],[Equipo]],Catalogos!I$4:J$34,2,FALSE)</f>
        <v>#N/A</v>
      </c>
      <c r="F238" s="3"/>
      <c r="G238" s="4"/>
      <c r="H238" s="4">
        <f t="shared" si="3"/>
        <v>0</v>
      </c>
    </row>
    <row r="239" spans="1:8">
      <c r="A239" s="2"/>
      <c r="E239" t="e">
        <f>VLOOKUP(TablaObra[[#This Row],[Equipo]],Catalogos!I$4:J$34,2,FALSE)</f>
        <v>#N/A</v>
      </c>
      <c r="F239" s="3"/>
      <c r="G239" s="4"/>
      <c r="H239" s="4">
        <f t="shared" si="3"/>
        <v>0</v>
      </c>
    </row>
    <row r="240" spans="1:8">
      <c r="A240" s="2"/>
      <c r="E240" t="e">
        <f>VLOOKUP(TablaObra[[#This Row],[Equipo]],Catalogos!I$4:J$34,2,FALSE)</f>
        <v>#N/A</v>
      </c>
      <c r="F240" s="3"/>
      <c r="G240" s="4"/>
      <c r="H240" s="4">
        <f t="shared" si="3"/>
        <v>0</v>
      </c>
    </row>
    <row r="241" spans="1:8">
      <c r="A241" s="2"/>
      <c r="E241" t="e">
        <f>VLOOKUP(TablaObra[[#This Row],[Equipo]],Catalogos!I$4:J$34,2,FALSE)</f>
        <v>#N/A</v>
      </c>
      <c r="F241" s="3"/>
      <c r="G241" s="4"/>
      <c r="H241" s="4">
        <f t="shared" si="3"/>
        <v>0</v>
      </c>
    </row>
    <row r="242" spans="1:8">
      <c r="A242" s="2"/>
      <c r="E242" t="e">
        <f>VLOOKUP(TablaObra[[#This Row],[Equipo]],Catalogos!I$4:J$34,2,FALSE)</f>
        <v>#N/A</v>
      </c>
      <c r="F242" s="3"/>
      <c r="G242" s="4"/>
      <c r="H242" s="4">
        <f t="shared" si="3"/>
        <v>0</v>
      </c>
    </row>
    <row r="243" spans="1:8">
      <c r="A243" s="2"/>
      <c r="E243" t="e">
        <f>VLOOKUP(TablaObra[[#This Row],[Equipo]],Catalogos!I$4:J$34,2,FALSE)</f>
        <v>#N/A</v>
      </c>
      <c r="F243" s="3"/>
      <c r="G243" s="4"/>
      <c r="H243" s="4">
        <f t="shared" si="3"/>
        <v>0</v>
      </c>
    </row>
    <row r="244" spans="1:8">
      <c r="A244" s="2"/>
      <c r="E244" t="e">
        <f>VLOOKUP(TablaObra[[#This Row],[Equipo]],Catalogos!I$4:J$34,2,FALSE)</f>
        <v>#N/A</v>
      </c>
      <c r="F244" s="3"/>
      <c r="G244" s="4"/>
      <c r="H244" s="4">
        <f t="shared" si="3"/>
        <v>0</v>
      </c>
    </row>
    <row r="245" spans="1:8">
      <c r="A245" s="2"/>
      <c r="E245" t="e">
        <f>VLOOKUP(TablaObra[[#This Row],[Equipo]],Catalogos!I$4:J$34,2,FALSE)</f>
        <v>#N/A</v>
      </c>
      <c r="F245" s="3"/>
      <c r="G245" s="4"/>
      <c r="H245" s="4">
        <f t="shared" si="3"/>
        <v>0</v>
      </c>
    </row>
    <row r="246" spans="1:8">
      <c r="A246" s="2"/>
      <c r="E246" t="e">
        <f>VLOOKUP(TablaObra[[#This Row],[Equipo]],Catalogos!I$4:J$34,2,FALSE)</f>
        <v>#N/A</v>
      </c>
      <c r="F246" s="3"/>
      <c r="G246" s="4"/>
      <c r="H246" s="4">
        <f t="shared" si="3"/>
        <v>0</v>
      </c>
    </row>
    <row r="247" spans="1:8">
      <c r="A247" s="2"/>
      <c r="E247" t="e">
        <f>VLOOKUP(TablaObra[[#This Row],[Equipo]],Catalogos!I$4:J$34,2,FALSE)</f>
        <v>#N/A</v>
      </c>
      <c r="F247" s="3"/>
      <c r="G247" s="4"/>
      <c r="H247" s="4">
        <f t="shared" si="3"/>
        <v>0</v>
      </c>
    </row>
    <row r="248" spans="1:8">
      <c r="A248" s="2"/>
      <c r="E248" t="e">
        <f>VLOOKUP(TablaObra[[#This Row],[Equipo]],Catalogos!I$4:J$34,2,FALSE)</f>
        <v>#N/A</v>
      </c>
      <c r="F248" s="3"/>
      <c r="G248" s="4"/>
      <c r="H248" s="4">
        <f t="shared" si="3"/>
        <v>0</v>
      </c>
    </row>
    <row r="249" spans="1:8">
      <c r="A249" s="2"/>
      <c r="E249" t="e">
        <f>VLOOKUP(TablaObra[[#This Row],[Equipo]],Catalogos!I$4:J$34,2,FALSE)</f>
        <v>#N/A</v>
      </c>
      <c r="F249" s="3"/>
      <c r="G249" s="4"/>
      <c r="H249" s="4">
        <f t="shared" si="3"/>
        <v>0</v>
      </c>
    </row>
    <row r="250" spans="1:8">
      <c r="A250" s="2"/>
      <c r="E250" t="e">
        <f>VLOOKUP(TablaObra[[#This Row],[Equipo]],Catalogos!I$4:J$34,2,FALSE)</f>
        <v>#N/A</v>
      </c>
      <c r="F250" s="3"/>
      <c r="G250" s="4"/>
      <c r="H250" s="4">
        <f t="shared" si="3"/>
        <v>0</v>
      </c>
    </row>
    <row r="251" spans="1:8">
      <c r="A251" s="2"/>
      <c r="E251" t="e">
        <f>VLOOKUP(TablaObra[[#This Row],[Equipo]],Catalogos!I$4:J$34,2,FALSE)</f>
        <v>#N/A</v>
      </c>
      <c r="F251" s="3"/>
      <c r="G251" s="4"/>
      <c r="H251" s="4">
        <f t="shared" si="3"/>
        <v>0</v>
      </c>
    </row>
    <row r="252" spans="1:8">
      <c r="A252" s="2"/>
      <c r="E252" t="e">
        <f>VLOOKUP(TablaObra[[#This Row],[Equipo]],Catalogos!I$4:J$34,2,FALSE)</f>
        <v>#N/A</v>
      </c>
      <c r="F252" s="3"/>
      <c r="G252" s="4"/>
      <c r="H252" s="4">
        <f t="shared" si="3"/>
        <v>0</v>
      </c>
    </row>
    <row r="253" spans="1:8">
      <c r="A253" s="2"/>
      <c r="E253" t="e">
        <f>VLOOKUP(TablaObra[[#This Row],[Equipo]],Catalogos!I$4:J$34,2,FALSE)</f>
        <v>#N/A</v>
      </c>
      <c r="F253" s="3"/>
      <c r="G253" s="4"/>
      <c r="H253" s="4">
        <f t="shared" si="3"/>
        <v>0</v>
      </c>
    </row>
    <row r="254" spans="1:8">
      <c r="A254" s="2"/>
      <c r="E254" t="e">
        <f>VLOOKUP(TablaObra[[#This Row],[Equipo]],Catalogos!I$4:J$34,2,FALSE)</f>
        <v>#N/A</v>
      </c>
      <c r="F254" s="3"/>
      <c r="G254" s="4"/>
      <c r="H254" s="4">
        <f t="shared" si="3"/>
        <v>0</v>
      </c>
    </row>
    <row r="255" spans="1:8">
      <c r="A255" s="2"/>
      <c r="E255" t="e">
        <f>VLOOKUP(TablaObra[[#This Row],[Equipo]],Catalogos!I$4:J$34,2,FALSE)</f>
        <v>#N/A</v>
      </c>
      <c r="F255" s="3"/>
      <c r="G255" s="4"/>
      <c r="H255" s="4">
        <f t="shared" si="3"/>
        <v>0</v>
      </c>
    </row>
    <row r="256" spans="1:8">
      <c r="A256" s="2"/>
      <c r="E256" t="e">
        <f>VLOOKUP(TablaObra[[#This Row],[Equipo]],Catalogos!I$4:J$34,2,FALSE)</f>
        <v>#N/A</v>
      </c>
      <c r="F256" s="3"/>
      <c r="G256" s="4"/>
      <c r="H256" s="4">
        <f t="shared" si="3"/>
        <v>0</v>
      </c>
    </row>
    <row r="257" spans="1:8">
      <c r="A257" s="2"/>
      <c r="E257" t="e">
        <f>VLOOKUP(TablaObra[[#This Row],[Equipo]],Catalogos!I$4:J$34,2,FALSE)</f>
        <v>#N/A</v>
      </c>
      <c r="F257" s="3"/>
      <c r="G257" s="4"/>
      <c r="H257" s="4">
        <f t="shared" si="3"/>
        <v>0</v>
      </c>
    </row>
    <row r="258" spans="1:8">
      <c r="A258" s="2"/>
      <c r="E258" t="e">
        <f>VLOOKUP(TablaObra[[#This Row],[Equipo]],Catalogos!I$4:J$34,2,FALSE)</f>
        <v>#N/A</v>
      </c>
      <c r="F258" s="3"/>
      <c r="G258" s="4"/>
      <c r="H258" s="4">
        <f t="shared" si="3"/>
        <v>0</v>
      </c>
    </row>
    <row r="259" spans="1:8">
      <c r="A259" s="2"/>
      <c r="E259" t="e">
        <f>VLOOKUP(TablaObra[[#This Row],[Equipo]],Catalogos!I$4:J$34,2,FALSE)</f>
        <v>#N/A</v>
      </c>
      <c r="F259" s="3"/>
      <c r="G259" s="4"/>
      <c r="H259" s="4">
        <f t="shared" si="3"/>
        <v>0</v>
      </c>
    </row>
    <row r="260" spans="1:8">
      <c r="A260" s="2"/>
      <c r="E260" t="e">
        <f>VLOOKUP(TablaObra[[#This Row],[Equipo]],Catalogos!I$4:J$34,2,FALSE)</f>
        <v>#N/A</v>
      </c>
      <c r="F260" s="3"/>
      <c r="G260" s="4"/>
      <c r="H260" s="4">
        <f t="shared" si="3"/>
        <v>0</v>
      </c>
    </row>
    <row r="261" spans="1:8">
      <c r="A261" s="2"/>
      <c r="E261" t="e">
        <f>VLOOKUP(TablaObra[[#This Row],[Equipo]],Catalogos!I$4:J$34,2,FALSE)</f>
        <v>#N/A</v>
      </c>
      <c r="F261" s="3"/>
      <c r="G261" s="4"/>
      <c r="H261" s="4">
        <f t="shared" ref="H261:H304" si="4">IFERROR(F261*G261,0)</f>
        <v>0</v>
      </c>
    </row>
    <row r="262" spans="1:8">
      <c r="A262" s="2"/>
      <c r="E262" t="e">
        <f>VLOOKUP(TablaObra[[#This Row],[Equipo]],Catalogos!I$4:J$34,2,FALSE)</f>
        <v>#N/A</v>
      </c>
      <c r="F262" s="3"/>
      <c r="G262" s="4"/>
      <c r="H262" s="4">
        <f t="shared" si="4"/>
        <v>0</v>
      </c>
    </row>
    <row r="263" spans="1:8">
      <c r="A263" s="2"/>
      <c r="E263" t="e">
        <f>VLOOKUP(TablaObra[[#This Row],[Equipo]],Catalogos!I$4:J$34,2,FALSE)</f>
        <v>#N/A</v>
      </c>
      <c r="F263" s="3"/>
      <c r="G263" s="4"/>
      <c r="H263" s="4">
        <f t="shared" si="4"/>
        <v>0</v>
      </c>
    </row>
    <row r="264" spans="1:8">
      <c r="A264" s="2"/>
      <c r="E264" t="e">
        <f>VLOOKUP(TablaObra[[#This Row],[Equipo]],Catalogos!I$4:J$34,2,FALSE)</f>
        <v>#N/A</v>
      </c>
      <c r="F264" s="3"/>
      <c r="G264" s="4"/>
      <c r="H264" s="4">
        <f t="shared" si="4"/>
        <v>0</v>
      </c>
    </row>
    <row r="265" spans="1:8">
      <c r="A265" s="2"/>
      <c r="E265" t="e">
        <f>VLOOKUP(TablaObra[[#This Row],[Equipo]],Catalogos!I$4:J$34,2,FALSE)</f>
        <v>#N/A</v>
      </c>
      <c r="F265" s="3"/>
      <c r="G265" s="4"/>
      <c r="H265" s="4">
        <f t="shared" si="4"/>
        <v>0</v>
      </c>
    </row>
    <row r="266" spans="1:8">
      <c r="A266" s="2"/>
      <c r="E266" t="e">
        <f>VLOOKUP(TablaObra[[#This Row],[Equipo]],Catalogos!I$4:J$34,2,FALSE)</f>
        <v>#N/A</v>
      </c>
      <c r="F266" s="3"/>
      <c r="G266" s="4"/>
      <c r="H266" s="4">
        <f t="shared" si="4"/>
        <v>0</v>
      </c>
    </row>
    <row r="267" spans="1:8">
      <c r="A267" s="2"/>
      <c r="E267" t="e">
        <f>VLOOKUP(TablaObra[[#This Row],[Equipo]],Catalogos!I$4:J$34,2,FALSE)</f>
        <v>#N/A</v>
      </c>
      <c r="F267" s="3"/>
      <c r="G267" s="4"/>
      <c r="H267" s="4">
        <f t="shared" si="4"/>
        <v>0</v>
      </c>
    </row>
    <row r="268" spans="1:8">
      <c r="A268" s="2"/>
      <c r="E268" t="e">
        <f>VLOOKUP(TablaObra[[#This Row],[Equipo]],Catalogos!I$4:J$34,2,FALSE)</f>
        <v>#N/A</v>
      </c>
      <c r="F268" s="3"/>
      <c r="G268" s="4"/>
      <c r="H268" s="4">
        <f t="shared" si="4"/>
        <v>0</v>
      </c>
    </row>
    <row r="269" spans="1:8">
      <c r="A269" s="2"/>
      <c r="E269" t="e">
        <f>VLOOKUP(TablaObra[[#This Row],[Equipo]],Catalogos!I$4:J$34,2,FALSE)</f>
        <v>#N/A</v>
      </c>
      <c r="F269" s="3"/>
      <c r="G269" s="4"/>
      <c r="H269" s="4">
        <f t="shared" si="4"/>
        <v>0</v>
      </c>
    </row>
    <row r="270" spans="1:8">
      <c r="A270" s="2"/>
      <c r="E270" t="e">
        <f>VLOOKUP(TablaObra[[#This Row],[Equipo]],Catalogos!I$4:J$34,2,FALSE)</f>
        <v>#N/A</v>
      </c>
      <c r="F270" s="3"/>
      <c r="G270" s="4"/>
      <c r="H270" s="4">
        <f t="shared" si="4"/>
        <v>0</v>
      </c>
    </row>
    <row r="271" spans="1:8">
      <c r="A271" s="2"/>
      <c r="E271" t="e">
        <f>VLOOKUP(TablaObra[[#This Row],[Equipo]],Catalogos!I$4:J$34,2,FALSE)</f>
        <v>#N/A</v>
      </c>
      <c r="F271" s="3"/>
      <c r="G271" s="4"/>
      <c r="H271" s="4">
        <f t="shared" si="4"/>
        <v>0</v>
      </c>
    </row>
    <row r="272" spans="1:8">
      <c r="A272" s="2"/>
      <c r="E272" t="e">
        <f>VLOOKUP(TablaObra[[#This Row],[Equipo]],Catalogos!I$4:J$34,2,FALSE)</f>
        <v>#N/A</v>
      </c>
      <c r="F272" s="3"/>
      <c r="G272" s="4"/>
      <c r="H272" s="4">
        <f t="shared" si="4"/>
        <v>0</v>
      </c>
    </row>
    <row r="273" spans="1:8">
      <c r="A273" s="2"/>
      <c r="E273" t="e">
        <f>VLOOKUP(TablaObra[[#This Row],[Equipo]],Catalogos!I$4:J$34,2,FALSE)</f>
        <v>#N/A</v>
      </c>
      <c r="F273" s="3"/>
      <c r="G273" s="4"/>
      <c r="H273" s="4">
        <f t="shared" si="4"/>
        <v>0</v>
      </c>
    </row>
    <row r="274" spans="1:8">
      <c r="A274" s="2"/>
      <c r="E274" t="e">
        <f>VLOOKUP(TablaObra[[#This Row],[Equipo]],Catalogos!I$4:J$34,2,FALSE)</f>
        <v>#N/A</v>
      </c>
      <c r="F274" s="3"/>
      <c r="G274" s="4"/>
      <c r="H274" s="4">
        <f t="shared" si="4"/>
        <v>0</v>
      </c>
    </row>
    <row r="275" spans="1:8">
      <c r="A275" s="2"/>
      <c r="E275" t="e">
        <f>VLOOKUP(TablaObra[[#This Row],[Equipo]],Catalogos!I$4:J$34,2,FALSE)</f>
        <v>#N/A</v>
      </c>
      <c r="F275" s="3"/>
      <c r="G275" s="4"/>
      <c r="H275" s="4">
        <f t="shared" si="4"/>
        <v>0</v>
      </c>
    </row>
    <row r="276" spans="1:8">
      <c r="A276" s="2"/>
      <c r="E276" t="e">
        <f>VLOOKUP(TablaObra[[#This Row],[Equipo]],Catalogos!I$4:J$34,2,FALSE)</f>
        <v>#N/A</v>
      </c>
      <c r="F276" s="3"/>
      <c r="G276" s="4"/>
      <c r="H276" s="4">
        <f t="shared" si="4"/>
        <v>0</v>
      </c>
    </row>
    <row r="277" spans="1:8">
      <c r="A277" s="2"/>
      <c r="E277" t="e">
        <f>VLOOKUP(TablaObra[[#This Row],[Equipo]],Catalogos!I$4:J$34,2,FALSE)</f>
        <v>#N/A</v>
      </c>
      <c r="F277" s="3"/>
      <c r="G277" s="4"/>
      <c r="H277" s="4">
        <f t="shared" si="4"/>
        <v>0</v>
      </c>
    </row>
    <row r="278" spans="1:8">
      <c r="A278" s="2"/>
      <c r="E278" t="e">
        <f>VLOOKUP(TablaObra[[#This Row],[Equipo]],Catalogos!I$4:J$34,2,FALSE)</f>
        <v>#N/A</v>
      </c>
      <c r="F278" s="3"/>
      <c r="G278" s="4"/>
      <c r="H278" s="4">
        <f t="shared" si="4"/>
        <v>0</v>
      </c>
    </row>
    <row r="279" spans="1:8">
      <c r="A279" s="2"/>
      <c r="E279" t="e">
        <f>VLOOKUP(TablaObra[[#This Row],[Equipo]],Catalogos!I$4:J$34,2,FALSE)</f>
        <v>#N/A</v>
      </c>
      <c r="F279" s="3"/>
      <c r="G279" s="4"/>
      <c r="H279" s="4">
        <f t="shared" si="4"/>
        <v>0</v>
      </c>
    </row>
    <row r="280" spans="1:8">
      <c r="A280" s="2"/>
      <c r="E280" t="e">
        <f>VLOOKUP(TablaObra[[#This Row],[Equipo]],Catalogos!I$4:J$34,2,FALSE)</f>
        <v>#N/A</v>
      </c>
      <c r="F280" s="3"/>
      <c r="G280" s="4"/>
      <c r="H280" s="4">
        <f t="shared" si="4"/>
        <v>0</v>
      </c>
    </row>
    <row r="281" spans="1:8">
      <c r="A281" s="2"/>
      <c r="E281" t="e">
        <f>VLOOKUP(TablaObra[[#This Row],[Equipo]],Catalogos!I$4:J$34,2,FALSE)</f>
        <v>#N/A</v>
      </c>
      <c r="F281" s="3"/>
      <c r="G281" s="4"/>
      <c r="H281" s="4">
        <f t="shared" si="4"/>
        <v>0</v>
      </c>
    </row>
    <row r="282" spans="1:8">
      <c r="A282" s="2"/>
      <c r="E282" t="e">
        <f>VLOOKUP(TablaObra[[#This Row],[Equipo]],Catalogos!I$4:J$34,2,FALSE)</f>
        <v>#N/A</v>
      </c>
      <c r="F282" s="3"/>
      <c r="G282" s="4"/>
      <c r="H282" s="4">
        <f t="shared" si="4"/>
        <v>0</v>
      </c>
    </row>
    <row r="283" spans="1:8">
      <c r="A283" s="2"/>
      <c r="E283" t="e">
        <f>VLOOKUP(TablaObra[[#This Row],[Equipo]],Catalogos!I$4:J$34,2,FALSE)</f>
        <v>#N/A</v>
      </c>
      <c r="F283" s="3"/>
      <c r="G283" s="4"/>
      <c r="H283" s="4">
        <f t="shared" si="4"/>
        <v>0</v>
      </c>
    </row>
    <row r="284" spans="1:8">
      <c r="A284" s="2"/>
      <c r="E284" t="e">
        <f>VLOOKUP(TablaObra[[#This Row],[Equipo]],Catalogos!I$4:J$34,2,FALSE)</f>
        <v>#N/A</v>
      </c>
      <c r="F284" s="3"/>
      <c r="G284" s="4"/>
      <c r="H284" s="4">
        <f t="shared" si="4"/>
        <v>0</v>
      </c>
    </row>
    <row r="285" spans="1:8">
      <c r="A285" s="2"/>
      <c r="E285" t="e">
        <f>VLOOKUP(TablaObra[[#This Row],[Equipo]],Catalogos!I$4:J$34,2,FALSE)</f>
        <v>#N/A</v>
      </c>
      <c r="F285" s="3"/>
      <c r="G285" s="4"/>
      <c r="H285" s="4">
        <f t="shared" si="4"/>
        <v>0</v>
      </c>
    </row>
    <row r="286" spans="1:8">
      <c r="A286" s="2"/>
      <c r="E286" t="e">
        <f>VLOOKUP(TablaObra[[#This Row],[Equipo]],Catalogos!I$4:J$34,2,FALSE)</f>
        <v>#N/A</v>
      </c>
      <c r="F286" s="3"/>
      <c r="G286" s="4"/>
      <c r="H286" s="4">
        <f t="shared" si="4"/>
        <v>0</v>
      </c>
    </row>
    <row r="287" spans="1:8">
      <c r="A287" s="2"/>
      <c r="E287" t="e">
        <f>VLOOKUP(TablaObra[[#This Row],[Equipo]],Catalogos!I$4:J$34,2,FALSE)</f>
        <v>#N/A</v>
      </c>
      <c r="F287" s="3"/>
      <c r="G287" s="4"/>
      <c r="H287" s="4">
        <f t="shared" si="4"/>
        <v>0</v>
      </c>
    </row>
    <row r="288" spans="1:8">
      <c r="A288" s="2"/>
      <c r="E288" t="e">
        <f>VLOOKUP(TablaObra[[#This Row],[Equipo]],Catalogos!I$4:J$34,2,FALSE)</f>
        <v>#N/A</v>
      </c>
      <c r="F288" s="3"/>
      <c r="G288" s="4"/>
      <c r="H288" s="4">
        <f t="shared" si="4"/>
        <v>0</v>
      </c>
    </row>
    <row r="289" spans="1:8">
      <c r="A289" s="2"/>
      <c r="E289" t="e">
        <f>VLOOKUP(TablaObra[[#This Row],[Equipo]],Catalogos!I$4:J$34,2,FALSE)</f>
        <v>#N/A</v>
      </c>
      <c r="F289" s="3"/>
      <c r="G289" s="4"/>
      <c r="H289" s="4">
        <f t="shared" si="4"/>
        <v>0</v>
      </c>
    </row>
    <row r="290" spans="1:8">
      <c r="A290" s="2"/>
      <c r="E290" t="e">
        <f>VLOOKUP(TablaObra[[#This Row],[Equipo]],Catalogos!I$4:J$34,2,FALSE)</f>
        <v>#N/A</v>
      </c>
      <c r="F290" s="3"/>
      <c r="G290" s="4"/>
      <c r="H290" s="4">
        <f t="shared" si="4"/>
        <v>0</v>
      </c>
    </row>
    <row r="291" spans="1:8">
      <c r="A291" s="2"/>
      <c r="E291" t="e">
        <f>VLOOKUP(TablaObra[[#This Row],[Equipo]],Catalogos!I$4:J$34,2,FALSE)</f>
        <v>#N/A</v>
      </c>
      <c r="F291" s="3"/>
      <c r="G291" s="4"/>
      <c r="H291" s="4">
        <f t="shared" si="4"/>
        <v>0</v>
      </c>
    </row>
    <row r="292" spans="1:8">
      <c r="A292" s="2"/>
      <c r="E292" t="e">
        <f>VLOOKUP(TablaObra[[#This Row],[Equipo]],Catalogos!I$4:J$34,2,FALSE)</f>
        <v>#N/A</v>
      </c>
      <c r="F292" s="3"/>
      <c r="G292" s="4"/>
      <c r="H292" s="4">
        <f t="shared" si="4"/>
        <v>0</v>
      </c>
    </row>
    <row r="293" spans="1:8">
      <c r="A293" s="2"/>
      <c r="E293" t="e">
        <f>VLOOKUP(TablaObra[[#This Row],[Equipo]],Catalogos!I$4:J$34,2,FALSE)</f>
        <v>#N/A</v>
      </c>
      <c r="F293" s="3"/>
      <c r="G293" s="4"/>
      <c r="H293" s="4">
        <f t="shared" si="4"/>
        <v>0</v>
      </c>
    </row>
    <row r="294" spans="1:8">
      <c r="A294" s="2"/>
      <c r="E294" t="e">
        <f>VLOOKUP(TablaObra[[#This Row],[Equipo]],Catalogos!I$4:J$34,2,FALSE)</f>
        <v>#N/A</v>
      </c>
      <c r="F294" s="3"/>
      <c r="G294" s="4"/>
      <c r="H294" s="4">
        <f t="shared" si="4"/>
        <v>0</v>
      </c>
    </row>
    <row r="295" spans="1:8">
      <c r="A295" s="2"/>
      <c r="E295" t="e">
        <f>VLOOKUP(TablaObra[[#This Row],[Equipo]],Catalogos!I$4:J$34,2,FALSE)</f>
        <v>#N/A</v>
      </c>
      <c r="F295" s="3"/>
      <c r="G295" s="4"/>
      <c r="H295" s="4">
        <f t="shared" si="4"/>
        <v>0</v>
      </c>
    </row>
    <row r="296" spans="1:8">
      <c r="A296" s="2"/>
      <c r="E296" t="e">
        <f>VLOOKUP(TablaObra[[#This Row],[Equipo]],Catalogos!I$4:J$34,2,FALSE)</f>
        <v>#N/A</v>
      </c>
      <c r="F296" s="3"/>
      <c r="G296" s="4"/>
      <c r="H296" s="4">
        <f t="shared" si="4"/>
        <v>0</v>
      </c>
    </row>
    <row r="297" spans="1:8">
      <c r="A297" s="2"/>
      <c r="E297" t="e">
        <f>VLOOKUP(TablaObra[[#This Row],[Equipo]],Catalogos!I$4:J$34,2,FALSE)</f>
        <v>#N/A</v>
      </c>
      <c r="F297" s="3"/>
      <c r="G297" s="4"/>
      <c r="H297" s="4">
        <f t="shared" si="4"/>
        <v>0</v>
      </c>
    </row>
    <row r="298" spans="1:8">
      <c r="A298" s="2"/>
      <c r="E298" t="e">
        <f>VLOOKUP(TablaObra[[#This Row],[Equipo]],Catalogos!I$4:J$34,2,FALSE)</f>
        <v>#N/A</v>
      </c>
      <c r="F298" s="3"/>
      <c r="G298" s="4"/>
      <c r="H298" s="4">
        <f t="shared" si="4"/>
        <v>0</v>
      </c>
    </row>
    <row r="299" spans="1:8">
      <c r="A299" s="2"/>
      <c r="E299" t="e">
        <f>VLOOKUP(TablaObra[[#This Row],[Equipo]],Catalogos!I$4:J$34,2,FALSE)</f>
        <v>#N/A</v>
      </c>
      <c r="F299" s="3"/>
      <c r="G299" s="4"/>
      <c r="H299" s="4">
        <f t="shared" si="4"/>
        <v>0</v>
      </c>
    </row>
    <row r="300" spans="1:8">
      <c r="A300" s="2"/>
      <c r="E300" t="e">
        <f>VLOOKUP(TablaObra[[#This Row],[Equipo]],Catalogos!I$4:J$34,2,FALSE)</f>
        <v>#N/A</v>
      </c>
      <c r="F300" s="3"/>
      <c r="G300" s="4"/>
      <c r="H300" s="4">
        <f t="shared" si="4"/>
        <v>0</v>
      </c>
    </row>
    <row r="301" spans="1:8">
      <c r="A301" s="2"/>
      <c r="E301" t="e">
        <f>VLOOKUP(TablaObra[[#This Row],[Equipo]],Catalogos!I$4:J$34,2,FALSE)</f>
        <v>#N/A</v>
      </c>
      <c r="F301" s="3"/>
      <c r="G301" s="4"/>
      <c r="H301" s="4">
        <f t="shared" si="4"/>
        <v>0</v>
      </c>
    </row>
    <row r="302" spans="1:8">
      <c r="A302" s="2"/>
      <c r="E302" t="e">
        <f>VLOOKUP(TablaObra[[#This Row],[Equipo]],Catalogos!I$4:J$34,2,FALSE)</f>
        <v>#N/A</v>
      </c>
      <c r="F302" s="3"/>
      <c r="G302" s="4"/>
      <c r="H302" s="4">
        <f t="shared" si="4"/>
        <v>0</v>
      </c>
    </row>
    <row r="303" spans="1:8">
      <c r="A303" s="2"/>
      <c r="E303" t="e">
        <f>VLOOKUP(TablaObra[[#This Row],[Equipo]],Catalogos!I$4:J$34,2,FALSE)</f>
        <v>#N/A</v>
      </c>
      <c r="F303" s="3"/>
      <c r="G303" s="4"/>
      <c r="H303" s="4">
        <f t="shared" si="4"/>
        <v>0</v>
      </c>
    </row>
    <row r="304" spans="1:8">
      <c r="A304" s="2"/>
      <c r="E304" t="e">
        <f>VLOOKUP(TablaObra[[#This Row],[Equipo]],Catalogos!I$4:J$34,2,FALSE)</f>
        <v>#N/A</v>
      </c>
      <c r="F304" s="3"/>
      <c r="G304" s="4"/>
      <c r="H304" s="4">
        <f t="shared" si="4"/>
        <v>0</v>
      </c>
    </row>
  </sheetData>
  <mergeCells count="1">
    <mergeCell ref="A1:K1"/>
  </mergeCells>
  <phoneticPr fontId="4" type="noConversion"/>
  <dataValidations count="2">
    <dataValidation type="list" sqref="C5:C304" xr:uid="{00000000-0002-0000-0300-000001000000}">
      <formula1>"Marimba M-01,Pegaso Directo,Otro"</formula1>
    </dataValidation>
    <dataValidation type="list" sqref="J5:J304" xr:uid="{00000000-0002-0000-0300-000003000000}">
      <formula1>"Sin incidencia,Fuga,Reparación,Equipo parado,Consumo extraordinario,Otro"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300-000000000000}">
          <x14:formula1>
            <xm:f>Catalogos!$B$4:$B$7</xm:f>
          </x14:formula1>
          <xm:sqref>B5:B16 B20:B30 B34:B36 B53:B304 B38:B43</xm:sqref>
        </x14:dataValidation>
        <x14:dataValidation type="list" xr:uid="{00000000-0002-0000-0300-000002000000}">
          <x14:formula1>
            <xm:f>Catalogos!$J$4:$J$18</xm:f>
          </x14:formula1>
          <xm:sqref>E5:E304</xm:sqref>
        </x14:dataValidation>
        <x14:dataValidation type="list" allowBlank="1" showInputMessage="1" showErrorMessage="1" xr:uid="{0213A8B7-428E-4AE7-8F37-5C74E56EF22F}">
          <x14:formula1>
            <xm:f>Catalogos!$I$4:$I$34</xm:f>
          </x14:formula1>
          <xm:sqref>D5:D16 D20:D30 D34:D36 D38:D43 D53:D64</xm:sqref>
        </x14:dataValidation>
        <x14:dataValidation type="list" allowBlank="1" showInputMessage="1" showErrorMessage="1" xr:uid="{2900498E-9E6E-4E60-8E33-7E6D2B9F4253}">
          <x14:formula1>
            <xm:f>Catalogos!$B$4:$B$10</xm:f>
          </x14:formula1>
          <xm:sqref>B17:B19 B31:B33 B37 B44:B52</xm:sqref>
        </x14:dataValidation>
        <x14:dataValidation type="list" xr:uid="{BB7DC188-A8F4-4AD4-83EB-ADE54C2DEA41}">
          <x14:formula1>
            <xm:f>Catalogos!$I$4:$I$34</xm:f>
          </x14:formula1>
          <xm:sqref>D17:D19 D31:D33 D37 D44:D52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6"/>
  <sheetViews>
    <sheetView workbookViewId="0">
      <selection activeCell="F13" sqref="F13"/>
    </sheetView>
  </sheetViews>
  <sheetFormatPr baseColWidth="10" defaultColWidth="8.796875" defaultRowHeight="13.8"/>
  <cols>
    <col min="1" max="1" width="32" customWidth="1"/>
    <col min="2" max="3" width="18" customWidth="1"/>
    <col min="4" max="4" width="14" customWidth="1"/>
    <col min="5" max="8" width="16" customWidth="1"/>
  </cols>
  <sheetData>
    <row r="1" spans="1:8" ht="22.35" customHeight="1">
      <c r="A1" s="17" t="s">
        <v>55</v>
      </c>
      <c r="B1" s="18"/>
      <c r="C1" s="18"/>
      <c r="D1" s="18"/>
      <c r="E1" s="18"/>
      <c r="F1" s="18"/>
      <c r="G1" s="18"/>
      <c r="H1" s="18"/>
    </row>
    <row r="3" spans="1:8">
      <c r="A3" s="1" t="s">
        <v>56</v>
      </c>
      <c r="B3" s="1" t="s">
        <v>2</v>
      </c>
    </row>
    <row r="4" spans="1:8">
      <c r="A4" t="s">
        <v>57</v>
      </c>
      <c r="B4" s="3">
        <f>SUM(Captura_Pegaso!G5:G206)</f>
        <v>2800</v>
      </c>
    </row>
    <row r="5" spans="1:8">
      <c r="A5" t="s">
        <v>58</v>
      </c>
      <c r="B5" s="3">
        <f>SUMIF(Captura_Pegaso!B5:B206,"Salida a Marimba",Captura_Pegaso!H5:H206)</f>
        <v>0</v>
      </c>
    </row>
    <row r="6" spans="1:8">
      <c r="A6" t="s">
        <v>59</v>
      </c>
      <c r="B6" s="3">
        <f>SUMIF(Captura_Pegaso!B5:B206,"Salida Directa Máquina",Captura_Pegaso!H5:H206)</f>
        <v>1772</v>
      </c>
    </row>
    <row r="7" spans="1:8">
      <c r="A7" t="s">
        <v>60</v>
      </c>
      <c r="B7" s="3">
        <f>SUMIF(Captura_Marimba_M01!B5:B204,"Entrada desde Pegaso",Captura_Marimba_M01!F5:F204)</f>
        <v>0</v>
      </c>
    </row>
    <row r="8" spans="1:8">
      <c r="A8" t="s">
        <v>61</v>
      </c>
      <c r="B8" s="3">
        <f>SUMIF(Captura_Marimba_M01!B5:B204,"Salida a Obra",Captura_Marimba_M01!G5:G204)</f>
        <v>3075</v>
      </c>
      <c r="C8" s="3"/>
    </row>
    <row r="9" spans="1:8">
      <c r="A9" t="s">
        <v>62</v>
      </c>
      <c r="B9" s="3">
        <f>SUM(Captura_Obra!F5:F304)</f>
        <v>4697</v>
      </c>
    </row>
    <row r="10" spans="1:8">
      <c r="A10" t="s">
        <v>63</v>
      </c>
      <c r="B10" s="3">
        <f>B5-B7</f>
        <v>0</v>
      </c>
    </row>
    <row r="11" spans="1:8">
      <c r="A11" t="s">
        <v>64</v>
      </c>
      <c r="B11" s="3">
        <f>B8-(B9-B6)</f>
        <v>150</v>
      </c>
    </row>
    <row r="12" spans="1:8">
      <c r="A12" t="s">
        <v>65</v>
      </c>
      <c r="B12" s="3">
        <f>B10+B11</f>
        <v>150</v>
      </c>
    </row>
    <row r="13" spans="1:8">
      <c r="B13" s="3"/>
    </row>
    <row r="14" spans="1:8">
      <c r="A14" s="1" t="s">
        <v>3</v>
      </c>
      <c r="B14" s="5" t="s">
        <v>52</v>
      </c>
      <c r="C14" s="1" t="s">
        <v>4</v>
      </c>
      <c r="D14" s="1" t="s">
        <v>66</v>
      </c>
    </row>
    <row r="15" spans="1:8">
      <c r="A15" t="s">
        <v>6</v>
      </c>
      <c r="B15" s="3">
        <f>SUMIF(Captura_Obra!B:B,A15,Captura_Obra!F:F)</f>
        <v>1285</v>
      </c>
      <c r="C15" s="4">
        <f>SUMIF(Captura_Obra!B:B,A15,Captura_Obra!H:H)</f>
        <v>36365.5</v>
      </c>
      <c r="D15" s="6">
        <f>IFERROR(B15/$B$21,0)</f>
        <v>0.2735788801362572</v>
      </c>
    </row>
    <row r="16" spans="1:8">
      <c r="A16" t="s">
        <v>8</v>
      </c>
      <c r="B16" s="3">
        <f>SUMIF(Captura_Obra!B:B,A16,Captura_Obra!F:F)</f>
        <v>872</v>
      </c>
      <c r="C16" s="4">
        <f>SUMIF(Captura_Obra!B:B,A16,Captura_Obra!H:H)</f>
        <v>24677.599999999999</v>
      </c>
      <c r="D16" s="6">
        <f>IFERROR(B16/$B$21,0)</f>
        <v>0.18565041515861189</v>
      </c>
    </row>
    <row r="17" spans="1:8">
      <c r="A17" t="s">
        <v>10</v>
      </c>
      <c r="B17" s="3">
        <f>SUMIF(Captura_Obra!B:B,A17,Captura_Obra!F:F)</f>
        <v>1693</v>
      </c>
      <c r="C17" s="4">
        <f>SUMIF(Captura_Obra!B:B,A17,Captura_Obra!H:H)</f>
        <v>47911.9</v>
      </c>
      <c r="D17" s="6">
        <f>IFERROR(B17/$B$21,0)</f>
        <v>0.36044283585267189</v>
      </c>
    </row>
    <row r="18" spans="1:8">
      <c r="A18" t="s">
        <v>210</v>
      </c>
      <c r="B18" s="3">
        <f>SUMIF(Captura_Obra!B:B,A18,Captura_Obra!F:F)</f>
        <v>200</v>
      </c>
      <c r="C18" s="4">
        <f>SUMIF(Captura_Obra!B:B,A18,Captura_Obra!H:H)</f>
        <v>5660</v>
      </c>
      <c r="D18" s="6">
        <f t="shared" ref="D18:D20" si="0">IFERROR(B18/$B$21,0)</f>
        <v>4.2580370449222908E-2</v>
      </c>
    </row>
    <row r="19" spans="1:8">
      <c r="A19" t="s">
        <v>214</v>
      </c>
      <c r="B19" s="3">
        <f>SUMIF(Captura_Obra!B:B,A19,Captura_Obra!F:F)</f>
        <v>647</v>
      </c>
      <c r="C19" s="4">
        <f>SUMIF(Captura_Obra!B:B,A19,Captura_Obra!H:H)</f>
        <v>18310.100000000002</v>
      </c>
      <c r="D19" s="6">
        <f t="shared" si="0"/>
        <v>0.13774749840323611</v>
      </c>
    </row>
    <row r="20" spans="1:8">
      <c r="A20" s="9" t="s">
        <v>224</v>
      </c>
      <c r="B20" s="3">
        <f>SUMIF(Captura_Obra!B:B,A20,Captura_Obra!F:F)</f>
        <v>0</v>
      </c>
      <c r="C20" s="4">
        <f>SUMIF(Captura_Obra!B:B,A20,Captura_Obra!H:H)</f>
        <v>0</v>
      </c>
      <c r="D20" s="6">
        <f t="shared" si="0"/>
        <v>0</v>
      </c>
    </row>
    <row r="21" spans="1:8">
      <c r="A21" t="s">
        <v>12</v>
      </c>
      <c r="B21" s="3">
        <f>SUM(B15:B20)</f>
        <v>4697</v>
      </c>
      <c r="C21" s="4">
        <f>SUM(C15:C20)</f>
        <v>132925.1</v>
      </c>
      <c r="D21" s="6">
        <f>SUM(D15:D20)</f>
        <v>1</v>
      </c>
    </row>
    <row r="23" spans="1:8">
      <c r="A23" s="1" t="s">
        <v>67</v>
      </c>
      <c r="B23" s="1"/>
      <c r="C23" s="1"/>
      <c r="D23" s="1"/>
      <c r="E23" s="1"/>
      <c r="F23" s="1"/>
      <c r="G23" s="1"/>
      <c r="H23" s="1"/>
    </row>
    <row r="24" spans="1:8">
      <c r="A24" t="s">
        <v>68</v>
      </c>
      <c r="C24" t="s">
        <v>28</v>
      </c>
      <c r="E24" t="s">
        <v>69</v>
      </c>
      <c r="G24" t="s">
        <v>37</v>
      </c>
    </row>
    <row r="25" spans="1:8">
      <c r="E25" t="s">
        <v>70</v>
      </c>
    </row>
    <row r="26" spans="1:8">
      <c r="A26" t="s">
        <v>71</v>
      </c>
    </row>
  </sheetData>
  <mergeCells count="1">
    <mergeCell ref="A1:H1"/>
  </mergeCells>
  <conditionalFormatting sqref="B10:B12">
    <cfRule type="expression" dxfId="0" priority="1">
      <formula>B10&lt;&gt;0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4"/>
  <sheetViews>
    <sheetView workbookViewId="0">
      <selection activeCell="B8" sqref="B8:B10"/>
    </sheetView>
  </sheetViews>
  <sheetFormatPr baseColWidth="10" defaultColWidth="8.796875" defaultRowHeight="13.8"/>
  <cols>
    <col min="1" max="1" width="14" customWidth="1"/>
    <col min="2" max="3" width="24" customWidth="1"/>
    <col min="5" max="5" width="14" customWidth="1"/>
    <col min="6" max="6" width="28" customWidth="1"/>
    <col min="8" max="8" width="14" customWidth="1"/>
    <col min="9" max="9" width="22" customWidth="1"/>
    <col min="10" max="10" width="12.09765625" customWidth="1"/>
  </cols>
  <sheetData>
    <row r="1" spans="1:10" ht="22.35" customHeight="1">
      <c r="A1" s="17" t="s">
        <v>72</v>
      </c>
      <c r="B1" s="18"/>
      <c r="C1" s="18"/>
      <c r="D1" s="18"/>
      <c r="E1" s="18"/>
      <c r="F1" s="18"/>
      <c r="G1" s="18"/>
      <c r="H1" s="18"/>
      <c r="I1" s="18"/>
    </row>
    <row r="3" spans="1:10">
      <c r="A3" s="1" t="s">
        <v>73</v>
      </c>
      <c r="B3" s="1" t="s">
        <v>3</v>
      </c>
      <c r="C3" s="1" t="s">
        <v>204</v>
      </c>
      <c r="E3" s="1" t="s">
        <v>74</v>
      </c>
      <c r="F3" s="1" t="s">
        <v>75</v>
      </c>
      <c r="I3" s="1" t="s">
        <v>76</v>
      </c>
      <c r="J3" s="1" t="s">
        <v>46</v>
      </c>
    </row>
    <row r="4" spans="1:10">
      <c r="A4" t="s">
        <v>77</v>
      </c>
      <c r="B4" t="s">
        <v>6</v>
      </c>
      <c r="C4" t="s">
        <v>205</v>
      </c>
      <c r="E4" t="s">
        <v>78</v>
      </c>
      <c r="F4" t="s">
        <v>79</v>
      </c>
      <c r="I4" t="s">
        <v>81</v>
      </c>
      <c r="J4" t="s">
        <v>80</v>
      </c>
    </row>
    <row r="5" spans="1:10">
      <c r="A5" t="s">
        <v>82</v>
      </c>
      <c r="B5" t="s">
        <v>8</v>
      </c>
      <c r="C5" t="s">
        <v>206</v>
      </c>
      <c r="E5" t="s">
        <v>83</v>
      </c>
      <c r="F5" t="s">
        <v>84</v>
      </c>
      <c r="I5" t="s">
        <v>86</v>
      </c>
      <c r="J5" t="s">
        <v>85</v>
      </c>
    </row>
    <row r="6" spans="1:10">
      <c r="A6" t="s">
        <v>220</v>
      </c>
      <c r="B6" t="s">
        <v>213</v>
      </c>
      <c r="E6" t="s">
        <v>221</v>
      </c>
      <c r="F6" t="s">
        <v>214</v>
      </c>
      <c r="I6" t="s">
        <v>91</v>
      </c>
      <c r="J6" t="s">
        <v>90</v>
      </c>
    </row>
    <row r="7" spans="1:10">
      <c r="A7" t="s">
        <v>87</v>
      </c>
      <c r="B7" t="s">
        <v>10</v>
      </c>
      <c r="C7" t="s">
        <v>207</v>
      </c>
      <c r="E7" t="s">
        <v>88</v>
      </c>
      <c r="F7" t="s">
        <v>89</v>
      </c>
      <c r="I7" t="s">
        <v>95</v>
      </c>
      <c r="J7" t="s">
        <v>94</v>
      </c>
    </row>
    <row r="8" spans="1:10">
      <c r="A8" t="s">
        <v>219</v>
      </c>
      <c r="B8" t="s">
        <v>210</v>
      </c>
      <c r="C8" t="s">
        <v>223</v>
      </c>
      <c r="E8" t="s">
        <v>92</v>
      </c>
      <c r="F8" t="s">
        <v>93</v>
      </c>
      <c r="I8" t="s">
        <v>98</v>
      </c>
      <c r="J8" t="s">
        <v>97</v>
      </c>
    </row>
    <row r="9" spans="1:10">
      <c r="A9" t="s">
        <v>221</v>
      </c>
      <c r="B9" t="s">
        <v>214</v>
      </c>
      <c r="E9" t="s">
        <v>222</v>
      </c>
      <c r="F9" t="s">
        <v>215</v>
      </c>
      <c r="I9" t="s">
        <v>100</v>
      </c>
      <c r="J9" t="s">
        <v>99</v>
      </c>
    </row>
    <row r="10" spans="1:10">
      <c r="A10" s="9" t="s">
        <v>222</v>
      </c>
      <c r="B10" s="9" t="s">
        <v>224</v>
      </c>
      <c r="C10" s="8"/>
      <c r="E10" t="s">
        <v>216</v>
      </c>
      <c r="F10" t="s">
        <v>96</v>
      </c>
      <c r="I10" t="s">
        <v>102</v>
      </c>
      <c r="J10" t="s">
        <v>101</v>
      </c>
    </row>
    <row r="11" spans="1:10">
      <c r="I11" t="s">
        <v>104</v>
      </c>
      <c r="J11" t="s">
        <v>103</v>
      </c>
    </row>
    <row r="12" spans="1:10">
      <c r="I12" t="s">
        <v>171</v>
      </c>
      <c r="J12" t="s">
        <v>172</v>
      </c>
    </row>
    <row r="13" spans="1:10">
      <c r="I13" t="s">
        <v>173</v>
      </c>
      <c r="J13" t="s">
        <v>174</v>
      </c>
    </row>
    <row r="14" spans="1:10">
      <c r="I14" t="s">
        <v>175</v>
      </c>
      <c r="J14" t="s">
        <v>176</v>
      </c>
    </row>
    <row r="15" spans="1:10">
      <c r="I15" t="s">
        <v>177</v>
      </c>
      <c r="J15" t="s">
        <v>178</v>
      </c>
    </row>
    <row r="16" spans="1:10">
      <c r="I16" t="s">
        <v>179</v>
      </c>
      <c r="J16" t="s">
        <v>180</v>
      </c>
    </row>
    <row r="17" spans="9:10">
      <c r="I17" t="s">
        <v>106</v>
      </c>
      <c r="J17" t="s">
        <v>105</v>
      </c>
    </row>
    <row r="18" spans="9:10">
      <c r="I18" t="s">
        <v>160</v>
      </c>
      <c r="J18" t="s">
        <v>161</v>
      </c>
    </row>
    <row r="19" spans="9:10">
      <c r="I19" t="s">
        <v>164</v>
      </c>
      <c r="J19" t="s">
        <v>163</v>
      </c>
    </row>
    <row r="20" spans="9:10">
      <c r="I20" t="s">
        <v>165</v>
      </c>
      <c r="J20" t="s">
        <v>166</v>
      </c>
    </row>
    <row r="21" spans="9:10">
      <c r="I21" t="s">
        <v>181</v>
      </c>
      <c r="J21" t="s">
        <v>167</v>
      </c>
    </row>
    <row r="22" spans="9:10">
      <c r="I22" t="s">
        <v>182</v>
      </c>
      <c r="J22" t="s">
        <v>183</v>
      </c>
    </row>
    <row r="23" spans="9:10">
      <c r="I23" t="s">
        <v>184</v>
      </c>
      <c r="J23" t="s">
        <v>185</v>
      </c>
    </row>
    <row r="24" spans="9:10">
      <c r="I24" t="s">
        <v>186</v>
      </c>
      <c r="J24" t="s">
        <v>187</v>
      </c>
    </row>
    <row r="25" spans="9:10">
      <c r="I25" t="s">
        <v>188</v>
      </c>
      <c r="J25" t="s">
        <v>189</v>
      </c>
    </row>
    <row r="26" spans="9:10">
      <c r="I26" t="s">
        <v>190</v>
      </c>
      <c r="J26" t="s">
        <v>191</v>
      </c>
    </row>
    <row r="27" spans="9:10">
      <c r="I27" t="s">
        <v>192</v>
      </c>
      <c r="J27" t="s">
        <v>193</v>
      </c>
    </row>
    <row r="28" spans="9:10">
      <c r="I28" t="s">
        <v>194</v>
      </c>
      <c r="J28" t="s">
        <v>195</v>
      </c>
    </row>
    <row r="29" spans="9:10">
      <c r="I29" t="s">
        <v>198</v>
      </c>
      <c r="J29" t="s">
        <v>199</v>
      </c>
    </row>
    <row r="30" spans="9:10">
      <c r="I30" t="s">
        <v>196</v>
      </c>
      <c r="J30" t="s">
        <v>197</v>
      </c>
    </row>
    <row r="31" spans="9:10">
      <c r="I31" t="s">
        <v>200</v>
      </c>
      <c r="J31" t="s">
        <v>201</v>
      </c>
    </row>
    <row r="32" spans="9:10">
      <c r="I32" t="s">
        <v>211</v>
      </c>
      <c r="J32" t="s">
        <v>212</v>
      </c>
    </row>
    <row r="33" spans="9:10">
      <c r="I33" t="s">
        <v>217</v>
      </c>
      <c r="J33" t="s">
        <v>218</v>
      </c>
    </row>
    <row r="34" spans="9:10">
      <c r="I34" t="s">
        <v>96</v>
      </c>
      <c r="J34" t="s">
        <v>168</v>
      </c>
    </row>
  </sheetData>
  <mergeCells count="1">
    <mergeCell ref="A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5"/>
  <sheetViews>
    <sheetView workbookViewId="0">
      <selection activeCell="A16" sqref="A16:H16"/>
    </sheetView>
  </sheetViews>
  <sheetFormatPr baseColWidth="10" defaultColWidth="8.796875" defaultRowHeight="13.8"/>
  <cols>
    <col min="1" max="1" width="14" customWidth="1"/>
    <col min="2" max="2" width="18" customWidth="1"/>
    <col min="3" max="4" width="22" customWidth="1"/>
    <col min="5" max="7" width="18" customWidth="1"/>
    <col min="8" max="8" width="28" customWidth="1"/>
    <col min="9" max="9" width="12.796875" customWidth="1"/>
  </cols>
  <sheetData>
    <row r="1" spans="1:9" ht="22.35" customHeight="1">
      <c r="A1" s="17" t="s">
        <v>107</v>
      </c>
      <c r="B1" s="18"/>
      <c r="C1" s="18"/>
      <c r="D1" s="18"/>
      <c r="E1" s="18"/>
      <c r="F1" s="18"/>
      <c r="G1" s="18"/>
      <c r="H1" s="18"/>
    </row>
    <row r="3" spans="1:9" ht="41.4" customHeight="1">
      <c r="A3" s="19" t="s">
        <v>108</v>
      </c>
      <c r="B3" s="19"/>
      <c r="C3" s="19"/>
      <c r="D3" s="19"/>
      <c r="E3" s="19"/>
      <c r="F3" s="19"/>
      <c r="G3" s="19"/>
      <c r="H3" s="19"/>
    </row>
    <row r="4" spans="1:9">
      <c r="A4" s="7" t="s">
        <v>23</v>
      </c>
      <c r="B4" s="7" t="s">
        <v>22</v>
      </c>
      <c r="C4" s="7" t="s">
        <v>109</v>
      </c>
      <c r="D4" s="7" t="s">
        <v>110</v>
      </c>
      <c r="E4" s="7" t="s">
        <v>111</v>
      </c>
      <c r="F4" s="7" t="s">
        <v>112</v>
      </c>
      <c r="G4" s="7"/>
      <c r="H4" s="7"/>
    </row>
    <row r="5" spans="1:9">
      <c r="A5" s="7"/>
      <c r="B5" s="7"/>
      <c r="C5" s="7"/>
      <c r="D5" s="7"/>
      <c r="E5" s="7"/>
      <c r="F5" s="7"/>
      <c r="G5" s="7"/>
      <c r="H5" s="7"/>
    </row>
    <row r="6" spans="1:9" ht="27.6">
      <c r="A6" s="1" t="s">
        <v>28</v>
      </c>
      <c r="B6" s="1" t="s">
        <v>43</v>
      </c>
      <c r="C6" s="1" t="s">
        <v>30</v>
      </c>
      <c r="D6" s="1" t="s">
        <v>3</v>
      </c>
      <c r="E6" s="1" t="s">
        <v>31</v>
      </c>
      <c r="F6" s="1" t="s">
        <v>32</v>
      </c>
      <c r="G6" s="1" t="s">
        <v>33</v>
      </c>
      <c r="H6" s="1" t="s">
        <v>158</v>
      </c>
      <c r="I6" s="1" t="s">
        <v>157</v>
      </c>
    </row>
    <row r="7" spans="1:9">
      <c r="A7" s="7"/>
      <c r="B7" s="7"/>
      <c r="C7" s="7"/>
      <c r="D7" s="7"/>
      <c r="E7" s="7"/>
      <c r="F7" s="7"/>
      <c r="G7" s="7"/>
      <c r="H7" s="7"/>
    </row>
    <row r="8" spans="1:9">
      <c r="A8" s="7"/>
      <c r="B8" s="7"/>
      <c r="C8" s="7"/>
      <c r="D8" s="7"/>
      <c r="E8" s="7"/>
      <c r="F8" s="7"/>
      <c r="G8" s="7"/>
      <c r="H8" s="7"/>
    </row>
    <row r="9" spans="1:9">
      <c r="A9" s="7"/>
      <c r="B9" s="7"/>
      <c r="C9" s="7"/>
      <c r="D9" s="7"/>
      <c r="E9" s="7"/>
      <c r="F9" s="7"/>
      <c r="G9" s="7"/>
      <c r="H9" s="7"/>
    </row>
    <row r="10" spans="1:9">
      <c r="A10" s="7"/>
      <c r="B10" s="7"/>
      <c r="C10" s="7"/>
      <c r="D10" s="7"/>
      <c r="E10" s="7"/>
      <c r="F10" s="7"/>
      <c r="G10" s="7"/>
      <c r="H10" s="7"/>
    </row>
    <row r="11" spans="1:9">
      <c r="A11" s="7"/>
      <c r="B11" s="7"/>
      <c r="C11" s="7"/>
      <c r="D11" s="7"/>
      <c r="E11" s="7"/>
      <c r="F11" s="7"/>
      <c r="G11" s="7"/>
      <c r="H11" s="7"/>
    </row>
    <row r="12" spans="1:9">
      <c r="A12" s="7"/>
      <c r="B12" s="7"/>
      <c r="C12" s="7"/>
      <c r="D12" s="7"/>
      <c r="E12" s="7"/>
      <c r="F12" s="7"/>
      <c r="G12" s="7"/>
      <c r="H12" s="7"/>
    </row>
    <row r="13" spans="1:9">
      <c r="A13" s="7"/>
      <c r="B13" s="7"/>
      <c r="C13" s="7"/>
      <c r="D13" s="7"/>
      <c r="E13" s="7"/>
      <c r="F13" s="7"/>
      <c r="G13" s="7"/>
      <c r="H13" s="7"/>
    </row>
    <row r="14" spans="1:9">
      <c r="A14" s="7"/>
      <c r="B14" s="7"/>
      <c r="C14" s="7"/>
      <c r="D14" s="7"/>
      <c r="E14" s="7"/>
      <c r="F14" s="7"/>
      <c r="G14" s="7"/>
      <c r="H14" s="7"/>
    </row>
    <row r="15" spans="1:9">
      <c r="A15" s="7"/>
      <c r="B15" s="7"/>
      <c r="C15" s="7"/>
      <c r="D15" s="7"/>
      <c r="E15" s="7"/>
      <c r="F15" s="7"/>
      <c r="G15" s="7"/>
      <c r="H15" s="7"/>
    </row>
    <row r="16" spans="1:9" ht="55.2" customHeight="1">
      <c r="A16" s="19" t="s">
        <v>113</v>
      </c>
      <c r="B16" s="19"/>
      <c r="C16" s="19"/>
      <c r="D16" s="19"/>
      <c r="E16" s="19"/>
      <c r="F16" s="19"/>
      <c r="G16" s="19"/>
      <c r="H16" s="19"/>
    </row>
    <row r="17" spans="1:8">
      <c r="A17" s="7" t="s">
        <v>23</v>
      </c>
      <c r="B17" s="7" t="s">
        <v>39</v>
      </c>
      <c r="C17" s="7" t="s">
        <v>114</v>
      </c>
      <c r="D17" s="7" t="s">
        <v>115</v>
      </c>
      <c r="E17" s="7" t="s">
        <v>111</v>
      </c>
      <c r="F17" s="7" t="s">
        <v>112</v>
      </c>
      <c r="G17" s="7"/>
      <c r="H17" s="7"/>
    </row>
    <row r="18" spans="1:8">
      <c r="A18" s="7"/>
      <c r="B18" s="7"/>
      <c r="C18" s="7"/>
      <c r="D18" s="7"/>
      <c r="E18" s="7"/>
      <c r="F18" s="7"/>
      <c r="G18" s="7"/>
      <c r="H18" s="7"/>
    </row>
    <row r="19" spans="1:8">
      <c r="A19" s="1" t="s">
        <v>28</v>
      </c>
      <c r="B19" s="1" t="s">
        <v>43</v>
      </c>
      <c r="C19" s="1" t="s">
        <v>3</v>
      </c>
      <c r="D19" s="1" t="s">
        <v>45</v>
      </c>
      <c r="E19" s="1" t="s">
        <v>46</v>
      </c>
      <c r="F19" s="1" t="s">
        <v>32</v>
      </c>
      <c r="G19" s="1" t="s">
        <v>33</v>
      </c>
      <c r="H19" s="1" t="s">
        <v>37</v>
      </c>
    </row>
    <row r="20" spans="1:8">
      <c r="A20" s="7"/>
      <c r="B20" s="7"/>
      <c r="C20" s="7"/>
      <c r="D20" s="7"/>
      <c r="E20" s="7"/>
      <c r="F20" s="7"/>
      <c r="G20" s="7"/>
      <c r="H20" s="7"/>
    </row>
    <row r="21" spans="1:8">
      <c r="A21" s="7"/>
      <c r="B21" s="7"/>
      <c r="C21" s="7"/>
      <c r="D21" s="7"/>
      <c r="E21" s="7"/>
      <c r="F21" s="7"/>
      <c r="G21" s="7"/>
      <c r="H21" s="7"/>
    </row>
    <row r="22" spans="1:8">
      <c r="A22" s="7"/>
      <c r="B22" s="7"/>
      <c r="C22" s="7"/>
      <c r="D22" s="7"/>
      <c r="E22" s="7"/>
      <c r="F22" s="7"/>
      <c r="G22" s="7"/>
      <c r="H22" s="7"/>
    </row>
    <row r="23" spans="1:8">
      <c r="A23" s="7"/>
      <c r="B23" s="7"/>
      <c r="C23" s="7"/>
      <c r="D23" s="7"/>
      <c r="E23" s="7"/>
      <c r="F23" s="7"/>
      <c r="G23" s="7"/>
      <c r="H23" s="7"/>
    </row>
    <row r="24" spans="1:8">
      <c r="A24" s="7"/>
      <c r="B24" s="7"/>
      <c r="C24" s="7"/>
      <c r="D24" s="7"/>
      <c r="E24" s="7"/>
      <c r="F24" s="7"/>
      <c r="G24" s="7"/>
      <c r="H24" s="7"/>
    </row>
    <row r="25" spans="1:8">
      <c r="A25" s="7"/>
      <c r="B25" s="7"/>
      <c r="C25" s="7"/>
      <c r="D25" s="7"/>
      <c r="E25" s="7"/>
      <c r="F25" s="7"/>
      <c r="G25" s="7"/>
      <c r="H25" s="7"/>
    </row>
    <row r="26" spans="1:8">
      <c r="A26" s="7"/>
      <c r="B26" s="7"/>
      <c r="C26" s="7"/>
      <c r="D26" s="7"/>
      <c r="E26" s="7"/>
      <c r="F26" s="7"/>
      <c r="G26" s="7"/>
      <c r="H26" s="7"/>
    </row>
    <row r="27" spans="1:8">
      <c r="A27" s="7"/>
      <c r="B27" s="7"/>
      <c r="C27" s="7"/>
      <c r="D27" s="7"/>
      <c r="E27" s="7"/>
      <c r="F27" s="7"/>
      <c r="G27" s="7"/>
      <c r="H27" s="7"/>
    </row>
    <row r="28" spans="1:8">
      <c r="A28" s="7"/>
      <c r="B28" s="7"/>
      <c r="C28" s="7"/>
      <c r="D28" s="7"/>
      <c r="E28" s="7"/>
      <c r="F28" s="7"/>
      <c r="G28" s="7"/>
      <c r="H28" s="7"/>
    </row>
    <row r="29" spans="1:8" ht="41.4" customHeight="1">
      <c r="A29" s="19" t="s">
        <v>116</v>
      </c>
      <c r="B29" s="19"/>
      <c r="C29" s="19"/>
      <c r="D29" s="19"/>
      <c r="E29" s="19"/>
      <c r="F29" s="19"/>
      <c r="G29" s="19"/>
      <c r="H29" s="19"/>
    </row>
    <row r="30" spans="1:8">
      <c r="A30" s="7" t="s">
        <v>23</v>
      </c>
      <c r="B30" s="7" t="s">
        <v>50</v>
      </c>
      <c r="C30" s="7" t="s">
        <v>49</v>
      </c>
      <c r="D30" s="7" t="s">
        <v>111</v>
      </c>
      <c r="E30" s="7" t="s">
        <v>112</v>
      </c>
      <c r="F30" s="7"/>
      <c r="G30" s="7"/>
      <c r="H30" s="7"/>
    </row>
    <row r="31" spans="1:8">
      <c r="A31" s="7"/>
      <c r="B31" s="7"/>
      <c r="C31" s="7"/>
      <c r="D31" s="7"/>
      <c r="E31" s="7"/>
      <c r="F31" s="7"/>
      <c r="G31" s="7"/>
      <c r="H31" s="7"/>
    </row>
    <row r="32" spans="1:8">
      <c r="A32" s="1" t="s">
        <v>28</v>
      </c>
      <c r="B32" s="1" t="s">
        <v>51</v>
      </c>
      <c r="C32" s="1" t="s">
        <v>45</v>
      </c>
      <c r="D32" s="1" t="s">
        <v>46</v>
      </c>
      <c r="E32" s="1" t="s">
        <v>52</v>
      </c>
      <c r="F32" s="1" t="s">
        <v>117</v>
      </c>
      <c r="G32" s="1" t="s">
        <v>54</v>
      </c>
      <c r="H32" s="1" t="s">
        <v>37</v>
      </c>
    </row>
    <row r="33" spans="1:8">
      <c r="A33" s="7"/>
      <c r="B33" s="7"/>
      <c r="C33" s="7"/>
      <c r="D33" s="7"/>
      <c r="E33" s="7"/>
      <c r="F33" s="7"/>
      <c r="G33" s="7"/>
      <c r="H33" s="7"/>
    </row>
    <row r="34" spans="1:8">
      <c r="A34" s="7"/>
      <c r="B34" s="7"/>
      <c r="C34" s="7"/>
      <c r="D34" s="7"/>
      <c r="E34" s="7"/>
      <c r="F34" s="7"/>
      <c r="G34" s="7"/>
      <c r="H34" s="7"/>
    </row>
    <row r="35" spans="1:8">
      <c r="A35" s="7"/>
      <c r="B35" s="7"/>
      <c r="C35" s="7"/>
      <c r="D35" s="7"/>
      <c r="E35" s="7"/>
      <c r="F35" s="7"/>
      <c r="G35" s="7"/>
      <c r="H35" s="7"/>
    </row>
    <row r="36" spans="1:8">
      <c r="A36" s="7"/>
      <c r="B36" s="7"/>
      <c r="C36" s="7"/>
      <c r="D36" s="7"/>
      <c r="E36" s="7"/>
      <c r="F36" s="7"/>
      <c r="G36" s="7"/>
      <c r="H36" s="7"/>
    </row>
    <row r="37" spans="1:8">
      <c r="A37" s="7"/>
      <c r="B37" s="7"/>
      <c r="C37" s="7"/>
      <c r="D37" s="7"/>
      <c r="E37" s="7"/>
      <c r="F37" s="7"/>
      <c r="G37" s="7"/>
      <c r="H37" s="7"/>
    </row>
    <row r="38" spans="1:8">
      <c r="A38" s="7"/>
      <c r="B38" s="7"/>
      <c r="C38" s="7"/>
      <c r="D38" s="7"/>
      <c r="E38" s="7"/>
      <c r="F38" s="7"/>
      <c r="G38" s="7"/>
      <c r="H38" s="7"/>
    </row>
    <row r="39" spans="1:8">
      <c r="A39" s="7"/>
      <c r="B39" s="7"/>
      <c r="C39" s="7"/>
      <c r="D39" s="7"/>
      <c r="E39" s="7"/>
      <c r="F39" s="7"/>
      <c r="G39" s="7"/>
      <c r="H39" s="7"/>
    </row>
    <row r="40" spans="1:8">
      <c r="A40" s="7"/>
      <c r="B40" s="7"/>
      <c r="C40" s="7"/>
      <c r="D40" s="7"/>
      <c r="E40" s="7"/>
      <c r="F40" s="7"/>
      <c r="G40" s="7"/>
      <c r="H40" s="7"/>
    </row>
    <row r="41" spans="1:8">
      <c r="A41" s="7"/>
      <c r="B41" s="7"/>
      <c r="C41" s="7"/>
      <c r="D41" s="7"/>
      <c r="E41" s="7"/>
      <c r="F41" s="7"/>
      <c r="G41" s="7"/>
      <c r="H41" s="7"/>
    </row>
    <row r="42" spans="1:8">
      <c r="A42" s="7"/>
      <c r="B42" s="7"/>
      <c r="C42" s="7"/>
      <c r="D42" s="7"/>
      <c r="E42" s="7"/>
      <c r="F42" s="7"/>
      <c r="G42" s="7"/>
      <c r="H42" s="7"/>
    </row>
    <row r="43" spans="1:8">
      <c r="A43" s="7"/>
      <c r="B43" s="7"/>
      <c r="C43" s="7"/>
      <c r="D43" s="7"/>
      <c r="E43" s="7"/>
      <c r="F43" s="7"/>
      <c r="G43" s="7"/>
      <c r="H43" s="7"/>
    </row>
    <row r="44" spans="1:8">
      <c r="A44" s="7"/>
      <c r="B44" s="7"/>
      <c r="C44" s="7"/>
      <c r="D44" s="7"/>
      <c r="E44" s="7"/>
      <c r="F44" s="7"/>
      <c r="G44" s="7"/>
      <c r="H44" s="7"/>
    </row>
    <row r="45" spans="1:8">
      <c r="A45" s="7"/>
      <c r="B45" s="7"/>
      <c r="C45" s="7"/>
      <c r="D45" s="7"/>
      <c r="E45" s="7"/>
      <c r="F45" s="7"/>
      <c r="G45" s="7"/>
      <c r="H45" s="7"/>
    </row>
  </sheetData>
  <mergeCells count="4">
    <mergeCell ref="A1:H1"/>
    <mergeCell ref="A16:H16"/>
    <mergeCell ref="A29:H29"/>
    <mergeCell ref="A3:H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8"/>
  <sheetViews>
    <sheetView workbookViewId="0">
      <selection sqref="A1:H1"/>
    </sheetView>
  </sheetViews>
  <sheetFormatPr baseColWidth="10" defaultColWidth="8.796875" defaultRowHeight="13.8"/>
  <cols>
    <col min="1" max="1" width="8" customWidth="1"/>
    <col min="2" max="2" width="24" customWidth="1"/>
    <col min="3" max="3" width="75" customWidth="1"/>
    <col min="4" max="8" width="10" customWidth="1"/>
  </cols>
  <sheetData>
    <row r="1" spans="1:8" ht="22.35" customHeight="1">
      <c r="A1" s="17" t="s">
        <v>118</v>
      </c>
      <c r="B1" s="18"/>
      <c r="C1" s="18"/>
      <c r="D1" s="18"/>
      <c r="E1" s="18"/>
      <c r="F1" s="18"/>
      <c r="G1" s="18"/>
      <c r="H1" s="18"/>
    </row>
    <row r="3" spans="1:8">
      <c r="A3" s="1" t="s">
        <v>119</v>
      </c>
      <c r="B3" s="1" t="s">
        <v>120</v>
      </c>
      <c r="C3" s="1" t="s">
        <v>121</v>
      </c>
    </row>
    <row r="4" spans="1:8" ht="27.6">
      <c r="A4" s="7" t="s">
        <v>122</v>
      </c>
      <c r="B4" s="7" t="s">
        <v>123</v>
      </c>
      <c r="C4" s="7" t="s">
        <v>124</v>
      </c>
    </row>
    <row r="5" spans="1:8" ht="27.6">
      <c r="A5" s="7" t="s">
        <v>125</v>
      </c>
      <c r="B5" s="7" t="s">
        <v>126</v>
      </c>
      <c r="C5" s="7" t="s">
        <v>127</v>
      </c>
    </row>
    <row r="6" spans="1:8" ht="27.6">
      <c r="A6" s="7" t="s">
        <v>128</v>
      </c>
      <c r="B6" s="7" t="s">
        <v>129</v>
      </c>
      <c r="C6" s="7" t="s">
        <v>130</v>
      </c>
    </row>
    <row r="7" spans="1:8">
      <c r="A7" s="7" t="s">
        <v>131</v>
      </c>
      <c r="B7" s="7" t="s">
        <v>132</v>
      </c>
      <c r="C7" s="7" t="s">
        <v>133</v>
      </c>
    </row>
    <row r="8" spans="1:8" ht="27.6">
      <c r="A8" s="7" t="s">
        <v>134</v>
      </c>
      <c r="B8" s="7" t="s">
        <v>135</v>
      </c>
      <c r="C8" s="7" t="s">
        <v>136</v>
      </c>
    </row>
    <row r="9" spans="1:8">
      <c r="A9" s="7" t="s">
        <v>137</v>
      </c>
      <c r="B9" s="7" t="s">
        <v>4</v>
      </c>
      <c r="C9" s="7" t="s">
        <v>138</v>
      </c>
    </row>
    <row r="10" spans="1:8" ht="27.6">
      <c r="A10" s="7" t="s">
        <v>139</v>
      </c>
      <c r="B10" s="7" t="s">
        <v>140</v>
      </c>
      <c r="C10" s="7" t="s">
        <v>141</v>
      </c>
    </row>
    <row r="11" spans="1:8" ht="27.6">
      <c r="A11" s="7" t="s">
        <v>142</v>
      </c>
      <c r="B11" s="7" t="s">
        <v>143</v>
      </c>
      <c r="C11" s="7" t="s">
        <v>144</v>
      </c>
    </row>
    <row r="12" spans="1:8">
      <c r="A12" s="7" t="s">
        <v>145</v>
      </c>
      <c r="B12" s="7" t="s">
        <v>146</v>
      </c>
      <c r="C12" s="7" t="s">
        <v>147</v>
      </c>
    </row>
    <row r="13" spans="1:8">
      <c r="A13" s="7"/>
      <c r="B13" s="7"/>
      <c r="C13" s="7"/>
    </row>
    <row r="14" spans="1:8" ht="27.6">
      <c r="A14" s="7" t="s">
        <v>148</v>
      </c>
      <c r="B14" s="7"/>
      <c r="C14" s="7" t="s">
        <v>149</v>
      </c>
    </row>
    <row r="15" spans="1:8">
      <c r="A15" s="7"/>
      <c r="B15" s="7"/>
      <c r="C15" s="7"/>
    </row>
    <row r="16" spans="1:8" ht="41.4">
      <c r="A16" s="7" t="s">
        <v>150</v>
      </c>
      <c r="B16" s="7"/>
      <c r="C16" s="7" t="s">
        <v>151</v>
      </c>
    </row>
    <row r="17" spans="1:3">
      <c r="A17" s="7"/>
      <c r="B17" s="7"/>
      <c r="C17" s="7"/>
    </row>
    <row r="18" spans="1:3" ht="27.6">
      <c r="A18" s="7" t="s">
        <v>152</v>
      </c>
      <c r="B18" s="7"/>
      <c r="C18" s="7" t="s">
        <v>153</v>
      </c>
    </row>
  </sheetData>
  <mergeCells count="1">
    <mergeCell ref="A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94F695-8EA8-46BF-9D5B-CB9799FA26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Dashboard</vt:lpstr>
      <vt:lpstr>Dashboard_Ejecutivo</vt:lpstr>
      <vt:lpstr>Captura_Pegaso</vt:lpstr>
      <vt:lpstr>Captura_Marimba_M01</vt:lpstr>
      <vt:lpstr>Solicitudes</vt:lpstr>
      <vt:lpstr>Captura_Obra</vt:lpstr>
      <vt:lpstr>Conciliacion</vt:lpstr>
      <vt:lpstr>Catalogos</vt:lpstr>
      <vt:lpstr>Formatos_Fisicos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Jaramillo Rangel</dc:creator>
  <cp:lastModifiedBy>Jesus Jaramillo</cp:lastModifiedBy>
  <dcterms:created xsi:type="dcterms:W3CDTF">2026-06-08T23:01:45Z</dcterms:created>
  <dcterms:modified xsi:type="dcterms:W3CDTF">2026-06-17T21:01:25Z</dcterms:modified>
</cp:coreProperties>
</file>