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formatos\"/>
    </mc:Choice>
  </mc:AlternateContent>
  <xr:revisionPtr revIDLastSave="0" documentId="13_ncr:1_{BE74C7AD-F758-4F39-BB74-7B0F2943487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ptura Pegaso" sheetId="1" r:id="rId1"/>
    <sheet name="Captura Marimba" sheetId="2" r:id="rId2"/>
    <sheet name="Catalogos" sheetId="3" r:id="rId3"/>
  </sheets>
  <definedNames>
    <definedName name="_xlnm.Print_Area" localSheetId="1">'Captura Marimba'!$B$1:$K$45</definedName>
    <definedName name="_xlnm.Print_Area" localSheetId="0">'Captura Pegaso'!$B$1:$K$51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0" i="2" l="1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H150" i="1"/>
  <c r="B150" i="1"/>
  <c r="H149" i="1"/>
  <c r="B149" i="1"/>
  <c r="H148" i="1"/>
  <c r="B148" i="1"/>
  <c r="H147" i="1"/>
  <c r="B147" i="1"/>
  <c r="H146" i="1"/>
  <c r="B146" i="1"/>
  <c r="H145" i="1"/>
  <c r="B145" i="1"/>
  <c r="H144" i="1"/>
  <c r="B144" i="1"/>
  <c r="H143" i="1"/>
  <c r="B143" i="1"/>
  <c r="H142" i="1"/>
  <c r="B142" i="1"/>
  <c r="H141" i="1"/>
  <c r="B141" i="1"/>
  <c r="H140" i="1"/>
  <c r="B140" i="1"/>
  <c r="H139" i="1"/>
  <c r="B139" i="1"/>
  <c r="H138" i="1"/>
  <c r="B138" i="1"/>
  <c r="H137" i="1"/>
  <c r="B137" i="1"/>
  <c r="H136" i="1"/>
  <c r="B136" i="1"/>
  <c r="H135" i="1"/>
  <c r="B135" i="1"/>
  <c r="H134" i="1"/>
  <c r="B134" i="1"/>
  <c r="H133" i="1"/>
  <c r="B133" i="1"/>
  <c r="H132" i="1"/>
  <c r="B132" i="1"/>
  <c r="H131" i="1"/>
  <c r="B131" i="1"/>
  <c r="H130" i="1"/>
  <c r="B130" i="1"/>
  <c r="H129" i="1"/>
  <c r="B129" i="1"/>
  <c r="H128" i="1"/>
  <c r="B128" i="1"/>
  <c r="H127" i="1"/>
  <c r="B127" i="1"/>
  <c r="H126" i="1"/>
  <c r="B126" i="1"/>
  <c r="H125" i="1"/>
  <c r="B125" i="1"/>
  <c r="H124" i="1"/>
  <c r="B124" i="1"/>
  <c r="H123" i="1"/>
  <c r="B123" i="1"/>
  <c r="H122" i="1"/>
  <c r="B122" i="1"/>
  <c r="H121" i="1"/>
  <c r="B121" i="1"/>
  <c r="H120" i="1"/>
  <c r="B120" i="1"/>
  <c r="H119" i="1"/>
  <c r="B119" i="1"/>
  <c r="H118" i="1"/>
  <c r="B118" i="1"/>
  <c r="H117" i="1"/>
  <c r="B117" i="1"/>
  <c r="H116" i="1"/>
  <c r="B116" i="1"/>
  <c r="H115" i="1"/>
  <c r="B115" i="1"/>
  <c r="H114" i="1"/>
  <c r="B114" i="1"/>
  <c r="H113" i="1"/>
  <c r="B113" i="1"/>
  <c r="H112" i="1"/>
  <c r="B112" i="1"/>
  <c r="H111" i="1"/>
  <c r="B111" i="1"/>
  <c r="H110" i="1"/>
  <c r="B110" i="1"/>
  <c r="H109" i="1"/>
  <c r="B109" i="1"/>
  <c r="H108" i="1"/>
  <c r="B108" i="1"/>
  <c r="H107" i="1"/>
  <c r="B107" i="1"/>
  <c r="H106" i="1"/>
  <c r="B106" i="1"/>
  <c r="H105" i="1"/>
  <c r="B105" i="1"/>
  <c r="H104" i="1"/>
  <c r="B104" i="1"/>
  <c r="H103" i="1"/>
  <c r="B103" i="1"/>
  <c r="H102" i="1"/>
  <c r="B102" i="1"/>
  <c r="H101" i="1"/>
  <c r="B101" i="1"/>
  <c r="H100" i="1"/>
  <c r="B100" i="1"/>
  <c r="H99" i="1"/>
  <c r="B99" i="1"/>
  <c r="H98" i="1"/>
  <c r="B98" i="1"/>
  <c r="H97" i="1"/>
  <c r="B97" i="1"/>
  <c r="H96" i="1"/>
  <c r="B96" i="1"/>
  <c r="H95" i="1"/>
  <c r="B95" i="1"/>
  <c r="H94" i="1"/>
  <c r="B94" i="1"/>
  <c r="H93" i="1"/>
  <c r="B93" i="1"/>
  <c r="H92" i="1"/>
  <c r="B92" i="1"/>
  <c r="H91" i="1"/>
  <c r="B91" i="1"/>
  <c r="H90" i="1"/>
  <c r="B90" i="1"/>
  <c r="H89" i="1"/>
  <c r="B89" i="1"/>
  <c r="H88" i="1"/>
  <c r="B88" i="1"/>
  <c r="H87" i="1"/>
  <c r="B87" i="1"/>
  <c r="H86" i="1"/>
  <c r="B86" i="1"/>
  <c r="H85" i="1"/>
  <c r="B85" i="1"/>
  <c r="H84" i="1"/>
  <c r="B84" i="1"/>
  <c r="H83" i="1"/>
  <c r="B83" i="1"/>
  <c r="H82" i="1"/>
  <c r="B82" i="1"/>
  <c r="H81" i="1"/>
  <c r="B81" i="1"/>
  <c r="H80" i="1"/>
  <c r="B80" i="1"/>
  <c r="H79" i="1"/>
  <c r="B79" i="1"/>
  <c r="H78" i="1"/>
  <c r="B78" i="1"/>
  <c r="H77" i="1"/>
  <c r="B77" i="1"/>
  <c r="H76" i="1"/>
  <c r="B76" i="1"/>
  <c r="H75" i="1"/>
  <c r="B75" i="1"/>
  <c r="H74" i="1"/>
  <c r="B74" i="1"/>
  <c r="H73" i="1"/>
  <c r="B73" i="1"/>
  <c r="H72" i="1"/>
  <c r="B72" i="1"/>
  <c r="H71" i="1"/>
  <c r="B71" i="1"/>
  <c r="H70" i="1"/>
  <c r="B70" i="1"/>
  <c r="H69" i="1"/>
  <c r="B69" i="1"/>
  <c r="H68" i="1"/>
  <c r="B68" i="1"/>
  <c r="H67" i="1"/>
  <c r="B67" i="1"/>
  <c r="H66" i="1"/>
  <c r="B66" i="1"/>
  <c r="H65" i="1"/>
  <c r="B65" i="1"/>
  <c r="H64" i="1"/>
  <c r="B64" i="1"/>
  <c r="H63" i="1"/>
  <c r="B63" i="1"/>
  <c r="H62" i="1"/>
  <c r="B62" i="1"/>
  <c r="H61" i="1"/>
  <c r="B61" i="1"/>
  <c r="H60" i="1"/>
  <c r="B60" i="1"/>
  <c r="H59" i="1"/>
  <c r="B59" i="1"/>
  <c r="H58" i="1"/>
  <c r="B58" i="1"/>
  <c r="H57" i="1"/>
  <c r="B57" i="1"/>
  <c r="H56" i="1"/>
  <c r="B56" i="1"/>
  <c r="H55" i="1"/>
  <c r="B55" i="1"/>
  <c r="H54" i="1"/>
  <c r="B54" i="1"/>
  <c r="H53" i="1"/>
  <c r="B53" i="1"/>
  <c r="H52" i="1"/>
  <c r="B52" i="1"/>
  <c r="H51" i="1"/>
  <c r="B51" i="1"/>
  <c r="H50" i="1"/>
  <c r="B50" i="1"/>
  <c r="H49" i="1"/>
  <c r="B49" i="1"/>
  <c r="H48" i="1"/>
  <c r="B48" i="1"/>
  <c r="H47" i="1"/>
  <c r="B47" i="1"/>
  <c r="H46" i="1"/>
  <c r="B46" i="1"/>
  <c r="H45" i="1"/>
  <c r="B45" i="1"/>
  <c r="H44" i="1"/>
  <c r="B44" i="1"/>
  <c r="H43" i="1"/>
  <c r="B43" i="1"/>
  <c r="H42" i="1"/>
  <c r="B42" i="1"/>
  <c r="H41" i="1"/>
  <c r="B41" i="1"/>
  <c r="H40" i="1"/>
  <c r="B40" i="1"/>
  <c r="H39" i="1"/>
  <c r="B39" i="1"/>
  <c r="H38" i="1"/>
  <c r="B38" i="1"/>
  <c r="H37" i="1"/>
  <c r="B37" i="1"/>
  <c r="H36" i="1"/>
  <c r="B36" i="1"/>
  <c r="H35" i="1"/>
  <c r="B35" i="1"/>
  <c r="H34" i="1"/>
  <c r="B34" i="1"/>
  <c r="H33" i="1"/>
  <c r="B33" i="1"/>
  <c r="H32" i="1"/>
  <c r="B32" i="1"/>
  <c r="H31" i="1"/>
  <c r="B31" i="1"/>
  <c r="H30" i="1"/>
  <c r="B30" i="1"/>
  <c r="H29" i="1"/>
  <c r="B29" i="1"/>
  <c r="H28" i="1"/>
  <c r="B28" i="1"/>
  <c r="H27" i="1"/>
  <c r="B27" i="1"/>
  <c r="H26" i="1"/>
  <c r="B26" i="1"/>
  <c r="H25" i="1"/>
  <c r="B25" i="1"/>
  <c r="H24" i="1"/>
  <c r="B24" i="1"/>
  <c r="H23" i="1"/>
  <c r="B23" i="1"/>
  <c r="H22" i="1"/>
  <c r="B22" i="1"/>
  <c r="H21" i="1"/>
  <c r="B21" i="1"/>
  <c r="H20" i="1"/>
  <c r="B20" i="1"/>
  <c r="H19" i="1"/>
  <c r="B19" i="1"/>
  <c r="H18" i="1"/>
  <c r="B18" i="1"/>
  <c r="H17" i="1"/>
  <c r="B17" i="1"/>
  <c r="H16" i="1"/>
  <c r="B16" i="1"/>
  <c r="H15" i="1"/>
  <c r="B15" i="1"/>
  <c r="H14" i="1"/>
  <c r="B14" i="1"/>
  <c r="H13" i="1"/>
  <c r="B13" i="1"/>
  <c r="B12" i="1"/>
  <c r="B11" i="1"/>
</calcChain>
</file>

<file path=xl/sharedStrings.xml><?xml version="1.0" encoding="utf-8"?>
<sst xmlns="http://schemas.openxmlformats.org/spreadsheetml/2006/main" count="190" uniqueCount="140">
  <si>
    <t>GC-COMB-006: BITÁCORA DE CAPTURA SEMANAL - TANQUE PEGASO (20,000 L)</t>
  </si>
  <si>
    <t>Semana No.:</t>
  </si>
  <si>
    <t>Responsable del Tanque:</t>
  </si>
  <si>
    <t>Planta/Frente:</t>
  </si>
  <si>
    <t>Planta Pegaso</t>
  </si>
  <si>
    <t>NIVEL INICIAL (LUNES AM):</t>
  </si>
  <si>
    <t>Volumen Inicial Equiv. (L):</t>
  </si>
  <si>
    <t>NIVEL FINAL (SÁBADO PM):</t>
  </si>
  <si>
    <t>Volumen Final Equiv. (L):</t>
  </si>
  <si>
    <t>1. REGISTRO DE ENTRADAS Y SALIDAS DIARIAS DE COMBUSTIBLE</t>
  </si>
  <si>
    <t>Observaciones</t>
  </si>
  <si>
    <t>GC-COMB-006: BITÁCORA DE CAPTURA SEMANAL - MARIMBA M-01</t>
  </si>
  <si>
    <t>Operador de Marimba:</t>
  </si>
  <si>
    <t>Marimba:</t>
  </si>
  <si>
    <t>Marimba M-01</t>
  </si>
  <si>
    <t>Obras Dropdown</t>
  </si>
  <si>
    <t>Semanas Dropdown</t>
  </si>
  <si>
    <t>Tipo de Equipo</t>
  </si>
  <si>
    <t>México-Toluca</t>
  </si>
  <si>
    <t>Gasolinera Huixquilucan</t>
  </si>
  <si>
    <t>Lerma - Tres Marías</t>
  </si>
  <si>
    <t>Tanque Pegaso</t>
  </si>
  <si>
    <t>No aplica</t>
  </si>
  <si>
    <t>PAP</t>
  </si>
  <si>
    <t>Planta Asfalto Pegaso</t>
  </si>
  <si>
    <t>Chamapa-Lechería</t>
  </si>
  <si>
    <t>Bacheo Toluca</t>
  </si>
  <si>
    <t>Carga directa</t>
  </si>
  <si>
    <t>Planta Asfaltos</t>
  </si>
  <si>
    <t>PT-01</t>
  </si>
  <si>
    <t>Planta Asflato Huixquilucan</t>
  </si>
  <si>
    <t>Entrada</t>
  </si>
  <si>
    <t>PP-01</t>
  </si>
  <si>
    <t>Dragones</t>
  </si>
  <si>
    <t>Salida</t>
  </si>
  <si>
    <t>Jalisco</t>
  </si>
  <si>
    <t>PR-02</t>
  </si>
  <si>
    <t>Todas</t>
  </si>
  <si>
    <t>BR-02</t>
  </si>
  <si>
    <t>BG-01</t>
  </si>
  <si>
    <t>VG-01</t>
  </si>
  <si>
    <t>PR-01</t>
  </si>
  <si>
    <t>BR-01</t>
  </si>
  <si>
    <t>NM-01</t>
  </si>
  <si>
    <t>VG-02</t>
  </si>
  <si>
    <t>TD-01</t>
  </si>
  <si>
    <t>NM-02</t>
  </si>
  <si>
    <t>PT-02</t>
  </si>
  <si>
    <t>CI-01</t>
  </si>
  <si>
    <t>CPR-01</t>
  </si>
  <si>
    <t>DR-01</t>
  </si>
  <si>
    <t>VC-01</t>
  </si>
  <si>
    <t>RT-03</t>
  </si>
  <si>
    <t>VG-03</t>
  </si>
  <si>
    <t>BR-03</t>
  </si>
  <si>
    <t>BR-04</t>
  </si>
  <si>
    <t>DR-02</t>
  </si>
  <si>
    <t>CPR-02</t>
  </si>
  <si>
    <t>RT-04</t>
  </si>
  <si>
    <t>BR-05</t>
  </si>
  <si>
    <t>RT-05</t>
  </si>
  <si>
    <t>BR-06</t>
  </si>
  <si>
    <t>DR-03</t>
  </si>
  <si>
    <t>CI-02</t>
  </si>
  <si>
    <t>DR-04</t>
  </si>
  <si>
    <t>RETROEXCAVADORA CASE 580 N</t>
  </si>
  <si>
    <t>PERFILADORA RODATEC RX600-4-4008</t>
  </si>
  <si>
    <t>PERFILADORA RODATEC RX600E</t>
  </si>
  <si>
    <t>BARREDORA BROCE RJ350</t>
  </si>
  <si>
    <t>BARREDORA LAYMOR SM400</t>
  </si>
  <si>
    <t>BARREDORA SUPERIOR BROOM DT80J</t>
  </si>
  <si>
    <t>DOBLE RODILLO/VIBROCOMPACTADOR DE RODILLOS HAMM 120HD VV</t>
  </si>
  <si>
    <t>DOBLE RODILLO/VIBROCOMPACTADOR DE RODILLOS HAMM 140HD</t>
  </si>
  <si>
    <t>TANDEM DOBLE RODILLO / VIBROCOMPACTOR RODILLO CAT CB54</t>
  </si>
  <si>
    <t>VIBROCOMPACTADOR CATERPILLAR CB66B</t>
  </si>
  <si>
    <t>NEUMATICO / COMPACTADOR DE NEUMATICOS DINAPAC CP271</t>
  </si>
  <si>
    <t>NEUMATICO VOLVO PT-240R</t>
  </si>
  <si>
    <t>RETROEXCAVADORA CASE 420DN</t>
  </si>
  <si>
    <t>BARREDORA BROCE BROOM KR350</t>
  </si>
  <si>
    <t>RETROEXCAVADORA JHONDEREE 310SK</t>
  </si>
  <si>
    <t>TRASFER BUGGI RODATEC</t>
  </si>
  <si>
    <t>IMPACTO FORD 4300</t>
  </si>
  <si>
    <t>IMPACTO FORD F800</t>
  </si>
  <si>
    <t>PETROLIZADORA (IMPACTO 04) FORD F800</t>
  </si>
  <si>
    <t>PIPA DE AGUA (IMPACTO 01) FORD</t>
  </si>
  <si>
    <t>DOBLE RODILLO RAD ROLLER FILY-325 PRO</t>
  </si>
  <si>
    <t>GC-COMB-006: BITÁCORA TRANSACCIONAL DE OPERADOR (VERSIÓN 2)</t>
  </si>
  <si>
    <t>Folio Ticket</t>
  </si>
  <si>
    <t>Fecha (DD/MM/AAAA)</t>
  </si>
  <si>
    <t>Hora (HH:MM)</t>
  </si>
  <si>
    <t>Origen (Salida de)</t>
  </si>
  <si>
    <t>Destino (Entrega a)</t>
  </si>
  <si>
    <t>Obra Asignada</t>
  </si>
  <si>
    <t>Litros</t>
  </si>
  <si>
    <t>Firma Recibido</t>
  </si>
  <si>
    <t>Obras</t>
  </si>
  <si>
    <t>Origen</t>
  </si>
  <si>
    <t>S/N (WIRGENT)</t>
  </si>
  <si>
    <t>S/N (IR185)</t>
  </si>
  <si>
    <t>Ingeniero</t>
  </si>
  <si>
    <t>No. Económico</t>
  </si>
  <si>
    <t>Operador Asignado</t>
  </si>
  <si>
    <t>Obra</t>
  </si>
  <si>
    <t>Iniciales</t>
  </si>
  <si>
    <t>Francisco Javier</t>
  </si>
  <si>
    <t>LT</t>
  </si>
  <si>
    <t>Apolinar</t>
  </si>
  <si>
    <t>PAVIMENTADORA  VOGELE 1800-3 i</t>
  </si>
  <si>
    <t>Gerardo Ezequiel Piña Fernández</t>
  </si>
  <si>
    <t>MT</t>
  </si>
  <si>
    <t>Diego Carreola</t>
  </si>
  <si>
    <t>PAVIMENTADORA  VOGELE 1800-2 SJ</t>
  </si>
  <si>
    <t>CL</t>
  </si>
  <si>
    <t>Janeth</t>
  </si>
  <si>
    <t>PAVIMENTADORA  VOGELE SJ 1800-3</t>
  </si>
  <si>
    <t>Jose de Jesus Eusebio Martinez</t>
  </si>
  <si>
    <t>BT</t>
  </si>
  <si>
    <t>Luis</t>
  </si>
  <si>
    <t>Alan Alexis Gutierrez Flores</t>
  </si>
  <si>
    <t>DR</t>
  </si>
  <si>
    <t>Edgar Rosales Martinez</t>
  </si>
  <si>
    <t>Fernando Angeles Reyes</t>
  </si>
  <si>
    <t>POR ASIGNAR</t>
  </si>
  <si>
    <t>Julián Piña Hernández</t>
  </si>
  <si>
    <t>Jose Manuel Reyes Flores</t>
  </si>
  <si>
    <t>Marco Antonio Estrada Arellano</t>
  </si>
  <si>
    <t>Luis Fernando Mendiola Vivero</t>
  </si>
  <si>
    <t>COMPRESOR  SULLIVAN PALATEK D2010</t>
  </si>
  <si>
    <t>Eduardo Guadarrama Garcia</t>
  </si>
  <si>
    <t>Adolfo Nava Lopez</t>
  </si>
  <si>
    <t>DOBLE RODILLO   INGERSOLL RAND DD-108HF</t>
  </si>
  <si>
    <t>Marco Antonio Millan Centeno</t>
  </si>
  <si>
    <t>PETROLIZADORA    INTERNATIONAL</t>
  </si>
  <si>
    <t>Francisco Gomora Angeles / Elthon Eduardo</t>
  </si>
  <si>
    <t>PERFILADORA WIRGENT-W200i</t>
  </si>
  <si>
    <t>Alejandro de Jesus Fuentes Tapia</t>
  </si>
  <si>
    <t>COMPRESOR INGERSOLL RAND IR185</t>
  </si>
  <si>
    <t>Jose Carlos Romero Tellez</t>
  </si>
  <si>
    <t>NIVEL INICIAL :</t>
  </si>
  <si>
    <t>NIVEL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</si>
</sst>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"/>
    <numFmt numFmtId="166" formatCode="[$-F400]h:mm:ss\ AM/PM"/>
  </numFmts>
  <fonts count="709" x14ac:knownFonts="1">
    <font>
      <sz val="11"/>
      <color theme="1"/>
      <name val="Calibri"/>
      <family val="2"/>
      <scheme val="minor"/>
    </font>
    <font>
      <b/>
      <sz val="13"/>
      <color rgb="FFFFFFFF"/>
      <name val="Segoe UI"/>
      <family val="2"/>
    </font>
    <font>
      <b/>
      <sz val="10"/>
      <name val="Segoe UI"/>
      <family val="2"/>
    </font>
    <font>
      <sz val="11"/>
      <name val="Calibri"/>
      <family val="2"/>
    </font>
    <font>
      <b/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b/>
      <sz val="10"/>
      <name val="Segoe UI"/>
      <family val="2"/>
    </font>
    <font>
      <b/>
      <sz val="9.5"/>
      <name val="Segoe UI"/>
      <family val="2"/>
    </font>
    <font>
      <sz val="11"/>
      <name val="Calibri"/>
      <family val="2"/>
    </font>
    <font>
      <b/>
      <sz val="9.5"/>
      <name val="Segoe UI"/>
      <family val="2"/>
    </font>
    <font>
      <b/>
      <sz val="9.5"/>
      <name val="Segoe UI"/>
      <family val="2"/>
    </font>
    <font>
      <sz val="11"/>
      <name val="Calibri"/>
      <family val="2"/>
    </font>
    <font>
      <b/>
      <sz val="9.5"/>
      <name val="Segoe UI"/>
      <family val="2"/>
    </font>
    <font>
      <b/>
      <sz val="11"/>
      <color rgb="FF1F4E78"/>
      <name val="Segoe UI"/>
      <family val="2"/>
    </font>
    <font>
      <b/>
      <sz val="9.5"/>
      <name val="Segoe UI"/>
      <family val="2"/>
    </font>
    <font>
      <b/>
      <sz val="9.5"/>
      <name val="Segoe UI"/>
      <family val="2"/>
    </font>
    <font>
      <b/>
      <sz val="9.5"/>
      <name val="Segoe UI"/>
      <family val="2"/>
    </font>
    <font>
      <b/>
      <sz val="9.5"/>
      <name val="Segoe UI"/>
      <family val="2"/>
    </font>
    <font>
      <b/>
      <sz val="9.5"/>
      <name val="Segoe UI"/>
      <family val="2"/>
    </font>
    <font>
      <b/>
      <sz val="9.5"/>
      <name val="Segoe UI"/>
      <family val="2"/>
    </font>
    <font>
      <b/>
      <sz val="9.5"/>
      <name val="Segoe UI"/>
      <family val="2"/>
    </font>
    <font>
      <b/>
      <sz val="9.5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b/>
      <sz val="10"/>
      <color rgb="FF1F4E78"/>
      <name val="Segoe UI"/>
      <family val="2"/>
    </font>
    <font>
      <b/>
      <sz val="10"/>
      <color rgb="FF1F4E78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3"/>
      <color rgb="FFFFFFFF"/>
      <name val="Segoe UI"/>
      <family val="2"/>
    </font>
    <font>
      <b/>
      <sz val="10"/>
      <name val="Segoe UI"/>
      <family val="2"/>
    </font>
    <font>
      <sz val="11"/>
      <name val="Calibri"/>
      <family val="2"/>
    </font>
    <font>
      <b/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b/>
      <sz val="10"/>
      <name val="Segoe UI"/>
      <family val="2"/>
    </font>
    <font>
      <b/>
      <sz val="9.5"/>
      <name val="Segoe UI"/>
      <family val="2"/>
    </font>
    <font>
      <b/>
      <sz val="9.5"/>
      <name val="Segoe UI"/>
      <family val="2"/>
    </font>
    <font>
      <sz val="11"/>
      <name val="Calibri"/>
      <family val="2"/>
    </font>
    <font>
      <b/>
      <sz val="11"/>
      <color rgb="FF1F4E78"/>
      <name val="Segoe UI"/>
      <family val="2"/>
    </font>
    <font>
      <b/>
      <sz val="9.5"/>
      <name val="Segoe UI"/>
      <family val="2"/>
    </font>
    <font>
      <b/>
      <sz val="9.5"/>
      <name val="Segoe UI"/>
      <family val="2"/>
    </font>
    <font>
      <b/>
      <sz val="9.5"/>
      <name val="Segoe UI"/>
      <family val="2"/>
    </font>
    <font>
      <b/>
      <sz val="9.5"/>
      <name val="Segoe UI"/>
      <family val="2"/>
    </font>
    <font>
      <b/>
      <sz val="9.5"/>
      <name val="Segoe UI"/>
      <family val="2"/>
    </font>
    <font>
      <b/>
      <sz val="9.5"/>
      <name val="Segoe UI"/>
      <family val="2"/>
    </font>
    <font>
      <b/>
      <sz val="9.5"/>
      <name val="Segoe UI"/>
      <family val="2"/>
    </font>
    <font>
      <b/>
      <sz val="9.5"/>
      <name val="Segoe UI"/>
      <family val="2"/>
    </font>
    <font>
      <b/>
      <sz val="9.5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b/>
      <sz val="10"/>
      <color rgb="FF1F4E78"/>
      <name val="Segoe UI"/>
      <family val="2"/>
    </font>
    <font>
      <b/>
      <sz val="10"/>
      <color rgb="FF1F4E78"/>
      <name val="Segoe UI"/>
      <family val="2"/>
    </font>
    <font>
      <b/>
      <sz val="10"/>
      <color rgb="FF1F4E78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7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solid">
        <fgColor rgb="FFFFFFF0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0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0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37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721">
    <xf numFmtId="0" fontId="0" fillId="0" borderId="0" xfId="0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8" fillId="9" borderId="8" xfId="0" applyFont="1" applyFill="1" applyBorder="1"/>
    <xf numFmtId="0" fontId="9" fillId="10" borderId="9" xfId="0" applyFont="1" applyFill="1" applyBorder="1" applyAlignment="1">
      <alignment horizontal="center"/>
    </xf>
    <xf numFmtId="164" fontId="11" fillId="12" borderId="11" xfId="0" applyNumberFormat="1" applyFont="1" applyFill="1" applyBorder="1" applyAlignment="1">
      <alignment horizontal="center"/>
    </xf>
    <xf numFmtId="164" fontId="14" fillId="15" borderId="13" xfId="0" applyNumberFormat="1" applyFont="1" applyFill="1" applyBorder="1" applyAlignment="1">
      <alignment horizontal="center"/>
    </xf>
    <xf numFmtId="0" fontId="17" fillId="18" borderId="16" xfId="0" applyFont="1" applyFill="1" applyBorder="1" applyAlignment="1">
      <alignment horizontal="center" vertical="center" wrapText="1"/>
    </xf>
    <xf numFmtId="0" fontId="18" fillId="19" borderId="17" xfId="0" applyFont="1" applyFill="1" applyBorder="1" applyAlignment="1">
      <alignment horizontal="center" vertical="center" wrapText="1"/>
    </xf>
    <xf numFmtId="0" fontId="19" fillId="20" borderId="18" xfId="0" applyFont="1" applyFill="1" applyBorder="1" applyAlignment="1">
      <alignment horizontal="center" vertical="center" wrapText="1"/>
    </xf>
    <xf numFmtId="0" fontId="20" fillId="21" borderId="19" xfId="0" applyFont="1" applyFill="1" applyBorder="1" applyAlignment="1">
      <alignment horizontal="center" vertical="center" wrapText="1"/>
    </xf>
    <xf numFmtId="0" fontId="21" fillId="22" borderId="20" xfId="0" applyFont="1" applyFill="1" applyBorder="1" applyAlignment="1">
      <alignment horizontal="center" vertical="center" wrapText="1"/>
    </xf>
    <xf numFmtId="0" fontId="22" fillId="23" borderId="21" xfId="0" applyFont="1" applyFill="1" applyBorder="1" applyAlignment="1">
      <alignment horizontal="center" vertical="center" wrapText="1"/>
    </xf>
    <xf numFmtId="0" fontId="23" fillId="24" borderId="22" xfId="0" applyFont="1" applyFill="1" applyBorder="1" applyAlignment="1">
      <alignment horizontal="center" vertical="center" wrapText="1"/>
    </xf>
    <xf numFmtId="165" fontId="25" fillId="26" borderId="23" xfId="0" applyNumberFormat="1" applyFont="1" applyFill="1" applyBorder="1" applyAlignment="1">
      <alignment horizontal="center"/>
    </xf>
    <xf numFmtId="0" fontId="28" fillId="29" borderId="26" xfId="0" applyFont="1" applyFill="1" applyBorder="1" applyAlignment="1">
      <alignment horizontal="center"/>
    </xf>
    <xf numFmtId="0" fontId="29" fillId="30" borderId="27" xfId="0" applyFont="1" applyFill="1" applyBorder="1" applyAlignment="1">
      <alignment horizontal="center"/>
    </xf>
    <xf numFmtId="0" fontId="30" fillId="31" borderId="28" xfId="0" applyFont="1" applyFill="1" applyBorder="1" applyAlignment="1">
      <alignment horizontal="center"/>
    </xf>
    <xf numFmtId="4" fontId="31" fillId="32" borderId="29" xfId="0" applyNumberFormat="1" applyFont="1" applyFill="1" applyBorder="1" applyAlignment="1">
      <alignment horizontal="right"/>
    </xf>
    <xf numFmtId="165" fontId="33" fillId="34" borderId="30" xfId="0" applyNumberFormat="1" applyFont="1" applyFill="1" applyBorder="1" applyAlignment="1">
      <alignment horizontal="center"/>
    </xf>
    <xf numFmtId="0" fontId="34" fillId="35" borderId="31" xfId="0" applyFont="1" applyFill="1" applyBorder="1" applyAlignment="1">
      <alignment horizontal="center"/>
    </xf>
    <xf numFmtId="0" fontId="36" fillId="37" borderId="33" xfId="0" applyFont="1" applyFill="1" applyBorder="1" applyAlignment="1">
      <alignment horizontal="center"/>
    </xf>
    <xf numFmtId="0" fontId="37" fillId="38" borderId="34" xfId="0" applyFont="1" applyFill="1" applyBorder="1" applyAlignment="1">
      <alignment horizontal="center"/>
    </xf>
    <xf numFmtId="0" fontId="38" fillId="39" borderId="35" xfId="0" applyFont="1" applyFill="1" applyBorder="1" applyAlignment="1">
      <alignment horizontal="center"/>
    </xf>
    <xf numFmtId="165" fontId="39" fillId="40" borderId="36" xfId="0" applyNumberFormat="1" applyFont="1" applyFill="1" applyBorder="1" applyAlignment="1">
      <alignment horizontal="center"/>
    </xf>
    <xf numFmtId="0" fontId="40" fillId="41" borderId="37" xfId="0" applyFont="1" applyFill="1" applyBorder="1" applyAlignment="1">
      <alignment horizontal="center"/>
    </xf>
    <xf numFmtId="0" fontId="42" fillId="43" borderId="39" xfId="0" applyFont="1" applyFill="1" applyBorder="1" applyAlignment="1">
      <alignment horizontal="center"/>
    </xf>
    <xf numFmtId="0" fontId="43" fillId="44" borderId="40" xfId="0" applyFont="1" applyFill="1" applyBorder="1" applyAlignment="1">
      <alignment horizontal="center"/>
    </xf>
    <xf numFmtId="0" fontId="44" fillId="45" borderId="41" xfId="0" applyFont="1" applyFill="1" applyBorder="1" applyAlignment="1">
      <alignment horizontal="center"/>
    </xf>
    <xf numFmtId="4" fontId="45" fillId="46" borderId="42" xfId="0" applyNumberFormat="1" applyFont="1" applyFill="1" applyBorder="1" applyAlignment="1">
      <alignment horizontal="right"/>
    </xf>
    <xf numFmtId="165" fontId="46" fillId="47" borderId="43" xfId="0" applyNumberFormat="1" applyFont="1" applyFill="1" applyBorder="1" applyAlignment="1">
      <alignment horizontal="center"/>
    </xf>
    <xf numFmtId="0" fontId="47" fillId="48" borderId="44" xfId="0" applyFont="1" applyFill="1" applyBorder="1" applyAlignment="1">
      <alignment horizontal="center"/>
    </xf>
    <xf numFmtId="0" fontId="49" fillId="50" borderId="46" xfId="0" applyFont="1" applyFill="1" applyBorder="1" applyAlignment="1">
      <alignment horizontal="center"/>
    </xf>
    <xf numFmtId="0" fontId="50" fillId="51" borderId="47" xfId="0" applyFont="1" applyFill="1" applyBorder="1" applyAlignment="1">
      <alignment horizontal="center"/>
    </xf>
    <xf numFmtId="0" fontId="51" fillId="52" borderId="48" xfId="0" applyFont="1" applyFill="1" applyBorder="1" applyAlignment="1">
      <alignment horizontal="center"/>
    </xf>
    <xf numFmtId="4" fontId="52" fillId="53" borderId="49" xfId="0" applyNumberFormat="1" applyFont="1" applyFill="1" applyBorder="1" applyAlignment="1">
      <alignment horizontal="right"/>
    </xf>
    <xf numFmtId="165" fontId="53" fillId="54" borderId="50" xfId="0" applyNumberFormat="1" applyFont="1" applyFill="1" applyBorder="1" applyAlignment="1">
      <alignment horizontal="center"/>
    </xf>
    <xf numFmtId="0" fontId="54" fillId="55" borderId="51" xfId="0" applyFont="1" applyFill="1" applyBorder="1" applyAlignment="1">
      <alignment horizontal="center"/>
    </xf>
    <xf numFmtId="0" fontId="56" fillId="57" borderId="53" xfId="0" applyFont="1" applyFill="1" applyBorder="1" applyAlignment="1">
      <alignment horizontal="center"/>
    </xf>
    <xf numFmtId="0" fontId="57" fillId="58" borderId="54" xfId="0" applyFont="1" applyFill="1" applyBorder="1" applyAlignment="1">
      <alignment horizontal="center"/>
    </xf>
    <xf numFmtId="0" fontId="58" fillId="59" borderId="55" xfId="0" applyFont="1" applyFill="1" applyBorder="1" applyAlignment="1">
      <alignment horizontal="center"/>
    </xf>
    <xf numFmtId="4" fontId="59" fillId="60" borderId="56" xfId="0" applyNumberFormat="1" applyFont="1" applyFill="1" applyBorder="1" applyAlignment="1">
      <alignment horizontal="right"/>
    </xf>
    <xf numFmtId="165" fontId="60" fillId="61" borderId="57" xfId="0" applyNumberFormat="1" applyFont="1" applyFill="1" applyBorder="1" applyAlignment="1">
      <alignment horizontal="center"/>
    </xf>
    <xf numFmtId="0" fontId="61" fillId="62" borderId="58" xfId="0" applyFont="1" applyFill="1" applyBorder="1" applyAlignment="1">
      <alignment horizontal="center"/>
    </xf>
    <xf numFmtId="0" fontId="63" fillId="64" borderId="60" xfId="0" applyFont="1" applyFill="1" applyBorder="1" applyAlignment="1">
      <alignment horizontal="center"/>
    </xf>
    <xf numFmtId="0" fontId="64" fillId="65" borderId="61" xfId="0" applyFont="1" applyFill="1" applyBorder="1" applyAlignment="1">
      <alignment horizontal="center"/>
    </xf>
    <xf numFmtId="0" fontId="65" fillId="66" borderId="62" xfId="0" applyFont="1" applyFill="1" applyBorder="1" applyAlignment="1">
      <alignment horizontal="center"/>
    </xf>
    <xf numFmtId="4" fontId="66" fillId="67" borderId="63" xfId="0" applyNumberFormat="1" applyFont="1" applyFill="1" applyBorder="1" applyAlignment="1">
      <alignment horizontal="right"/>
    </xf>
    <xf numFmtId="165" fontId="67" fillId="68" borderId="64" xfId="0" applyNumberFormat="1" applyFont="1" applyFill="1" applyBorder="1" applyAlignment="1">
      <alignment horizontal="center"/>
    </xf>
    <xf numFmtId="0" fontId="68" fillId="69" borderId="65" xfId="0" applyFont="1" applyFill="1" applyBorder="1" applyAlignment="1">
      <alignment horizontal="center"/>
    </xf>
    <xf numFmtId="0" fontId="70" fillId="71" borderId="67" xfId="0" applyFont="1" applyFill="1" applyBorder="1" applyAlignment="1">
      <alignment horizontal="center"/>
    </xf>
    <xf numFmtId="0" fontId="71" fillId="72" borderId="68" xfId="0" applyFont="1" applyFill="1" applyBorder="1" applyAlignment="1">
      <alignment horizontal="center"/>
    </xf>
    <xf numFmtId="0" fontId="72" fillId="73" borderId="69" xfId="0" applyFont="1" applyFill="1" applyBorder="1" applyAlignment="1">
      <alignment horizontal="center"/>
    </xf>
    <xf numFmtId="4" fontId="73" fillId="74" borderId="70" xfId="0" applyNumberFormat="1" applyFont="1" applyFill="1" applyBorder="1" applyAlignment="1">
      <alignment horizontal="right"/>
    </xf>
    <xf numFmtId="165" fontId="74" fillId="75" borderId="71" xfId="0" applyNumberFormat="1" applyFont="1" applyFill="1" applyBorder="1" applyAlignment="1">
      <alignment horizontal="center"/>
    </xf>
    <xf numFmtId="0" fontId="75" fillId="76" borderId="72" xfId="0" applyFont="1" applyFill="1" applyBorder="1" applyAlignment="1">
      <alignment horizontal="center"/>
    </xf>
    <xf numFmtId="0" fontId="77" fillId="78" borderId="74" xfId="0" applyFont="1" applyFill="1" applyBorder="1" applyAlignment="1">
      <alignment horizontal="center"/>
    </xf>
    <xf numFmtId="0" fontId="78" fillId="79" borderId="75" xfId="0" applyFont="1" applyFill="1" applyBorder="1" applyAlignment="1">
      <alignment horizontal="center"/>
    </xf>
    <xf numFmtId="0" fontId="79" fillId="80" borderId="76" xfId="0" applyFont="1" applyFill="1" applyBorder="1" applyAlignment="1">
      <alignment horizontal="center"/>
    </xf>
    <xf numFmtId="4" fontId="80" fillId="81" borderId="77" xfId="0" applyNumberFormat="1" applyFont="1" applyFill="1" applyBorder="1" applyAlignment="1">
      <alignment horizontal="right"/>
    </xf>
    <xf numFmtId="165" fontId="81" fillId="82" borderId="78" xfId="0" applyNumberFormat="1" applyFont="1" applyFill="1" applyBorder="1" applyAlignment="1">
      <alignment horizontal="center"/>
    </xf>
    <xf numFmtId="0" fontId="82" fillId="83" borderId="79" xfId="0" applyFont="1" applyFill="1" applyBorder="1" applyAlignment="1">
      <alignment horizontal="center"/>
    </xf>
    <xf numFmtId="0" fontId="84" fillId="85" borderId="81" xfId="0" applyFont="1" applyFill="1" applyBorder="1" applyAlignment="1">
      <alignment horizontal="center"/>
    </xf>
    <xf numFmtId="0" fontId="85" fillId="86" borderId="82" xfId="0" applyFont="1" applyFill="1" applyBorder="1" applyAlignment="1">
      <alignment horizontal="center"/>
    </xf>
    <xf numFmtId="0" fontId="86" fillId="87" borderId="83" xfId="0" applyFont="1" applyFill="1" applyBorder="1" applyAlignment="1">
      <alignment horizontal="center"/>
    </xf>
    <xf numFmtId="4" fontId="87" fillId="88" borderId="84" xfId="0" applyNumberFormat="1" applyFont="1" applyFill="1" applyBorder="1" applyAlignment="1">
      <alignment horizontal="right"/>
    </xf>
    <xf numFmtId="165" fontId="88" fillId="89" borderId="85" xfId="0" applyNumberFormat="1" applyFont="1" applyFill="1" applyBorder="1" applyAlignment="1">
      <alignment horizontal="center"/>
    </xf>
    <xf numFmtId="0" fontId="89" fillId="90" borderId="86" xfId="0" applyFont="1" applyFill="1" applyBorder="1" applyAlignment="1">
      <alignment horizontal="center"/>
    </xf>
    <xf numFmtId="0" fontId="91" fillId="92" borderId="88" xfId="0" applyFont="1" applyFill="1" applyBorder="1" applyAlignment="1">
      <alignment horizontal="center"/>
    </xf>
    <xf numFmtId="0" fontId="92" fillId="93" borderId="89" xfId="0" applyFont="1" applyFill="1" applyBorder="1" applyAlignment="1">
      <alignment horizontal="center"/>
    </xf>
    <xf numFmtId="0" fontId="93" fillId="94" borderId="90" xfId="0" applyFont="1" applyFill="1" applyBorder="1" applyAlignment="1">
      <alignment horizontal="center"/>
    </xf>
    <xf numFmtId="4" fontId="94" fillId="95" borderId="91" xfId="0" applyNumberFormat="1" applyFont="1" applyFill="1" applyBorder="1" applyAlignment="1">
      <alignment horizontal="right"/>
    </xf>
    <xf numFmtId="165" fontId="95" fillId="96" borderId="92" xfId="0" applyNumberFormat="1" applyFont="1" applyFill="1" applyBorder="1" applyAlignment="1">
      <alignment horizontal="center"/>
    </xf>
    <xf numFmtId="0" fontId="96" fillId="97" borderId="93" xfId="0" applyFont="1" applyFill="1" applyBorder="1" applyAlignment="1">
      <alignment horizontal="center"/>
    </xf>
    <xf numFmtId="0" fontId="98" fillId="99" borderId="95" xfId="0" applyFont="1" applyFill="1" applyBorder="1" applyAlignment="1">
      <alignment horizontal="center"/>
    </xf>
    <xf numFmtId="0" fontId="99" fillId="100" borderId="96" xfId="0" applyFont="1" applyFill="1" applyBorder="1" applyAlignment="1">
      <alignment horizontal="center"/>
    </xf>
    <xf numFmtId="0" fontId="100" fillId="101" borderId="97" xfId="0" applyFont="1" applyFill="1" applyBorder="1" applyAlignment="1">
      <alignment horizontal="center"/>
    </xf>
    <xf numFmtId="4" fontId="101" fillId="102" borderId="98" xfId="0" applyNumberFormat="1" applyFont="1" applyFill="1" applyBorder="1" applyAlignment="1">
      <alignment horizontal="right"/>
    </xf>
    <xf numFmtId="165" fontId="102" fillId="103" borderId="99" xfId="0" applyNumberFormat="1" applyFont="1" applyFill="1" applyBorder="1" applyAlignment="1">
      <alignment horizontal="center"/>
    </xf>
    <xf numFmtId="0" fontId="103" fillId="104" borderId="100" xfId="0" applyFont="1" applyFill="1" applyBorder="1" applyAlignment="1">
      <alignment horizontal="center"/>
    </xf>
    <xf numFmtId="0" fontId="105" fillId="106" borderId="102" xfId="0" applyFont="1" applyFill="1" applyBorder="1" applyAlignment="1">
      <alignment horizontal="center"/>
    </xf>
    <xf numFmtId="0" fontId="106" fillId="107" borderId="103" xfId="0" applyFont="1" applyFill="1" applyBorder="1" applyAlignment="1">
      <alignment horizontal="center"/>
    </xf>
    <xf numFmtId="0" fontId="107" fillId="108" borderId="104" xfId="0" applyFont="1" applyFill="1" applyBorder="1" applyAlignment="1">
      <alignment horizontal="center"/>
    </xf>
    <xf numFmtId="4" fontId="108" fillId="109" borderId="105" xfId="0" applyNumberFormat="1" applyFont="1" applyFill="1" applyBorder="1" applyAlignment="1">
      <alignment horizontal="right"/>
    </xf>
    <xf numFmtId="165" fontId="109" fillId="110" borderId="106" xfId="0" applyNumberFormat="1" applyFont="1" applyFill="1" applyBorder="1" applyAlignment="1">
      <alignment horizontal="center"/>
    </xf>
    <xf numFmtId="0" fontId="110" fillId="111" borderId="107" xfId="0" applyFont="1" applyFill="1" applyBorder="1" applyAlignment="1">
      <alignment horizontal="center"/>
    </xf>
    <xf numFmtId="0" fontId="112" fillId="113" borderId="109" xfId="0" applyFont="1" applyFill="1" applyBorder="1" applyAlignment="1">
      <alignment horizontal="center"/>
    </xf>
    <xf numFmtId="0" fontId="113" fillId="114" borderId="110" xfId="0" applyFont="1" applyFill="1" applyBorder="1" applyAlignment="1">
      <alignment horizontal="center"/>
    </xf>
    <xf numFmtId="0" fontId="114" fillId="115" borderId="111" xfId="0" applyFont="1" applyFill="1" applyBorder="1" applyAlignment="1">
      <alignment horizontal="center"/>
    </xf>
    <xf numFmtId="4" fontId="115" fillId="116" borderId="112" xfId="0" applyNumberFormat="1" applyFont="1" applyFill="1" applyBorder="1" applyAlignment="1">
      <alignment horizontal="right"/>
    </xf>
    <xf numFmtId="165" fontId="116" fillId="117" borderId="113" xfId="0" applyNumberFormat="1" applyFont="1" applyFill="1" applyBorder="1" applyAlignment="1">
      <alignment horizontal="center"/>
    </xf>
    <xf numFmtId="0" fontId="117" fillId="118" borderId="114" xfId="0" applyFont="1" applyFill="1" applyBorder="1" applyAlignment="1">
      <alignment horizontal="center"/>
    </xf>
    <xf numFmtId="0" fontId="119" fillId="120" borderId="116" xfId="0" applyFont="1" applyFill="1" applyBorder="1" applyAlignment="1">
      <alignment horizontal="center"/>
    </xf>
    <xf numFmtId="0" fontId="120" fillId="121" borderId="117" xfId="0" applyFont="1" applyFill="1" applyBorder="1" applyAlignment="1">
      <alignment horizontal="center"/>
    </xf>
    <xf numFmtId="0" fontId="121" fillId="122" borderId="118" xfId="0" applyFont="1" applyFill="1" applyBorder="1" applyAlignment="1">
      <alignment horizontal="center"/>
    </xf>
    <xf numFmtId="4" fontId="122" fillId="123" borderId="119" xfId="0" applyNumberFormat="1" applyFont="1" applyFill="1" applyBorder="1" applyAlignment="1">
      <alignment horizontal="right"/>
    </xf>
    <xf numFmtId="165" fontId="123" fillId="124" borderId="120" xfId="0" applyNumberFormat="1" applyFont="1" applyFill="1" applyBorder="1" applyAlignment="1">
      <alignment horizontal="center"/>
    </xf>
    <xf numFmtId="0" fontId="124" fillId="125" borderId="121" xfId="0" applyFont="1" applyFill="1" applyBorder="1" applyAlignment="1">
      <alignment horizontal="center"/>
    </xf>
    <xf numFmtId="0" fontId="126" fillId="127" borderId="123" xfId="0" applyFont="1" applyFill="1" applyBorder="1" applyAlignment="1">
      <alignment horizontal="center"/>
    </xf>
    <xf numFmtId="0" fontId="127" fillId="128" borderId="124" xfId="0" applyFont="1" applyFill="1" applyBorder="1" applyAlignment="1">
      <alignment horizontal="center"/>
    </xf>
    <xf numFmtId="0" fontId="128" fillId="129" borderId="125" xfId="0" applyFont="1" applyFill="1" applyBorder="1" applyAlignment="1">
      <alignment horizontal="center"/>
    </xf>
    <xf numFmtId="4" fontId="129" fillId="130" borderId="126" xfId="0" applyNumberFormat="1" applyFont="1" applyFill="1" applyBorder="1" applyAlignment="1">
      <alignment horizontal="right"/>
    </xf>
    <xf numFmtId="165" fontId="130" fillId="131" borderId="127" xfId="0" applyNumberFormat="1" applyFont="1" applyFill="1" applyBorder="1" applyAlignment="1">
      <alignment horizontal="center"/>
    </xf>
    <xf numFmtId="0" fontId="131" fillId="132" borderId="128" xfId="0" applyFont="1" applyFill="1" applyBorder="1" applyAlignment="1">
      <alignment horizontal="center"/>
    </xf>
    <xf numFmtId="0" fontId="133" fillId="134" borderId="130" xfId="0" applyFont="1" applyFill="1" applyBorder="1" applyAlignment="1">
      <alignment horizontal="center"/>
    </xf>
    <xf numFmtId="0" fontId="134" fillId="135" borderId="131" xfId="0" applyFont="1" applyFill="1" applyBorder="1" applyAlignment="1">
      <alignment horizontal="center"/>
    </xf>
    <xf numFmtId="0" fontId="135" fillId="136" borderId="132" xfId="0" applyFont="1" applyFill="1" applyBorder="1" applyAlignment="1">
      <alignment horizontal="center"/>
    </xf>
    <xf numFmtId="4" fontId="136" fillId="137" borderId="133" xfId="0" applyNumberFormat="1" applyFont="1" applyFill="1" applyBorder="1" applyAlignment="1">
      <alignment horizontal="right"/>
    </xf>
    <xf numFmtId="165" fontId="137" fillId="138" borderId="134" xfId="0" applyNumberFormat="1" applyFont="1" applyFill="1" applyBorder="1" applyAlignment="1">
      <alignment horizontal="center"/>
    </xf>
    <xf numFmtId="0" fontId="138" fillId="139" borderId="135" xfId="0" applyFont="1" applyFill="1" applyBorder="1" applyAlignment="1">
      <alignment horizontal="center"/>
    </xf>
    <xf numFmtId="0" fontId="140" fillId="141" borderId="137" xfId="0" applyFont="1" applyFill="1" applyBorder="1" applyAlignment="1">
      <alignment horizontal="center"/>
    </xf>
    <xf numFmtId="0" fontId="141" fillId="142" borderId="138" xfId="0" applyFont="1" applyFill="1" applyBorder="1" applyAlignment="1">
      <alignment horizontal="center"/>
    </xf>
    <xf numFmtId="0" fontId="142" fillId="143" borderId="139" xfId="0" applyFont="1" applyFill="1" applyBorder="1" applyAlignment="1">
      <alignment horizontal="center"/>
    </xf>
    <xf numFmtId="4" fontId="143" fillId="144" borderId="140" xfId="0" applyNumberFormat="1" applyFont="1" applyFill="1" applyBorder="1" applyAlignment="1">
      <alignment horizontal="right"/>
    </xf>
    <xf numFmtId="165" fontId="144" fillId="145" borderId="141" xfId="0" applyNumberFormat="1" applyFont="1" applyFill="1" applyBorder="1" applyAlignment="1">
      <alignment horizontal="center"/>
    </xf>
    <xf numFmtId="0" fontId="145" fillId="146" borderId="142" xfId="0" applyFont="1" applyFill="1" applyBorder="1" applyAlignment="1">
      <alignment horizontal="center"/>
    </xf>
    <xf numFmtId="0" fontId="147" fillId="148" borderId="144" xfId="0" applyFont="1" applyFill="1" applyBorder="1" applyAlignment="1">
      <alignment horizontal="center"/>
    </xf>
    <xf numFmtId="0" fontId="148" fillId="149" borderId="145" xfId="0" applyFont="1" applyFill="1" applyBorder="1" applyAlignment="1">
      <alignment horizontal="center"/>
    </xf>
    <xf numFmtId="0" fontId="149" fillId="150" borderId="146" xfId="0" applyFont="1" applyFill="1" applyBorder="1" applyAlignment="1">
      <alignment horizontal="center"/>
    </xf>
    <xf numFmtId="4" fontId="150" fillId="151" borderId="147" xfId="0" applyNumberFormat="1" applyFont="1" applyFill="1" applyBorder="1" applyAlignment="1">
      <alignment horizontal="right"/>
    </xf>
    <xf numFmtId="165" fontId="151" fillId="152" borderId="148" xfId="0" applyNumberFormat="1" applyFont="1" applyFill="1" applyBorder="1" applyAlignment="1">
      <alignment horizontal="center"/>
    </xf>
    <xf numFmtId="0" fontId="152" fillId="153" borderId="149" xfId="0" applyFont="1" applyFill="1" applyBorder="1" applyAlignment="1">
      <alignment horizontal="center"/>
    </xf>
    <xf numFmtId="0" fontId="154" fillId="155" borderId="151" xfId="0" applyFont="1" applyFill="1" applyBorder="1" applyAlignment="1">
      <alignment horizontal="center"/>
    </xf>
    <xf numFmtId="0" fontId="155" fillId="156" borderId="152" xfId="0" applyFont="1" applyFill="1" applyBorder="1" applyAlignment="1">
      <alignment horizontal="center"/>
    </xf>
    <xf numFmtId="0" fontId="156" fillId="157" borderId="153" xfId="0" applyFont="1" applyFill="1" applyBorder="1" applyAlignment="1">
      <alignment horizontal="center"/>
    </xf>
    <xf numFmtId="4" fontId="157" fillId="158" borderId="154" xfId="0" applyNumberFormat="1" applyFont="1" applyFill="1" applyBorder="1" applyAlignment="1">
      <alignment horizontal="right"/>
    </xf>
    <xf numFmtId="165" fontId="158" fillId="159" borderId="155" xfId="0" applyNumberFormat="1" applyFont="1" applyFill="1" applyBorder="1" applyAlignment="1">
      <alignment horizontal="center"/>
    </xf>
    <xf numFmtId="0" fontId="159" fillId="160" borderId="156" xfId="0" applyFont="1" applyFill="1" applyBorder="1" applyAlignment="1">
      <alignment horizontal="center"/>
    </xf>
    <xf numFmtId="0" fontId="161" fillId="162" borderId="158" xfId="0" applyFont="1" applyFill="1" applyBorder="1" applyAlignment="1">
      <alignment horizontal="center"/>
    </xf>
    <xf numFmtId="0" fontId="162" fillId="163" borderId="159" xfId="0" applyFont="1" applyFill="1" applyBorder="1" applyAlignment="1">
      <alignment horizontal="center"/>
    </xf>
    <xf numFmtId="0" fontId="163" fillId="164" borderId="160" xfId="0" applyFont="1" applyFill="1" applyBorder="1" applyAlignment="1">
      <alignment horizontal="center"/>
    </xf>
    <xf numFmtId="4" fontId="164" fillId="165" borderId="161" xfId="0" applyNumberFormat="1" applyFont="1" applyFill="1" applyBorder="1" applyAlignment="1">
      <alignment horizontal="right"/>
    </xf>
    <xf numFmtId="165" fontId="165" fillId="166" borderId="162" xfId="0" applyNumberFormat="1" applyFont="1" applyFill="1" applyBorder="1" applyAlignment="1">
      <alignment horizontal="center"/>
    </xf>
    <xf numFmtId="0" fontId="166" fillId="167" borderId="163" xfId="0" applyFont="1" applyFill="1" applyBorder="1" applyAlignment="1">
      <alignment horizontal="center"/>
    </xf>
    <xf numFmtId="0" fontId="168" fillId="169" borderId="165" xfId="0" applyFont="1" applyFill="1" applyBorder="1" applyAlignment="1">
      <alignment horizontal="center"/>
    </xf>
    <xf numFmtId="0" fontId="169" fillId="170" borderId="166" xfId="0" applyFont="1" applyFill="1" applyBorder="1" applyAlignment="1">
      <alignment horizontal="center"/>
    </xf>
    <xf numFmtId="0" fontId="170" fillId="171" borderId="167" xfId="0" applyFont="1" applyFill="1" applyBorder="1" applyAlignment="1">
      <alignment horizontal="center"/>
    </xf>
    <xf numFmtId="4" fontId="171" fillId="172" borderId="168" xfId="0" applyNumberFormat="1" applyFont="1" applyFill="1" applyBorder="1" applyAlignment="1">
      <alignment horizontal="right"/>
    </xf>
    <xf numFmtId="165" fontId="172" fillId="173" borderId="169" xfId="0" applyNumberFormat="1" applyFont="1" applyFill="1" applyBorder="1" applyAlignment="1">
      <alignment horizontal="center"/>
    </xf>
    <xf numFmtId="0" fontId="173" fillId="174" borderId="170" xfId="0" applyFont="1" applyFill="1" applyBorder="1" applyAlignment="1">
      <alignment horizontal="center"/>
    </xf>
    <xf numFmtId="0" fontId="175" fillId="176" borderId="172" xfId="0" applyFont="1" applyFill="1" applyBorder="1" applyAlignment="1">
      <alignment horizontal="center"/>
    </xf>
    <xf numFmtId="0" fontId="176" fillId="177" borderId="173" xfId="0" applyFont="1" applyFill="1" applyBorder="1" applyAlignment="1">
      <alignment horizontal="center"/>
    </xf>
    <xf numFmtId="0" fontId="177" fillId="178" borderId="174" xfId="0" applyFont="1" applyFill="1" applyBorder="1" applyAlignment="1">
      <alignment horizontal="center"/>
    </xf>
    <xf numFmtId="4" fontId="178" fillId="179" borderId="175" xfId="0" applyNumberFormat="1" applyFont="1" applyFill="1" applyBorder="1" applyAlignment="1">
      <alignment horizontal="right"/>
    </xf>
    <xf numFmtId="165" fontId="179" fillId="180" borderId="176" xfId="0" applyNumberFormat="1" applyFont="1" applyFill="1" applyBorder="1" applyAlignment="1">
      <alignment horizontal="center"/>
    </xf>
    <xf numFmtId="0" fontId="180" fillId="181" borderId="177" xfId="0" applyFont="1" applyFill="1" applyBorder="1" applyAlignment="1">
      <alignment horizontal="center"/>
    </xf>
    <xf numFmtId="0" fontId="182" fillId="183" borderId="179" xfId="0" applyFont="1" applyFill="1" applyBorder="1" applyAlignment="1">
      <alignment horizontal="center"/>
    </xf>
    <xf numFmtId="0" fontId="183" fillId="184" borderId="180" xfId="0" applyFont="1" applyFill="1" applyBorder="1" applyAlignment="1">
      <alignment horizontal="center"/>
    </xf>
    <xf numFmtId="0" fontId="184" fillId="185" borderId="181" xfId="0" applyFont="1" applyFill="1" applyBorder="1" applyAlignment="1">
      <alignment horizontal="center"/>
    </xf>
    <xf numFmtId="4" fontId="185" fillId="186" borderId="182" xfId="0" applyNumberFormat="1" applyFont="1" applyFill="1" applyBorder="1" applyAlignment="1">
      <alignment horizontal="right"/>
    </xf>
    <xf numFmtId="165" fontId="186" fillId="187" borderId="183" xfId="0" applyNumberFormat="1" applyFont="1" applyFill="1" applyBorder="1" applyAlignment="1">
      <alignment horizontal="center"/>
    </xf>
    <xf numFmtId="0" fontId="187" fillId="188" borderId="184" xfId="0" applyFont="1" applyFill="1" applyBorder="1" applyAlignment="1">
      <alignment horizontal="center"/>
    </xf>
    <xf numFmtId="0" fontId="189" fillId="190" borderId="186" xfId="0" applyFont="1" applyFill="1" applyBorder="1" applyAlignment="1">
      <alignment horizontal="center"/>
    </xf>
    <xf numFmtId="0" fontId="190" fillId="191" borderId="187" xfId="0" applyFont="1" applyFill="1" applyBorder="1" applyAlignment="1">
      <alignment horizontal="center"/>
    </xf>
    <xf numFmtId="0" fontId="191" fillId="192" borderId="188" xfId="0" applyFont="1" applyFill="1" applyBorder="1" applyAlignment="1">
      <alignment horizontal="center"/>
    </xf>
    <xf numFmtId="4" fontId="192" fillId="193" borderId="189" xfId="0" applyNumberFormat="1" applyFont="1" applyFill="1" applyBorder="1" applyAlignment="1">
      <alignment horizontal="right"/>
    </xf>
    <xf numFmtId="165" fontId="193" fillId="194" borderId="190" xfId="0" applyNumberFormat="1" applyFont="1" applyFill="1" applyBorder="1" applyAlignment="1">
      <alignment horizontal="center"/>
    </xf>
    <xf numFmtId="0" fontId="194" fillId="195" borderId="191" xfId="0" applyFont="1" applyFill="1" applyBorder="1" applyAlignment="1">
      <alignment horizontal="center"/>
    </xf>
    <xf numFmtId="0" fontId="196" fillId="197" borderId="193" xfId="0" applyFont="1" applyFill="1" applyBorder="1" applyAlignment="1">
      <alignment horizontal="center"/>
    </xf>
    <xf numFmtId="0" fontId="197" fillId="198" borderId="194" xfId="0" applyFont="1" applyFill="1" applyBorder="1" applyAlignment="1">
      <alignment horizontal="center"/>
    </xf>
    <xf numFmtId="0" fontId="198" fillId="199" borderId="195" xfId="0" applyFont="1" applyFill="1" applyBorder="1" applyAlignment="1">
      <alignment horizontal="center"/>
    </xf>
    <xf numFmtId="4" fontId="199" fillId="200" borderId="196" xfId="0" applyNumberFormat="1" applyFont="1" applyFill="1" applyBorder="1" applyAlignment="1">
      <alignment horizontal="right"/>
    </xf>
    <xf numFmtId="165" fontId="200" fillId="201" borderId="197" xfId="0" applyNumberFormat="1" applyFont="1" applyFill="1" applyBorder="1" applyAlignment="1">
      <alignment horizontal="center"/>
    </xf>
    <xf numFmtId="0" fontId="201" fillId="202" borderId="198" xfId="0" applyFont="1" applyFill="1" applyBorder="1" applyAlignment="1">
      <alignment horizontal="center"/>
    </xf>
    <xf numFmtId="0" fontId="203" fillId="204" borderId="200" xfId="0" applyFont="1" applyFill="1" applyBorder="1" applyAlignment="1">
      <alignment horizontal="center"/>
    </xf>
    <xf numFmtId="0" fontId="204" fillId="205" borderId="201" xfId="0" applyFont="1" applyFill="1" applyBorder="1" applyAlignment="1">
      <alignment horizontal="center"/>
    </xf>
    <xf numFmtId="0" fontId="205" fillId="206" borderId="202" xfId="0" applyFont="1" applyFill="1" applyBorder="1" applyAlignment="1">
      <alignment horizontal="center"/>
    </xf>
    <xf numFmtId="4" fontId="206" fillId="207" borderId="203" xfId="0" applyNumberFormat="1" applyFont="1" applyFill="1" applyBorder="1" applyAlignment="1">
      <alignment horizontal="right"/>
    </xf>
    <xf numFmtId="165" fontId="207" fillId="208" borderId="204" xfId="0" applyNumberFormat="1" applyFont="1" applyFill="1" applyBorder="1" applyAlignment="1">
      <alignment horizontal="center"/>
    </xf>
    <xf numFmtId="0" fontId="208" fillId="209" borderId="205" xfId="0" applyFont="1" applyFill="1" applyBorder="1" applyAlignment="1">
      <alignment horizontal="center"/>
    </xf>
    <xf numFmtId="0" fontId="210" fillId="211" borderId="207" xfId="0" applyFont="1" applyFill="1" applyBorder="1" applyAlignment="1">
      <alignment horizontal="center"/>
    </xf>
    <xf numFmtId="0" fontId="211" fillId="212" borderId="208" xfId="0" applyFont="1" applyFill="1" applyBorder="1" applyAlignment="1">
      <alignment horizontal="center"/>
    </xf>
    <xf numFmtId="0" fontId="212" fillId="213" borderId="209" xfId="0" applyFont="1" applyFill="1" applyBorder="1" applyAlignment="1">
      <alignment horizontal="center"/>
    </xf>
    <xf numFmtId="4" fontId="213" fillId="214" borderId="210" xfId="0" applyNumberFormat="1" applyFont="1" applyFill="1" applyBorder="1" applyAlignment="1">
      <alignment horizontal="right"/>
    </xf>
    <xf numFmtId="165" fontId="214" fillId="215" borderId="211" xfId="0" applyNumberFormat="1" applyFont="1" applyFill="1" applyBorder="1" applyAlignment="1">
      <alignment horizontal="center"/>
    </xf>
    <xf numFmtId="0" fontId="215" fillId="216" borderId="212" xfId="0" applyFont="1" applyFill="1" applyBorder="1" applyAlignment="1">
      <alignment horizontal="center"/>
    </xf>
    <xf numFmtId="0" fontId="217" fillId="218" borderId="214" xfId="0" applyFont="1" applyFill="1" applyBorder="1" applyAlignment="1">
      <alignment horizontal="center"/>
    </xf>
    <xf numFmtId="0" fontId="218" fillId="219" borderId="215" xfId="0" applyFont="1" applyFill="1" applyBorder="1" applyAlignment="1">
      <alignment horizontal="center"/>
    </xf>
    <xf numFmtId="0" fontId="219" fillId="220" borderId="216" xfId="0" applyFont="1" applyFill="1" applyBorder="1" applyAlignment="1">
      <alignment horizontal="center"/>
    </xf>
    <xf numFmtId="4" fontId="220" fillId="221" borderId="217" xfId="0" applyNumberFormat="1" applyFont="1" applyFill="1" applyBorder="1" applyAlignment="1">
      <alignment horizontal="right"/>
    </xf>
    <xf numFmtId="165" fontId="221" fillId="222" borderId="218" xfId="0" applyNumberFormat="1" applyFont="1" applyFill="1" applyBorder="1" applyAlignment="1">
      <alignment horizontal="center"/>
    </xf>
    <xf numFmtId="0" fontId="222" fillId="223" borderId="219" xfId="0" applyFont="1" applyFill="1" applyBorder="1" applyAlignment="1">
      <alignment horizontal="center"/>
    </xf>
    <xf numFmtId="0" fontId="224" fillId="225" borderId="221" xfId="0" applyFont="1" applyFill="1" applyBorder="1" applyAlignment="1">
      <alignment horizontal="center"/>
    </xf>
    <xf numFmtId="0" fontId="225" fillId="226" borderId="222" xfId="0" applyFont="1" applyFill="1" applyBorder="1" applyAlignment="1">
      <alignment horizontal="center"/>
    </xf>
    <xf numFmtId="0" fontId="226" fillId="227" borderId="223" xfId="0" applyFont="1" applyFill="1" applyBorder="1" applyAlignment="1">
      <alignment horizontal="center"/>
    </xf>
    <xf numFmtId="4" fontId="227" fillId="228" borderId="224" xfId="0" applyNumberFormat="1" applyFont="1" applyFill="1" applyBorder="1" applyAlignment="1">
      <alignment horizontal="right"/>
    </xf>
    <xf numFmtId="165" fontId="228" fillId="229" borderId="225" xfId="0" applyNumberFormat="1" applyFont="1" applyFill="1" applyBorder="1" applyAlignment="1">
      <alignment horizontal="center"/>
    </xf>
    <xf numFmtId="0" fontId="229" fillId="230" borderId="226" xfId="0" applyFont="1" applyFill="1" applyBorder="1" applyAlignment="1">
      <alignment horizontal="center"/>
    </xf>
    <xf numFmtId="0" fontId="231" fillId="232" borderId="228" xfId="0" applyFont="1" applyFill="1" applyBorder="1" applyAlignment="1">
      <alignment horizontal="center"/>
    </xf>
    <xf numFmtId="0" fontId="232" fillId="233" borderId="229" xfId="0" applyFont="1" applyFill="1" applyBorder="1" applyAlignment="1">
      <alignment horizontal="center"/>
    </xf>
    <xf numFmtId="0" fontId="233" fillId="234" borderId="230" xfId="0" applyFont="1" applyFill="1" applyBorder="1" applyAlignment="1">
      <alignment horizontal="center"/>
    </xf>
    <xf numFmtId="4" fontId="234" fillId="235" borderId="231" xfId="0" applyNumberFormat="1" applyFont="1" applyFill="1" applyBorder="1" applyAlignment="1">
      <alignment horizontal="right"/>
    </xf>
    <xf numFmtId="165" fontId="235" fillId="236" borderId="232" xfId="0" applyNumberFormat="1" applyFont="1" applyFill="1" applyBorder="1" applyAlignment="1">
      <alignment horizontal="center"/>
    </xf>
    <xf numFmtId="0" fontId="236" fillId="237" borderId="233" xfId="0" applyFont="1" applyFill="1" applyBorder="1" applyAlignment="1">
      <alignment horizontal="center"/>
    </xf>
    <xf numFmtId="0" fontId="238" fillId="239" borderId="235" xfId="0" applyFont="1" applyFill="1" applyBorder="1" applyAlignment="1">
      <alignment horizontal="center"/>
    </xf>
    <xf numFmtId="0" fontId="239" fillId="240" borderId="236" xfId="0" applyFont="1" applyFill="1" applyBorder="1" applyAlignment="1">
      <alignment horizontal="center"/>
    </xf>
    <xf numFmtId="0" fontId="240" fillId="241" borderId="237" xfId="0" applyFont="1" applyFill="1" applyBorder="1" applyAlignment="1">
      <alignment horizontal="center"/>
    </xf>
    <xf numFmtId="4" fontId="241" fillId="242" borderId="238" xfId="0" applyNumberFormat="1" applyFont="1" applyFill="1" applyBorder="1" applyAlignment="1">
      <alignment horizontal="right"/>
    </xf>
    <xf numFmtId="165" fontId="242" fillId="243" borderId="239" xfId="0" applyNumberFormat="1" applyFont="1" applyFill="1" applyBorder="1" applyAlignment="1">
      <alignment horizontal="center"/>
    </xf>
    <xf numFmtId="0" fontId="243" fillId="244" borderId="240" xfId="0" applyFont="1" applyFill="1" applyBorder="1" applyAlignment="1">
      <alignment horizontal="center"/>
    </xf>
    <xf numFmtId="0" fontId="245" fillId="246" borderId="242" xfId="0" applyFont="1" applyFill="1" applyBorder="1" applyAlignment="1">
      <alignment horizontal="center"/>
    </xf>
    <xf numFmtId="0" fontId="246" fillId="247" borderId="243" xfId="0" applyFont="1" applyFill="1" applyBorder="1" applyAlignment="1">
      <alignment horizontal="center"/>
    </xf>
    <xf numFmtId="0" fontId="247" fillId="248" borderId="244" xfId="0" applyFont="1" applyFill="1" applyBorder="1" applyAlignment="1">
      <alignment horizontal="center"/>
    </xf>
    <xf numFmtId="4" fontId="248" fillId="249" borderId="245" xfId="0" applyNumberFormat="1" applyFont="1" applyFill="1" applyBorder="1" applyAlignment="1">
      <alignment horizontal="right"/>
    </xf>
    <xf numFmtId="165" fontId="249" fillId="250" borderId="246" xfId="0" applyNumberFormat="1" applyFont="1" applyFill="1" applyBorder="1" applyAlignment="1">
      <alignment horizontal="center"/>
    </xf>
    <xf numFmtId="0" fontId="250" fillId="251" borderId="247" xfId="0" applyFont="1" applyFill="1" applyBorder="1" applyAlignment="1">
      <alignment horizontal="center"/>
    </xf>
    <xf numFmtId="0" fontId="252" fillId="253" borderId="249" xfId="0" applyFont="1" applyFill="1" applyBorder="1" applyAlignment="1">
      <alignment horizontal="center"/>
    </xf>
    <xf numFmtId="0" fontId="253" fillId="254" borderId="250" xfId="0" applyFont="1" applyFill="1" applyBorder="1" applyAlignment="1">
      <alignment horizontal="center"/>
    </xf>
    <xf numFmtId="0" fontId="254" fillId="255" borderId="251" xfId="0" applyFont="1" applyFill="1" applyBorder="1" applyAlignment="1">
      <alignment horizontal="center"/>
    </xf>
    <xf numFmtId="4" fontId="255" fillId="256" borderId="252" xfId="0" applyNumberFormat="1" applyFont="1" applyFill="1" applyBorder="1" applyAlignment="1">
      <alignment horizontal="right"/>
    </xf>
    <xf numFmtId="165" fontId="256" fillId="257" borderId="253" xfId="0" applyNumberFormat="1" applyFont="1" applyFill="1" applyBorder="1" applyAlignment="1">
      <alignment horizontal="center"/>
    </xf>
    <xf numFmtId="0" fontId="257" fillId="258" borderId="254" xfId="0" applyFont="1" applyFill="1" applyBorder="1" applyAlignment="1">
      <alignment horizontal="center"/>
    </xf>
    <xf numFmtId="0" fontId="259" fillId="260" borderId="256" xfId="0" applyFont="1" applyFill="1" applyBorder="1" applyAlignment="1">
      <alignment horizontal="center"/>
    </xf>
    <xf numFmtId="0" fontId="260" fillId="261" borderId="257" xfId="0" applyFont="1" applyFill="1" applyBorder="1" applyAlignment="1">
      <alignment horizontal="center"/>
    </xf>
    <xf numFmtId="0" fontId="261" fillId="262" borderId="258" xfId="0" applyFont="1" applyFill="1" applyBorder="1" applyAlignment="1">
      <alignment horizontal="center"/>
    </xf>
    <xf numFmtId="4" fontId="262" fillId="263" borderId="259" xfId="0" applyNumberFormat="1" applyFont="1" applyFill="1" applyBorder="1" applyAlignment="1">
      <alignment horizontal="right"/>
    </xf>
    <xf numFmtId="165" fontId="263" fillId="264" borderId="260" xfId="0" applyNumberFormat="1" applyFont="1" applyFill="1" applyBorder="1" applyAlignment="1">
      <alignment horizontal="center"/>
    </xf>
    <xf numFmtId="0" fontId="264" fillId="265" borderId="261" xfId="0" applyFont="1" applyFill="1" applyBorder="1" applyAlignment="1">
      <alignment horizontal="center"/>
    </xf>
    <xf numFmtId="0" fontId="266" fillId="267" borderId="263" xfId="0" applyFont="1" applyFill="1" applyBorder="1" applyAlignment="1">
      <alignment horizontal="center"/>
    </xf>
    <xf numFmtId="0" fontId="267" fillId="268" borderId="264" xfId="0" applyFont="1" applyFill="1" applyBorder="1" applyAlignment="1">
      <alignment horizontal="center"/>
    </xf>
    <xf numFmtId="0" fontId="268" fillId="269" borderId="265" xfId="0" applyFont="1" applyFill="1" applyBorder="1" applyAlignment="1">
      <alignment horizontal="center"/>
    </xf>
    <xf numFmtId="4" fontId="269" fillId="270" borderId="266" xfId="0" applyNumberFormat="1" applyFont="1" applyFill="1" applyBorder="1" applyAlignment="1">
      <alignment horizontal="right"/>
    </xf>
    <xf numFmtId="165" fontId="270" fillId="271" borderId="267" xfId="0" applyNumberFormat="1" applyFont="1" applyFill="1" applyBorder="1" applyAlignment="1">
      <alignment horizontal="center"/>
    </xf>
    <xf numFmtId="0" fontId="271" fillId="272" borderId="268" xfId="0" applyFont="1" applyFill="1" applyBorder="1" applyAlignment="1">
      <alignment horizontal="center"/>
    </xf>
    <xf numFmtId="0" fontId="273" fillId="274" borderId="270" xfId="0" applyFont="1" applyFill="1" applyBorder="1" applyAlignment="1">
      <alignment horizontal="center"/>
    </xf>
    <xf numFmtId="0" fontId="274" fillId="275" borderId="271" xfId="0" applyFont="1" applyFill="1" applyBorder="1" applyAlignment="1">
      <alignment horizontal="center"/>
    </xf>
    <xf numFmtId="0" fontId="275" fillId="276" borderId="272" xfId="0" applyFont="1" applyFill="1" applyBorder="1" applyAlignment="1">
      <alignment horizontal="center"/>
    </xf>
    <xf numFmtId="4" fontId="276" fillId="277" borderId="273" xfId="0" applyNumberFormat="1" applyFont="1" applyFill="1" applyBorder="1" applyAlignment="1">
      <alignment horizontal="right"/>
    </xf>
    <xf numFmtId="165" fontId="277" fillId="278" borderId="274" xfId="0" applyNumberFormat="1" applyFont="1" applyFill="1" applyBorder="1" applyAlignment="1">
      <alignment horizontal="center"/>
    </xf>
    <xf numFmtId="0" fontId="278" fillId="279" borderId="275" xfId="0" applyFont="1" applyFill="1" applyBorder="1" applyAlignment="1">
      <alignment horizontal="center"/>
    </xf>
    <xf numFmtId="0" fontId="280" fillId="281" borderId="277" xfId="0" applyFont="1" applyFill="1" applyBorder="1" applyAlignment="1">
      <alignment horizontal="center"/>
    </xf>
    <xf numFmtId="0" fontId="281" fillId="282" borderId="278" xfId="0" applyFont="1" applyFill="1" applyBorder="1" applyAlignment="1">
      <alignment horizontal="center"/>
    </xf>
    <xf numFmtId="0" fontId="282" fillId="283" borderId="279" xfId="0" applyFont="1" applyFill="1" applyBorder="1" applyAlignment="1">
      <alignment horizontal="center"/>
    </xf>
    <xf numFmtId="4" fontId="283" fillId="284" borderId="280" xfId="0" applyNumberFormat="1" applyFont="1" applyFill="1" applyBorder="1" applyAlignment="1">
      <alignment horizontal="right"/>
    </xf>
    <xf numFmtId="165" fontId="284" fillId="285" borderId="281" xfId="0" applyNumberFormat="1" applyFont="1" applyFill="1" applyBorder="1" applyAlignment="1">
      <alignment horizontal="center"/>
    </xf>
    <xf numFmtId="0" fontId="285" fillId="286" borderId="282" xfId="0" applyFont="1" applyFill="1" applyBorder="1" applyAlignment="1">
      <alignment horizontal="center"/>
    </xf>
    <xf numFmtId="0" fontId="287" fillId="288" borderId="284" xfId="0" applyFont="1" applyFill="1" applyBorder="1" applyAlignment="1">
      <alignment horizontal="center"/>
    </xf>
    <xf numFmtId="0" fontId="288" fillId="289" borderId="285" xfId="0" applyFont="1" applyFill="1" applyBorder="1" applyAlignment="1">
      <alignment horizontal="center"/>
    </xf>
    <xf numFmtId="0" fontId="289" fillId="290" borderId="286" xfId="0" applyFont="1" applyFill="1" applyBorder="1" applyAlignment="1">
      <alignment horizontal="center"/>
    </xf>
    <xf numFmtId="4" fontId="290" fillId="291" borderId="287" xfId="0" applyNumberFormat="1" applyFont="1" applyFill="1" applyBorder="1" applyAlignment="1">
      <alignment horizontal="right"/>
    </xf>
    <xf numFmtId="165" fontId="291" fillId="292" borderId="288" xfId="0" applyNumberFormat="1" applyFont="1" applyFill="1" applyBorder="1" applyAlignment="1">
      <alignment horizontal="center"/>
    </xf>
    <xf numFmtId="0" fontId="292" fillId="293" borderId="289" xfId="0" applyFont="1" applyFill="1" applyBorder="1" applyAlignment="1">
      <alignment horizontal="center"/>
    </xf>
    <xf numFmtId="0" fontId="294" fillId="295" borderId="291" xfId="0" applyFont="1" applyFill="1" applyBorder="1" applyAlignment="1">
      <alignment horizontal="center"/>
    </xf>
    <xf numFmtId="0" fontId="295" fillId="296" borderId="292" xfId="0" applyFont="1" applyFill="1" applyBorder="1" applyAlignment="1">
      <alignment horizontal="center"/>
    </xf>
    <xf numFmtId="0" fontId="296" fillId="297" borderId="293" xfId="0" applyFont="1" applyFill="1" applyBorder="1" applyAlignment="1">
      <alignment horizontal="center"/>
    </xf>
    <xf numFmtId="4" fontId="297" fillId="298" borderId="294" xfId="0" applyNumberFormat="1" applyFont="1" applyFill="1" applyBorder="1" applyAlignment="1">
      <alignment horizontal="right"/>
    </xf>
    <xf numFmtId="165" fontId="298" fillId="299" borderId="295" xfId="0" applyNumberFormat="1" applyFont="1" applyFill="1" applyBorder="1" applyAlignment="1">
      <alignment horizontal="center"/>
    </xf>
    <xf numFmtId="0" fontId="299" fillId="300" borderId="296" xfId="0" applyFont="1" applyFill="1" applyBorder="1" applyAlignment="1">
      <alignment horizontal="center"/>
    </xf>
    <xf numFmtId="0" fontId="301" fillId="302" borderId="298" xfId="0" applyFont="1" applyFill="1" applyBorder="1" applyAlignment="1">
      <alignment horizontal="center"/>
    </xf>
    <xf numFmtId="0" fontId="302" fillId="303" borderId="299" xfId="0" applyFont="1" applyFill="1" applyBorder="1" applyAlignment="1">
      <alignment horizontal="center"/>
    </xf>
    <xf numFmtId="0" fontId="303" fillId="304" borderId="300" xfId="0" applyFont="1" applyFill="1" applyBorder="1" applyAlignment="1">
      <alignment horizontal="center"/>
    </xf>
    <xf numFmtId="4" fontId="304" fillId="305" borderId="301" xfId="0" applyNumberFormat="1" applyFont="1" applyFill="1" applyBorder="1" applyAlignment="1">
      <alignment horizontal="right"/>
    </xf>
    <xf numFmtId="0" fontId="305" fillId="306" borderId="302" xfId="0" applyFont="1" applyFill="1" applyBorder="1"/>
    <xf numFmtId="4" fontId="306" fillId="307" borderId="303" xfId="0" applyNumberFormat="1" applyFont="1" applyFill="1" applyBorder="1" applyAlignment="1">
      <alignment horizontal="right"/>
    </xf>
    <xf numFmtId="0" fontId="307" fillId="308" borderId="304" xfId="0" applyFont="1" applyFill="1" applyBorder="1"/>
    <xf numFmtId="0" fontId="309" fillId="310" borderId="306" xfId="0" applyFont="1" applyFill="1" applyBorder="1"/>
    <xf numFmtId="0" fontId="310" fillId="311" borderId="307" xfId="0" applyFont="1" applyFill="1" applyBorder="1"/>
    <xf numFmtId="0" fontId="311" fillId="312" borderId="308" xfId="0" applyFont="1" applyFill="1" applyBorder="1"/>
    <xf numFmtId="0" fontId="313" fillId="314" borderId="310" xfId="0" applyFont="1" applyFill="1" applyBorder="1"/>
    <xf numFmtId="0" fontId="314" fillId="315" borderId="311" xfId="0" applyFont="1" applyFill="1" applyBorder="1"/>
    <xf numFmtId="0" fontId="315" fillId="316" borderId="312" xfId="0" applyFont="1" applyFill="1" applyBorder="1"/>
    <xf numFmtId="0" fontId="319" fillId="320" borderId="316" xfId="0" applyFont="1" applyFill="1" applyBorder="1"/>
    <xf numFmtId="0" fontId="320" fillId="321" borderId="317" xfId="0" applyFont="1" applyFill="1" applyBorder="1" applyAlignment="1">
      <alignment horizontal="center"/>
    </xf>
    <xf numFmtId="4" fontId="323" fillId="324" borderId="318" xfId="0" applyNumberFormat="1" applyFont="1" applyFill="1" applyBorder="1" applyAlignment="1">
      <alignment horizontal="right"/>
    </xf>
    <xf numFmtId="165" fontId="659" fillId="660" borderId="320" xfId="0" applyNumberFormat="1" applyFont="1" applyFill="1" applyBorder="1" applyAlignment="1">
      <alignment horizontal="center"/>
    </xf>
    <xf numFmtId="0" fontId="660" fillId="661" borderId="321" xfId="0" applyFont="1" applyFill="1" applyBorder="1" applyAlignment="1">
      <alignment horizontal="center"/>
    </xf>
    <xf numFmtId="0" fontId="661" fillId="662" borderId="322" xfId="0" applyFont="1" applyFill="1" applyBorder="1" applyAlignment="1">
      <alignment horizontal="center"/>
    </xf>
    <xf numFmtId="0" fontId="662" fillId="663" borderId="323" xfId="0" applyFont="1" applyFill="1" applyBorder="1" applyAlignment="1">
      <alignment horizontal="center"/>
    </xf>
    <xf numFmtId="0" fontId="663" fillId="664" borderId="324" xfId="0" applyFont="1" applyFill="1" applyBorder="1" applyAlignment="1">
      <alignment horizontal="center"/>
    </xf>
    <xf numFmtId="4" fontId="664" fillId="665" borderId="325" xfId="0" applyNumberFormat="1" applyFont="1" applyFill="1" applyBorder="1" applyAlignment="1">
      <alignment horizontal="right"/>
    </xf>
    <xf numFmtId="4" fontId="665" fillId="666" borderId="326" xfId="0" applyNumberFormat="1" applyFont="1" applyFill="1" applyBorder="1" applyAlignment="1">
      <alignment horizontal="right"/>
    </xf>
    <xf numFmtId="0" fontId="666" fillId="667" borderId="327" xfId="0" applyFont="1" applyFill="1" applyBorder="1" applyAlignment="1">
      <alignment horizontal="center"/>
    </xf>
    <xf numFmtId="0" fontId="667" fillId="668" borderId="328" xfId="0" applyFont="1" applyFill="1" applyBorder="1" applyAlignment="1">
      <alignment horizontal="center"/>
    </xf>
    <xf numFmtId="0" fontId="668" fillId="669" borderId="329" xfId="0" applyFont="1" applyFill="1" applyBorder="1"/>
    <xf numFmtId="165" fontId="669" fillId="670" borderId="330" xfId="0" applyNumberFormat="1" applyFont="1" applyFill="1" applyBorder="1" applyAlignment="1">
      <alignment horizontal="center"/>
    </xf>
    <xf numFmtId="0" fontId="670" fillId="671" borderId="331" xfId="0" applyFont="1" applyFill="1" applyBorder="1" applyAlignment="1">
      <alignment horizontal="center"/>
    </xf>
    <xf numFmtId="0" fontId="671" fillId="672" borderId="332" xfId="0" applyFont="1" applyFill="1" applyBorder="1" applyAlignment="1">
      <alignment horizontal="center"/>
    </xf>
    <xf numFmtId="0" fontId="672" fillId="673" borderId="333" xfId="0" applyFont="1" applyFill="1" applyBorder="1" applyAlignment="1">
      <alignment horizontal="center"/>
    </xf>
    <xf numFmtId="0" fontId="673" fillId="674" borderId="334" xfId="0" applyFont="1" applyFill="1" applyBorder="1" applyAlignment="1">
      <alignment horizontal="center"/>
    </xf>
    <xf numFmtId="4" fontId="674" fillId="675" borderId="335" xfId="0" applyNumberFormat="1" applyFont="1" applyFill="1" applyBorder="1" applyAlignment="1">
      <alignment horizontal="right"/>
    </xf>
    <xf numFmtId="4" fontId="675" fillId="676" borderId="336" xfId="0" applyNumberFormat="1" applyFont="1" applyFill="1" applyBorder="1" applyAlignment="1">
      <alignment horizontal="right"/>
    </xf>
    <xf numFmtId="0" fontId="676" fillId="677" borderId="337" xfId="0" applyFont="1" applyFill="1" applyBorder="1" applyAlignment="1">
      <alignment horizontal="center"/>
    </xf>
    <xf numFmtId="0" fontId="677" fillId="678" borderId="338" xfId="0" applyFont="1" applyFill="1" applyBorder="1" applyAlignment="1">
      <alignment horizontal="center"/>
    </xf>
    <xf numFmtId="0" fontId="678" fillId="679" borderId="339" xfId="0" applyFont="1" applyFill="1" applyBorder="1"/>
    <xf numFmtId="165" fontId="679" fillId="680" borderId="340" xfId="0" applyNumberFormat="1" applyFont="1" applyFill="1" applyBorder="1" applyAlignment="1">
      <alignment horizontal="center"/>
    </xf>
    <xf numFmtId="0" fontId="680" fillId="681" borderId="341" xfId="0" applyFont="1" applyFill="1" applyBorder="1" applyAlignment="1">
      <alignment horizontal="center"/>
    </xf>
    <xf numFmtId="0" fontId="681" fillId="682" borderId="342" xfId="0" applyFont="1" applyFill="1" applyBorder="1" applyAlignment="1">
      <alignment horizontal="center"/>
    </xf>
    <xf numFmtId="0" fontId="682" fillId="683" borderId="343" xfId="0" applyFont="1" applyFill="1" applyBorder="1" applyAlignment="1">
      <alignment horizontal="center"/>
    </xf>
    <xf numFmtId="0" fontId="683" fillId="684" borderId="344" xfId="0" applyFont="1" applyFill="1" applyBorder="1" applyAlignment="1">
      <alignment horizontal="center"/>
    </xf>
    <xf numFmtId="4" fontId="684" fillId="685" borderId="345" xfId="0" applyNumberFormat="1" applyFont="1" applyFill="1" applyBorder="1" applyAlignment="1">
      <alignment horizontal="right"/>
    </xf>
    <xf numFmtId="4" fontId="685" fillId="686" borderId="346" xfId="0" applyNumberFormat="1" applyFont="1" applyFill="1" applyBorder="1" applyAlignment="1">
      <alignment horizontal="right"/>
    </xf>
    <xf numFmtId="0" fontId="686" fillId="687" borderId="347" xfId="0" applyFont="1" applyFill="1" applyBorder="1" applyAlignment="1">
      <alignment horizontal="center"/>
    </xf>
    <xf numFmtId="0" fontId="687" fillId="688" borderId="348" xfId="0" applyFont="1" applyFill="1" applyBorder="1" applyAlignment="1">
      <alignment horizontal="center"/>
    </xf>
    <xf numFmtId="0" fontId="688" fillId="689" borderId="349" xfId="0" applyFont="1" applyFill="1" applyBorder="1"/>
    <xf numFmtId="165" fontId="689" fillId="690" borderId="350" xfId="0" applyNumberFormat="1" applyFont="1" applyFill="1" applyBorder="1" applyAlignment="1">
      <alignment horizontal="center"/>
    </xf>
    <xf numFmtId="0" fontId="690" fillId="691" borderId="351" xfId="0" applyFont="1" applyFill="1" applyBorder="1" applyAlignment="1">
      <alignment horizontal="center"/>
    </xf>
    <xf numFmtId="0" fontId="691" fillId="692" borderId="352" xfId="0" applyFont="1" applyFill="1" applyBorder="1" applyAlignment="1">
      <alignment horizontal="center"/>
    </xf>
    <xf numFmtId="0" fontId="692" fillId="693" borderId="353" xfId="0" applyFont="1" applyFill="1" applyBorder="1" applyAlignment="1">
      <alignment horizontal="center"/>
    </xf>
    <xf numFmtId="0" fontId="693" fillId="694" borderId="354" xfId="0" applyFont="1" applyFill="1" applyBorder="1" applyAlignment="1">
      <alignment horizontal="center"/>
    </xf>
    <xf numFmtId="4" fontId="694" fillId="695" borderId="355" xfId="0" applyNumberFormat="1" applyFont="1" applyFill="1" applyBorder="1" applyAlignment="1">
      <alignment horizontal="right"/>
    </xf>
    <xf numFmtId="4" fontId="695" fillId="696" borderId="356" xfId="0" applyNumberFormat="1" applyFont="1" applyFill="1" applyBorder="1" applyAlignment="1">
      <alignment horizontal="right"/>
    </xf>
    <xf numFmtId="0" fontId="696" fillId="697" borderId="357" xfId="0" applyFont="1" applyFill="1" applyBorder="1" applyAlignment="1">
      <alignment horizontal="center"/>
    </xf>
    <xf numFmtId="0" fontId="697" fillId="698" borderId="358" xfId="0" applyFont="1" applyFill="1" applyBorder="1" applyAlignment="1">
      <alignment horizontal="center"/>
    </xf>
    <xf numFmtId="0" fontId="698" fillId="699" borderId="359" xfId="0" applyFont="1" applyFill="1" applyBorder="1"/>
    <xf numFmtId="0" fontId="699" fillId="700" borderId="360" xfId="0" applyFont="1" applyFill="1" applyBorder="1"/>
    <xf numFmtId="4" fontId="700" fillId="701" borderId="361" xfId="0" applyNumberFormat="1" applyFont="1" applyFill="1" applyBorder="1" applyAlignment="1">
      <alignment horizontal="right"/>
    </xf>
    <xf numFmtId="4" fontId="701" fillId="702" borderId="362" xfId="0" applyNumberFormat="1" applyFont="1" applyFill="1" applyBorder="1" applyAlignment="1">
      <alignment horizontal="right"/>
    </xf>
    <xf numFmtId="0" fontId="702" fillId="703" borderId="363" xfId="0" applyFont="1" applyFill="1" applyBorder="1"/>
    <xf numFmtId="0" fontId="703" fillId="704" borderId="364" xfId="0" applyFont="1" applyFill="1" applyBorder="1"/>
    <xf numFmtId="0" fontId="704" fillId="705" borderId="365" xfId="0" applyFont="1" applyFill="1" applyBorder="1"/>
    <xf numFmtId="0" fontId="705" fillId="706" borderId="366" xfId="0" applyFont="1" applyFill="1" applyBorder="1"/>
    <xf numFmtId="0" fontId="706" fillId="707" borderId="367" xfId="0" applyFont="1" applyFill="1" applyBorder="1"/>
    <xf numFmtId="0" fontId="707" fillId="708" borderId="368" xfId="0" applyFont="1" applyFill="1" applyBorder="1"/>
    <xf numFmtId="0" fontId="708" fillId="709" borderId="369" xfId="0" applyFont="1" applyFill="1" applyBorder="1"/>
    <xf numFmtId="14" fontId="26" fillId="27" borderId="24" xfId="0" applyNumberFormat="1" applyFont="1" applyFill="1" applyBorder="1" applyAlignment="1">
      <alignment horizontal="center"/>
    </xf>
    <xf numFmtId="166" fontId="27" fillId="28" borderId="25" xfId="0" applyNumberFormat="1" applyFont="1" applyFill="1" applyBorder="1" applyAlignment="1">
      <alignment horizontal="center"/>
    </xf>
    <xf numFmtId="166" fontId="35" fillId="36" borderId="32" xfId="0" applyNumberFormat="1" applyFont="1" applyFill="1" applyBorder="1" applyAlignment="1">
      <alignment horizontal="center"/>
    </xf>
    <xf numFmtId="166" fontId="41" fillId="42" borderId="38" xfId="0" applyNumberFormat="1" applyFont="1" applyFill="1" applyBorder="1" applyAlignment="1">
      <alignment horizontal="center"/>
    </xf>
    <xf numFmtId="166" fontId="48" fillId="49" borderId="45" xfId="0" applyNumberFormat="1" applyFont="1" applyFill="1" applyBorder="1" applyAlignment="1">
      <alignment horizontal="center"/>
    </xf>
    <xf numFmtId="166" fontId="55" fillId="56" borderId="52" xfId="0" applyNumberFormat="1" applyFont="1" applyFill="1" applyBorder="1" applyAlignment="1">
      <alignment horizontal="center"/>
    </xf>
    <xf numFmtId="166" fontId="62" fillId="63" borderId="59" xfId="0" applyNumberFormat="1" applyFont="1" applyFill="1" applyBorder="1" applyAlignment="1">
      <alignment horizontal="center"/>
    </xf>
    <xf numFmtId="166" fontId="69" fillId="70" borderId="66" xfId="0" applyNumberFormat="1" applyFont="1" applyFill="1" applyBorder="1" applyAlignment="1">
      <alignment horizontal="center"/>
    </xf>
    <xf numFmtId="166" fontId="76" fillId="77" borderId="73" xfId="0" applyNumberFormat="1" applyFont="1" applyFill="1" applyBorder="1" applyAlignment="1">
      <alignment horizontal="center"/>
    </xf>
    <xf numFmtId="166" fontId="83" fillId="84" borderId="80" xfId="0" applyNumberFormat="1" applyFont="1" applyFill="1" applyBorder="1" applyAlignment="1">
      <alignment horizontal="center"/>
    </xf>
    <xf numFmtId="166" fontId="90" fillId="91" borderId="87" xfId="0" applyNumberFormat="1" applyFont="1" applyFill="1" applyBorder="1" applyAlignment="1">
      <alignment horizontal="center"/>
    </xf>
    <xf numFmtId="166" fontId="97" fillId="98" borderId="94" xfId="0" applyNumberFormat="1" applyFont="1" applyFill="1" applyBorder="1" applyAlignment="1">
      <alignment horizontal="center"/>
    </xf>
    <xf numFmtId="166" fontId="104" fillId="105" borderId="101" xfId="0" applyNumberFormat="1" applyFont="1" applyFill="1" applyBorder="1" applyAlignment="1">
      <alignment horizontal="center"/>
    </xf>
    <xf numFmtId="166" fontId="111" fillId="112" borderId="108" xfId="0" applyNumberFormat="1" applyFont="1" applyFill="1" applyBorder="1" applyAlignment="1">
      <alignment horizontal="center"/>
    </xf>
    <xf numFmtId="166" fontId="118" fillId="119" borderId="115" xfId="0" applyNumberFormat="1" applyFont="1" applyFill="1" applyBorder="1" applyAlignment="1">
      <alignment horizontal="center"/>
    </xf>
    <xf numFmtId="166" fontId="125" fillId="126" borderId="122" xfId="0" applyNumberFormat="1" applyFont="1" applyFill="1" applyBorder="1" applyAlignment="1">
      <alignment horizontal="center"/>
    </xf>
    <xf numFmtId="166" fontId="132" fillId="133" borderId="129" xfId="0" applyNumberFormat="1" applyFont="1" applyFill="1" applyBorder="1" applyAlignment="1">
      <alignment horizontal="center"/>
    </xf>
    <xf numFmtId="166" fontId="139" fillId="140" borderId="136" xfId="0" applyNumberFormat="1" applyFont="1" applyFill="1" applyBorder="1" applyAlignment="1">
      <alignment horizontal="center"/>
    </xf>
    <xf numFmtId="166" fontId="146" fillId="147" borderId="143" xfId="0" applyNumberFormat="1" applyFont="1" applyFill="1" applyBorder="1" applyAlignment="1">
      <alignment horizontal="center"/>
    </xf>
    <xf numFmtId="166" fontId="153" fillId="154" borderId="150" xfId="0" applyNumberFormat="1" applyFont="1" applyFill="1" applyBorder="1" applyAlignment="1">
      <alignment horizontal="center"/>
    </xf>
    <xf numFmtId="166" fontId="160" fillId="161" borderId="157" xfId="0" applyNumberFormat="1" applyFont="1" applyFill="1" applyBorder="1" applyAlignment="1">
      <alignment horizontal="center"/>
    </xf>
    <xf numFmtId="166" fontId="167" fillId="168" borderId="164" xfId="0" applyNumberFormat="1" applyFont="1" applyFill="1" applyBorder="1" applyAlignment="1">
      <alignment horizontal="center"/>
    </xf>
    <xf numFmtId="166" fontId="174" fillId="175" borderId="171" xfId="0" applyNumberFormat="1" applyFont="1" applyFill="1" applyBorder="1" applyAlignment="1">
      <alignment horizontal="center"/>
    </xf>
    <xf numFmtId="166" fontId="181" fillId="182" borderId="178" xfId="0" applyNumberFormat="1" applyFont="1" applyFill="1" applyBorder="1" applyAlignment="1">
      <alignment horizontal="center"/>
    </xf>
    <xf numFmtId="166" fontId="188" fillId="189" borderId="185" xfId="0" applyNumberFormat="1" applyFont="1" applyFill="1" applyBorder="1" applyAlignment="1">
      <alignment horizontal="center"/>
    </xf>
    <xf numFmtId="166" fontId="195" fillId="196" borderId="192" xfId="0" applyNumberFormat="1" applyFont="1" applyFill="1" applyBorder="1" applyAlignment="1">
      <alignment horizontal="center"/>
    </xf>
    <xf numFmtId="166" fontId="202" fillId="203" borderId="199" xfId="0" applyNumberFormat="1" applyFont="1" applyFill="1" applyBorder="1" applyAlignment="1">
      <alignment horizontal="center"/>
    </xf>
    <xf numFmtId="166" fontId="209" fillId="210" borderId="206" xfId="0" applyNumberFormat="1" applyFont="1" applyFill="1" applyBorder="1" applyAlignment="1">
      <alignment horizontal="center"/>
    </xf>
    <xf numFmtId="166" fontId="216" fillId="217" borderId="213" xfId="0" applyNumberFormat="1" applyFont="1" applyFill="1" applyBorder="1" applyAlignment="1">
      <alignment horizontal="center"/>
    </xf>
    <xf numFmtId="166" fontId="223" fillId="224" borderId="220" xfId="0" applyNumberFormat="1" applyFont="1" applyFill="1" applyBorder="1" applyAlignment="1">
      <alignment horizontal="center"/>
    </xf>
    <xf numFmtId="166" fontId="230" fillId="231" borderId="227" xfId="0" applyNumberFormat="1" applyFont="1" applyFill="1" applyBorder="1" applyAlignment="1">
      <alignment horizontal="center"/>
    </xf>
    <xf numFmtId="166" fontId="237" fillId="238" borderId="234" xfId="0" applyNumberFormat="1" applyFont="1" applyFill="1" applyBorder="1" applyAlignment="1">
      <alignment horizontal="center"/>
    </xf>
    <xf numFmtId="166" fontId="244" fillId="245" borderId="241" xfId="0" applyNumberFormat="1" applyFont="1" applyFill="1" applyBorder="1" applyAlignment="1">
      <alignment horizontal="center"/>
    </xf>
    <xf numFmtId="166" fontId="251" fillId="252" borderId="248" xfId="0" applyNumberFormat="1" applyFont="1" applyFill="1" applyBorder="1" applyAlignment="1">
      <alignment horizontal="center"/>
    </xf>
    <xf numFmtId="166" fontId="258" fillId="259" borderId="255" xfId="0" applyNumberFormat="1" applyFont="1" applyFill="1" applyBorder="1" applyAlignment="1">
      <alignment horizontal="center"/>
    </xf>
    <xf numFmtId="166" fontId="265" fillId="266" borderId="262" xfId="0" applyNumberFormat="1" applyFont="1" applyFill="1" applyBorder="1" applyAlignment="1">
      <alignment horizontal="center"/>
    </xf>
    <xf numFmtId="166" fontId="272" fillId="273" borderId="269" xfId="0" applyNumberFormat="1" applyFont="1" applyFill="1" applyBorder="1" applyAlignment="1">
      <alignment horizontal="center"/>
    </xf>
    <xf numFmtId="166" fontId="279" fillId="280" borderId="276" xfId="0" applyNumberFormat="1" applyFont="1" applyFill="1" applyBorder="1" applyAlignment="1">
      <alignment horizontal="center"/>
    </xf>
    <xf numFmtId="166" fontId="286" fillId="287" borderId="283" xfId="0" applyNumberFormat="1" applyFont="1" applyFill="1" applyBorder="1" applyAlignment="1">
      <alignment horizontal="center"/>
    </xf>
    <xf numFmtId="166" fontId="293" fillId="294" borderId="290" xfId="0" applyNumberFormat="1" applyFont="1" applyFill="1" applyBorder="1" applyAlignment="1">
      <alignment horizontal="center"/>
    </xf>
    <xf numFmtId="166" fontId="300" fillId="301" borderId="297" xfId="0" applyNumberFormat="1" applyFont="1" applyFill="1" applyBorder="1" applyAlignment="1">
      <alignment horizontal="center"/>
    </xf>
    <xf numFmtId="166" fontId="308" fillId="309" borderId="305" xfId="0" applyNumberFormat="1" applyFont="1" applyFill="1" applyBorder="1"/>
    <xf numFmtId="166" fontId="0" fillId="0" borderId="0" xfId="0" applyNumberFormat="1"/>
    <xf numFmtId="0" fontId="0" fillId="0" borderId="318" xfId="0" applyBorder="1"/>
    <xf numFmtId="0" fontId="0" fillId="0" borderId="0" xfId="0" applyAlignment="1">
      <alignment horizontal="center"/>
    </xf>
    <xf numFmtId="0" fontId="312" fillId="313" borderId="309" xfId="0" applyFont="1" applyFill="1" applyBorder="1" applyAlignment="1">
      <alignment horizontal="center" vertical="center"/>
    </xf>
    <xf numFmtId="0" fontId="0" fillId="0" borderId="0" xfId="0"/>
    <xf numFmtId="0" fontId="316" fillId="317" borderId="313" xfId="0" applyFont="1" applyFill="1" applyBorder="1"/>
    <xf numFmtId="0" fontId="317" fillId="318" borderId="314" xfId="0" applyFont="1" applyFill="1" applyBorder="1"/>
    <xf numFmtId="0" fontId="318" fillId="319" borderId="315" xfId="0" applyFont="1" applyFill="1" applyBorder="1"/>
    <xf numFmtId="0" fontId="324" fillId="325" borderId="319" xfId="0" applyFont="1" applyFill="1" applyBorder="1" applyAlignment="1">
      <alignment vertical="center"/>
    </xf>
    <xf numFmtId="0" fontId="322" fillId="323" borderId="370" xfId="0" applyFont="1" applyFill="1" applyBorder="1" applyAlignment="1">
      <alignment horizontal="center"/>
    </xf>
    <xf numFmtId="0" fontId="321" fillId="322" borderId="319" xfId="0" applyFont="1" applyFill="1" applyBorder="1" applyAlignment="1">
      <alignment horizontal="center"/>
    </xf>
    <xf numFmtId="4" fontId="32" fillId="33" borderId="371" xfId="0" applyNumberFormat="1" applyFont="1" applyFill="1" applyBorder="1" applyAlignment="1">
      <alignment horizontal="center"/>
    </xf>
    <xf numFmtId="4" fontId="32" fillId="33" borderId="372" xfId="0" applyNumberFormat="1" applyFont="1" applyFill="1" applyBorder="1" applyAlignment="1">
      <alignment horizontal="center"/>
    </xf>
    <xf numFmtId="4" fontId="32" fillId="33" borderId="373" xfId="0" applyNumberFormat="1" applyFont="1" applyFill="1" applyBorder="1" applyAlignment="1">
      <alignment horizontal="center"/>
    </xf>
    <xf numFmtId="0" fontId="10" fillId="25" borderId="371" xfId="0" applyFont="1" applyFill="1" applyBorder="1" applyAlignment="1">
      <alignment horizontal="center" vertical="center" wrapText="1"/>
    </xf>
    <xf numFmtId="0" fontId="24" fillId="25" borderId="372" xfId="0" applyFont="1" applyFill="1" applyBorder="1" applyAlignment="1">
      <alignment horizontal="center" vertical="center" wrapText="1"/>
    </xf>
    <xf numFmtId="0" fontId="24" fillId="25" borderId="37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6" borderId="5" xfId="0" applyFont="1" applyFill="1" applyBorder="1"/>
    <xf numFmtId="0" fontId="6" fillId="7" borderId="6" xfId="0" applyFont="1" applyFill="1" applyBorder="1"/>
    <xf numFmtId="0" fontId="7" fillId="8" borderId="7" xfId="0" applyFont="1" applyFill="1" applyBorder="1"/>
    <xf numFmtId="0" fontId="16" fillId="17" borderId="15" xfId="0" applyFont="1" applyFill="1" applyBorder="1" applyAlignment="1">
      <alignment vertical="center"/>
    </xf>
    <xf numFmtId="0" fontId="15" fillId="16" borderId="14" xfId="0" applyFont="1" applyFill="1" applyBorder="1" applyAlignment="1">
      <alignment horizontal="center"/>
    </xf>
    <xf numFmtId="0" fontId="12" fillId="13" borderId="12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 wrapText="1"/>
    </xf>
    <xf numFmtId="0" fontId="13" fillId="14" borderId="370" xfId="0" applyFont="1" applyFill="1" applyBorder="1" applyAlignment="1">
      <alignment horizontal="center" wrapText="1"/>
    </xf>
    <xf numFmtId="0" fontId="13" fillId="14" borderId="319" xfId="0" applyFont="1" applyFill="1" applyBorder="1" applyAlignment="1">
      <alignment horizontal="center" wrapText="1"/>
    </xf>
    <xf numFmtId="0" fontId="325" fillId="326" borderId="375" xfId="0" applyFont="1" applyFill="1" applyBorder="1" applyAlignment="1">
      <alignment horizontal="center" vertical="center" wrapText="1"/>
    </xf>
    <xf numFmtId="0" fontId="326" fillId="327" borderId="375" xfId="0" applyFont="1" applyFill="1" applyBorder="1" applyAlignment="1">
      <alignment horizontal="center" vertical="center" wrapText="1"/>
    </xf>
    <xf numFmtId="0" fontId="327" fillId="328" borderId="375" xfId="0" applyFont="1" applyFill="1" applyBorder="1" applyAlignment="1">
      <alignment horizontal="center" vertical="center" wrapText="1"/>
    </xf>
    <xf numFmtId="0" fontId="328" fillId="329" borderId="375" xfId="0" applyFont="1" applyFill="1" applyBorder="1" applyAlignment="1">
      <alignment horizontal="center" vertical="center" wrapText="1"/>
    </xf>
    <xf numFmtId="0" fontId="329" fillId="330" borderId="375" xfId="0" applyFont="1" applyFill="1" applyBorder="1" applyAlignment="1">
      <alignment horizontal="center" vertical="center" wrapText="1"/>
    </xf>
    <xf numFmtId="0" fontId="330" fillId="331" borderId="375" xfId="0" applyFont="1" applyFill="1" applyBorder="1" applyAlignment="1">
      <alignment horizontal="center" vertical="center" wrapText="1"/>
    </xf>
    <xf numFmtId="0" fontId="331" fillId="332" borderId="375" xfId="0" applyFont="1" applyFill="1" applyBorder="1" applyAlignment="1">
      <alignment horizontal="center" vertical="center" wrapText="1"/>
    </xf>
    <xf numFmtId="0" fontId="332" fillId="333" borderId="375" xfId="0" applyFont="1" applyFill="1" applyBorder="1" applyAlignment="1">
      <alignment horizontal="center" vertical="center" wrapText="1"/>
    </xf>
    <xf numFmtId="0" fontId="333" fillId="334" borderId="376" xfId="0" applyFont="1" applyFill="1" applyBorder="1" applyAlignment="1">
      <alignment horizontal="center" vertical="center" wrapText="1"/>
    </xf>
    <xf numFmtId="0" fontId="333" fillId="334" borderId="377" xfId="0" applyFont="1" applyFill="1" applyBorder="1" applyAlignment="1">
      <alignment horizontal="center" vertical="center" wrapText="1"/>
    </xf>
    <xf numFmtId="165" fontId="649" fillId="650" borderId="378" xfId="0" applyNumberFormat="1" applyFont="1" applyFill="1" applyBorder="1" applyAlignment="1">
      <alignment horizontal="center"/>
    </xf>
    <xf numFmtId="0" fontId="650" fillId="651" borderId="378" xfId="0" applyFont="1" applyFill="1" applyBorder="1" applyAlignment="1">
      <alignment horizontal="center"/>
    </xf>
    <xf numFmtId="0" fontId="651" fillId="652" borderId="378" xfId="0" applyFont="1" applyFill="1" applyBorder="1" applyAlignment="1">
      <alignment horizontal="center"/>
    </xf>
    <xf numFmtId="0" fontId="652" fillId="653" borderId="378" xfId="0" applyFont="1" applyFill="1" applyBorder="1" applyAlignment="1">
      <alignment horizontal="center"/>
    </xf>
    <xf numFmtId="0" fontId="653" fillId="654" borderId="378" xfId="0" applyFont="1" applyFill="1" applyBorder="1" applyAlignment="1">
      <alignment horizontal="center"/>
    </xf>
    <xf numFmtId="4" fontId="654" fillId="655" borderId="378" xfId="0" applyNumberFormat="1" applyFont="1" applyFill="1" applyBorder="1" applyAlignment="1">
      <alignment horizontal="right"/>
    </xf>
    <xf numFmtId="4" fontId="655" fillId="656" borderId="378" xfId="0" applyNumberFormat="1" applyFont="1" applyFill="1" applyBorder="1" applyAlignment="1">
      <alignment horizontal="right"/>
    </xf>
    <xf numFmtId="0" fontId="656" fillId="657" borderId="378" xfId="0" applyFont="1" applyFill="1" applyBorder="1" applyAlignment="1">
      <alignment horizontal="center"/>
    </xf>
    <xf numFmtId="0" fontId="657" fillId="658" borderId="378" xfId="0" applyFont="1" applyFill="1" applyBorder="1" applyAlignment="1">
      <alignment horizontal="center"/>
    </xf>
    <xf numFmtId="0" fontId="658" fillId="659" borderId="378" xfId="0" applyFont="1" applyFill="1" applyBorder="1"/>
    <xf numFmtId="165" fontId="334" fillId="335" borderId="374" xfId="0" applyNumberFormat="1" applyFont="1" applyFill="1" applyBorder="1" applyAlignment="1">
      <alignment horizontal="center"/>
    </xf>
    <xf numFmtId="14" fontId="335" fillId="336" borderId="374" xfId="0" applyNumberFormat="1" applyFont="1" applyFill="1" applyBorder="1" applyAlignment="1">
      <alignment horizontal="center"/>
    </xf>
    <xf numFmtId="20" fontId="336" fillId="337" borderId="374" xfId="0" applyNumberFormat="1" applyFont="1" applyFill="1" applyBorder="1" applyAlignment="1">
      <alignment horizontal="center"/>
    </xf>
    <xf numFmtId="0" fontId="337" fillId="338" borderId="374" xfId="0" applyFont="1" applyFill="1" applyBorder="1" applyAlignment="1">
      <alignment horizontal="center"/>
    </xf>
    <xf numFmtId="0" fontId="338" fillId="339" borderId="374" xfId="0" applyFont="1" applyFill="1" applyBorder="1" applyAlignment="1">
      <alignment horizontal="center"/>
    </xf>
    <xf numFmtId="4" fontId="339" fillId="340" borderId="374" xfId="0" applyNumberFormat="1" applyFont="1" applyFill="1" applyBorder="1" applyAlignment="1">
      <alignment horizontal="right"/>
    </xf>
    <xf numFmtId="4" fontId="340" fillId="341" borderId="374" xfId="0" applyNumberFormat="1" applyFont="1" applyFill="1" applyBorder="1" applyAlignment="1">
      <alignment horizontal="right"/>
    </xf>
    <xf numFmtId="0" fontId="341" fillId="342" borderId="374" xfId="0" applyFont="1" applyFill="1" applyBorder="1" applyAlignment="1">
      <alignment horizontal="center"/>
    </xf>
    <xf numFmtId="0" fontId="342" fillId="343" borderId="374" xfId="0" applyFont="1" applyFill="1" applyBorder="1" applyAlignment="1">
      <alignment horizontal="center"/>
    </xf>
    <xf numFmtId="165" fontId="343" fillId="344" borderId="374" xfId="0" applyNumberFormat="1" applyFont="1" applyFill="1" applyBorder="1" applyAlignment="1">
      <alignment horizontal="center"/>
    </xf>
    <xf numFmtId="14" fontId="344" fillId="345" borderId="374" xfId="0" applyNumberFormat="1" applyFont="1" applyFill="1" applyBorder="1" applyAlignment="1">
      <alignment horizontal="center"/>
    </xf>
    <xf numFmtId="20" fontId="345" fillId="346" borderId="374" xfId="0" applyNumberFormat="1" applyFont="1" applyFill="1" applyBorder="1" applyAlignment="1">
      <alignment horizontal="center"/>
    </xf>
    <xf numFmtId="0" fontId="346" fillId="347" borderId="374" xfId="0" applyFont="1" applyFill="1" applyBorder="1" applyAlignment="1">
      <alignment horizontal="center"/>
    </xf>
    <xf numFmtId="0" fontId="347" fillId="348" borderId="374" xfId="0" applyFont="1" applyFill="1" applyBorder="1" applyAlignment="1">
      <alignment horizontal="center"/>
    </xf>
    <xf numFmtId="4" fontId="348" fillId="349" borderId="374" xfId="0" applyNumberFormat="1" applyFont="1" applyFill="1" applyBorder="1" applyAlignment="1">
      <alignment horizontal="right"/>
    </xf>
    <xf numFmtId="4" fontId="349" fillId="350" borderId="374" xfId="0" applyNumberFormat="1" applyFont="1" applyFill="1" applyBorder="1" applyAlignment="1">
      <alignment horizontal="right"/>
    </xf>
    <xf numFmtId="0" fontId="350" fillId="351" borderId="374" xfId="0" applyFont="1" applyFill="1" applyBorder="1" applyAlignment="1">
      <alignment horizontal="center"/>
    </xf>
    <xf numFmtId="0" fontId="351" fillId="352" borderId="374" xfId="0" applyFont="1" applyFill="1" applyBorder="1" applyAlignment="1">
      <alignment horizontal="center"/>
    </xf>
    <xf numFmtId="165" fontId="352" fillId="353" borderId="374" xfId="0" applyNumberFormat="1" applyFont="1" applyFill="1" applyBorder="1" applyAlignment="1">
      <alignment horizontal="center"/>
    </xf>
    <xf numFmtId="0" fontId="353" fillId="354" borderId="374" xfId="0" applyFont="1" applyFill="1" applyBorder="1" applyAlignment="1">
      <alignment horizontal="center"/>
    </xf>
    <xf numFmtId="0" fontId="354" fillId="355" borderId="374" xfId="0" applyFont="1" applyFill="1" applyBorder="1" applyAlignment="1">
      <alignment horizontal="center"/>
    </xf>
    <xf numFmtId="0" fontId="355" fillId="356" borderId="374" xfId="0" applyFont="1" applyFill="1" applyBorder="1" applyAlignment="1">
      <alignment horizontal="center"/>
    </xf>
    <xf numFmtId="0" fontId="356" fillId="357" borderId="374" xfId="0" applyFont="1" applyFill="1" applyBorder="1" applyAlignment="1">
      <alignment horizontal="center"/>
    </xf>
    <xf numFmtId="4" fontId="357" fillId="358" borderId="374" xfId="0" applyNumberFormat="1" applyFont="1" applyFill="1" applyBorder="1" applyAlignment="1">
      <alignment horizontal="right"/>
    </xf>
    <xf numFmtId="4" fontId="358" fillId="359" borderId="374" xfId="0" applyNumberFormat="1" applyFont="1" applyFill="1" applyBorder="1" applyAlignment="1">
      <alignment horizontal="right"/>
    </xf>
    <xf numFmtId="0" fontId="359" fillId="360" borderId="374" xfId="0" applyFont="1" applyFill="1" applyBorder="1" applyAlignment="1">
      <alignment horizontal="center"/>
    </xf>
    <xf numFmtId="0" fontId="360" fillId="361" borderId="374" xfId="0" applyFont="1" applyFill="1" applyBorder="1" applyAlignment="1">
      <alignment horizontal="center"/>
    </xf>
    <xf numFmtId="165" fontId="361" fillId="362" borderId="374" xfId="0" applyNumberFormat="1" applyFont="1" applyFill="1" applyBorder="1" applyAlignment="1">
      <alignment horizontal="center"/>
    </xf>
    <xf numFmtId="0" fontId="362" fillId="363" borderId="374" xfId="0" applyFont="1" applyFill="1" applyBorder="1" applyAlignment="1">
      <alignment horizontal="center"/>
    </xf>
    <xf numFmtId="0" fontId="363" fillId="364" borderId="374" xfId="0" applyFont="1" applyFill="1" applyBorder="1" applyAlignment="1">
      <alignment horizontal="center"/>
    </xf>
    <xf numFmtId="0" fontId="364" fillId="365" borderId="374" xfId="0" applyFont="1" applyFill="1" applyBorder="1" applyAlignment="1">
      <alignment horizontal="center"/>
    </xf>
    <xf numFmtId="0" fontId="365" fillId="366" borderId="374" xfId="0" applyFont="1" applyFill="1" applyBorder="1" applyAlignment="1">
      <alignment horizontal="center"/>
    </xf>
    <xf numFmtId="4" fontId="366" fillId="367" borderId="374" xfId="0" applyNumberFormat="1" applyFont="1" applyFill="1" applyBorder="1" applyAlignment="1">
      <alignment horizontal="right"/>
    </xf>
    <xf numFmtId="4" fontId="367" fillId="368" borderId="374" xfId="0" applyNumberFormat="1" applyFont="1" applyFill="1" applyBorder="1" applyAlignment="1">
      <alignment horizontal="right"/>
    </xf>
    <xf numFmtId="0" fontId="368" fillId="369" borderId="374" xfId="0" applyFont="1" applyFill="1" applyBorder="1" applyAlignment="1">
      <alignment horizontal="center"/>
    </xf>
    <xf numFmtId="0" fontId="369" fillId="370" borderId="374" xfId="0" applyFont="1" applyFill="1" applyBorder="1" applyAlignment="1">
      <alignment horizontal="center"/>
    </xf>
    <xf numFmtId="165" fontId="370" fillId="371" borderId="374" xfId="0" applyNumberFormat="1" applyFont="1" applyFill="1" applyBorder="1" applyAlignment="1">
      <alignment horizontal="center"/>
    </xf>
    <xf numFmtId="0" fontId="371" fillId="372" borderId="374" xfId="0" applyFont="1" applyFill="1" applyBorder="1" applyAlignment="1">
      <alignment horizontal="center"/>
    </xf>
    <xf numFmtId="0" fontId="372" fillId="373" borderId="374" xfId="0" applyFont="1" applyFill="1" applyBorder="1" applyAlignment="1">
      <alignment horizontal="center"/>
    </xf>
    <xf numFmtId="0" fontId="373" fillId="374" borderId="374" xfId="0" applyFont="1" applyFill="1" applyBorder="1" applyAlignment="1">
      <alignment horizontal="center"/>
    </xf>
    <xf numFmtId="0" fontId="374" fillId="375" borderId="374" xfId="0" applyFont="1" applyFill="1" applyBorder="1" applyAlignment="1">
      <alignment horizontal="center"/>
    </xf>
    <xf numFmtId="4" fontId="375" fillId="376" borderId="374" xfId="0" applyNumberFormat="1" applyFont="1" applyFill="1" applyBorder="1" applyAlignment="1">
      <alignment horizontal="right"/>
    </xf>
    <xf numFmtId="4" fontId="376" fillId="377" borderId="374" xfId="0" applyNumberFormat="1" applyFont="1" applyFill="1" applyBorder="1" applyAlignment="1">
      <alignment horizontal="right"/>
    </xf>
    <xf numFmtId="0" fontId="377" fillId="378" borderId="374" xfId="0" applyFont="1" applyFill="1" applyBorder="1" applyAlignment="1">
      <alignment horizontal="center"/>
    </xf>
    <xf numFmtId="0" fontId="378" fillId="379" borderId="374" xfId="0" applyFont="1" applyFill="1" applyBorder="1" applyAlignment="1">
      <alignment horizontal="center"/>
    </xf>
    <xf numFmtId="165" fontId="379" fillId="380" borderId="374" xfId="0" applyNumberFormat="1" applyFont="1" applyFill="1" applyBorder="1" applyAlignment="1">
      <alignment horizontal="center"/>
    </xf>
    <xf numFmtId="0" fontId="380" fillId="381" borderId="374" xfId="0" applyFont="1" applyFill="1" applyBorder="1" applyAlignment="1">
      <alignment horizontal="center"/>
    </xf>
    <xf numFmtId="0" fontId="381" fillId="382" borderId="374" xfId="0" applyFont="1" applyFill="1" applyBorder="1" applyAlignment="1">
      <alignment horizontal="center"/>
    </xf>
    <xf numFmtId="0" fontId="382" fillId="383" borderId="374" xfId="0" applyFont="1" applyFill="1" applyBorder="1" applyAlignment="1">
      <alignment horizontal="center"/>
    </xf>
    <xf numFmtId="0" fontId="383" fillId="384" borderId="374" xfId="0" applyFont="1" applyFill="1" applyBorder="1" applyAlignment="1">
      <alignment horizontal="center"/>
    </xf>
    <xf numFmtId="4" fontId="384" fillId="385" borderId="374" xfId="0" applyNumberFormat="1" applyFont="1" applyFill="1" applyBorder="1" applyAlignment="1">
      <alignment horizontal="right"/>
    </xf>
    <xf numFmtId="4" fontId="385" fillId="386" borderId="374" xfId="0" applyNumberFormat="1" applyFont="1" applyFill="1" applyBorder="1" applyAlignment="1">
      <alignment horizontal="right"/>
    </xf>
    <xf numFmtId="0" fontId="386" fillId="387" borderId="374" xfId="0" applyFont="1" applyFill="1" applyBorder="1" applyAlignment="1">
      <alignment horizontal="center"/>
    </xf>
    <xf numFmtId="0" fontId="387" fillId="388" borderId="374" xfId="0" applyFont="1" applyFill="1" applyBorder="1" applyAlignment="1">
      <alignment horizontal="center"/>
    </xf>
    <xf numFmtId="165" fontId="388" fillId="389" borderId="374" xfId="0" applyNumberFormat="1" applyFont="1" applyFill="1" applyBorder="1" applyAlignment="1">
      <alignment horizontal="center"/>
    </xf>
    <xf numFmtId="0" fontId="389" fillId="390" borderId="374" xfId="0" applyFont="1" applyFill="1" applyBorder="1" applyAlignment="1">
      <alignment horizontal="center"/>
    </xf>
    <xf numFmtId="0" fontId="390" fillId="391" borderId="374" xfId="0" applyFont="1" applyFill="1" applyBorder="1" applyAlignment="1">
      <alignment horizontal="center"/>
    </xf>
    <xf numFmtId="0" fontId="391" fillId="392" borderId="374" xfId="0" applyFont="1" applyFill="1" applyBorder="1" applyAlignment="1">
      <alignment horizontal="center"/>
    </xf>
    <xf numFmtId="0" fontId="392" fillId="393" borderId="374" xfId="0" applyFont="1" applyFill="1" applyBorder="1" applyAlignment="1">
      <alignment horizontal="center"/>
    </xf>
    <xf numFmtId="4" fontId="393" fillId="394" borderId="374" xfId="0" applyNumberFormat="1" applyFont="1" applyFill="1" applyBorder="1" applyAlignment="1">
      <alignment horizontal="right"/>
    </xf>
    <xf numFmtId="4" fontId="394" fillId="395" borderId="374" xfId="0" applyNumberFormat="1" applyFont="1" applyFill="1" applyBorder="1" applyAlignment="1">
      <alignment horizontal="right"/>
    </xf>
    <xf numFmtId="0" fontId="395" fillId="396" borderId="374" xfId="0" applyFont="1" applyFill="1" applyBorder="1" applyAlignment="1">
      <alignment horizontal="center"/>
    </xf>
    <xf numFmtId="0" fontId="396" fillId="397" borderId="374" xfId="0" applyFont="1" applyFill="1" applyBorder="1" applyAlignment="1">
      <alignment horizontal="center"/>
    </xf>
    <xf numFmtId="165" fontId="397" fillId="398" borderId="374" xfId="0" applyNumberFormat="1" applyFont="1" applyFill="1" applyBorder="1" applyAlignment="1">
      <alignment horizontal="center"/>
    </xf>
    <xf numFmtId="0" fontId="398" fillId="399" borderId="374" xfId="0" applyFont="1" applyFill="1" applyBorder="1" applyAlignment="1">
      <alignment horizontal="center"/>
    </xf>
    <xf numFmtId="0" fontId="399" fillId="400" borderId="374" xfId="0" applyFont="1" applyFill="1" applyBorder="1" applyAlignment="1">
      <alignment horizontal="center"/>
    </xf>
    <xf numFmtId="0" fontId="400" fillId="401" borderId="374" xfId="0" applyFont="1" applyFill="1" applyBorder="1" applyAlignment="1">
      <alignment horizontal="center"/>
    </xf>
    <xf numFmtId="0" fontId="401" fillId="402" borderId="374" xfId="0" applyFont="1" applyFill="1" applyBorder="1" applyAlignment="1">
      <alignment horizontal="center"/>
    </xf>
    <xf numFmtId="4" fontId="402" fillId="403" borderId="374" xfId="0" applyNumberFormat="1" applyFont="1" applyFill="1" applyBorder="1" applyAlignment="1">
      <alignment horizontal="right"/>
    </xf>
    <xf numFmtId="4" fontId="403" fillId="404" borderId="374" xfId="0" applyNumberFormat="1" applyFont="1" applyFill="1" applyBorder="1" applyAlignment="1">
      <alignment horizontal="right"/>
    </xf>
    <xf numFmtId="0" fontId="404" fillId="405" borderId="374" xfId="0" applyFont="1" applyFill="1" applyBorder="1" applyAlignment="1">
      <alignment horizontal="center"/>
    </xf>
    <xf numFmtId="0" fontId="405" fillId="406" borderId="374" xfId="0" applyFont="1" applyFill="1" applyBorder="1" applyAlignment="1">
      <alignment horizontal="center"/>
    </xf>
    <xf numFmtId="165" fontId="406" fillId="407" borderId="374" xfId="0" applyNumberFormat="1" applyFont="1" applyFill="1" applyBorder="1" applyAlignment="1">
      <alignment horizontal="center"/>
    </xf>
    <xf numFmtId="0" fontId="407" fillId="408" borderId="374" xfId="0" applyFont="1" applyFill="1" applyBorder="1" applyAlignment="1">
      <alignment horizontal="center"/>
    </xf>
    <xf numFmtId="0" fontId="408" fillId="409" borderId="374" xfId="0" applyFont="1" applyFill="1" applyBorder="1" applyAlignment="1">
      <alignment horizontal="center"/>
    </xf>
    <xf numFmtId="0" fontId="409" fillId="410" borderId="374" xfId="0" applyFont="1" applyFill="1" applyBorder="1" applyAlignment="1">
      <alignment horizontal="center"/>
    </xf>
    <xf numFmtId="0" fontId="410" fillId="411" borderId="374" xfId="0" applyFont="1" applyFill="1" applyBorder="1" applyAlignment="1">
      <alignment horizontal="center"/>
    </xf>
    <xf numFmtId="4" fontId="411" fillId="412" borderId="374" xfId="0" applyNumberFormat="1" applyFont="1" applyFill="1" applyBorder="1" applyAlignment="1">
      <alignment horizontal="right"/>
    </xf>
    <xf numFmtId="4" fontId="412" fillId="413" borderId="374" xfId="0" applyNumberFormat="1" applyFont="1" applyFill="1" applyBorder="1" applyAlignment="1">
      <alignment horizontal="right"/>
    </xf>
    <xf numFmtId="0" fontId="413" fillId="414" borderId="374" xfId="0" applyFont="1" applyFill="1" applyBorder="1" applyAlignment="1">
      <alignment horizontal="center"/>
    </xf>
    <xf numFmtId="0" fontId="414" fillId="415" borderId="374" xfId="0" applyFont="1" applyFill="1" applyBorder="1" applyAlignment="1">
      <alignment horizontal="center"/>
    </xf>
    <xf numFmtId="165" fontId="415" fillId="416" borderId="374" xfId="0" applyNumberFormat="1" applyFont="1" applyFill="1" applyBorder="1" applyAlignment="1">
      <alignment horizontal="center"/>
    </xf>
    <xf numFmtId="0" fontId="416" fillId="417" borderId="374" xfId="0" applyFont="1" applyFill="1" applyBorder="1" applyAlignment="1">
      <alignment horizontal="center"/>
    </xf>
    <xf numFmtId="0" fontId="417" fillId="418" borderId="374" xfId="0" applyFont="1" applyFill="1" applyBorder="1" applyAlignment="1">
      <alignment horizontal="center"/>
    </xf>
    <xf numFmtId="0" fontId="418" fillId="419" borderId="374" xfId="0" applyFont="1" applyFill="1" applyBorder="1" applyAlignment="1">
      <alignment horizontal="center"/>
    </xf>
    <xf numFmtId="0" fontId="419" fillId="420" borderId="374" xfId="0" applyFont="1" applyFill="1" applyBorder="1" applyAlignment="1">
      <alignment horizontal="center"/>
    </xf>
    <xf numFmtId="4" fontId="420" fillId="421" borderId="374" xfId="0" applyNumberFormat="1" applyFont="1" applyFill="1" applyBorder="1" applyAlignment="1">
      <alignment horizontal="right"/>
    </xf>
    <xf numFmtId="4" fontId="421" fillId="422" borderId="374" xfId="0" applyNumberFormat="1" applyFont="1" applyFill="1" applyBorder="1" applyAlignment="1">
      <alignment horizontal="right"/>
    </xf>
    <xf numFmtId="0" fontId="422" fillId="423" borderId="374" xfId="0" applyFont="1" applyFill="1" applyBorder="1" applyAlignment="1">
      <alignment horizontal="center"/>
    </xf>
    <xf numFmtId="0" fontId="423" fillId="424" borderId="374" xfId="0" applyFont="1" applyFill="1" applyBorder="1" applyAlignment="1">
      <alignment horizontal="center"/>
    </xf>
    <xf numFmtId="165" fontId="424" fillId="425" borderId="374" xfId="0" applyNumberFormat="1" applyFont="1" applyFill="1" applyBorder="1" applyAlignment="1">
      <alignment horizontal="center"/>
    </xf>
    <xf numFmtId="0" fontId="425" fillId="426" borderId="374" xfId="0" applyFont="1" applyFill="1" applyBorder="1" applyAlignment="1">
      <alignment horizontal="center"/>
    </xf>
    <xf numFmtId="0" fontId="426" fillId="427" borderId="374" xfId="0" applyFont="1" applyFill="1" applyBorder="1" applyAlignment="1">
      <alignment horizontal="center"/>
    </xf>
    <xf numFmtId="0" fontId="427" fillId="428" borderId="374" xfId="0" applyFont="1" applyFill="1" applyBorder="1" applyAlignment="1">
      <alignment horizontal="center"/>
    </xf>
    <xf numFmtId="0" fontId="428" fillId="429" borderId="374" xfId="0" applyFont="1" applyFill="1" applyBorder="1" applyAlignment="1">
      <alignment horizontal="center"/>
    </xf>
    <xf numFmtId="4" fontId="429" fillId="430" borderId="374" xfId="0" applyNumberFormat="1" applyFont="1" applyFill="1" applyBorder="1" applyAlignment="1">
      <alignment horizontal="right"/>
    </xf>
    <xf numFmtId="4" fontId="430" fillId="431" borderId="374" xfId="0" applyNumberFormat="1" applyFont="1" applyFill="1" applyBorder="1" applyAlignment="1">
      <alignment horizontal="right"/>
    </xf>
    <xf numFmtId="0" fontId="431" fillId="432" borderId="374" xfId="0" applyFont="1" applyFill="1" applyBorder="1" applyAlignment="1">
      <alignment horizontal="center"/>
    </xf>
    <xf numFmtId="0" fontId="432" fillId="433" borderId="374" xfId="0" applyFont="1" applyFill="1" applyBorder="1" applyAlignment="1">
      <alignment horizontal="center"/>
    </xf>
    <xf numFmtId="165" fontId="433" fillId="434" borderId="374" xfId="0" applyNumberFormat="1" applyFont="1" applyFill="1" applyBorder="1" applyAlignment="1">
      <alignment horizontal="center"/>
    </xf>
    <xf numFmtId="0" fontId="434" fillId="435" borderId="374" xfId="0" applyFont="1" applyFill="1" applyBorder="1" applyAlignment="1">
      <alignment horizontal="center"/>
    </xf>
    <xf numFmtId="0" fontId="435" fillId="436" borderId="374" xfId="0" applyFont="1" applyFill="1" applyBorder="1" applyAlignment="1">
      <alignment horizontal="center"/>
    </xf>
    <xf numFmtId="0" fontId="436" fillId="437" borderId="374" xfId="0" applyFont="1" applyFill="1" applyBorder="1" applyAlignment="1">
      <alignment horizontal="center"/>
    </xf>
    <xf numFmtId="0" fontId="437" fillId="438" borderId="374" xfId="0" applyFont="1" applyFill="1" applyBorder="1" applyAlignment="1">
      <alignment horizontal="center"/>
    </xf>
    <xf numFmtId="4" fontId="438" fillId="439" borderId="374" xfId="0" applyNumberFormat="1" applyFont="1" applyFill="1" applyBorder="1" applyAlignment="1">
      <alignment horizontal="right"/>
    </xf>
    <xf numFmtId="4" fontId="439" fillId="440" borderId="374" xfId="0" applyNumberFormat="1" applyFont="1" applyFill="1" applyBorder="1" applyAlignment="1">
      <alignment horizontal="right"/>
    </xf>
    <xf numFmtId="0" fontId="440" fillId="441" borderId="374" xfId="0" applyFont="1" applyFill="1" applyBorder="1" applyAlignment="1">
      <alignment horizontal="center"/>
    </xf>
    <xf numFmtId="0" fontId="441" fillId="442" borderId="374" xfId="0" applyFont="1" applyFill="1" applyBorder="1" applyAlignment="1">
      <alignment horizontal="center"/>
    </xf>
    <xf numFmtId="165" fontId="442" fillId="443" borderId="374" xfId="0" applyNumberFormat="1" applyFont="1" applyFill="1" applyBorder="1" applyAlignment="1">
      <alignment horizontal="center"/>
    </xf>
    <xf numFmtId="0" fontId="443" fillId="444" borderId="374" xfId="0" applyFont="1" applyFill="1" applyBorder="1" applyAlignment="1">
      <alignment horizontal="center"/>
    </xf>
    <xf numFmtId="0" fontId="444" fillId="445" borderId="374" xfId="0" applyFont="1" applyFill="1" applyBorder="1" applyAlignment="1">
      <alignment horizontal="center"/>
    </xf>
    <xf numFmtId="0" fontId="445" fillId="446" borderId="374" xfId="0" applyFont="1" applyFill="1" applyBorder="1" applyAlignment="1">
      <alignment horizontal="center"/>
    </xf>
    <xf numFmtId="0" fontId="446" fillId="447" borderId="374" xfId="0" applyFont="1" applyFill="1" applyBorder="1" applyAlignment="1">
      <alignment horizontal="center"/>
    </xf>
    <xf numFmtId="4" fontId="447" fillId="448" borderId="374" xfId="0" applyNumberFormat="1" applyFont="1" applyFill="1" applyBorder="1" applyAlignment="1">
      <alignment horizontal="right"/>
    </xf>
    <xf numFmtId="4" fontId="448" fillId="449" borderId="374" xfId="0" applyNumberFormat="1" applyFont="1" applyFill="1" applyBorder="1" applyAlignment="1">
      <alignment horizontal="right"/>
    </xf>
    <xf numFmtId="0" fontId="449" fillId="450" borderId="374" xfId="0" applyFont="1" applyFill="1" applyBorder="1" applyAlignment="1">
      <alignment horizontal="center"/>
    </xf>
    <xf numFmtId="0" fontId="450" fillId="451" borderId="374" xfId="0" applyFont="1" applyFill="1" applyBorder="1" applyAlignment="1">
      <alignment horizontal="center"/>
    </xf>
    <xf numFmtId="165" fontId="451" fillId="452" borderId="374" xfId="0" applyNumberFormat="1" applyFont="1" applyFill="1" applyBorder="1" applyAlignment="1">
      <alignment horizontal="center"/>
    </xf>
    <xf numFmtId="0" fontId="452" fillId="453" borderId="374" xfId="0" applyFont="1" applyFill="1" applyBorder="1" applyAlignment="1">
      <alignment horizontal="center"/>
    </xf>
    <xf numFmtId="0" fontId="453" fillId="454" borderId="374" xfId="0" applyFont="1" applyFill="1" applyBorder="1" applyAlignment="1">
      <alignment horizontal="center"/>
    </xf>
    <xf numFmtId="0" fontId="454" fillId="455" borderId="374" xfId="0" applyFont="1" applyFill="1" applyBorder="1" applyAlignment="1">
      <alignment horizontal="center"/>
    </xf>
    <xf numFmtId="0" fontId="455" fillId="456" borderId="374" xfId="0" applyFont="1" applyFill="1" applyBorder="1" applyAlignment="1">
      <alignment horizontal="center"/>
    </xf>
    <xf numFmtId="4" fontId="456" fillId="457" borderId="374" xfId="0" applyNumberFormat="1" applyFont="1" applyFill="1" applyBorder="1" applyAlignment="1">
      <alignment horizontal="right"/>
    </xf>
    <xf numFmtId="4" fontId="457" fillId="458" borderId="374" xfId="0" applyNumberFormat="1" applyFont="1" applyFill="1" applyBorder="1" applyAlignment="1">
      <alignment horizontal="right"/>
    </xf>
    <xf numFmtId="0" fontId="458" fillId="459" borderId="374" xfId="0" applyFont="1" applyFill="1" applyBorder="1" applyAlignment="1">
      <alignment horizontal="center"/>
    </xf>
    <xf numFmtId="0" fontId="459" fillId="460" borderId="374" xfId="0" applyFont="1" applyFill="1" applyBorder="1" applyAlignment="1">
      <alignment horizontal="center"/>
    </xf>
    <xf numFmtId="165" fontId="460" fillId="461" borderId="374" xfId="0" applyNumberFormat="1" applyFont="1" applyFill="1" applyBorder="1" applyAlignment="1">
      <alignment horizontal="center"/>
    </xf>
    <xf numFmtId="0" fontId="461" fillId="462" borderId="374" xfId="0" applyFont="1" applyFill="1" applyBorder="1" applyAlignment="1">
      <alignment horizontal="center"/>
    </xf>
    <xf numFmtId="0" fontId="462" fillId="463" borderId="374" xfId="0" applyFont="1" applyFill="1" applyBorder="1" applyAlignment="1">
      <alignment horizontal="center"/>
    </xf>
    <xf numFmtId="0" fontId="463" fillId="464" borderId="374" xfId="0" applyFont="1" applyFill="1" applyBorder="1" applyAlignment="1">
      <alignment horizontal="center"/>
    </xf>
    <xf numFmtId="0" fontId="464" fillId="465" borderId="374" xfId="0" applyFont="1" applyFill="1" applyBorder="1" applyAlignment="1">
      <alignment horizontal="center"/>
    </xf>
    <xf numFmtId="4" fontId="465" fillId="466" borderId="374" xfId="0" applyNumberFormat="1" applyFont="1" applyFill="1" applyBorder="1" applyAlignment="1">
      <alignment horizontal="right"/>
    </xf>
    <xf numFmtId="4" fontId="466" fillId="467" borderId="374" xfId="0" applyNumberFormat="1" applyFont="1" applyFill="1" applyBorder="1" applyAlignment="1">
      <alignment horizontal="right"/>
    </xf>
    <xf numFmtId="0" fontId="467" fillId="468" borderId="374" xfId="0" applyFont="1" applyFill="1" applyBorder="1" applyAlignment="1">
      <alignment horizontal="center"/>
    </xf>
    <xf numFmtId="0" fontId="468" fillId="469" borderId="374" xfId="0" applyFont="1" applyFill="1" applyBorder="1" applyAlignment="1">
      <alignment horizontal="center"/>
    </xf>
    <xf numFmtId="165" fontId="469" fillId="470" borderId="374" xfId="0" applyNumberFormat="1" applyFont="1" applyFill="1" applyBorder="1" applyAlignment="1">
      <alignment horizontal="center"/>
    </xf>
    <xf numFmtId="0" fontId="470" fillId="471" borderId="374" xfId="0" applyFont="1" applyFill="1" applyBorder="1" applyAlignment="1">
      <alignment horizontal="center"/>
    </xf>
    <xf numFmtId="0" fontId="471" fillId="472" borderId="374" xfId="0" applyFont="1" applyFill="1" applyBorder="1" applyAlignment="1">
      <alignment horizontal="center"/>
    </xf>
    <xf numFmtId="0" fontId="472" fillId="473" borderId="374" xfId="0" applyFont="1" applyFill="1" applyBorder="1" applyAlignment="1">
      <alignment horizontal="center"/>
    </xf>
    <xf numFmtId="0" fontId="473" fillId="474" borderId="374" xfId="0" applyFont="1" applyFill="1" applyBorder="1" applyAlignment="1">
      <alignment horizontal="center"/>
    </xf>
    <xf numFmtId="4" fontId="474" fillId="475" borderId="374" xfId="0" applyNumberFormat="1" applyFont="1" applyFill="1" applyBorder="1" applyAlignment="1">
      <alignment horizontal="right"/>
    </xf>
    <xf numFmtId="4" fontId="475" fillId="476" borderId="374" xfId="0" applyNumberFormat="1" applyFont="1" applyFill="1" applyBorder="1" applyAlignment="1">
      <alignment horizontal="right"/>
    </xf>
    <xf numFmtId="0" fontId="476" fillId="477" borderId="374" xfId="0" applyFont="1" applyFill="1" applyBorder="1" applyAlignment="1">
      <alignment horizontal="center"/>
    </xf>
    <xf numFmtId="0" fontId="477" fillId="478" borderId="374" xfId="0" applyFont="1" applyFill="1" applyBorder="1" applyAlignment="1">
      <alignment horizontal="center"/>
    </xf>
    <xf numFmtId="165" fontId="478" fillId="479" borderId="374" xfId="0" applyNumberFormat="1" applyFont="1" applyFill="1" applyBorder="1" applyAlignment="1">
      <alignment horizontal="center"/>
    </xf>
    <xf numFmtId="0" fontId="479" fillId="480" borderId="374" xfId="0" applyFont="1" applyFill="1" applyBorder="1" applyAlignment="1">
      <alignment horizontal="center"/>
    </xf>
    <xf numFmtId="0" fontId="480" fillId="481" borderId="374" xfId="0" applyFont="1" applyFill="1" applyBorder="1" applyAlignment="1">
      <alignment horizontal="center"/>
    </xf>
    <xf numFmtId="0" fontId="481" fillId="482" borderId="374" xfId="0" applyFont="1" applyFill="1" applyBorder="1" applyAlignment="1">
      <alignment horizontal="center"/>
    </xf>
    <xf numFmtId="0" fontId="482" fillId="483" borderId="374" xfId="0" applyFont="1" applyFill="1" applyBorder="1" applyAlignment="1">
      <alignment horizontal="center"/>
    </xf>
    <xf numFmtId="4" fontId="483" fillId="484" borderId="374" xfId="0" applyNumberFormat="1" applyFont="1" applyFill="1" applyBorder="1" applyAlignment="1">
      <alignment horizontal="right"/>
    </xf>
    <xf numFmtId="4" fontId="484" fillId="485" borderId="374" xfId="0" applyNumberFormat="1" applyFont="1" applyFill="1" applyBorder="1" applyAlignment="1">
      <alignment horizontal="right"/>
    </xf>
    <xf numFmtId="0" fontId="485" fillId="486" borderId="374" xfId="0" applyFont="1" applyFill="1" applyBorder="1" applyAlignment="1">
      <alignment horizontal="center"/>
    </xf>
    <xf numFmtId="0" fontId="486" fillId="487" borderId="374" xfId="0" applyFont="1" applyFill="1" applyBorder="1" applyAlignment="1">
      <alignment horizontal="center"/>
    </xf>
    <xf numFmtId="165" fontId="487" fillId="488" borderId="374" xfId="0" applyNumberFormat="1" applyFont="1" applyFill="1" applyBorder="1" applyAlignment="1">
      <alignment horizontal="center"/>
    </xf>
    <xf numFmtId="0" fontId="488" fillId="489" borderId="374" xfId="0" applyFont="1" applyFill="1" applyBorder="1" applyAlignment="1">
      <alignment horizontal="center"/>
    </xf>
    <xf numFmtId="0" fontId="489" fillId="490" borderId="374" xfId="0" applyFont="1" applyFill="1" applyBorder="1" applyAlignment="1">
      <alignment horizontal="center"/>
    </xf>
    <xf numFmtId="0" fontId="490" fillId="491" borderId="374" xfId="0" applyFont="1" applyFill="1" applyBorder="1" applyAlignment="1">
      <alignment horizontal="center"/>
    </xf>
    <xf numFmtId="0" fontId="491" fillId="492" borderId="374" xfId="0" applyFont="1" applyFill="1" applyBorder="1" applyAlignment="1">
      <alignment horizontal="center"/>
    </xf>
    <xf numFmtId="4" fontId="492" fillId="493" borderId="374" xfId="0" applyNumberFormat="1" applyFont="1" applyFill="1" applyBorder="1" applyAlignment="1">
      <alignment horizontal="right"/>
    </xf>
    <xf numFmtId="4" fontId="493" fillId="494" borderId="374" xfId="0" applyNumberFormat="1" applyFont="1" applyFill="1" applyBorder="1" applyAlignment="1">
      <alignment horizontal="right"/>
    </xf>
    <xf numFmtId="0" fontId="494" fillId="495" borderId="374" xfId="0" applyFont="1" applyFill="1" applyBorder="1" applyAlignment="1">
      <alignment horizontal="center"/>
    </xf>
    <xf numFmtId="0" fontId="495" fillId="496" borderId="374" xfId="0" applyFont="1" applyFill="1" applyBorder="1" applyAlignment="1">
      <alignment horizontal="center"/>
    </xf>
    <xf numFmtId="165" fontId="496" fillId="497" borderId="374" xfId="0" applyNumberFormat="1" applyFont="1" applyFill="1" applyBorder="1" applyAlignment="1">
      <alignment horizontal="center"/>
    </xf>
    <xf numFmtId="0" fontId="497" fillId="498" borderId="374" xfId="0" applyFont="1" applyFill="1" applyBorder="1" applyAlignment="1">
      <alignment horizontal="center"/>
    </xf>
    <xf numFmtId="0" fontId="498" fillId="499" borderId="374" xfId="0" applyFont="1" applyFill="1" applyBorder="1" applyAlignment="1">
      <alignment horizontal="center"/>
    </xf>
    <xf numFmtId="0" fontId="499" fillId="500" borderId="374" xfId="0" applyFont="1" applyFill="1" applyBorder="1" applyAlignment="1">
      <alignment horizontal="center"/>
    </xf>
    <xf numFmtId="0" fontId="500" fillId="501" borderId="374" xfId="0" applyFont="1" applyFill="1" applyBorder="1" applyAlignment="1">
      <alignment horizontal="center"/>
    </xf>
    <xf numFmtId="4" fontId="501" fillId="502" borderId="374" xfId="0" applyNumberFormat="1" applyFont="1" applyFill="1" applyBorder="1" applyAlignment="1">
      <alignment horizontal="right"/>
    </xf>
    <xf numFmtId="4" fontId="502" fillId="503" borderId="374" xfId="0" applyNumberFormat="1" applyFont="1" applyFill="1" applyBorder="1" applyAlignment="1">
      <alignment horizontal="right"/>
    </xf>
    <xf numFmtId="0" fontId="503" fillId="504" borderId="374" xfId="0" applyFont="1" applyFill="1" applyBorder="1" applyAlignment="1">
      <alignment horizontal="center"/>
    </xf>
    <xf numFmtId="0" fontId="504" fillId="505" borderId="374" xfId="0" applyFont="1" applyFill="1" applyBorder="1" applyAlignment="1">
      <alignment horizontal="center"/>
    </xf>
    <xf numFmtId="165" fontId="505" fillId="506" borderId="374" xfId="0" applyNumberFormat="1" applyFont="1" applyFill="1" applyBorder="1" applyAlignment="1">
      <alignment horizontal="center"/>
    </xf>
    <xf numFmtId="0" fontId="506" fillId="507" borderId="374" xfId="0" applyFont="1" applyFill="1" applyBorder="1" applyAlignment="1">
      <alignment horizontal="center"/>
    </xf>
    <xf numFmtId="0" fontId="507" fillId="508" borderId="374" xfId="0" applyFont="1" applyFill="1" applyBorder="1" applyAlignment="1">
      <alignment horizontal="center"/>
    </xf>
    <xf numFmtId="0" fontId="508" fillId="509" borderId="374" xfId="0" applyFont="1" applyFill="1" applyBorder="1" applyAlignment="1">
      <alignment horizontal="center"/>
    </xf>
    <xf numFmtId="0" fontId="509" fillId="510" borderId="374" xfId="0" applyFont="1" applyFill="1" applyBorder="1" applyAlignment="1">
      <alignment horizontal="center"/>
    </xf>
    <xf numFmtId="4" fontId="510" fillId="511" borderId="374" xfId="0" applyNumberFormat="1" applyFont="1" applyFill="1" applyBorder="1" applyAlignment="1">
      <alignment horizontal="right"/>
    </xf>
    <xf numFmtId="4" fontId="511" fillId="512" borderId="374" xfId="0" applyNumberFormat="1" applyFont="1" applyFill="1" applyBorder="1" applyAlignment="1">
      <alignment horizontal="right"/>
    </xf>
    <xf numFmtId="0" fontId="512" fillId="513" borderId="374" xfId="0" applyFont="1" applyFill="1" applyBorder="1" applyAlignment="1">
      <alignment horizontal="center"/>
    </xf>
    <xf numFmtId="0" fontId="513" fillId="514" borderId="374" xfId="0" applyFont="1" applyFill="1" applyBorder="1" applyAlignment="1">
      <alignment horizontal="center"/>
    </xf>
    <xf numFmtId="165" fontId="514" fillId="515" borderId="374" xfId="0" applyNumberFormat="1" applyFont="1" applyFill="1" applyBorder="1" applyAlignment="1">
      <alignment horizontal="center"/>
    </xf>
    <xf numFmtId="0" fontId="515" fillId="516" borderId="374" xfId="0" applyFont="1" applyFill="1" applyBorder="1" applyAlignment="1">
      <alignment horizontal="center"/>
    </xf>
    <xf numFmtId="0" fontId="516" fillId="517" borderId="374" xfId="0" applyFont="1" applyFill="1" applyBorder="1" applyAlignment="1">
      <alignment horizontal="center"/>
    </xf>
    <xf numFmtId="0" fontId="517" fillId="518" borderId="374" xfId="0" applyFont="1" applyFill="1" applyBorder="1" applyAlignment="1">
      <alignment horizontal="center"/>
    </xf>
    <xf numFmtId="0" fontId="518" fillId="519" borderId="374" xfId="0" applyFont="1" applyFill="1" applyBorder="1" applyAlignment="1">
      <alignment horizontal="center"/>
    </xf>
    <xf numFmtId="4" fontId="519" fillId="520" borderId="374" xfId="0" applyNumberFormat="1" applyFont="1" applyFill="1" applyBorder="1" applyAlignment="1">
      <alignment horizontal="right"/>
    </xf>
    <xf numFmtId="4" fontId="520" fillId="521" borderId="374" xfId="0" applyNumberFormat="1" applyFont="1" applyFill="1" applyBorder="1" applyAlignment="1">
      <alignment horizontal="right"/>
    </xf>
    <xf numFmtId="0" fontId="521" fillId="522" borderId="374" xfId="0" applyFont="1" applyFill="1" applyBorder="1" applyAlignment="1">
      <alignment horizontal="center"/>
    </xf>
    <xf numFmtId="0" fontId="522" fillId="523" borderId="374" xfId="0" applyFont="1" applyFill="1" applyBorder="1" applyAlignment="1">
      <alignment horizontal="center"/>
    </xf>
    <xf numFmtId="165" fontId="523" fillId="524" borderId="374" xfId="0" applyNumberFormat="1" applyFont="1" applyFill="1" applyBorder="1" applyAlignment="1">
      <alignment horizontal="center"/>
    </xf>
    <xf numFmtId="0" fontId="524" fillId="525" borderId="374" xfId="0" applyFont="1" applyFill="1" applyBorder="1" applyAlignment="1">
      <alignment horizontal="center"/>
    </xf>
    <xf numFmtId="0" fontId="525" fillId="526" borderId="374" xfId="0" applyFont="1" applyFill="1" applyBorder="1" applyAlignment="1">
      <alignment horizontal="center"/>
    </xf>
    <xf numFmtId="0" fontId="526" fillId="527" borderId="374" xfId="0" applyFont="1" applyFill="1" applyBorder="1" applyAlignment="1">
      <alignment horizontal="center"/>
    </xf>
    <xf numFmtId="0" fontId="527" fillId="528" borderId="374" xfId="0" applyFont="1" applyFill="1" applyBorder="1" applyAlignment="1">
      <alignment horizontal="center"/>
    </xf>
    <xf numFmtId="4" fontId="528" fillId="529" borderId="374" xfId="0" applyNumberFormat="1" applyFont="1" applyFill="1" applyBorder="1" applyAlignment="1">
      <alignment horizontal="right"/>
    </xf>
    <xf numFmtId="4" fontId="529" fillId="530" borderId="374" xfId="0" applyNumberFormat="1" applyFont="1" applyFill="1" applyBorder="1" applyAlignment="1">
      <alignment horizontal="right"/>
    </xf>
    <xf numFmtId="0" fontId="530" fillId="531" borderId="374" xfId="0" applyFont="1" applyFill="1" applyBorder="1" applyAlignment="1">
      <alignment horizontal="center"/>
    </xf>
    <xf numFmtId="0" fontId="531" fillId="532" borderId="374" xfId="0" applyFont="1" applyFill="1" applyBorder="1" applyAlignment="1">
      <alignment horizontal="center"/>
    </xf>
    <xf numFmtId="165" fontId="532" fillId="533" borderId="374" xfId="0" applyNumberFormat="1" applyFont="1" applyFill="1" applyBorder="1" applyAlignment="1">
      <alignment horizontal="center"/>
    </xf>
    <xf numFmtId="0" fontId="533" fillId="534" borderId="374" xfId="0" applyFont="1" applyFill="1" applyBorder="1" applyAlignment="1">
      <alignment horizontal="center"/>
    </xf>
    <xf numFmtId="0" fontId="534" fillId="535" borderId="374" xfId="0" applyFont="1" applyFill="1" applyBorder="1" applyAlignment="1">
      <alignment horizontal="center"/>
    </xf>
    <xf numFmtId="0" fontId="535" fillId="536" borderId="374" xfId="0" applyFont="1" applyFill="1" applyBorder="1" applyAlignment="1">
      <alignment horizontal="center"/>
    </xf>
    <xf numFmtId="0" fontId="536" fillId="537" borderId="374" xfId="0" applyFont="1" applyFill="1" applyBorder="1" applyAlignment="1">
      <alignment horizontal="center"/>
    </xf>
    <xf numFmtId="4" fontId="537" fillId="538" borderId="374" xfId="0" applyNumberFormat="1" applyFont="1" applyFill="1" applyBorder="1" applyAlignment="1">
      <alignment horizontal="right"/>
    </xf>
    <xf numFmtId="4" fontId="538" fillId="539" borderId="374" xfId="0" applyNumberFormat="1" applyFont="1" applyFill="1" applyBorder="1" applyAlignment="1">
      <alignment horizontal="right"/>
    </xf>
    <xf numFmtId="0" fontId="539" fillId="540" borderId="374" xfId="0" applyFont="1" applyFill="1" applyBorder="1" applyAlignment="1">
      <alignment horizontal="center"/>
    </xf>
    <xf numFmtId="0" fontId="540" fillId="541" borderId="374" xfId="0" applyFont="1" applyFill="1" applyBorder="1" applyAlignment="1">
      <alignment horizontal="center"/>
    </xf>
    <xf numFmtId="165" fontId="541" fillId="542" borderId="374" xfId="0" applyNumberFormat="1" applyFont="1" applyFill="1" applyBorder="1" applyAlignment="1">
      <alignment horizontal="center"/>
    </xf>
    <xf numFmtId="0" fontId="542" fillId="543" borderId="374" xfId="0" applyFont="1" applyFill="1" applyBorder="1" applyAlignment="1">
      <alignment horizontal="center"/>
    </xf>
    <xf numFmtId="0" fontId="543" fillId="544" borderId="374" xfId="0" applyFont="1" applyFill="1" applyBorder="1" applyAlignment="1">
      <alignment horizontal="center"/>
    </xf>
    <xf numFmtId="0" fontId="544" fillId="545" borderId="374" xfId="0" applyFont="1" applyFill="1" applyBorder="1" applyAlignment="1">
      <alignment horizontal="center"/>
    </xf>
    <xf numFmtId="0" fontId="545" fillId="546" borderId="374" xfId="0" applyFont="1" applyFill="1" applyBorder="1" applyAlignment="1">
      <alignment horizontal="center"/>
    </xf>
    <xf numFmtId="4" fontId="546" fillId="547" borderId="374" xfId="0" applyNumberFormat="1" applyFont="1" applyFill="1" applyBorder="1" applyAlignment="1">
      <alignment horizontal="right"/>
    </xf>
    <xf numFmtId="4" fontId="547" fillId="548" borderId="374" xfId="0" applyNumberFormat="1" applyFont="1" applyFill="1" applyBorder="1" applyAlignment="1">
      <alignment horizontal="right"/>
    </xf>
    <xf numFmtId="0" fontId="548" fillId="549" borderId="374" xfId="0" applyFont="1" applyFill="1" applyBorder="1" applyAlignment="1">
      <alignment horizontal="center"/>
    </xf>
    <xf numFmtId="0" fontId="549" fillId="550" borderId="374" xfId="0" applyFont="1" applyFill="1" applyBorder="1" applyAlignment="1">
      <alignment horizontal="center"/>
    </xf>
    <xf numFmtId="165" fontId="550" fillId="551" borderId="374" xfId="0" applyNumberFormat="1" applyFont="1" applyFill="1" applyBorder="1" applyAlignment="1">
      <alignment horizontal="center"/>
    </xf>
    <xf numFmtId="0" fontId="551" fillId="552" borderId="374" xfId="0" applyFont="1" applyFill="1" applyBorder="1" applyAlignment="1">
      <alignment horizontal="center"/>
    </xf>
    <xf numFmtId="0" fontId="552" fillId="553" borderId="374" xfId="0" applyFont="1" applyFill="1" applyBorder="1" applyAlignment="1">
      <alignment horizontal="center"/>
    </xf>
    <xf numFmtId="0" fontId="553" fillId="554" borderId="374" xfId="0" applyFont="1" applyFill="1" applyBorder="1" applyAlignment="1">
      <alignment horizontal="center"/>
    </xf>
    <xf numFmtId="0" fontId="554" fillId="555" borderId="374" xfId="0" applyFont="1" applyFill="1" applyBorder="1" applyAlignment="1">
      <alignment horizontal="center"/>
    </xf>
    <xf numFmtId="4" fontId="555" fillId="556" borderId="374" xfId="0" applyNumberFormat="1" applyFont="1" applyFill="1" applyBorder="1" applyAlignment="1">
      <alignment horizontal="right"/>
    </xf>
    <xf numFmtId="4" fontId="556" fillId="557" borderId="374" xfId="0" applyNumberFormat="1" applyFont="1" applyFill="1" applyBorder="1" applyAlignment="1">
      <alignment horizontal="right"/>
    </xf>
    <xf numFmtId="0" fontId="557" fillId="558" borderId="374" xfId="0" applyFont="1" applyFill="1" applyBorder="1" applyAlignment="1">
      <alignment horizontal="center"/>
    </xf>
    <xf numFmtId="0" fontId="558" fillId="559" borderId="374" xfId="0" applyFont="1" applyFill="1" applyBorder="1" applyAlignment="1">
      <alignment horizontal="center"/>
    </xf>
    <xf numFmtId="165" fontId="559" fillId="560" borderId="374" xfId="0" applyNumberFormat="1" applyFont="1" applyFill="1" applyBorder="1" applyAlignment="1">
      <alignment horizontal="center"/>
    </xf>
    <xf numFmtId="0" fontId="560" fillId="561" borderId="374" xfId="0" applyFont="1" applyFill="1" applyBorder="1" applyAlignment="1">
      <alignment horizontal="center"/>
    </xf>
    <xf numFmtId="0" fontId="561" fillId="562" borderId="374" xfId="0" applyFont="1" applyFill="1" applyBorder="1" applyAlignment="1">
      <alignment horizontal="center"/>
    </xf>
    <xf numFmtId="0" fontId="562" fillId="563" borderId="374" xfId="0" applyFont="1" applyFill="1" applyBorder="1" applyAlignment="1">
      <alignment horizontal="center"/>
    </xf>
    <xf numFmtId="0" fontId="563" fillId="564" borderId="374" xfId="0" applyFont="1" applyFill="1" applyBorder="1" applyAlignment="1">
      <alignment horizontal="center"/>
    </xf>
    <xf numFmtId="4" fontId="564" fillId="565" borderId="374" xfId="0" applyNumberFormat="1" applyFont="1" applyFill="1" applyBorder="1" applyAlignment="1">
      <alignment horizontal="right"/>
    </xf>
    <xf numFmtId="4" fontId="565" fillId="566" borderId="374" xfId="0" applyNumberFormat="1" applyFont="1" applyFill="1" applyBorder="1" applyAlignment="1">
      <alignment horizontal="right"/>
    </xf>
    <xf numFmtId="0" fontId="566" fillId="567" borderId="374" xfId="0" applyFont="1" applyFill="1" applyBorder="1" applyAlignment="1">
      <alignment horizontal="center"/>
    </xf>
    <xf numFmtId="0" fontId="567" fillId="568" borderId="374" xfId="0" applyFont="1" applyFill="1" applyBorder="1" applyAlignment="1">
      <alignment horizontal="center"/>
    </xf>
    <xf numFmtId="165" fontId="568" fillId="569" borderId="374" xfId="0" applyNumberFormat="1" applyFont="1" applyFill="1" applyBorder="1" applyAlignment="1">
      <alignment horizontal="center"/>
    </xf>
    <xf numFmtId="0" fontId="569" fillId="570" borderId="374" xfId="0" applyFont="1" applyFill="1" applyBorder="1" applyAlignment="1">
      <alignment horizontal="center"/>
    </xf>
    <xf numFmtId="0" fontId="570" fillId="571" borderId="374" xfId="0" applyFont="1" applyFill="1" applyBorder="1" applyAlignment="1">
      <alignment horizontal="center"/>
    </xf>
    <xf numFmtId="0" fontId="571" fillId="572" borderId="374" xfId="0" applyFont="1" applyFill="1" applyBorder="1" applyAlignment="1">
      <alignment horizontal="center"/>
    </xf>
    <xf numFmtId="0" fontId="572" fillId="573" borderId="374" xfId="0" applyFont="1" applyFill="1" applyBorder="1" applyAlignment="1">
      <alignment horizontal="center"/>
    </xf>
    <xf numFmtId="4" fontId="573" fillId="574" borderId="374" xfId="0" applyNumberFormat="1" applyFont="1" applyFill="1" applyBorder="1" applyAlignment="1">
      <alignment horizontal="right"/>
    </xf>
    <xf numFmtId="4" fontId="574" fillId="575" borderId="374" xfId="0" applyNumberFormat="1" applyFont="1" applyFill="1" applyBorder="1" applyAlignment="1">
      <alignment horizontal="right"/>
    </xf>
    <xf numFmtId="0" fontId="575" fillId="576" borderId="374" xfId="0" applyFont="1" applyFill="1" applyBorder="1" applyAlignment="1">
      <alignment horizontal="center"/>
    </xf>
    <xf numFmtId="0" fontId="576" fillId="577" borderId="374" xfId="0" applyFont="1" applyFill="1" applyBorder="1" applyAlignment="1">
      <alignment horizontal="center"/>
    </xf>
    <xf numFmtId="165" fontId="577" fillId="578" borderId="374" xfId="0" applyNumberFormat="1" applyFont="1" applyFill="1" applyBorder="1" applyAlignment="1">
      <alignment horizontal="center"/>
    </xf>
    <xf numFmtId="0" fontId="578" fillId="579" borderId="374" xfId="0" applyFont="1" applyFill="1" applyBorder="1" applyAlignment="1">
      <alignment horizontal="center"/>
    </xf>
    <xf numFmtId="0" fontId="579" fillId="580" borderId="374" xfId="0" applyFont="1" applyFill="1" applyBorder="1" applyAlignment="1">
      <alignment horizontal="center"/>
    </xf>
    <xf numFmtId="0" fontId="580" fillId="581" borderId="374" xfId="0" applyFont="1" applyFill="1" applyBorder="1" applyAlignment="1">
      <alignment horizontal="center"/>
    </xf>
    <xf numFmtId="0" fontId="581" fillId="582" borderId="374" xfId="0" applyFont="1" applyFill="1" applyBorder="1" applyAlignment="1">
      <alignment horizontal="center"/>
    </xf>
    <xf numFmtId="4" fontId="582" fillId="583" borderId="374" xfId="0" applyNumberFormat="1" applyFont="1" applyFill="1" applyBorder="1" applyAlignment="1">
      <alignment horizontal="right"/>
    </xf>
    <xf numFmtId="4" fontId="583" fillId="584" borderId="374" xfId="0" applyNumberFormat="1" applyFont="1" applyFill="1" applyBorder="1" applyAlignment="1">
      <alignment horizontal="right"/>
    </xf>
    <xf numFmtId="0" fontId="584" fillId="585" borderId="374" xfId="0" applyFont="1" applyFill="1" applyBorder="1" applyAlignment="1">
      <alignment horizontal="center"/>
    </xf>
    <xf numFmtId="0" fontId="585" fillId="586" borderId="374" xfId="0" applyFont="1" applyFill="1" applyBorder="1" applyAlignment="1">
      <alignment horizontal="center"/>
    </xf>
    <xf numFmtId="165" fontId="586" fillId="587" borderId="374" xfId="0" applyNumberFormat="1" applyFont="1" applyFill="1" applyBorder="1" applyAlignment="1">
      <alignment horizontal="center"/>
    </xf>
    <xf numFmtId="0" fontId="587" fillId="588" borderId="374" xfId="0" applyFont="1" applyFill="1" applyBorder="1" applyAlignment="1">
      <alignment horizontal="center"/>
    </xf>
    <xf numFmtId="0" fontId="588" fillId="589" borderId="374" xfId="0" applyFont="1" applyFill="1" applyBorder="1" applyAlignment="1">
      <alignment horizontal="center"/>
    </xf>
    <xf numFmtId="0" fontId="589" fillId="590" borderId="374" xfId="0" applyFont="1" applyFill="1" applyBorder="1" applyAlignment="1">
      <alignment horizontal="center"/>
    </xf>
    <xf numFmtId="0" fontId="590" fillId="591" borderId="374" xfId="0" applyFont="1" applyFill="1" applyBorder="1" applyAlignment="1">
      <alignment horizontal="center"/>
    </xf>
    <xf numFmtId="4" fontId="591" fillId="592" borderId="374" xfId="0" applyNumberFormat="1" applyFont="1" applyFill="1" applyBorder="1" applyAlignment="1">
      <alignment horizontal="right"/>
    </xf>
    <xf numFmtId="4" fontId="592" fillId="593" borderId="374" xfId="0" applyNumberFormat="1" applyFont="1" applyFill="1" applyBorder="1" applyAlignment="1">
      <alignment horizontal="right"/>
    </xf>
    <xf numFmtId="0" fontId="593" fillId="594" borderId="374" xfId="0" applyFont="1" applyFill="1" applyBorder="1" applyAlignment="1">
      <alignment horizontal="center"/>
    </xf>
    <xf numFmtId="0" fontId="594" fillId="595" borderId="374" xfId="0" applyFont="1" applyFill="1" applyBorder="1" applyAlignment="1">
      <alignment horizontal="center"/>
    </xf>
    <xf numFmtId="165" fontId="595" fillId="596" borderId="374" xfId="0" applyNumberFormat="1" applyFont="1" applyFill="1" applyBorder="1" applyAlignment="1">
      <alignment horizontal="center"/>
    </xf>
    <xf numFmtId="0" fontId="596" fillId="597" borderId="374" xfId="0" applyFont="1" applyFill="1" applyBorder="1" applyAlignment="1">
      <alignment horizontal="center"/>
    </xf>
    <xf numFmtId="0" fontId="597" fillId="598" borderId="374" xfId="0" applyFont="1" applyFill="1" applyBorder="1" applyAlignment="1">
      <alignment horizontal="center"/>
    </xf>
    <xf numFmtId="0" fontId="598" fillId="599" borderId="374" xfId="0" applyFont="1" applyFill="1" applyBorder="1" applyAlignment="1">
      <alignment horizontal="center"/>
    </xf>
    <xf numFmtId="0" fontId="599" fillId="600" borderId="374" xfId="0" applyFont="1" applyFill="1" applyBorder="1" applyAlignment="1">
      <alignment horizontal="center"/>
    </xf>
    <xf numFmtId="4" fontId="600" fillId="601" borderId="374" xfId="0" applyNumberFormat="1" applyFont="1" applyFill="1" applyBorder="1" applyAlignment="1">
      <alignment horizontal="right"/>
    </xf>
    <xf numFmtId="4" fontId="601" fillId="602" borderId="374" xfId="0" applyNumberFormat="1" applyFont="1" applyFill="1" applyBorder="1" applyAlignment="1">
      <alignment horizontal="right"/>
    </xf>
    <xf numFmtId="0" fontId="602" fillId="603" borderId="374" xfId="0" applyFont="1" applyFill="1" applyBorder="1" applyAlignment="1">
      <alignment horizontal="center"/>
    </xf>
    <xf numFmtId="0" fontId="603" fillId="604" borderId="374" xfId="0" applyFont="1" applyFill="1" applyBorder="1" applyAlignment="1">
      <alignment horizontal="center"/>
    </xf>
    <xf numFmtId="165" fontId="604" fillId="605" borderId="374" xfId="0" applyNumberFormat="1" applyFont="1" applyFill="1" applyBorder="1" applyAlignment="1">
      <alignment horizontal="center"/>
    </xf>
    <xf numFmtId="0" fontId="605" fillId="606" borderId="374" xfId="0" applyFont="1" applyFill="1" applyBorder="1" applyAlignment="1">
      <alignment horizontal="center"/>
    </xf>
    <xf numFmtId="0" fontId="606" fillId="607" borderId="374" xfId="0" applyFont="1" applyFill="1" applyBorder="1" applyAlignment="1">
      <alignment horizontal="center"/>
    </xf>
    <xf numFmtId="0" fontId="607" fillId="608" borderId="374" xfId="0" applyFont="1" applyFill="1" applyBorder="1" applyAlignment="1">
      <alignment horizontal="center"/>
    </xf>
    <xf numFmtId="0" fontId="608" fillId="609" borderId="374" xfId="0" applyFont="1" applyFill="1" applyBorder="1" applyAlignment="1">
      <alignment horizontal="center"/>
    </xf>
    <xf numFmtId="4" fontId="609" fillId="610" borderId="374" xfId="0" applyNumberFormat="1" applyFont="1" applyFill="1" applyBorder="1" applyAlignment="1">
      <alignment horizontal="right"/>
    </xf>
    <xf numFmtId="4" fontId="610" fillId="611" borderId="374" xfId="0" applyNumberFormat="1" applyFont="1" applyFill="1" applyBorder="1" applyAlignment="1">
      <alignment horizontal="right"/>
    </xf>
    <xf numFmtId="0" fontId="611" fillId="612" borderId="374" xfId="0" applyFont="1" applyFill="1" applyBorder="1" applyAlignment="1">
      <alignment horizontal="center"/>
    </xf>
    <xf numFmtId="0" fontId="612" fillId="613" borderId="374" xfId="0" applyFont="1" applyFill="1" applyBorder="1" applyAlignment="1">
      <alignment horizontal="center"/>
    </xf>
    <xf numFmtId="165" fontId="613" fillId="614" borderId="374" xfId="0" applyNumberFormat="1" applyFont="1" applyFill="1" applyBorder="1" applyAlignment="1">
      <alignment horizontal="center"/>
    </xf>
    <xf numFmtId="0" fontId="614" fillId="615" borderId="374" xfId="0" applyFont="1" applyFill="1" applyBorder="1" applyAlignment="1">
      <alignment horizontal="center"/>
    </xf>
    <xf numFmtId="0" fontId="615" fillId="616" borderId="374" xfId="0" applyFont="1" applyFill="1" applyBorder="1" applyAlignment="1">
      <alignment horizontal="center"/>
    </xf>
    <xf numFmtId="0" fontId="616" fillId="617" borderId="374" xfId="0" applyFont="1" applyFill="1" applyBorder="1" applyAlignment="1">
      <alignment horizontal="center"/>
    </xf>
    <xf numFmtId="0" fontId="617" fillId="618" borderId="374" xfId="0" applyFont="1" applyFill="1" applyBorder="1" applyAlignment="1">
      <alignment horizontal="center"/>
    </xf>
    <xf numFmtId="4" fontId="618" fillId="619" borderId="374" xfId="0" applyNumberFormat="1" applyFont="1" applyFill="1" applyBorder="1" applyAlignment="1">
      <alignment horizontal="right"/>
    </xf>
    <xf numFmtId="4" fontId="619" fillId="620" borderId="374" xfId="0" applyNumberFormat="1" applyFont="1" applyFill="1" applyBorder="1" applyAlignment="1">
      <alignment horizontal="right"/>
    </xf>
    <xf numFmtId="0" fontId="620" fillId="621" borderId="374" xfId="0" applyFont="1" applyFill="1" applyBorder="1" applyAlignment="1">
      <alignment horizontal="center"/>
    </xf>
    <xf numFmtId="0" fontId="621" fillId="622" borderId="374" xfId="0" applyFont="1" applyFill="1" applyBorder="1" applyAlignment="1">
      <alignment horizontal="center"/>
    </xf>
    <xf numFmtId="165" fontId="622" fillId="623" borderId="374" xfId="0" applyNumberFormat="1" applyFont="1" applyFill="1" applyBorder="1" applyAlignment="1">
      <alignment horizontal="center"/>
    </xf>
    <xf numFmtId="0" fontId="623" fillId="624" borderId="374" xfId="0" applyFont="1" applyFill="1" applyBorder="1" applyAlignment="1">
      <alignment horizontal="center"/>
    </xf>
    <xf numFmtId="0" fontId="624" fillId="625" borderId="374" xfId="0" applyFont="1" applyFill="1" applyBorder="1" applyAlignment="1">
      <alignment horizontal="center"/>
    </xf>
    <xf numFmtId="0" fontId="625" fillId="626" borderId="374" xfId="0" applyFont="1" applyFill="1" applyBorder="1" applyAlignment="1">
      <alignment horizontal="center"/>
    </xf>
    <xf numFmtId="0" fontId="626" fillId="627" borderId="374" xfId="0" applyFont="1" applyFill="1" applyBorder="1" applyAlignment="1">
      <alignment horizontal="center"/>
    </xf>
    <xf numFmtId="4" fontId="627" fillId="628" borderId="374" xfId="0" applyNumberFormat="1" applyFont="1" applyFill="1" applyBorder="1" applyAlignment="1">
      <alignment horizontal="right"/>
    </xf>
    <xf numFmtId="4" fontId="628" fillId="629" borderId="374" xfId="0" applyNumberFormat="1" applyFont="1" applyFill="1" applyBorder="1" applyAlignment="1">
      <alignment horizontal="right"/>
    </xf>
    <xf numFmtId="0" fontId="629" fillId="630" borderId="374" xfId="0" applyFont="1" applyFill="1" applyBorder="1" applyAlignment="1">
      <alignment horizontal="center"/>
    </xf>
    <xf numFmtId="0" fontId="630" fillId="631" borderId="374" xfId="0" applyFont="1" applyFill="1" applyBorder="1" applyAlignment="1">
      <alignment horizontal="center"/>
    </xf>
    <xf numFmtId="165" fontId="631" fillId="632" borderId="374" xfId="0" applyNumberFormat="1" applyFont="1" applyFill="1" applyBorder="1" applyAlignment="1">
      <alignment horizontal="center"/>
    </xf>
    <xf numFmtId="0" fontId="632" fillId="633" borderId="374" xfId="0" applyFont="1" applyFill="1" applyBorder="1" applyAlignment="1">
      <alignment horizontal="center"/>
    </xf>
    <xf numFmtId="0" fontId="633" fillId="634" borderId="374" xfId="0" applyFont="1" applyFill="1" applyBorder="1" applyAlignment="1">
      <alignment horizontal="center"/>
    </xf>
    <xf numFmtId="0" fontId="634" fillId="635" borderId="374" xfId="0" applyFont="1" applyFill="1" applyBorder="1" applyAlignment="1">
      <alignment horizontal="center"/>
    </xf>
    <xf numFmtId="0" fontId="635" fillId="636" borderId="374" xfId="0" applyFont="1" applyFill="1" applyBorder="1" applyAlignment="1">
      <alignment horizontal="center"/>
    </xf>
    <xf numFmtId="4" fontId="636" fillId="637" borderId="374" xfId="0" applyNumberFormat="1" applyFont="1" applyFill="1" applyBorder="1" applyAlignment="1">
      <alignment horizontal="right"/>
    </xf>
    <xf numFmtId="4" fontId="637" fillId="638" borderId="374" xfId="0" applyNumberFormat="1" applyFont="1" applyFill="1" applyBorder="1" applyAlignment="1">
      <alignment horizontal="right"/>
    </xf>
    <xf numFmtId="0" fontId="638" fillId="639" borderId="374" xfId="0" applyFont="1" applyFill="1" applyBorder="1" applyAlignment="1">
      <alignment horizontal="center"/>
    </xf>
    <xf numFmtId="0" fontId="639" fillId="640" borderId="374" xfId="0" applyFont="1" applyFill="1" applyBorder="1" applyAlignment="1">
      <alignment horizontal="center"/>
    </xf>
    <xf numFmtId="165" fontId="640" fillId="641" borderId="374" xfId="0" applyNumberFormat="1" applyFont="1" applyFill="1" applyBorder="1" applyAlignment="1">
      <alignment horizontal="center"/>
    </xf>
    <xf numFmtId="0" fontId="641" fillId="642" borderId="374" xfId="0" applyFont="1" applyFill="1" applyBorder="1" applyAlignment="1">
      <alignment horizontal="center"/>
    </xf>
    <xf numFmtId="0" fontId="642" fillId="643" borderId="374" xfId="0" applyFont="1" applyFill="1" applyBorder="1" applyAlignment="1">
      <alignment horizontal="center"/>
    </xf>
    <xf numFmtId="0" fontId="643" fillId="644" borderId="374" xfId="0" applyFont="1" applyFill="1" applyBorder="1" applyAlignment="1">
      <alignment horizontal="center"/>
    </xf>
    <xf numFmtId="0" fontId="644" fillId="645" borderId="374" xfId="0" applyFont="1" applyFill="1" applyBorder="1" applyAlignment="1">
      <alignment horizontal="center"/>
    </xf>
    <xf numFmtId="4" fontId="645" fillId="646" borderId="374" xfId="0" applyNumberFormat="1" applyFont="1" applyFill="1" applyBorder="1" applyAlignment="1">
      <alignment horizontal="right"/>
    </xf>
    <xf numFmtId="4" fontId="646" fillId="647" borderId="374" xfId="0" applyNumberFormat="1" applyFont="1" applyFill="1" applyBorder="1" applyAlignment="1">
      <alignment horizontal="right"/>
    </xf>
    <xf numFmtId="0" fontId="647" fillId="648" borderId="374" xfId="0" applyFont="1" applyFill="1" applyBorder="1" applyAlignment="1">
      <alignment horizontal="center"/>
    </xf>
    <xf numFmtId="0" fontId="648" fillId="649" borderId="374" xfId="0" applyFont="1" applyFill="1" applyBorder="1" applyAlignment="1">
      <alignment horizontal="center"/>
    </xf>
    <xf numFmtId="0" fontId="10" fillId="322" borderId="319" xfId="0" applyFont="1" applyFill="1" applyBorder="1" applyAlignment="1">
      <alignment horizontal="center"/>
    </xf>
    <xf numFmtId="0" fontId="10" fillId="323" borderId="37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25400</xdr:rowOff>
    </xdr:from>
    <xdr:to>
      <xdr:col>10</xdr:col>
      <xdr:colOff>156210</xdr:colOff>
      <xdr:row>2</xdr:row>
      <xdr:rowOff>66675</xdr:rowOff>
    </xdr:to>
    <xdr:pic>
      <xdr:nvPicPr>
        <xdr:cNvPr id="3" name="Logo_Operador_Pagina_1">
          <a:extLst>
            <a:ext uri="{FF2B5EF4-FFF2-40B4-BE49-F238E27FC236}">
              <a16:creationId xmlns:a16="http://schemas.microsoft.com/office/drawing/2014/main" id="{C51C90C7-56D4-C9C4-B82D-EEE8BF58A0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25400"/>
          <a:ext cx="1390650" cy="5441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25400</xdr:rowOff>
    </xdr:from>
    <xdr:to>
      <xdr:col>10</xdr:col>
      <xdr:colOff>293370</xdr:colOff>
      <xdr:row>2</xdr:row>
      <xdr:rowOff>66675</xdr:rowOff>
    </xdr:to>
    <xdr:pic>
      <xdr:nvPicPr>
        <xdr:cNvPr id="3" name="Logo_Operador_Pagina_1">
          <a:extLst>
            <a:ext uri="{FF2B5EF4-FFF2-40B4-BE49-F238E27FC236}">
              <a16:creationId xmlns:a16="http://schemas.microsoft.com/office/drawing/2014/main" id="{2D6B8A8F-7234-16F6-6E27-CCDADDB419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25400"/>
          <a:ext cx="1390650" cy="5441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0"/>
  <sheetViews>
    <sheetView workbookViewId="0">
      <selection activeCell="B12" sqref="B12"/>
    </sheetView>
  </sheetViews>
  <sheetFormatPr baseColWidth="10" defaultColWidth="8.88671875" defaultRowHeight="14.4" x14ac:dyDescent="0.3"/>
  <cols>
    <col min="1" max="1" width="8.109375" customWidth="1"/>
    <col min="2" max="2" width="15.44140625" customWidth="1"/>
    <col min="3" max="3" width="16" customWidth="1"/>
    <col min="4" max="4" width="18" style="357" customWidth="1"/>
    <col min="5" max="5" width="23.21875" bestFit="1" customWidth="1"/>
    <col min="6" max="6" width="35.77734375" bestFit="1" customWidth="1"/>
    <col min="7" max="7" width="24.44140625" bestFit="1" customWidth="1"/>
    <col min="8" max="9" width="16" customWidth="1"/>
    <col min="10" max="10" width="18" customWidth="1"/>
    <col min="11" max="11" width="20" customWidth="1"/>
  </cols>
  <sheetData>
    <row r="1" spans="1:11" ht="19.95" customHeight="1" x14ac:dyDescent="0.3">
      <c r="D1"/>
    </row>
    <row r="2" spans="1:11" ht="19.95" customHeight="1" x14ac:dyDescent="0.3">
      <c r="A2" t="s">
        <v>86</v>
      </c>
      <c r="D2"/>
    </row>
    <row r="3" spans="1:11" ht="19.95" customHeight="1" x14ac:dyDescent="0.3">
      <c r="D3"/>
    </row>
    <row r="4" spans="1:11" ht="30" customHeight="1" x14ac:dyDescent="0.3">
      <c r="B4" s="374" t="s">
        <v>0</v>
      </c>
      <c r="C4" s="361"/>
      <c r="D4" s="361"/>
      <c r="E4" s="361"/>
      <c r="F4" s="361"/>
      <c r="G4" s="361"/>
      <c r="H4" s="361"/>
      <c r="I4" s="361"/>
      <c r="J4" s="361"/>
      <c r="K4" s="361"/>
    </row>
    <row r="5" spans="1:11" ht="15" customHeight="1" x14ac:dyDescent="0.3">
      <c r="D5"/>
    </row>
    <row r="6" spans="1:11" ht="22.05" customHeight="1" x14ac:dyDescent="0.35">
      <c r="B6" s="1" t="s">
        <v>1</v>
      </c>
      <c r="C6" s="2">
        <v>25</v>
      </c>
      <c r="D6"/>
      <c r="E6" s="3" t="s">
        <v>2</v>
      </c>
      <c r="F6" s="375"/>
      <c r="G6" s="376"/>
      <c r="H6" s="377"/>
      <c r="J6" s="4" t="s">
        <v>3</v>
      </c>
      <c r="K6" s="5" t="s">
        <v>4</v>
      </c>
    </row>
    <row r="7" spans="1:11" ht="22.05" customHeight="1" x14ac:dyDescent="0.3">
      <c r="B7" s="381" t="s">
        <v>5</v>
      </c>
      <c r="C7" s="6"/>
      <c r="D7" s="380" t="s">
        <v>6</v>
      </c>
      <c r="E7" s="380"/>
      <c r="G7" s="382" t="s">
        <v>7</v>
      </c>
      <c r="H7" s="7"/>
      <c r="I7" s="379" t="s">
        <v>8</v>
      </c>
      <c r="J7" s="379"/>
    </row>
    <row r="8" spans="1:11" ht="15" customHeight="1" x14ac:dyDescent="0.3">
      <c r="B8" s="381"/>
      <c r="D8"/>
      <c r="G8" s="383"/>
    </row>
    <row r="9" spans="1:11" ht="22.05" customHeight="1" x14ac:dyDescent="0.3">
      <c r="B9" s="378" t="s">
        <v>9</v>
      </c>
      <c r="C9" s="361"/>
      <c r="D9" s="361"/>
      <c r="E9" s="361"/>
      <c r="F9" s="361"/>
      <c r="G9" s="361"/>
      <c r="H9" s="361"/>
      <c r="I9" s="361"/>
      <c r="J9" s="361"/>
      <c r="K9" s="361"/>
    </row>
    <row r="10" spans="1:11" ht="25.05" customHeight="1" x14ac:dyDescent="0.3">
      <c r="B10" s="8" t="s">
        <v>87</v>
      </c>
      <c r="C10" s="9" t="s">
        <v>88</v>
      </c>
      <c r="D10" s="10" t="s">
        <v>89</v>
      </c>
      <c r="E10" s="11" t="s">
        <v>90</v>
      </c>
      <c r="F10" s="12" t="s">
        <v>91</v>
      </c>
      <c r="G10" s="13" t="s">
        <v>92</v>
      </c>
      <c r="H10" s="14" t="s">
        <v>93</v>
      </c>
      <c r="I10" s="371" t="s">
        <v>10</v>
      </c>
      <c r="J10" s="372"/>
      <c r="K10" s="373"/>
    </row>
    <row r="11" spans="1:11" ht="22.05" customHeight="1" x14ac:dyDescent="0.35">
      <c r="B11" s="15" t="str">
        <f>IF(G11="","", IFERROR(VLOOKUP(G11, Catalogos!$H$2:$I$20, 2, FALSE), "FOL") &amp; IF($C$6="","", "-" &amp; $C$6) &amp; "-" &amp; TEXT(ROW(A1),"000"))</f>
        <v>LT-25-001</v>
      </c>
      <c r="C11" s="315">
        <v>46195</v>
      </c>
      <c r="D11" s="316">
        <v>0.64583333333333337</v>
      </c>
      <c r="E11" s="16" t="s">
        <v>21</v>
      </c>
      <c r="F11" s="17" t="s">
        <v>79</v>
      </c>
      <c r="G11" s="18" t="s">
        <v>20</v>
      </c>
      <c r="H11" s="19">
        <v>150</v>
      </c>
      <c r="I11" s="368"/>
      <c r="J11" s="369"/>
      <c r="K11" s="370"/>
    </row>
    <row r="12" spans="1:11" ht="22.05" customHeight="1" x14ac:dyDescent="0.35">
      <c r="B12" s="20" t="str">
        <f>IF(G12="","", IFERROR(VLOOKUP(G12, Catalogos!$H$2:$I$20, 2, FALSE), "FOL") &amp; IF($C$6="","", "-" &amp; $C$6) &amp; "-" &amp; TEXT(ROW(A2),"000"))</f>
        <v/>
      </c>
      <c r="C12" s="21"/>
      <c r="D12" s="317"/>
      <c r="E12" s="22"/>
      <c r="F12" s="23"/>
      <c r="G12" s="24"/>
      <c r="H12" s="19"/>
      <c r="I12" s="368"/>
      <c r="J12" s="369"/>
      <c r="K12" s="370"/>
    </row>
    <row r="13" spans="1:11" ht="22.05" customHeight="1" x14ac:dyDescent="0.35">
      <c r="B13" s="25" t="str">
        <f>IF(G13="","", IFERROR(VLOOKUP(G13, Catalogos!$H$2:$I$20, 2, FALSE), "FOL") &amp; IF($C$6="","", "-" &amp; $C$6) &amp; "-" &amp; TEXT(ROW(A3),"000"))</f>
        <v/>
      </c>
      <c r="C13" s="26"/>
      <c r="D13" s="318"/>
      <c r="E13" s="27"/>
      <c r="F13" s="28"/>
      <c r="G13" s="29"/>
      <c r="H13" s="30" t="str">
        <f>IF(F13="","", IFERROR(VLOOKUP(F13, Catalogos!$D$2:$G$50, 4, FALSE), ""))</f>
        <v/>
      </c>
      <c r="I13" s="368"/>
      <c r="J13" s="369"/>
      <c r="K13" s="370"/>
    </row>
    <row r="14" spans="1:11" ht="22.05" customHeight="1" x14ac:dyDescent="0.35">
      <c r="B14" s="31" t="str">
        <f>IF(G14="","", IFERROR(VLOOKUP(G14, Catalogos!$H$2:$I$20, 2, FALSE), "FOL") &amp; IF($C$6="","", "-" &amp; $C$6) &amp; "-" &amp; TEXT(ROW(A4),"000"))</f>
        <v/>
      </c>
      <c r="C14" s="32"/>
      <c r="D14" s="319"/>
      <c r="E14" s="33"/>
      <c r="F14" s="34"/>
      <c r="G14" s="35"/>
      <c r="H14" s="36" t="str">
        <f>IF(F14="","", IFERROR(VLOOKUP(F14, Catalogos!$D$2:$G$50, 4, FALSE), ""))</f>
        <v/>
      </c>
      <c r="I14" s="368"/>
      <c r="J14" s="369"/>
      <c r="K14" s="370"/>
    </row>
    <row r="15" spans="1:11" ht="22.05" customHeight="1" x14ac:dyDescent="0.35">
      <c r="B15" s="37" t="str">
        <f>IF(G15="","", IFERROR(VLOOKUP(G15, Catalogos!$H$2:$I$20, 2, FALSE), "FOL") &amp; IF($C$6="","", "-" &amp; $C$6) &amp; "-" &amp; TEXT(ROW(A5),"000"))</f>
        <v/>
      </c>
      <c r="C15" s="38"/>
      <c r="D15" s="320"/>
      <c r="E15" s="39"/>
      <c r="F15" s="40"/>
      <c r="G15" s="41"/>
      <c r="H15" s="42" t="str">
        <f>IF(F15="","", IFERROR(VLOOKUP(F15, Catalogos!$D$2:$G$50, 4, FALSE), ""))</f>
        <v/>
      </c>
      <c r="I15" s="368"/>
      <c r="J15" s="369"/>
      <c r="K15" s="370"/>
    </row>
    <row r="16" spans="1:11" ht="22.05" customHeight="1" x14ac:dyDescent="0.35">
      <c r="B16" s="43" t="str">
        <f>IF(G16="","", IFERROR(VLOOKUP(G16, Catalogos!$H$2:$I$20, 2, FALSE), "FOL") &amp; IF($C$6="","", "-" &amp; $C$6) &amp; "-" &amp; TEXT(ROW(A6),"000"))</f>
        <v/>
      </c>
      <c r="C16" s="44"/>
      <c r="D16" s="321"/>
      <c r="E16" s="45"/>
      <c r="F16" s="46"/>
      <c r="G16" s="47"/>
      <c r="H16" s="48" t="str">
        <f>IF(F16="","", IFERROR(VLOOKUP(F16, Catalogos!$D$2:$G$50, 4, FALSE), ""))</f>
        <v/>
      </c>
      <c r="I16" s="368"/>
      <c r="J16" s="369"/>
      <c r="K16" s="370"/>
    </row>
    <row r="17" spans="2:11" ht="22.05" customHeight="1" x14ac:dyDescent="0.35">
      <c r="B17" s="49" t="str">
        <f>IF(G17="","", IFERROR(VLOOKUP(G17, Catalogos!$H$2:$I$20, 2, FALSE), "FOL") &amp; IF($C$6="","", "-" &amp; $C$6) &amp; "-" &amp; TEXT(ROW(A7),"000"))</f>
        <v/>
      </c>
      <c r="C17" s="50"/>
      <c r="D17" s="322"/>
      <c r="E17" s="51"/>
      <c r="F17" s="52"/>
      <c r="G17" s="53"/>
      <c r="H17" s="54" t="str">
        <f>IF(F17="","", IFERROR(VLOOKUP(F17, Catalogos!$D$2:$G$50, 4, FALSE), ""))</f>
        <v/>
      </c>
      <c r="I17" s="368"/>
      <c r="J17" s="369"/>
      <c r="K17" s="370"/>
    </row>
    <row r="18" spans="2:11" ht="22.05" customHeight="1" x14ac:dyDescent="0.35">
      <c r="B18" s="55" t="str">
        <f>IF(G18="","", IFERROR(VLOOKUP(G18, Catalogos!$H$2:$I$20, 2, FALSE), "FOL") &amp; IF($C$6="","", "-" &amp; $C$6) &amp; "-" &amp; TEXT(ROW(A8),"000"))</f>
        <v/>
      </c>
      <c r="C18" s="56"/>
      <c r="D18" s="323"/>
      <c r="E18" s="57"/>
      <c r="F18" s="58"/>
      <c r="G18" s="59"/>
      <c r="H18" s="60" t="str">
        <f>IF(F18="","", IFERROR(VLOOKUP(F18, Catalogos!$D$2:$G$50, 4, FALSE), ""))</f>
        <v/>
      </c>
      <c r="I18" s="368"/>
      <c r="J18" s="369"/>
      <c r="K18" s="370"/>
    </row>
    <row r="19" spans="2:11" ht="22.05" customHeight="1" x14ac:dyDescent="0.35">
      <c r="B19" s="61" t="str">
        <f>IF(G19="","", IFERROR(VLOOKUP(G19, Catalogos!$H$2:$I$20, 2, FALSE), "FOL") &amp; IF($C$6="","", "-" &amp; $C$6) &amp; "-" &amp; TEXT(ROW(A9),"000"))</f>
        <v/>
      </c>
      <c r="C19" s="62"/>
      <c r="D19" s="324"/>
      <c r="E19" s="63"/>
      <c r="F19" s="64"/>
      <c r="G19" s="65"/>
      <c r="H19" s="66" t="str">
        <f>IF(F19="","", IFERROR(VLOOKUP(F19, Catalogos!$D$2:$G$50, 4, FALSE), ""))</f>
        <v/>
      </c>
      <c r="I19" s="368"/>
      <c r="J19" s="369"/>
      <c r="K19" s="370"/>
    </row>
    <row r="20" spans="2:11" ht="22.05" customHeight="1" x14ac:dyDescent="0.35">
      <c r="B20" s="67" t="str">
        <f>IF(G20="","", IFERROR(VLOOKUP(G20, Catalogos!$H$2:$I$20, 2, FALSE), "FOL") &amp; IF($C$6="","", "-" &amp; $C$6) &amp; "-" &amp; TEXT(ROW(A10),"000"))</f>
        <v/>
      </c>
      <c r="C20" s="68"/>
      <c r="D20" s="325"/>
      <c r="E20" s="69"/>
      <c r="F20" s="70"/>
      <c r="G20" s="71"/>
      <c r="H20" s="72" t="str">
        <f>IF(F20="","", IFERROR(VLOOKUP(F20, Catalogos!$D$2:$G$50, 4, FALSE), ""))</f>
        <v/>
      </c>
      <c r="I20" s="368"/>
      <c r="J20" s="369"/>
      <c r="K20" s="370"/>
    </row>
    <row r="21" spans="2:11" ht="22.05" customHeight="1" x14ac:dyDescent="0.35">
      <c r="B21" s="73" t="str">
        <f>IF(G21="","", IFERROR(VLOOKUP(G21, Catalogos!$H$2:$I$20, 2, FALSE), "FOL") &amp; IF($C$6="","", "-" &amp; $C$6) &amp; "-" &amp; TEXT(ROW(A11),"000"))</f>
        <v/>
      </c>
      <c r="C21" s="74"/>
      <c r="D21" s="326"/>
      <c r="E21" s="75"/>
      <c r="F21" s="76"/>
      <c r="G21" s="77"/>
      <c r="H21" s="78" t="str">
        <f>IF(F21="","", IFERROR(VLOOKUP(F21, Catalogos!$D$2:$G$50, 4, FALSE), ""))</f>
        <v/>
      </c>
      <c r="I21" s="368"/>
      <c r="J21" s="369"/>
      <c r="K21" s="370"/>
    </row>
    <row r="22" spans="2:11" ht="22.05" customHeight="1" x14ac:dyDescent="0.35">
      <c r="B22" s="79" t="str">
        <f>IF(G22="","", IFERROR(VLOOKUP(G22, Catalogos!$H$2:$I$20, 2, FALSE), "FOL") &amp; IF($C$6="","", "-" &amp; $C$6) &amp; "-" &amp; TEXT(ROW(A12),"000"))</f>
        <v/>
      </c>
      <c r="C22" s="80"/>
      <c r="D22" s="327"/>
      <c r="E22" s="81"/>
      <c r="F22" s="82"/>
      <c r="G22" s="83"/>
      <c r="H22" s="84" t="str">
        <f>IF(F22="","", IFERROR(VLOOKUP(F22, Catalogos!$D$2:$G$50, 4, FALSE), ""))</f>
        <v/>
      </c>
      <c r="I22" s="368"/>
      <c r="J22" s="369"/>
      <c r="K22" s="370"/>
    </row>
    <row r="23" spans="2:11" ht="22.05" customHeight="1" x14ac:dyDescent="0.35">
      <c r="B23" s="85" t="str">
        <f>IF(G23="","", IFERROR(VLOOKUP(G23, Catalogos!$H$2:$I$20, 2, FALSE), "FOL") &amp; IF($C$6="","", "-" &amp; $C$6) &amp; "-" &amp; TEXT(ROW(A13),"000"))</f>
        <v/>
      </c>
      <c r="C23" s="86"/>
      <c r="D23" s="328"/>
      <c r="E23" s="87"/>
      <c r="F23" s="88"/>
      <c r="G23" s="89"/>
      <c r="H23" s="90" t="str">
        <f>IF(F23="","", IFERROR(VLOOKUP(F23, Catalogos!$D$2:$G$50, 4, FALSE), ""))</f>
        <v/>
      </c>
      <c r="I23" s="368"/>
      <c r="J23" s="369"/>
      <c r="K23" s="370"/>
    </row>
    <row r="24" spans="2:11" ht="22.05" customHeight="1" x14ac:dyDescent="0.35">
      <c r="B24" s="91" t="str">
        <f>IF(G24="","", IFERROR(VLOOKUP(G24, Catalogos!$H$2:$I$20, 2, FALSE), "FOL") &amp; IF($C$6="","", "-" &amp; $C$6) &amp; "-" &amp; TEXT(ROW(A14),"000"))</f>
        <v/>
      </c>
      <c r="C24" s="92"/>
      <c r="D24" s="329"/>
      <c r="E24" s="93"/>
      <c r="F24" s="94"/>
      <c r="G24" s="95"/>
      <c r="H24" s="96" t="str">
        <f>IF(F24="","", IFERROR(VLOOKUP(F24, Catalogos!$D$2:$G$50, 4, FALSE), ""))</f>
        <v/>
      </c>
      <c r="I24" s="368"/>
      <c r="J24" s="369"/>
      <c r="K24" s="370"/>
    </row>
    <row r="25" spans="2:11" ht="22.05" customHeight="1" x14ac:dyDescent="0.35">
      <c r="B25" s="97" t="str">
        <f>IF(G25="","", IFERROR(VLOOKUP(G25, Catalogos!$H$2:$I$20, 2, FALSE), "FOL") &amp; IF($C$6="","", "-" &amp; $C$6) &amp; "-" &amp; TEXT(ROW(A15),"000"))</f>
        <v/>
      </c>
      <c r="C25" s="98"/>
      <c r="D25" s="330"/>
      <c r="E25" s="99"/>
      <c r="F25" s="100"/>
      <c r="G25" s="101"/>
      <c r="H25" s="102" t="str">
        <f>IF(F25="","", IFERROR(VLOOKUP(F25, Catalogos!$D$2:$G$50, 4, FALSE), ""))</f>
        <v/>
      </c>
      <c r="I25" s="368"/>
      <c r="J25" s="369"/>
      <c r="K25" s="370"/>
    </row>
    <row r="26" spans="2:11" ht="22.05" customHeight="1" x14ac:dyDescent="0.35">
      <c r="B26" s="103" t="str">
        <f>IF(G26="","", IFERROR(VLOOKUP(G26, Catalogos!$H$2:$I$20, 2, FALSE), "FOL") &amp; IF($C$6="","", "-" &amp; $C$6) &amp; "-" &amp; TEXT(ROW(A16),"000"))</f>
        <v/>
      </c>
      <c r="C26" s="104"/>
      <c r="D26" s="331"/>
      <c r="E26" s="105"/>
      <c r="F26" s="106"/>
      <c r="G26" s="107"/>
      <c r="H26" s="108" t="str">
        <f>IF(F26="","", IFERROR(VLOOKUP(F26, Catalogos!$D$2:$G$50, 4, FALSE), ""))</f>
        <v/>
      </c>
      <c r="I26" s="368"/>
      <c r="J26" s="369"/>
      <c r="K26" s="370"/>
    </row>
    <row r="27" spans="2:11" ht="22.05" customHeight="1" x14ac:dyDescent="0.35">
      <c r="B27" s="109" t="str">
        <f>IF(G27="","", IFERROR(VLOOKUP(G27, Catalogos!$H$2:$I$20, 2, FALSE), "FOL") &amp; IF($C$6="","", "-" &amp; $C$6) &amp; "-" &amp; TEXT(ROW(A17),"000"))</f>
        <v/>
      </c>
      <c r="C27" s="110"/>
      <c r="D27" s="332"/>
      <c r="E27" s="111"/>
      <c r="F27" s="112"/>
      <c r="G27" s="113"/>
      <c r="H27" s="114" t="str">
        <f>IF(F27="","", IFERROR(VLOOKUP(F27, Catalogos!$D$2:$G$50, 4, FALSE), ""))</f>
        <v/>
      </c>
      <c r="I27" s="368"/>
      <c r="J27" s="369"/>
      <c r="K27" s="370"/>
    </row>
    <row r="28" spans="2:11" ht="22.05" customHeight="1" x14ac:dyDescent="0.35">
      <c r="B28" s="115" t="str">
        <f>IF(G28="","", IFERROR(VLOOKUP(G28, Catalogos!$H$2:$I$20, 2, FALSE), "FOL") &amp; IF($C$6="","", "-" &amp; $C$6) &amp; "-" &amp; TEXT(ROW(A18),"000"))</f>
        <v/>
      </c>
      <c r="C28" s="116"/>
      <c r="D28" s="333"/>
      <c r="E28" s="117"/>
      <c r="F28" s="118"/>
      <c r="G28" s="119"/>
      <c r="H28" s="120" t="str">
        <f>IF(F28="","", IFERROR(VLOOKUP(F28, Catalogos!$D$2:$G$50, 4, FALSE), ""))</f>
        <v/>
      </c>
      <c r="I28" s="368"/>
      <c r="J28" s="369"/>
      <c r="K28" s="370"/>
    </row>
    <row r="29" spans="2:11" ht="22.05" customHeight="1" x14ac:dyDescent="0.35">
      <c r="B29" s="121" t="str">
        <f>IF(G29="","", IFERROR(VLOOKUP(G29, Catalogos!$H$2:$I$20, 2, FALSE), "FOL") &amp; IF($C$6="","", "-" &amp; $C$6) &amp; "-" &amp; TEXT(ROW(A19),"000"))</f>
        <v/>
      </c>
      <c r="C29" s="122"/>
      <c r="D29" s="334"/>
      <c r="E29" s="123"/>
      <c r="F29" s="124"/>
      <c r="G29" s="125"/>
      <c r="H29" s="126" t="str">
        <f>IF(F29="","", IFERROR(VLOOKUP(F29, Catalogos!$D$2:$G$50, 4, FALSE), ""))</f>
        <v/>
      </c>
      <c r="I29" s="368"/>
      <c r="J29" s="369"/>
      <c r="K29" s="370"/>
    </row>
    <row r="30" spans="2:11" ht="22.05" customHeight="1" x14ac:dyDescent="0.35">
      <c r="B30" s="127" t="str">
        <f>IF(G30="","", IFERROR(VLOOKUP(G30, Catalogos!$H$2:$I$20, 2, FALSE), "FOL") &amp; IF($C$6="","", "-" &amp; $C$6) &amp; "-" &amp; TEXT(ROW(A20),"000"))</f>
        <v/>
      </c>
      <c r="C30" s="128"/>
      <c r="D30" s="335"/>
      <c r="E30" s="129"/>
      <c r="F30" s="130"/>
      <c r="G30" s="131"/>
      <c r="H30" s="132" t="str">
        <f>IF(F30="","", IFERROR(VLOOKUP(F30, Catalogos!$D$2:$G$50, 4, FALSE), ""))</f>
        <v/>
      </c>
      <c r="I30" s="368"/>
      <c r="J30" s="369"/>
      <c r="K30" s="370"/>
    </row>
    <row r="31" spans="2:11" ht="22.05" customHeight="1" x14ac:dyDescent="0.35">
      <c r="B31" s="133" t="str">
        <f>IF(G31="","", IFERROR(VLOOKUP(G31, Catalogos!$H$2:$I$20, 2, FALSE), "FOL") &amp; IF($C$6="","", "-" &amp; $C$6) &amp; "-" &amp; TEXT(ROW(A21),"000"))</f>
        <v/>
      </c>
      <c r="C31" s="134"/>
      <c r="D31" s="336"/>
      <c r="E31" s="135"/>
      <c r="F31" s="136"/>
      <c r="G31" s="137"/>
      <c r="H31" s="138" t="str">
        <f>IF(F31="","", IFERROR(VLOOKUP(F31, Catalogos!$D$2:$G$50, 4, FALSE), ""))</f>
        <v/>
      </c>
      <c r="I31" s="368"/>
      <c r="J31" s="369"/>
      <c r="K31" s="370"/>
    </row>
    <row r="32" spans="2:11" ht="22.05" customHeight="1" x14ac:dyDescent="0.35">
      <c r="B32" s="139" t="str">
        <f>IF(G32="","", IFERROR(VLOOKUP(G32, Catalogos!$H$2:$I$20, 2, FALSE), "FOL") &amp; IF($C$6="","", "-" &amp; $C$6) &amp; "-" &amp; TEXT(ROW(A22),"000"))</f>
        <v/>
      </c>
      <c r="C32" s="140"/>
      <c r="D32" s="337"/>
      <c r="E32" s="141"/>
      <c r="F32" s="142"/>
      <c r="G32" s="143"/>
      <c r="H32" s="144" t="str">
        <f>IF(F32="","", IFERROR(VLOOKUP(F32, Catalogos!$D$2:$G$50, 4, FALSE), ""))</f>
        <v/>
      </c>
      <c r="I32" s="368"/>
      <c r="J32" s="369"/>
      <c r="K32" s="370"/>
    </row>
    <row r="33" spans="2:11" ht="22.05" customHeight="1" x14ac:dyDescent="0.35">
      <c r="B33" s="145" t="str">
        <f>IF(G33="","", IFERROR(VLOOKUP(G33, Catalogos!$H$2:$I$20, 2, FALSE), "FOL") &amp; IF($C$6="","", "-" &amp; $C$6) &amp; "-" &amp; TEXT(ROW(A23),"000"))</f>
        <v/>
      </c>
      <c r="C33" s="146"/>
      <c r="D33" s="338"/>
      <c r="E33" s="147"/>
      <c r="F33" s="148"/>
      <c r="G33" s="149"/>
      <c r="H33" s="150" t="str">
        <f>IF(F33="","", IFERROR(VLOOKUP(F33, Catalogos!$D$2:$G$50, 4, FALSE), ""))</f>
        <v/>
      </c>
      <c r="I33" s="368"/>
      <c r="J33" s="369"/>
      <c r="K33" s="370"/>
    </row>
    <row r="34" spans="2:11" ht="22.05" customHeight="1" x14ac:dyDescent="0.35">
      <c r="B34" s="151" t="str">
        <f>IF(G34="","", IFERROR(VLOOKUP(G34, Catalogos!$H$2:$I$20, 2, FALSE), "FOL") &amp; IF($C$6="","", "-" &amp; $C$6) &amp; "-" &amp; TEXT(ROW(A24),"000"))</f>
        <v/>
      </c>
      <c r="C34" s="152"/>
      <c r="D34" s="339"/>
      <c r="E34" s="153"/>
      <c r="F34" s="154"/>
      <c r="G34" s="155"/>
      <c r="H34" s="156" t="str">
        <f>IF(F34="","", IFERROR(VLOOKUP(F34, Catalogos!$D$2:$G$50, 4, FALSE), ""))</f>
        <v/>
      </c>
      <c r="I34" s="368"/>
      <c r="J34" s="369"/>
      <c r="K34" s="370"/>
    </row>
    <row r="35" spans="2:11" ht="22.05" customHeight="1" x14ac:dyDescent="0.35">
      <c r="B35" s="157" t="str">
        <f>IF(G35="","", IFERROR(VLOOKUP(G35, Catalogos!$H$2:$I$20, 2, FALSE), "FOL") &amp; IF($C$6="","", "-" &amp; $C$6) &amp; "-" &amp; TEXT(ROW(A25),"000"))</f>
        <v/>
      </c>
      <c r="C35" s="158"/>
      <c r="D35" s="340"/>
      <c r="E35" s="159"/>
      <c r="F35" s="160"/>
      <c r="G35" s="161"/>
      <c r="H35" s="162" t="str">
        <f>IF(F35="","", IFERROR(VLOOKUP(F35, Catalogos!$D$2:$G$50, 4, FALSE), ""))</f>
        <v/>
      </c>
      <c r="I35" s="368"/>
      <c r="J35" s="369"/>
      <c r="K35" s="370"/>
    </row>
    <row r="36" spans="2:11" ht="22.05" customHeight="1" x14ac:dyDescent="0.35">
      <c r="B36" s="163" t="str">
        <f>IF(G36="","", IFERROR(VLOOKUP(G36, Catalogos!$H$2:$I$20, 2, FALSE), "FOL") &amp; IF($C$6="","", "-" &amp; $C$6) &amp; "-" &amp; TEXT(ROW(A26),"000"))</f>
        <v/>
      </c>
      <c r="C36" s="164"/>
      <c r="D36" s="341"/>
      <c r="E36" s="165"/>
      <c r="F36" s="166"/>
      <c r="G36" s="167"/>
      <c r="H36" s="168" t="str">
        <f>IF(F36="","", IFERROR(VLOOKUP(F36, Catalogos!$D$2:$G$50, 4, FALSE), ""))</f>
        <v/>
      </c>
      <c r="I36" s="368"/>
      <c r="J36" s="369"/>
      <c r="K36" s="370"/>
    </row>
    <row r="37" spans="2:11" ht="22.05" customHeight="1" x14ac:dyDescent="0.35">
      <c r="B37" s="169" t="str">
        <f>IF(G37="","", IFERROR(VLOOKUP(G37, Catalogos!$H$2:$I$20, 2, FALSE), "FOL") &amp; IF($C$6="","", "-" &amp; $C$6) &amp; "-" &amp; TEXT(ROW(A27),"000"))</f>
        <v/>
      </c>
      <c r="C37" s="170"/>
      <c r="D37" s="342"/>
      <c r="E37" s="171"/>
      <c r="F37" s="172"/>
      <c r="G37" s="173"/>
      <c r="H37" s="174" t="str">
        <f>IF(F37="","", IFERROR(VLOOKUP(F37, Catalogos!$D$2:$G$50, 4, FALSE), ""))</f>
        <v/>
      </c>
      <c r="I37" s="368"/>
      <c r="J37" s="369"/>
      <c r="K37" s="370"/>
    </row>
    <row r="38" spans="2:11" ht="22.05" customHeight="1" x14ac:dyDescent="0.35">
      <c r="B38" s="175" t="str">
        <f>IF(G38="","", IFERROR(VLOOKUP(G38, Catalogos!$H$2:$I$20, 2, FALSE), "FOL") &amp; IF($C$6="","", "-" &amp; $C$6) &amp; "-" &amp; TEXT(ROW(A28),"000"))</f>
        <v/>
      </c>
      <c r="C38" s="176"/>
      <c r="D38" s="343"/>
      <c r="E38" s="177"/>
      <c r="F38" s="178"/>
      <c r="G38" s="179"/>
      <c r="H38" s="180" t="str">
        <f>IF(F38="","", IFERROR(VLOOKUP(F38, Catalogos!$D$2:$G$50, 4, FALSE), ""))</f>
        <v/>
      </c>
      <c r="I38" s="368"/>
      <c r="J38" s="369"/>
      <c r="K38" s="370"/>
    </row>
    <row r="39" spans="2:11" ht="22.05" customHeight="1" x14ac:dyDescent="0.35">
      <c r="B39" s="181" t="str">
        <f>IF(G39="","", IFERROR(VLOOKUP(G39, Catalogos!$H$2:$I$20, 2, FALSE), "FOL") &amp; IF($C$6="","", "-" &amp; $C$6) &amp; "-" &amp; TEXT(ROW(A29),"000"))</f>
        <v/>
      </c>
      <c r="C39" s="182"/>
      <c r="D39" s="344"/>
      <c r="E39" s="183"/>
      <c r="F39" s="184"/>
      <c r="G39" s="185"/>
      <c r="H39" s="186" t="str">
        <f>IF(F39="","", IFERROR(VLOOKUP(F39, Catalogos!$D$2:$G$50, 4, FALSE), ""))</f>
        <v/>
      </c>
      <c r="I39" s="368"/>
      <c r="J39" s="369"/>
      <c r="K39" s="370"/>
    </row>
    <row r="40" spans="2:11" ht="22.05" customHeight="1" x14ac:dyDescent="0.35">
      <c r="B40" s="187" t="str">
        <f>IF(G40="","", IFERROR(VLOOKUP(G40, Catalogos!$H$2:$I$20, 2, FALSE), "FOL") &amp; IF($C$6="","", "-" &amp; $C$6) &amp; "-" &amp; TEXT(ROW(A30),"000"))</f>
        <v/>
      </c>
      <c r="C40" s="188"/>
      <c r="D40" s="345"/>
      <c r="E40" s="189"/>
      <c r="F40" s="190"/>
      <c r="G40" s="191"/>
      <c r="H40" s="192" t="str">
        <f>IF(F40="","", IFERROR(VLOOKUP(F40, Catalogos!$D$2:$G$50, 4, FALSE), ""))</f>
        <v/>
      </c>
      <c r="I40" s="368"/>
      <c r="J40" s="369"/>
      <c r="K40" s="370"/>
    </row>
    <row r="41" spans="2:11" ht="22.05" customHeight="1" x14ac:dyDescent="0.35">
      <c r="B41" s="193" t="str">
        <f>IF(G41="","", IFERROR(VLOOKUP(G41, Catalogos!$H$2:$I$20, 2, FALSE), "FOL") &amp; IF($C$6="","", "-" &amp; $C$6) &amp; "-" &amp; TEXT(ROW(A31),"000"))</f>
        <v/>
      </c>
      <c r="C41" s="194"/>
      <c r="D41" s="346"/>
      <c r="E41" s="195"/>
      <c r="F41" s="196"/>
      <c r="G41" s="197"/>
      <c r="H41" s="198" t="str">
        <f>IF(F41="","", IFERROR(VLOOKUP(F41, Catalogos!$D$2:$G$50, 4, FALSE), ""))</f>
        <v/>
      </c>
      <c r="I41" s="368"/>
      <c r="J41" s="369"/>
      <c r="K41" s="370"/>
    </row>
    <row r="42" spans="2:11" ht="22.05" customHeight="1" x14ac:dyDescent="0.35">
      <c r="B42" s="199" t="str">
        <f>IF(G42="","", IFERROR(VLOOKUP(G42, Catalogos!$H$2:$I$20, 2, FALSE), "FOL") &amp; IF($C$6="","", "-" &amp; $C$6) &amp; "-" &amp; TEXT(ROW(A32),"000"))</f>
        <v/>
      </c>
      <c r="C42" s="200"/>
      <c r="D42" s="347"/>
      <c r="E42" s="201"/>
      <c r="F42" s="202"/>
      <c r="G42" s="203"/>
      <c r="H42" s="204" t="str">
        <f>IF(F42="","", IFERROR(VLOOKUP(F42, Catalogos!$D$2:$G$50, 4, FALSE), ""))</f>
        <v/>
      </c>
      <c r="I42" s="368"/>
      <c r="J42" s="369"/>
      <c r="K42" s="370"/>
    </row>
    <row r="43" spans="2:11" ht="22.05" customHeight="1" x14ac:dyDescent="0.35">
      <c r="B43" s="205" t="str">
        <f>IF(G43="","", IFERROR(VLOOKUP(G43, Catalogos!$H$2:$I$20, 2, FALSE), "FOL") &amp; IF($C$6="","", "-" &amp; $C$6) &amp; "-" &amp; TEXT(ROW(A33),"000"))</f>
        <v/>
      </c>
      <c r="C43" s="206"/>
      <c r="D43" s="348"/>
      <c r="E43" s="207"/>
      <c r="F43" s="208"/>
      <c r="G43" s="209"/>
      <c r="H43" s="210" t="str">
        <f>IF(F43="","", IFERROR(VLOOKUP(F43, Catalogos!$D$2:$G$50, 4, FALSE), ""))</f>
        <v/>
      </c>
      <c r="I43" s="368"/>
      <c r="J43" s="369"/>
      <c r="K43" s="370"/>
    </row>
    <row r="44" spans="2:11" ht="22.05" customHeight="1" x14ac:dyDescent="0.35">
      <c r="B44" s="211" t="str">
        <f>IF(G44="","", IFERROR(VLOOKUP(G44, Catalogos!$H$2:$I$20, 2, FALSE), "FOL") &amp; IF($C$6="","", "-" &amp; $C$6) &amp; "-" &amp; TEXT(ROW(A34),"000"))</f>
        <v/>
      </c>
      <c r="C44" s="212"/>
      <c r="D44" s="349"/>
      <c r="E44" s="213"/>
      <c r="F44" s="214"/>
      <c r="G44" s="215"/>
      <c r="H44" s="216" t="str">
        <f>IF(F44="","", IFERROR(VLOOKUP(F44, Catalogos!$D$2:$G$50, 4, FALSE), ""))</f>
        <v/>
      </c>
      <c r="I44" s="368"/>
      <c r="J44" s="369"/>
      <c r="K44" s="370"/>
    </row>
    <row r="45" spans="2:11" ht="22.05" customHeight="1" x14ac:dyDescent="0.35">
      <c r="B45" s="217" t="str">
        <f>IF(G45="","", IFERROR(VLOOKUP(G45, Catalogos!$H$2:$I$20, 2, FALSE), "FOL") &amp; IF($C$6="","", "-" &amp; $C$6) &amp; "-" &amp; TEXT(ROW(A35),"000"))</f>
        <v/>
      </c>
      <c r="C45" s="218"/>
      <c r="D45" s="350"/>
      <c r="E45" s="219"/>
      <c r="F45" s="220"/>
      <c r="G45" s="221"/>
      <c r="H45" s="222" t="str">
        <f>IF(F45="","", IFERROR(VLOOKUP(F45, Catalogos!$D$2:$G$50, 4, FALSE), ""))</f>
        <v/>
      </c>
      <c r="I45" s="368"/>
      <c r="J45" s="369"/>
      <c r="K45" s="370"/>
    </row>
    <row r="46" spans="2:11" ht="22.05" customHeight="1" x14ac:dyDescent="0.35">
      <c r="B46" s="223" t="str">
        <f>IF(G46="","", IFERROR(VLOOKUP(G46, Catalogos!$H$2:$I$20, 2, FALSE), "FOL") &amp; IF($C$6="","", "-" &amp; $C$6) &amp; "-" &amp; TEXT(ROW(A36),"000"))</f>
        <v/>
      </c>
      <c r="C46" s="224"/>
      <c r="D46" s="351"/>
      <c r="E46" s="225"/>
      <c r="F46" s="226"/>
      <c r="G46" s="227"/>
      <c r="H46" s="228" t="str">
        <f>IF(F46="","", IFERROR(VLOOKUP(F46, Catalogos!$D$2:$G$50, 4, FALSE), ""))</f>
        <v/>
      </c>
      <c r="I46" s="368"/>
      <c r="J46" s="369"/>
      <c r="K46" s="370"/>
    </row>
    <row r="47" spans="2:11" ht="22.05" customHeight="1" x14ac:dyDescent="0.35">
      <c r="B47" s="229" t="str">
        <f>IF(G47="","", IFERROR(VLOOKUP(G47, Catalogos!$H$2:$I$20, 2, FALSE), "FOL") &amp; IF($C$6="","", "-" &amp; $C$6) &amp; "-" &amp; TEXT(ROW(A37),"000"))</f>
        <v/>
      </c>
      <c r="C47" s="230"/>
      <c r="D47" s="352"/>
      <c r="E47" s="231"/>
      <c r="F47" s="232"/>
      <c r="G47" s="233"/>
      <c r="H47" s="234" t="str">
        <f>IF(F47="","", IFERROR(VLOOKUP(F47, Catalogos!$D$2:$G$50, 4, FALSE), ""))</f>
        <v/>
      </c>
      <c r="I47" s="368"/>
      <c r="J47" s="369"/>
      <c r="K47" s="370"/>
    </row>
    <row r="48" spans="2:11" ht="22.05" customHeight="1" x14ac:dyDescent="0.35">
      <c r="B48" s="235" t="str">
        <f>IF(G48="","", IFERROR(VLOOKUP(G48, Catalogos!$H$2:$I$20, 2, FALSE), "FOL") &amp; IF($C$6="","", "-" &amp; $C$6) &amp; "-" &amp; TEXT(ROW(A38),"000"))</f>
        <v/>
      </c>
      <c r="C48" s="236"/>
      <c r="D48" s="353"/>
      <c r="E48" s="237"/>
      <c r="F48" s="238"/>
      <c r="G48" s="239"/>
      <c r="H48" s="240" t="str">
        <f>IF(F48="","", IFERROR(VLOOKUP(F48, Catalogos!$D$2:$G$50, 4, FALSE), ""))</f>
        <v/>
      </c>
      <c r="I48" s="368"/>
      <c r="J48" s="369"/>
      <c r="K48" s="370"/>
    </row>
    <row r="49" spans="2:11" ht="22.05" customHeight="1" x14ac:dyDescent="0.35">
      <c r="B49" s="241" t="str">
        <f>IF(G49="","", IFERROR(VLOOKUP(G49, Catalogos!$H$2:$I$20, 2, FALSE), "FOL") &amp; IF($C$6="","", "-" &amp; $C$6) &amp; "-" &amp; TEXT(ROW(A39),"000"))</f>
        <v/>
      </c>
      <c r="C49" s="242"/>
      <c r="D49" s="354"/>
      <c r="E49" s="243"/>
      <c r="F49" s="244"/>
      <c r="G49" s="245"/>
      <c r="H49" s="246" t="str">
        <f>IF(F49="","", IFERROR(VLOOKUP(F49, Catalogos!$D$2:$G$50, 4, FALSE), ""))</f>
        <v/>
      </c>
      <c r="I49" s="368"/>
      <c r="J49" s="369"/>
      <c r="K49" s="370"/>
    </row>
    <row r="50" spans="2:11" ht="22.05" customHeight="1" x14ac:dyDescent="0.35">
      <c r="B50" s="247" t="str">
        <f>IF(G50="","", IFERROR(VLOOKUP(G50, Catalogos!$H$2:$I$20, 2, FALSE), "FOL") &amp; IF($C$6="","", "-" &amp; $C$6) &amp; "-" &amp; TEXT(ROW(A40),"000"))</f>
        <v/>
      </c>
      <c r="C50" s="248"/>
      <c r="D50" s="355"/>
      <c r="E50" s="249"/>
      <c r="F50" s="250"/>
      <c r="G50" s="251"/>
      <c r="H50" s="252" t="str">
        <f>IF(F50="","", IFERROR(VLOOKUP(F50, Catalogos!$D$2:$G$50, 4, FALSE), ""))</f>
        <v/>
      </c>
      <c r="I50" s="368"/>
      <c r="J50" s="369"/>
      <c r="K50" s="370"/>
    </row>
    <row r="51" spans="2:11" ht="22.05" customHeight="1" x14ac:dyDescent="0.35">
      <c r="B51" s="253" t="str">
        <f>IF(G51="","", IFERROR(VLOOKUP(G51, Catalogos!$H$2:$I$20, 2, FALSE), "FOL") &amp; IF($C$6="","", "-" &amp; $C$6) &amp; "-" &amp; TEXT(ROW(A41),"000"))</f>
        <v/>
      </c>
      <c r="C51" s="255"/>
      <c r="D51" s="356"/>
      <c r="E51" s="256"/>
      <c r="F51" s="257"/>
      <c r="G51" s="258"/>
      <c r="H51" s="254" t="str">
        <f>IF(F51="","", IFERROR(VLOOKUP(F51, Catalogos!$D$2:$G$50, 4, FALSE), ""))</f>
        <v/>
      </c>
      <c r="I51" s="368"/>
      <c r="J51" s="369"/>
      <c r="K51" s="370"/>
    </row>
    <row r="52" spans="2:11" ht="15" x14ac:dyDescent="0.35">
      <c r="B52" t="str">
        <f>IF(G52="","", IFERROR(VLOOKUP(G52, Catalogos!$H$2:$I$20, 2, FALSE), "FOL") &amp; IF($C$6="","", "-" &amp; $C$6) &amp; "-" &amp; TEXT(ROW(A42),"000"))</f>
        <v/>
      </c>
      <c r="H52" t="str">
        <f>IF(F52="","", IFERROR(VLOOKUP(F52, Catalogos!$D$2:$G$50, 4, FALSE), ""))</f>
        <v/>
      </c>
      <c r="I52" s="368"/>
      <c r="J52" s="369"/>
      <c r="K52" s="370"/>
    </row>
    <row r="53" spans="2:11" ht="15" x14ac:dyDescent="0.35">
      <c r="B53" t="str">
        <f>IF(G53="","", IFERROR(VLOOKUP(G53, Catalogos!$H$2:$I$20, 2, FALSE), "FOL") &amp; IF($C$6="","", "-" &amp; $C$6) &amp; "-" &amp; TEXT(ROW(A43),"000"))</f>
        <v/>
      </c>
      <c r="H53" t="str">
        <f>IF(F53="","", IFERROR(VLOOKUP(F53, Catalogos!$D$2:$G$50, 4, FALSE), ""))</f>
        <v/>
      </c>
      <c r="I53" s="368"/>
      <c r="J53" s="369"/>
      <c r="K53" s="370"/>
    </row>
    <row r="54" spans="2:11" ht="15" x14ac:dyDescent="0.35">
      <c r="B54" t="str">
        <f>IF(G54="","", IFERROR(VLOOKUP(G54, Catalogos!$H$2:$I$20, 2, FALSE), "FOL") &amp; IF($C$6="","", "-" &amp; $C$6) &amp; "-" &amp; TEXT(ROW(A44),"000"))</f>
        <v/>
      </c>
      <c r="H54" t="str">
        <f>IF(F54="","", IFERROR(VLOOKUP(F54, Catalogos!$D$2:$G$50, 4, FALSE), ""))</f>
        <v/>
      </c>
      <c r="I54" s="368"/>
      <c r="J54" s="369"/>
      <c r="K54" s="370"/>
    </row>
    <row r="55" spans="2:11" ht="15" x14ac:dyDescent="0.35">
      <c r="B55" t="str">
        <f>IF(G55="","", IFERROR(VLOOKUP(G55, Catalogos!$H$2:$I$20, 2, FALSE), "FOL") &amp; IF($C$6="","", "-" &amp; $C$6) &amp; "-" &amp; TEXT(ROW(A45),"000"))</f>
        <v/>
      </c>
      <c r="H55" t="str">
        <f>IF(F55="","", IFERROR(VLOOKUP(F55, Catalogos!$D$2:$G$50, 4, FALSE), ""))</f>
        <v/>
      </c>
      <c r="I55" s="368"/>
      <c r="J55" s="369"/>
      <c r="K55" s="370"/>
    </row>
    <row r="56" spans="2:11" ht="15" x14ac:dyDescent="0.35">
      <c r="B56" t="str">
        <f>IF(G56="","", IFERROR(VLOOKUP(G56, Catalogos!$H$2:$I$20, 2, FALSE), "FOL") &amp; IF($C$6="","", "-" &amp; $C$6) &amp; "-" &amp; TEXT(ROW(A46),"000"))</f>
        <v/>
      </c>
      <c r="H56" t="str">
        <f>IF(F56="","", IFERROR(VLOOKUP(F56, Catalogos!$D$2:$G$50, 4, FALSE), ""))</f>
        <v/>
      </c>
      <c r="I56" s="368"/>
      <c r="J56" s="369"/>
      <c r="K56" s="370"/>
    </row>
    <row r="57" spans="2:11" ht="15" x14ac:dyDescent="0.35">
      <c r="B57" t="str">
        <f>IF(G57="","", IFERROR(VLOOKUP(G57, Catalogos!$H$2:$I$20, 2, FALSE), "FOL") &amp; IF($C$6="","", "-" &amp; $C$6) &amp; "-" &amp; TEXT(ROW(A47),"000"))</f>
        <v/>
      </c>
      <c r="H57" t="str">
        <f>IF(F57="","", IFERROR(VLOOKUP(F57, Catalogos!$D$2:$G$50, 4, FALSE), ""))</f>
        <v/>
      </c>
      <c r="I57" s="368"/>
      <c r="J57" s="369"/>
      <c r="K57" s="370"/>
    </row>
    <row r="58" spans="2:11" ht="15" x14ac:dyDescent="0.35">
      <c r="B58" t="str">
        <f>IF(G58="","", IFERROR(VLOOKUP(G58, Catalogos!$H$2:$I$20, 2, FALSE), "FOL") &amp; IF($C$6="","", "-" &amp; $C$6) &amp; "-" &amp; TEXT(ROW(A48),"000"))</f>
        <v/>
      </c>
      <c r="H58" t="str">
        <f>IF(F58="","", IFERROR(VLOOKUP(F58, Catalogos!$D$2:$G$50, 4, FALSE), ""))</f>
        <v/>
      </c>
      <c r="I58" s="368"/>
      <c r="J58" s="369"/>
      <c r="K58" s="370"/>
    </row>
    <row r="59" spans="2:11" ht="15" x14ac:dyDescent="0.35">
      <c r="B59" t="str">
        <f>IF(G59="","", IFERROR(VLOOKUP(G59, Catalogos!$H$2:$I$20, 2, FALSE), "FOL") &amp; IF($C$6="","", "-" &amp; $C$6) &amp; "-" &amp; TEXT(ROW(A49),"000"))</f>
        <v/>
      </c>
      <c r="H59" t="str">
        <f>IF(F59="","", IFERROR(VLOOKUP(F59, Catalogos!$D$2:$G$50, 4, FALSE), ""))</f>
        <v/>
      </c>
      <c r="I59" s="368"/>
      <c r="J59" s="369"/>
      <c r="K59" s="370"/>
    </row>
    <row r="60" spans="2:11" ht="15" x14ac:dyDescent="0.35">
      <c r="B60" t="str">
        <f>IF(G60="","", IFERROR(VLOOKUP(G60, Catalogos!$H$2:$I$20, 2, FALSE), "FOL") &amp; IF($C$6="","", "-" &amp; $C$6) &amp; "-" &amp; TEXT(ROW(A50),"000"))</f>
        <v/>
      </c>
      <c r="H60" t="str">
        <f>IF(F60="","", IFERROR(VLOOKUP(F60, Catalogos!$D$2:$G$50, 4, FALSE), ""))</f>
        <v/>
      </c>
      <c r="I60" s="368"/>
      <c r="J60" s="369"/>
      <c r="K60" s="370"/>
    </row>
    <row r="61" spans="2:11" ht="15" x14ac:dyDescent="0.35">
      <c r="B61" t="str">
        <f>IF(G61="","", IFERROR(VLOOKUP(G61, Catalogos!$H$2:$I$20, 2, FALSE), "FOL") &amp; IF($C$6="","", "-" &amp; $C$6) &amp; "-" &amp; TEXT(ROW(A51),"000"))</f>
        <v/>
      </c>
      <c r="H61" t="str">
        <f>IF(F61="","", IFERROR(VLOOKUP(F61, Catalogos!$D$2:$G$50, 4, FALSE), ""))</f>
        <v/>
      </c>
      <c r="I61" s="368"/>
      <c r="J61" s="369"/>
      <c r="K61" s="370"/>
    </row>
    <row r="62" spans="2:11" ht="15" x14ac:dyDescent="0.35">
      <c r="B62" t="str">
        <f>IF(G62="","", IFERROR(VLOOKUP(G62, Catalogos!$H$2:$I$20, 2, FALSE), "FOL") &amp; IF($C$6="","", "-" &amp; $C$6) &amp; "-" &amp; TEXT(ROW(A52),"000"))</f>
        <v/>
      </c>
      <c r="H62" t="str">
        <f>IF(F62="","", IFERROR(VLOOKUP(F62, Catalogos!$D$2:$G$50, 4, FALSE), ""))</f>
        <v/>
      </c>
      <c r="I62" s="368"/>
      <c r="J62" s="369"/>
      <c r="K62" s="370"/>
    </row>
    <row r="63" spans="2:11" ht="15" x14ac:dyDescent="0.35">
      <c r="B63" t="str">
        <f>IF(G63="","", IFERROR(VLOOKUP(G63, Catalogos!$H$2:$I$20, 2, FALSE), "FOL") &amp; IF($C$6="","", "-" &amp; $C$6) &amp; "-" &amp; TEXT(ROW(A53),"000"))</f>
        <v/>
      </c>
      <c r="H63" t="str">
        <f>IF(F63="","", IFERROR(VLOOKUP(F63, Catalogos!$D$2:$G$50, 4, FALSE), ""))</f>
        <v/>
      </c>
      <c r="I63" s="368"/>
      <c r="J63" s="369"/>
      <c r="K63" s="370"/>
    </row>
    <row r="64" spans="2:11" ht="15" x14ac:dyDescent="0.35">
      <c r="B64" t="str">
        <f>IF(G64="","", IFERROR(VLOOKUP(G64, Catalogos!$H$2:$I$20, 2, FALSE), "FOL") &amp; IF($C$6="","", "-" &amp; $C$6) &amp; "-" &amp; TEXT(ROW(A54),"000"))</f>
        <v/>
      </c>
      <c r="H64" t="str">
        <f>IF(F64="","", IFERROR(VLOOKUP(F64, Catalogos!$D$2:$G$50, 4, FALSE), ""))</f>
        <v/>
      </c>
      <c r="I64" s="368"/>
      <c r="J64" s="369"/>
      <c r="K64" s="370"/>
    </row>
    <row r="65" spans="2:11" ht="15" x14ac:dyDescent="0.35">
      <c r="B65" t="str">
        <f>IF(G65="","", IFERROR(VLOOKUP(G65, Catalogos!$H$2:$I$20, 2, FALSE), "FOL") &amp; IF($C$6="","", "-" &amp; $C$6) &amp; "-" &amp; TEXT(ROW(A55),"000"))</f>
        <v/>
      </c>
      <c r="H65" t="str">
        <f>IF(F65="","", IFERROR(VLOOKUP(F65, Catalogos!$D$2:$G$50, 4, FALSE), ""))</f>
        <v/>
      </c>
      <c r="I65" s="368"/>
      <c r="J65" s="369"/>
      <c r="K65" s="370"/>
    </row>
    <row r="66" spans="2:11" ht="15" x14ac:dyDescent="0.35">
      <c r="B66" t="str">
        <f>IF(G66="","", IFERROR(VLOOKUP(G66, Catalogos!$H$2:$I$20, 2, FALSE), "FOL") &amp; IF($C$6="","", "-" &amp; $C$6) &amp; "-" &amp; TEXT(ROW(A56),"000"))</f>
        <v/>
      </c>
      <c r="H66" t="str">
        <f>IF(F66="","", IFERROR(VLOOKUP(F66, Catalogos!$D$2:$G$50, 4, FALSE), ""))</f>
        <v/>
      </c>
      <c r="I66" s="368"/>
      <c r="J66" s="369"/>
      <c r="K66" s="370"/>
    </row>
    <row r="67" spans="2:11" ht="15" x14ac:dyDescent="0.35">
      <c r="B67" t="str">
        <f>IF(G67="","", IFERROR(VLOOKUP(G67, Catalogos!$H$2:$I$20, 2, FALSE), "FOL") &amp; IF($C$6="","", "-" &amp; $C$6) &amp; "-" &amp; TEXT(ROW(A57),"000"))</f>
        <v/>
      </c>
      <c r="H67" t="str">
        <f>IF(F67="","", IFERROR(VLOOKUP(F67, Catalogos!$D$2:$G$50, 4, FALSE), ""))</f>
        <v/>
      </c>
      <c r="I67" s="368"/>
      <c r="J67" s="369"/>
      <c r="K67" s="370"/>
    </row>
    <row r="68" spans="2:11" ht="15" x14ac:dyDescent="0.35">
      <c r="B68" t="str">
        <f>IF(G68="","", IFERROR(VLOOKUP(G68, Catalogos!$H$2:$I$20, 2, FALSE), "FOL") &amp; IF($C$6="","", "-" &amp; $C$6) &amp; "-" &amp; TEXT(ROW(A58),"000"))</f>
        <v/>
      </c>
      <c r="H68" t="str">
        <f>IF(F68="","", IFERROR(VLOOKUP(F68, Catalogos!$D$2:$G$50, 4, FALSE), ""))</f>
        <v/>
      </c>
      <c r="I68" s="368"/>
      <c r="J68" s="369"/>
      <c r="K68" s="370"/>
    </row>
    <row r="69" spans="2:11" ht="15" x14ac:dyDescent="0.35">
      <c r="B69" t="str">
        <f>IF(G69="","", IFERROR(VLOOKUP(G69, Catalogos!$H$2:$I$20, 2, FALSE), "FOL") &amp; IF($C$6="","", "-" &amp; $C$6) &amp; "-" &amp; TEXT(ROW(A59),"000"))</f>
        <v/>
      </c>
      <c r="H69" t="str">
        <f>IF(F69="","", IFERROR(VLOOKUP(F69, Catalogos!$D$2:$G$50, 4, FALSE), ""))</f>
        <v/>
      </c>
      <c r="I69" s="368"/>
      <c r="J69" s="369"/>
      <c r="K69" s="370"/>
    </row>
    <row r="70" spans="2:11" ht="15" x14ac:dyDescent="0.35">
      <c r="B70" t="str">
        <f>IF(G70="","", IFERROR(VLOOKUP(G70, Catalogos!$H$2:$I$20, 2, FALSE), "FOL") &amp; IF($C$6="","", "-" &amp; $C$6) &amp; "-" &amp; TEXT(ROW(A60),"000"))</f>
        <v/>
      </c>
      <c r="H70" t="str">
        <f>IF(F70="","", IFERROR(VLOOKUP(F70, Catalogos!$D$2:$G$50, 4, FALSE), ""))</f>
        <v/>
      </c>
      <c r="I70" s="368"/>
      <c r="J70" s="369"/>
      <c r="K70" s="370"/>
    </row>
    <row r="71" spans="2:11" ht="15" x14ac:dyDescent="0.35">
      <c r="B71" t="str">
        <f>IF(G71="","", IFERROR(VLOOKUP(G71, Catalogos!$H$2:$I$20, 2, FALSE), "FOL") &amp; IF($C$6="","", "-" &amp; $C$6) &amp; "-" &amp; TEXT(ROW(A61),"000"))</f>
        <v/>
      </c>
      <c r="H71" t="str">
        <f>IF(F71="","", IFERROR(VLOOKUP(F71, Catalogos!$D$2:$G$50, 4, FALSE), ""))</f>
        <v/>
      </c>
      <c r="I71" s="368"/>
      <c r="J71" s="369"/>
      <c r="K71" s="370"/>
    </row>
    <row r="72" spans="2:11" ht="15" x14ac:dyDescent="0.35">
      <c r="B72" t="str">
        <f>IF(G72="","", IFERROR(VLOOKUP(G72, Catalogos!$H$2:$I$20, 2, FALSE), "FOL") &amp; IF($C$6="","", "-" &amp; $C$6) &amp; "-" &amp; TEXT(ROW(A62),"000"))</f>
        <v/>
      </c>
      <c r="H72" t="str">
        <f>IF(F72="","", IFERROR(VLOOKUP(F72, Catalogos!$D$2:$G$50, 4, FALSE), ""))</f>
        <v/>
      </c>
      <c r="I72" s="368"/>
      <c r="J72" s="369"/>
      <c r="K72" s="370"/>
    </row>
    <row r="73" spans="2:11" ht="15" x14ac:dyDescent="0.35">
      <c r="B73" t="str">
        <f>IF(G73="","", IFERROR(VLOOKUP(G73, Catalogos!$H$2:$I$20, 2, FALSE), "FOL") &amp; IF($C$6="","", "-" &amp; $C$6) &amp; "-" &amp; TEXT(ROW(A63),"000"))</f>
        <v/>
      </c>
      <c r="H73" t="str">
        <f>IF(F73="","", IFERROR(VLOOKUP(F73, Catalogos!$D$2:$G$50, 4, FALSE), ""))</f>
        <v/>
      </c>
      <c r="I73" s="368"/>
      <c r="J73" s="369"/>
      <c r="K73" s="370"/>
    </row>
    <row r="74" spans="2:11" ht="15" x14ac:dyDescent="0.35">
      <c r="B74" t="str">
        <f>IF(G74="","", IFERROR(VLOOKUP(G74, Catalogos!$H$2:$I$20, 2, FALSE), "FOL") &amp; IF($C$6="","", "-" &amp; $C$6) &amp; "-" &amp; TEXT(ROW(A64),"000"))</f>
        <v/>
      </c>
      <c r="H74" t="str">
        <f>IF(F74="","", IFERROR(VLOOKUP(F74, Catalogos!$D$2:$G$50, 4, FALSE), ""))</f>
        <v/>
      </c>
      <c r="I74" s="368"/>
      <c r="J74" s="369"/>
      <c r="K74" s="370"/>
    </row>
    <row r="75" spans="2:11" ht="15" x14ac:dyDescent="0.35">
      <c r="B75" t="str">
        <f>IF(G75="","", IFERROR(VLOOKUP(G75, Catalogos!$H$2:$I$20, 2, FALSE), "FOL") &amp; IF($C$6="","", "-" &amp; $C$6) &amp; "-" &amp; TEXT(ROW(A65),"000"))</f>
        <v/>
      </c>
      <c r="H75" t="str">
        <f>IF(F75="","", IFERROR(VLOOKUP(F75, Catalogos!$D$2:$G$50, 4, FALSE), ""))</f>
        <v/>
      </c>
      <c r="I75" s="368"/>
      <c r="J75" s="369"/>
      <c r="K75" s="370"/>
    </row>
    <row r="76" spans="2:11" ht="15" x14ac:dyDescent="0.35">
      <c r="B76" t="str">
        <f>IF(G76="","", IFERROR(VLOOKUP(G76, Catalogos!$H$2:$I$20, 2, FALSE), "FOL") &amp; IF($C$6="","", "-" &amp; $C$6) &amp; "-" &amp; TEXT(ROW(A66),"000"))</f>
        <v/>
      </c>
      <c r="H76" t="str">
        <f>IF(F76="","", IFERROR(VLOOKUP(F76, Catalogos!$D$2:$G$50, 4, FALSE), ""))</f>
        <v/>
      </c>
      <c r="I76" s="368"/>
      <c r="J76" s="369"/>
      <c r="K76" s="370"/>
    </row>
    <row r="77" spans="2:11" ht="15" x14ac:dyDescent="0.35">
      <c r="B77" t="str">
        <f>IF(G77="","", IFERROR(VLOOKUP(G77, Catalogos!$H$2:$I$20, 2, FALSE), "FOL") &amp; IF($C$6="","", "-" &amp; $C$6) &amp; "-" &amp; TEXT(ROW(A67),"000"))</f>
        <v/>
      </c>
      <c r="H77" t="str">
        <f>IF(F77="","", IFERROR(VLOOKUP(F77, Catalogos!$D$2:$G$50, 4, FALSE), ""))</f>
        <v/>
      </c>
      <c r="I77" s="368"/>
      <c r="J77" s="369"/>
      <c r="K77" s="370"/>
    </row>
    <row r="78" spans="2:11" ht="15" x14ac:dyDescent="0.35">
      <c r="B78" t="str">
        <f>IF(G78="","", IFERROR(VLOOKUP(G78, Catalogos!$H$2:$I$20, 2, FALSE), "FOL") &amp; IF($C$6="","", "-" &amp; $C$6) &amp; "-" &amp; TEXT(ROW(A68),"000"))</f>
        <v/>
      </c>
      <c r="H78" t="str">
        <f>IF(F78="","", IFERROR(VLOOKUP(F78, Catalogos!$D$2:$G$50, 4, FALSE), ""))</f>
        <v/>
      </c>
      <c r="I78" s="368"/>
      <c r="J78" s="369"/>
      <c r="K78" s="370"/>
    </row>
    <row r="79" spans="2:11" ht="15" x14ac:dyDescent="0.35">
      <c r="B79" t="str">
        <f>IF(G79="","", IFERROR(VLOOKUP(G79, Catalogos!$H$2:$I$20, 2, FALSE), "FOL") &amp; IF($C$6="","", "-" &amp; $C$6) &amp; "-" &amp; TEXT(ROW(A69),"000"))</f>
        <v/>
      </c>
      <c r="H79" t="str">
        <f>IF(F79="","", IFERROR(VLOOKUP(F79, Catalogos!$D$2:$G$50, 4, FALSE), ""))</f>
        <v/>
      </c>
      <c r="I79" s="368"/>
      <c r="J79" s="369"/>
      <c r="K79" s="370"/>
    </row>
    <row r="80" spans="2:11" ht="15" x14ac:dyDescent="0.35">
      <c r="B80" t="str">
        <f>IF(G80="","", IFERROR(VLOOKUP(G80, Catalogos!$H$2:$I$20, 2, FALSE), "FOL") &amp; IF($C$6="","", "-" &amp; $C$6) &amp; "-" &amp; TEXT(ROW(A70),"000"))</f>
        <v/>
      </c>
      <c r="H80" t="str">
        <f>IF(F80="","", IFERROR(VLOOKUP(F80, Catalogos!$D$2:$G$50, 4, FALSE), ""))</f>
        <v/>
      </c>
      <c r="I80" s="368"/>
      <c r="J80" s="369"/>
      <c r="K80" s="370"/>
    </row>
    <row r="81" spans="2:11" ht="15" x14ac:dyDescent="0.35">
      <c r="B81" t="str">
        <f>IF(G81="","", IFERROR(VLOOKUP(G81, Catalogos!$H$2:$I$20, 2, FALSE), "FOL") &amp; IF($C$6="","", "-" &amp; $C$6) &amp; "-" &amp; TEXT(ROW(A71),"000"))</f>
        <v/>
      </c>
      <c r="H81" t="str">
        <f>IF(F81="","", IFERROR(VLOOKUP(F81, Catalogos!$D$2:$G$50, 4, FALSE), ""))</f>
        <v/>
      </c>
      <c r="I81" s="368"/>
      <c r="J81" s="369"/>
      <c r="K81" s="370"/>
    </row>
    <row r="82" spans="2:11" ht="15" x14ac:dyDescent="0.35">
      <c r="B82" t="str">
        <f>IF(G82="","", IFERROR(VLOOKUP(G82, Catalogos!$H$2:$I$20, 2, FALSE), "FOL") &amp; IF($C$6="","", "-" &amp; $C$6) &amp; "-" &amp; TEXT(ROW(A72),"000"))</f>
        <v/>
      </c>
      <c r="H82" t="str">
        <f>IF(F82="","", IFERROR(VLOOKUP(F82, Catalogos!$D$2:$G$50, 4, FALSE), ""))</f>
        <v/>
      </c>
      <c r="I82" s="368"/>
      <c r="J82" s="369"/>
      <c r="K82" s="370"/>
    </row>
    <row r="83" spans="2:11" ht="15" x14ac:dyDescent="0.35">
      <c r="B83" t="str">
        <f>IF(G83="","", IFERROR(VLOOKUP(G83, Catalogos!$H$2:$I$20, 2, FALSE), "FOL") &amp; IF($C$6="","", "-" &amp; $C$6) &amp; "-" &amp; TEXT(ROW(A73),"000"))</f>
        <v/>
      </c>
      <c r="H83" t="str">
        <f>IF(F83="","", IFERROR(VLOOKUP(F83, Catalogos!$D$2:$G$50, 4, FALSE), ""))</f>
        <v/>
      </c>
      <c r="I83" s="368"/>
      <c r="J83" s="369"/>
      <c r="K83" s="370"/>
    </row>
    <row r="84" spans="2:11" ht="15" x14ac:dyDescent="0.35">
      <c r="B84" t="str">
        <f>IF(G84="","", IFERROR(VLOOKUP(G84, Catalogos!$H$2:$I$20, 2, FALSE), "FOL") &amp; IF($C$6="","", "-" &amp; $C$6) &amp; "-" &amp; TEXT(ROW(A74),"000"))</f>
        <v/>
      </c>
      <c r="H84" t="str">
        <f>IF(F84="","", IFERROR(VLOOKUP(F84, Catalogos!$D$2:$G$50, 4, FALSE), ""))</f>
        <v/>
      </c>
      <c r="I84" s="368"/>
      <c r="J84" s="369"/>
      <c r="K84" s="370"/>
    </row>
    <row r="85" spans="2:11" ht="15" x14ac:dyDescent="0.35">
      <c r="B85" t="str">
        <f>IF(G85="","", IFERROR(VLOOKUP(G85, Catalogos!$H$2:$I$20, 2, FALSE), "FOL") &amp; IF($C$6="","", "-" &amp; $C$6) &amp; "-" &amp; TEXT(ROW(A75),"000"))</f>
        <v/>
      </c>
      <c r="H85" t="str">
        <f>IF(F85="","", IFERROR(VLOOKUP(F85, Catalogos!$D$2:$G$50, 4, FALSE), ""))</f>
        <v/>
      </c>
      <c r="I85" s="368"/>
      <c r="J85" s="369"/>
      <c r="K85" s="370"/>
    </row>
    <row r="86" spans="2:11" ht="15" x14ac:dyDescent="0.35">
      <c r="B86" t="str">
        <f>IF(G86="","", IFERROR(VLOOKUP(G86, Catalogos!$H$2:$I$20, 2, FALSE), "FOL") &amp; IF($C$6="","", "-" &amp; $C$6) &amp; "-" &amp; TEXT(ROW(A76),"000"))</f>
        <v/>
      </c>
      <c r="H86" t="str">
        <f>IF(F86="","", IFERROR(VLOOKUP(F86, Catalogos!$D$2:$G$50, 4, FALSE), ""))</f>
        <v/>
      </c>
      <c r="I86" s="368"/>
      <c r="J86" s="369"/>
      <c r="K86" s="370"/>
    </row>
    <row r="87" spans="2:11" ht="15" x14ac:dyDescent="0.35">
      <c r="B87" t="str">
        <f>IF(G87="","", IFERROR(VLOOKUP(G87, Catalogos!$H$2:$I$20, 2, FALSE), "FOL") &amp; IF($C$6="","", "-" &amp; $C$6) &amp; "-" &amp; TEXT(ROW(A77),"000"))</f>
        <v/>
      </c>
      <c r="H87" t="str">
        <f>IF(F87="","", IFERROR(VLOOKUP(F87, Catalogos!$D$2:$G$50, 4, FALSE), ""))</f>
        <v/>
      </c>
      <c r="I87" s="368"/>
      <c r="J87" s="369"/>
      <c r="K87" s="370"/>
    </row>
    <row r="88" spans="2:11" ht="15" x14ac:dyDescent="0.35">
      <c r="B88" t="str">
        <f>IF(G88="","", IFERROR(VLOOKUP(G88, Catalogos!$H$2:$I$20, 2, FALSE), "FOL") &amp; IF($C$6="","", "-" &amp; $C$6) &amp; "-" &amp; TEXT(ROW(A78),"000"))</f>
        <v/>
      </c>
      <c r="H88" t="str">
        <f>IF(F88="","", IFERROR(VLOOKUP(F88, Catalogos!$D$2:$G$50, 4, FALSE), ""))</f>
        <v/>
      </c>
      <c r="I88" s="368"/>
      <c r="J88" s="369"/>
      <c r="K88" s="370"/>
    </row>
    <row r="89" spans="2:11" ht="15" x14ac:dyDescent="0.35">
      <c r="B89" t="str">
        <f>IF(G89="","", IFERROR(VLOOKUP(G89, Catalogos!$H$2:$I$20, 2, FALSE), "FOL") &amp; IF($C$6="","", "-" &amp; $C$6) &amp; "-" &amp; TEXT(ROW(A79),"000"))</f>
        <v/>
      </c>
      <c r="H89" t="str">
        <f>IF(F89="","", IFERROR(VLOOKUP(F89, Catalogos!$D$2:$G$50, 4, FALSE), ""))</f>
        <v/>
      </c>
      <c r="I89" s="368"/>
      <c r="J89" s="369"/>
      <c r="K89" s="370"/>
    </row>
    <row r="90" spans="2:11" ht="15" x14ac:dyDescent="0.35">
      <c r="B90" t="str">
        <f>IF(G90="","", IFERROR(VLOOKUP(G90, Catalogos!$H$2:$I$20, 2, FALSE), "FOL") &amp; IF($C$6="","", "-" &amp; $C$6) &amp; "-" &amp; TEXT(ROW(A80),"000"))</f>
        <v/>
      </c>
      <c r="H90" t="str">
        <f>IF(F90="","", IFERROR(VLOOKUP(F90, Catalogos!$D$2:$G$50, 4, FALSE), ""))</f>
        <v/>
      </c>
      <c r="I90" s="368"/>
      <c r="J90" s="369"/>
      <c r="K90" s="370"/>
    </row>
    <row r="91" spans="2:11" ht="15" x14ac:dyDescent="0.35">
      <c r="B91" t="str">
        <f>IF(G91="","", IFERROR(VLOOKUP(G91, Catalogos!$H$2:$I$20, 2, FALSE), "FOL") &amp; IF($C$6="","", "-" &amp; $C$6) &amp; "-" &amp; TEXT(ROW(A81),"000"))</f>
        <v/>
      </c>
      <c r="H91" t="str">
        <f>IF(F91="","", IFERROR(VLOOKUP(F91, Catalogos!$D$2:$G$50, 4, FALSE), ""))</f>
        <v/>
      </c>
      <c r="I91" s="368"/>
      <c r="J91" s="369"/>
      <c r="K91" s="370"/>
    </row>
    <row r="92" spans="2:11" ht="15" x14ac:dyDescent="0.35">
      <c r="B92" t="str">
        <f>IF(G92="","", IFERROR(VLOOKUP(G92, Catalogos!$H$2:$I$20, 2, FALSE), "FOL") &amp; IF($C$6="","", "-" &amp; $C$6) &amp; "-" &amp; TEXT(ROW(A82),"000"))</f>
        <v/>
      </c>
      <c r="H92" t="str">
        <f>IF(F92="","", IFERROR(VLOOKUP(F92, Catalogos!$D$2:$G$50, 4, FALSE), ""))</f>
        <v/>
      </c>
      <c r="I92" s="368"/>
      <c r="J92" s="369"/>
      <c r="K92" s="370"/>
    </row>
    <row r="93" spans="2:11" ht="15" x14ac:dyDescent="0.35">
      <c r="B93" t="str">
        <f>IF(G93="","", IFERROR(VLOOKUP(G93, Catalogos!$H$2:$I$20, 2, FALSE), "FOL") &amp; IF($C$6="","", "-" &amp; $C$6) &amp; "-" &amp; TEXT(ROW(A83),"000"))</f>
        <v/>
      </c>
      <c r="H93" t="str">
        <f>IF(F93="","", IFERROR(VLOOKUP(F93, Catalogos!$D$2:$G$50, 4, FALSE), ""))</f>
        <v/>
      </c>
      <c r="I93" s="368"/>
      <c r="J93" s="369"/>
      <c r="K93" s="370"/>
    </row>
    <row r="94" spans="2:11" ht="15" x14ac:dyDescent="0.35">
      <c r="B94" t="str">
        <f>IF(G94="","", IFERROR(VLOOKUP(G94, Catalogos!$H$2:$I$20, 2, FALSE), "FOL") &amp; IF($C$6="","", "-" &amp; $C$6) &amp; "-" &amp; TEXT(ROW(A84),"000"))</f>
        <v/>
      </c>
      <c r="H94" t="str">
        <f>IF(F94="","", IFERROR(VLOOKUP(F94, Catalogos!$D$2:$G$50, 4, FALSE), ""))</f>
        <v/>
      </c>
      <c r="I94" s="368"/>
      <c r="J94" s="369"/>
      <c r="K94" s="370"/>
    </row>
    <row r="95" spans="2:11" ht="15" x14ac:dyDescent="0.35">
      <c r="B95" t="str">
        <f>IF(G95="","", IFERROR(VLOOKUP(G95, Catalogos!$H$2:$I$20, 2, FALSE), "FOL") &amp; IF($C$6="","", "-" &amp; $C$6) &amp; "-" &amp; TEXT(ROW(A85),"000"))</f>
        <v/>
      </c>
      <c r="H95" t="str">
        <f>IF(F95="","", IFERROR(VLOOKUP(F95, Catalogos!$D$2:$G$50, 4, FALSE), ""))</f>
        <v/>
      </c>
      <c r="I95" s="368"/>
      <c r="J95" s="369"/>
      <c r="K95" s="370"/>
    </row>
    <row r="96" spans="2:11" ht="15" x14ac:dyDescent="0.35">
      <c r="B96" t="str">
        <f>IF(G96="","", IFERROR(VLOOKUP(G96, Catalogos!$H$2:$I$20, 2, FALSE), "FOL") &amp; IF($C$6="","", "-" &amp; $C$6) &amp; "-" &amp; TEXT(ROW(A86),"000"))</f>
        <v/>
      </c>
      <c r="H96" t="str">
        <f>IF(F96="","", IFERROR(VLOOKUP(F96, Catalogos!$D$2:$G$50, 4, FALSE), ""))</f>
        <v/>
      </c>
      <c r="I96" s="368"/>
      <c r="J96" s="369"/>
      <c r="K96" s="370"/>
    </row>
    <row r="97" spans="2:11" ht="15" x14ac:dyDescent="0.35">
      <c r="B97" t="str">
        <f>IF(G97="","", IFERROR(VLOOKUP(G97, Catalogos!$H$2:$I$20, 2, FALSE), "FOL") &amp; IF($C$6="","", "-" &amp; $C$6) &amp; "-" &amp; TEXT(ROW(A87),"000"))</f>
        <v/>
      </c>
      <c r="H97" t="str">
        <f>IF(F97="","", IFERROR(VLOOKUP(F97, Catalogos!$D$2:$G$50, 4, FALSE), ""))</f>
        <v/>
      </c>
      <c r="I97" s="368"/>
      <c r="J97" s="369"/>
      <c r="K97" s="370"/>
    </row>
    <row r="98" spans="2:11" ht="15" x14ac:dyDescent="0.35">
      <c r="B98" t="str">
        <f>IF(G98="","", IFERROR(VLOOKUP(G98, Catalogos!$H$2:$I$20, 2, FALSE), "FOL") &amp; IF($C$6="","", "-" &amp; $C$6) &amp; "-" &amp; TEXT(ROW(A88),"000"))</f>
        <v/>
      </c>
      <c r="H98" t="str">
        <f>IF(F98="","", IFERROR(VLOOKUP(F98, Catalogos!$D$2:$G$50, 4, FALSE), ""))</f>
        <v/>
      </c>
      <c r="I98" s="368"/>
      <c r="J98" s="369"/>
      <c r="K98" s="370"/>
    </row>
    <row r="99" spans="2:11" ht="15" x14ac:dyDescent="0.35">
      <c r="B99" t="str">
        <f>IF(G99="","", IFERROR(VLOOKUP(G99, Catalogos!$H$2:$I$20, 2, FALSE), "FOL") &amp; IF($C$6="","", "-" &amp; $C$6) &amp; "-" &amp; TEXT(ROW(A89),"000"))</f>
        <v/>
      </c>
      <c r="H99" t="str">
        <f>IF(F99="","", IFERROR(VLOOKUP(F99, Catalogos!$D$2:$G$50, 4, FALSE), ""))</f>
        <v/>
      </c>
      <c r="I99" s="368"/>
      <c r="J99" s="369"/>
      <c r="K99" s="370"/>
    </row>
    <row r="100" spans="2:11" ht="15" x14ac:dyDescent="0.35">
      <c r="B100" t="str">
        <f>IF(G100="","", IFERROR(VLOOKUP(G100, Catalogos!$H$2:$I$20, 2, FALSE), "FOL") &amp; IF($C$6="","", "-" &amp; $C$6) &amp; "-" &amp; TEXT(ROW(A90),"000"))</f>
        <v/>
      </c>
      <c r="H100" t="str">
        <f>IF(F100="","", IFERROR(VLOOKUP(F100, Catalogos!$D$2:$G$50, 4, FALSE), ""))</f>
        <v/>
      </c>
      <c r="I100" s="368"/>
      <c r="J100" s="369"/>
      <c r="K100" s="370"/>
    </row>
    <row r="101" spans="2:11" ht="15" x14ac:dyDescent="0.35">
      <c r="B101" t="str">
        <f>IF(G101="","", IFERROR(VLOOKUP(G101, Catalogos!$H$2:$I$20, 2, FALSE), "FOL") &amp; IF($C$6="","", "-" &amp; $C$6) &amp; "-" &amp; TEXT(ROW(A91),"000"))</f>
        <v/>
      </c>
      <c r="H101" t="str">
        <f>IF(F101="","", IFERROR(VLOOKUP(F101, Catalogos!$D$2:$G$50, 4, FALSE), ""))</f>
        <v/>
      </c>
      <c r="I101" s="368"/>
      <c r="J101" s="369"/>
      <c r="K101" s="370"/>
    </row>
    <row r="102" spans="2:11" ht="15" x14ac:dyDescent="0.35">
      <c r="B102" t="str">
        <f>IF(G102="","", IFERROR(VLOOKUP(G102, Catalogos!$H$2:$I$20, 2, FALSE), "FOL") &amp; IF($C$6="","", "-" &amp; $C$6) &amp; "-" &amp; TEXT(ROW(A92),"000"))</f>
        <v/>
      </c>
      <c r="H102" t="str">
        <f>IF(F102="","", IFERROR(VLOOKUP(F102, Catalogos!$D$2:$G$50, 4, FALSE), ""))</f>
        <v/>
      </c>
      <c r="I102" s="368"/>
      <c r="J102" s="369"/>
      <c r="K102" s="370"/>
    </row>
    <row r="103" spans="2:11" ht="15" x14ac:dyDescent="0.35">
      <c r="B103" t="str">
        <f>IF(G103="","", IFERROR(VLOOKUP(G103, Catalogos!$H$2:$I$20, 2, FALSE), "FOL") &amp; IF($C$6="","", "-" &amp; $C$6) &amp; "-" &amp; TEXT(ROW(A93),"000"))</f>
        <v/>
      </c>
      <c r="H103" t="str">
        <f>IF(F103="","", IFERROR(VLOOKUP(F103, Catalogos!$D$2:$G$50, 4, FALSE), ""))</f>
        <v/>
      </c>
      <c r="I103" s="368"/>
      <c r="J103" s="369"/>
      <c r="K103" s="370"/>
    </row>
    <row r="104" spans="2:11" ht="15" x14ac:dyDescent="0.35">
      <c r="B104" t="str">
        <f>IF(G104="","", IFERROR(VLOOKUP(G104, Catalogos!$H$2:$I$20, 2, FALSE), "FOL") &amp; IF($C$6="","", "-" &amp; $C$6) &amp; "-" &amp; TEXT(ROW(A94),"000"))</f>
        <v/>
      </c>
      <c r="H104" t="str">
        <f>IF(F104="","", IFERROR(VLOOKUP(F104, Catalogos!$D$2:$G$50, 4, FALSE), ""))</f>
        <v/>
      </c>
      <c r="I104" s="368"/>
      <c r="J104" s="369"/>
      <c r="K104" s="370"/>
    </row>
    <row r="105" spans="2:11" ht="15" x14ac:dyDescent="0.35">
      <c r="B105" t="str">
        <f>IF(G105="","", IFERROR(VLOOKUP(G105, Catalogos!$H$2:$I$20, 2, FALSE), "FOL") &amp; IF($C$6="","", "-" &amp; $C$6) &amp; "-" &amp; TEXT(ROW(A95),"000"))</f>
        <v/>
      </c>
      <c r="H105" t="str">
        <f>IF(F105="","", IFERROR(VLOOKUP(F105, Catalogos!$D$2:$G$50, 4, FALSE), ""))</f>
        <v/>
      </c>
      <c r="I105" s="368"/>
      <c r="J105" s="369"/>
      <c r="K105" s="370"/>
    </row>
    <row r="106" spans="2:11" ht="15" x14ac:dyDescent="0.35">
      <c r="B106" t="str">
        <f>IF(G106="","", IFERROR(VLOOKUP(G106, Catalogos!$H$2:$I$20, 2, FALSE), "FOL") &amp; IF($C$6="","", "-" &amp; $C$6) &amp; "-" &amp; TEXT(ROW(A96),"000"))</f>
        <v/>
      </c>
      <c r="H106" t="str">
        <f>IF(F106="","", IFERROR(VLOOKUP(F106, Catalogos!$D$2:$G$50, 4, FALSE), ""))</f>
        <v/>
      </c>
      <c r="I106" s="368"/>
      <c r="J106" s="369"/>
      <c r="K106" s="370"/>
    </row>
    <row r="107" spans="2:11" ht="15" x14ac:dyDescent="0.35">
      <c r="B107" t="str">
        <f>IF(G107="","", IFERROR(VLOOKUP(G107, Catalogos!$H$2:$I$20, 2, FALSE), "FOL") &amp; IF($C$6="","", "-" &amp; $C$6) &amp; "-" &amp; TEXT(ROW(A97),"000"))</f>
        <v/>
      </c>
      <c r="H107" t="str">
        <f>IF(F107="","", IFERROR(VLOOKUP(F107, Catalogos!$D$2:$G$50, 4, FALSE), ""))</f>
        <v/>
      </c>
      <c r="I107" s="368"/>
      <c r="J107" s="369"/>
      <c r="K107" s="370"/>
    </row>
    <row r="108" spans="2:11" ht="15" x14ac:dyDescent="0.35">
      <c r="B108" t="str">
        <f>IF(G108="","", IFERROR(VLOOKUP(G108, Catalogos!$H$2:$I$20, 2, FALSE), "FOL") &amp; IF($C$6="","", "-" &amp; $C$6) &amp; "-" &amp; TEXT(ROW(A98),"000"))</f>
        <v/>
      </c>
      <c r="H108" t="str">
        <f>IF(F108="","", IFERROR(VLOOKUP(F108, Catalogos!$D$2:$G$50, 4, FALSE), ""))</f>
        <v/>
      </c>
      <c r="I108" s="368"/>
      <c r="J108" s="369"/>
      <c r="K108" s="370"/>
    </row>
    <row r="109" spans="2:11" ht="15" x14ac:dyDescent="0.35">
      <c r="B109" t="str">
        <f>IF(G109="","", IFERROR(VLOOKUP(G109, Catalogos!$H$2:$I$20, 2, FALSE), "FOL") &amp; IF($C$6="","", "-" &amp; $C$6) &amp; "-" &amp; TEXT(ROW(A99),"000"))</f>
        <v/>
      </c>
      <c r="H109" t="str">
        <f>IF(F109="","", IFERROR(VLOOKUP(F109, Catalogos!$D$2:$G$50, 4, FALSE), ""))</f>
        <v/>
      </c>
      <c r="I109" s="368"/>
      <c r="J109" s="369"/>
      <c r="K109" s="370"/>
    </row>
    <row r="110" spans="2:11" ht="15" x14ac:dyDescent="0.35">
      <c r="B110" t="str">
        <f>IF(G110="","", IFERROR(VLOOKUP(G110, Catalogos!$H$2:$I$20, 2, FALSE), "FOL") &amp; IF($C$6="","", "-" &amp; $C$6) &amp; "-" &amp; TEXT(ROW(A100),"000"))</f>
        <v/>
      </c>
      <c r="H110" t="str">
        <f>IF(F110="","", IFERROR(VLOOKUP(F110, Catalogos!$D$2:$G$50, 4, FALSE), ""))</f>
        <v/>
      </c>
      <c r="I110" s="368"/>
      <c r="J110" s="369"/>
      <c r="K110" s="370"/>
    </row>
    <row r="111" spans="2:11" ht="15" x14ac:dyDescent="0.35">
      <c r="B111" t="str">
        <f>IF(G111="","", IFERROR(VLOOKUP(G111, Catalogos!$H$2:$I$20, 2, FALSE), "FOL") &amp; IF($C$6="","", "-" &amp; $C$6) &amp; "-" &amp; TEXT(ROW(A101),"000"))</f>
        <v/>
      </c>
      <c r="H111" t="str">
        <f>IF(F111="","", IFERROR(VLOOKUP(F111, Catalogos!$D$2:$G$50, 4, FALSE), ""))</f>
        <v/>
      </c>
      <c r="I111" s="368"/>
      <c r="J111" s="369"/>
      <c r="K111" s="370"/>
    </row>
    <row r="112" spans="2:11" ht="15" x14ac:dyDescent="0.35">
      <c r="B112" t="str">
        <f>IF(G112="","", IFERROR(VLOOKUP(G112, Catalogos!$H$2:$I$20, 2, FALSE), "FOL") &amp; IF($C$6="","", "-" &amp; $C$6) &amp; "-" &amp; TEXT(ROW(A102),"000"))</f>
        <v/>
      </c>
      <c r="H112" t="str">
        <f>IF(F112="","", IFERROR(VLOOKUP(F112, Catalogos!$D$2:$G$50, 4, FALSE), ""))</f>
        <v/>
      </c>
      <c r="I112" s="368"/>
      <c r="J112" s="369"/>
      <c r="K112" s="370"/>
    </row>
    <row r="113" spans="2:11" ht="15" x14ac:dyDescent="0.35">
      <c r="B113" t="str">
        <f>IF(G113="","", IFERROR(VLOOKUP(G113, Catalogos!$H$2:$I$20, 2, FALSE), "FOL") &amp; IF($C$6="","", "-" &amp; $C$6) &amp; "-" &amp; TEXT(ROW(A103),"000"))</f>
        <v/>
      </c>
      <c r="H113" t="str">
        <f>IF(F113="","", IFERROR(VLOOKUP(F113, Catalogos!$D$2:$G$50, 4, FALSE), ""))</f>
        <v/>
      </c>
      <c r="I113" s="368"/>
      <c r="J113" s="369"/>
      <c r="K113" s="370"/>
    </row>
    <row r="114" spans="2:11" ht="15" x14ac:dyDescent="0.35">
      <c r="B114" t="str">
        <f>IF(G114="","", IFERROR(VLOOKUP(G114, Catalogos!$H$2:$I$20, 2, FALSE), "FOL") &amp; IF($C$6="","", "-" &amp; $C$6) &amp; "-" &amp; TEXT(ROW(A104),"000"))</f>
        <v/>
      </c>
      <c r="H114" t="str">
        <f>IF(F114="","", IFERROR(VLOOKUP(F114, Catalogos!$D$2:$G$50, 4, FALSE), ""))</f>
        <v/>
      </c>
      <c r="I114" s="368"/>
      <c r="J114" s="369"/>
      <c r="K114" s="370"/>
    </row>
    <row r="115" spans="2:11" ht="15" x14ac:dyDescent="0.35">
      <c r="B115" t="str">
        <f>IF(G115="","", IFERROR(VLOOKUP(G115, Catalogos!$H$2:$I$20, 2, FALSE), "FOL") &amp; IF($C$6="","", "-" &amp; $C$6) &amp; "-" &amp; TEXT(ROW(A105),"000"))</f>
        <v/>
      </c>
      <c r="H115" t="str">
        <f>IF(F115="","", IFERROR(VLOOKUP(F115, Catalogos!$D$2:$G$50, 4, FALSE), ""))</f>
        <v/>
      </c>
      <c r="I115" s="368"/>
      <c r="J115" s="369"/>
      <c r="K115" s="370"/>
    </row>
    <row r="116" spans="2:11" ht="15" x14ac:dyDescent="0.35">
      <c r="B116" t="str">
        <f>IF(G116="","", IFERROR(VLOOKUP(G116, Catalogos!$H$2:$I$20, 2, FALSE), "FOL") &amp; IF($C$6="","", "-" &amp; $C$6) &amp; "-" &amp; TEXT(ROW(A106),"000"))</f>
        <v/>
      </c>
      <c r="H116" t="str">
        <f>IF(F116="","", IFERROR(VLOOKUP(F116, Catalogos!$D$2:$G$50, 4, FALSE), ""))</f>
        <v/>
      </c>
      <c r="I116" s="368"/>
      <c r="J116" s="369"/>
      <c r="K116" s="370"/>
    </row>
    <row r="117" spans="2:11" ht="15" x14ac:dyDescent="0.35">
      <c r="B117" t="str">
        <f>IF(G117="","", IFERROR(VLOOKUP(G117, Catalogos!$H$2:$I$20, 2, FALSE), "FOL") &amp; IF($C$6="","", "-" &amp; $C$6) &amp; "-" &amp; TEXT(ROW(A107),"000"))</f>
        <v/>
      </c>
      <c r="H117" t="str">
        <f>IF(F117="","", IFERROR(VLOOKUP(F117, Catalogos!$D$2:$G$50, 4, FALSE), ""))</f>
        <v/>
      </c>
      <c r="I117" s="368"/>
      <c r="J117" s="369"/>
      <c r="K117" s="370"/>
    </row>
    <row r="118" spans="2:11" ht="15" x14ac:dyDescent="0.35">
      <c r="B118" t="str">
        <f>IF(G118="","", IFERROR(VLOOKUP(G118, Catalogos!$H$2:$I$20, 2, FALSE), "FOL") &amp; IF($C$6="","", "-" &amp; $C$6) &amp; "-" &amp; TEXT(ROW(A108),"000"))</f>
        <v/>
      </c>
      <c r="H118" t="str">
        <f>IF(F118="","", IFERROR(VLOOKUP(F118, Catalogos!$D$2:$G$50, 4, FALSE), ""))</f>
        <v/>
      </c>
      <c r="I118" s="368"/>
      <c r="J118" s="369"/>
      <c r="K118" s="370"/>
    </row>
    <row r="119" spans="2:11" ht="15" x14ac:dyDescent="0.35">
      <c r="B119" t="str">
        <f>IF(G119="","", IFERROR(VLOOKUP(G119, Catalogos!$H$2:$I$20, 2, FALSE), "FOL") &amp; IF($C$6="","", "-" &amp; $C$6) &amp; "-" &amp; TEXT(ROW(A109),"000"))</f>
        <v/>
      </c>
      <c r="H119" t="str">
        <f>IF(F119="","", IFERROR(VLOOKUP(F119, Catalogos!$D$2:$G$50, 4, FALSE), ""))</f>
        <v/>
      </c>
      <c r="I119" s="368"/>
      <c r="J119" s="369"/>
      <c r="K119" s="370"/>
    </row>
    <row r="120" spans="2:11" ht="15" x14ac:dyDescent="0.35">
      <c r="B120" t="str">
        <f>IF(G120="","", IFERROR(VLOOKUP(G120, Catalogos!$H$2:$I$20, 2, FALSE), "FOL") &amp; IF($C$6="","", "-" &amp; $C$6) &amp; "-" &amp; TEXT(ROW(A110),"000"))</f>
        <v/>
      </c>
      <c r="H120" t="str">
        <f>IF(F120="","", IFERROR(VLOOKUP(F120, Catalogos!$D$2:$G$50, 4, FALSE), ""))</f>
        <v/>
      </c>
      <c r="I120" s="368"/>
      <c r="J120" s="369"/>
      <c r="K120" s="370"/>
    </row>
    <row r="121" spans="2:11" ht="15" x14ac:dyDescent="0.35">
      <c r="B121" t="str">
        <f>IF(G121="","", IFERROR(VLOOKUP(G121, Catalogos!$H$2:$I$20, 2, FALSE), "FOL") &amp; IF($C$6="","", "-" &amp; $C$6) &amp; "-" &amp; TEXT(ROW(A111),"000"))</f>
        <v/>
      </c>
      <c r="H121" t="str">
        <f>IF(F121="","", IFERROR(VLOOKUP(F121, Catalogos!$D$2:$G$50, 4, FALSE), ""))</f>
        <v/>
      </c>
      <c r="I121" s="368"/>
      <c r="J121" s="369"/>
      <c r="K121" s="370"/>
    </row>
    <row r="122" spans="2:11" ht="15" x14ac:dyDescent="0.35">
      <c r="B122" t="str">
        <f>IF(G122="","", IFERROR(VLOOKUP(G122, Catalogos!$H$2:$I$20, 2, FALSE), "FOL") &amp; IF($C$6="","", "-" &amp; $C$6) &amp; "-" &amp; TEXT(ROW(A112),"000"))</f>
        <v/>
      </c>
      <c r="H122" t="str">
        <f>IF(F122="","", IFERROR(VLOOKUP(F122, Catalogos!$D$2:$G$50, 4, FALSE), ""))</f>
        <v/>
      </c>
      <c r="I122" s="368"/>
      <c r="J122" s="369"/>
      <c r="K122" s="370"/>
    </row>
    <row r="123" spans="2:11" ht="15" x14ac:dyDescent="0.35">
      <c r="B123" t="str">
        <f>IF(G123="","", IFERROR(VLOOKUP(G123, Catalogos!$H$2:$I$20, 2, FALSE), "FOL") &amp; IF($C$6="","", "-" &amp; $C$6) &amp; "-" &amp; TEXT(ROW(A113),"000"))</f>
        <v/>
      </c>
      <c r="H123" t="str">
        <f>IF(F123="","", IFERROR(VLOOKUP(F123, Catalogos!$D$2:$G$50, 4, FALSE), ""))</f>
        <v/>
      </c>
      <c r="I123" s="368"/>
      <c r="J123" s="369"/>
      <c r="K123" s="370"/>
    </row>
    <row r="124" spans="2:11" ht="15" x14ac:dyDescent="0.35">
      <c r="B124" t="str">
        <f>IF(G124="","", IFERROR(VLOOKUP(G124, Catalogos!$H$2:$I$20, 2, FALSE), "FOL") &amp; IF($C$6="","", "-" &amp; $C$6) &amp; "-" &amp; TEXT(ROW(A114),"000"))</f>
        <v/>
      </c>
      <c r="H124" t="str">
        <f>IF(F124="","", IFERROR(VLOOKUP(F124, Catalogos!$D$2:$G$50, 4, FALSE), ""))</f>
        <v/>
      </c>
      <c r="I124" s="368"/>
      <c r="J124" s="369"/>
      <c r="K124" s="370"/>
    </row>
    <row r="125" spans="2:11" ht="15" x14ac:dyDescent="0.35">
      <c r="B125" t="str">
        <f>IF(G125="","", IFERROR(VLOOKUP(G125, Catalogos!$H$2:$I$20, 2, FALSE), "FOL") &amp; IF($C$6="","", "-" &amp; $C$6) &amp; "-" &amp; TEXT(ROW(A115),"000"))</f>
        <v/>
      </c>
      <c r="H125" t="str">
        <f>IF(F125="","", IFERROR(VLOOKUP(F125, Catalogos!$D$2:$G$50, 4, FALSE), ""))</f>
        <v/>
      </c>
      <c r="I125" s="368"/>
      <c r="J125" s="369"/>
      <c r="K125" s="370"/>
    </row>
    <row r="126" spans="2:11" ht="15" x14ac:dyDescent="0.35">
      <c r="B126" t="str">
        <f>IF(G126="","", IFERROR(VLOOKUP(G126, Catalogos!$H$2:$I$20, 2, FALSE), "FOL") &amp; IF($C$6="","", "-" &amp; $C$6) &amp; "-" &amp; TEXT(ROW(A116),"000"))</f>
        <v/>
      </c>
      <c r="H126" t="str">
        <f>IF(F126="","", IFERROR(VLOOKUP(F126, Catalogos!$D$2:$G$50, 4, FALSE), ""))</f>
        <v/>
      </c>
      <c r="I126" s="368"/>
      <c r="J126" s="369"/>
      <c r="K126" s="370"/>
    </row>
    <row r="127" spans="2:11" ht="15" x14ac:dyDescent="0.35">
      <c r="B127" t="str">
        <f>IF(G127="","", IFERROR(VLOOKUP(G127, Catalogos!$H$2:$I$20, 2, FALSE), "FOL") &amp; IF($C$6="","", "-" &amp; $C$6) &amp; "-" &amp; TEXT(ROW(A117),"000"))</f>
        <v/>
      </c>
      <c r="H127" t="str">
        <f>IF(F127="","", IFERROR(VLOOKUP(F127, Catalogos!$D$2:$G$50, 4, FALSE), ""))</f>
        <v/>
      </c>
      <c r="I127" s="368"/>
      <c r="J127" s="369"/>
      <c r="K127" s="370"/>
    </row>
    <row r="128" spans="2:11" ht="15" x14ac:dyDescent="0.35">
      <c r="B128" t="str">
        <f>IF(G128="","", IFERROR(VLOOKUP(G128, Catalogos!$H$2:$I$20, 2, FALSE), "FOL") &amp; IF($C$6="","", "-" &amp; $C$6) &amp; "-" &amp; TEXT(ROW(A118),"000"))</f>
        <v/>
      </c>
      <c r="H128" t="str">
        <f>IF(F128="","", IFERROR(VLOOKUP(F128, Catalogos!$D$2:$G$50, 4, FALSE), ""))</f>
        <v/>
      </c>
      <c r="I128" s="368"/>
      <c r="J128" s="369"/>
      <c r="K128" s="370"/>
    </row>
    <row r="129" spans="2:8" x14ac:dyDescent="0.3">
      <c r="B129" t="str">
        <f>IF(G129="","", IFERROR(VLOOKUP(G129, Catalogos!$H$2:$I$20, 2, FALSE), "FOL") &amp; IF($C$6="","", "-" &amp; $C$6) &amp; "-" &amp; TEXT(ROW(A119),"000"))</f>
        <v/>
      </c>
      <c r="H129" t="str">
        <f>IF(F129="","", IFERROR(VLOOKUP(F129, Catalogos!$D$2:$G$50, 4, FALSE), ""))</f>
        <v/>
      </c>
    </row>
    <row r="130" spans="2:8" x14ac:dyDescent="0.3">
      <c r="B130" t="str">
        <f>IF(G130="","", IFERROR(VLOOKUP(G130, Catalogos!$H$2:$I$20, 2, FALSE), "FOL") &amp; IF($C$6="","", "-" &amp; $C$6) &amp; "-" &amp; TEXT(ROW(A120),"000"))</f>
        <v/>
      </c>
      <c r="H130" t="str">
        <f>IF(F130="","", IFERROR(VLOOKUP(F130, Catalogos!$D$2:$G$50, 4, FALSE), ""))</f>
        <v/>
      </c>
    </row>
    <row r="131" spans="2:8" x14ac:dyDescent="0.3">
      <c r="B131" t="str">
        <f>IF(G131="","", IFERROR(VLOOKUP(G131, Catalogos!$H$2:$I$20, 2, FALSE), "FOL") &amp; IF($C$6="","", "-" &amp; $C$6) &amp; "-" &amp; TEXT(ROW(A121),"000"))</f>
        <v/>
      </c>
      <c r="H131" t="str">
        <f>IF(F131="","", IFERROR(VLOOKUP(F131, Catalogos!$D$2:$G$50, 4, FALSE), ""))</f>
        <v/>
      </c>
    </row>
    <row r="132" spans="2:8" x14ac:dyDescent="0.3">
      <c r="B132" t="str">
        <f>IF(G132="","", IFERROR(VLOOKUP(G132, Catalogos!$H$2:$I$20, 2, FALSE), "FOL") &amp; IF($C$6="","", "-" &amp; $C$6) &amp; "-" &amp; TEXT(ROW(A122),"000"))</f>
        <v/>
      </c>
      <c r="H132" t="str">
        <f>IF(F132="","", IFERROR(VLOOKUP(F132, Catalogos!$D$2:$G$50, 4, FALSE), ""))</f>
        <v/>
      </c>
    </row>
    <row r="133" spans="2:8" x14ac:dyDescent="0.3">
      <c r="B133" t="str">
        <f>IF(G133="","", IFERROR(VLOOKUP(G133, Catalogos!$H$2:$I$20, 2, FALSE), "FOL") &amp; IF($C$6="","", "-" &amp; $C$6) &amp; "-" &amp; TEXT(ROW(A123),"000"))</f>
        <v/>
      </c>
      <c r="H133" t="str">
        <f>IF(F133="","", IFERROR(VLOOKUP(F133, Catalogos!$D$2:$G$50, 4, FALSE), ""))</f>
        <v/>
      </c>
    </row>
    <row r="134" spans="2:8" x14ac:dyDescent="0.3">
      <c r="B134" t="str">
        <f>IF(G134="","", IFERROR(VLOOKUP(G134, Catalogos!$H$2:$I$20, 2, FALSE), "FOL") &amp; IF($C$6="","", "-" &amp; $C$6) &amp; "-" &amp; TEXT(ROW(A124),"000"))</f>
        <v/>
      </c>
      <c r="H134" t="str">
        <f>IF(F134="","", IFERROR(VLOOKUP(F134, Catalogos!$D$2:$G$50, 4, FALSE), ""))</f>
        <v/>
      </c>
    </row>
    <row r="135" spans="2:8" x14ac:dyDescent="0.3">
      <c r="B135" t="str">
        <f>IF(G135="","", IFERROR(VLOOKUP(G135, Catalogos!$H$2:$I$20, 2, FALSE), "FOL") &amp; IF($C$6="","", "-" &amp; $C$6) &amp; "-" &amp; TEXT(ROW(A125),"000"))</f>
        <v/>
      </c>
      <c r="H135" t="str">
        <f>IF(F135="","", IFERROR(VLOOKUP(F135, Catalogos!$D$2:$G$50, 4, FALSE), ""))</f>
        <v/>
      </c>
    </row>
    <row r="136" spans="2:8" x14ac:dyDescent="0.3">
      <c r="B136" t="str">
        <f>IF(G136="","", IFERROR(VLOOKUP(G136, Catalogos!$H$2:$I$20, 2, FALSE), "FOL") &amp; IF($C$6="","", "-" &amp; $C$6) &amp; "-" &amp; TEXT(ROW(A126),"000"))</f>
        <v/>
      </c>
      <c r="H136" t="str">
        <f>IF(F136="","", IFERROR(VLOOKUP(F136, Catalogos!$D$2:$G$50, 4, FALSE), ""))</f>
        <v/>
      </c>
    </row>
    <row r="137" spans="2:8" x14ac:dyDescent="0.3">
      <c r="B137" t="str">
        <f>IF(G137="","", IFERROR(VLOOKUP(G137, Catalogos!$H$2:$I$20, 2, FALSE), "FOL") &amp; IF($C$6="","", "-" &amp; $C$6) &amp; "-" &amp; TEXT(ROW(A127),"000"))</f>
        <v/>
      </c>
      <c r="H137" t="str">
        <f>IF(F137="","", IFERROR(VLOOKUP(F137, Catalogos!$D$2:$G$50, 4, FALSE), ""))</f>
        <v/>
      </c>
    </row>
    <row r="138" spans="2:8" x14ac:dyDescent="0.3">
      <c r="B138" t="str">
        <f>IF(G138="","", IFERROR(VLOOKUP(G138, Catalogos!$H$2:$I$20, 2, FALSE), "FOL") &amp; IF($C$6="","", "-" &amp; $C$6) &amp; "-" &amp; TEXT(ROW(A128),"000"))</f>
        <v/>
      </c>
      <c r="H138" t="str">
        <f>IF(F138="","", IFERROR(VLOOKUP(F138, Catalogos!$D$2:$G$50, 4, FALSE), ""))</f>
        <v/>
      </c>
    </row>
    <row r="139" spans="2:8" x14ac:dyDescent="0.3">
      <c r="B139" t="str">
        <f>IF(G139="","", IFERROR(VLOOKUP(G139, Catalogos!$H$2:$I$20, 2, FALSE), "FOL") &amp; IF($C$6="","", "-" &amp; $C$6) &amp; "-" &amp; TEXT(ROW(A129),"000"))</f>
        <v/>
      </c>
      <c r="H139" t="str">
        <f>IF(F139="","", IFERROR(VLOOKUP(F139, Catalogos!$D$2:$G$50, 4, FALSE), ""))</f>
        <v/>
      </c>
    </row>
    <row r="140" spans="2:8" x14ac:dyDescent="0.3">
      <c r="B140" t="str">
        <f>IF(G140="","", IFERROR(VLOOKUP(G140, Catalogos!$H$2:$I$20, 2, FALSE), "FOL") &amp; IF($C$6="","", "-" &amp; $C$6) &amp; "-" &amp; TEXT(ROW(A130),"000"))</f>
        <v/>
      </c>
      <c r="H140" t="str">
        <f>IF(F140="","", IFERROR(VLOOKUP(F140, Catalogos!$D$2:$G$50, 4, FALSE), ""))</f>
        <v/>
      </c>
    </row>
    <row r="141" spans="2:8" x14ac:dyDescent="0.3">
      <c r="B141" t="str">
        <f>IF(G141="","", IFERROR(VLOOKUP(G141, Catalogos!$H$2:$I$20, 2, FALSE), "FOL") &amp; IF($C$6="","", "-" &amp; $C$6) &amp; "-" &amp; TEXT(ROW(A131),"000"))</f>
        <v/>
      </c>
      <c r="H141" t="str">
        <f>IF(F141="","", IFERROR(VLOOKUP(F141, Catalogos!$D$2:$G$50, 4, FALSE), ""))</f>
        <v/>
      </c>
    </row>
    <row r="142" spans="2:8" x14ac:dyDescent="0.3">
      <c r="B142" t="str">
        <f>IF(G142="","", IFERROR(VLOOKUP(G142, Catalogos!$H$2:$I$20, 2, FALSE), "FOL") &amp; IF($C$6="","", "-" &amp; $C$6) &amp; "-" &amp; TEXT(ROW(A132),"000"))</f>
        <v/>
      </c>
      <c r="H142" t="str">
        <f>IF(F142="","", IFERROR(VLOOKUP(F142, Catalogos!$D$2:$G$50, 4, FALSE), ""))</f>
        <v/>
      </c>
    </row>
    <row r="143" spans="2:8" x14ac:dyDescent="0.3">
      <c r="B143" t="str">
        <f>IF(G143="","", IFERROR(VLOOKUP(G143, Catalogos!$H$2:$I$20, 2, FALSE), "FOL") &amp; IF($C$6="","", "-" &amp; $C$6) &amp; "-" &amp; TEXT(ROW(A133),"000"))</f>
        <v/>
      </c>
      <c r="H143" t="str">
        <f>IF(F143="","", IFERROR(VLOOKUP(F143, Catalogos!$D$2:$G$50, 4, FALSE), ""))</f>
        <v/>
      </c>
    </row>
    <row r="144" spans="2:8" x14ac:dyDescent="0.3">
      <c r="B144" t="str">
        <f>IF(G144="","", IFERROR(VLOOKUP(G144, Catalogos!$H$2:$I$20, 2, FALSE), "FOL") &amp; IF($C$6="","", "-" &amp; $C$6) &amp; "-" &amp; TEXT(ROW(A134),"000"))</f>
        <v/>
      </c>
      <c r="H144" t="str">
        <f>IF(F144="","", IFERROR(VLOOKUP(F144, Catalogos!$D$2:$G$50, 4, FALSE), ""))</f>
        <v/>
      </c>
    </row>
    <row r="145" spans="2:8" x14ac:dyDescent="0.3">
      <c r="B145" t="str">
        <f>IF(G145="","", IFERROR(VLOOKUP(G145, Catalogos!$H$2:$I$20, 2, FALSE), "FOL") &amp; IF($C$6="","", "-" &amp; $C$6) &amp; "-" &amp; TEXT(ROW(A135),"000"))</f>
        <v/>
      </c>
      <c r="H145" t="str">
        <f>IF(F145="","", IFERROR(VLOOKUP(F145, Catalogos!$D$2:$G$50, 4, FALSE), ""))</f>
        <v/>
      </c>
    </row>
    <row r="146" spans="2:8" x14ac:dyDescent="0.3">
      <c r="B146" t="str">
        <f>IF(G146="","", IFERROR(VLOOKUP(G146, Catalogos!$H$2:$I$20, 2, FALSE), "FOL") &amp; IF($C$6="","", "-" &amp; $C$6) &amp; "-" &amp; TEXT(ROW(A136),"000"))</f>
        <v/>
      </c>
      <c r="H146" t="str">
        <f>IF(F146="","", IFERROR(VLOOKUP(F146, Catalogos!$D$2:$G$50, 4, FALSE), ""))</f>
        <v/>
      </c>
    </row>
    <row r="147" spans="2:8" x14ac:dyDescent="0.3">
      <c r="B147" t="str">
        <f>IF(G147="","", IFERROR(VLOOKUP(G147, Catalogos!$H$2:$I$20, 2, FALSE), "FOL") &amp; IF($C$6="","", "-" &amp; $C$6) &amp; "-" &amp; TEXT(ROW(A137),"000"))</f>
        <v/>
      </c>
      <c r="H147" t="str">
        <f>IF(F147="","", IFERROR(VLOOKUP(F147, Catalogos!$D$2:$G$50, 4, FALSE), ""))</f>
        <v/>
      </c>
    </row>
    <row r="148" spans="2:8" x14ac:dyDescent="0.3">
      <c r="B148" t="str">
        <f>IF(G148="","", IFERROR(VLOOKUP(G148, Catalogos!$H$2:$I$20, 2, FALSE), "FOL") &amp; IF($C$6="","", "-" &amp; $C$6) &amp; "-" &amp; TEXT(ROW(A138),"000"))</f>
        <v/>
      </c>
      <c r="H148" t="str">
        <f>IF(F148="","", IFERROR(VLOOKUP(F148, Catalogos!$D$2:$G$50, 4, FALSE), ""))</f>
        <v/>
      </c>
    </row>
    <row r="149" spans="2:8" x14ac:dyDescent="0.3">
      <c r="B149" t="str">
        <f>IF(G149="","", IFERROR(VLOOKUP(G149, Catalogos!$H$2:$I$20, 2, FALSE), "FOL") &amp; IF($C$6="","", "-" &amp; $C$6) &amp; "-" &amp; TEXT(ROW(A139),"000"))</f>
        <v/>
      </c>
      <c r="H149" t="str">
        <f>IF(F149="","", IFERROR(VLOOKUP(F149, Catalogos!$D$2:$G$50, 4, FALSE), ""))</f>
        <v/>
      </c>
    </row>
    <row r="150" spans="2:8" x14ac:dyDescent="0.3">
      <c r="B150" t="str">
        <f>IF(G150="","", IFERROR(VLOOKUP(G150, Catalogos!$H$2:$I$20, 2, FALSE), "FOL") &amp; IF($C$6="","", "-" &amp; $C$6) &amp; "-" &amp; TEXT(ROW(A140),"000"))</f>
        <v/>
      </c>
      <c r="H150" t="str">
        <f>IF(F150="","", IFERROR(VLOOKUP(F150, Catalogos!$D$2:$G$50, 4, FALSE), ""))</f>
        <v/>
      </c>
    </row>
  </sheetData>
  <mergeCells count="126">
    <mergeCell ref="B4:K4"/>
    <mergeCell ref="F6:H6"/>
    <mergeCell ref="B9:K9"/>
    <mergeCell ref="I7:J7"/>
    <mergeCell ref="D7:E7"/>
    <mergeCell ref="B7:B8"/>
    <mergeCell ref="G7:G8"/>
    <mergeCell ref="I15:K15"/>
    <mergeCell ref="I16:K16"/>
    <mergeCell ref="I17:K17"/>
    <mergeCell ref="I18:K18"/>
    <mergeCell ref="I19:K19"/>
    <mergeCell ref="I10:K10"/>
    <mergeCell ref="I11:K11"/>
    <mergeCell ref="I12:K12"/>
    <mergeCell ref="I13:K13"/>
    <mergeCell ref="I14:K14"/>
    <mergeCell ref="I25:K25"/>
    <mergeCell ref="I26:K26"/>
    <mergeCell ref="I27:K27"/>
    <mergeCell ref="I28:K28"/>
    <mergeCell ref="I29:K29"/>
    <mergeCell ref="I20:K20"/>
    <mergeCell ref="I21:K21"/>
    <mergeCell ref="I22:K22"/>
    <mergeCell ref="I23:K23"/>
    <mergeCell ref="I24:K24"/>
    <mergeCell ref="I35:K35"/>
    <mergeCell ref="I36:K36"/>
    <mergeCell ref="I37:K37"/>
    <mergeCell ref="I38:K38"/>
    <mergeCell ref="I39:K39"/>
    <mergeCell ref="I30:K30"/>
    <mergeCell ref="I31:K31"/>
    <mergeCell ref="I32:K32"/>
    <mergeCell ref="I33:K33"/>
    <mergeCell ref="I34:K34"/>
    <mergeCell ref="I45:K45"/>
    <mergeCell ref="I46:K46"/>
    <mergeCell ref="I47:K47"/>
    <mergeCell ref="I48:K48"/>
    <mergeCell ref="I49:K49"/>
    <mergeCell ref="I40:K40"/>
    <mergeCell ref="I41:K41"/>
    <mergeCell ref="I42:K42"/>
    <mergeCell ref="I43:K43"/>
    <mergeCell ref="I44:K44"/>
    <mergeCell ref="I55:K55"/>
    <mergeCell ref="I56:K56"/>
    <mergeCell ref="I57:K57"/>
    <mergeCell ref="I58:K58"/>
    <mergeCell ref="I59:K59"/>
    <mergeCell ref="I50:K50"/>
    <mergeCell ref="I51:K51"/>
    <mergeCell ref="I52:K52"/>
    <mergeCell ref="I53:K53"/>
    <mergeCell ref="I54:K54"/>
    <mergeCell ref="I65:K65"/>
    <mergeCell ref="I66:K66"/>
    <mergeCell ref="I67:K67"/>
    <mergeCell ref="I68:K68"/>
    <mergeCell ref="I69:K69"/>
    <mergeCell ref="I60:K60"/>
    <mergeCell ref="I61:K61"/>
    <mergeCell ref="I62:K62"/>
    <mergeCell ref="I63:K63"/>
    <mergeCell ref="I64:K64"/>
    <mergeCell ref="I75:K75"/>
    <mergeCell ref="I76:K76"/>
    <mergeCell ref="I77:K77"/>
    <mergeCell ref="I78:K78"/>
    <mergeCell ref="I79:K79"/>
    <mergeCell ref="I70:K70"/>
    <mergeCell ref="I71:K71"/>
    <mergeCell ref="I72:K72"/>
    <mergeCell ref="I73:K73"/>
    <mergeCell ref="I74:K74"/>
    <mergeCell ref="I85:K85"/>
    <mergeCell ref="I86:K86"/>
    <mergeCell ref="I87:K87"/>
    <mergeCell ref="I88:K88"/>
    <mergeCell ref="I89:K89"/>
    <mergeCell ref="I80:K80"/>
    <mergeCell ref="I81:K81"/>
    <mergeCell ref="I82:K82"/>
    <mergeCell ref="I83:K83"/>
    <mergeCell ref="I84:K84"/>
    <mergeCell ref="I95:K95"/>
    <mergeCell ref="I96:K96"/>
    <mergeCell ref="I97:K97"/>
    <mergeCell ref="I98:K98"/>
    <mergeCell ref="I99:K99"/>
    <mergeCell ref="I90:K90"/>
    <mergeCell ref="I91:K91"/>
    <mergeCell ref="I92:K92"/>
    <mergeCell ref="I93:K93"/>
    <mergeCell ref="I94:K94"/>
    <mergeCell ref="I105:K105"/>
    <mergeCell ref="I106:K106"/>
    <mergeCell ref="I107:K107"/>
    <mergeCell ref="I108:K108"/>
    <mergeCell ref="I109:K109"/>
    <mergeCell ref="I100:K100"/>
    <mergeCell ref="I101:K101"/>
    <mergeCell ref="I102:K102"/>
    <mergeCell ref="I103:K103"/>
    <mergeCell ref="I104:K104"/>
    <mergeCell ref="I115:K115"/>
    <mergeCell ref="I116:K116"/>
    <mergeCell ref="I117:K117"/>
    <mergeCell ref="I118:K118"/>
    <mergeCell ref="I119:K119"/>
    <mergeCell ref="I110:K110"/>
    <mergeCell ref="I111:K111"/>
    <mergeCell ref="I112:K112"/>
    <mergeCell ref="I113:K113"/>
    <mergeCell ref="I114:K114"/>
    <mergeCell ref="I125:K125"/>
    <mergeCell ref="I126:K126"/>
    <mergeCell ref="I127:K127"/>
    <mergeCell ref="I128:K128"/>
    <mergeCell ref="I120:K120"/>
    <mergeCell ref="I121:K121"/>
    <mergeCell ref="I122:K122"/>
    <mergeCell ref="I123:K123"/>
    <mergeCell ref="I124:K124"/>
  </mergeCells>
  <dataValidations count="2">
    <dataValidation type="date" allowBlank="1" showInputMessage="1" showErrorMessage="1" sqref="C11:C1048576" xr:uid="{1320C1DE-B5C0-4D95-8006-F80ABDA5AFA0}">
      <formula1>46174</formula1>
      <formula2>46387</formula2>
    </dataValidation>
    <dataValidation type="time" allowBlank="1" showInputMessage="1" showErrorMessage="1" errorTitle="Origen/Destino no válido" error="undefined" promptTitle="undefined" prompt="undefined" sqref="D11:D1048576" xr:uid="{278B3C8F-6064-4859-BBB4-665AB6A01400}">
      <formula1>0</formula1>
      <formula2>0.999305555555556</formula2>
    </dataValidation>
  </dataValidations>
  <printOptions horizontalCentered="1"/>
  <pageMargins left="0.25" right="0.25" top="0.25" bottom="0.25" header="0" footer="0"/>
  <pageSetup fitToHeight="0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Obra Inválida" error="Seleccione una obra del catálogo." promptTitle="undefined" prompt="undefined" xr:uid="{00000000-0002-0000-0000-000003000000}">
          <x14:formula1>
            <xm:f>Catalogos!$A$2:$A$20</xm:f>
          </x14:formula1>
          <xm:sqref>G11:G150</xm:sqref>
        </x14:dataValidation>
        <x14:dataValidation type="list" allowBlank="1" showInputMessage="1" showErrorMessage="1" errorTitle="Económico no válido" error="undefined" promptTitle="undefined" prompt="undefined" xr:uid="{00000000-0002-0000-0000-000002000000}">
          <x14:formula1>
            <xm:f>Catalogos!$J$4:$J$46</xm:f>
          </x14:formula1>
          <xm:sqref>G11:G100</xm:sqref>
        </x14:dataValidation>
        <x14:dataValidation type="list" allowBlank="1" showInputMessage="1" showErrorMessage="1" errorTitle="Económico no válido" error="undefined" promptTitle="undefined" prompt="undefined" xr:uid="{00000000-0002-0000-0000-000004000000}">
          <x14:formula1>
            <xm:f>Catalogos!$J$4:$J$40</xm:f>
          </x14:formula1>
          <xm:sqref>G11:G50</xm:sqref>
        </x14:dataValidation>
        <x14:dataValidation type="list" allowBlank="1" showInputMessage="1" showErrorMessage="1" xr:uid="{AF0CC39C-13E4-4FC3-8E2A-FC89DC92A687}">
          <x14:formula1>
            <xm:f>Catalogos!$C$2:$C$13</xm:f>
          </x14:formula1>
          <xm:sqref>E11:E1048576</xm:sqref>
        </x14:dataValidation>
        <x14:dataValidation type="list" allowBlank="1" showInputMessage="1" showErrorMessage="1" xr:uid="{22F53CAF-4094-486B-8801-C523D1792D32}">
          <x14:formula1>
            <xm:f>Catalogos!$D$2:$D$40</xm:f>
          </x14:formula1>
          <xm:sqref>F11:F1048576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K150"/>
  <sheetViews>
    <sheetView tabSelected="1" zoomScale="80" zoomScaleNormal="80" workbookViewId="0">
      <selection activeCell="I19" sqref="I19"/>
    </sheetView>
  </sheetViews>
  <sheetFormatPr baseColWidth="10" defaultRowHeight="14.4" x14ac:dyDescent="0.3"/>
  <cols>
    <col min="1" max="1" width="8.109375" customWidth="1"/>
    <col min="2" max="2" width="12" customWidth="1"/>
    <col min="3" max="3" width="16" customWidth="1"/>
    <col min="4" max="4" width="18" customWidth="1"/>
    <col min="5" max="5" width="21.77734375" bestFit="1" customWidth="1"/>
    <col min="6" max="6" width="32.33203125" bestFit="1" customWidth="1"/>
    <col min="7" max="8" width="16" customWidth="1"/>
    <col min="9" max="9" width="18" customWidth="1"/>
    <col min="10" max="10" width="16" customWidth="1"/>
    <col min="11" max="11" width="20" customWidth="1"/>
  </cols>
  <sheetData>
    <row r="1" spans="2:11" ht="19.95" customHeight="1" x14ac:dyDescent="0.3"/>
    <row r="2" spans="2:11" ht="19.95" customHeight="1" x14ac:dyDescent="0.3">
      <c r="B2" t="s">
        <v>86</v>
      </c>
      <c r="C2" s="359"/>
      <c r="D2" s="359"/>
      <c r="E2" s="359"/>
      <c r="F2" s="359"/>
    </row>
    <row r="3" spans="2:11" ht="19.95" customHeight="1" x14ac:dyDescent="0.3"/>
    <row r="4" spans="2:11" ht="30" customHeight="1" x14ac:dyDescent="0.3">
      <c r="B4" s="360" t="s">
        <v>11</v>
      </c>
      <c r="C4" s="361"/>
      <c r="D4" s="361"/>
      <c r="E4" s="361"/>
      <c r="F4" s="361"/>
      <c r="G4" s="361"/>
      <c r="H4" s="361"/>
      <c r="I4" s="361"/>
      <c r="J4" s="361"/>
      <c r="K4" s="361"/>
    </row>
    <row r="5" spans="2:11" ht="15" customHeight="1" x14ac:dyDescent="0.3"/>
    <row r="6" spans="2:11" ht="22.05" customHeight="1" x14ac:dyDescent="0.35">
      <c r="B6" s="259" t="s">
        <v>1</v>
      </c>
      <c r="C6" s="260"/>
      <c r="E6" s="261" t="s">
        <v>12</v>
      </c>
      <c r="F6" s="362"/>
      <c r="G6" s="363"/>
      <c r="H6" s="364"/>
      <c r="J6" s="262" t="s">
        <v>13</v>
      </c>
      <c r="K6" s="263" t="s">
        <v>14</v>
      </c>
    </row>
    <row r="7" spans="2:11" ht="22.05" customHeight="1" x14ac:dyDescent="0.3">
      <c r="B7" s="719" t="s">
        <v>138</v>
      </c>
      <c r="C7" s="367"/>
      <c r="D7" s="358"/>
      <c r="F7" s="720" t="s">
        <v>139</v>
      </c>
      <c r="G7" s="366"/>
      <c r="H7" s="264"/>
    </row>
    <row r="8" spans="2:11" ht="15" customHeight="1" x14ac:dyDescent="0.3"/>
    <row r="9" spans="2:11" ht="22.05" customHeight="1" x14ac:dyDescent="0.3">
      <c r="B9" s="365" t="s">
        <v>9</v>
      </c>
      <c r="C9" s="361"/>
      <c r="D9" s="361"/>
      <c r="E9" s="361"/>
      <c r="F9" s="361"/>
      <c r="G9" s="361"/>
      <c r="H9" s="361"/>
      <c r="I9" s="361"/>
      <c r="J9" s="361"/>
      <c r="K9" s="361"/>
    </row>
    <row r="10" spans="2:11" ht="25.05" customHeight="1" x14ac:dyDescent="0.3">
      <c r="B10" s="384" t="s">
        <v>87</v>
      </c>
      <c r="C10" s="385" t="s">
        <v>88</v>
      </c>
      <c r="D10" s="386" t="s">
        <v>89</v>
      </c>
      <c r="E10" s="387" t="s">
        <v>90</v>
      </c>
      <c r="F10" s="388" t="s">
        <v>91</v>
      </c>
      <c r="G10" s="389" t="s">
        <v>92</v>
      </c>
      <c r="H10" s="390" t="s">
        <v>93</v>
      </c>
      <c r="I10" s="391" t="s">
        <v>94</v>
      </c>
      <c r="J10" s="392" t="s">
        <v>10</v>
      </c>
      <c r="K10" s="393"/>
    </row>
    <row r="11" spans="2:11" ht="22.05" customHeight="1" x14ac:dyDescent="0.35">
      <c r="B11" s="404"/>
      <c r="C11" s="405"/>
      <c r="D11" s="406"/>
      <c r="E11" s="407"/>
      <c r="F11" s="408"/>
      <c r="G11" s="409"/>
      <c r="H11" s="410"/>
      <c r="I11" s="411"/>
      <c r="J11" s="412"/>
      <c r="K11" s="412"/>
    </row>
    <row r="12" spans="2:11" ht="22.05" customHeight="1" x14ac:dyDescent="0.35">
      <c r="B12" s="413"/>
      <c r="C12" s="414"/>
      <c r="D12" s="415"/>
      <c r="E12" s="416"/>
      <c r="F12" s="417"/>
      <c r="G12" s="418"/>
      <c r="H12" s="419"/>
      <c r="I12" s="420"/>
      <c r="J12" s="421"/>
      <c r="K12" s="421"/>
    </row>
    <row r="13" spans="2:11" ht="22.05" customHeight="1" x14ac:dyDescent="0.35">
      <c r="B13" s="422" t="str">
        <f>IF(G13="","", IFERROR(VLOOKUP(G13, Catalogos!$H$2:$I$20, 2, FALSE), "FOL") &amp; IF($C$6="","", "-" &amp; $C$6) &amp; "-" &amp; TEXT(ROW(A3),"000"))</f>
        <v/>
      </c>
      <c r="C13" s="423"/>
      <c r="D13" s="424"/>
      <c r="E13" s="425"/>
      <c r="F13" s="426"/>
      <c r="G13" s="427"/>
      <c r="H13" s="428"/>
      <c r="I13" s="429"/>
      <c r="J13" s="430"/>
      <c r="K13" s="430"/>
    </row>
    <row r="14" spans="2:11" ht="22.05" customHeight="1" x14ac:dyDescent="0.35">
      <c r="B14" s="431" t="str">
        <f>IF(G14="","", IFERROR(VLOOKUP(G14, Catalogos!$H$2:$I$20, 2, FALSE), "FOL") &amp; IF($C$6="","", "-" &amp; $C$6) &amp; "-" &amp; TEXT(ROW(A4),"000"))</f>
        <v/>
      </c>
      <c r="C14" s="432"/>
      <c r="D14" s="433"/>
      <c r="E14" s="434"/>
      <c r="F14" s="435"/>
      <c r="G14" s="436"/>
      <c r="H14" s="437"/>
      <c r="I14" s="438"/>
      <c r="J14" s="439"/>
      <c r="K14" s="439"/>
    </row>
    <row r="15" spans="2:11" ht="22.05" customHeight="1" x14ac:dyDescent="0.35">
      <c r="B15" s="440" t="str">
        <f>IF(G15="","", IFERROR(VLOOKUP(G15, Catalogos!$H$2:$I$20, 2, FALSE), "FOL") &amp; IF($C$6="","", "-" &amp; $C$6) &amp; "-" &amp; TEXT(ROW(A5),"000"))</f>
        <v/>
      </c>
      <c r="C15" s="441"/>
      <c r="D15" s="442"/>
      <c r="E15" s="443"/>
      <c r="F15" s="444"/>
      <c r="G15" s="445"/>
      <c r="H15" s="446"/>
      <c r="I15" s="447"/>
      <c r="J15" s="448"/>
      <c r="K15" s="448"/>
    </row>
    <row r="16" spans="2:11" ht="22.05" customHeight="1" x14ac:dyDescent="0.35">
      <c r="B16" s="449" t="str">
        <f>IF(G16="","", IFERROR(VLOOKUP(G16, Catalogos!$H$2:$I$20, 2, FALSE), "FOL") &amp; IF($C$6="","", "-" &amp; $C$6) &amp; "-" &amp; TEXT(ROW(A6),"000"))</f>
        <v/>
      </c>
      <c r="C16" s="450"/>
      <c r="D16" s="451"/>
      <c r="E16" s="452"/>
      <c r="F16" s="453"/>
      <c r="G16" s="454"/>
      <c r="H16" s="455"/>
      <c r="I16" s="456"/>
      <c r="J16" s="457"/>
      <c r="K16" s="457"/>
    </row>
    <row r="17" spans="2:11" ht="22.05" customHeight="1" x14ac:dyDescent="0.35">
      <c r="B17" s="458" t="str">
        <f>IF(G17="","", IFERROR(VLOOKUP(G17, Catalogos!$H$2:$I$20, 2, FALSE), "FOL") &amp; IF($C$6="","", "-" &amp; $C$6) &amp; "-" &amp; TEXT(ROW(A7),"000"))</f>
        <v/>
      </c>
      <c r="C17" s="459"/>
      <c r="D17" s="460"/>
      <c r="E17" s="461"/>
      <c r="F17" s="462"/>
      <c r="G17" s="463"/>
      <c r="H17" s="464"/>
      <c r="I17" s="465"/>
      <c r="J17" s="466"/>
      <c r="K17" s="466"/>
    </row>
    <row r="18" spans="2:11" ht="22.05" customHeight="1" x14ac:dyDescent="0.35">
      <c r="B18" s="467" t="str">
        <f>IF(G18="","", IFERROR(VLOOKUP(G18, Catalogos!$H$2:$I$20, 2, FALSE), "FOL") &amp; IF($C$6="","", "-" &amp; $C$6) &amp; "-" &amp; TEXT(ROW(A8),"000"))</f>
        <v/>
      </c>
      <c r="C18" s="468"/>
      <c r="D18" s="469"/>
      <c r="E18" s="470"/>
      <c r="F18" s="471"/>
      <c r="G18" s="472"/>
      <c r="H18" s="473"/>
      <c r="I18" s="474"/>
      <c r="J18" s="475"/>
      <c r="K18" s="475"/>
    </row>
    <row r="19" spans="2:11" ht="22.05" customHeight="1" x14ac:dyDescent="0.35">
      <c r="B19" s="476" t="str">
        <f>IF(G19="","", IFERROR(VLOOKUP(G19, Catalogos!$H$2:$I$20, 2, FALSE), "FOL") &amp; IF($C$6="","", "-" &amp; $C$6) &amp; "-" &amp; TEXT(ROW(A9),"000"))</f>
        <v/>
      </c>
      <c r="C19" s="477"/>
      <c r="D19" s="478"/>
      <c r="E19" s="479"/>
      <c r="F19" s="480"/>
      <c r="G19" s="481"/>
      <c r="H19" s="482"/>
      <c r="I19" s="483"/>
      <c r="J19" s="484"/>
      <c r="K19" s="484"/>
    </row>
    <row r="20" spans="2:11" ht="22.05" customHeight="1" x14ac:dyDescent="0.35">
      <c r="B20" s="485" t="str">
        <f>IF(G20="","", IFERROR(VLOOKUP(G20, Catalogos!$H$2:$I$20, 2, FALSE), "FOL") &amp; IF($C$6="","", "-" &amp; $C$6) &amp; "-" &amp; TEXT(ROW(A10),"000"))</f>
        <v/>
      </c>
      <c r="C20" s="486"/>
      <c r="D20" s="487"/>
      <c r="E20" s="488"/>
      <c r="F20" s="489"/>
      <c r="G20" s="490"/>
      <c r="H20" s="491"/>
      <c r="I20" s="492"/>
      <c r="J20" s="493"/>
      <c r="K20" s="493"/>
    </row>
    <row r="21" spans="2:11" ht="22.05" customHeight="1" x14ac:dyDescent="0.35">
      <c r="B21" s="494" t="str">
        <f>IF(G21="","", IFERROR(VLOOKUP(G21, Catalogos!$H$2:$I$20, 2, FALSE), "FOL") &amp; IF($C$6="","", "-" &amp; $C$6) &amp; "-" &amp; TEXT(ROW(A11),"000"))</f>
        <v/>
      </c>
      <c r="C21" s="495"/>
      <c r="D21" s="496"/>
      <c r="E21" s="497"/>
      <c r="F21" s="498"/>
      <c r="G21" s="499"/>
      <c r="H21" s="500"/>
      <c r="I21" s="501"/>
      <c r="J21" s="502"/>
      <c r="K21" s="502"/>
    </row>
    <row r="22" spans="2:11" ht="22.05" customHeight="1" x14ac:dyDescent="0.35">
      <c r="B22" s="503" t="str">
        <f>IF(G22="","", IFERROR(VLOOKUP(G22, Catalogos!$H$2:$I$20, 2, FALSE), "FOL") &amp; IF($C$6="","", "-" &amp; $C$6) &amp; "-" &amp; TEXT(ROW(A12),"000"))</f>
        <v/>
      </c>
      <c r="C22" s="504"/>
      <c r="D22" s="505"/>
      <c r="E22" s="506"/>
      <c r="F22" s="507"/>
      <c r="G22" s="508"/>
      <c r="H22" s="509"/>
      <c r="I22" s="510"/>
      <c r="J22" s="511"/>
      <c r="K22" s="511"/>
    </row>
    <row r="23" spans="2:11" ht="22.05" customHeight="1" x14ac:dyDescent="0.35">
      <c r="B23" s="512" t="str">
        <f>IF(G23="","", IFERROR(VLOOKUP(G23, Catalogos!$H$2:$I$20, 2, FALSE), "FOL") &amp; IF($C$6="","", "-" &amp; $C$6) &amp; "-" &amp; TEXT(ROW(A13),"000"))</f>
        <v/>
      </c>
      <c r="C23" s="513"/>
      <c r="D23" s="514"/>
      <c r="E23" s="515"/>
      <c r="F23" s="516"/>
      <c r="G23" s="517"/>
      <c r="H23" s="518"/>
      <c r="I23" s="519"/>
      <c r="J23" s="520"/>
      <c r="K23" s="520"/>
    </row>
    <row r="24" spans="2:11" ht="22.05" customHeight="1" x14ac:dyDescent="0.35">
      <c r="B24" s="521" t="str">
        <f>IF(G24="","", IFERROR(VLOOKUP(G24, Catalogos!$H$2:$I$20, 2, FALSE), "FOL") &amp; IF($C$6="","", "-" &amp; $C$6) &amp; "-" &amp; TEXT(ROW(A14),"000"))</f>
        <v/>
      </c>
      <c r="C24" s="522"/>
      <c r="D24" s="523"/>
      <c r="E24" s="524"/>
      <c r="F24" s="525"/>
      <c r="G24" s="526"/>
      <c r="H24" s="527"/>
      <c r="I24" s="528"/>
      <c r="J24" s="529"/>
      <c r="K24" s="529"/>
    </row>
    <row r="25" spans="2:11" ht="22.05" customHeight="1" x14ac:dyDescent="0.35">
      <c r="B25" s="530" t="str">
        <f>IF(G25="","", IFERROR(VLOOKUP(G25, Catalogos!$H$2:$I$20, 2, FALSE), "FOL") &amp; IF($C$6="","", "-" &amp; $C$6) &amp; "-" &amp; TEXT(ROW(A15),"000"))</f>
        <v/>
      </c>
      <c r="C25" s="531"/>
      <c r="D25" s="532"/>
      <c r="E25" s="533"/>
      <c r="F25" s="534"/>
      <c r="G25" s="535"/>
      <c r="H25" s="536"/>
      <c r="I25" s="537"/>
      <c r="J25" s="538"/>
      <c r="K25" s="538"/>
    </row>
    <row r="26" spans="2:11" ht="22.05" customHeight="1" x14ac:dyDescent="0.35">
      <c r="B26" s="539" t="str">
        <f>IF(G26="","", IFERROR(VLOOKUP(G26, Catalogos!$H$2:$I$20, 2, FALSE), "FOL") &amp; IF($C$6="","", "-" &amp; $C$6) &amp; "-" &amp; TEXT(ROW(A16),"000"))</f>
        <v/>
      </c>
      <c r="C26" s="540"/>
      <c r="D26" s="541"/>
      <c r="E26" s="542"/>
      <c r="F26" s="543"/>
      <c r="G26" s="544"/>
      <c r="H26" s="545"/>
      <c r="I26" s="546"/>
      <c r="J26" s="547"/>
      <c r="K26" s="547"/>
    </row>
    <row r="27" spans="2:11" ht="22.05" customHeight="1" x14ac:dyDescent="0.35">
      <c r="B27" s="548" t="str">
        <f>IF(G27="","", IFERROR(VLOOKUP(G27, Catalogos!$H$2:$I$20, 2, FALSE), "FOL") &amp; IF($C$6="","", "-" &amp; $C$6) &amp; "-" &amp; TEXT(ROW(A17),"000"))</f>
        <v/>
      </c>
      <c r="C27" s="549"/>
      <c r="D27" s="550"/>
      <c r="E27" s="551"/>
      <c r="F27" s="552"/>
      <c r="G27" s="553"/>
      <c r="H27" s="554"/>
      <c r="I27" s="555"/>
      <c r="J27" s="556"/>
      <c r="K27" s="556"/>
    </row>
    <row r="28" spans="2:11" ht="22.05" customHeight="1" x14ac:dyDescent="0.35">
      <c r="B28" s="557" t="str">
        <f>IF(G28="","", IFERROR(VLOOKUP(G28, Catalogos!$H$2:$I$20, 2, FALSE), "FOL") &amp; IF($C$6="","", "-" &amp; $C$6) &amp; "-" &amp; TEXT(ROW(A18),"000"))</f>
        <v/>
      </c>
      <c r="C28" s="558"/>
      <c r="D28" s="559"/>
      <c r="E28" s="560"/>
      <c r="F28" s="561"/>
      <c r="G28" s="562"/>
      <c r="H28" s="563"/>
      <c r="I28" s="564"/>
      <c r="J28" s="565"/>
      <c r="K28" s="565"/>
    </row>
    <row r="29" spans="2:11" ht="22.05" customHeight="1" x14ac:dyDescent="0.35">
      <c r="B29" s="566" t="str">
        <f>IF(G29="","", IFERROR(VLOOKUP(G29, Catalogos!$H$2:$I$20, 2, FALSE), "FOL") &amp; IF($C$6="","", "-" &amp; $C$6) &amp; "-" &amp; TEXT(ROW(A19),"000"))</f>
        <v/>
      </c>
      <c r="C29" s="567"/>
      <c r="D29" s="568"/>
      <c r="E29" s="569"/>
      <c r="F29" s="570"/>
      <c r="G29" s="571"/>
      <c r="H29" s="572"/>
      <c r="I29" s="573"/>
      <c r="J29" s="574"/>
      <c r="K29" s="574"/>
    </row>
    <row r="30" spans="2:11" ht="22.05" customHeight="1" x14ac:dyDescent="0.35">
      <c r="B30" s="575" t="str">
        <f>IF(G30="","", IFERROR(VLOOKUP(G30, Catalogos!$H$2:$I$20, 2, FALSE), "FOL") &amp; IF($C$6="","", "-" &amp; $C$6) &amp; "-" &amp; TEXT(ROW(A20),"000"))</f>
        <v/>
      </c>
      <c r="C30" s="576"/>
      <c r="D30" s="577"/>
      <c r="E30" s="578"/>
      <c r="F30" s="579"/>
      <c r="G30" s="580"/>
      <c r="H30" s="581"/>
      <c r="I30" s="582"/>
      <c r="J30" s="583"/>
      <c r="K30" s="583"/>
    </row>
    <row r="31" spans="2:11" ht="22.05" customHeight="1" x14ac:dyDescent="0.35">
      <c r="B31" s="584" t="str">
        <f>IF(G31="","", IFERROR(VLOOKUP(G31, Catalogos!$H$2:$I$20, 2, FALSE), "FOL") &amp; IF($C$6="","", "-" &amp; $C$6) &amp; "-" &amp; TEXT(ROW(A21),"000"))</f>
        <v/>
      </c>
      <c r="C31" s="585"/>
      <c r="D31" s="586"/>
      <c r="E31" s="587"/>
      <c r="F31" s="588"/>
      <c r="G31" s="589"/>
      <c r="H31" s="590"/>
      <c r="I31" s="591"/>
      <c r="J31" s="592"/>
      <c r="K31" s="592"/>
    </row>
    <row r="32" spans="2:11" ht="22.05" customHeight="1" x14ac:dyDescent="0.35">
      <c r="B32" s="593" t="str">
        <f>IF(G32="","", IFERROR(VLOOKUP(G32, Catalogos!$H$2:$I$20, 2, FALSE), "FOL") &amp; IF($C$6="","", "-" &amp; $C$6) &amp; "-" &amp; TEXT(ROW(A22),"000"))</f>
        <v/>
      </c>
      <c r="C32" s="594"/>
      <c r="D32" s="595"/>
      <c r="E32" s="596"/>
      <c r="F32" s="597"/>
      <c r="G32" s="598"/>
      <c r="H32" s="599"/>
      <c r="I32" s="600"/>
      <c r="J32" s="601"/>
      <c r="K32" s="601"/>
    </row>
    <row r="33" spans="2:11" ht="22.05" customHeight="1" x14ac:dyDescent="0.35">
      <c r="B33" s="602" t="str">
        <f>IF(G33="","", IFERROR(VLOOKUP(G33, Catalogos!$H$2:$I$20, 2, FALSE), "FOL") &amp; IF($C$6="","", "-" &amp; $C$6) &amp; "-" &amp; TEXT(ROW(A23),"000"))</f>
        <v/>
      </c>
      <c r="C33" s="603"/>
      <c r="D33" s="604"/>
      <c r="E33" s="605"/>
      <c r="F33" s="606"/>
      <c r="G33" s="607"/>
      <c r="H33" s="608"/>
      <c r="I33" s="609"/>
      <c r="J33" s="610"/>
      <c r="K33" s="610"/>
    </row>
    <row r="34" spans="2:11" ht="22.05" customHeight="1" x14ac:dyDescent="0.35">
      <c r="B34" s="611" t="str">
        <f>IF(G34="","", IFERROR(VLOOKUP(G34, Catalogos!$H$2:$I$20, 2, FALSE), "FOL") &amp; IF($C$6="","", "-" &amp; $C$6) &amp; "-" &amp; TEXT(ROW(A24),"000"))</f>
        <v/>
      </c>
      <c r="C34" s="612"/>
      <c r="D34" s="613"/>
      <c r="E34" s="614"/>
      <c r="F34" s="615"/>
      <c r="G34" s="616"/>
      <c r="H34" s="617"/>
      <c r="I34" s="618"/>
      <c r="J34" s="619"/>
      <c r="K34" s="619"/>
    </row>
    <row r="35" spans="2:11" ht="22.05" customHeight="1" x14ac:dyDescent="0.35">
      <c r="B35" s="620" t="str">
        <f>IF(G35="","", IFERROR(VLOOKUP(G35, Catalogos!$H$2:$I$20, 2, FALSE), "FOL") &amp; IF($C$6="","", "-" &amp; $C$6) &amp; "-" &amp; TEXT(ROW(A25),"000"))</f>
        <v/>
      </c>
      <c r="C35" s="621"/>
      <c r="D35" s="622"/>
      <c r="E35" s="623"/>
      <c r="F35" s="624"/>
      <c r="G35" s="625"/>
      <c r="H35" s="626"/>
      <c r="I35" s="627"/>
      <c r="J35" s="628"/>
      <c r="K35" s="628"/>
    </row>
    <row r="36" spans="2:11" ht="22.05" customHeight="1" x14ac:dyDescent="0.35">
      <c r="B36" s="629" t="str">
        <f>IF(G36="","", IFERROR(VLOOKUP(G36, Catalogos!$H$2:$I$20, 2, FALSE), "FOL") &amp; IF($C$6="","", "-" &amp; $C$6) &amp; "-" &amp; TEXT(ROW(A26),"000"))</f>
        <v/>
      </c>
      <c r="C36" s="630"/>
      <c r="D36" s="631"/>
      <c r="E36" s="632"/>
      <c r="F36" s="633"/>
      <c r="G36" s="634"/>
      <c r="H36" s="635"/>
      <c r="I36" s="636"/>
      <c r="J36" s="637"/>
      <c r="K36" s="637"/>
    </row>
    <row r="37" spans="2:11" ht="22.05" customHeight="1" x14ac:dyDescent="0.35">
      <c r="B37" s="638" t="str">
        <f>IF(G37="","", IFERROR(VLOOKUP(G37, Catalogos!$H$2:$I$20, 2, FALSE), "FOL") &amp; IF($C$6="","", "-" &amp; $C$6) &amp; "-" &amp; TEXT(ROW(A27),"000"))</f>
        <v/>
      </c>
      <c r="C37" s="639"/>
      <c r="D37" s="640"/>
      <c r="E37" s="641"/>
      <c r="F37" s="642"/>
      <c r="G37" s="643"/>
      <c r="H37" s="644"/>
      <c r="I37" s="645"/>
      <c r="J37" s="646"/>
      <c r="K37" s="646"/>
    </row>
    <row r="38" spans="2:11" ht="22.05" customHeight="1" x14ac:dyDescent="0.35">
      <c r="B38" s="647" t="str">
        <f>IF(G38="","", IFERROR(VLOOKUP(G38, Catalogos!$H$2:$I$20, 2, FALSE), "FOL") &amp; IF($C$6="","", "-" &amp; $C$6) &amp; "-" &amp; TEXT(ROW(A28),"000"))</f>
        <v/>
      </c>
      <c r="C38" s="648"/>
      <c r="D38" s="649"/>
      <c r="E38" s="650"/>
      <c r="F38" s="651"/>
      <c r="G38" s="652"/>
      <c r="H38" s="653"/>
      <c r="I38" s="654"/>
      <c r="J38" s="655"/>
      <c r="K38" s="655"/>
    </row>
    <row r="39" spans="2:11" ht="22.05" customHeight="1" x14ac:dyDescent="0.35">
      <c r="B39" s="656" t="str">
        <f>IF(G39="","", IFERROR(VLOOKUP(G39, Catalogos!$H$2:$I$20, 2, FALSE), "FOL") &amp; IF($C$6="","", "-" &amp; $C$6) &amp; "-" &amp; TEXT(ROW(A29),"000"))</f>
        <v/>
      </c>
      <c r="C39" s="657"/>
      <c r="D39" s="658"/>
      <c r="E39" s="659"/>
      <c r="F39" s="660"/>
      <c r="G39" s="661"/>
      <c r="H39" s="662"/>
      <c r="I39" s="663"/>
      <c r="J39" s="664"/>
      <c r="K39" s="664"/>
    </row>
    <row r="40" spans="2:11" ht="22.05" customHeight="1" x14ac:dyDescent="0.35">
      <c r="B40" s="665" t="str">
        <f>IF(G40="","", IFERROR(VLOOKUP(G40, Catalogos!$H$2:$I$20, 2, FALSE), "FOL") &amp; IF($C$6="","", "-" &amp; $C$6) &amp; "-" &amp; TEXT(ROW(A30),"000"))</f>
        <v/>
      </c>
      <c r="C40" s="666"/>
      <c r="D40" s="667"/>
      <c r="E40" s="668"/>
      <c r="F40" s="669"/>
      <c r="G40" s="670"/>
      <c r="H40" s="671"/>
      <c r="I40" s="672"/>
      <c r="J40" s="673"/>
      <c r="K40" s="673"/>
    </row>
    <row r="41" spans="2:11" ht="22.05" customHeight="1" x14ac:dyDescent="0.35">
      <c r="B41" s="674" t="str">
        <f>IF(G41="","", IFERROR(VLOOKUP(G41, Catalogos!$H$2:$I$20, 2, FALSE), "FOL") &amp; IF($C$6="","", "-" &amp; $C$6) &amp; "-" &amp; TEXT(ROW(A31),"000"))</f>
        <v/>
      </c>
      <c r="C41" s="675"/>
      <c r="D41" s="676"/>
      <c r="E41" s="677"/>
      <c r="F41" s="678"/>
      <c r="G41" s="679"/>
      <c r="H41" s="680"/>
      <c r="I41" s="681"/>
      <c r="J41" s="682"/>
      <c r="K41" s="682"/>
    </row>
    <row r="42" spans="2:11" ht="22.05" customHeight="1" x14ac:dyDescent="0.35">
      <c r="B42" s="683" t="str">
        <f>IF(G42="","", IFERROR(VLOOKUP(G42, Catalogos!$H$2:$I$20, 2, FALSE), "FOL") &amp; IF($C$6="","", "-" &amp; $C$6) &amp; "-" &amp; TEXT(ROW(A32),"000"))</f>
        <v/>
      </c>
      <c r="C42" s="684"/>
      <c r="D42" s="685"/>
      <c r="E42" s="686"/>
      <c r="F42" s="687"/>
      <c r="G42" s="688"/>
      <c r="H42" s="689"/>
      <c r="I42" s="690"/>
      <c r="J42" s="691"/>
      <c r="K42" s="691"/>
    </row>
    <row r="43" spans="2:11" ht="22.05" customHeight="1" x14ac:dyDescent="0.35">
      <c r="B43" s="692" t="str">
        <f>IF(G43="","", IFERROR(VLOOKUP(G43, Catalogos!$H$2:$I$20, 2, FALSE), "FOL") &amp; IF($C$6="","", "-" &amp; $C$6) &amp; "-" &amp; TEXT(ROW(A33),"000"))</f>
        <v/>
      </c>
      <c r="C43" s="693"/>
      <c r="D43" s="694"/>
      <c r="E43" s="695"/>
      <c r="F43" s="696"/>
      <c r="G43" s="697"/>
      <c r="H43" s="698"/>
      <c r="I43" s="699"/>
      <c r="J43" s="700"/>
      <c r="K43" s="700"/>
    </row>
    <row r="44" spans="2:11" ht="22.05" customHeight="1" x14ac:dyDescent="0.35">
      <c r="B44" s="701" t="str">
        <f>IF(G44="","", IFERROR(VLOOKUP(G44, Catalogos!$H$2:$I$20, 2, FALSE), "FOL") &amp; IF($C$6="","", "-" &amp; $C$6) &amp; "-" &amp; TEXT(ROW(A34),"000"))</f>
        <v/>
      </c>
      <c r="C44" s="702"/>
      <c r="D44" s="703"/>
      <c r="E44" s="704"/>
      <c r="F44" s="705"/>
      <c r="G44" s="706"/>
      <c r="H44" s="707"/>
      <c r="I44" s="708"/>
      <c r="J44" s="709"/>
      <c r="K44" s="709"/>
    </row>
    <row r="45" spans="2:11" ht="22.05" customHeight="1" x14ac:dyDescent="0.35">
      <c r="B45" s="710" t="str">
        <f>IF(G45="","", IFERROR(VLOOKUP(G45, Catalogos!$H$2:$I$20, 2, FALSE), "FOL") &amp; IF($C$6="","", "-" &amp; $C$6) &amp; "-" &amp; TEXT(ROW(A35),"000"))</f>
        <v/>
      </c>
      <c r="C45" s="711"/>
      <c r="D45" s="712"/>
      <c r="E45" s="713"/>
      <c r="F45" s="714"/>
      <c r="G45" s="715"/>
      <c r="H45" s="716"/>
      <c r="I45" s="717"/>
      <c r="J45" s="718"/>
      <c r="K45" s="718"/>
    </row>
    <row r="46" spans="2:11" ht="22.05" customHeight="1" x14ac:dyDescent="0.35">
      <c r="B46" s="394" t="str">
        <f>IF(G46="","", IFERROR(VLOOKUP(G46, Catalogos!$H$2:$I$20, 2, FALSE), "FOL") &amp; IF($C$6="","", "-" &amp; $C$6) &amp; "-" &amp; TEXT(ROW(A36),"000"))</f>
        <v/>
      </c>
      <c r="C46" s="395"/>
      <c r="D46" s="396"/>
      <c r="E46" s="397"/>
      <c r="F46" s="398"/>
      <c r="G46" s="399"/>
      <c r="H46" s="400"/>
      <c r="I46" s="401"/>
      <c r="J46" s="402"/>
      <c r="K46" s="403"/>
    </row>
    <row r="47" spans="2:11" ht="22.05" customHeight="1" x14ac:dyDescent="0.35">
      <c r="B47" s="265" t="str">
        <f>IF(G47="","", IFERROR(VLOOKUP(G47, Catalogos!$H$2:$I$20, 2, FALSE), "FOL") &amp; IF($C$6="","", "-" &amp; $C$6) &amp; "-" &amp; TEXT(ROW(A37),"000"))</f>
        <v/>
      </c>
      <c r="C47" s="266"/>
      <c r="D47" s="267"/>
      <c r="E47" s="268"/>
      <c r="F47" s="269"/>
      <c r="G47" s="270"/>
      <c r="H47" s="271"/>
      <c r="I47" s="272"/>
      <c r="J47" s="273"/>
      <c r="K47" s="274"/>
    </row>
    <row r="48" spans="2:11" ht="22.05" customHeight="1" x14ac:dyDescent="0.35">
      <c r="B48" s="275" t="str">
        <f>IF(G48="","", IFERROR(VLOOKUP(G48, Catalogos!$H$2:$I$20, 2, FALSE), "FOL") &amp; IF($C$6="","", "-" &amp; $C$6) &amp; "-" &amp; TEXT(ROW(A38),"000"))</f>
        <v/>
      </c>
      <c r="C48" s="276"/>
      <c r="D48" s="277"/>
      <c r="E48" s="278"/>
      <c r="F48" s="279"/>
      <c r="G48" s="280"/>
      <c r="H48" s="281"/>
      <c r="I48" s="282"/>
      <c r="J48" s="283"/>
      <c r="K48" s="284"/>
    </row>
    <row r="49" spans="2:11" ht="22.05" customHeight="1" x14ac:dyDescent="0.35">
      <c r="B49" s="285" t="str">
        <f>IF(G49="","", IFERROR(VLOOKUP(G49, Catalogos!$H$2:$I$20, 2, FALSE), "FOL") &amp; IF($C$6="","", "-" &amp; $C$6) &amp; "-" &amp; TEXT(ROW(A39),"000"))</f>
        <v/>
      </c>
      <c r="C49" s="286"/>
      <c r="D49" s="287"/>
      <c r="E49" s="288"/>
      <c r="F49" s="289"/>
      <c r="G49" s="290"/>
      <c r="H49" s="291"/>
      <c r="I49" s="292"/>
      <c r="J49" s="293"/>
      <c r="K49" s="294"/>
    </row>
    <row r="50" spans="2:11" ht="22.05" customHeight="1" x14ac:dyDescent="0.35">
      <c r="B50" s="295" t="str">
        <f>IF(G50="","", IFERROR(VLOOKUP(G50, Catalogos!$H$2:$I$20, 2, FALSE), "FOL") &amp; IF($C$6="","", "-" &amp; $C$6) &amp; "-" &amp; TEXT(ROW(A40),"000"))</f>
        <v/>
      </c>
      <c r="C50" s="296"/>
      <c r="D50" s="297"/>
      <c r="E50" s="298"/>
      <c r="F50" s="299"/>
      <c r="G50" s="300"/>
      <c r="H50" s="301"/>
      <c r="I50" s="302"/>
      <c r="J50" s="303"/>
      <c r="K50" s="304"/>
    </row>
    <row r="51" spans="2:11" ht="22.05" customHeight="1" x14ac:dyDescent="0.35">
      <c r="B51" s="305" t="str">
        <f>IF(G51="","", IFERROR(VLOOKUP(G51, Catalogos!$H$2:$I$20, 2, FALSE), "FOL") &amp; IF($C$6="","", "-" &amp; $C$6) &amp; "-" &amp; TEXT(ROW(A41),"000"))</f>
        <v/>
      </c>
      <c r="C51" s="308"/>
      <c r="D51" s="309"/>
      <c r="E51" s="310"/>
      <c r="F51" s="311"/>
      <c r="G51" s="306"/>
      <c r="H51" s="307"/>
      <c r="I51" s="312"/>
      <c r="J51" s="313"/>
      <c r="K51" s="314"/>
    </row>
    <row r="52" spans="2:11" x14ac:dyDescent="0.3">
      <c r="B52" t="str">
        <f>IF(G52="","", IFERROR(VLOOKUP(G52, Catalogos!$H$2:$I$20, 2, FALSE), "FOL") &amp; IF($C$6="","", "-" &amp; $C$6) &amp; "-" &amp; TEXT(ROW(A42),"000"))</f>
        <v/>
      </c>
    </row>
    <row r="53" spans="2:11" x14ac:dyDescent="0.3">
      <c r="B53" t="str">
        <f>IF(G53="","", IFERROR(VLOOKUP(G53, Catalogos!$H$2:$I$20, 2, FALSE), "FOL") &amp; IF($C$6="","", "-" &amp; $C$6) &amp; "-" &amp; TEXT(ROW(A43),"000"))</f>
        <v/>
      </c>
    </row>
    <row r="54" spans="2:11" x14ac:dyDescent="0.3">
      <c r="B54" t="str">
        <f>IF(G54="","", IFERROR(VLOOKUP(G54, Catalogos!$H$2:$I$20, 2, FALSE), "FOL") &amp; IF($C$6="","", "-" &amp; $C$6) &amp; "-" &amp; TEXT(ROW(A44),"000"))</f>
        <v/>
      </c>
    </row>
    <row r="55" spans="2:11" x14ac:dyDescent="0.3">
      <c r="B55" t="str">
        <f>IF(G55="","", IFERROR(VLOOKUP(G55, Catalogos!$H$2:$I$20, 2, FALSE), "FOL") &amp; IF($C$6="","", "-" &amp; $C$6) &amp; "-" &amp; TEXT(ROW(A45),"000"))</f>
        <v/>
      </c>
    </row>
    <row r="56" spans="2:11" x14ac:dyDescent="0.3">
      <c r="B56" t="str">
        <f>IF(G56="","", IFERROR(VLOOKUP(G56, Catalogos!$H$2:$I$20, 2, FALSE), "FOL") &amp; IF($C$6="","", "-" &amp; $C$6) &amp; "-" &amp; TEXT(ROW(A46),"000"))</f>
        <v/>
      </c>
    </row>
    <row r="57" spans="2:11" x14ac:dyDescent="0.3">
      <c r="B57" t="str">
        <f>IF(G57="","", IFERROR(VLOOKUP(G57, Catalogos!$H$2:$I$20, 2, FALSE), "FOL") &amp; IF($C$6="","", "-" &amp; $C$6) &amp; "-" &amp; TEXT(ROW(A47),"000"))</f>
        <v/>
      </c>
    </row>
    <row r="58" spans="2:11" x14ac:dyDescent="0.3">
      <c r="B58" t="str">
        <f>IF(G58="","", IFERROR(VLOOKUP(G58, Catalogos!$H$2:$I$20, 2, FALSE), "FOL") &amp; IF($C$6="","", "-" &amp; $C$6) &amp; "-" &amp; TEXT(ROW(A48),"000"))</f>
        <v/>
      </c>
    </row>
    <row r="59" spans="2:11" x14ac:dyDescent="0.3">
      <c r="B59" t="str">
        <f>IF(G59="","", IFERROR(VLOOKUP(G59, Catalogos!$H$2:$I$20, 2, FALSE), "FOL") &amp; IF($C$6="","", "-" &amp; $C$6) &amp; "-" &amp; TEXT(ROW(A49),"000"))</f>
        <v/>
      </c>
    </row>
    <row r="60" spans="2:11" x14ac:dyDescent="0.3">
      <c r="B60" t="str">
        <f>IF(G60="","", IFERROR(VLOOKUP(G60, Catalogos!$H$2:$I$20, 2, FALSE), "FOL") &amp; IF($C$6="","", "-" &amp; $C$6) &amp; "-" &amp; TEXT(ROW(A50),"000"))</f>
        <v/>
      </c>
    </row>
    <row r="61" spans="2:11" x14ac:dyDescent="0.3">
      <c r="B61" t="str">
        <f>IF(G61="","", IFERROR(VLOOKUP(G61, Catalogos!$H$2:$I$20, 2, FALSE), "FOL") &amp; IF($C$6="","", "-" &amp; $C$6) &amp; "-" &amp; TEXT(ROW(A51),"000"))</f>
        <v/>
      </c>
    </row>
    <row r="62" spans="2:11" x14ac:dyDescent="0.3">
      <c r="B62" t="str">
        <f>IF(G62="","", IFERROR(VLOOKUP(G62, Catalogos!$H$2:$I$20, 2, FALSE), "FOL") &amp; IF($C$6="","", "-" &amp; $C$6) &amp; "-" &amp; TEXT(ROW(A52),"000"))</f>
        <v/>
      </c>
    </row>
    <row r="63" spans="2:11" x14ac:dyDescent="0.3">
      <c r="B63" t="str">
        <f>IF(G63="","", IFERROR(VLOOKUP(G63, Catalogos!$H$2:$I$20, 2, FALSE), "FOL") &amp; IF($C$6="","", "-" &amp; $C$6) &amp; "-" &amp; TEXT(ROW(A53),"000"))</f>
        <v/>
      </c>
    </row>
    <row r="64" spans="2:11" x14ac:dyDescent="0.3">
      <c r="B64" t="str">
        <f>IF(G64="","", IFERROR(VLOOKUP(G64, Catalogos!$H$2:$I$20, 2, FALSE), "FOL") &amp; IF($C$6="","", "-" &amp; $C$6) &amp; "-" &amp; TEXT(ROW(A54),"000"))</f>
        <v/>
      </c>
    </row>
    <row r="65" spans="2:2" x14ac:dyDescent="0.3">
      <c r="B65" t="str">
        <f>IF(G65="","", IFERROR(VLOOKUP(G65, Catalogos!$H$2:$I$20, 2, FALSE), "FOL") &amp; IF($C$6="","", "-" &amp; $C$6) &amp; "-" &amp; TEXT(ROW(A55),"000"))</f>
        <v/>
      </c>
    </row>
    <row r="66" spans="2:2" x14ac:dyDescent="0.3">
      <c r="B66" t="str">
        <f>IF(G66="","", IFERROR(VLOOKUP(G66, Catalogos!$H$2:$I$20, 2, FALSE), "FOL") &amp; IF($C$6="","", "-" &amp; $C$6) &amp; "-" &amp; TEXT(ROW(A56),"000"))</f>
        <v/>
      </c>
    </row>
    <row r="67" spans="2:2" x14ac:dyDescent="0.3">
      <c r="B67" t="str">
        <f>IF(G67="","", IFERROR(VLOOKUP(G67, Catalogos!$H$2:$I$20, 2, FALSE), "FOL") &amp; IF($C$6="","", "-" &amp; $C$6) &amp; "-" &amp; TEXT(ROW(A57),"000"))</f>
        <v/>
      </c>
    </row>
    <row r="68" spans="2:2" x14ac:dyDescent="0.3">
      <c r="B68" t="str">
        <f>IF(G68="","", IFERROR(VLOOKUP(G68, Catalogos!$H$2:$I$20, 2, FALSE), "FOL") &amp; IF($C$6="","", "-" &amp; $C$6) &amp; "-" &amp; TEXT(ROW(A58),"000"))</f>
        <v/>
      </c>
    </row>
    <row r="69" spans="2:2" x14ac:dyDescent="0.3">
      <c r="B69" t="str">
        <f>IF(G69="","", IFERROR(VLOOKUP(G69, Catalogos!$H$2:$I$20, 2, FALSE), "FOL") &amp; IF($C$6="","", "-" &amp; $C$6) &amp; "-" &amp; TEXT(ROW(A59),"000"))</f>
        <v/>
      </c>
    </row>
    <row r="70" spans="2:2" x14ac:dyDescent="0.3">
      <c r="B70" t="str">
        <f>IF(G70="","", IFERROR(VLOOKUP(G70, Catalogos!$H$2:$I$20, 2, FALSE), "FOL") &amp; IF($C$6="","", "-" &amp; $C$6) &amp; "-" &amp; TEXT(ROW(A60),"000"))</f>
        <v/>
      </c>
    </row>
    <row r="71" spans="2:2" x14ac:dyDescent="0.3">
      <c r="B71" t="str">
        <f>IF(G71="","", IFERROR(VLOOKUP(G71, Catalogos!$H$2:$I$20, 2, FALSE), "FOL") &amp; IF($C$6="","", "-" &amp; $C$6) &amp; "-" &amp; TEXT(ROW(A61),"000"))</f>
        <v/>
      </c>
    </row>
    <row r="72" spans="2:2" x14ac:dyDescent="0.3">
      <c r="B72" t="str">
        <f>IF(G72="","", IFERROR(VLOOKUP(G72, Catalogos!$H$2:$I$20, 2, FALSE), "FOL") &amp; IF($C$6="","", "-" &amp; $C$6) &amp; "-" &amp; TEXT(ROW(A62),"000"))</f>
        <v/>
      </c>
    </row>
    <row r="73" spans="2:2" x14ac:dyDescent="0.3">
      <c r="B73" t="str">
        <f>IF(G73="","", IFERROR(VLOOKUP(G73, Catalogos!$H$2:$I$20, 2, FALSE), "FOL") &amp; IF($C$6="","", "-" &amp; $C$6) &amp; "-" &amp; TEXT(ROW(A63),"000"))</f>
        <v/>
      </c>
    </row>
    <row r="74" spans="2:2" x14ac:dyDescent="0.3">
      <c r="B74" t="str">
        <f>IF(G74="","", IFERROR(VLOOKUP(G74, Catalogos!$H$2:$I$20, 2, FALSE), "FOL") &amp; IF($C$6="","", "-" &amp; $C$6) &amp; "-" &amp; TEXT(ROW(A64),"000"))</f>
        <v/>
      </c>
    </row>
    <row r="75" spans="2:2" x14ac:dyDescent="0.3">
      <c r="B75" t="str">
        <f>IF(G75="","", IFERROR(VLOOKUP(G75, Catalogos!$H$2:$I$20, 2, FALSE), "FOL") &amp; IF($C$6="","", "-" &amp; $C$6) &amp; "-" &amp; TEXT(ROW(A65),"000"))</f>
        <v/>
      </c>
    </row>
    <row r="76" spans="2:2" x14ac:dyDescent="0.3">
      <c r="B76" t="str">
        <f>IF(G76="","", IFERROR(VLOOKUP(G76, Catalogos!$H$2:$I$20, 2, FALSE), "FOL") &amp; IF($C$6="","", "-" &amp; $C$6) &amp; "-" &amp; TEXT(ROW(A66),"000"))</f>
        <v/>
      </c>
    </row>
    <row r="77" spans="2:2" x14ac:dyDescent="0.3">
      <c r="B77" t="str">
        <f>IF(G77="","", IFERROR(VLOOKUP(G77, Catalogos!$H$2:$I$20, 2, FALSE), "FOL") &amp; IF($C$6="","", "-" &amp; $C$6) &amp; "-" &amp; TEXT(ROW(A67),"000"))</f>
        <v/>
      </c>
    </row>
    <row r="78" spans="2:2" x14ac:dyDescent="0.3">
      <c r="B78" t="str">
        <f>IF(G78="","", IFERROR(VLOOKUP(G78, Catalogos!$H$2:$I$20, 2, FALSE), "FOL") &amp; IF($C$6="","", "-" &amp; $C$6) &amp; "-" &amp; TEXT(ROW(A68),"000"))</f>
        <v/>
      </c>
    </row>
    <row r="79" spans="2:2" x14ac:dyDescent="0.3">
      <c r="B79" t="str">
        <f>IF(G79="","", IFERROR(VLOOKUP(G79, Catalogos!$H$2:$I$20, 2, FALSE), "FOL") &amp; IF($C$6="","", "-" &amp; $C$6) &amp; "-" &amp; TEXT(ROW(A69),"000"))</f>
        <v/>
      </c>
    </row>
    <row r="80" spans="2:2" x14ac:dyDescent="0.3">
      <c r="B80" t="str">
        <f>IF(G80="","", IFERROR(VLOOKUP(G80, Catalogos!$H$2:$I$20, 2, FALSE), "FOL") &amp; IF($C$6="","", "-" &amp; $C$6) &amp; "-" &amp; TEXT(ROW(A70),"000"))</f>
        <v/>
      </c>
    </row>
    <row r="81" spans="2:2" x14ac:dyDescent="0.3">
      <c r="B81" t="str">
        <f>IF(G81="","", IFERROR(VLOOKUP(G81, Catalogos!$H$2:$I$20, 2, FALSE), "FOL") &amp; IF($C$6="","", "-" &amp; $C$6) &amp; "-" &amp; TEXT(ROW(A71),"000"))</f>
        <v/>
      </c>
    </row>
    <row r="82" spans="2:2" x14ac:dyDescent="0.3">
      <c r="B82" t="str">
        <f>IF(G82="","", IFERROR(VLOOKUP(G82, Catalogos!$H$2:$I$20, 2, FALSE), "FOL") &amp; IF($C$6="","", "-" &amp; $C$6) &amp; "-" &amp; TEXT(ROW(A72),"000"))</f>
        <v/>
      </c>
    </row>
    <row r="83" spans="2:2" x14ac:dyDescent="0.3">
      <c r="B83" t="str">
        <f>IF(G83="","", IFERROR(VLOOKUP(G83, Catalogos!$H$2:$I$20, 2, FALSE), "FOL") &amp; IF($C$6="","", "-" &amp; $C$6) &amp; "-" &amp; TEXT(ROW(A73),"000"))</f>
        <v/>
      </c>
    </row>
    <row r="84" spans="2:2" x14ac:dyDescent="0.3">
      <c r="B84" t="str">
        <f>IF(G84="","", IFERROR(VLOOKUP(G84, Catalogos!$H$2:$I$20, 2, FALSE), "FOL") &amp; IF($C$6="","", "-" &amp; $C$6) &amp; "-" &amp; TEXT(ROW(A74),"000"))</f>
        <v/>
      </c>
    </row>
    <row r="85" spans="2:2" x14ac:dyDescent="0.3">
      <c r="B85" t="str">
        <f>IF(G85="","", IFERROR(VLOOKUP(G85, Catalogos!$H$2:$I$20, 2, FALSE), "FOL") &amp; IF($C$6="","", "-" &amp; $C$6) &amp; "-" &amp; TEXT(ROW(A75),"000"))</f>
        <v/>
      </c>
    </row>
    <row r="86" spans="2:2" x14ac:dyDescent="0.3">
      <c r="B86" t="str">
        <f>IF(G86="","", IFERROR(VLOOKUP(G86, Catalogos!$H$2:$I$20, 2, FALSE), "FOL") &amp; IF($C$6="","", "-" &amp; $C$6) &amp; "-" &amp; TEXT(ROW(A76),"000"))</f>
        <v/>
      </c>
    </row>
    <row r="87" spans="2:2" x14ac:dyDescent="0.3">
      <c r="B87" t="str">
        <f>IF(G87="","", IFERROR(VLOOKUP(G87, Catalogos!$H$2:$I$20, 2, FALSE), "FOL") &amp; IF($C$6="","", "-" &amp; $C$6) &amp; "-" &amp; TEXT(ROW(A77),"000"))</f>
        <v/>
      </c>
    </row>
    <row r="88" spans="2:2" x14ac:dyDescent="0.3">
      <c r="B88" t="str">
        <f>IF(G88="","", IFERROR(VLOOKUP(G88, Catalogos!$H$2:$I$20, 2, FALSE), "FOL") &amp; IF($C$6="","", "-" &amp; $C$6) &amp; "-" &amp; TEXT(ROW(A78),"000"))</f>
        <v/>
      </c>
    </row>
    <row r="89" spans="2:2" x14ac:dyDescent="0.3">
      <c r="B89" t="str">
        <f>IF(G89="","", IFERROR(VLOOKUP(G89, Catalogos!$H$2:$I$20, 2, FALSE), "FOL") &amp; IF($C$6="","", "-" &amp; $C$6) &amp; "-" &amp; TEXT(ROW(A79),"000"))</f>
        <v/>
      </c>
    </row>
    <row r="90" spans="2:2" x14ac:dyDescent="0.3">
      <c r="B90" t="str">
        <f>IF(G90="","", IFERROR(VLOOKUP(G90, Catalogos!$H$2:$I$20, 2, FALSE), "FOL") &amp; IF($C$6="","", "-" &amp; $C$6) &amp; "-" &amp; TEXT(ROW(A80),"000"))</f>
        <v/>
      </c>
    </row>
    <row r="91" spans="2:2" x14ac:dyDescent="0.3">
      <c r="B91" t="str">
        <f>IF(G91="","", IFERROR(VLOOKUP(G91, Catalogos!$H$2:$I$20, 2, FALSE), "FOL") &amp; IF($C$6="","", "-" &amp; $C$6) &amp; "-" &amp; TEXT(ROW(A81),"000"))</f>
        <v/>
      </c>
    </row>
    <row r="92" spans="2:2" x14ac:dyDescent="0.3">
      <c r="B92" t="str">
        <f>IF(G92="","", IFERROR(VLOOKUP(G92, Catalogos!$H$2:$I$20, 2, FALSE), "FOL") &amp; IF($C$6="","", "-" &amp; $C$6) &amp; "-" &amp; TEXT(ROW(A82),"000"))</f>
        <v/>
      </c>
    </row>
    <row r="93" spans="2:2" x14ac:dyDescent="0.3">
      <c r="B93" t="str">
        <f>IF(G93="","", IFERROR(VLOOKUP(G93, Catalogos!$H$2:$I$20, 2, FALSE), "FOL") &amp; IF($C$6="","", "-" &amp; $C$6) &amp; "-" &amp; TEXT(ROW(A83),"000"))</f>
        <v/>
      </c>
    </row>
    <row r="94" spans="2:2" x14ac:dyDescent="0.3">
      <c r="B94" t="str">
        <f>IF(G94="","", IFERROR(VLOOKUP(G94, Catalogos!$H$2:$I$20, 2, FALSE), "FOL") &amp; IF($C$6="","", "-" &amp; $C$6) &amp; "-" &amp; TEXT(ROW(A84),"000"))</f>
        <v/>
      </c>
    </row>
    <row r="95" spans="2:2" x14ac:dyDescent="0.3">
      <c r="B95" t="str">
        <f>IF(G95="","", IFERROR(VLOOKUP(G95, Catalogos!$H$2:$I$20, 2, FALSE), "FOL") &amp; IF($C$6="","", "-" &amp; $C$6) &amp; "-" &amp; TEXT(ROW(A85),"000"))</f>
        <v/>
      </c>
    </row>
    <row r="96" spans="2:2" x14ac:dyDescent="0.3">
      <c r="B96" t="str">
        <f>IF(G96="","", IFERROR(VLOOKUP(G96, Catalogos!$H$2:$I$20, 2, FALSE), "FOL") &amp; IF($C$6="","", "-" &amp; $C$6) &amp; "-" &amp; TEXT(ROW(A86),"000"))</f>
        <v/>
      </c>
    </row>
    <row r="97" spans="2:2" x14ac:dyDescent="0.3">
      <c r="B97" t="str">
        <f>IF(G97="","", IFERROR(VLOOKUP(G97, Catalogos!$H$2:$I$20, 2, FALSE), "FOL") &amp; IF($C$6="","", "-" &amp; $C$6) &amp; "-" &amp; TEXT(ROW(A87),"000"))</f>
        <v/>
      </c>
    </row>
    <row r="98" spans="2:2" x14ac:dyDescent="0.3">
      <c r="B98" t="str">
        <f>IF(G98="","", IFERROR(VLOOKUP(G98, Catalogos!$H$2:$I$20, 2, FALSE), "FOL") &amp; IF($C$6="","", "-" &amp; $C$6) &amp; "-" &amp; TEXT(ROW(A88),"000"))</f>
        <v/>
      </c>
    </row>
    <row r="99" spans="2:2" x14ac:dyDescent="0.3">
      <c r="B99" t="str">
        <f>IF(G99="","", IFERROR(VLOOKUP(G99, Catalogos!$H$2:$I$20, 2, FALSE), "FOL") &amp; IF($C$6="","", "-" &amp; $C$6) &amp; "-" &amp; TEXT(ROW(A89),"000"))</f>
        <v/>
      </c>
    </row>
    <row r="100" spans="2:2" x14ac:dyDescent="0.3">
      <c r="B100" t="str">
        <f>IF(G100="","", IFERROR(VLOOKUP(G100, Catalogos!$H$2:$I$20, 2, FALSE), "FOL") &amp; IF($C$6="","", "-" &amp; $C$6) &amp; "-" &amp; TEXT(ROW(A90),"000"))</f>
        <v/>
      </c>
    </row>
    <row r="101" spans="2:2" x14ac:dyDescent="0.3">
      <c r="B101" t="str">
        <f>IF(G101="","", IFERROR(VLOOKUP(G101, Catalogos!$H$2:$I$20, 2, FALSE), "FOL") &amp; IF($C$6="","", "-" &amp; $C$6) &amp; "-" &amp; TEXT(ROW(A91),"000"))</f>
        <v/>
      </c>
    </row>
    <row r="102" spans="2:2" x14ac:dyDescent="0.3">
      <c r="B102" t="str">
        <f>IF(G102="","", IFERROR(VLOOKUP(G102, Catalogos!$H$2:$I$20, 2, FALSE), "FOL") &amp; IF($C$6="","", "-" &amp; $C$6) &amp; "-" &amp; TEXT(ROW(A92),"000"))</f>
        <v/>
      </c>
    </row>
    <row r="103" spans="2:2" x14ac:dyDescent="0.3">
      <c r="B103" t="str">
        <f>IF(G103="","", IFERROR(VLOOKUP(G103, Catalogos!$H$2:$I$20, 2, FALSE), "FOL") &amp; IF($C$6="","", "-" &amp; $C$6) &amp; "-" &amp; TEXT(ROW(A93),"000"))</f>
        <v/>
      </c>
    </row>
    <row r="104" spans="2:2" x14ac:dyDescent="0.3">
      <c r="B104" t="str">
        <f>IF(G104="","", IFERROR(VLOOKUP(G104, Catalogos!$H$2:$I$20, 2, FALSE), "FOL") &amp; IF($C$6="","", "-" &amp; $C$6) &amp; "-" &amp; TEXT(ROW(A94),"000"))</f>
        <v/>
      </c>
    </row>
    <row r="105" spans="2:2" x14ac:dyDescent="0.3">
      <c r="B105" t="str">
        <f>IF(G105="","", IFERROR(VLOOKUP(G105, Catalogos!$H$2:$I$20, 2, FALSE), "FOL") &amp; IF($C$6="","", "-" &amp; $C$6) &amp; "-" &amp; TEXT(ROW(A95),"000"))</f>
        <v/>
      </c>
    </row>
    <row r="106" spans="2:2" x14ac:dyDescent="0.3">
      <c r="B106" t="str">
        <f>IF(G106="","", IFERROR(VLOOKUP(G106, Catalogos!$H$2:$I$20, 2, FALSE), "FOL") &amp; IF($C$6="","", "-" &amp; $C$6) &amp; "-" &amp; TEXT(ROW(A96),"000"))</f>
        <v/>
      </c>
    </row>
    <row r="107" spans="2:2" x14ac:dyDescent="0.3">
      <c r="B107" t="str">
        <f>IF(G107="","", IFERROR(VLOOKUP(G107, Catalogos!$H$2:$I$20, 2, FALSE), "FOL") &amp; IF($C$6="","", "-" &amp; $C$6) &amp; "-" &amp; TEXT(ROW(A97),"000"))</f>
        <v/>
      </c>
    </row>
    <row r="108" spans="2:2" x14ac:dyDescent="0.3">
      <c r="B108" t="str">
        <f>IF(G108="","", IFERROR(VLOOKUP(G108, Catalogos!$H$2:$I$20, 2, FALSE), "FOL") &amp; IF($C$6="","", "-" &amp; $C$6) &amp; "-" &amp; TEXT(ROW(A98),"000"))</f>
        <v/>
      </c>
    </row>
    <row r="109" spans="2:2" x14ac:dyDescent="0.3">
      <c r="B109" t="str">
        <f>IF(G109="","", IFERROR(VLOOKUP(G109, Catalogos!$H$2:$I$20, 2, FALSE), "FOL") &amp; IF($C$6="","", "-" &amp; $C$6) &amp; "-" &amp; TEXT(ROW(A99),"000"))</f>
        <v/>
      </c>
    </row>
    <row r="110" spans="2:2" x14ac:dyDescent="0.3">
      <c r="B110" t="str">
        <f>IF(G110="","", IFERROR(VLOOKUP(G110, Catalogos!$H$2:$I$20, 2, FALSE), "FOL") &amp; IF($C$6="","", "-" &amp; $C$6) &amp; "-" &amp; TEXT(ROW(A100),"000"))</f>
        <v/>
      </c>
    </row>
    <row r="111" spans="2:2" x14ac:dyDescent="0.3">
      <c r="B111" t="str">
        <f>IF(G111="","", IFERROR(VLOOKUP(G111, Catalogos!$H$2:$I$20, 2, FALSE), "FOL") &amp; IF($C$6="","", "-" &amp; $C$6) &amp; "-" &amp; TEXT(ROW(A101),"000"))</f>
        <v/>
      </c>
    </row>
    <row r="112" spans="2:2" x14ac:dyDescent="0.3">
      <c r="B112" t="str">
        <f>IF(G112="","", IFERROR(VLOOKUP(G112, Catalogos!$H$2:$I$20, 2, FALSE), "FOL") &amp; IF($C$6="","", "-" &amp; $C$6) &amp; "-" &amp; TEXT(ROW(A102),"000"))</f>
        <v/>
      </c>
    </row>
    <row r="113" spans="2:2" x14ac:dyDescent="0.3">
      <c r="B113" t="str">
        <f>IF(G113="","", IFERROR(VLOOKUP(G113, Catalogos!$H$2:$I$20, 2, FALSE), "FOL") &amp; IF($C$6="","", "-" &amp; $C$6) &amp; "-" &amp; TEXT(ROW(A103),"000"))</f>
        <v/>
      </c>
    </row>
    <row r="114" spans="2:2" x14ac:dyDescent="0.3">
      <c r="B114" t="str">
        <f>IF(G114="","", IFERROR(VLOOKUP(G114, Catalogos!$H$2:$I$20, 2, FALSE), "FOL") &amp; IF($C$6="","", "-" &amp; $C$6) &amp; "-" &amp; TEXT(ROW(A104),"000"))</f>
        <v/>
      </c>
    </row>
    <row r="115" spans="2:2" x14ac:dyDescent="0.3">
      <c r="B115" t="str">
        <f>IF(G115="","", IFERROR(VLOOKUP(G115, Catalogos!$H$2:$I$20, 2, FALSE), "FOL") &amp; IF($C$6="","", "-" &amp; $C$6) &amp; "-" &amp; TEXT(ROW(A105),"000"))</f>
        <v/>
      </c>
    </row>
    <row r="116" spans="2:2" x14ac:dyDescent="0.3">
      <c r="B116" t="str">
        <f>IF(G116="","", IFERROR(VLOOKUP(G116, Catalogos!$H$2:$I$20, 2, FALSE), "FOL") &amp; IF($C$6="","", "-" &amp; $C$6) &amp; "-" &amp; TEXT(ROW(A106),"000"))</f>
        <v/>
      </c>
    </row>
    <row r="117" spans="2:2" x14ac:dyDescent="0.3">
      <c r="B117" t="str">
        <f>IF(G117="","", IFERROR(VLOOKUP(G117, Catalogos!$H$2:$I$20, 2, FALSE), "FOL") &amp; IF($C$6="","", "-" &amp; $C$6) &amp; "-" &amp; TEXT(ROW(A107),"000"))</f>
        <v/>
      </c>
    </row>
    <row r="118" spans="2:2" x14ac:dyDescent="0.3">
      <c r="B118" t="str">
        <f>IF(G118="","", IFERROR(VLOOKUP(G118, Catalogos!$H$2:$I$20, 2, FALSE), "FOL") &amp; IF($C$6="","", "-" &amp; $C$6) &amp; "-" &amp; TEXT(ROW(A108),"000"))</f>
        <v/>
      </c>
    </row>
    <row r="119" spans="2:2" x14ac:dyDescent="0.3">
      <c r="B119" t="str">
        <f>IF(G119="","", IFERROR(VLOOKUP(G119, Catalogos!$H$2:$I$20, 2, FALSE), "FOL") &amp; IF($C$6="","", "-" &amp; $C$6) &amp; "-" &amp; TEXT(ROW(A109),"000"))</f>
        <v/>
      </c>
    </row>
    <row r="120" spans="2:2" x14ac:dyDescent="0.3">
      <c r="B120" t="str">
        <f>IF(G120="","", IFERROR(VLOOKUP(G120, Catalogos!$H$2:$I$20, 2, FALSE), "FOL") &amp; IF($C$6="","", "-" &amp; $C$6) &amp; "-" &amp; TEXT(ROW(A110),"000"))</f>
        <v/>
      </c>
    </row>
    <row r="121" spans="2:2" x14ac:dyDescent="0.3">
      <c r="B121" t="str">
        <f>IF(G121="","", IFERROR(VLOOKUP(G121, Catalogos!$H$2:$I$20, 2, FALSE), "FOL") &amp; IF($C$6="","", "-" &amp; $C$6) &amp; "-" &amp; TEXT(ROW(A111),"000"))</f>
        <v/>
      </c>
    </row>
    <row r="122" spans="2:2" x14ac:dyDescent="0.3">
      <c r="B122" t="str">
        <f>IF(G122="","", IFERROR(VLOOKUP(G122, Catalogos!$H$2:$I$20, 2, FALSE), "FOL") &amp; IF($C$6="","", "-" &amp; $C$6) &amp; "-" &amp; TEXT(ROW(A112),"000"))</f>
        <v/>
      </c>
    </row>
    <row r="123" spans="2:2" x14ac:dyDescent="0.3">
      <c r="B123" t="str">
        <f>IF(G123="","", IFERROR(VLOOKUP(G123, Catalogos!$H$2:$I$20, 2, FALSE), "FOL") &amp; IF($C$6="","", "-" &amp; $C$6) &amp; "-" &amp; TEXT(ROW(A113),"000"))</f>
        <v/>
      </c>
    </row>
    <row r="124" spans="2:2" x14ac:dyDescent="0.3">
      <c r="B124" t="str">
        <f>IF(G124="","", IFERROR(VLOOKUP(G124, Catalogos!$H$2:$I$20, 2, FALSE), "FOL") &amp; IF($C$6="","", "-" &amp; $C$6) &amp; "-" &amp; TEXT(ROW(A114),"000"))</f>
        <v/>
      </c>
    </row>
    <row r="125" spans="2:2" x14ac:dyDescent="0.3">
      <c r="B125" t="str">
        <f>IF(G125="","", IFERROR(VLOOKUP(G125, Catalogos!$H$2:$I$20, 2, FALSE), "FOL") &amp; IF($C$6="","", "-" &amp; $C$6) &amp; "-" &amp; TEXT(ROW(A115),"000"))</f>
        <v/>
      </c>
    </row>
    <row r="126" spans="2:2" x14ac:dyDescent="0.3">
      <c r="B126" t="str">
        <f>IF(G126="","", IFERROR(VLOOKUP(G126, Catalogos!$H$2:$I$20, 2, FALSE), "FOL") &amp; IF($C$6="","", "-" &amp; $C$6) &amp; "-" &amp; TEXT(ROW(A116),"000"))</f>
        <v/>
      </c>
    </row>
    <row r="127" spans="2:2" x14ac:dyDescent="0.3">
      <c r="B127" t="str">
        <f>IF(G127="","", IFERROR(VLOOKUP(G127, Catalogos!$H$2:$I$20, 2, FALSE), "FOL") &amp; IF($C$6="","", "-" &amp; $C$6) &amp; "-" &amp; TEXT(ROW(A117),"000"))</f>
        <v/>
      </c>
    </row>
    <row r="128" spans="2:2" x14ac:dyDescent="0.3">
      <c r="B128" t="str">
        <f>IF(G128="","", IFERROR(VLOOKUP(G128, Catalogos!$H$2:$I$20, 2, FALSE), "FOL") &amp; IF($C$6="","", "-" &amp; $C$6) &amp; "-" &amp; TEXT(ROW(A118),"000"))</f>
        <v/>
      </c>
    </row>
    <row r="129" spans="2:2" x14ac:dyDescent="0.3">
      <c r="B129" t="str">
        <f>IF(G129="","", IFERROR(VLOOKUP(G129, Catalogos!$H$2:$I$20, 2, FALSE), "FOL") &amp; IF($C$6="","", "-" &amp; $C$6) &amp; "-" &amp; TEXT(ROW(A119),"000"))</f>
        <v/>
      </c>
    </row>
    <row r="130" spans="2:2" x14ac:dyDescent="0.3">
      <c r="B130" t="str">
        <f>IF(G130="","", IFERROR(VLOOKUP(G130, Catalogos!$H$2:$I$20, 2, FALSE), "FOL") &amp; IF($C$6="","", "-" &amp; $C$6) &amp; "-" &amp; TEXT(ROW(A120),"000"))</f>
        <v/>
      </c>
    </row>
    <row r="131" spans="2:2" x14ac:dyDescent="0.3">
      <c r="B131" t="str">
        <f>IF(G131="","", IFERROR(VLOOKUP(G131, Catalogos!$H$2:$I$20, 2, FALSE), "FOL") &amp; IF($C$6="","", "-" &amp; $C$6) &amp; "-" &amp; TEXT(ROW(A121),"000"))</f>
        <v/>
      </c>
    </row>
    <row r="132" spans="2:2" x14ac:dyDescent="0.3">
      <c r="B132" t="str">
        <f>IF(G132="","", IFERROR(VLOOKUP(G132, Catalogos!$H$2:$I$20, 2, FALSE), "FOL") &amp; IF($C$6="","", "-" &amp; $C$6) &amp; "-" &amp; TEXT(ROW(A122),"000"))</f>
        <v/>
      </c>
    </row>
    <row r="133" spans="2:2" x14ac:dyDescent="0.3">
      <c r="B133" t="str">
        <f>IF(G133="","", IFERROR(VLOOKUP(G133, Catalogos!$H$2:$I$20, 2, FALSE), "FOL") &amp; IF($C$6="","", "-" &amp; $C$6) &amp; "-" &amp; TEXT(ROW(A123),"000"))</f>
        <v/>
      </c>
    </row>
    <row r="134" spans="2:2" x14ac:dyDescent="0.3">
      <c r="B134" t="str">
        <f>IF(G134="","", IFERROR(VLOOKUP(G134, Catalogos!$H$2:$I$20, 2, FALSE), "FOL") &amp; IF($C$6="","", "-" &amp; $C$6) &amp; "-" &amp; TEXT(ROW(A124),"000"))</f>
        <v/>
      </c>
    </row>
    <row r="135" spans="2:2" x14ac:dyDescent="0.3">
      <c r="B135" t="str">
        <f>IF(G135="","", IFERROR(VLOOKUP(G135, Catalogos!$H$2:$I$20, 2, FALSE), "FOL") &amp; IF($C$6="","", "-" &amp; $C$6) &amp; "-" &amp; TEXT(ROW(A125),"000"))</f>
        <v/>
      </c>
    </row>
    <row r="136" spans="2:2" x14ac:dyDescent="0.3">
      <c r="B136" t="str">
        <f>IF(G136="","", IFERROR(VLOOKUP(G136, Catalogos!$H$2:$I$20, 2, FALSE), "FOL") &amp; IF($C$6="","", "-" &amp; $C$6) &amp; "-" &amp; TEXT(ROW(A126),"000"))</f>
        <v/>
      </c>
    </row>
    <row r="137" spans="2:2" x14ac:dyDescent="0.3">
      <c r="B137" t="str">
        <f>IF(G137="","", IFERROR(VLOOKUP(G137, Catalogos!$H$2:$I$20, 2, FALSE), "FOL") &amp; IF($C$6="","", "-" &amp; $C$6) &amp; "-" &amp; TEXT(ROW(A127),"000"))</f>
        <v/>
      </c>
    </row>
    <row r="138" spans="2:2" x14ac:dyDescent="0.3">
      <c r="B138" t="str">
        <f>IF(G138="","", IFERROR(VLOOKUP(G138, Catalogos!$H$2:$I$20, 2, FALSE), "FOL") &amp; IF($C$6="","", "-" &amp; $C$6) &amp; "-" &amp; TEXT(ROW(A128),"000"))</f>
        <v/>
      </c>
    </row>
    <row r="139" spans="2:2" x14ac:dyDescent="0.3">
      <c r="B139" t="str">
        <f>IF(G139="","", IFERROR(VLOOKUP(G139, Catalogos!$H$2:$I$20, 2, FALSE), "FOL") &amp; IF($C$6="","", "-" &amp; $C$6) &amp; "-" &amp; TEXT(ROW(A129),"000"))</f>
        <v/>
      </c>
    </row>
    <row r="140" spans="2:2" x14ac:dyDescent="0.3">
      <c r="B140" t="str">
        <f>IF(G140="","", IFERROR(VLOOKUP(G140, Catalogos!$H$2:$I$20, 2, FALSE), "FOL") &amp; IF($C$6="","", "-" &amp; $C$6) &amp; "-" &amp; TEXT(ROW(A130),"000"))</f>
        <v/>
      </c>
    </row>
    <row r="141" spans="2:2" x14ac:dyDescent="0.3">
      <c r="B141" t="str">
        <f>IF(G141="","", IFERROR(VLOOKUP(G141, Catalogos!$H$2:$I$20, 2, FALSE), "FOL") &amp; IF($C$6="","", "-" &amp; $C$6) &amp; "-" &amp; TEXT(ROW(A131),"000"))</f>
        <v/>
      </c>
    </row>
    <row r="142" spans="2:2" x14ac:dyDescent="0.3">
      <c r="B142" t="str">
        <f>IF(G142="","", IFERROR(VLOOKUP(G142, Catalogos!$H$2:$I$20, 2, FALSE), "FOL") &amp; IF($C$6="","", "-" &amp; $C$6) &amp; "-" &amp; TEXT(ROW(A132),"000"))</f>
        <v/>
      </c>
    </row>
    <row r="143" spans="2:2" x14ac:dyDescent="0.3">
      <c r="B143" t="str">
        <f>IF(G143="","", IFERROR(VLOOKUP(G143, Catalogos!$H$2:$I$20, 2, FALSE), "FOL") &amp; IF($C$6="","", "-" &amp; $C$6) &amp; "-" &amp; TEXT(ROW(A133),"000"))</f>
        <v/>
      </c>
    </row>
    <row r="144" spans="2:2" x14ac:dyDescent="0.3">
      <c r="B144" t="str">
        <f>IF(G144="","", IFERROR(VLOOKUP(G144, Catalogos!$H$2:$I$20, 2, FALSE), "FOL") &amp; IF($C$6="","", "-" &amp; $C$6) &amp; "-" &amp; TEXT(ROW(A134),"000"))</f>
        <v/>
      </c>
    </row>
    <row r="145" spans="2:2" x14ac:dyDescent="0.3">
      <c r="B145" t="str">
        <f>IF(G145="","", IFERROR(VLOOKUP(G145, Catalogos!$H$2:$I$20, 2, FALSE), "FOL") &amp; IF($C$6="","", "-" &amp; $C$6) &amp; "-" &amp; TEXT(ROW(A135),"000"))</f>
        <v/>
      </c>
    </row>
    <row r="146" spans="2:2" x14ac:dyDescent="0.3">
      <c r="B146" t="str">
        <f>IF(G146="","", IFERROR(VLOOKUP(G146, Catalogos!$H$2:$I$20, 2, FALSE), "FOL") &amp; IF($C$6="","", "-" &amp; $C$6) &amp; "-" &amp; TEXT(ROW(A136),"000"))</f>
        <v/>
      </c>
    </row>
    <row r="147" spans="2:2" x14ac:dyDescent="0.3">
      <c r="B147" t="str">
        <f>IF(G147="","", IFERROR(VLOOKUP(G147, Catalogos!$H$2:$I$20, 2, FALSE), "FOL") &amp; IF($C$6="","", "-" &amp; $C$6) &amp; "-" &amp; TEXT(ROW(A137),"000"))</f>
        <v/>
      </c>
    </row>
    <row r="148" spans="2:2" x14ac:dyDescent="0.3">
      <c r="B148" t="str">
        <f>IF(G148="","", IFERROR(VLOOKUP(G148, Catalogos!$H$2:$I$20, 2, FALSE), "FOL") &amp; IF($C$6="","", "-" &amp; $C$6) &amp; "-" &amp; TEXT(ROW(A138),"000"))</f>
        <v/>
      </c>
    </row>
    <row r="149" spans="2:2" x14ac:dyDescent="0.3">
      <c r="B149" t="str">
        <f>IF(G149="","", IFERROR(VLOOKUP(G149, Catalogos!$H$2:$I$20, 2, FALSE), "FOL") &amp; IF($C$6="","", "-" &amp; $C$6) &amp; "-" &amp; TEXT(ROW(A139),"000"))</f>
        <v/>
      </c>
    </row>
    <row r="150" spans="2:2" x14ac:dyDescent="0.3">
      <c r="B150" t="str">
        <f>IF(G150="","", IFERROR(VLOOKUP(G150, Catalogos!$H$2:$I$20, 2, FALSE), "FOL") &amp; IF($C$6="","", "-" &amp; $C$6) &amp; "-" &amp; TEXT(ROW(A140),"000"))</f>
        <v/>
      </c>
    </row>
  </sheetData>
  <mergeCells count="41">
    <mergeCell ref="J41:K41"/>
    <mergeCell ref="J42:K42"/>
    <mergeCell ref="J43:K43"/>
    <mergeCell ref="J44:K44"/>
    <mergeCell ref="J45:K45"/>
    <mergeCell ref="J36:K36"/>
    <mergeCell ref="J37:K37"/>
    <mergeCell ref="J38:K38"/>
    <mergeCell ref="J39:K39"/>
    <mergeCell ref="J40:K40"/>
    <mergeCell ref="J31:K31"/>
    <mergeCell ref="J32:K32"/>
    <mergeCell ref="J33:K33"/>
    <mergeCell ref="J34:K34"/>
    <mergeCell ref="J35:K35"/>
    <mergeCell ref="J26:K26"/>
    <mergeCell ref="J27:K27"/>
    <mergeCell ref="J28:K28"/>
    <mergeCell ref="J29:K29"/>
    <mergeCell ref="J30:K30"/>
    <mergeCell ref="J21:K21"/>
    <mergeCell ref="J22:K22"/>
    <mergeCell ref="J23:K23"/>
    <mergeCell ref="J24:K24"/>
    <mergeCell ref="J25:K25"/>
    <mergeCell ref="J16:K16"/>
    <mergeCell ref="J17:K17"/>
    <mergeCell ref="J18:K18"/>
    <mergeCell ref="J19:K19"/>
    <mergeCell ref="J20:K20"/>
    <mergeCell ref="J11:K11"/>
    <mergeCell ref="J12:K12"/>
    <mergeCell ref="J13:K13"/>
    <mergeCell ref="J14:K14"/>
    <mergeCell ref="J15:K15"/>
    <mergeCell ref="J10:K10"/>
    <mergeCell ref="B4:K4"/>
    <mergeCell ref="F6:H6"/>
    <mergeCell ref="B9:K9"/>
    <mergeCell ref="F7:G7"/>
    <mergeCell ref="B7:C7"/>
  </mergeCells>
  <dataValidations count="3">
    <dataValidation type="date" allowBlank="1" showInputMessage="1" showErrorMessage="1" errorTitle="Tipo no válido" error="undefined" promptTitle="undefined" prompt="undefined" sqref="C11:C1048576" xr:uid="{854B0507-23D0-4AAD-A68C-857EAE00E001}">
      <formula1>46174</formula1>
      <formula2>46387</formula2>
    </dataValidation>
    <dataValidation type="time" allowBlank="1" showInputMessage="1" showErrorMessage="1" errorTitle="Origen/Obra no válida" error="undefined" promptTitle="undefined" prompt="undefined" sqref="D11:D1048576" xr:uid="{2116CD3A-6D31-460F-8898-9F721128970E}">
      <formula1>0</formula1>
      <formula2>0.999305555555556</formula2>
    </dataValidation>
    <dataValidation type="whole" operator="lessThan" allowBlank="1" showInputMessage="1" showErrorMessage="1" sqref="H11:H1048576" xr:uid="{A3B48FCF-E361-4302-AC05-E649DAC8607D}">
      <formula1>2000</formula1>
    </dataValidation>
  </dataValidations>
  <printOptions horizontalCentered="1"/>
  <pageMargins left="0.25" right="0.25" top="0.25" bottom="0.25" header="0" footer="0"/>
  <pageSetup scale="71" fitToHeight="0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Obra Inválida" error="Seleccione una obra del catálogo." promptTitle="undefined" prompt="undefined" xr:uid="{C856DE76-6B49-4112-94E9-6FA2FEB19C6A}">
          <x14:formula1>
            <xm:f>Catalogos!$A$2:$A$20</xm:f>
          </x14:formula1>
          <xm:sqref>G11:G150</xm:sqref>
        </x14:dataValidation>
        <x14:dataValidation type="list" allowBlank="1" showInputMessage="1" showErrorMessage="1" xr:uid="{2C275035-2A7B-4AFC-99BB-15F82B2645B1}">
          <x14:formula1>
            <xm:f>Catalogos!$C$2:$C$9</xm:f>
          </x14:formula1>
          <xm:sqref>E11:E1048576</xm:sqref>
        </x14:dataValidation>
        <x14:dataValidation type="list" allowBlank="1" showInputMessage="1" showErrorMessage="1" xr:uid="{9324044A-E683-424E-8151-3DDE2D601EDB}">
          <x14:formula1>
            <xm:f>Catalogos!$D$2:$D$33</xm:f>
          </x14:formula1>
          <xm:sqref>F11:F1048576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"/>
  <sheetViews>
    <sheetView topLeftCell="A7" workbookViewId="0"/>
  </sheetViews>
  <sheetFormatPr baseColWidth="10" defaultRowHeight="14.4" x14ac:dyDescent="0.3"/>
  <cols>
    <col min="1" max="1" width="15" customWidth="1"/>
    <col min="2" max="2" width="28" customWidth="1"/>
    <col min="3" max="3" width="22" customWidth="1"/>
    <col min="4" max="4" width="5" customWidth="1"/>
    <col min="5" max="5" width="12" customWidth="1"/>
    <col min="6" max="6" width="24" customWidth="1"/>
    <col min="7" max="8" width="5" customWidth="1"/>
    <col min="9" max="9" width="24" customWidth="1"/>
    <col min="10" max="10" width="18" customWidth="1"/>
    <col min="11" max="11" width="28" customWidth="1"/>
    <col min="12" max="12" width="18" customWidth="1"/>
  </cols>
  <sheetData>
    <row r="1" spans="1:12" x14ac:dyDescent="0.3">
      <c r="A1" t="s">
        <v>95</v>
      </c>
      <c r="B1" t="s">
        <v>99</v>
      </c>
      <c r="C1" t="s">
        <v>96</v>
      </c>
      <c r="D1" t="s">
        <v>17</v>
      </c>
      <c r="E1" t="s">
        <v>100</v>
      </c>
      <c r="F1" t="s">
        <v>92</v>
      </c>
      <c r="G1" t="s">
        <v>101</v>
      </c>
      <c r="H1" t="s">
        <v>102</v>
      </c>
      <c r="I1" t="s">
        <v>103</v>
      </c>
    </row>
    <row r="2" spans="1:12" x14ac:dyDescent="0.3">
      <c r="A2" t="s">
        <v>18</v>
      </c>
      <c r="B2" t="s">
        <v>104</v>
      </c>
      <c r="C2" t="s">
        <v>19</v>
      </c>
      <c r="D2" t="s">
        <v>65</v>
      </c>
      <c r="E2" t="s">
        <v>52</v>
      </c>
      <c r="H2" t="s">
        <v>20</v>
      </c>
      <c r="I2" t="s">
        <v>105</v>
      </c>
      <c r="K2" t="s">
        <v>15</v>
      </c>
      <c r="L2" t="s">
        <v>16</v>
      </c>
    </row>
    <row r="3" spans="1:12" x14ac:dyDescent="0.3">
      <c r="A3" t="s">
        <v>20</v>
      </c>
      <c r="B3" t="s">
        <v>106</v>
      </c>
      <c r="C3" t="s">
        <v>21</v>
      </c>
      <c r="D3" t="s">
        <v>107</v>
      </c>
      <c r="E3" t="s">
        <v>40</v>
      </c>
      <c r="F3" t="s">
        <v>18</v>
      </c>
      <c r="G3" t="s">
        <v>108</v>
      </c>
      <c r="H3" t="s">
        <v>18</v>
      </c>
      <c r="I3" t="s">
        <v>109</v>
      </c>
    </row>
    <row r="4" spans="1:12" x14ac:dyDescent="0.3">
      <c r="A4" t="s">
        <v>22</v>
      </c>
      <c r="B4" t="s">
        <v>110</v>
      </c>
      <c r="C4" t="s">
        <v>24</v>
      </c>
      <c r="D4" t="s">
        <v>111</v>
      </c>
      <c r="E4" t="s">
        <v>44</v>
      </c>
      <c r="H4" t="s">
        <v>25</v>
      </c>
      <c r="I4" t="s">
        <v>112</v>
      </c>
      <c r="K4" t="s">
        <v>18</v>
      </c>
      <c r="L4">
        <v>46167</v>
      </c>
    </row>
    <row r="5" spans="1:12" x14ac:dyDescent="0.3">
      <c r="A5" t="s">
        <v>25</v>
      </c>
      <c r="B5" t="s">
        <v>113</v>
      </c>
      <c r="C5" t="s">
        <v>14</v>
      </c>
      <c r="D5" t="s">
        <v>114</v>
      </c>
      <c r="E5" t="s">
        <v>53</v>
      </c>
      <c r="F5" t="s">
        <v>20</v>
      </c>
      <c r="G5" t="s">
        <v>115</v>
      </c>
      <c r="H5" t="s">
        <v>26</v>
      </c>
      <c r="I5" t="s">
        <v>116</v>
      </c>
      <c r="K5" t="s">
        <v>20</v>
      </c>
      <c r="L5">
        <v>46174</v>
      </c>
    </row>
    <row r="6" spans="1:12" x14ac:dyDescent="0.3">
      <c r="A6" t="s">
        <v>26</v>
      </c>
      <c r="B6" t="s">
        <v>117</v>
      </c>
      <c r="C6" t="s">
        <v>27</v>
      </c>
      <c r="D6" t="s">
        <v>66</v>
      </c>
      <c r="E6" t="s">
        <v>41</v>
      </c>
      <c r="H6" t="s">
        <v>24</v>
      </c>
      <c r="I6" t="s">
        <v>23</v>
      </c>
      <c r="K6" t="s">
        <v>25</v>
      </c>
      <c r="L6">
        <v>46181</v>
      </c>
    </row>
    <row r="7" spans="1:12" x14ac:dyDescent="0.3">
      <c r="A7" t="s">
        <v>24</v>
      </c>
      <c r="C7" t="s">
        <v>28</v>
      </c>
      <c r="D7" t="s">
        <v>67</v>
      </c>
      <c r="E7" t="s">
        <v>36</v>
      </c>
      <c r="F7" t="s">
        <v>20</v>
      </c>
      <c r="G7" t="s">
        <v>118</v>
      </c>
      <c r="H7" t="s">
        <v>33</v>
      </c>
      <c r="I7" t="s">
        <v>119</v>
      </c>
      <c r="K7" t="s">
        <v>26</v>
      </c>
      <c r="L7">
        <v>46188</v>
      </c>
    </row>
    <row r="8" spans="1:12" x14ac:dyDescent="0.3">
      <c r="A8" t="s">
        <v>30</v>
      </c>
      <c r="C8" t="s">
        <v>31</v>
      </c>
      <c r="D8" t="s">
        <v>68</v>
      </c>
      <c r="E8" t="s">
        <v>42</v>
      </c>
      <c r="F8" t="s">
        <v>18</v>
      </c>
      <c r="G8" t="s">
        <v>120</v>
      </c>
      <c r="K8" t="s">
        <v>24</v>
      </c>
      <c r="L8">
        <v>46195</v>
      </c>
    </row>
    <row r="9" spans="1:12" x14ac:dyDescent="0.3">
      <c r="A9" t="s">
        <v>33</v>
      </c>
      <c r="C9" t="s">
        <v>34</v>
      </c>
      <c r="D9" t="s">
        <v>69</v>
      </c>
      <c r="E9" t="s">
        <v>38</v>
      </c>
      <c r="K9" t="s">
        <v>30</v>
      </c>
      <c r="L9">
        <v>46202</v>
      </c>
    </row>
    <row r="10" spans="1:12" x14ac:dyDescent="0.3">
      <c r="A10" t="s">
        <v>35</v>
      </c>
      <c r="D10" t="s">
        <v>70</v>
      </c>
      <c r="E10" t="s">
        <v>54</v>
      </c>
      <c r="K10" t="s">
        <v>33</v>
      </c>
      <c r="L10">
        <v>46209</v>
      </c>
    </row>
    <row r="11" spans="1:12" x14ac:dyDescent="0.3">
      <c r="D11" t="s">
        <v>69</v>
      </c>
      <c r="E11" t="s">
        <v>55</v>
      </c>
      <c r="F11" t="s">
        <v>20</v>
      </c>
      <c r="G11" t="s">
        <v>121</v>
      </c>
      <c r="K11" t="s">
        <v>35</v>
      </c>
      <c r="L11">
        <v>46216</v>
      </c>
    </row>
    <row r="12" spans="1:12" x14ac:dyDescent="0.3">
      <c r="D12" t="s">
        <v>71</v>
      </c>
      <c r="E12" t="s">
        <v>50</v>
      </c>
      <c r="F12" t="s">
        <v>18</v>
      </c>
      <c r="G12" t="s">
        <v>122</v>
      </c>
      <c r="K12" t="s">
        <v>37</v>
      </c>
      <c r="L12">
        <v>46223</v>
      </c>
    </row>
    <row r="13" spans="1:12" x14ac:dyDescent="0.3">
      <c r="D13" t="s">
        <v>72</v>
      </c>
      <c r="E13" t="s">
        <v>56</v>
      </c>
      <c r="F13" t="s">
        <v>18</v>
      </c>
      <c r="G13" t="s">
        <v>123</v>
      </c>
      <c r="L13">
        <v>46230</v>
      </c>
    </row>
    <row r="14" spans="1:12" x14ac:dyDescent="0.3">
      <c r="D14" t="s">
        <v>73</v>
      </c>
      <c r="E14" t="s">
        <v>45</v>
      </c>
      <c r="L14">
        <v>46237</v>
      </c>
    </row>
    <row r="15" spans="1:12" x14ac:dyDescent="0.3">
      <c r="D15" t="s">
        <v>74</v>
      </c>
      <c r="E15" t="s">
        <v>51</v>
      </c>
      <c r="F15" t="s">
        <v>20</v>
      </c>
      <c r="G15" t="s">
        <v>124</v>
      </c>
      <c r="L15">
        <v>46244</v>
      </c>
    </row>
    <row r="16" spans="1:12" x14ac:dyDescent="0.3">
      <c r="D16" t="s">
        <v>75</v>
      </c>
      <c r="E16" t="s">
        <v>43</v>
      </c>
      <c r="F16" t="s">
        <v>20</v>
      </c>
      <c r="G16" t="s">
        <v>125</v>
      </c>
      <c r="L16">
        <v>46251</v>
      </c>
    </row>
    <row r="17" spans="4:12" x14ac:dyDescent="0.3">
      <c r="D17" t="s">
        <v>76</v>
      </c>
      <c r="E17" t="s">
        <v>46</v>
      </c>
      <c r="F17" t="s">
        <v>18</v>
      </c>
      <c r="G17" t="s">
        <v>126</v>
      </c>
      <c r="L17">
        <v>46258</v>
      </c>
    </row>
    <row r="18" spans="4:12" x14ac:dyDescent="0.3">
      <c r="D18" t="s">
        <v>127</v>
      </c>
      <c r="E18" t="s">
        <v>49</v>
      </c>
      <c r="F18" t="s">
        <v>20</v>
      </c>
      <c r="G18" t="s">
        <v>128</v>
      </c>
      <c r="L18">
        <v>46265</v>
      </c>
    </row>
    <row r="19" spans="4:12" x14ac:dyDescent="0.3">
      <c r="D19" t="s">
        <v>127</v>
      </c>
      <c r="E19" t="s">
        <v>57</v>
      </c>
      <c r="L19">
        <v>46272</v>
      </c>
    </row>
    <row r="20" spans="4:12" x14ac:dyDescent="0.3">
      <c r="D20" t="s">
        <v>77</v>
      </c>
      <c r="E20" t="s">
        <v>58</v>
      </c>
      <c r="L20">
        <v>46279</v>
      </c>
    </row>
    <row r="21" spans="4:12" x14ac:dyDescent="0.3">
      <c r="D21" t="s">
        <v>78</v>
      </c>
      <c r="E21" t="s">
        <v>59</v>
      </c>
      <c r="L21">
        <v>46286</v>
      </c>
    </row>
    <row r="22" spans="4:12" x14ac:dyDescent="0.3">
      <c r="D22" t="s">
        <v>79</v>
      </c>
      <c r="E22" t="s">
        <v>60</v>
      </c>
      <c r="F22" t="s">
        <v>18</v>
      </c>
      <c r="G22" t="s">
        <v>129</v>
      </c>
      <c r="L22">
        <v>46293</v>
      </c>
    </row>
    <row r="23" spans="4:12" x14ac:dyDescent="0.3">
      <c r="D23" t="s">
        <v>78</v>
      </c>
      <c r="E23" t="s">
        <v>61</v>
      </c>
      <c r="L23">
        <v>46300</v>
      </c>
    </row>
    <row r="24" spans="4:12" x14ac:dyDescent="0.3">
      <c r="D24" t="s">
        <v>130</v>
      </c>
      <c r="E24" t="s">
        <v>62</v>
      </c>
      <c r="L24">
        <v>46307</v>
      </c>
    </row>
    <row r="25" spans="4:12" x14ac:dyDescent="0.3">
      <c r="D25" t="s">
        <v>80</v>
      </c>
      <c r="E25" t="s">
        <v>39</v>
      </c>
      <c r="L25">
        <v>46314</v>
      </c>
    </row>
    <row r="26" spans="4:12" x14ac:dyDescent="0.3">
      <c r="D26" t="s">
        <v>81</v>
      </c>
      <c r="E26" t="s">
        <v>48</v>
      </c>
      <c r="L26">
        <v>46321</v>
      </c>
    </row>
    <row r="27" spans="4:12" x14ac:dyDescent="0.3">
      <c r="D27" t="s">
        <v>82</v>
      </c>
      <c r="E27" t="s">
        <v>63</v>
      </c>
      <c r="F27" t="s">
        <v>20</v>
      </c>
      <c r="G27" t="s">
        <v>131</v>
      </c>
      <c r="L27">
        <v>46328</v>
      </c>
    </row>
    <row r="28" spans="4:12" x14ac:dyDescent="0.3">
      <c r="D28" t="s">
        <v>83</v>
      </c>
      <c r="E28" t="s">
        <v>29</v>
      </c>
      <c r="L28">
        <v>46335</v>
      </c>
    </row>
    <row r="29" spans="4:12" x14ac:dyDescent="0.3">
      <c r="D29" t="s">
        <v>132</v>
      </c>
      <c r="E29" t="s">
        <v>47</v>
      </c>
      <c r="F29" t="s">
        <v>20</v>
      </c>
      <c r="G29" t="s">
        <v>133</v>
      </c>
      <c r="L29">
        <v>46342</v>
      </c>
    </row>
    <row r="30" spans="4:12" x14ac:dyDescent="0.3">
      <c r="D30" t="s">
        <v>84</v>
      </c>
      <c r="E30" t="s">
        <v>32</v>
      </c>
      <c r="L30">
        <v>46349</v>
      </c>
    </row>
    <row r="31" spans="4:12" x14ac:dyDescent="0.3">
      <c r="D31" t="s">
        <v>85</v>
      </c>
      <c r="E31" t="s">
        <v>64</v>
      </c>
      <c r="L31">
        <v>46356</v>
      </c>
    </row>
    <row r="32" spans="4:12" x14ac:dyDescent="0.3">
      <c r="D32" t="s">
        <v>134</v>
      </c>
      <c r="E32" t="s">
        <v>97</v>
      </c>
      <c r="F32" t="s">
        <v>18</v>
      </c>
      <c r="G32" t="s">
        <v>135</v>
      </c>
      <c r="L32">
        <v>46363</v>
      </c>
    </row>
    <row r="33" spans="4:12" x14ac:dyDescent="0.3">
      <c r="D33" t="s">
        <v>136</v>
      </c>
      <c r="E33" t="s">
        <v>98</v>
      </c>
      <c r="F33" t="s">
        <v>18</v>
      </c>
      <c r="G33" t="s">
        <v>137</v>
      </c>
      <c r="L33">
        <v>46370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Captura Pegaso</vt:lpstr>
      <vt:lpstr>Captura Marimba</vt:lpstr>
      <vt:lpstr>Catalogos</vt:lpstr>
      <vt:lpstr>'Captura Marimba'!Área_de_impresión</vt:lpstr>
      <vt:lpstr>'Captura Pegaso'!Área_de_impresión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GRUPO TRUJANO 03</cp:lastModifiedBy>
  <dcterms:modified xsi:type="dcterms:W3CDTF">2026-06-30T16:52:12Z</dcterms:modified>
</cp:coreProperties>
</file>